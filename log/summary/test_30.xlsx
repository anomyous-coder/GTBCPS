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0D7408CF-20FC-48EB-B9F7-247674AF60B1}" xr6:coauthVersionLast="47" xr6:coauthVersionMax="47" xr10:uidLastSave="{00000000-0000-0000-0000-000000000000}"/>
  <bookViews>
    <workbookView xWindow="-108" yWindow="-108" windowWidth="23256" windowHeight="12456" activeTab="1" xr2:uid="{9711282E-BE46-4BBA-B6B8-E40DFF3C947A}"/>
  </bookViews>
  <sheets>
    <sheet name="test_30" sheetId="1" r:id="rId1"/>
    <sheet name="Sheet1" sheetId="2" r:id="rId2"/>
  </sheets>
  <definedNames>
    <definedName name="_xlnm._FilterDatabase" localSheetId="0" hidden="1">test_30!$A$1:$D$2063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D34" i="2"/>
  <c r="C34" i="2"/>
  <c r="B34" i="2"/>
  <c r="E33" i="2"/>
  <c r="D33" i="2"/>
  <c r="C33" i="2"/>
  <c r="B33" i="2"/>
  <c r="E32" i="2"/>
  <c r="D32" i="2"/>
  <c r="C32" i="2"/>
  <c r="B32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I3" i="2"/>
  <c r="E35" i="2" s="1"/>
  <c r="E36" i="2" s="1"/>
  <c r="E37" i="2" s="1"/>
  <c r="H3" i="2"/>
  <c r="D35" i="2" s="1"/>
  <c r="D36" i="2" s="1"/>
  <c r="D37" i="2" s="1"/>
  <c r="G3" i="2"/>
  <c r="C35" i="2" s="1"/>
  <c r="C36" i="2" s="1"/>
  <c r="C37" i="2" s="1"/>
  <c r="F3" i="2"/>
  <c r="B35" i="2" s="1"/>
  <c r="B36" i="2" s="1"/>
  <c r="B37" i="2" s="1"/>
</calcChain>
</file>

<file path=xl/sharedStrings.xml><?xml version="1.0" encoding="utf-8"?>
<sst xmlns="http://schemas.openxmlformats.org/spreadsheetml/2006/main" count="4926" uniqueCount="2424">
  <si>
    <t>string</t>
  </si>
  <si>
    <t>name</t>
  </si>
  <si>
    <t>value</t>
  </si>
  <si>
    <t xml:space="preserve">date is: 2019-01-25 00:00:00
</t>
  </si>
  <si>
    <t>date is</t>
  </si>
  <si>
    <t xml:space="preserve"> 2019-01-25 00</t>
  </si>
  <si>
    <t>current price of gold is: 1305.25</t>
  </si>
  <si>
    <t>current price of gold is</t>
  </si>
  <si>
    <t xml:space="preserve"> predicted price of gold is: 1302.1670850002554</t>
  </si>
  <si>
    <t xml:space="preserve"> predicted price of gold is</t>
  </si>
  <si>
    <t xml:space="preserve">profit is: -3.0829149997446166
</t>
  </si>
  <si>
    <t>profit is</t>
  </si>
  <si>
    <t xml:space="preserve"> -3.0829149997446166
</t>
  </si>
  <si>
    <t>current price of tb is: 98.4296875</t>
  </si>
  <si>
    <t>current price of tb is</t>
  </si>
  <si>
    <t xml:space="preserve"> current price of tb option is: 4.281948792747997</t>
  </si>
  <si>
    <t xml:space="preserve"> current price of tb option is</t>
  </si>
  <si>
    <t>predicted price of tb is: 98.65633632748727</t>
  </si>
  <si>
    <t>predicted price of tb is</t>
  </si>
  <si>
    <t xml:space="preserve">profit is: 4.508597620235264
</t>
  </si>
  <si>
    <t xml:space="preserve"> 4.508597620235264
</t>
  </si>
  <si>
    <t>current price of reit is: 83.1</t>
  </si>
  <si>
    <t>current price of reit is</t>
  </si>
  <si>
    <t xml:space="preserve"> current price of reit option is: 4.147046398072703</t>
  </si>
  <si>
    <t xml:space="preserve"> current price of reit option is</t>
  </si>
  <si>
    <t>predicted price of reit is: 83.48958574861622</t>
  </si>
  <si>
    <t>predicted price of reit is</t>
  </si>
  <si>
    <t xml:space="preserve">profit is: 4.53663214668893
</t>
  </si>
  <si>
    <t xml:space="preserve"> 4.53663214668893
</t>
  </si>
  <si>
    <t>value_ratio_tb_to_total is: 0.7561824218093097</t>
  </si>
  <si>
    <t>value_ratio_tb_to_total is</t>
  </si>
  <si>
    <t xml:space="preserve"> risk_ratio_tb_to_gold is: 0.14643857904720914
</t>
  </si>
  <si>
    <t xml:space="preserve"> risk_ratio_tb_to_gold is</t>
  </si>
  <si>
    <t xml:space="preserve"> 0.14643857904720914
</t>
  </si>
  <si>
    <t>value_ratio_gold_to_total is: -0.5170667970626052</t>
  </si>
  <si>
    <t>value_ratio_gold_to_total is</t>
  </si>
  <si>
    <t xml:space="preserve"> risk_ratio_gold_to_total is: 0.7454562781022991
</t>
  </si>
  <si>
    <t xml:space="preserve"> risk_ratio_gold_to_total is</t>
  </si>
  <si>
    <t xml:space="preserve"> 0.7454562781022991
</t>
  </si>
  <si>
    <t>value_ratio_reit_to_total is: 0.7608843752532953</t>
  </si>
  <si>
    <t>value_ratio_reit_to_total is</t>
  </si>
  <si>
    <t xml:space="preserve"> risk_ratio_reit_to_gold is: 0.19502171765280707
</t>
  </si>
  <si>
    <t xml:space="preserve"> risk_ratio_reit_to_gold is</t>
  </si>
  <si>
    <t xml:space="preserve"> 0.19502171765280707
</t>
  </si>
  <si>
    <t>average_risk_gold is: 0.004565753590496905</t>
  </si>
  <si>
    <t>average_risk_gold is</t>
  </si>
  <si>
    <t xml:space="preserve"> average_risk_tb is: 1.247118152095125</t>
  </si>
  <si>
    <t xml:space="preserve"> average_risk_tb is</t>
  </si>
  <si>
    <t xml:space="preserve"> average_risk_reit is: 1.660867824039578
</t>
  </si>
  <si>
    <t xml:space="preserve"> average_risk_reit is</t>
  </si>
  <si>
    <t xml:space="preserve"> 1.660867824039578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</si>
  <si>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</si>
  <si>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</si>
  <si>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</si>
  <si>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</si>
  <si>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</si>
  <si>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</si>
  <si>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</si>
  <si>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</si>
  <si>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</si>
  <si>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</si>
  <si>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</si>
  <si>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</si>
  <si>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</si>
  <si>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</si>
  <si>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</si>
  <si>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</si>
  <si>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</si>
  <si>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</si>
  <si>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</si>
  <si>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</si>
  <si>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</si>
  <si>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</si>
  <si>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</si>
  <si>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</si>
  <si>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</si>
  <si>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</si>
  <si>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</si>
  <si>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</si>
  <si>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</si>
  <si>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0.006490779102758469
</t>
  </si>
  <si>
    <t>stdev_gtbcps is</t>
  </si>
  <si>
    <t xml:space="preserve"> 0.006490779102758469
</t>
  </si>
  <si>
    <t>predicted price of GTBCPS is: 1.0000253073861056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</si>
  <si>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</si>
  <si>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</si>
  <si>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</si>
  <si>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</si>
  <si>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99997469.3254342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</si>
  <si>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</si>
  <si>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</si>
  <si>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</si>
  <si>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</si>
  <si>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</si>
  <si>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</si>
  <si>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</si>
  <si>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</si>
  <si>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</si>
  <si>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</si>
  <si>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</si>
  <si>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</si>
  <si>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</si>
  <si>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0.006236002050923655</t>
  </si>
  <si>
    <t>predicted stdevs of gold is</t>
  </si>
  <si>
    <t xml:space="preserve"> predicted stdevs of tb is: 0.0006686024680720601</t>
  </si>
  <si>
    <t xml:space="preserve"> predicted stdevs of tb is</t>
  </si>
  <si>
    <t xml:space="preserve"> predicted stdevs of reit is: 0.014933086753899849</t>
  </si>
  <si>
    <t xml:space="preserve"> predicted stdevs of reit is</t>
  </si>
  <si>
    <t xml:space="preserve"> predicted stdevs of GTBCPS is: 0.006490779102758469.
</t>
  </si>
  <si>
    <t xml:space="preserve"> predicted stdevs of GTBCPS is</t>
  </si>
  <si>
    <t xml:space="preserve"> 0.006490779102758469.
</t>
  </si>
  <si>
    <t>payout of tranche of gold is: 674.846550881025</t>
  </si>
  <si>
    <t>payout of tranche of gold is</t>
  </si>
  <si>
    <t xml:space="preserve"> payout of tranche of Treausry Bill Option is: 131.96999217228935</t>
  </si>
  <si>
    <t xml:space="preserve"> payout of tranche of Treausry Bill Option is</t>
  </si>
  <si>
    <t xml:space="preserve"> payout of tranche of Collar of REIT is: 68.95432091002118
</t>
  </si>
  <si>
    <t xml:space="preserve"> payout of tranche of Collar of REIT is</t>
  </si>
  <si>
    <t xml:space="preserve"> 68.95432091002118
</t>
  </si>
  <si>
    <t>Collateral size of tranche of gold is: 80000674.84655088</t>
  </si>
  <si>
    <t>Collateral size of tranche of gold is</t>
  </si>
  <si>
    <t xml:space="preserve"> collateral size of tranche of Treausry Bill Option is: 40000131.969992176</t>
  </si>
  <si>
    <t xml:space="preserve"> collateral size of tranche of Treausry Bill Option is</t>
  </si>
  <si>
    <t xml:space="preserve"> collateral size of tranche of Collar of REIT is: 30000068.95432091
</t>
  </si>
  <si>
    <t xml:space="preserve"> collateral size of tranche of Collar of REIT is</t>
  </si>
  <si>
    <t xml:space="preserve"> 30000068.95432091
</t>
  </si>
  <si>
    <t>Collateral ratio of tranche of gold is: 0.8000067484655088</t>
  </si>
  <si>
    <t>Collateral ratio of tranche of gold is</t>
  </si>
  <si>
    <t xml:space="preserve"> collateral ratio of tranche of Treausry Bill Option is: 0.40000131969992175</t>
  </si>
  <si>
    <t xml:space="preserve"> collateral ratio of tranche of Treausry Bill Option is</t>
  </si>
  <si>
    <t xml:space="preserve"> collateral ratio of tranche of Collar of REIT is: 0.30000068954320913
</t>
  </si>
  <si>
    <t xml:space="preserve"> collateral ratio of tranche of Collar of REIT is</t>
  </si>
  <si>
    <t xml:space="preserve"> 0.30000068954320913
</t>
  </si>
  <si>
    <t xml:space="preserve"> predicted price of gold is: 1302.1670850002554
</t>
  </si>
  <si>
    <t xml:space="preserve"> 1302.1670850002554
</t>
  </si>
  <si>
    <t xml:space="preserve"> predicted price of tb is: 98.65633632748727
</t>
  </si>
  <si>
    <t xml:space="preserve"> predicted price of tb is</t>
  </si>
  <si>
    <t xml:space="preserve"> 98.65633632748727
</t>
  </si>
  <si>
    <t xml:space="preserve"> current price of reit option is: 4.148543805216875</t>
  </si>
  <si>
    <t xml:space="preserve"> predicted price of reit is: 83.5835508108946
</t>
  </si>
  <si>
    <t xml:space="preserve"> predicted price of reit is</t>
  </si>
  <si>
    <t xml:space="preserve"> 83.5835508108946
</t>
  </si>
  <si>
    <t>value_ratio_gold_to_total is: -0.5089185157085538</t>
  </si>
  <si>
    <t xml:space="preserve"> risk_ratio_to_gold is: 0.7453788082440505</t>
  </si>
  <si>
    <t xml:space="preserve"> risk_ratio_to_gold is</t>
  </si>
  <si>
    <t xml:space="preserve"> risk_ratio_to_gold_before is: 0.7454562781022991
</t>
  </si>
  <si>
    <t xml:space="preserve"> risk_ratio_to_gold_before is</t>
  </si>
  <si>
    <t>value_ratio_tb_to_total is: 0.7442659979296614</t>
  </si>
  <si>
    <t xml:space="preserve"> risk_ratio_tb_to_gold is: 0.14682125711624905</t>
  </si>
  <si>
    <t xml:space="preserve"> risk_ratio_tb_to_gold_before is: 0.14643857904720914
</t>
  </si>
  <si>
    <t xml:space="preserve"> risk_ratio_tb_to_gold_before is</t>
  </si>
  <si>
    <t>value_ratio_reit_to_total is: 0.7646525177788925</t>
  </si>
  <si>
    <t xml:space="preserve"> risk_ratio_reit_to_gold is: 0.19477846230129314</t>
  </si>
  <si>
    <t xml:space="preserve"> risk_ratio_reit_to_gold_before is: 0.19502171765280707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</si>
  <si>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</si>
  <si>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</si>
  <si>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</si>
  <si>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</si>
  <si>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</si>
  <si>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1.0000171628405314
</t>
  </si>
  <si>
    <t xml:space="preserve"> delta_reit is</t>
  </si>
  <si>
    <t xml:space="preserve"> 1.0000171628405314
</t>
  </si>
  <si>
    <t>delta_gold_risk is: 0.9999556162711031</t>
  </si>
  <si>
    <t>delta_gold_risk is</t>
  </si>
  <si>
    <t xml:space="preserve"> delta_tb_risk is: 1.0003337972709867</t>
  </si>
  <si>
    <t xml:space="preserve"> delta_tb_risk is</t>
  </si>
  <si>
    <t xml:space="preserve"> delta_reit_risk is: 0.9997964427357925
</t>
  </si>
  <si>
    <t xml:space="preserve"> delta_reit_risk is</t>
  </si>
  <si>
    <t xml:space="preserve"> 0.9997964427357925
</t>
  </si>
  <si>
    <t xml:space="preserve">collateral_ratio_tranche_gold is: 0.8000422573241639
</t>
  </si>
  <si>
    <t xml:space="preserve"> 0.8000422573241639
</t>
  </si>
  <si>
    <t xml:space="preserve">collateral_ratio_tranche_tb is: 0.39986784490453725
</t>
  </si>
  <si>
    <t xml:space="preserve"> 0.39986784490453725
</t>
  </si>
  <si>
    <t xml:space="preserve">collateral_ratio_tranche_reit is: 0.3000669192083563
</t>
  </si>
  <si>
    <t xml:space="preserve"> 0.3000669192083563
</t>
  </si>
  <si>
    <t>Total plot size is: 150000514.88521594</t>
  </si>
  <si>
    <t xml:space="preserve"> plot size of REIT is: 30000514.88521594
</t>
  </si>
  <si>
    <t xml:space="preserve"> 30000514.88521594
</t>
  </si>
  <si>
    <t xml:space="preserve">collateral ratio is: 1.5000051488521593
</t>
  </si>
  <si>
    <t xml:space="preserve"> 1.5000051488521593
</t>
  </si>
  <si>
    <t>S_gtbcps_0 is: 1.0000253073861056</t>
  </si>
  <si>
    <t xml:space="preserve">stdev_gtbcps is: 0.006506465562860577
</t>
  </si>
  <si>
    <t xml:space="preserve"> 0.006506465562860577
</t>
  </si>
  <si>
    <t>predicted price of GTBCPS is: 1.0000282281142832</t>
  </si>
  <si>
    <t xml:space="preserve"> actual price is: 1.0000253073861056
</t>
  </si>
  <si>
    <t xml:space="preserve"> 1.0000253073861056
</t>
  </si>
  <si>
    <t>predicted amount of GTBCPS is: 99997520.51537348</t>
  </si>
  <si>
    <t xml:space="preserve"> actual amount is: 99997469.3254342
</t>
  </si>
  <si>
    <t xml:space="preserve"> 99997469.3254342
</t>
  </si>
  <si>
    <t xml:space="preserve"> plot sizes of reit is: 30000514.88521594</t>
  </si>
  <si>
    <t xml:space="preserve"> plot sizes of total is: 150000514.88521594.
</t>
  </si>
  <si>
    <t xml:space="preserve"> 150000514.88521594.
</t>
  </si>
  <si>
    <t>predicted stdevs of gold is: 0.006267419331276961</t>
  </si>
  <si>
    <t xml:space="preserve"> predicted stdevs of tb is: 0.0006710485376971936</t>
  </si>
  <si>
    <t xml:space="preserve"> predicted stdevs of reit is: 0.014924333739438933</t>
  </si>
  <si>
    <t xml:space="preserve"> predicted stdevs of GTBCPS is: 0.006506465562860577.
</t>
  </si>
  <si>
    <t xml:space="preserve"> 0.006506465562860577.
</t>
  </si>
  <si>
    <t>total_value_of_collaterals is: 150000615.9551892</t>
  </si>
  <si>
    <t>total_value_of_collaterals is</t>
  </si>
  <si>
    <t xml:space="preserve"> createdtionValue_gold is: 40.95300672444798</t>
  </si>
  <si>
    <t xml:space="preserve"> createdtionValue_gold is</t>
  </si>
  <si>
    <t xml:space="preserve"> createdValue_tb is: 20.476491221667708</t>
  </si>
  <si>
    <t xml:space="preserve"> createdValue_tb is</t>
  </si>
  <si>
    <t xml:space="preserve"> createdValue_reit is: 15.357630221437418
</t>
  </si>
  <si>
    <t xml:space="preserve"> createdValue_reit is</t>
  </si>
  <si>
    <t xml:space="preserve"> 15.357630221437418
</t>
  </si>
  <si>
    <t>plotValue_gold_after_creation is: 80000036.93087949</t>
  </si>
  <si>
    <t>plotValue_gold_after_creation is</t>
  </si>
  <si>
    <t xml:space="preserve"> plotValue_tb_after_creation  is: 39999994.74935566</t>
  </si>
  <si>
    <t xml:space="preserve"> plotValue_tb_after_creation  is</t>
  </si>
  <si>
    <t xml:space="preserve"> plotValue_reit_after_creation  is: 30000507.48782586</t>
  </si>
  <si>
    <t xml:space="preserve"> plotValue_reit_after_creation  is</t>
  </si>
  <si>
    <t xml:space="preserve">total_value_after_creation is: 150000539.16806102
</t>
  </si>
  <si>
    <t>total_value_after_creation is</t>
  </si>
  <si>
    <t xml:space="preserve"> 150000539.16806102
</t>
  </si>
  <si>
    <t>total_amount_gtncps_before_creation is: 99997469.3254342</t>
  </si>
  <si>
    <t>total_amount_gtncps_before_creation is</t>
  </si>
  <si>
    <t>creation_amount_gtbcps is: 51.18993929028511</t>
  </si>
  <si>
    <t>creation_amount_gtbcps is</t>
  </si>
  <si>
    <t xml:space="preserve">total_amount_gtbcps_new is: 99997520.51537348
</t>
  </si>
  <si>
    <t>total_amount_gtbcps_new is</t>
  </si>
  <si>
    <t xml:space="preserve"> 99997520.51537348
</t>
  </si>
  <si>
    <t>payout of tranche of gold is: 77.88388621904264</t>
  </si>
  <si>
    <t xml:space="preserve"> payout of tranche of Treausry Bill Option is: 15.225846876106598</t>
  </si>
  <si>
    <t xml:space="preserve"> payout of tranche of Collar of REIT is: 7.960240141946419
</t>
  </si>
  <si>
    <t xml:space="preserve"> 7.960240141946419
</t>
  </si>
  <si>
    <t>Collateral size of tranche of gold is: 80000036.93087949</t>
  </si>
  <si>
    <t xml:space="preserve"> collateral size of tranche of Treausry Bill Option is: 39999994.74935566</t>
  </si>
  <si>
    <t xml:space="preserve"> collateral size of tranche of Collar of REIT is: 30000507.48782586
</t>
  </si>
  <si>
    <t xml:space="preserve"> 30000507.48782586
</t>
  </si>
  <si>
    <t>Collateral ratio of tranche of gold is: 0.7999980327911298</t>
  </si>
  <si>
    <t xml:space="preserve"> collateral ratio of tranche of Treausry Bill Option is: 0.39999877923541666</t>
  </si>
  <si>
    <t xml:space="preserve"> collateral ratio of tranche of Collar of REIT is: 0.3000041986697167
</t>
  </si>
  <si>
    <t xml:space="preserve"> 0.3000041986697167
</t>
  </si>
  <si>
    <t xml:space="preserve"> current price of reit option is: 4.1364986813285185</t>
  </si>
  <si>
    <t xml:space="preserve"> predicted price of reit is: 83.8601106953001
</t>
  </si>
  <si>
    <t xml:space="preserve"> 83.8601106953001
</t>
  </si>
  <si>
    <t>value_ratio_gold_to_total is: -0.4876261648701671</t>
  </si>
  <si>
    <t xml:space="preserve"> risk_ratio_to_gold is: 0.7443876334710008</t>
  </si>
  <si>
    <t xml:space="preserve"> risk_ratio_to_gold_before is: 0.7453788082440505
</t>
  </si>
  <si>
    <t xml:space="preserve"> 0.7453788082440505
</t>
  </si>
  <si>
    <t>value_ratio_tb_to_total is: 0.7131270783269096</t>
  </si>
  <si>
    <t xml:space="preserve"> risk_ratio_tb_to_gold is: 0.14845851165549576</t>
  </si>
  <si>
    <t xml:space="preserve"> risk_ratio_tb_to_gold_before is: 0.14682125711624905
</t>
  </si>
  <si>
    <t xml:space="preserve"> 0.14682125711624905
</t>
  </si>
  <si>
    <t>value_ratio_reit_to_total is: 0.7744990865432575</t>
  </si>
  <si>
    <t xml:space="preserve"> risk_ratio_reit_to_gold is: 0.19492758859056256</t>
  </si>
  <si>
    <t xml:space="preserve"> risk_ratio_reit_to_gold_before is: 0.19477846230129314
</t>
  </si>
  <si>
    <t xml:space="preserve"> 0.19477846230129314
</t>
  </si>
  <si>
    <t xml:space="preserve"> delta_reit is: 0.9998619447000142
</t>
  </si>
  <si>
    <t xml:space="preserve"> 0.9998619447000142
</t>
  </si>
  <si>
    <t>delta_gold_risk is: 0.9994321148117714</t>
  </si>
  <si>
    <t xml:space="preserve"> delta_tb_risk is: 1.001427645789688</t>
  </si>
  <si>
    <t xml:space="preserve"> delta_reit_risk is: 1.000124815012971
</t>
  </si>
  <si>
    <t xml:space="preserve"> 1.000124815012971
</t>
  </si>
  <si>
    <t xml:space="preserve">collateral_ratio_tranche_gold is: 0.8004525979653935
</t>
  </si>
  <si>
    <t xml:space="preserve"> 0.8004525979653935
</t>
  </si>
  <si>
    <t xml:space="preserve">collateral_ratio_tranche_tb is: 0.39942853676662055
</t>
  </si>
  <si>
    <t xml:space="preserve"> 0.39942853676662055
</t>
  </si>
  <si>
    <t xml:space="preserve">collateral_ratio_tranche_reit is: 0.2999253463140819
</t>
  </si>
  <si>
    <t xml:space="preserve"> 0.2999253463140819
</t>
  </si>
  <si>
    <t>Total plot size is: 149996397.43900007</t>
  </si>
  <si>
    <t xml:space="preserve"> plot size of gold is: 80000036.93087949</t>
  </si>
  <si>
    <t xml:space="preserve"> plot size of TB is: 39999994.74935566</t>
  </si>
  <si>
    <t xml:space="preserve"> plot size of REIT is: 29996365.7587649
</t>
  </si>
  <si>
    <t xml:space="preserve"> 29996365.7587649
</t>
  </si>
  <si>
    <t xml:space="preserve">collateral ratio is: 1.4999588256791752
</t>
  </si>
  <si>
    <t xml:space="preserve"> 1.4999588256791752
</t>
  </si>
  <si>
    <t>S_gtbcps_0 is: 1.0000282281142832</t>
  </si>
  <si>
    <t>change_of_collaterals is: -2.220446049250313e-16</t>
  </si>
  <si>
    <t xml:space="preserve">stdev_gtbcps is: 0.006499241258940976
</t>
  </si>
  <si>
    <t xml:space="preserve"> 0.006499241258940976
</t>
  </si>
  <si>
    <t>predicted price of GTBCPS is: 1.000040277705829</t>
  </si>
  <si>
    <t xml:space="preserve"> actual price is: 1.0000282281142832
</t>
  </si>
  <si>
    <t xml:space="preserve"> 1.0000282281142832
</t>
  </si>
  <si>
    <t>predicted amount of GTBCPS is: 99996315.63462546</t>
  </si>
  <si>
    <t xml:space="preserve"> actual amount is: 99997520.51537348
</t>
  </si>
  <si>
    <t>plot sizes of gold is: 80000036.93087949</t>
  </si>
  <si>
    <t xml:space="preserve"> plot sizes of tb is: 39999994.74935566 </t>
  </si>
  <si>
    <t xml:space="preserve"> plot sizes of reit is: 29996365.7587649</t>
  </si>
  <si>
    <t xml:space="preserve"> plot sizes of total is: 149996397.43900004.
</t>
  </si>
  <si>
    <t xml:space="preserve"> 149996397.43900004.
</t>
  </si>
  <si>
    <t>predicted stdevs of gold is: 0.006227399342636715</t>
  </si>
  <si>
    <t xml:space="preserve"> predicted stdevs of tb is: 0.0006720725616673936</t>
  </si>
  <si>
    <t xml:space="preserve"> predicted stdevs of reit is: 0.01499473976991618</t>
  </si>
  <si>
    <t xml:space="preserve"> predicted stdevs of GTBCPS is: 0.006499241258940976.
</t>
  </si>
  <si>
    <t xml:space="preserve"> 0.006499241258940976.
</t>
  </si>
  <si>
    <t>total_value_of_collaterals is: 149996814.33740348</t>
  </si>
  <si>
    <t xml:space="preserve"> createdtionValue_gold is: -963.9442752948488</t>
  </si>
  <si>
    <t xml:space="preserve"> createdValue_tb is: -481.9707193711172</t>
  </si>
  <si>
    <t xml:space="preserve"> createdValue_reit is: -361.43433327948105
</t>
  </si>
  <si>
    <t xml:space="preserve"> -361.43433327948105
</t>
  </si>
  <si>
    <t>plotValue_gold_after_creation is: 80001309.34367262</t>
  </si>
  <si>
    <t xml:space="preserve"> plotValue_tb_after_creation  is: 40000536.96382715</t>
  </si>
  <si>
    <t xml:space="preserve"> plotValue_reit_after_creation  is: 29996775.37923166</t>
  </si>
  <si>
    <t xml:space="preserve">total_value_after_creation is: 149998621.68673143
</t>
  </si>
  <si>
    <t xml:space="preserve"> 149998621.68673143
</t>
  </si>
  <si>
    <t>total_amount_gtncps_before_creation is: 99997520.51537348</t>
  </si>
  <si>
    <t>creation_amount_gtbcps is: -1204.8807480186224</t>
  </si>
  <si>
    <t xml:space="preserve">total_amount_gtbcps_new is: 99996315.63462546
</t>
  </si>
  <si>
    <t xml:space="preserve"> 99996315.63462546
</t>
  </si>
  <si>
    <t>payout of tranche of gold is: 308.4685178433532</t>
  </si>
  <si>
    <t xml:space="preserve"> payout of tranche of Treausry Bill Option is: 60.243752110803555</t>
  </si>
  <si>
    <t xml:space="preserve"> payout of tranche of Collar of REIT is: 48.18613348160858
</t>
  </si>
  <si>
    <t xml:space="preserve"> 48.18613348160858
</t>
  </si>
  <si>
    <t>Collateral size of tranche of gold is: 80001309.34367262</t>
  </si>
  <si>
    <t xml:space="preserve"> collateral size of tranche of Treausry Bill Option is: 40000536.96382715</t>
  </si>
  <si>
    <t xml:space="preserve"> collateral size of tranche of Collar of REIT is: 29996775.37923166
</t>
  </si>
  <si>
    <t xml:space="preserve"> 29996775.37923166
</t>
  </si>
  <si>
    <t>Collateral ratio of tranche of gold is: 0.8000007079370585</t>
  </si>
  <si>
    <t xml:space="preserve"> collateral ratio of tranche of Treausry Bill Option is: 0.3999991769066607</t>
  </si>
  <si>
    <t xml:space="preserve"> collateral ratio of tranche of Collar of REIT is: 0.29996310980518015
</t>
  </si>
  <si>
    <t xml:space="preserve"> 0.29996310980518015
</t>
  </si>
  <si>
    <t xml:space="preserve"> current price of reit option is: 4.145661238208987</t>
  </si>
  <si>
    <t xml:space="preserve"> predicted price of reit is: 83.29559182154956
</t>
  </si>
  <si>
    <t xml:space="preserve"> 83.29559182154956
</t>
  </si>
  <si>
    <t>value_ratio_gold_to_total is: -0.5345845992878138</t>
  </si>
  <si>
    <t xml:space="preserve"> risk_ratio_to_gold is: 0.7340056980607553</t>
  </si>
  <si>
    <t xml:space="preserve"> risk_ratio_to_gold_before is: 0.7443876334710008
</t>
  </si>
  <si>
    <t xml:space="preserve"> 0.7443876334710008
</t>
  </si>
  <si>
    <t>value_ratio_tb_to_total is: 0.7818012667761253</t>
  </si>
  <si>
    <t xml:space="preserve"> risk_ratio_tb_to_gold is: 0.1547705472125863</t>
  </si>
  <si>
    <t xml:space="preserve"> risk_ratio_tb_to_gold_before is: 0.14845851165549576
</t>
  </si>
  <si>
    <t xml:space="preserve"> 0.14845851165549576
</t>
  </si>
  <si>
    <t>value_ratio_reit_to_total is: 0.7527833325116885</t>
  </si>
  <si>
    <t xml:space="preserve"> risk_ratio_reit_to_gold is: 0.20761669670391508</t>
  </si>
  <si>
    <t xml:space="preserve"> risk_ratio_reit_to_gold_before is: 0.19492758859056256
</t>
  </si>
  <si>
    <t xml:space="preserve"> 0.19492758859056256
</t>
  </si>
  <si>
    <t xml:space="preserve"> delta_reit is: 1.0001050312314108
</t>
  </si>
  <si>
    <t xml:space="preserve"> 1.0001050312314108
</t>
  </si>
  <si>
    <t>delta_gold_risk is: 0.9940483782325449</t>
  </si>
  <si>
    <t xml:space="preserve"> delta_tb_risk is: 1.0054960936708037</t>
  </si>
  <si>
    <t xml:space="preserve"> delta_reit_risk is: 1.0106191439837116
</t>
  </si>
  <si>
    <t xml:space="preserve"> 1.0106191439837116
</t>
  </si>
  <si>
    <t xml:space="preserve">collateral_ratio_tranche_gold is: 0.8047905166944587
</t>
  </si>
  <si>
    <t xml:space="preserve"> 0.8047905166944587
</t>
  </si>
  <si>
    <t xml:space="preserve">collateral_ratio_tranche_tb is: 0.39781276071035554
</t>
  </si>
  <si>
    <t xml:space="preserve"> 0.39781276071035554
</t>
  </si>
  <si>
    <t xml:space="preserve">collateral_ratio_tranche_reit is: 0.2968424030811907
</t>
  </si>
  <si>
    <t xml:space="preserve"> 0.2968424030811907
</t>
  </si>
  <si>
    <t>Total plot size is: 150001772.28498787</t>
  </si>
  <si>
    <t xml:space="preserve"> plot size of gold is: 80001309.34367262</t>
  </si>
  <si>
    <t xml:space="preserve"> plot size of TB is: 40000536.96382715</t>
  </si>
  <si>
    <t xml:space="preserve"> plot size of REIT is: 29999925.977488097
</t>
  </si>
  <si>
    <t xml:space="preserve"> 29999925.977488097
</t>
  </si>
  <si>
    <t xml:space="preserve">collateral ratio is: 1.500012573954559
</t>
  </si>
  <si>
    <t xml:space="preserve"> 1.500012573954559
</t>
  </si>
  <si>
    <t>S_gtbcps_0 is: 1.000040277705829</t>
  </si>
  <si>
    <t xml:space="preserve">stdev_gtbcps is: 0.006301299528051715
</t>
  </si>
  <si>
    <t xml:space="preserve"> 0.006301299528051715
</t>
  </si>
  <si>
    <t>predicted price of GTBCPS is: 1.0000613289394054</t>
  </si>
  <si>
    <t xml:space="preserve"> actual price is: 1.000040277705829
</t>
  </si>
  <si>
    <t xml:space="preserve"> 1.000040277705829
</t>
  </si>
  <si>
    <t>predicted amount of GTBCPS is: 99995048.9330284</t>
  </si>
  <si>
    <t xml:space="preserve"> actual amount is: 99996315.63462546
</t>
  </si>
  <si>
    <t>plot sizes of gold is: 80001309.34367262</t>
  </si>
  <si>
    <t xml:space="preserve"> plot sizes of tb is: 40000536.96382715 </t>
  </si>
  <si>
    <t xml:space="preserve"> plot sizes of reit is: 29999925.977488097</t>
  </si>
  <si>
    <t xml:space="preserve"> plot sizes of total is: 150001772.28498787.
</t>
  </si>
  <si>
    <t xml:space="preserve"> 150001772.28498787.
</t>
  </si>
  <si>
    <t>predicted stdevs of gold is: 0.00587534389164906</t>
  </si>
  <si>
    <t xml:space="preserve"> predicted stdevs of tb is: 0.0006734032766247997</t>
  </si>
  <si>
    <t xml:space="preserve"> predicted stdevs of reit is: 0.014941183535192816</t>
  </si>
  <si>
    <t xml:space="preserve"> predicted stdevs of GTBCPS is: 0.006301299528051715.
</t>
  </si>
  <si>
    <t xml:space="preserve"> 0.006301299528051715.
</t>
  </si>
  <si>
    <t>total_value_of_collaterals is: 150002499.63378942</t>
  </si>
  <si>
    <t xml:space="preserve"> createdtionValue_gold is: -1013.4351494972498</t>
  </si>
  <si>
    <t xml:space="preserve"> createdValue_tb is: -506.7139117026356</t>
  </si>
  <si>
    <t xml:space="preserve"> createdValue_reit is: -380.02907639051796
</t>
  </si>
  <si>
    <t xml:space="preserve"> -380.02907639051796
</t>
  </si>
  <si>
    <t>plotValue_gold_after_creation is: 80002884.11981213</t>
  </si>
  <si>
    <t xml:space="preserve"> plotValue_tb_after_creation  is: 40001152.89069386</t>
  </si>
  <si>
    <t xml:space="preserve"> plotValue_reit_after_creation  is: 30000362.801421016</t>
  </si>
  <si>
    <t xml:space="preserve">total_value_after_creation is: 150004399.81192702
</t>
  </si>
  <si>
    <t xml:space="preserve"> 150004399.81192702
</t>
  </si>
  <si>
    <t>total_amount_gtncps_before_creation is: 99996315.63462546</t>
  </si>
  <si>
    <t>creation_amount_gtbcps is: -1266.7015970647335</t>
  </si>
  <si>
    <t xml:space="preserve">total_amount_gtbcps_new is: 99995048.9330284
</t>
  </si>
  <si>
    <t xml:space="preserve"> 99995048.9330284
</t>
  </si>
  <si>
    <t>payout of tranche of gold is: 561.3409900207747</t>
  </si>
  <si>
    <t xml:space="preserve"> payout of tranche of Treausry Bill Option is: 109.21295500245242</t>
  </si>
  <si>
    <t xml:space="preserve"> payout of tranche of Collar of REIT is: 56.79485652944004
</t>
  </si>
  <si>
    <t xml:space="preserve"> 56.79485652944004
</t>
  </si>
  <si>
    <t>Collateral size of tranche of gold is: 80002884.11981213</t>
  </si>
  <si>
    <t xml:space="preserve"> collateral size of tranche of Treausry Bill Option is: 40001152.89069386</t>
  </si>
  <si>
    <t xml:space="preserve"> collateral size of tranche of Collar of REIT is: 30000362.801421016
</t>
  </si>
  <si>
    <t xml:space="preserve"> 30000362.801421016
</t>
  </si>
  <si>
    <t>Collateral ratio of tranche of gold is: 0.8000092545506797</t>
  </si>
  <si>
    <t xml:space="preserve"> collateral ratio of tranche of Treausry Bill Option is: 0.40000173565401337</t>
  </si>
  <si>
    <t xml:space="preserve"> collateral ratio of tranche of Collar of REIT is: 0.2999962831973854
</t>
  </si>
  <si>
    <t xml:space="preserve"> 0.2999962831973854
</t>
  </si>
  <si>
    <t xml:space="preserve"> current price of reit option is: 4.134153803005617</t>
  </si>
  <si>
    <t xml:space="preserve"> predicted price of reit is: 83.5881963165109
</t>
  </si>
  <si>
    <t xml:space="preserve"> 83.5881963165109
</t>
  </si>
  <si>
    <t>value_ratio_gold_to_total is: -0.5097384773318804</t>
  </si>
  <si>
    <t xml:space="preserve"> risk_ratio_to_gold is: 0.7325831811570536</t>
  </si>
  <si>
    <t xml:space="preserve"> risk_ratio_to_gold_before is: 0.7340056980607553
</t>
  </si>
  <si>
    <t xml:space="preserve"> 0.7340056980607553
</t>
  </si>
  <si>
    <t>value_ratio_tb_to_total is: 0.745465147768019</t>
  </si>
  <si>
    <t xml:space="preserve"> risk_ratio_tb_to_gold is: 0.15678325195430673</t>
  </si>
  <si>
    <t xml:space="preserve"> risk_ratio_tb_to_gold_before is: 0.1547705472125863
</t>
  </si>
  <si>
    <t xml:space="preserve"> 0.1547705472125863
</t>
  </si>
  <si>
    <t>value_ratio_reit_to_total is: 0.7642733295638614</t>
  </si>
  <si>
    <t xml:space="preserve"> risk_ratio_reit_to_gold is: 0.2082494511178333</t>
  </si>
  <si>
    <t xml:space="preserve"> risk_ratio_reit_to_gold_before is: 0.20761669670391508
</t>
  </si>
  <si>
    <t xml:space="preserve"> 0.20761669670391508
</t>
  </si>
  <si>
    <t xml:space="preserve"> delta_reit is: 0.999868103066215
</t>
  </si>
  <si>
    <t xml:space="preserve"> 0.999868103066215
</t>
  </si>
  <si>
    <t>delta_gold_risk is: 0.99917963539261</t>
  </si>
  <si>
    <t xml:space="preserve"> delta_tb_risk is: 1.001742947762721</t>
  </si>
  <si>
    <t xml:space="preserve"> delta_reit_risk is: 1.0005239695804515
</t>
  </si>
  <si>
    <t xml:space="preserve"> 1.0005239695804515
</t>
  </si>
  <si>
    <t xml:space="preserve">collateral_ratio_tranche_gold is: 0.800666092675448
</t>
  </si>
  <si>
    <t xml:space="preserve"> 0.800666092675448
</t>
  </si>
  <si>
    <t xml:space="preserve">collateral_ratio_tranche_tb is: 0.3993057665615433
</t>
  </si>
  <si>
    <t xml:space="preserve"> 0.3993057665615433
</t>
  </si>
  <si>
    <t xml:space="preserve">collateral_ratio_tranche_reit is: 0.2997996287218039
</t>
  </si>
  <si>
    <t xml:space="preserve"> 0.2997996287218039
</t>
  </si>
  <si>
    <t>Total plot size is: 150000442.85606104</t>
  </si>
  <si>
    <t xml:space="preserve"> plot size of gold is: 80002884.11981213</t>
  </si>
  <si>
    <t xml:space="preserve"> plot size of TB is: 40001152.89069386</t>
  </si>
  <si>
    <t xml:space="preserve"> plot size of REIT is: 29996405.84555507
</t>
  </si>
  <si>
    <t xml:space="preserve"> 29996405.84555507
</t>
  </si>
  <si>
    <t xml:space="preserve">collateral ratio is: 1.499986705867805
</t>
  </si>
  <si>
    <t xml:space="preserve"> 1.499986705867805
</t>
  </si>
  <si>
    <t>S_gtbcps_0 is: 1.0000613289394054</t>
  </si>
  <si>
    <t>change_of_collaterals is: 2.220446049250313e-16</t>
  </si>
  <si>
    <t xml:space="preserve">stdev_gtbcps is: 0.0062902590239412165
</t>
  </si>
  <si>
    <t xml:space="preserve"> 0.0062902590239412165
</t>
  </si>
  <si>
    <t>predicted price of GTBCPS is: 1.0000675317905536</t>
  </si>
  <si>
    <t xml:space="preserve"> actual price is: 1.0000613289394054
</t>
  </si>
  <si>
    <t xml:space="preserve"> 1.0000613289394054
</t>
  </si>
  <si>
    <t>predicted amount of GTBCPS is: 99994428.72050838</t>
  </si>
  <si>
    <t xml:space="preserve"> actual amount is: 99995048.9330284
</t>
  </si>
  <si>
    <t>plot sizes of gold is: 80002884.11981213</t>
  </si>
  <si>
    <t xml:space="preserve"> plot sizes of tb is: 40001152.89069386 </t>
  </si>
  <si>
    <t xml:space="preserve"> plot sizes of reit is: 29996405.84555507</t>
  </si>
  <si>
    <t xml:space="preserve"> plot sizes of total is: 150000442.85606107.
</t>
  </si>
  <si>
    <t xml:space="preserve"> 150000442.85606107.
</t>
  </si>
  <si>
    <t>predicted stdevs of gold is: 0.0058293758032446855</t>
  </si>
  <si>
    <t xml:space="preserve"> predicted stdevs of tb is: 0.0006743642875652896</t>
  </si>
  <si>
    <t xml:space="preserve"> predicted stdevs of reit is: 0.015008445203060359</t>
  </si>
  <si>
    <t xml:space="preserve"> predicted stdevs of GTBCPS is: 0.0062902590239412165.
</t>
  </si>
  <si>
    <t xml:space="preserve"> 0.0062902590239412165.
</t>
  </si>
  <si>
    <t>total_value_of_collaterals is: 150000657.44707352</t>
  </si>
  <si>
    <t xml:space="preserve"> createdtionValue_gold is: -496.2165341546664</t>
  </si>
  <si>
    <t xml:space="preserve"> createdValue_tb is: -248.1061733538304</t>
  </si>
  <si>
    <t xml:space="preserve"> createdValue_reit is: -186.05198386227102
</t>
  </si>
  <si>
    <t xml:space="preserve"> -186.05198386227102
</t>
  </si>
  <si>
    <t>plotValue_gold_after_creation is: 80003539.12996785</t>
  </si>
  <si>
    <t xml:space="preserve"> plotValue_tb_after_creation  is: 40001432.000072934</t>
  </si>
  <si>
    <t xml:space="preserve"> plotValue_reit_after_creation  is: 29996616.6917241</t>
  </si>
  <si>
    <t xml:space="preserve">total_value_after_creation is: 150001587.8217649
</t>
  </si>
  <si>
    <t xml:space="preserve"> 150001587.8217649
</t>
  </si>
  <si>
    <t>total_amount_gtncps_before_creation is: 99995048.9330284</t>
  </si>
  <si>
    <t>creation_amount_gtbcps is: -620.21252001822</t>
  </si>
  <si>
    <t xml:space="preserve">total_amount_gtbcps_new is: 99994428.72050838
</t>
  </si>
  <si>
    <t xml:space="preserve"> 99994428.72050838
</t>
  </si>
  <si>
    <t>payout of tranche of gold is: 158.79362156506426</t>
  </si>
  <si>
    <t xml:space="preserve"> payout of tranche of Treausry Bill Option is: 31.003205726632867</t>
  </si>
  <si>
    <t xml:space="preserve"> payout of tranche of Collar of REIT is: 24.794185167032097
</t>
  </si>
  <si>
    <t xml:space="preserve"> 24.794185167032097
</t>
  </si>
  <si>
    <t>Collateral size of tranche of gold is: 80003539.12996785</t>
  </si>
  <si>
    <t xml:space="preserve"> collateral size of tranche of Treausry Bill Option is: 40001432.000072934</t>
  </si>
  <si>
    <t xml:space="preserve"> collateral size of tranche of Collar of REIT is: 29996616.6917241
</t>
  </si>
  <si>
    <t xml:space="preserve"> 29996616.6917241
</t>
  </si>
  <si>
    <t>Collateral ratio of tranche of gold is: 0.8000209766998903</t>
  </si>
  <si>
    <t xml:space="preserve"> collateral ratio of tranche of Treausry Bill Option is: 0.40000711276165585</t>
  </si>
  <si>
    <t xml:space="preserve"> collateral ratio of tranche of Collar of REIT is: 0.29996076229102925
</t>
  </si>
  <si>
    <t xml:space="preserve"> 0.29996076229102925
</t>
  </si>
  <si>
    <t xml:space="preserve"> current price of reit option is: 4.12065226683535</t>
  </si>
  <si>
    <t xml:space="preserve"> predicted price of reit is: 83.58484840759662
</t>
  </si>
  <si>
    <t xml:space="preserve"> 83.58484840759662
</t>
  </si>
  <si>
    <t>value_ratio_gold_to_total is: -0.5111625445606967</t>
  </si>
  <si>
    <t xml:space="preserve"> risk_ratio_to_gold is: 0.7320987010329427</t>
  </si>
  <si>
    <t xml:space="preserve"> risk_ratio_to_gold_before is: 0.7325831811570536
</t>
  </si>
  <si>
    <t xml:space="preserve"> 0.7325831811570536
</t>
  </si>
  <si>
    <t>value_ratio_tb_to_total is: 0.7475477696111213</t>
  </si>
  <si>
    <t xml:space="preserve"> risk_ratio_tb_to_gold is: 0.15704544156069217</t>
  </si>
  <si>
    <t xml:space="preserve"> risk_ratio_tb_to_gold_before is: 0.15678325195430673
</t>
  </si>
  <si>
    <t xml:space="preserve"> 0.15678325195430673
</t>
  </si>
  <si>
    <t>value_ratio_reit_to_total is: 0.7636147749495753</t>
  </si>
  <si>
    <t xml:space="preserve"> risk_ratio_reit_to_gold is: 0.2088905976496854</t>
  </si>
  <si>
    <t xml:space="preserve"> risk_ratio_reit_to_gold_before is: 0.2082494511178333
</t>
  </si>
  <si>
    <t xml:space="preserve"> 0.2082494511178333
</t>
  </si>
  <si>
    <t xml:space="preserve"> delta_reit is: 0.9998452264900654
</t>
  </si>
  <si>
    <t xml:space="preserve"> 0.9998452264900654
</t>
  </si>
  <si>
    <t>delta_gold_risk is: 0.9997203712183174</t>
  </si>
  <si>
    <t xml:space="preserve"> delta_tb_risk is: 1.000226654047716</t>
  </si>
  <si>
    <t xml:space="preserve"> delta_reit_risk is: 1.000530640863324
</t>
  </si>
  <si>
    <t xml:space="preserve"> 1.000530640863324
</t>
  </si>
  <si>
    <t xml:space="preserve">collateral_ratio_tranche_gold is: 0.8002447481638673
</t>
  </si>
  <si>
    <t xml:space="preserve"> 0.8002447481638673
</t>
  </si>
  <si>
    <t xml:space="preserve">collateral_ratio_tranche_tb is: 0.399916470074965
</t>
  </si>
  <si>
    <t xml:space="preserve"> 0.399916470074965
</t>
  </si>
  <si>
    <t xml:space="preserve">collateral_ratio_tranche_reit is: 0.2997552739136713
</t>
  </si>
  <si>
    <t xml:space="preserve"> 0.2997552739136713
</t>
  </si>
  <si>
    <t>Total plot size is: 149996945.14011335</t>
  </si>
  <si>
    <t xml:space="preserve"> plot size of gold is: 80003539.12996785</t>
  </si>
  <si>
    <t xml:space="preserve"> plot size of TB is: 40001432.000072934</t>
  </si>
  <si>
    <t xml:space="preserve"> plot size of REIT is: 29991974.010072555
</t>
  </si>
  <si>
    <t xml:space="preserve"> 29991974.010072555
</t>
  </si>
  <si>
    <t xml:space="preserve">collateral ratio is: 1.4999517291215863
</t>
  </si>
  <si>
    <t xml:space="preserve"> 1.4999517291215863
</t>
  </si>
  <si>
    <t>S_gtbcps_0 is: 1.0000675317905536</t>
  </si>
  <si>
    <t xml:space="preserve">stdev_gtbcps is: 0.0063153324800331355
</t>
  </si>
  <si>
    <t xml:space="preserve"> 0.0063153324800331355
</t>
  </si>
  <si>
    <t>predicted price of GTBCPS is: 1.0000893393609434</t>
  </si>
  <si>
    <t xml:space="preserve"> actual price is: 1.0000675317905536
</t>
  </si>
  <si>
    <t xml:space="preserve"> 1.0000675317905536
</t>
  </si>
  <si>
    <t>predicted amount of GTBCPS is: 99992248.27976467</t>
  </si>
  <si>
    <t xml:space="preserve"> actual amount is: 99994428.72050838
</t>
  </si>
  <si>
    <t>plot sizes of gold is: 80003539.12996785</t>
  </si>
  <si>
    <t xml:space="preserve"> plot sizes of tb is: 40001432.000072934 </t>
  </si>
  <si>
    <t xml:space="preserve"> plot sizes of reit is: 29991974.010072555</t>
  </si>
  <si>
    <t xml:space="preserve"> plot sizes of total is: 149996945.14011335.
</t>
  </si>
  <si>
    <t xml:space="preserve"> 149996945.14011335.
</t>
  </si>
  <si>
    <t>predicted stdevs of gold is: 0.00584609005269181</t>
  </si>
  <si>
    <t xml:space="preserve"> predicted stdevs of tb is: 0.0006768044794958062</t>
  </si>
  <si>
    <t xml:space="preserve"> predicted stdevs of reit is: 0.015087354261690031</t>
  </si>
  <si>
    <t xml:space="preserve"> predicted stdevs of GTBCPS is: 0.0063153324800331355.
</t>
  </si>
  <si>
    <t xml:space="preserve"> 0.0063153324800331355.
</t>
  </si>
  <si>
    <t>total_value_of_collaterals is: 149997699.72231454</t>
  </si>
  <si>
    <t xml:space="preserve"> createdtionValue_gold is: -1744.5771715280907</t>
  </si>
  <si>
    <t xml:space="preserve"> createdValue_tb is: -872.2775180046987</t>
  </si>
  <si>
    <t xml:space="preserve"> createdValue_reit is: -654.0098181131041
</t>
  </si>
  <si>
    <t xml:space="preserve"> -654.0098181131041
</t>
  </si>
  <si>
    <t>plotValue_gold_after_creation is: 80005841.99715714</t>
  </si>
  <si>
    <t xml:space="preserve"> plotValue_tb_after_creation  is: 40002413.43409819</t>
  </si>
  <si>
    <t xml:space="preserve"> plotValue_reit_after_creation  is: 29992715.155566838</t>
  </si>
  <si>
    <t xml:space="preserve">total_value_after_creation is: 150000970.58682218
</t>
  </si>
  <si>
    <t xml:space="preserve"> 150000970.58682218
</t>
  </si>
  <si>
    <t>total_amount_gtncps_before_creation is: 99994428.72050838</t>
  </si>
  <si>
    <t>creation_amount_gtbcps is: -2180.440743714571</t>
  </si>
  <si>
    <t xml:space="preserve">total_amount_gtbcps_new is: 99992248.27976467
</t>
  </si>
  <si>
    <t xml:space="preserve"> 99992248.27976467
</t>
  </si>
  <si>
    <t>payout of tranche of gold is: 558.2900177500376</t>
  </si>
  <si>
    <t xml:space="preserve"> payout of tranche of Treausry Bill Option is: 109.15650725460492</t>
  </si>
  <si>
    <t xml:space="preserve"> payout of tranche of Collar of REIT is: 87.1356761670949
</t>
  </si>
  <si>
    <t xml:space="preserve"> 87.1356761670949
</t>
  </si>
  <si>
    <t>Collateral size of tranche of gold is: 80005841.99715714</t>
  </si>
  <si>
    <t xml:space="preserve"> collateral size of tranche of Treausry Bill Option is: 40002413.43409819</t>
  </si>
  <si>
    <t xml:space="preserve"> collateral size of tranche of Collar of REIT is: 29992715.155566838
</t>
  </si>
  <si>
    <t xml:space="preserve"> 29992715.155566838
</t>
  </si>
  <si>
    <t>Collateral ratio of tranche of gold is: 0.8000315216408184</t>
  </si>
  <si>
    <t xml:space="preserve"> collateral ratio of tranche of Treausry Bill Option is: 0.40001068534625095</t>
  </si>
  <si>
    <t xml:space="preserve"> collateral ratio of tranche of Collar of REIT is: 0.29991706786737393
</t>
  </si>
  <si>
    <t xml:space="preserve"> 0.29991706786737393
</t>
  </si>
  <si>
    <t xml:space="preserve"> current price of reit option is: 4.106934042499077</t>
  </si>
  <si>
    <t xml:space="preserve"> predicted price of reit is: 83.4873490616179
</t>
  </si>
  <si>
    <t xml:space="preserve"> 83.4873490616179
</t>
  </si>
  <si>
    <t>value_ratio_gold_to_total is: -0.5207656839852643</t>
  </si>
  <si>
    <t xml:space="preserve"> risk_ratio_to_gold is: 0.7318522955796436</t>
  </si>
  <si>
    <t xml:space="preserve"> risk_ratio_to_gold_before is: 0.7320987010329427
</t>
  </si>
  <si>
    <t xml:space="preserve"> 0.7320987010329427
</t>
  </si>
  <si>
    <t>value_ratio_tb_to_total is: 0.7615918452862471</t>
  </si>
  <si>
    <t xml:space="preserve"> risk_ratio_tb_to_gold is: 0.15681295529115602</t>
  </si>
  <si>
    <t xml:space="preserve"> risk_ratio_tb_to_gold_before is: 0.15704544156069217
</t>
  </si>
  <si>
    <t xml:space="preserve"> 0.15704544156069217
</t>
  </si>
  <si>
    <t>value_ratio_reit_to_total is: 0.7591738386990173</t>
  </si>
  <si>
    <t xml:space="preserve"> risk_ratio_reit_to_gold is: 0.20958297738536505</t>
  </si>
  <si>
    <t xml:space="preserve"> risk_ratio_reit_to_gold_before is: 0.2088905976496854
</t>
  </si>
  <si>
    <t xml:space="preserve"> 0.2088905976496854
</t>
  </si>
  <si>
    <t xml:space="preserve"> delta_reit is: 0.9998427181638782
</t>
  </si>
  <si>
    <t xml:space="preserve"> 0.9998427181638782
</t>
  </si>
  <si>
    <t>delta_gold_risk is: 0.9998577416788361</t>
  </si>
  <si>
    <t xml:space="preserve"> delta_tb_risk is: 0.9997990690242705</t>
  </si>
  <si>
    <t xml:space="preserve"> delta_reit_risk is: 1.0005727397806103
</t>
  </si>
  <si>
    <t xml:space="preserve"> 1.0005727397806103
</t>
  </si>
  <si>
    <t xml:space="preserve">collateral_ratio_tranche_gold is: 0.8001453489748506
</t>
  </si>
  <si>
    <t xml:space="preserve"> 0.8001453489748506
</t>
  </si>
  <si>
    <t xml:space="preserve">collateral_ratio_tranche_tb is: 0.4000910760365396
</t>
  </si>
  <si>
    <t xml:space="preserve"> 0.4000910760365396
</t>
  </si>
  <si>
    <t xml:space="preserve">collateral_ratio_tranche_reit is: 0.2996982472518751
</t>
  </si>
  <si>
    <t xml:space="preserve"> 0.2996982472518751
</t>
  </si>
  <si>
    <t>Total plot size is: 149996253.27751222</t>
  </si>
  <si>
    <t xml:space="preserve"> plot size of gold is: 80005841.99715714</t>
  </si>
  <si>
    <t xml:space="preserve"> plot size of TB is: 40002413.43409819</t>
  </si>
  <si>
    <t xml:space="preserve"> plot size of REIT is: 29987997.84625689
</t>
  </si>
  <si>
    <t xml:space="preserve"> 29987997.84625689
</t>
  </si>
  <si>
    <t xml:space="preserve">collateral ratio is: 1.4999448105773192
</t>
  </si>
  <si>
    <t xml:space="preserve"> 1.4999448105773192
</t>
  </si>
  <si>
    <t>S_gtbcps_0 is: 1.0000893393609434</t>
  </si>
  <si>
    <t xml:space="preserve">stdev_gtbcps is: 0.006329128807065502
</t>
  </si>
  <si>
    <t xml:space="preserve"> 0.006329128807065502
</t>
  </si>
  <si>
    <t>predicted price of GTBCPS is: 1.0000975741866487</t>
  </si>
  <si>
    <t xml:space="preserve"> actual price is: 1.0000893393609434
</t>
  </si>
  <si>
    <t xml:space="preserve"> 1.0000893393609434
</t>
  </si>
  <si>
    <t>predicted amount of GTBCPS is: 99991424.94136477</t>
  </si>
  <si>
    <t xml:space="preserve"> actual amount is: 99992248.27976467
</t>
  </si>
  <si>
    <t>plot sizes of gold is: 80005841.99715714</t>
  </si>
  <si>
    <t xml:space="preserve"> plot sizes of tb is: 40002413.43409819 </t>
  </si>
  <si>
    <t xml:space="preserve"> plot sizes of reit is: 29987997.84625689</t>
  </si>
  <si>
    <t xml:space="preserve"> plot sizes of total is: 149996253.27751222.
</t>
  </si>
  <si>
    <t xml:space="preserve"> 149996253.27751222.
</t>
  </si>
  <si>
    <t>predicted stdevs of gold is: 0.005842330504060716</t>
  </si>
  <si>
    <t xml:space="preserve"> predicted stdevs of tb is: 0.0006769956697712823</t>
  </si>
  <si>
    <t xml:space="preserve"> predicted stdevs of reit is: 0.015167520620221447</t>
  </si>
  <si>
    <t xml:space="preserve"> predicted stdevs of GTBCPS is: 0.006329128807065502.
</t>
  </si>
  <si>
    <t xml:space="preserve"> 0.006329128807065502.
</t>
  </si>
  <si>
    <t>total_value_of_collaterals is: 149996538.2331759</t>
  </si>
  <si>
    <t xml:space="preserve"> createdtionValue_gold is: -658.7770456557449</t>
  </si>
  <si>
    <t xml:space="preserve"> createdValue_tb is: -329.3838150687735</t>
  </si>
  <si>
    <t xml:space="preserve"> createdValue_reit is: -246.92414633643335
</t>
  </si>
  <si>
    <t xml:space="preserve"> -246.92414633643335
</t>
  </si>
  <si>
    <t>plotValue_gold_after_creation is: 80006711.60006733</t>
  </si>
  <si>
    <t xml:space="preserve"> plotValue_tb_after_creation  is: 40002784.05527268</t>
  </si>
  <si>
    <t xml:space="preserve"> plotValue_reit_after_creation  is: 29988277.66284295</t>
  </si>
  <si>
    <t xml:space="preserve">total_value_after_creation is: 149997773.31818298
</t>
  </si>
  <si>
    <t xml:space="preserve"> 149997773.31818298
</t>
  </si>
  <si>
    <t>total_amount_gtncps_before_creation is: 99992248.27976467</t>
  </si>
  <si>
    <t>creation_amount_gtbcps is: -823.3383999019861</t>
  </si>
  <si>
    <t xml:space="preserve">total_amount_gtbcps_new is: 99991424.94136477
</t>
  </si>
  <si>
    <t xml:space="preserve"> 99991424.94136477
</t>
  </si>
  <si>
    <t>payout of tranche of gold is: 210.82586453390158</t>
  </si>
  <si>
    <t xml:space="preserve"> payout of tranche of Treausry Bill Option is: 41.237359421149996</t>
  </si>
  <si>
    <t xml:space="preserve"> payout of tranche of Collar of REIT is: 32.8924397277303
</t>
  </si>
  <si>
    <t xml:space="preserve"> 32.8924397277303
</t>
  </si>
  <si>
    <t>Collateral size of tranche of gold is: 80006711.60006733</t>
  </si>
  <si>
    <t xml:space="preserve"> collateral size of tranche of Treausry Bill Option is: 40002784.05527268</t>
  </si>
  <si>
    <t xml:space="preserve"> collateral size of tranche of Collar of REIT is: 29988277.66284295
</t>
  </si>
  <si>
    <t xml:space="preserve"> 29988277.66284295
</t>
  </si>
  <si>
    <t>Collateral ratio of tranche of gold is: 0.8000510754401464</t>
  </si>
  <si>
    <t xml:space="preserve"> collateral ratio of tranche of Treausry Bill Option is: 0.40001982038709255</t>
  </si>
  <si>
    <t xml:space="preserve"> collateral ratio of tranche of Collar of REIT is: 0.2998767642730492
</t>
  </si>
  <si>
    <t xml:space="preserve"> 0.2998767642730492
</t>
  </si>
  <si>
    <t xml:space="preserve"> current price of reit option is: 4.093220905393622</t>
  </si>
  <si>
    <t xml:space="preserve"> predicted price of reit is: 83.56653183204033
</t>
  </si>
  <si>
    <t xml:space="preserve"> 83.56653183204033
</t>
  </si>
  <si>
    <t>value_ratio_gold_to_total is: -0.5150694670293109</t>
  </si>
  <si>
    <t xml:space="preserve"> risk_ratio_to_gold is: 0.7322954594301014</t>
  </si>
  <si>
    <t xml:space="preserve"> risk_ratio_to_gold_before is: 0.7318522955796436
</t>
  </si>
  <si>
    <t xml:space="preserve"> 0.7318522955796436
</t>
  </si>
  <si>
    <t>value_ratio_tb_to_total is: 0.7532614339015403</t>
  </si>
  <si>
    <t xml:space="preserve"> risk_ratio_tb_to_gold is: 0.1566110144913565</t>
  </si>
  <si>
    <t xml:space="preserve"> risk_ratio_tb_to_gold_before is: 0.15681295529115602
</t>
  </si>
  <si>
    <t xml:space="preserve"> 0.15681295529115602
</t>
  </si>
  <si>
    <t>value_ratio_reit_to_total is: 0.7618080331277706</t>
  </si>
  <si>
    <t xml:space="preserve"> risk_ratio_reit_to_gold is: 0.2089580152254684</t>
  </si>
  <si>
    <t xml:space="preserve"> risk_ratio_reit_to_gold_before is: 0.20958297738536505
</t>
  </si>
  <si>
    <t xml:space="preserve"> 0.20958297738536505
</t>
  </si>
  <si>
    <t xml:space="preserve"> delta_reit is: 0.999842751757575
</t>
  </si>
  <si>
    <t xml:space="preserve"> 0.999842751757575
</t>
  </si>
  <si>
    <t>delta_gold_risk is: 1.000255890096164</t>
  </si>
  <si>
    <t xml:space="preserve"> delta_tb_risk is: 0.9998254334904568</t>
  </si>
  <si>
    <t xml:space="preserve"> delta_reit_risk is: 0.9994833242765638
</t>
  </si>
  <si>
    <t xml:space="preserve"> 0.9994833242765638
</t>
  </si>
  <si>
    <t xml:space="preserve">collateral_ratio_tranche_gold is: 0.7998464026672515
</t>
  </si>
  <si>
    <t xml:space="preserve"> 0.7998464026672515
</t>
  </si>
  <si>
    <t xml:space="preserve">collateral_ratio_tranche_tb is: 0.40008966264300444
</t>
  </si>
  <si>
    <t xml:space="preserve"> 0.40008966264300444
</t>
  </si>
  <si>
    <t xml:space="preserve">collateral_ratio_tranche_reit is: 0.2999846039411842
</t>
  </si>
  <si>
    <t xml:space="preserve"> 0.2999846039411842
</t>
  </si>
  <si>
    <t>Total plot size is: 149993057.71422714</t>
  </si>
  <si>
    <t xml:space="preserve"> plot size of gold is: 80006711.60006733</t>
  </si>
  <si>
    <t xml:space="preserve"> plot size of TB is: 40002784.05527268</t>
  </si>
  <si>
    <t xml:space="preserve"> plot size of REIT is: 29983562.058887117
</t>
  </si>
  <si>
    <t xml:space="preserve"> 29983562.058887117
</t>
  </si>
  <si>
    <t xml:space="preserve">collateral ratio is: 1.4999128553220271
</t>
  </si>
  <si>
    <t xml:space="preserve"> 1.4999128553220271
</t>
  </si>
  <si>
    <t>S_gtbcps_0 is: 1.0000975741866487</t>
  </si>
  <si>
    <t xml:space="preserve">stdev_gtbcps is: 0.006362348289729199
</t>
  </si>
  <si>
    <t xml:space="preserve"> 0.006362348289729199
</t>
  </si>
  <si>
    <t>predicted price of GTBCPS is: 1.0001090219332176</t>
  </si>
  <si>
    <t xml:space="preserve"> actual price is: 1.0000975741866487
</t>
  </si>
  <si>
    <t xml:space="preserve"> 1.0000975741866487
</t>
  </si>
  <si>
    <t>predicted amount of GTBCPS is: 99990280.38965422</t>
  </si>
  <si>
    <t xml:space="preserve"> actual amount is: 99991424.94136477
</t>
  </si>
  <si>
    <t>plot sizes of gold is: 80006711.60006733</t>
  </si>
  <si>
    <t xml:space="preserve"> plot sizes of tb is: 40002784.05527268 </t>
  </si>
  <si>
    <t xml:space="preserve"> plot sizes of reit is: 29983562.058887117</t>
  </si>
  <si>
    <t xml:space="preserve"> plot sizes of total is: 149993057.71422714.
</t>
  </si>
  <si>
    <t xml:space="preserve"> 149993057.71422714.
</t>
  </si>
  <si>
    <t>predicted stdevs of gold is: 0.005874286379639886</t>
  </si>
  <si>
    <t xml:space="preserve"> predicted stdevs of tb is: 0.0006786261684181077</t>
  </si>
  <si>
    <t xml:space="preserve"> predicted stdevs of reit is: 0.015247648061959333</t>
  </si>
  <si>
    <t xml:space="preserve"> predicted stdevs of GTBCPS is: 0.006362348289729199.
</t>
  </si>
  <si>
    <t xml:space="preserve"> 0.006362348289729199.
</t>
  </si>
  <si>
    <t>total_value_of_collaterals is: 149993453.88134027</t>
  </si>
  <si>
    <t xml:space="preserve"> createdtionValue_gold is: -915.8105538177335</t>
  </si>
  <si>
    <t xml:space="preserve"> createdValue_tb is: -457.8977111627272</t>
  </si>
  <si>
    <t xml:space="preserve"> createdValue_reit is: -343.21125501276407
</t>
  </si>
  <si>
    <t xml:space="preserve"> -343.21125501276407
</t>
  </si>
  <si>
    <t>plotValue_gold_after_creation is: 80007920.48870377</t>
  </si>
  <si>
    <t xml:space="preserve"> plotValue_tb_after_creation  is: 40003299.27837694</t>
  </si>
  <si>
    <t xml:space="preserve"> plotValue_reit_after_creation  is: 29983951.03377956</t>
  </si>
  <si>
    <t xml:space="preserve">total_value_after_creation is: 149995170.8008603
</t>
  </si>
  <si>
    <t xml:space="preserve"> 149995170.8008603
</t>
  </si>
  <si>
    <t>total_amount_gtncps_before_creation is: 99991424.94136477</t>
  </si>
  <si>
    <t>creation_amount_gtbcps is: -1144.5517105460167</t>
  </si>
  <si>
    <t xml:space="preserve">total_amount_gtbcps_new is: 99990280.38965422
</t>
  </si>
  <si>
    <t xml:space="preserve"> 99990280.38965422
</t>
  </si>
  <si>
    <t>payout of tranche of gold is: 293.07808261767894</t>
  </si>
  <si>
    <t xml:space="preserve"> payout of tranche of Treausry Bill Option is: 57.32539309158011</t>
  </si>
  <si>
    <t xml:space="preserve"> payout of tranche of Collar of REIT is: 45.76363742995994
</t>
  </si>
  <si>
    <t xml:space="preserve"> 45.76363742995994
</t>
  </si>
  <si>
    <t>Collateral size of tranche of gold is: 80007920.48870377</t>
  </si>
  <si>
    <t xml:space="preserve"> collateral size of tranche of Treausry Bill Option is: 40003299.27837694</t>
  </si>
  <si>
    <t xml:space="preserve"> collateral size of tranche of Collar of REIT is: 29983951.03377956
</t>
  </si>
  <si>
    <t xml:space="preserve"> 29983951.03377956
</t>
  </si>
  <si>
    <t>Collateral ratio of tranche of gold is: 0.8000605938789666</t>
  </si>
  <si>
    <t xml:space="preserve"> collateral ratio of tranche of Treausry Bill Option is: 0.4000236874334841</t>
  </si>
  <si>
    <t xml:space="preserve"> collateral ratio of tranche of Collar of REIT is: 0.2998325356339002
</t>
  </si>
  <si>
    <t xml:space="preserve"> 0.2998325356339002
</t>
  </si>
  <si>
    <t xml:space="preserve"> current price of reit option is: 4.079283621745617</t>
  </si>
  <si>
    <t xml:space="preserve"> predicted price of reit is: 83.79850473931644
</t>
  </si>
  <si>
    <t xml:space="preserve"> 83.79850473931644
</t>
  </si>
  <si>
    <t>value_ratio_gold_to_total is: -0.49696613539618284</t>
  </si>
  <si>
    <t xml:space="preserve"> risk_ratio_to_gold is: 0.7311614817074739</t>
  </si>
  <si>
    <t xml:space="preserve"> risk_ratio_to_gold_before is: 0.7322954594301014
</t>
  </si>
  <si>
    <t xml:space="preserve"> 0.7322954594301014
</t>
  </si>
  <si>
    <t>value_ratio_tb_to_total is: 0.7267862836212984</t>
  </si>
  <si>
    <t xml:space="preserve"> risk_ratio_tb_to_gold is: 0.1581868056808531</t>
  </si>
  <si>
    <t xml:space="preserve"> risk_ratio_tb_to_gold_before is: 0.1566110144913565
</t>
  </si>
  <si>
    <t xml:space="preserve"> 0.1566110144913565
</t>
  </si>
  <si>
    <t>value_ratio_reit_to_total is: 0.7701798517748845</t>
  </si>
  <si>
    <t xml:space="preserve"> risk_ratio_reit_to_gold is: 0.20950012124083087</t>
  </si>
  <si>
    <t xml:space="preserve"> risk_ratio_reit_to_gold_before is: 0.2089580152254684
</t>
  </si>
  <si>
    <t xml:space="preserve"> 0.2089580152254684
</t>
  </si>
  <si>
    <t xml:space="preserve"> delta_reit is: 0.999840156338953
</t>
  </si>
  <si>
    <t xml:space="preserve"> 0.999840156338953
</t>
  </si>
  <si>
    <t>delta_gold_risk is: 0.9993453901201123</t>
  </si>
  <si>
    <t xml:space="preserve"> delta_tb_risk is: 1.0013624210471397</t>
  </si>
  <si>
    <t xml:space="preserve"> delta_reit_risk is: 1.0004484076440499
</t>
  </si>
  <si>
    <t xml:space="preserve"> 1.0004484076440499
</t>
  </si>
  <si>
    <t xml:space="preserve">collateral_ratio_tranche_gold is: 0.8005846645100415
</t>
  </si>
  <si>
    <t xml:space="preserve"> 0.8005846645100415
</t>
  </si>
  <si>
    <t xml:space="preserve">collateral_ratio_tranche_tb is: 0.3994794282525335
</t>
  </si>
  <si>
    <t xml:space="preserve"> 0.3994794282525335
</t>
  </si>
  <si>
    <t xml:space="preserve">collateral_ratio_tranche_reit is: 0.2996502438438225
</t>
  </si>
  <si>
    <t xml:space="preserve"> 0.2996502438438225
</t>
  </si>
  <si>
    <t>Total plot size is: 149990378.05635437</t>
  </si>
  <si>
    <t xml:space="preserve"> plot size of gold is: 80007920.48870377</t>
  </si>
  <si>
    <t xml:space="preserve"> plot size of TB is: 40003299.27837694</t>
  </si>
  <si>
    <t xml:space="preserve"> plot size of REIT is: 29979158.289273668
</t>
  </si>
  <si>
    <t xml:space="preserve"> 29979158.289273668
</t>
  </si>
  <si>
    <t xml:space="preserve">collateral ratio is: 1.4998860590599035
</t>
  </si>
  <si>
    <t xml:space="preserve"> 1.4998860590599035
</t>
  </si>
  <si>
    <t>S_gtbcps_0 is: 1.0001090219332176</t>
  </si>
  <si>
    <t xml:space="preserve">stdev_gtbcps is: 0.006356749575601841
</t>
  </si>
  <si>
    <t xml:space="preserve"> 0.006356749575601841
</t>
  </si>
  <si>
    <t>predicted price of GTBCPS is: 1.0000926489185469</t>
  </si>
  <si>
    <t xml:space="preserve"> actual price is: 1.0001090219332176
</t>
  </si>
  <si>
    <t xml:space="preserve"> 1.0001090219332176
</t>
  </si>
  <si>
    <t>predicted amount of GTBCPS is: 99991917.38031656</t>
  </si>
  <si>
    <t xml:space="preserve"> actual amount is: 99990280.38965422
</t>
  </si>
  <si>
    <t>plot sizes of gold is: 80007920.48870377</t>
  </si>
  <si>
    <t xml:space="preserve"> plot sizes of tb is: 40003299.27837694 </t>
  </si>
  <si>
    <t xml:space="preserve"> plot sizes of reit is: 29979158.289273668</t>
  </si>
  <si>
    <t xml:space="preserve"> plot sizes of total is: 149990378.05635437.
</t>
  </si>
  <si>
    <t xml:space="preserve"> 149990378.05635437.
</t>
  </si>
  <si>
    <t>predicted stdevs of gold is: 0.005833671280720594</t>
  </si>
  <si>
    <t xml:space="preserve"> predicted stdevs of tb is: 0.0006789083522954723</t>
  </si>
  <si>
    <t xml:space="preserve"> predicted stdevs of reit is: 0.015329075807772815</t>
  </si>
  <si>
    <t xml:space="preserve"> predicted stdevs of GTBCPS is: 0.006356749575601841.
</t>
  </si>
  <si>
    <t xml:space="preserve"> 0.006356749575601841.
</t>
  </si>
  <si>
    <t>total_value_of_collaterals is: 149989811.58113486</t>
  </si>
  <si>
    <t xml:space="preserve"> createdtionValue_gold is: 1309.8209074577617</t>
  </si>
  <si>
    <t xml:space="preserve"> createdValue_tb is: 654.9018108809782</t>
  </si>
  <si>
    <t xml:space="preserve"> createdValue_reit is: 490.79496185567234
</t>
  </si>
  <si>
    <t xml:space="preserve"> 490.79496185567234
</t>
  </si>
  <si>
    <t>plotValue_gold_after_creation is: 80006174.0181282</t>
  </si>
  <si>
    <t xml:space="preserve"> plotValue_tb_after_creation  is: 40002559.08865194</t>
  </si>
  <si>
    <t xml:space="preserve"> plotValue_reit_after_creation  is: 29978622.956674524</t>
  </si>
  <si>
    <t xml:space="preserve">total_value_after_creation is: 149987356.06345466
</t>
  </si>
  <si>
    <t xml:space="preserve"> 149987356.06345466
</t>
  </si>
  <si>
    <t>total_amount_gtncps_before_creation is: 99990280.38965422</t>
  </si>
  <si>
    <t>creation_amount_gtbcps is: 1636.9906623363495</t>
  </si>
  <si>
    <t xml:space="preserve">total_amount_gtbcps_new is: 99991917.38031656
</t>
  </si>
  <si>
    <t xml:space="preserve"> 99991917.38031656
</t>
  </si>
  <si>
    <t>payout of tranche of gold is: -436.6496681144435</t>
  </si>
  <si>
    <t xml:space="preserve"> payout of tranche of Treausry Bill Option is: -85.28791410878408</t>
  </si>
  <si>
    <t xml:space="preserve"> payout of tranche of Collar of REIT is: -44.53763728859356
</t>
  </si>
  <si>
    <t xml:space="preserve"> -44.53763728859356
</t>
  </si>
  <si>
    <t>Collateral size of tranche of gold is: 80006174.0181282</t>
  </si>
  <si>
    <t xml:space="preserve"> collateral size of tranche of Treausry Bill Option is: 40002559.08865194</t>
  </si>
  <si>
    <t xml:space="preserve"> collateral size of tranche of Collar of REIT is: 29978622.956674524
</t>
  </si>
  <si>
    <t xml:space="preserve"> 29978622.956674524
</t>
  </si>
  <si>
    <t>Collateral ratio of tranche of gold is: 0.8000653854312104</t>
  </si>
  <si>
    <t xml:space="preserve"> collateral ratio of tranche of Treausry Bill Option is: 0.4000274134874304</t>
  </si>
  <si>
    <t xml:space="preserve"> collateral ratio of tranche of Collar of REIT is: 0.2997875954559972
</t>
  </si>
  <si>
    <t xml:space="preserve"> 0.2997875954559972
</t>
  </si>
  <si>
    <t xml:space="preserve"> current price of reit option is: 4.1319592341728395</t>
  </si>
  <si>
    <t xml:space="preserve"> predicted price of reit is: 83.81458637710358
</t>
  </si>
  <si>
    <t xml:space="preserve"> 83.81458637710358
</t>
  </si>
  <si>
    <t>value_ratio_gold_to_total is: -0.4915183067048674</t>
  </si>
  <si>
    <t xml:space="preserve"> risk_ratio_to_gold is: 0.7312323447920818</t>
  </si>
  <si>
    <t xml:space="preserve"> risk_ratio_to_gold_before is: 0.7311614817074739
</t>
  </si>
  <si>
    <t xml:space="preserve"> 0.7311614817074739
</t>
  </si>
  <si>
    <t>value_ratio_tb_to_total is: 0.7188191267340184</t>
  </si>
  <si>
    <t xml:space="preserve"> risk_ratio_tb_to_gold is: 0.1586838134730429</t>
  </si>
  <si>
    <t xml:space="preserve"> risk_ratio_tb_to_gold_before is: 0.1581868056808531
</t>
  </si>
  <si>
    <t xml:space="preserve"> 0.1581868056808531
</t>
  </si>
  <si>
    <t>value_ratio_reit_to_total is: 0.772699179970849</t>
  </si>
  <si>
    <t xml:space="preserve"> risk_ratio_reit_to_gold is: 0.20887057210920268</t>
  </si>
  <si>
    <t xml:space="preserve"> risk_ratio_reit_to_gold_before is: 0.20950012124083087
</t>
  </si>
  <si>
    <t xml:space="preserve"> 0.20950012124083087
</t>
  </si>
  <si>
    <t xml:space="preserve"> delta_reit is: 1.000604221671008
</t>
  </si>
  <si>
    <t xml:space="preserve"> 1.000604221671008
</t>
  </si>
  <si>
    <t>delta_gold_risk is: 1.0000409338385567</t>
  </si>
  <si>
    <t xml:space="preserve"> delta_tb_risk is: 1.0004291257591194</t>
  </si>
  <si>
    <t xml:space="preserve"> delta_reit_risk is: 0.9994794964294983
</t>
  </si>
  <si>
    <t xml:space="preserve"> 0.9994794964294983
</t>
  </si>
  <si>
    <t xml:space="preserve">collateral_ratio_tranche_gold is: 0.8000326370244063
</t>
  </si>
  <si>
    <t xml:space="preserve"> 0.8000326370244063
</t>
  </si>
  <si>
    <t xml:space="preserve">collateral_ratio_tranche_tb is: 0.39985582505296624
</t>
  </si>
  <si>
    <t xml:space="preserve"> 0.39985582505296624
</t>
  </si>
  <si>
    <t xml:space="preserve">collateral_ratio_tranche_reit is: 0.3001249497258
</t>
  </si>
  <si>
    <t xml:space="preserve"> 0.3001249497258
</t>
  </si>
  <si>
    <t>Total plot size is: 150005469.79711205</t>
  </si>
  <si>
    <t xml:space="preserve"> plot size of gold is: 80006174.0181282</t>
  </si>
  <si>
    <t xml:space="preserve"> plot size of TB is: 40002559.08865194</t>
  </si>
  <si>
    <t xml:space="preserve"> plot size of REIT is: 29996736.690331925
</t>
  </si>
  <si>
    <t xml:space="preserve"> 29996736.690331925
</t>
  </si>
  <si>
    <t xml:space="preserve">collateral ratio is: 1.500036974684377
</t>
  </si>
  <si>
    <t xml:space="preserve"> 1.500036974684377
</t>
  </si>
  <si>
    <t>S_gtbcps_0 is: 1.0000926489185469</t>
  </si>
  <si>
    <t xml:space="preserve">stdev_gtbcps is: 0.006308204204623351
</t>
  </si>
  <si>
    <t xml:space="preserve"> 0.006308204204623351
</t>
  </si>
  <si>
    <t>predicted price of GTBCPS is: 1.0000792560519398</t>
  </si>
  <si>
    <t xml:space="preserve"> actual price is: 1.0000926489185469
</t>
  </si>
  <si>
    <t xml:space="preserve"> 1.0000926489185469
</t>
  </si>
  <si>
    <t>predicted amount of GTBCPS is: 99995721.26532969</t>
  </si>
  <si>
    <t xml:space="preserve"> actual amount is: 99991917.38031656
</t>
  </si>
  <si>
    <t>plot sizes of gold is: 80006174.0181282</t>
  </si>
  <si>
    <t xml:space="preserve"> plot sizes of tb is: 40002559.08865194 </t>
  </si>
  <si>
    <t xml:space="preserve"> plot sizes of reit is: 29996736.690331925</t>
  </si>
  <si>
    <t xml:space="preserve"> plot sizes of total is: 150005469.79711208.
</t>
  </si>
  <si>
    <t xml:space="preserve"> 150005469.79711208.
</t>
  </si>
  <si>
    <t>predicted stdevs of gold is: 0.0058541434895205665</t>
  </si>
  <si>
    <t xml:space="preserve"> predicted stdevs of tb is: 0.0006826657213932948</t>
  </si>
  <si>
    <t xml:space="preserve"> predicted stdevs of reit is: 0.015021271858160594</t>
  </si>
  <si>
    <t xml:space="preserve"> predicted stdevs of GTBCPS is: 0.006308204204623351.
</t>
  </si>
  <si>
    <t xml:space="preserve"> 0.006308204204623351.
</t>
  </si>
  <si>
    <t>total_value_of_collaterals is: 150005006.34081143</t>
  </si>
  <si>
    <t xml:space="preserve"> createdtionValue_gold is: 3043.4600429059096</t>
  </si>
  <si>
    <t xml:space="preserve"> createdValue_tb is: 1521.7139107741752</t>
  </si>
  <si>
    <t xml:space="preserve"> createdValue_reit is: 1141.088157282998
</t>
  </si>
  <si>
    <t xml:space="preserve"> 1141.088157282998
</t>
  </si>
  <si>
    <t>plotValue_gold_after_creation is: 80002787.70516007</t>
  </si>
  <si>
    <t xml:space="preserve"> plotValue_tb_after_creation  is: 40000970.35458893</t>
  </si>
  <si>
    <t xml:space="preserve"> plotValue_reit_after_creation  is: 29995542.01895145</t>
  </si>
  <si>
    <t xml:space="preserve">total_value_after_creation is: 149999300.07870045
</t>
  </si>
  <si>
    <t xml:space="preserve"> 149999300.07870045
</t>
  </si>
  <si>
    <t>total_amount_gtncps_before_creation is: 99991917.38031656</t>
  </si>
  <si>
    <t>creation_amount_gtbcps is: 3803.8850131332874</t>
  </si>
  <si>
    <t xml:space="preserve">total_amount_gtbcps_new is: 99995721.26532969
</t>
  </si>
  <si>
    <t xml:space="preserve"> 99995721.26532969
</t>
  </si>
  <si>
    <t>payout of tranche of gold is: -342.85292523276973</t>
  </si>
  <si>
    <t xml:space="preserve"> payout of tranche of Treausry Bill Option is: -67.02015223269841</t>
  </si>
  <si>
    <t xml:space="preserve"> payout of tranche of Collar of REIT is: -53.58322319404797
</t>
  </si>
  <si>
    <t xml:space="preserve"> -53.58322319404797
</t>
  </si>
  <si>
    <t>Collateral size of tranche of gold is: 80002787.70516007</t>
  </si>
  <si>
    <t xml:space="preserve"> collateral size of tranche of Treausry Bill Option is: 40000970.35458893</t>
  </si>
  <si>
    <t xml:space="preserve"> collateral size of tranche of Collar of REIT is: 29995542.01895145
</t>
  </si>
  <si>
    <t xml:space="preserve"> 29995542.01895145
</t>
  </si>
  <si>
    <t>Collateral ratio of tranche of gold is: 0.8000291383382266</t>
  </si>
  <si>
    <t xml:space="preserve"> collateral ratio of tranche of Treausry Bill Option is: 0.40001033418252563</t>
  </si>
  <si>
    <t xml:space="preserve"> collateral ratio of tranche of Collar of REIT is: 0.2999558930852356
</t>
  </si>
  <si>
    <t xml:space="preserve"> 0.2999558930852356
</t>
  </si>
  <si>
    <t xml:space="preserve"> current price of reit option is: 4.1192102627726825</t>
  </si>
  <si>
    <t xml:space="preserve"> predicted price of reit is: 83.69456763950949
</t>
  </si>
  <si>
    <t xml:space="preserve"> 83.69456763950949
</t>
  </si>
  <si>
    <t>value_ratio_gold_to_total is: -0.5021475402129063</t>
  </si>
  <si>
    <t xml:space="preserve"> risk_ratio_to_gold is: 0.7306971006303427</t>
  </si>
  <si>
    <t xml:space="preserve"> risk_ratio_to_gold_before is: 0.7312323447920818
</t>
  </si>
  <si>
    <t xml:space="preserve"> 0.7312323447920818
</t>
  </si>
  <si>
    <t>value_ratio_tb_to_total is: 0.7343638099001903</t>
  </si>
  <si>
    <t xml:space="preserve"> risk_ratio_tb_to_gold is: 0.15854564299609106</t>
  </si>
  <si>
    <t xml:space="preserve"> risk_ratio_tb_to_gold_before is: 0.1586838134730429
</t>
  </si>
  <si>
    <t xml:space="preserve"> 0.1586838134730429
</t>
  </si>
  <si>
    <t>value_ratio_reit_to_total is: 0.767783730312716</t>
  </si>
  <si>
    <t xml:space="preserve"> risk_ratio_reit_to_gold is: 0.21001049214847275</t>
  </si>
  <si>
    <t xml:space="preserve"> risk_ratio_reit_to_gold_before is: 0.20887057210920268
</t>
  </si>
  <si>
    <t xml:space="preserve"> 0.20887057210920268
</t>
  </si>
  <si>
    <t xml:space="preserve"> delta_reit is: 0.9998538497643286
</t>
  </si>
  <si>
    <t xml:space="preserve"> 0.9998538497643286
</t>
  </si>
  <si>
    <t>delta_gold_risk is: 0.9996908305442944</t>
  </si>
  <si>
    <t xml:space="preserve"> delta_tb_risk is: 0.9998807522161394</t>
  </si>
  <si>
    <t xml:space="preserve"> delta_reit_risk is: 1.0009429628494315
</t>
  </si>
  <si>
    <t xml:space="preserve"> 1.0009429628494315
</t>
  </si>
  <si>
    <t xml:space="preserve">collateral_ratio_tranche_gold is: 0.8002765594065123
</t>
  </si>
  <si>
    <t xml:space="preserve"> 0.8002765594065123
</t>
  </si>
  <si>
    <t xml:space="preserve">collateral_ratio_tranche_tb is: 0.4000580402172372
</t>
  </si>
  <si>
    <t xml:space="preserve"> 0.4000580402172372
</t>
  </si>
  <si>
    <t xml:space="preserve">collateral_ratio_tranche_reit is: 0.29962951495957013
</t>
  </si>
  <si>
    <t xml:space="preserve"> 0.29962951495957013
</t>
  </si>
  <si>
    <t>Total plot size is: 149994916.22316527</t>
  </si>
  <si>
    <t xml:space="preserve"> plot size of gold is: 80002787.70516007</t>
  </si>
  <si>
    <t xml:space="preserve"> plot size of TB is: 40000970.35458893</t>
  </si>
  <si>
    <t xml:space="preserve"> plot size of REIT is: 29991158.16341629
</t>
  </si>
  <si>
    <t xml:space="preserve"> 29991158.16341629
</t>
  </si>
  <si>
    <t xml:space="preserve">collateral ratio is: 1.4998944681087854
</t>
  </si>
  <si>
    <t xml:space="preserve"> 1.4998944681087854
</t>
  </si>
  <si>
    <t>S_gtbcps_0 is: 1.0000792560519398</t>
  </si>
  <si>
    <t xml:space="preserve">stdev_gtbcps is: 0.006339060888752469
</t>
  </si>
  <si>
    <t xml:space="preserve"> 0.006339060888752469
</t>
  </si>
  <si>
    <t>predicted price of GTBCPS is: 1.0000989381168828</t>
  </si>
  <si>
    <t xml:space="preserve"> actual price is: 1.0000792560519398
</t>
  </si>
  <si>
    <t xml:space="preserve"> 1.0000792560519398
</t>
  </si>
  <si>
    <t>predicted amount of GTBCPS is: 99993753.3377528</t>
  </si>
  <si>
    <t xml:space="preserve"> actual amount is: 99995721.26532969
</t>
  </si>
  <si>
    <t>plot sizes of gold is: 80002787.70516007</t>
  </si>
  <si>
    <t xml:space="preserve"> plot sizes of tb is: 40000970.35458893 </t>
  </si>
  <si>
    <t xml:space="preserve"> plot sizes of reit is: 29991158.16341629</t>
  </si>
  <si>
    <t xml:space="preserve"> plot sizes of total is: 149994916.2231653.
</t>
  </si>
  <si>
    <t xml:space="preserve"> 149994916.2231653.
</t>
  </si>
  <si>
    <t>predicted stdevs of gold is: 0.005883667516390263</t>
  </si>
  <si>
    <t xml:space="preserve"> predicted stdevs of tb is: 0.0006844117579860252</t>
  </si>
  <si>
    <t xml:space="preserve"> predicted stdevs of reit is: 0.01509578145638878</t>
  </si>
  <si>
    <t xml:space="preserve"> predicted stdevs of GTBCPS is: 0.006339060888752469.
</t>
  </si>
  <si>
    <t xml:space="preserve"> 0.006339060888752469.
</t>
  </si>
  <si>
    <t>total_value_of_collaterals is: 149995597.2781749</t>
  </si>
  <si>
    <t xml:space="preserve"> createdtionValue_gold is: -1574.5051918347274</t>
  </si>
  <si>
    <t xml:space="preserve"> createdValue_tb is: -787.2412423746615</t>
  </si>
  <si>
    <t xml:space="preserve"> createdValue_reit is: -590.2426895307567
</t>
  </si>
  <si>
    <t xml:space="preserve"> -590.2426895307567
</t>
  </si>
  <si>
    <t>plotValue_gold_after_creation is: 80004866.10526837</t>
  </si>
  <si>
    <t xml:space="preserve"> plotValue_tb_after_creation  is: 40001856.14843062</t>
  </si>
  <si>
    <t xml:space="preserve"> plotValue_reit_after_creation  is: 29991827.013599657</t>
  </si>
  <si>
    <t xml:space="preserve">total_value_after_creation is: 149998549.26729867
</t>
  </si>
  <si>
    <t xml:space="preserve"> 149998549.26729867
</t>
  </si>
  <si>
    <t>total_amount_gtncps_before_creation is: 99995721.26532969</t>
  </si>
  <si>
    <t>creation_amount_gtbcps is: -1967.9275768846273</t>
  </si>
  <si>
    <t xml:space="preserve">total_amount_gtbcps_new is: 99993753.3377528
</t>
  </si>
  <si>
    <t xml:space="preserve"> 99993753.3377528
</t>
  </si>
  <si>
    <t>payout of tranche of gold is: 503.8949164688509</t>
  </si>
  <si>
    <t xml:space="preserve"> payout of tranche of Treausry Bill Option is: 98.55259932019644</t>
  </si>
  <si>
    <t xml:space="preserve"> payout of tranche of Collar of REIT is: 78.60749383523957
</t>
  </si>
  <si>
    <t xml:space="preserve"> 78.60749383523957
</t>
  </si>
  <si>
    <t>Collateral size of tranche of gold is: 80004866.10526837</t>
  </si>
  <si>
    <t xml:space="preserve"> collateral size of tranche of Treausry Bill Option is: 40001856.14843062</t>
  </si>
  <si>
    <t xml:space="preserve"> collateral size of tranche of Collar of REIT is: 29991827.013599657
</t>
  </si>
  <si>
    <t xml:space="preserve"> 29991827.013599657
</t>
  </si>
  <si>
    <t>Collateral ratio of tranche of gold is: 0.8000037436129886</t>
  </si>
  <si>
    <t xml:space="preserve"> collateral ratio of tranche of Treausry Bill Option is: 0.39999610308835226</t>
  </si>
  <si>
    <t xml:space="preserve"> collateral ratio of tranche of Collar of REIT is: 0.2999014317092007
</t>
  </si>
  <si>
    <t xml:space="preserve"> 0.2999014317092007
</t>
  </si>
  <si>
    <t xml:space="preserve"> current price of reit option is: 4.104662767349694</t>
  </si>
  <si>
    <t xml:space="preserve"> predicted price of reit is: 83.32991453095919
</t>
  </si>
  <si>
    <t xml:space="preserve"> 83.32991453095919
</t>
  </si>
  <si>
    <t>value_ratio_gold_to_total is: -0.5352041475911579</t>
  </si>
  <si>
    <t xml:space="preserve"> risk_ratio_to_gold is: 0.7364106860150544</t>
  </si>
  <si>
    <t xml:space="preserve"> risk_ratio_to_gold_before is: 0.7306971006303427
</t>
  </si>
  <si>
    <t xml:space="preserve"> 0.7306971006303427
</t>
  </si>
  <si>
    <t>value_ratio_tb_to_total is: 0.7827073228971372</t>
  </si>
  <si>
    <t xml:space="preserve"> risk_ratio_tb_to_gold is: 0.15271179217284422</t>
  </si>
  <si>
    <t xml:space="preserve"> risk_ratio_tb_to_gold_before is: 0.15854564299609106
</t>
  </si>
  <si>
    <t xml:space="preserve"> 0.15854564299609106
</t>
  </si>
  <si>
    <t>value_ratio_reit_to_total is: 0.7524968246940207</t>
  </si>
  <si>
    <t xml:space="preserve"> risk_ratio_reit_to_gold is: 0.20522613430036965</t>
  </si>
  <si>
    <t xml:space="preserve"> risk_ratio_reit_to_gold_before is: 0.21001049214847275
</t>
  </si>
  <si>
    <t xml:space="preserve"> 0.21001049214847275
</t>
  </si>
  <si>
    <t xml:space="preserve"> delta_reit is: 0.9998332076685955
</t>
  </si>
  <si>
    <t xml:space="preserve"> 0.9998332076685955
</t>
  </si>
  <si>
    <t>delta_gold_risk is: 1.0033013202498755</t>
  </si>
  <si>
    <t xml:space="preserve"> delta_tb_risk is: 0.9949645049735287</t>
  </si>
  <si>
    <t xml:space="preserve"> delta_reit_risk is: 0.9960460195352455
</t>
  </si>
  <si>
    <t xml:space="preserve"> 0.9960460195352455
</t>
  </si>
  <si>
    <t xml:space="preserve">collateral_ratio_tranche_gold is: 0.7973713653777961
</t>
  </si>
  <si>
    <t xml:space="preserve"> 0.7973713653777961
</t>
  </si>
  <si>
    <t xml:space="preserve">collateral_ratio_tranche_tb is: 0.40202047519171974
</t>
  </si>
  <si>
    <t xml:space="preserve"> 0.40202047519171974
</t>
  </si>
  <si>
    <t xml:space="preserve">collateral_ratio_tranche_reit is: 0.30104172354418407
</t>
  </si>
  <si>
    <t xml:space="preserve"> 0.30104172354418407
</t>
  </si>
  <si>
    <t>Total plot size is: 149993546.86054796</t>
  </si>
  <si>
    <t xml:space="preserve"> plot size of gold is: 80004866.10526837</t>
  </si>
  <si>
    <t xml:space="preserve"> plot size of TB is: 40001856.14843062</t>
  </si>
  <si>
    <t xml:space="preserve"> plot size of REIT is: 29986824.606848978
</t>
  </si>
  <si>
    <t xml:space="preserve"> 29986824.606848978
</t>
  </si>
  <si>
    <t xml:space="preserve">collateral ratio is: 1.499880774981936
</t>
  </si>
  <si>
    <t xml:space="preserve"> 1.499880774981936
</t>
  </si>
  <si>
    <t>S_gtbcps_0 is: 1.0000989381168828</t>
  </si>
  <si>
    <t xml:space="preserve">stdev_gtbcps is: 0.006362296510031746
</t>
  </si>
  <si>
    <t xml:space="preserve"> 0.006362296510031746
</t>
  </si>
  <si>
    <t>predicted price of GTBCPS is: 1.0001233368714524</t>
  </si>
  <si>
    <t xml:space="preserve"> actual price is: 1.0000989381168828
</t>
  </si>
  <si>
    <t xml:space="preserve"> 1.0000989381168828
</t>
  </si>
  <si>
    <t>predicted amount of GTBCPS is: 99991313.91557734</t>
  </si>
  <si>
    <t xml:space="preserve"> actual amount is: 99993753.3377528
</t>
  </si>
  <si>
    <t>plot sizes of gold is: 80004866.10526837</t>
  </si>
  <si>
    <t xml:space="preserve"> plot sizes of tb is: 40001856.14843062 </t>
  </si>
  <si>
    <t xml:space="preserve"> plot sizes of reit is: 29986824.606848978</t>
  </si>
  <si>
    <t xml:space="preserve"> plot sizes of total is: 149993546.860548.
</t>
  </si>
  <si>
    <t xml:space="preserve"> 149993546.860548.
</t>
  </si>
  <si>
    <t>predicted stdevs of gold is: 0.005906654120138178</t>
  </si>
  <si>
    <t xml:space="preserve"> predicted stdevs of tb is: 0.0006629338196596349</t>
  </si>
  <si>
    <t xml:space="preserve"> predicted stdevs of reit is: 0.015180792577565336</t>
  </si>
  <si>
    <t xml:space="preserve"> predicted stdevs of GTBCPS is: 0.006362296510031746.
</t>
  </si>
  <si>
    <t xml:space="preserve"> 0.006362296510031746.
</t>
  </si>
  <si>
    <t>total_value_of_collaterals is: 149994391.9736434</t>
  </si>
  <si>
    <t xml:space="preserve"> createdtionValue_gold is: -1951.8412191202187</t>
  </si>
  <si>
    <t xml:space="preserve"> createdValue_tb is: -975.9019105262206</t>
  </si>
  <si>
    <t xml:space="preserve"> createdValue_reit is: -731.5711812458671
</t>
  </si>
  <si>
    <t xml:space="preserve"> -731.5711812458671
</t>
  </si>
  <si>
    <t>plotValue_gold_after_creation is: 80007442.49272937</t>
  </si>
  <si>
    <t xml:space="preserve"> plotValue_tb_after_creation  is: 40002954.75887386</t>
  </si>
  <si>
    <t xml:space="preserve"> plotValue_reit_after_creation  is: 29987654.036351055</t>
  </si>
  <si>
    <t xml:space="preserve">total_value_after_creation is: 149998051.28795427
</t>
  </si>
  <si>
    <t xml:space="preserve"> 149998051.28795427
</t>
  </si>
  <si>
    <t>total_amount_gtncps_before_creation is: 99993753.3377528</t>
  </si>
  <si>
    <t>creation_amount_gtbcps is: -2439.4221754670143</t>
  </si>
  <si>
    <t xml:space="preserve">total_amount_gtbcps_new is: 99991313.91557734
</t>
  </si>
  <si>
    <t xml:space="preserve"> 99991313.91557734
</t>
  </si>
  <si>
    <t>payout of tranche of gold is: 624.5462418590055</t>
  </si>
  <si>
    <t xml:space="preserve"> payout of tranche of Treausry Bill Option is: 122.70853270466208</t>
  </si>
  <si>
    <t xml:space="preserve"> payout of tranche of Collar of REIT is: 97.85832083071844
</t>
  </si>
  <si>
    <t xml:space="preserve"> 97.85832083071844
</t>
  </si>
  <si>
    <t>Collateral size of tranche of gold is: 80007442.49272937</t>
  </si>
  <si>
    <t xml:space="preserve"> collateral size of tranche of Treausry Bill Option is: 40002954.75887386</t>
  </si>
  <si>
    <t xml:space="preserve"> collateral size of tranche of Collar of REIT is: 29987654.036351055
</t>
  </si>
  <si>
    <t xml:space="preserve"> 29987654.036351055
</t>
  </si>
  <si>
    <t>Collateral ratio of tranche of gold is: 0.8000257333254638</t>
  </si>
  <si>
    <t xml:space="preserve"> collateral ratio of tranche of Treausry Bill Option is: 0.40000520225429903</t>
  </si>
  <si>
    <t xml:space="preserve"> collateral ratio of tranche of Collar of REIT is: 0.29985829022496524
</t>
  </si>
  <si>
    <t xml:space="preserve"> 0.29985829022496524
</t>
  </si>
  <si>
    <t xml:space="preserve"> current price of reit option is: 4.102106783728914</t>
  </si>
  <si>
    <t xml:space="preserve"> predicted price of reit is: 83.71669178713334
</t>
  </si>
  <si>
    <t xml:space="preserve"> 83.71669178713334
</t>
  </si>
  <si>
    <t>value_ratio_gold_to_total is: -0.5017372343955067</t>
  </si>
  <si>
    <t xml:space="preserve"> risk_ratio_to_gold is: 0.7375567637483675</t>
  </si>
  <si>
    <t xml:space="preserve"> risk_ratio_to_gold_before is: 0.7364106860150544
</t>
  </si>
  <si>
    <t xml:space="preserve"> 0.7364106860150544
</t>
  </si>
  <si>
    <t>value_ratio_tb_to_total is: 0.7337637596775763</t>
  </si>
  <si>
    <t xml:space="preserve"> risk_ratio_tb_to_gold is: 0.15299961780533344</t>
  </si>
  <si>
    <t xml:space="preserve"> risk_ratio_tb_to_gold_before is: 0.15271179217284422
</t>
  </si>
  <si>
    <t xml:space="preserve"> 0.15271179217284422
</t>
  </si>
  <si>
    <t>value_ratio_reit_to_total is: 0.7679734747179303</t>
  </si>
  <si>
    <t xml:space="preserve"> risk_ratio_reit_to_gold is: 0.20282823050543106</t>
  </si>
  <si>
    <t xml:space="preserve"> risk_ratio_reit_to_gold_before is: 0.20522613430036965
</t>
  </si>
  <si>
    <t xml:space="preserve"> 0.20522613430036965
</t>
  </si>
  <si>
    <t xml:space="preserve"> delta_reit is: 0.9999706898285061
</t>
  </si>
  <si>
    <t xml:space="preserve"> 0.9999706898285061
</t>
  </si>
  <si>
    <t>delta_gold_risk is: 1.000660026883354</t>
  </si>
  <si>
    <t xml:space="preserve"> delta_tb_risk is: 1.0002496943593737</t>
  </si>
  <si>
    <t xml:space="preserve"> delta_reit_risk is: 0.9980104117171914
</t>
  </si>
  <si>
    <t xml:space="preserve"> 0.9980104117171914
</t>
  </si>
  <si>
    <t xml:space="preserve">collateral_ratio_tranche_gold is: 0.7994980431238131
</t>
  </si>
  <si>
    <t xml:space="preserve"> 0.7994980431238131
</t>
  </si>
  <si>
    <t xml:space="preserve">collateral_ratio_tranche_tb is: 0.39990534814458395
</t>
  </si>
  <si>
    <t xml:space="preserve"> 0.39990534814458395
</t>
  </si>
  <si>
    <t xml:space="preserve">collateral_ratio_tranche_reit is: 0.3004472676904537
</t>
  </si>
  <si>
    <t xml:space="preserve"> 0.3004472676904537
</t>
  </si>
  <si>
    <t>Total plot size is: 149997172.3446718</t>
  </si>
  <si>
    <t xml:space="preserve"> plot size of gold is: 80007442.49272937</t>
  </si>
  <si>
    <t xml:space="preserve"> plot size of TB is: 40002954.75887386</t>
  </si>
  <si>
    <t xml:space="preserve"> plot size of REIT is: 29986775.09306855
</t>
  </si>
  <si>
    <t xml:space="preserve"> 29986775.09306855
</t>
  </si>
  <si>
    <t xml:space="preserve">collateral ratio is: 1.499917028501178
</t>
  </si>
  <si>
    <t xml:space="preserve"> 1.499917028501178
</t>
  </si>
  <si>
    <t>S_gtbcps_0 is: 1.0001233368714524</t>
  </si>
  <si>
    <t xml:space="preserve">stdev_gtbcps is: 0.006382936495058806
</t>
  </si>
  <si>
    <t xml:space="preserve"> 0.006382936495058806
</t>
  </si>
  <si>
    <t>predicted price of GTBCPS is: 1.0001557735281383</t>
  </si>
  <si>
    <t xml:space="preserve"> actual price is: 1.0001233368714524
</t>
  </si>
  <si>
    <t xml:space="preserve"> 1.0001233368714524
</t>
  </si>
  <si>
    <t>predicted amount of GTBCPS is: 99988071.03681093</t>
  </si>
  <si>
    <t xml:space="preserve"> actual amount is: 99991313.91557734
</t>
  </si>
  <si>
    <t>plot sizes of gold is: 80007442.49272937</t>
  </si>
  <si>
    <t xml:space="preserve"> plot sizes of tb is: 40002954.75887386 </t>
  </si>
  <si>
    <t xml:space="preserve"> plot sizes of reit is: 29986775.09306855</t>
  </si>
  <si>
    <t xml:space="preserve"> plot sizes of total is: 149997172.34467176.
</t>
  </si>
  <si>
    <t xml:space="preserve"> 149997172.34467176.
</t>
  </si>
  <si>
    <t>predicted stdevs of gold is: 0.005938110815332039</t>
  </si>
  <si>
    <t xml:space="preserve"> predicted stdevs of tb is: 0.000666413050303816</t>
  </si>
  <si>
    <t xml:space="preserve"> predicted stdevs of reit is: 0.015195727897549083</t>
  </si>
  <si>
    <t xml:space="preserve"> predicted stdevs of GTBCPS is: 0.006382936495058806.
</t>
  </si>
  <si>
    <t xml:space="preserve"> 0.006382936495058806.
</t>
  </si>
  <si>
    <t>total_value_of_collaterals is: 149998294.90321153</t>
  </si>
  <si>
    <t xml:space="preserve"> createdtionValue_gold is: -2594.8808331728465</t>
  </si>
  <si>
    <t xml:space="preserve"> createdValue_tb is: -1297.4073576753303</t>
  </si>
  <si>
    <t xml:space="preserve"> createdValue_reit is: -972.5549898862618
</t>
  </si>
  <si>
    <t xml:space="preserve"> -972.5549898862618
</t>
  </si>
  <si>
    <t>plotValue_gold_after_creation is: 80010867.70540358</t>
  </si>
  <si>
    <t xml:space="preserve"> plotValue_tb_after_creation  is: 40004414.51026105</t>
  </si>
  <si>
    <t xml:space="preserve"> plotValue_reit_after_creation  is: 29987877.530727636</t>
  </si>
  <si>
    <t xml:space="preserve">total_value_after_creation is: 150003159.74639225
</t>
  </si>
  <si>
    <t xml:space="preserve"> 150003159.74639225
</t>
  </si>
  <si>
    <t>total_amount_gtncps_before_creation is: 99991313.91557734</t>
  </si>
  <si>
    <t>creation_amount_gtbcps is: -3242.878766402602</t>
  </si>
  <si>
    <t xml:space="preserve">total_amount_gtbcps_new is: 99988071.03681093
</t>
  </si>
  <si>
    <t xml:space="preserve"> 99988071.03681093
</t>
  </si>
  <si>
    <t>payout of tranche of gold is: 830.3318410299761</t>
  </si>
  <si>
    <t xml:space="preserve"> payout of tranche of Treausry Bill Option is: 162.34402951268817</t>
  </si>
  <si>
    <t xml:space="preserve"> payout of tranche of Collar of REIT is: 129.88266920020752
</t>
  </si>
  <si>
    <t xml:space="preserve"> 129.88266920020752
</t>
  </si>
  <si>
    <t>Collateral size of tranche of gold is: 80010867.70540358</t>
  </si>
  <si>
    <t xml:space="preserve"> collateral size of tranche of Treausry Bill Option is: 40004414.51026105</t>
  </si>
  <si>
    <t xml:space="preserve"> collateral size of tranche of Collar of REIT is: 29987877.530727636
</t>
  </si>
  <si>
    <t xml:space="preserve"> 29987877.530727636
</t>
  </si>
  <si>
    <t>Collateral ratio of tranche of gold is: 0.8000535540415744</t>
  </si>
  <si>
    <t xml:space="preserve"> collateral ratio of tranche of Treausry Bill Option is: 0.4000165842986497</t>
  </si>
  <si>
    <t xml:space="preserve"> collateral ratio of tranche of Collar of REIT is: 0.29985811533702206
</t>
  </si>
  <si>
    <t xml:space="preserve"> 0.29985811533702206
</t>
  </si>
  <si>
    <t xml:space="preserve"> current price of reit option is: 4.119354040997038</t>
  </si>
  <si>
    <t xml:space="preserve"> predicted price of reit is: 83.6164965010667
</t>
  </si>
  <si>
    <t xml:space="preserve"> 83.6164965010667
</t>
  </si>
  <si>
    <t>value_ratio_gold_to_total is: -0.5086031730040791</t>
  </si>
  <si>
    <t xml:space="preserve"> risk_ratio_to_gold is: 0.7388627811785221</t>
  </si>
  <si>
    <t xml:space="preserve"> risk_ratio_to_gold_before is: 0.7375567637483675
</t>
  </si>
  <si>
    <t xml:space="preserve"> 0.7375567637483675
</t>
  </si>
  <si>
    <t>value_ratio_tb_to_total is: 0.7438048261597386</t>
  </si>
  <si>
    <t xml:space="preserve"> risk_ratio_tb_to_gold is: 0.1517740174389996</t>
  </si>
  <si>
    <t xml:space="preserve"> risk_ratio_tb_to_gold_before is: 0.15299961780533344
</t>
  </si>
  <si>
    <t xml:space="preserve"> 0.15299961780533344
</t>
  </si>
  <si>
    <t>value_ratio_reit_to_total is: 0.7647983468443404</t>
  </si>
  <si>
    <t xml:space="preserve"> risk_ratio_reit_to_gold is: 0.20165726300112663</t>
  </si>
  <si>
    <t xml:space="preserve"> risk_ratio_reit_to_gold_before is: 0.20282823050543106
</t>
  </si>
  <si>
    <t xml:space="preserve"> 0.20282823050543106
</t>
  </si>
  <si>
    <t xml:space="preserve"> delta_reit is: 1.0001977848690158
</t>
  </si>
  <si>
    <t xml:space="preserve"> 1.0001977848690158
</t>
  </si>
  <si>
    <t>delta_gold_risk is: 1.0007516401520817</t>
  </si>
  <si>
    <t xml:space="preserve"> delta_tb_risk is: 0.9989370331547319</t>
  </si>
  <si>
    <t xml:space="preserve"> delta_reit_risk is: 0.9990264881762774
</t>
  </si>
  <si>
    <t xml:space="preserve"> 0.9990264881762774
</t>
  </si>
  <si>
    <t xml:space="preserve">collateral_ratio_tranche_gold is: 0.799452653327645
</t>
  </si>
  <si>
    <t xml:space="preserve"> 0.799452653327645
</t>
  </si>
  <si>
    <t xml:space="preserve">collateral_ratio_tranche_tb is: 0.40044224112440985
</t>
  </si>
  <si>
    <t xml:space="preserve"> 0.40044224112440985
</t>
  </si>
  <si>
    <t xml:space="preserve">collateral_ratio_tranche_reit is: 0.30020968040856105
</t>
  </si>
  <si>
    <t xml:space="preserve"> 0.30020968040856105
</t>
  </si>
  <si>
    <t>Total plot size is: 150009090.89482173</t>
  </si>
  <si>
    <t xml:space="preserve"> plot size of gold is: 80010867.70540358</t>
  </si>
  <si>
    <t xml:space="preserve"> plot size of TB is: 40004414.51026105</t>
  </si>
  <si>
    <t xml:space="preserve"> plot size of REIT is: 29993808.67915711
</t>
  </si>
  <si>
    <t xml:space="preserve"> 29993808.67915711
</t>
  </si>
  <si>
    <t xml:space="preserve">collateral ratio is: 1.5000362096566995
</t>
  </si>
  <si>
    <t xml:space="preserve"> 1.5000362096566995
</t>
  </si>
  <si>
    <t>S_gtbcps_0 is: 1.0001557735281383</t>
  </si>
  <si>
    <t xml:space="preserve">stdev_gtbcps is: 0.006379834578287639
</t>
  </si>
  <si>
    <t xml:space="preserve"> 0.006379834578287639
</t>
  </si>
  <si>
    <t>predicted price of GTBCPS is: 1.000154413340339</t>
  </si>
  <si>
    <t xml:space="preserve"> actual price is: 1.0001557735281383
</t>
  </si>
  <si>
    <t xml:space="preserve"> 1.0001557735281383
</t>
  </si>
  <si>
    <t>predicted amount of GTBCPS is: 99990620.7108013</t>
  </si>
  <si>
    <t xml:space="preserve"> actual amount is: 99988071.03681093
</t>
  </si>
  <si>
    <t>plot sizes of gold is: 80010867.70540358</t>
  </si>
  <si>
    <t xml:space="preserve"> plot sizes of tb is: 40004414.51026105 </t>
  </si>
  <si>
    <t xml:space="preserve"> plot sizes of reit is: 29993808.67915711</t>
  </si>
  <si>
    <t xml:space="preserve"> plot sizes of total is: 150009090.89482173.
</t>
  </si>
  <si>
    <t xml:space="preserve"> 150009090.89482173.
</t>
  </si>
  <si>
    <t>predicted stdevs of gold is: 0.005970852626867286</t>
  </si>
  <si>
    <t xml:space="preserve"> predicted stdevs of tb is: 0.0006635594400828041</t>
  </si>
  <si>
    <t xml:space="preserve"> predicted stdevs of reit is: 0.015094941208746533</t>
  </si>
  <si>
    <t xml:space="preserve"> predicted stdevs of GTBCPS is: 0.006379834578287639.
</t>
  </si>
  <si>
    <t xml:space="preserve"> 0.006379834578287639.
</t>
  </si>
  <si>
    <t>total_value_of_collaterals is: 150009043.81710914</t>
  </si>
  <si>
    <t xml:space="preserve"> createdtionValue_gold is: 2040.2067524574616</t>
  </si>
  <si>
    <t xml:space="preserve"> createdValue_tb is: 1020.0776540183208</t>
  </si>
  <si>
    <t xml:space="preserve"> createdValue_reit is: 764.8159341531385
</t>
  </si>
  <si>
    <t xml:space="preserve"> 764.8159341531385
</t>
  </si>
  <si>
    <t>plotValue_gold_after_creation is: 80008792.67901513</t>
  </si>
  <si>
    <t xml:space="preserve"> plotValue_tb_after_creation  is: 40003387.61674089</t>
  </si>
  <si>
    <t xml:space="preserve"> plotValue_reit_after_creation  is: 29993038.421012487</t>
  </si>
  <si>
    <t xml:space="preserve">total_value_after_creation is: 150005218.7167685
</t>
  </si>
  <si>
    <t xml:space="preserve"> 150005218.7167685
</t>
  </si>
  <si>
    <t>total_amount_gtncps_before_creation is: 99988071.03681093</t>
  </si>
  <si>
    <t>creation_amount_gtbcps is: 2549.673990368843</t>
  </si>
  <si>
    <t xml:space="preserve">total_amount_gtbcps_new is: 99990620.7108013
</t>
  </si>
  <si>
    <t xml:space="preserve"> 99990620.7108013
</t>
  </si>
  <si>
    <t>payout of tranche of gold is: -34.81963598181659</t>
  </si>
  <si>
    <t xml:space="preserve"> payout of tranche of Treausry Bill Option is: -6.815866140922858</t>
  </si>
  <si>
    <t xml:space="preserve"> payout of tranche of Collar of REIT is: -5.442210473481612
</t>
  </si>
  <si>
    <t xml:space="preserve"> -5.442210473481612
</t>
  </si>
  <si>
    <t>Collateral size of tranche of gold is: 80008792.67901513</t>
  </si>
  <si>
    <t xml:space="preserve"> collateral size of tranche of Treausry Bill Option is: 40003387.61674089</t>
  </si>
  <si>
    <t xml:space="preserve"> collateral size of tranche of Collar of REIT is: 29993038.421012487
</t>
  </si>
  <si>
    <t xml:space="preserve"> 29993038.421012487
</t>
  </si>
  <si>
    <t>Collateral ratio of tranche of gold is: 0.8000598404586046</t>
  </si>
  <si>
    <t xml:space="preserve"> collateral ratio of tranche of Treausry Bill Option is: 0.4000198333557381</t>
  </si>
  <si>
    <t xml:space="preserve"> collateral ratio of tranche of Collar of REIT is: 0.2999198554370615
</t>
  </si>
  <si>
    <t xml:space="preserve"> 0.2999198554370615
</t>
  </si>
  <si>
    <t xml:space="preserve"> current price of reit option is: 4.106201193882967</t>
  </si>
  <si>
    <t xml:space="preserve"> predicted price of reit is: 83.5800215156621
</t>
  </si>
  <si>
    <t xml:space="preserve"> 83.5800215156621
</t>
  </si>
  <si>
    <t>value_ratio_gold_to_total is: -0.5128016544675531</t>
  </si>
  <si>
    <t xml:space="preserve"> risk_ratio_to_gold is: 0.7375387096276758</t>
  </si>
  <si>
    <t xml:space="preserve"> risk_ratio_to_gold_before is: 0.7388627811785221
</t>
  </si>
  <si>
    <t xml:space="preserve"> 0.7388627811785221
</t>
  </si>
  <si>
    <t>value_ratio_tb_to_total is: 0.7499448798220644</t>
  </si>
  <si>
    <t xml:space="preserve"> risk_ratio_tb_to_gold is: 0.15259213422052734</t>
  </si>
  <si>
    <t xml:space="preserve"> risk_ratio_tb_to_gold_before is: 0.1517740174389996
</t>
  </si>
  <si>
    <t xml:space="preserve"> 0.1517740174389996
</t>
  </si>
  <si>
    <t>value_ratio_reit_to_total is: 0.7628567746454887</t>
  </si>
  <si>
    <t xml:space="preserve"> risk_ratio_reit_to_gold is: 0.20326890323582497</t>
  </si>
  <si>
    <t xml:space="preserve"> risk_ratio_reit_to_gold_before is: 0.20165726300112663
</t>
  </si>
  <si>
    <t xml:space="preserve"> 0.20165726300112663
</t>
  </si>
  <si>
    <t xml:space="preserve"> delta_reit is: 0.9998491980678063
</t>
  </si>
  <si>
    <t xml:space="preserve"> 0.9998491980678063
</t>
  </si>
  <si>
    <t>delta_gold_risk is: 0.9992385416692001</t>
  </si>
  <si>
    <t xml:space="preserve"> delta_tb_risk is: 1.0007103101555868</t>
  </si>
  <si>
    <t xml:space="preserve"> delta_reit_risk is: 1.0013411812871444
</t>
  </si>
  <si>
    <t xml:space="preserve"> 1.0013411812871444
</t>
  </si>
  <si>
    <t xml:space="preserve">collateral_ratio_tranche_gold is: 0.8006695169324903
</t>
  </si>
  <si>
    <t xml:space="preserve"> 0.8006695169324903
</t>
  </si>
  <si>
    <t xml:space="preserve">collateral_ratio_tranche_tb is: 0.39973589688862554
</t>
  </si>
  <si>
    <t xml:space="preserve"> 0.39973589688862554
</t>
  </si>
  <si>
    <t xml:space="preserve">collateral_ratio_tranche_reit is: 0.29947297938739853
</t>
  </si>
  <si>
    <t xml:space="preserve"> 0.29947297938739853
</t>
  </si>
  <si>
    <t>Total plot size is: 150000695.70862225</t>
  </si>
  <si>
    <t xml:space="preserve"> plot size of gold is: 80008792.67901513</t>
  </si>
  <si>
    <t xml:space="preserve"> plot size of TB is: 40003387.61674089</t>
  </si>
  <si>
    <t xml:space="preserve"> plot size of REIT is: 29988515.41286624
</t>
  </si>
  <si>
    <t xml:space="preserve"> 29988515.41286624
</t>
  </si>
  <si>
    <t xml:space="preserve">collateral ratio is: 1.4999160532256803
</t>
  </si>
  <si>
    <t xml:space="preserve"> 1.4999160532256803
</t>
  </si>
  <si>
    <t>S_gtbcps_0 is: 1.000154413340339</t>
  </si>
  <si>
    <t xml:space="preserve">stdev_gtbcps is: 0.00639817759879866
</t>
  </si>
  <si>
    <t xml:space="preserve"> 0.00639817759879866
</t>
  </si>
  <si>
    <t>predicted price of GTBCPS is: 1.0001441876336146</t>
  </si>
  <si>
    <t xml:space="preserve"> actual price is: 1.000154413340339
</t>
  </si>
  <si>
    <t xml:space="preserve"> 1.000154413340339
</t>
  </si>
  <si>
    <t>predicted amount of GTBCPS is: 99991643.03815693</t>
  </si>
  <si>
    <t xml:space="preserve"> actual amount is: 99990620.7108013
</t>
  </si>
  <si>
    <t>plot sizes of gold is: 80008792.67901513</t>
  </si>
  <si>
    <t xml:space="preserve"> plot sizes of tb is: 40003387.61674089 </t>
  </si>
  <si>
    <t xml:space="preserve"> plot sizes of reit is: 29988515.41286624</t>
  </si>
  <si>
    <t xml:space="preserve"> plot sizes of total is: 150000695.70862225.
</t>
  </si>
  <si>
    <t xml:space="preserve"> 150000695.70862225.
</t>
  </si>
  <si>
    <t>predicted stdevs of gold is: 0.00597497999980623</t>
  </si>
  <si>
    <t xml:space="preserve"> predicted stdevs of tb is: 0.0006674511674947983</t>
  </si>
  <si>
    <t xml:space="preserve"> predicted stdevs of reit is: 0.015171802971534159</t>
  </si>
  <si>
    <t xml:space="preserve"> predicted stdevs of GTBCPS is: 0.00639817759879866.
</t>
  </si>
  <si>
    <t xml:space="preserve"> 0.00639817759879866.
</t>
  </si>
  <si>
    <t>total_value_of_collaterals is: 150000341.92253822</t>
  </si>
  <si>
    <t xml:space="preserve"> createdtionValue_gold is: 818.0173480600461</t>
  </si>
  <si>
    <t xml:space="preserve"> createdValue_tb is: 408.9992098706328</t>
  </si>
  <si>
    <t xml:space="preserve"> createdValue_reit is: 306.60613533512526
</t>
  </si>
  <si>
    <t xml:space="preserve"> 306.60613533512526
</t>
  </si>
  <si>
    <t>plotValue_gold_after_creation is: 80007701.97023945</t>
  </si>
  <si>
    <t xml:space="preserve"> plotValue_tb_after_creation  is: 40002925.325479746</t>
  </si>
  <si>
    <t xml:space="preserve"> plotValue_reit_after_creation  is: 29988181.00412576</t>
  </si>
  <si>
    <t xml:space="preserve">total_value_after_creation is: 149998808.29984495
</t>
  </si>
  <si>
    <t xml:space="preserve"> 149998808.29984495
</t>
  </si>
  <si>
    <t>total_amount_gtncps_before_creation is: 99990620.7108013</t>
  </si>
  <si>
    <t>creation_amount_gtbcps is: 1022.3273556232452</t>
  </si>
  <si>
    <t xml:space="preserve">total_amount_gtbcps_new is: 99991643.03815693
</t>
  </si>
  <si>
    <t xml:space="preserve"> 99991643.03815693
</t>
  </si>
  <si>
    <t>payout of tranche of gold is: -272.69142761792</t>
  </si>
  <si>
    <t xml:space="preserve"> payout of tranche of Treausry Bill Option is: -53.29205127071535</t>
  </si>
  <si>
    <t xml:space="preserve"> payout of tranche of Collar of REIT is: -27.802605146267958
</t>
  </si>
  <si>
    <t xml:space="preserve"> -27.802605146267958
</t>
  </si>
  <si>
    <t>Collateral size of tranche of gold is: 80007701.97023945</t>
  </si>
  <si>
    <t xml:space="preserve"> collateral size of tranche of Treausry Bill Option is: 40002925.325479746</t>
  </si>
  <si>
    <t xml:space="preserve"> collateral size of tranche of Collar of REIT is: 29988181.00412576
</t>
  </si>
  <si>
    <t xml:space="preserve"> 29988181.00412576
</t>
  </si>
  <si>
    <t>Collateral ratio of tranche of gold is: 0.800036712878473</t>
  </si>
  <si>
    <t xml:space="preserve"> collateral ratio of tranche of Treausry Bill Option is: 0.40000910030917186</t>
  </si>
  <si>
    <t xml:space="preserve"> collateral ratio of tranche of Collar of REIT is: 0.2998667023915977
</t>
  </si>
  <si>
    <t xml:space="preserve"> 0.2998667023915977
</t>
  </si>
  <si>
    <t xml:space="preserve"> current price of reit option is: 4.090959612257947</t>
  </si>
  <si>
    <t xml:space="preserve"> predicted price of reit is: 83.61673338922618
</t>
  </si>
  <si>
    <t xml:space="preserve"> 83.61673338922618
</t>
  </si>
  <si>
    <t>value_ratio_gold_to_total is: -0.5109768051761955</t>
  </si>
  <si>
    <t xml:space="preserve"> risk_ratio_to_gold is: 0.7375699583585659</t>
  </si>
  <si>
    <t xml:space="preserve"> risk_ratio_to_gold_before is: 0.7375387096276758
</t>
  </si>
  <si>
    <t xml:space="preserve"> 0.7375387096276758
</t>
  </si>
  <si>
    <t>value_ratio_tb_to_total is: 0.7472761357363583</t>
  </si>
  <si>
    <t xml:space="preserve"> risk_ratio_tb_to_gold is: 0.15256943766910305</t>
  </si>
  <si>
    <t xml:space="preserve"> risk_ratio_tb_to_gold_before is: 0.15259213422052734
</t>
  </si>
  <si>
    <t xml:space="preserve"> 0.15259213422052734
</t>
  </si>
  <si>
    <t>value_ratio_reit_to_total is: 0.7637006694398372</t>
  </si>
  <si>
    <t xml:space="preserve"> risk_ratio_reit_to_gold is: 0.2032341558306408</t>
  </si>
  <si>
    <t xml:space="preserve"> risk_ratio_reit_to_gold_before is: 0.20326890323582497
</t>
  </si>
  <si>
    <t xml:space="preserve"> 0.20326890323582497
</t>
  </si>
  <si>
    <t xml:space="preserve"> delta_reit is: 0.9998252236490484
</t>
  </si>
  <si>
    <t xml:space="preserve"> 0.9998252236490484
</t>
  </si>
  <si>
    <t>delta_gold_risk is: 1.0000179844804131</t>
  </si>
  <si>
    <t xml:space="preserve"> delta_tb_risk is: 0.9999803082541079</t>
  </si>
  <si>
    <t xml:space="preserve"> delta_reit_risk is: 0.9999711224938242
</t>
  </si>
  <si>
    <t xml:space="preserve"> 0.9999711224938242
</t>
  </si>
  <si>
    <t xml:space="preserve">collateral_ratio_tranche_gold is: 0.8000223248926409
</t>
  </si>
  <si>
    <t xml:space="preserve"> 0.8000223248926409
</t>
  </si>
  <si>
    <t xml:space="preserve">collateral_ratio_tranche_tb is: 0.4000169773418422
</t>
  </si>
  <si>
    <t xml:space="preserve"> 0.4000169773418422
</t>
  </si>
  <si>
    <t xml:space="preserve">collateral_ratio_tranche_reit is: 0.29982295092269867
</t>
  </si>
  <si>
    <t xml:space="preserve"> 0.29982295092269867
</t>
  </si>
  <si>
    <t>Total plot size is: 149993567.07499737</t>
  </si>
  <si>
    <t xml:space="preserve"> plot size of gold is: 80007701.97023945</t>
  </si>
  <si>
    <t xml:space="preserve"> plot size of TB is: 40002925.325479746</t>
  </si>
  <si>
    <t xml:space="preserve"> plot size of REIT is: 29982939.77927818
</t>
  </si>
  <si>
    <t xml:space="preserve"> 29982939.77927818
</t>
  </si>
  <si>
    <t xml:space="preserve">collateral ratio is: 1.499844771209547
</t>
  </si>
  <si>
    <t xml:space="preserve"> 1.499844771209547
</t>
  </si>
  <si>
    <t>S_gtbcps_0 is: 1.0001441876336146</t>
  </si>
  <si>
    <t xml:space="preserve">stdev_gtbcps is: 0.006423806108592115
</t>
  </si>
  <si>
    <t xml:space="preserve"> 0.006423806108592115
</t>
  </si>
  <si>
    <t>predicted price of GTBCPS is: 1.0001385519557566</t>
  </si>
  <si>
    <t xml:space="preserve"> actual price is: 1.0001441876336146
</t>
  </si>
  <si>
    <t xml:space="preserve"> 1.0001441876336146
</t>
  </si>
  <si>
    <t>predicted amount of GTBCPS is: 99992206.4807795</t>
  </si>
  <si>
    <t xml:space="preserve"> actual amount is: 99991643.03815693
</t>
  </si>
  <si>
    <t>plot sizes of gold is: 80007701.97023945</t>
  </si>
  <si>
    <t xml:space="preserve"> plot sizes of tb is: 40002925.325479746 </t>
  </si>
  <si>
    <t xml:space="preserve"> plot sizes of reit is: 29982939.77927818</t>
  </si>
  <si>
    <t xml:space="preserve"> plot sizes of total is: 149993567.07499737.
</t>
  </si>
  <si>
    <t xml:space="preserve"> 149993567.07499737.
</t>
  </si>
  <si>
    <t>predicted stdevs of gold is: 0.0059885116212898375</t>
  </si>
  <si>
    <t xml:space="preserve"> predicted stdevs of tb is: 0.0006708781299361103</t>
  </si>
  <si>
    <t xml:space="preserve"> predicted stdevs of reit is: 0.015260860176436656</t>
  </si>
  <si>
    <t xml:space="preserve"> predicted stdevs of GTBCPS is: 0.006423806108592115.
</t>
  </si>
  <si>
    <t xml:space="preserve"> 0.006423806108592115.
</t>
  </si>
  <si>
    <t>total_value_of_collaterals is: 149993372.05068704</t>
  </si>
  <si>
    <t xml:space="preserve"> createdtionValue_gold is: 450.8317830823841</t>
  </si>
  <si>
    <t xml:space="preserve"> createdValue_tb is: 225.41093339348797</t>
  </si>
  <si>
    <t xml:space="preserve"> createdValue_reit is: 168.9497429277457
</t>
  </si>
  <si>
    <t xml:space="preserve"> 168.9497429277457
</t>
  </si>
  <si>
    <t>plotValue_gold_after_creation is: 80007100.84451294</t>
  </si>
  <si>
    <t xml:space="preserve"> plotValue_tb_after_creation  is: 40002670.521951646</t>
  </si>
  <si>
    <t xml:space="preserve"> plotValue_reit_after_creation  is: 29982755.491763067</t>
  </si>
  <si>
    <t xml:space="preserve">total_value_after_creation is: 149992526.85822764
</t>
  </si>
  <si>
    <t xml:space="preserve"> 149992526.85822764
</t>
  </si>
  <si>
    <t>total_amount_gtncps_before_creation is: 99991643.03815693</t>
  </si>
  <si>
    <t>creation_amount_gtbcps is: 563.4426225721836</t>
  </si>
  <si>
    <t xml:space="preserve">total_amount_gtbcps_new is: 99992206.4807795
</t>
  </si>
  <si>
    <t xml:space="preserve"> 99992206.4807795
</t>
  </si>
  <si>
    <t>payout of tranche of gold is: -150.29394341929478</t>
  </si>
  <si>
    <t xml:space="preserve"> payout of tranche of Treausry Bill Option is: -29.392594711065755</t>
  </si>
  <si>
    <t xml:space="preserve"> payout of tranche of Collar of REIT is: -15.337772187855482
</t>
  </si>
  <si>
    <t xml:space="preserve"> -15.337772187855482
</t>
  </si>
  <si>
    <t>Collateral size of tranche of gold is: 80007100.84451294</t>
  </si>
  <si>
    <t xml:space="preserve"> collateral size of tranche of Treausry Bill Option is: 40002670.521951646</t>
  </si>
  <si>
    <t xml:space="preserve"> collateral size of tranche of Collar of REIT is: 29982755.491763067
</t>
  </si>
  <si>
    <t xml:space="preserve"> 29982755.491763067
</t>
  </si>
  <si>
    <t>Collateral ratio of tranche of gold is: 0.800027030352377</t>
  </si>
  <si>
    <t xml:space="preserve"> collateral ratio of tranche of Treausry Bill Option is: 0.4000047166568015</t>
  </si>
  <si>
    <t xml:space="preserve"> collateral ratio of tranche of Collar of REIT is: 0.29981107407545454
</t>
  </si>
  <si>
    <t xml:space="preserve"> 0.29981107407545454
</t>
  </si>
  <si>
    <t xml:space="preserve"> current price of reit option is: 4.076494313341129</t>
  </si>
  <si>
    <t xml:space="preserve"> predicted price of reit is: 83.50147944923968
</t>
  </si>
  <si>
    <t xml:space="preserve"> 83.50147944923968
</t>
  </si>
  <si>
    <t>value_ratio_gold_to_total is: -0.5222043424791408</t>
  </si>
  <si>
    <t xml:space="preserve"> risk_ratio_to_gold is: 0.7372846442268178</t>
  </si>
  <si>
    <t xml:space="preserve"> risk_ratio_to_gold_before is: 0.7375699583585659
</t>
  </si>
  <si>
    <t xml:space="preserve"> 0.7375699583585659
</t>
  </si>
  <si>
    <t>value_ratio_tb_to_total is: 0.7636958060708811</t>
  </si>
  <si>
    <t xml:space="preserve"> risk_ratio_tb_to_gold is: 0.15234041961491246</t>
  </si>
  <si>
    <t xml:space="preserve"> risk_ratio_tb_to_gold_before is: 0.15256943766910305
</t>
  </si>
  <si>
    <t xml:space="preserve"> 0.15256943766910305
</t>
  </si>
  <si>
    <t>value_ratio_reit_to_total is: 0.7585085364082598</t>
  </si>
  <si>
    <t xml:space="preserve"> risk_ratio_reit_to_gold is: 0.20398784224477784</t>
  </si>
  <si>
    <t xml:space="preserve"> risk_ratio_reit_to_gold_before is: 0.2032341558306408
</t>
  </si>
  <si>
    <t xml:space="preserve"> 0.2032341558306408
</t>
  </si>
  <si>
    <t xml:space="preserve"> delta_reit is: 0.999834096344608
</t>
  </si>
  <si>
    <t xml:space="preserve"> 0.999834096344608
</t>
  </si>
  <si>
    <t>delta_gold_risk is: 0.9998357970392067</t>
  </si>
  <si>
    <t xml:space="preserve"> delta_tb_risk is: 0.9998012978249243</t>
  </si>
  <si>
    <t xml:space="preserve"> delta_reit_risk is: 1.0006263838260283
</t>
  </si>
  <si>
    <t xml:space="preserve"> 1.0006263838260283
</t>
  </si>
  <si>
    <t xml:space="preserve">collateral_ratio_tranche_gold is: 0.8001584187338368
</t>
  </si>
  <si>
    <t xml:space="preserve"> 0.8001584187338368
</t>
  </si>
  <si>
    <t xml:space="preserve">collateral_ratio_tranche_tb is: 0.4000842142603885
</t>
  </si>
  <si>
    <t xml:space="preserve"> 0.4000842142603885
</t>
  </si>
  <si>
    <t xml:space="preserve">collateral_ratio_tranche_reit is: 0.2995736862105924
</t>
  </si>
  <si>
    <t xml:space="preserve"> 0.2995736862105924
</t>
  </si>
  <si>
    <t>Total plot size is: 149987552.60949284</t>
  </si>
  <si>
    <t xml:space="preserve"> plot size of gold is: 80007100.84451294</t>
  </si>
  <si>
    <t xml:space="preserve"> plot size of TB is: 40002670.521951646</t>
  </si>
  <si>
    <t xml:space="preserve"> plot size of REIT is: 29977781.243028257
</t>
  </si>
  <si>
    <t xml:space="preserve"> 29977781.243028257
</t>
  </si>
  <si>
    <t xml:space="preserve">collateral ratio is: 1.4997846301994058
</t>
  </si>
  <si>
    <t xml:space="preserve"> 1.4997846301994058
</t>
  </si>
  <si>
    <t>S_gtbcps_0 is: 1.0001385519557566</t>
  </si>
  <si>
    <t xml:space="preserve">stdev_gtbcps is: 0.0064381105023770605
</t>
  </si>
  <si>
    <t xml:space="preserve"> 0.0064381105023770605
</t>
  </si>
  <si>
    <t>predicted price of GTBCPS is: 1.0001448056783822</t>
  </si>
  <si>
    <t xml:space="preserve"> actual price is: 1.0001385519557566
</t>
  </si>
  <si>
    <t xml:space="preserve"> 1.0001385519557566
</t>
  </si>
  <si>
    <t>predicted amount of GTBCPS is: 99991581.24779274</t>
  </si>
  <si>
    <t xml:space="preserve"> actual amount is: 99992206.4807795
</t>
  </si>
  <si>
    <t>plot sizes of gold is: 80007100.84451294</t>
  </si>
  <si>
    <t xml:space="preserve"> plot sizes of tb is: 40002670.521951646 </t>
  </si>
  <si>
    <t xml:space="preserve"> plot sizes of reit is: 29977781.243028257</t>
  </si>
  <si>
    <t xml:space="preserve"> plot sizes of total is: 149987552.60949284.
</t>
  </si>
  <si>
    <t xml:space="preserve"> 149987552.60949284.
</t>
  </si>
  <si>
    <t>predicted stdevs of gold is: 0.005984090072955239</t>
  </si>
  <si>
    <t xml:space="preserve"> predicted stdevs of tb is: 0.0006711192873715796</t>
  </si>
  <si>
    <t xml:space="preserve"> predicted stdevs of reit is: 0.01534537103624908</t>
  </si>
  <si>
    <t xml:space="preserve"> predicted stdevs of GTBCPS is: 0.0064381105023770605.
</t>
  </si>
  <si>
    <t xml:space="preserve"> 0.0064381105023770605.
</t>
  </si>
  <si>
    <t>total_value_of_collaterals is: 149987769.0163256</t>
  </si>
  <si>
    <t xml:space="preserve"> createdtionValue_gold is: -500.27390419091114</t>
  </si>
  <si>
    <t xml:space="preserve"> createdValue_tb is: -250.13114543746124</t>
  </si>
  <si>
    <t xml:space="preserve"> createdValue_reit is: -187.44691380464135
</t>
  </si>
  <si>
    <t xml:space="preserve"> -187.44691380464135
</t>
  </si>
  <si>
    <t>plotValue_gold_after_creation is: 80007761.24077976</t>
  </si>
  <si>
    <t xml:space="preserve"> plotValue_tb_after_creation  is: 40002951.97369749</t>
  </si>
  <si>
    <t xml:space="preserve"> plotValue_reit_after_creation  is: 29977993.653811768</t>
  </si>
  <si>
    <t xml:space="preserve">total_value_after_creation is: 149988706.868289
</t>
  </si>
  <si>
    <t xml:space="preserve"> 149988706.868289
</t>
  </si>
  <si>
    <t>total_amount_gtncps_before_creation is: 99992206.4807795</t>
  </si>
  <si>
    <t>creation_amount_gtbcps is: -625.2329867631197</t>
  </si>
  <si>
    <t xml:space="preserve">total_amount_gtbcps_new is: 99991581.24779274
</t>
  </si>
  <si>
    <t xml:space="preserve"> 99991581.24779274
</t>
  </si>
  <si>
    <t>payout of tranche of gold is: 160.12236262820576</t>
  </si>
  <si>
    <t xml:space="preserve"> payout of tranche of Treausry Bill Option is: 31.320600404855995</t>
  </si>
  <si>
    <t xml:space="preserve"> payout of tranche of Collar of REIT is: 24.963869705053988
</t>
  </si>
  <si>
    <t xml:space="preserve"> 24.963869705053988
</t>
  </si>
  <si>
    <t>Collateral size of tranche of gold is: 80007761.24077976</t>
  </si>
  <si>
    <t xml:space="preserve"> collateral size of tranche of Treausry Bill Option is: 40002951.97369749</t>
  </si>
  <si>
    <t xml:space="preserve"> collateral size of tranche of Collar of REIT is: 29977993.653811768
</t>
  </si>
  <si>
    <t xml:space="preserve"> 29977993.653811768
</t>
  </si>
  <si>
    <t>Collateral ratio of tranche of gold is: 0.800024123434349</t>
  </si>
  <si>
    <t xml:space="preserve"> collateral ratio of tranche of Treausry Bill Option is: 0.40000277587109484</t>
  </si>
  <si>
    <t xml:space="preserve"> collateral ratio of tranche of Collar of REIT is: 0.29975989483114174
</t>
  </si>
  <si>
    <t xml:space="preserve"> 0.29975989483114174
</t>
  </si>
  <si>
    <t xml:space="preserve"> current price of reit option is: 4.076713668636273</t>
  </si>
  <si>
    <t xml:space="preserve"> predicted price of reit is: 83.58383982580858
</t>
  </si>
  <si>
    <t xml:space="preserve"> 83.58383982580858
</t>
  </si>
  <si>
    <t>value_ratio_gold_to_total is: -0.5150005680619282</t>
  </si>
  <si>
    <t xml:space="preserve"> risk_ratio_to_gold is: 0.7367478194549236</t>
  </si>
  <si>
    <t xml:space="preserve"> risk_ratio_to_gold_before is: 0.7372846442268178
</t>
  </si>
  <si>
    <t xml:space="preserve"> 0.7372846442268178
</t>
  </si>
  <si>
    <t>value_ratio_tb_to_total is: 0.7531606728619386</t>
  </si>
  <si>
    <t xml:space="preserve"> risk_ratio_tb_to_gold is: 0.1530107908600606</t>
  </si>
  <si>
    <t xml:space="preserve"> risk_ratio_tb_to_gold_before is: 0.15234041961491246
</t>
  </si>
  <si>
    <t xml:space="preserve"> 0.15234041961491246
</t>
  </si>
  <si>
    <t>value_ratio_reit_to_total is: 0.7618398951999896</t>
  </si>
  <si>
    <t xml:space="preserve"> risk_ratio_reit_to_gold is: 0.20430574757210085</t>
  </si>
  <si>
    <t xml:space="preserve"> risk_ratio_reit_to_gold_before is: 0.20398784224477784
</t>
  </si>
  <si>
    <t xml:space="preserve"> 0.20398784224477784
</t>
  </si>
  <si>
    <t xml:space="preserve"> delta_reit is: 1.0000025162206496
</t>
  </si>
  <si>
    <t xml:space="preserve"> 1.0000025162206496
</t>
  </si>
  <si>
    <t>delta_gold_risk is: 0.9996909978029921</t>
  </si>
  <si>
    <t xml:space="preserve"> delta_tb_risk is: 1.0005817475754015</t>
  </si>
  <si>
    <t xml:space="preserve"> delta_reit_risk is: 1.0002640436357981
</t>
  </si>
  <si>
    <t xml:space="preserve"> 1.0002640436357981
</t>
  </si>
  <si>
    <t xml:space="preserve">collateral_ratio_tranche_gold is: 0.8002714090579506
</t>
  </si>
  <si>
    <t xml:space="preserve"> 0.8002714090579506
</t>
  </si>
  <si>
    <t xml:space="preserve">collateral_ratio_tranche_tb is: 0.39977021052040684
</t>
  </si>
  <si>
    <t xml:space="preserve"> 0.39977021052040684
</t>
  </si>
  <si>
    <t xml:space="preserve">collateral_ratio_tranche_reit is: 0.29968152009503163
</t>
  </si>
  <si>
    <t xml:space="preserve"> 0.29968152009503163
</t>
  </si>
  <si>
    <t>Total plot size is: 149988782.2995357</t>
  </si>
  <si>
    <t xml:space="preserve"> plot size of gold is: 80007761.24077976</t>
  </si>
  <si>
    <t xml:space="preserve"> plot size of TB is: 40002951.97369749</t>
  </si>
  <si>
    <t xml:space="preserve"> plot size of REIT is: 29978069.085058432
</t>
  </si>
  <si>
    <t xml:space="preserve"> 29978069.085058432
</t>
  </si>
  <si>
    <t xml:space="preserve">collateral ratio is: 1.4997969263546138
</t>
  </si>
  <si>
    <t xml:space="preserve"> 1.4997969263546138
</t>
  </si>
  <si>
    <t>S_gtbcps_0 is: 1.0001448056783822</t>
  </si>
  <si>
    <t xml:space="preserve">stdev_gtbcps is: 0.006446520130851067
</t>
  </si>
  <si>
    <t xml:space="preserve"> 0.006446520130851067
</t>
  </si>
  <si>
    <t>predicted price of GTBCPS is: 1.0000901799271098</t>
  </si>
  <si>
    <t xml:space="preserve"> actual price is: 1.0001448056783822
</t>
  </si>
  <si>
    <t xml:space="preserve"> 1.0001448056783822
</t>
  </si>
  <si>
    <t>predicted amount of GTBCPS is: 99997042.87051055</t>
  </si>
  <si>
    <t xml:space="preserve"> actual amount is: 99991581.24779274
</t>
  </si>
  <si>
    <t>plot sizes of gold is: 80007761.24077976</t>
  </si>
  <si>
    <t xml:space="preserve"> plot sizes of tb is: 40002951.97369749 </t>
  </si>
  <si>
    <t xml:space="preserve"> plot sizes of reit is: 29978069.085058432</t>
  </si>
  <si>
    <t xml:space="preserve"> plot sizes of total is: 149988782.29953566.
</t>
  </si>
  <si>
    <t xml:space="preserve"> 149988782.29953566.
</t>
  </si>
  <si>
    <t>predicted stdevs of gold is: 0.005998307140711246</t>
  </si>
  <si>
    <t xml:space="preserve"> predicted stdevs of tb is: 0.0006751602179772275</t>
  </si>
  <si>
    <t xml:space="preserve"> predicted stdevs of reit is: 0.015344089569393773</t>
  </si>
  <si>
    <t xml:space="preserve"> predicted stdevs of GTBCPS is: 0.006446520130851067.
</t>
  </si>
  <si>
    <t xml:space="preserve"> 0.006446520130851067.
</t>
  </si>
  <si>
    <t>total_value_of_collaterals is: 149986892.03553647</t>
  </si>
  <si>
    <t xml:space="preserve"> createdtionValue_gold is: 4369.774891716725</t>
  </si>
  <si>
    <t xml:space="preserve"> createdValue_tb is: 2184.859990131155</t>
  </si>
  <si>
    <t xml:space="preserve"> createdValue_reit is: 1637.3255341833494
</t>
  </si>
  <si>
    <t xml:space="preserve"> 1637.3255341833494
</t>
  </si>
  <si>
    <t>plotValue_gold_after_creation is: 80001992.75841767</t>
  </si>
  <si>
    <t xml:space="preserve"> plotValue_tb_after_creation  is: 40000493.71878726</t>
  </si>
  <si>
    <t xml:space="preserve"> plotValue_reit_after_creation  is: 29976213.59791551</t>
  </si>
  <si>
    <t xml:space="preserve">total_value_after_creation is: 149978700.07512042
</t>
  </si>
  <si>
    <t xml:space="preserve"> 149978700.07512042
</t>
  </si>
  <si>
    <t>total_amount_gtncps_before_creation is: 99991581.24779274</t>
  </si>
  <si>
    <t>creation_amount_gtbcps is: 5461.622717812657</t>
  </si>
  <si>
    <t xml:space="preserve">total_amount_gtbcps_new is: 99997042.87051055
</t>
  </si>
  <si>
    <t xml:space="preserve"> 99997042.87051055
</t>
  </si>
  <si>
    <t>payout of tranche of gold is: -1398.707470371886</t>
  </si>
  <si>
    <t xml:space="preserve"> payout of tranche of Treausry Bill Option is: -273.39492009684045</t>
  </si>
  <si>
    <t xml:space="preserve"> payout of tranche of Collar of REIT is: -218.16160873607964
</t>
  </si>
  <si>
    <t xml:space="preserve"> -218.16160873607964
</t>
  </si>
  <si>
    <t>Collateral size of tranche of gold is: 80001992.75841767</t>
  </si>
  <si>
    <t xml:space="preserve"> collateral size of tranche of Treausry Bill Option is: 40000493.71878726</t>
  </si>
  <si>
    <t xml:space="preserve"> collateral size of tranche of Collar of REIT is: 29976213.59791551
</t>
  </si>
  <si>
    <t xml:space="preserve"> 29976213.59791551
</t>
  </si>
  <si>
    <t>Collateral ratio of tranche of gold is: 0.8000151396431586</t>
  </si>
  <si>
    <t xml:space="preserve"> collateral ratio of tranche of Treausry Bill Option is: 0.4000025432474467</t>
  </si>
  <si>
    <t xml:space="preserve"> collateral ratio of tranche of Collar of REIT is: 0.2997603419695598
</t>
  </si>
  <si>
    <t xml:space="preserve"> 0.2997603419695598
</t>
  </si>
  <si>
    <t xml:space="preserve"> current price of reit option is: 4.064280528462675</t>
  </si>
  <si>
    <t xml:space="preserve"> predicted price of reit is: 83.6135232163776
</t>
  </si>
  <si>
    <t xml:space="preserve"> 83.6135232163776
</t>
  </si>
  <si>
    <t>value_ratio_gold_to_total is: -0.5135207797835446</t>
  </si>
  <si>
    <t xml:space="preserve"> risk_ratio_to_gold is: 0.7385059555322766</t>
  </si>
  <si>
    <t xml:space="preserve"> risk_ratio_to_gold_before is: 0.7367478194549236
</t>
  </si>
  <si>
    <t xml:space="preserve"> 0.7367478194549236
</t>
  </si>
  <si>
    <t>value_ratio_tb_to_total is: 0.7509965619763238</t>
  </si>
  <si>
    <t xml:space="preserve"> risk_ratio_tb_to_gold is: 0.15163034671621112</t>
  </si>
  <si>
    <t xml:space="preserve"> risk_ratio_tb_to_gold_before is: 0.1530107908600606
</t>
  </si>
  <si>
    <t xml:space="preserve"> 0.1530107908600606
</t>
  </si>
  <si>
    <t>value_ratio_reit_to_total is: 0.7625242178072208</t>
  </si>
  <si>
    <t xml:space="preserve"> risk_ratio_reit_to_gold is: 0.2024548742746636</t>
  </si>
  <si>
    <t xml:space="preserve"> risk_ratio_reit_to_gold_before is: 0.20430574757210085
</t>
  </si>
  <si>
    <t xml:space="preserve"> 0.20430574757210085
</t>
  </si>
  <si>
    <t xml:space="preserve"> delta_reit is: 0.9998573800313136
</t>
  </si>
  <si>
    <t xml:space="preserve"> 0.9998573800313136
</t>
  </si>
  <si>
    <t>delta_gold_risk is: 1.0010123151200527</t>
  </si>
  <si>
    <t xml:space="preserve"> delta_tb_risk is: 0.9988027482875337</t>
  </si>
  <si>
    <t xml:space="preserve"> delta_reit_risk is: 0.9984631200995523
</t>
  </si>
  <si>
    <t xml:space="preserve"> 0.9984631200995523
</t>
  </si>
  <si>
    <t xml:space="preserve">collateral_ratio_tranche_gold is: 0.7992060912329653
</t>
  </si>
  <si>
    <t xml:space="preserve"> 0.7992060912329653
</t>
  </si>
  <si>
    <t xml:space="preserve">collateral_ratio_tranche_tb is: 0.4004820210329404
</t>
  </si>
  <si>
    <t xml:space="preserve"> 0.4004820210329404
</t>
  </si>
  <si>
    <t xml:space="preserve">collateral_ratio_tranche_reit is: 0.3001789291216797
</t>
  </si>
  <si>
    <t xml:space="preserve"> 0.3001789291216797
</t>
  </si>
  <si>
    <t>Total plot size is: 149974424.86847576</t>
  </si>
  <si>
    <t xml:space="preserve"> plot size of gold is: 80001992.75841767</t>
  </si>
  <si>
    <t xml:space="preserve"> plot size of TB is: 40000493.71878726</t>
  </si>
  <si>
    <t xml:space="preserve"> plot size of REIT is: 29971938.391270842
</t>
  </si>
  <si>
    <t xml:space="preserve"> 29971938.391270842
</t>
  </si>
  <si>
    <t xml:space="preserve">collateral ratio is: 1.4996533607449472
</t>
  </si>
  <si>
    <t xml:space="preserve"> 1.4996533607449472
</t>
  </si>
  <si>
    <t>S_gtbcps_0 is: 1.0000901799271098</t>
  </si>
  <si>
    <t xml:space="preserve">stdev_gtbcps is: 0.006473754249142077
</t>
  </si>
  <si>
    <t xml:space="preserve"> 0.006473754249142077
</t>
  </si>
  <si>
    <t>predicted price of GTBCPS is: 1.0000457358863128</t>
  </si>
  <si>
    <t xml:space="preserve"> actual price is: 1.0000901799271098
</t>
  </si>
  <si>
    <t xml:space="preserve"> 1.0000901799271098
</t>
  </si>
  <si>
    <t>predicted amount of GTBCPS is: 100001486.93991001</t>
  </si>
  <si>
    <t xml:space="preserve"> actual amount is: 99997042.87051055
</t>
  </si>
  <si>
    <t>plot sizes of gold is: 80001992.75841767</t>
  </si>
  <si>
    <t xml:space="preserve"> plot sizes of tb is: 40000493.71878726 </t>
  </si>
  <si>
    <t xml:space="preserve"> plot sizes of reit is: 29971938.391270842</t>
  </si>
  <si>
    <t xml:space="preserve"> plot sizes of total is: 149974424.86847576.
</t>
  </si>
  <si>
    <t xml:space="preserve"> 149974424.86847576.
</t>
  </si>
  <si>
    <t>predicted stdevs of gold is: 0.0060236059730641</t>
  </si>
  <si>
    <t xml:space="preserve"> predicted stdevs of tb is: 0.0006731944474886881</t>
  </si>
  <si>
    <t xml:space="preserve"> predicted stdevs of reit is: 0.015416719883708949</t>
  </si>
  <si>
    <t xml:space="preserve"> predicted stdevs of GTBCPS is: 0.006473754249142077.
</t>
  </si>
  <si>
    <t xml:space="preserve"> 0.006473754249142077.
</t>
  </si>
  <si>
    <t>total_value_of_collaterals is: 149972886.27983913</t>
  </si>
  <si>
    <t xml:space="preserve"> createdtionValue_gold is: 3555.2385338241866</t>
  </si>
  <si>
    <t xml:space="preserve"> createdValue_tb is: 1777.6129544151693</t>
  </si>
  <si>
    <t xml:space="preserve"> createdValue_reit is: 1331.9485568398516
</t>
  </si>
  <si>
    <t xml:space="preserve"> 1331.9485568398516
</t>
  </si>
  <si>
    <t>plotValue_gold_after_creation is: 79997252.09620146</t>
  </si>
  <si>
    <t xml:space="preserve"> plotValue_tb_after_creation  is: 39998484.00913402</t>
  </si>
  <si>
    <t xml:space="preserve"> plotValue_reit_after_creation  is: 29970485.374458574</t>
  </si>
  <si>
    <t xml:space="preserve">total_value_after_creation is: 149966221.47979406
</t>
  </si>
  <si>
    <t xml:space="preserve"> 149966221.47979406
</t>
  </si>
  <si>
    <t>total_amount_gtncps_before_creation is: 99997042.87051055</t>
  </si>
  <si>
    <t>creation_amount_gtbcps is: 4444.06939946115</t>
  </si>
  <si>
    <t xml:space="preserve">total_amount_gtbcps_new is: 100001486.93991001
</t>
  </si>
  <si>
    <t xml:space="preserve"> 100001486.93991001
</t>
  </si>
  <si>
    <t>payout of tranche of gold is: -1185.423682378611</t>
  </si>
  <si>
    <t xml:space="preserve"> payout of tranche of Treausry Bill Option is: -232.09669882689263</t>
  </si>
  <si>
    <t xml:space="preserve"> payout of tranche of Collar of REIT is: -121.06825542940787
</t>
  </si>
  <si>
    <t xml:space="preserve"> -121.06825542940787
</t>
  </si>
  <si>
    <t>Collateral size of tranche of gold is: 79997252.09620146</t>
  </si>
  <si>
    <t xml:space="preserve"> collateral size of tranche of Treausry Bill Option is: 39998484.00913402</t>
  </si>
  <si>
    <t xml:space="preserve"> collateral size of tranche of Collar of REIT is: 29970485.374458574
</t>
  </si>
  <si>
    <t xml:space="preserve"> 29970485.374458574
</t>
  </si>
  <si>
    <t>Collateral ratio of tranche of gold is: 0.7999595910239954</t>
  </si>
  <si>
    <t xml:space="preserve"> collateral ratio of tranche of Treausry Bill Option is: 0.3999783751452883</t>
  </si>
  <si>
    <t xml:space="preserve"> collateral ratio of tranche of Collar of REIT is: 0.2997000096217172
</t>
  </si>
  <si>
    <t xml:space="preserve"> 0.2997000096217172
</t>
  </si>
  <si>
    <t xml:space="preserve"> current price of reit option is: 4.049199828798777</t>
  </si>
  <si>
    <t xml:space="preserve"> predicted price of reit is: 83.77231909759746
</t>
  </si>
  <si>
    <t xml:space="preserve"> 83.77231909759746
</t>
  </si>
  <si>
    <t>value_ratio_gold_to_total is: -0.5015151978066976</t>
  </si>
  <si>
    <t xml:space="preserve"> risk_ratio_to_gold is: 0.7382685011249999</t>
  </si>
  <si>
    <t xml:space="preserve"> risk_ratio_to_gold_before is: 0.7385059555322766
</t>
  </si>
  <si>
    <t xml:space="preserve"> 0.7385059555322766
</t>
  </si>
  <si>
    <t>value_ratio_tb_to_total is: 0.733439043090842</t>
  </si>
  <si>
    <t xml:space="preserve"> risk_ratio_tb_to_gold is: 0.15219648201421043</t>
  </si>
  <si>
    <t xml:space="preserve"> risk_ratio_tb_to_gold_before is: 0.15163034671621112
</t>
  </si>
  <si>
    <t xml:space="preserve"> 0.15163034671621112
</t>
  </si>
  <si>
    <t>value_ratio_reit_to_total is: 0.7680761547158558</t>
  </si>
  <si>
    <t xml:space="preserve"> risk_ratio_reit_to_gold is: 0.2023242627773721</t>
  </si>
  <si>
    <t xml:space="preserve"> risk_ratio_reit_to_gold_before is: 0.2024548742746636
</t>
  </si>
  <si>
    <t xml:space="preserve"> 0.2024548742746636
</t>
  </si>
  <si>
    <t xml:space="preserve"> delta_reit is: 0.9998269853250383
</t>
  </si>
  <si>
    <t xml:space="preserve"> 0.9998269853250383
</t>
  </si>
  <si>
    <t>delta_gold_risk is: 0.9998634146713613</t>
  </si>
  <si>
    <t xml:space="preserve"> delta_tb_risk is: 1.0004915946333068</t>
  </si>
  <si>
    <t xml:space="preserve"> delta_reit_risk is: 0.9998913792940709
</t>
  </si>
  <si>
    <t xml:space="preserve"> 0.9998913792940709
</t>
  </si>
  <si>
    <t xml:space="preserve">collateral_ratio_tranche_gold is: 0.8000688686933596
</t>
  </si>
  <si>
    <t xml:space="preserve"> 0.8000688686933596
</t>
  </si>
  <si>
    <t xml:space="preserve">collateral_ratio_tranche_tb is: 0.3997818445360209
</t>
  </si>
  <si>
    <t xml:space="preserve"> 0.3997818445360209
</t>
  </si>
  <si>
    <t xml:space="preserve">collateral_ratio_tranche_reit is: 0.2996807086520936
</t>
  </si>
  <si>
    <t xml:space="preserve"> 0.2996807086520936
</t>
  </si>
  <si>
    <t>Total plot size is: 149961036.14600855</t>
  </si>
  <si>
    <t xml:space="preserve"> plot size of gold is: 79997252.09620146</t>
  </si>
  <si>
    <t xml:space="preserve"> plot size of TB is: 39998484.00913402</t>
  </si>
  <si>
    <t xml:space="preserve"> plot size of REIT is: 29965300.04067307
</t>
  </si>
  <si>
    <t xml:space="preserve"> 29965300.04067307
</t>
  </si>
  <si>
    <t xml:space="preserve">collateral ratio is: 1.4995194816341477
</t>
  </si>
  <si>
    <t xml:space="preserve"> 1.4995194816341477
</t>
  </si>
  <si>
    <t>S_gtbcps_0 is: 1.0000457358863128</t>
  </si>
  <si>
    <t xml:space="preserve">stdev_gtbcps is: 0.006503914766971871
</t>
  </si>
  <si>
    <t xml:space="preserve"> 0.006503914766971871
</t>
  </si>
  <si>
    <t>predicted price of GTBCPS is: 1.0000706251932545</t>
  </si>
  <si>
    <t xml:space="preserve"> actual price is: 1.0000457358863128
</t>
  </si>
  <si>
    <t xml:space="preserve"> 1.0000457358863128
</t>
  </si>
  <si>
    <t>predicted amount of GTBCPS is: 99998998.14797835</t>
  </si>
  <si>
    <t xml:space="preserve"> actual amount is: 100001486.93991001
</t>
  </si>
  <si>
    <t>plot sizes of gold is: 79997252.09620146</t>
  </si>
  <si>
    <t xml:space="preserve"> plot sizes of tb is: 39998484.00913402 </t>
  </si>
  <si>
    <t xml:space="preserve"> plot sizes of reit is: 29965300.04067307</t>
  </si>
  <si>
    <t xml:space="preserve"> plot sizes of total is: 149961036.14600855.
</t>
  </si>
  <si>
    <t xml:space="preserve"> 149961036.14600855.
</t>
  </si>
  <si>
    <t>predicted stdevs of gold is: 0.0060456240931750236</t>
  </si>
  <si>
    <t xml:space="preserve"> predicted stdevs of tb is: 0.0006773834630517693</t>
  </si>
  <si>
    <t xml:space="preserve"> predicted stdevs of reit is: 0.015504806244365307</t>
  </si>
  <si>
    <t xml:space="preserve"> predicted stdevs of GTBCPS is: 0.006503914766971871.
</t>
  </si>
  <si>
    <t xml:space="preserve"> 0.006503914766971871.
</t>
  </si>
  <si>
    <t>total_value_of_collaterals is: 149961897.48251942</t>
  </si>
  <si>
    <t xml:space="preserve"> createdtionValue_gold is: -1991.0009648510502</t>
  </si>
  <si>
    <t xml:space="preserve"> createdValue_tb is: -995.4921171256817</t>
  </si>
  <si>
    <t xml:space="preserve"> createdValue_reit is: -745.7839150234752
</t>
  </si>
  <si>
    <t xml:space="preserve"> -745.7839150234752
</t>
  </si>
  <si>
    <t>plotValue_gold_after_creation is: 79999880.44447817</t>
  </si>
  <si>
    <t xml:space="preserve"> plotValue_tb_after_creation  is: 39999604.09835006</t>
  </si>
  <si>
    <t xml:space="preserve"> plotValue_reit_after_creation  is: 29966145.216688193</t>
  </si>
  <si>
    <t xml:space="preserve">total_value_after_creation is: 149965629.75951642
</t>
  </si>
  <si>
    <t xml:space="preserve"> 149965629.75951642
</t>
  </si>
  <si>
    <t>total_amount_gtncps_before_creation is: 100001486.93991001</t>
  </si>
  <si>
    <t>creation_amount_gtbcps is: -2488.7919316589832</t>
  </si>
  <si>
    <t xml:space="preserve">total_amount_gtbcps_new is: 99998998.14797835
</t>
  </si>
  <si>
    <t xml:space="preserve"> 99998998.14797835
</t>
  </si>
  <si>
    <t>payout of tranche of gold is: 637.3473118490692</t>
  </si>
  <si>
    <t xml:space="preserve"> payout of tranche of Treausry Bill Option is: 124.59709891467487</t>
  </si>
  <si>
    <t xml:space="preserve"> payout of tranche of Collar of REIT is: 99.39210009945921
</t>
  </si>
  <si>
    <t xml:space="preserve"> 99.39210009945921
</t>
  </si>
  <si>
    <t>Collateral size of tranche of gold is: 79999880.44447817</t>
  </si>
  <si>
    <t xml:space="preserve"> collateral size of tranche of Treausry Bill Option is: 39999604.09835006</t>
  </si>
  <si>
    <t xml:space="preserve"> collateral size of tranche of Collar of REIT is: 29966145.216688193
</t>
  </si>
  <si>
    <t xml:space="preserve"> 29966145.216688193
</t>
  </si>
  <si>
    <t>Collateral ratio of tranche of gold is: 0.7999304138800847</t>
  </si>
  <si>
    <t xml:space="preserve"> collateral ratio of tranche of Treausry Bill Option is: 0.39996184598849877</t>
  </si>
  <si>
    <t xml:space="preserve"> collateral ratio of tranche of Collar of REIT is: 0.29963583460868337
</t>
  </si>
  <si>
    <t xml:space="preserve"> 0.29963583460868337
</t>
  </si>
  <si>
    <t xml:space="preserve"> current price of reit option is: 4.037444094556363</t>
  </si>
  <si>
    <t xml:space="preserve"> predicted price of reit is: 83.71708129859257
</t>
  </si>
  <si>
    <t xml:space="preserve"> 83.71708129859257
</t>
  </si>
  <si>
    <t>value_ratio_gold_to_total is: -0.5070410408375476</t>
  </si>
  <si>
    <t xml:space="preserve"> risk_ratio_to_gold is: 0.7377376345345844</t>
  </si>
  <si>
    <t xml:space="preserve"> risk_ratio_to_gold_before is: 0.7382685011249999
</t>
  </si>
  <si>
    <t xml:space="preserve"> 0.7382685011249999
</t>
  </si>
  <si>
    <t>value_ratio_tb_to_total is: 0.7415202917599579</t>
  </si>
  <si>
    <t xml:space="preserve"> risk_ratio_tb_to_gold is: 0.15235898657734445</t>
  </si>
  <si>
    <t xml:space="preserve"> risk_ratio_tb_to_gold_before is: 0.15219648201421043
</t>
  </si>
  <si>
    <t xml:space="preserve"> 0.15219648201421043
</t>
  </si>
  <si>
    <t>value_ratio_reit_to_total is: 0.7655207490775897</t>
  </si>
  <si>
    <t xml:space="preserve"> risk_ratio_reit_to_gold is: 0.2031364540624282</t>
  </si>
  <si>
    <t xml:space="preserve"> risk_ratio_reit_to_gold_before is: 0.2023242627773721
</t>
  </si>
  <si>
    <t xml:space="preserve"> 0.2023242627773721
</t>
  </si>
  <si>
    <t xml:space="preserve"> delta_reit is: 0.9998651079497516
</t>
  </si>
  <si>
    <t xml:space="preserve"> 0.9998651079497516
</t>
  </si>
  <si>
    <t>delta_gold_risk is: 0.9996946003508251</t>
  </si>
  <si>
    <t xml:space="preserve"> delta_tb_risk is: 1.0001410389336114</t>
  </si>
  <si>
    <t xml:space="preserve"> delta_reit_risk is: 1.0006755176703996
</t>
  </si>
  <si>
    <t xml:space="preserve"> 1.0006755176703996
</t>
  </si>
  <si>
    <t xml:space="preserve">collateral_ratio_tranche_gold is: 0.8001747869793067
</t>
  </si>
  <si>
    <t xml:space="preserve"> 0.8001747869793067
</t>
  </si>
  <si>
    <t xml:space="preserve">collateral_ratio_tranche_tb is: 0.3999054437511667
</t>
  </si>
  <si>
    <t xml:space="preserve"> 0.3999054437511667
</t>
  </si>
  <si>
    <t xml:space="preserve">collateral_ratio_tranche_reit is: 0.2993931707393937
</t>
  </si>
  <si>
    <t xml:space="preserve"> 0.2993931707393937
</t>
  </si>
  <si>
    <t>Total plot size is: 149961587.5647501</t>
  </si>
  <si>
    <t xml:space="preserve"> plot size of gold is: 79999880.44447817</t>
  </si>
  <si>
    <t xml:space="preserve"> plot size of TB is: 39999604.09835006</t>
  </si>
  <si>
    <t xml:space="preserve"> plot size of REIT is: 29962103.021921873
</t>
  </si>
  <si>
    <t xml:space="preserve"> 29962103.021921873
</t>
  </si>
  <si>
    <t xml:space="preserve">collateral ratio is: 1.499524995487391
</t>
  </si>
  <si>
    <t xml:space="preserve"> 1.499524995487391
</t>
  </si>
  <si>
    <t>S_gtbcps_0 is: 1.0000706251932545</t>
  </si>
  <si>
    <t xml:space="preserve">stdev_gtbcps is: 0.0065370534695893484
</t>
  </si>
  <si>
    <t xml:space="preserve"> 0.0065370534695893484
</t>
  </si>
  <si>
    <t>predicted price of GTBCPS is: 1.000098043286083</t>
  </si>
  <si>
    <t xml:space="preserve"> actual price is: 1.0000706251932545
</t>
  </si>
  <si>
    <t xml:space="preserve"> 1.0000706251932545
</t>
  </si>
  <si>
    <t>predicted amount of GTBCPS is: 99996256.63495131</t>
  </si>
  <si>
    <t xml:space="preserve"> actual amount is: 99998998.14797835
</t>
  </si>
  <si>
    <t>plot sizes of gold is: 79999880.44447817</t>
  </si>
  <si>
    <t xml:space="preserve"> plot sizes of tb is: 39999604.09835006 </t>
  </si>
  <si>
    <t xml:space="preserve"> plot sizes of reit is: 29962103.021921873</t>
  </si>
  <si>
    <t xml:space="preserve"> plot sizes of total is: 149961587.5647501.
</t>
  </si>
  <si>
    <t xml:space="preserve"> 149961587.5647501.
</t>
  </si>
  <si>
    <t>predicted stdevs of gold is: 0.006080784708794446</t>
  </si>
  <si>
    <t xml:space="preserve"> predicted stdevs of tb is: 0.0006807852427478439</t>
  </si>
  <si>
    <t xml:space="preserve"> predicted stdevs of reit is: 0.015573463787097905</t>
  </si>
  <si>
    <t xml:space="preserve"> predicted stdevs of GTBCPS is: 0.0065370534695893484.
</t>
  </si>
  <si>
    <t xml:space="preserve"> 0.0065370534695893484.
</t>
  </si>
  <si>
    <t>total_value_of_collaterals is: 149962536.38137922</t>
  </si>
  <si>
    <t xml:space="preserve"> createdtionValue_gold is: -2193.3084966415827</t>
  </si>
  <si>
    <t xml:space="preserve"> createdValue_tb is: -1096.6391726479712</t>
  </si>
  <si>
    <t xml:space="preserve"> createdValue_reit is: -821.4487058637021
</t>
  </si>
  <si>
    <t xml:space="preserve"> -821.4487058637021
</t>
  </si>
  <si>
    <t>plotValue_gold_after_creation is: 80002775.88694991</t>
  </si>
  <si>
    <t xml:space="preserve"> plotValue_tb_after_creation  is: 40000838.045603395</t>
  </si>
  <si>
    <t xml:space="preserve"> plotValue_reit_after_creation  is: 29963033.845201053</t>
  </si>
  <si>
    <t xml:space="preserve">total_value_after_creation is: 149966647.77775437
</t>
  </si>
  <si>
    <t xml:space="preserve"> 149966647.77775437
</t>
  </si>
  <si>
    <t>total_amount_gtncps_before_creation is: 99998998.14797835</t>
  </si>
  <si>
    <t>creation_amount_gtbcps is: -2741.5130270421505</t>
  </si>
  <si>
    <t xml:space="preserve">total_amount_gtbcps_new is: 99996256.63495131
</t>
  </si>
  <si>
    <t xml:space="preserve"> 99996256.63495131
</t>
  </si>
  <si>
    <t>payout of tranche of gold is: 702.1339751022908</t>
  </si>
  <si>
    <t xml:space="preserve"> payout of tranche of Treausry Bill Option is: 137.30808068208154</t>
  </si>
  <si>
    <t xml:space="preserve"> payout of tranche of Collar of REIT is: 109.37457331740704
</t>
  </si>
  <si>
    <t xml:space="preserve"> 109.37457331740704
</t>
  </si>
  <si>
    <t>Collateral size of tranche of gold is: 80002775.88694991</t>
  </si>
  <si>
    <t xml:space="preserve"> collateral size of tranche of Treausry Bill Option is: 40000838.045603395</t>
  </si>
  <si>
    <t xml:space="preserve"> collateral size of tranche of Collar of REIT is: 29963033.845201053
</t>
  </si>
  <si>
    <t xml:space="preserve"> 29963033.845201053
</t>
  </si>
  <si>
    <t>Collateral ratio of tranche of gold is: 0.7999573435973827</t>
  </si>
  <si>
    <t xml:space="preserve"> collateral ratio of tranche of Treausry Bill Option is: 0.39997317330397403</t>
  </si>
  <si>
    <t xml:space="preserve"> collateral ratio of tranche of Collar of REIT is: 0.29960396617732066
</t>
  </si>
  <si>
    <t xml:space="preserve"> 0.29960396617732066
</t>
  </si>
  <si>
    <t xml:space="preserve"> current price of reit option is: 4.0543275899923685</t>
  </si>
  <si>
    <t xml:space="preserve"> predicted price of reit is: 83.87166246126259
</t>
  </si>
  <si>
    <t xml:space="preserve"> 83.87166246126259
</t>
  </si>
  <si>
    <t>value_ratio_gold_to_total is: -0.493134423636386</t>
  </si>
  <si>
    <t xml:space="preserve"> risk_ratio_to_gold is: 0.7374485561546598</t>
  </si>
  <si>
    <t xml:space="preserve"> risk_ratio_to_gold_before is: 0.7377376345345844
</t>
  </si>
  <si>
    <t xml:space="preserve"> 0.7377376345345844
</t>
  </si>
  <si>
    <t>value_ratio_tb_to_total is: 0.7211826109533596</t>
  </si>
  <si>
    <t xml:space="preserve"> risk_ratio_tb_to_gold is: 0.15320676082398435</t>
  </si>
  <si>
    <t xml:space="preserve"> risk_ratio_tb_to_gold_before is: 0.15235898657734445
</t>
  </si>
  <si>
    <t xml:space="preserve"> 0.15235898657734445
</t>
  </si>
  <si>
    <t>value_ratio_reit_to_total is: 0.7719518126830264</t>
  </si>
  <si>
    <t xml:space="preserve"> risk_ratio_reit_to_gold is: 0.20282003135577703</t>
  </si>
  <si>
    <t xml:space="preserve"> risk_ratio_reit_to_gold_before is: 0.2031364540624282
</t>
  </si>
  <si>
    <t xml:space="preserve"> 0.2031364540624282
</t>
  </si>
  <si>
    <t xml:space="preserve"> delta_reit is: 1.000193757065191
</t>
  </si>
  <si>
    <t xml:space="preserve"> 1.000193757065191
</t>
  </si>
  <si>
    <t>delta_gold_risk is: 0.9998336467058203</t>
  </si>
  <si>
    <t xml:space="preserve"> delta_tb_risk is: 1.0007356858900003</t>
  </si>
  <si>
    <t xml:space="preserve"> delta_reit_risk is: 0.9997370018125684
</t>
  </si>
  <si>
    <t xml:space="preserve"> 0.9997370018125684
</t>
  </si>
  <si>
    <t xml:space="preserve">collateral_ratio_tranche_gold is: 0.800090441277931
</t>
  </si>
  <si>
    <t xml:space="preserve"> 0.800090441277931
</t>
  </si>
  <si>
    <t xml:space="preserve">collateral_ratio_tranche_tb is: 0.3996791350038242
</t>
  </si>
  <si>
    <t xml:space="preserve"> 0.3996791350038242
</t>
  </si>
  <si>
    <t xml:space="preserve">collateral_ratio_tranche_reit is: 0.2997408478622137
</t>
  </si>
  <si>
    <t xml:space="preserve"> 0.2997408478622137
</t>
  </si>
  <si>
    <t>Total plot size is: 149972453.32725644</t>
  </si>
  <si>
    <t xml:space="preserve"> plot size of gold is: 80002775.88694991</t>
  </si>
  <si>
    <t xml:space="preserve"> plot size of TB is: 40000838.045603395</t>
  </si>
  <si>
    <t xml:space="preserve"> plot size of REIT is: 29968839.39470312
</t>
  </si>
  <si>
    <t xml:space="preserve"> 29968839.39470312
</t>
  </si>
  <si>
    <t xml:space="preserve">collateral ratio is: 1.499633646527553
</t>
  </si>
  <si>
    <t xml:space="preserve"> 1.499633646527553
</t>
  </si>
  <si>
    <t>S_gtbcps_0 is: 1.000098043286083</t>
  </si>
  <si>
    <t xml:space="preserve">stdev_gtbcps is: 0.006514020770978393
</t>
  </si>
  <si>
    <t xml:space="preserve"> 0.006514020770978393
</t>
  </si>
  <si>
    <t>predicted price of GTBCPS is: 1.0001198320798452</t>
  </si>
  <si>
    <t xml:space="preserve"> actual price is: 1.000098043286083
</t>
  </si>
  <si>
    <t xml:space="preserve"> 1.000098043286083
</t>
  </si>
  <si>
    <t>predicted amount of GTBCPS is: 99994078.0981971</t>
  </si>
  <si>
    <t xml:space="preserve"> actual amount is: 99996256.63495131
</t>
  </si>
  <si>
    <t>plot sizes of gold is: 80002775.88694991</t>
  </si>
  <si>
    <t xml:space="preserve"> plot sizes of tb is: 40000838.045603395 </t>
  </si>
  <si>
    <t xml:space="preserve"> plot sizes of reit is: 29968839.39470312</t>
  </si>
  <si>
    <t xml:space="preserve"> plot sizes of total is: 149972453.32725644.
</t>
  </si>
  <si>
    <t xml:space="preserve"> 149972453.32725644.
</t>
  </si>
  <si>
    <t>predicted stdevs of gold is: 0.006071756943792109</t>
  </si>
  <si>
    <t xml:space="preserve"> predicted stdevs of tb is: 0.0006850552664755431</t>
  </si>
  <si>
    <t xml:space="preserve"> predicted stdevs of reit is: 0.015474856238493394</t>
  </si>
  <si>
    <t xml:space="preserve"> predicted stdevs of GTBCPS is: 0.006514020770978393.
</t>
  </si>
  <si>
    <t xml:space="preserve"> 0.006514020770978393.
</t>
  </si>
  <si>
    <t>total_value_of_collaterals is: 149973207.31133264</t>
  </si>
  <si>
    <t xml:space="preserve"> createdtionValue_gold is: -1743.0057562361092</t>
  </si>
  <si>
    <t xml:space="preserve"> createdValue_tb is: -871.4870417578205</t>
  </si>
  <si>
    <t xml:space="preserve"> createdValue_reit is: -652.9221378487406
</t>
  </si>
  <si>
    <t xml:space="preserve"> -652.9221378487406
</t>
  </si>
  <si>
    <t>plotValue_gold_after_creation is: 80005100.01967882</t>
  </si>
  <si>
    <t xml:space="preserve"> plotValue_tb_after_creation  is: 40001823.11058509</t>
  </si>
  <si>
    <t xml:space="preserve"> plotValue_reit_after_creation  is: 29969551.596004557</t>
  </si>
  <si>
    <t xml:space="preserve">total_value_after_creation is: 149976474.72626847
</t>
  </si>
  <si>
    <t xml:space="preserve"> 149976474.72626847
</t>
  </si>
  <si>
    <t>total_amount_gtncps_before_creation is: 99996256.63495131</t>
  </si>
  <si>
    <t>creation_amount_gtbcps is: -2178.536754205823</t>
  </si>
  <si>
    <t xml:space="preserve">total_amount_gtbcps_new is: 99994078.0981971
</t>
  </si>
  <si>
    <t xml:space="preserve"> 99994078.0981971
</t>
  </si>
  <si>
    <t>payout of tranche of gold is: 581.1269726767865</t>
  </si>
  <si>
    <t xml:space="preserve"> payout of tranche of Treausry Bill Option is: 113.5779399448689</t>
  </si>
  <si>
    <t xml:space="preserve"> payout of tranche of Collar of REIT is: 59.27916358780994
</t>
  </si>
  <si>
    <t xml:space="preserve"> 59.27916358780994
</t>
  </si>
  <si>
    <t>Collateral size of tranche of gold is: 80005100.01967882</t>
  </si>
  <si>
    <t xml:space="preserve"> collateral size of tranche of Treausry Bill Option is: 40001823.11058509</t>
  </si>
  <si>
    <t xml:space="preserve"> collateral size of tranche of Collar of REIT is: 29969551.596004557
</t>
  </si>
  <si>
    <t xml:space="preserve"> 29969551.596004557
</t>
  </si>
  <si>
    <t>Collateral ratio of tranche of gold is: 0.7999850862707043</t>
  </si>
  <si>
    <t xml:space="preserve"> collateral ratio of tranche of Treausry Bill Option is: 0.3999852747416806</t>
  </si>
  <si>
    <t xml:space="preserve"> collateral ratio of tranche of Collar of REIT is: 0.29967082489899843
</t>
  </si>
  <si>
    <t xml:space="preserve"> 0.29967082489899843
</t>
  </si>
  <si>
    <t xml:space="preserve"> current price of reit option is: 4.040712220312912</t>
  </si>
  <si>
    <t xml:space="preserve"> predicted price of reit is: 83.63550920670313
</t>
  </si>
  <si>
    <t xml:space="preserve"> 83.63550920670313
</t>
  </si>
  <si>
    <t>value_ratio_gold_to_total is: -0.5136561623349037</t>
  </si>
  <si>
    <t xml:space="preserve"> risk_ratio_to_gold is: 0.7363960596665512</t>
  </si>
  <si>
    <t xml:space="preserve"> risk_ratio_to_gold_before is: 0.7374485561546598
</t>
  </si>
  <si>
    <t xml:space="preserve"> 0.7374485561546598
</t>
  </si>
  <si>
    <t>value_ratio_tb_to_total is: 0.7511945516870131</t>
  </si>
  <si>
    <t xml:space="preserve"> risk_ratio_tb_to_gold is: 0.15319745903499604</t>
  </si>
  <si>
    <t xml:space="preserve"> risk_ratio_tb_to_gold_before is: 0.15320676082398435
</t>
  </si>
  <si>
    <t xml:space="preserve"> 0.15320676082398435
</t>
  </si>
  <si>
    <t>value_ratio_reit_to_total is: 0.7624616106478906</t>
  </si>
  <si>
    <t xml:space="preserve"> risk_ratio_reit_to_gold is: 0.2047674388934527</t>
  </si>
  <si>
    <t xml:space="preserve"> risk_ratio_reit_to_gold_before is: 0.20282003135577703
</t>
  </si>
  <si>
    <t xml:space="preserve"> 0.20282003135577703
</t>
  </si>
  <si>
    <t xml:space="preserve"> delta_reit is: 0.9998437786159798
</t>
  </si>
  <si>
    <t xml:space="preserve"> 0.9998437786159798
</t>
  </si>
  <si>
    <t>delta_gold_risk is: 0.9993942286898913</t>
  </si>
  <si>
    <t xml:space="preserve"> delta_tb_risk is: 0.999991933979834</t>
  </si>
  <si>
    <t xml:space="preserve"> delta_reit_risk is: 1.0016190348405491
</t>
  </si>
  <si>
    <t xml:space="preserve"> 1.0016190348405491
</t>
  </si>
  <si>
    <t xml:space="preserve">collateral_ratio_tranche_gold is: 0.8004699880240524
</t>
  </si>
  <si>
    <t xml:space="preserve"> 0.8004699880240524
</t>
  </si>
  <si>
    <t xml:space="preserve">collateral_ratio_tranche_tb is: 0.39998850105699635
</t>
  </si>
  <si>
    <t xml:space="preserve"> 0.39998850105699635
</t>
  </si>
  <si>
    <t xml:space="preserve">collateral_ratio_tranche_reit is: 0.2991396923239187
</t>
  </si>
  <si>
    <t xml:space="preserve"> 0.2991396923239187
</t>
  </si>
  <si>
    <t>Total plot size is: 149971792.84143966</t>
  </si>
  <si>
    <t xml:space="preserve"> plot size of gold is: 80005100.01967882</t>
  </si>
  <si>
    <t xml:space="preserve"> plot size of TB is: 40001823.11058509</t>
  </si>
  <si>
    <t xml:space="preserve"> plot size of REIT is: 29964869.711175766
</t>
  </si>
  <si>
    <t xml:space="preserve"> 29964869.711175766
</t>
  </si>
  <si>
    <t xml:space="preserve">collateral ratio is: 1.499627042069655
</t>
  </si>
  <si>
    <t xml:space="preserve"> 1.499627042069655
</t>
  </si>
  <si>
    <t>S_gtbcps_0 is: 1.0001198320798452</t>
  </si>
  <si>
    <t xml:space="preserve">stdev_gtbcps is: 0.0065498825265877195
</t>
  </si>
  <si>
    <t xml:space="preserve"> 0.0065498825265877195
</t>
  </si>
  <si>
    <t>predicted price of GTBCPS is: 1.000132203478664</t>
  </si>
  <si>
    <t xml:space="preserve"> actual price is: 1.0001198320798452
</t>
  </si>
  <si>
    <t xml:space="preserve"> 1.0001198320798452
</t>
  </si>
  <si>
    <t>predicted amount of GTBCPS is: 99992841.19510032</t>
  </si>
  <si>
    <t xml:space="preserve"> actual amount is: 99994078.0981971
</t>
  </si>
  <si>
    <t>plot sizes of gold is: 80005100.01967882</t>
  </si>
  <si>
    <t xml:space="preserve"> plot sizes of tb is: 40001823.11058509 </t>
  </si>
  <si>
    <t xml:space="preserve"> plot sizes of reit is: 29964869.711175766</t>
  </si>
  <si>
    <t xml:space="preserve"> plot sizes of total is: 149971792.84143966.
</t>
  </si>
  <si>
    <t xml:space="preserve"> 149971792.84143966.
</t>
  </si>
  <si>
    <t>predicted stdevs of gold is: 0.006108380871801507</t>
  </si>
  <si>
    <t xml:space="preserve"> predicted stdevs of tb is: 0.000687746357041174</t>
  </si>
  <si>
    <t xml:space="preserve"> predicted stdevs of reit is: 0.015554377482017353</t>
  </si>
  <si>
    <t xml:space="preserve"> predicted stdevs of GTBCPS is: 0.0065498825265877195.
</t>
  </si>
  <si>
    <t xml:space="preserve"> 0.0065498825265877195.
</t>
  </si>
  <si>
    <t>total_value_of_collaterals is: 149972220.92084613</t>
  </si>
  <si>
    <t xml:space="preserve"> createdtionValue_gold is: -989.6603262368092</t>
  </si>
  <si>
    <t xml:space="preserve"> createdValue_tb is: -494.8199784350095</t>
  </si>
  <si>
    <t xml:space="preserve"> createdValue_reit is: -370.66354633704367
</t>
  </si>
  <si>
    <t xml:space="preserve"> -370.66354633704367
</t>
  </si>
  <si>
    <t>plotValue_gold_after_creation is: 80006406.49216327</t>
  </si>
  <si>
    <t xml:space="preserve"> plotValue_tb_after_creation  is: 40002379.89295926</t>
  </si>
  <si>
    <t xml:space="preserve"> plotValue_reit_after_creation  is: 29965289.679574627</t>
  </si>
  <si>
    <t xml:space="preserve">total_value_after_creation is: 149974076.06469718
</t>
  </si>
  <si>
    <t xml:space="preserve"> 149974076.06469718
</t>
  </si>
  <si>
    <t>total_amount_gtncps_before_creation is: 99994078.0981971</t>
  </si>
  <si>
    <t>creation_amount_gtbcps is: -1236.903096780181</t>
  </si>
  <si>
    <t xml:space="preserve">total_amount_gtbcps_new is: 99992841.19510032
</t>
  </si>
  <si>
    <t xml:space="preserve"> 99992841.19510032
</t>
  </si>
  <si>
    <t>payout of tranche of gold is: 316.81215821770627</t>
  </si>
  <si>
    <t xml:space="preserve"> payout of tranche of Treausry Bill Option is: 61.96239572716559</t>
  </si>
  <si>
    <t xml:space="preserve"> payout of tranche of Collar of REIT is: 49.3048525230758
</t>
  </si>
  <si>
    <t xml:space="preserve"> 49.3048525230758
</t>
  </si>
  <si>
    <t>Collateral size of tranche of gold is: 80006406.49216327</t>
  </si>
  <si>
    <t xml:space="preserve"> collateral size of tranche of Treausry Bill Option is: 40002379.89295926</t>
  </si>
  <si>
    <t xml:space="preserve"> collateral size of tranche of Collar of REIT is: 29965289.679574627
</t>
  </si>
  <si>
    <t xml:space="preserve"> 29965289.679574627
</t>
  </si>
  <si>
    <t>Collateral ratio of tranche of gold is: 0.8000056832015519</t>
  </si>
  <si>
    <t xml:space="preserve"> collateral ratio of tranche of Treausry Bill Option is: 0.3999946086703637</t>
  </si>
  <si>
    <t xml:space="preserve"> collateral ratio of tranche of Collar of REIT is: 0.2996310307323781
</t>
  </si>
  <si>
    <t xml:space="preserve"> 0.2996310307323781
</t>
  </si>
  <si>
    <t xml:space="preserve"> current price of reit option is: 4.132634581626263</t>
  </si>
  <si>
    <t xml:space="preserve"> predicted price of reit is: 83.4281760995098
</t>
  </si>
  <si>
    <t xml:space="preserve"> 83.4281760995098
</t>
  </si>
  <si>
    <t>value_ratio_gold_to_total is: -0.5237269188589176</t>
  </si>
  <si>
    <t xml:space="preserve"> risk_ratio_to_gold is: 0.7366776991092366</t>
  </si>
  <si>
    <t xml:space="preserve"> risk_ratio_to_gold_before is: 0.7363960596665512
</t>
  </si>
  <si>
    <t xml:space="preserve"> 0.7363960596665512
</t>
  </si>
  <si>
    <t>value_ratio_tb_to_total is: 0.7659224922568632</t>
  </si>
  <si>
    <t xml:space="preserve"> risk_ratio_tb_to_gold is: 0.15298151214061617</t>
  </si>
  <si>
    <t xml:space="preserve"> risk_ratio_tb_to_gold_before is: 0.15319745903499604
</t>
  </si>
  <si>
    <t xml:space="preserve"> 0.15319745903499604
</t>
  </si>
  <si>
    <t>value_ratio_reit_to_total is: 0.7578044266020545</t>
  </si>
  <si>
    <t xml:space="preserve"> risk_ratio_reit_to_gold is: 0.20446422187462956</t>
  </si>
  <si>
    <t xml:space="preserve"> risk_ratio_reit_to_gold_before is: 0.2047674388934527
</t>
  </si>
  <si>
    <t xml:space="preserve"> 0.2047674388934527
</t>
  </si>
  <si>
    <t xml:space="preserve"> delta_reit is: 1.001054872733665
</t>
  </si>
  <si>
    <t xml:space="preserve"> 1.001054872733665
</t>
  </si>
  <si>
    <t>delta_gold_risk is: 1.0001621976974189</t>
  </si>
  <si>
    <t xml:space="preserve"> delta_tb_risk is: 0.9998127407473126</t>
  </si>
  <si>
    <t xml:space="preserve"> delta_reit_risk is: 0.999748319045623
</t>
  </si>
  <si>
    <t xml:space="preserve"> 0.999748319045623
</t>
  </si>
  <si>
    <t xml:space="preserve">collateral_ratio_tranche_gold is: 0.7998759451650254
</t>
  </si>
  <si>
    <t xml:space="preserve"> 0.7998759451650254
</t>
  </si>
  <si>
    <t xml:space="preserve">collateral_ratio_tranche_tb is: 0.40006952539071133
</t>
  </si>
  <si>
    <t xml:space="preserve"> 0.40006952539071133
</t>
  </si>
  <si>
    <t xml:space="preserve">collateral_ratio_tranche_reit is: 0.3000226133145113
</t>
  </si>
  <si>
    <t xml:space="preserve"> 0.3000226133145113
</t>
  </si>
  <si>
    <t>Total plot size is: 150005685.63173652</t>
  </si>
  <si>
    <t xml:space="preserve"> plot size of gold is: 80006406.49216327</t>
  </si>
  <si>
    <t xml:space="preserve"> plot size of TB is: 40002379.89295926</t>
  </si>
  <si>
    <t xml:space="preserve"> plot size of REIT is: 29996899.246613983
</t>
  </si>
  <si>
    <t xml:space="preserve"> 29996899.246613983
</t>
  </si>
  <si>
    <t xml:space="preserve">collateral ratio is: 1.4999659494328155
</t>
  </si>
  <si>
    <t xml:space="preserve"> 1.4999659494328155
</t>
  </si>
  <si>
    <t>S_gtbcps_0 is: 1.000132203478664</t>
  </si>
  <si>
    <t xml:space="preserve">stdev_gtbcps is: 0.006453810076101762
</t>
  </si>
  <si>
    <t xml:space="preserve"> 0.006453810076101762
</t>
  </si>
  <si>
    <t>predicted price of GTBCPS is: 1.000146880154835</t>
  </si>
  <si>
    <t xml:space="preserve"> actual price is: 1.000132203478664
</t>
  </si>
  <si>
    <t xml:space="preserve"> 1.000132203478664
</t>
  </si>
  <si>
    <t>predicted amount of GTBCPS is: 99991373.84807484</t>
  </si>
  <si>
    <t xml:space="preserve"> actual amount is: 99992841.19510032
</t>
  </si>
  <si>
    <t>plot sizes of gold is: 80006406.49216327</t>
  </si>
  <si>
    <t xml:space="preserve"> plot sizes of tb is: 40002379.89295926 </t>
  </si>
  <si>
    <t xml:space="preserve"> plot sizes of reit is: 29996899.246613983</t>
  </si>
  <si>
    <t xml:space="preserve"> plot sizes of total is: 150005685.63173652.
</t>
  </si>
  <si>
    <t xml:space="preserve"> 150005685.63173652.
</t>
  </si>
  <si>
    <t>predicted stdevs of gold is: 0.006124450635106299</t>
  </si>
  <si>
    <t xml:space="preserve"> predicted stdevs of tb is: 0.0006909524779669283</t>
  </si>
  <si>
    <t xml:space="preserve"> predicted stdevs of reit is: 0.015017324661927739</t>
  </si>
  <si>
    <t xml:space="preserve"> predicted stdevs of GTBCPS is: 0.006453810076101762.
</t>
  </si>
  <si>
    <t xml:space="preserve"> 0.006453810076101762.
</t>
  </si>
  <si>
    <t>total_value_of_collaterals is: 150006193.52109492</t>
  </si>
  <si>
    <t xml:space="preserve"> createdtionValue_gold is: -1174.0786462877197</t>
  </si>
  <si>
    <t xml:space="preserve"> createdValue_tb is: -587.0254923730262</t>
  </si>
  <si>
    <t xml:space="preserve"> createdValue_reit is: -440.1971676075923
</t>
  </si>
  <si>
    <t xml:space="preserve"> -440.1971676075923
</t>
  </si>
  <si>
    <t>plotValue_gold_after_creation is: 80007971.931585</t>
  </si>
  <si>
    <t xml:space="preserve"> plotValue_tb_after_creation  is: 40003043.46340719</t>
  </si>
  <si>
    <t xml:space="preserve"> plotValue_reit_after_creation  is: 29997379.42740901</t>
  </si>
  <si>
    <t xml:space="preserve">total_value_after_creation is: 150008394.8224012
</t>
  </si>
  <si>
    <t xml:space="preserve"> 150008394.8224012
</t>
  </si>
  <si>
    <t>total_amount_gtncps_before_creation is: 99992841.19510032</t>
  </si>
  <si>
    <t>creation_amount_gtbcps is: -1467.3470254838467</t>
  </si>
  <si>
    <t xml:space="preserve">total_amount_gtbcps_new is: 99991373.84807484
</t>
  </si>
  <si>
    <t xml:space="preserve"> 99991373.84807484
</t>
  </si>
  <si>
    <t>payout of tranche of gold is: 391.36077544293363</t>
  </si>
  <si>
    <t xml:space="preserve"> payout of tranche of Treausry Bill Option is: 76.54495556214448</t>
  </si>
  <si>
    <t xml:space="preserve"> payout of tranche of Collar of REIT is: 39.98362741471303
</t>
  </si>
  <si>
    <t xml:space="preserve"> 39.98362741471303
</t>
  </si>
  <si>
    <t>Collateral size of tranche of gold is: 80007971.931585</t>
  </si>
  <si>
    <t xml:space="preserve"> collateral size of tranche of Treausry Bill Option is: 40003043.46340719</t>
  </si>
  <si>
    <t xml:space="preserve"> collateral size of tranche of Collar of REIT is: 29997379.42740901
</t>
  </si>
  <si>
    <t xml:space="preserve"> 29997379.42740901
</t>
  </si>
  <si>
    <t>Collateral ratio of tranche of gold is: 0.8000194925756382</t>
  </si>
  <si>
    <t xml:space="preserve"> collateral ratio of tranche of Treausry Bill Option is: 0.40000032197344343</t>
  </si>
  <si>
    <t xml:space="preserve"> collateral ratio of tranche of Collar of REIT is: 0.29995121346952536
</t>
  </si>
  <si>
    <t xml:space="preserve"> 0.29995121346952536
</t>
  </si>
  <si>
    <t xml:space="preserve"> current price of reit option is: 4.115816651979628</t>
  </si>
  <si>
    <t xml:space="preserve"> predicted price of reit is: 83.60787566219044
</t>
  </si>
  <si>
    <t xml:space="preserve"> 83.60787566219044
</t>
  </si>
  <si>
    <t>value_ratio_gold_to_total is: -0.509625379984407</t>
  </si>
  <si>
    <t xml:space="preserve"> risk_ratio_to_gold is: 0.731364291690563</t>
  </si>
  <si>
    <t xml:space="preserve"> risk_ratio_to_gold_before is: 0.7366776991092366
</t>
  </si>
  <si>
    <t xml:space="preserve"> 0.7366776991092366
</t>
  </si>
  <si>
    <t>value_ratio_tb_to_total is: 0.7452997489711936</t>
  </si>
  <si>
    <t xml:space="preserve"> risk_ratio_tb_to_gold is: 0.1576732591155715</t>
  </si>
  <si>
    <t xml:space="preserve"> risk_ratio_tb_to_gold_before is: 0.15298151214061617
</t>
  </si>
  <si>
    <t xml:space="preserve"> 0.15298151214061617
</t>
  </si>
  <si>
    <t>value_ratio_reit_to_total is: 0.7643256310132136</t>
  </si>
  <si>
    <t xml:space="preserve"> risk_ratio_reit_to_gold is: 0.20963440323759058</t>
  </si>
  <si>
    <t xml:space="preserve"> risk_ratio_reit_to_gold_before is: 0.20446422187462956
</t>
  </si>
  <si>
    <t xml:space="preserve"> 0.20446422187462956
</t>
  </si>
  <si>
    <t xml:space="preserve"> delta_reit is: 0.9998072059874461
</t>
  </si>
  <si>
    <t xml:space="preserve"> 0.9998072059874461
</t>
  </si>
  <si>
    <t>delta_gold_risk is: 0.9969404758169009</t>
  </si>
  <si>
    <t xml:space="preserve"> delta_tb_risk is: 1.0040692300141438</t>
  </si>
  <si>
    <t xml:space="preserve"> delta_reit_risk is: 1.0042925155177413
</t>
  </si>
  <si>
    <t xml:space="preserve"> 1.0042925155177413
</t>
  </si>
  <si>
    <t xml:space="preserve">collateral_ratio_tranche_gold is: 0.8024746832754441
</t>
  </si>
  <si>
    <t xml:space="preserve"> 0.8024746832754441
</t>
  </si>
  <si>
    <t xml:space="preserve">collateral_ratio_tranche_tb is: 0.3983792252729514
</t>
  </si>
  <si>
    <t xml:space="preserve"> 0.3983792252729514
</t>
  </si>
  <si>
    <t xml:space="preserve">collateral_ratio_tranche_reit is: 0.29861158978856533
</t>
  </si>
  <si>
    <t xml:space="preserve"> 0.29861158978856533
</t>
  </si>
  <si>
    <t>Total plot size is: 150002611.5072553</t>
  </si>
  <si>
    <t xml:space="preserve"> plot size of gold is: 80007971.931585</t>
  </si>
  <si>
    <t xml:space="preserve"> plot size of TB is: 40003043.46340719</t>
  </si>
  <si>
    <t xml:space="preserve"> plot size of REIT is: 29991596.112263095
</t>
  </si>
  <si>
    <t xml:space="preserve"> 29991596.112263095
</t>
  </si>
  <si>
    <t xml:space="preserve">collateral ratio is: 1.499935210050993
</t>
  </si>
  <si>
    <t xml:space="preserve"> 1.499935210050993
</t>
  </si>
  <si>
    <t>S_gtbcps_0 is: 1.000146880154835</t>
  </si>
  <si>
    <t xml:space="preserve">stdev_gtbcps is: 0.006427901923074145
</t>
  </si>
  <si>
    <t xml:space="preserve"> 0.006427901923074145
</t>
  </si>
  <si>
    <t>predicted price of GTBCPS is: 1.0001645678824236</t>
  </si>
  <si>
    <t xml:space="preserve"> actual price is: 1.000146880154835
</t>
  </si>
  <si>
    <t xml:space="preserve"> 1.000146880154835
</t>
  </si>
  <si>
    <t>predicted amount of GTBCPS is: 99989605.5189032</t>
  </si>
  <si>
    <t xml:space="preserve"> actual amount is: 99991373.84807484
</t>
  </si>
  <si>
    <t>plot sizes of gold is: 80007971.931585</t>
  </si>
  <si>
    <t xml:space="preserve"> plot sizes of tb is: 40003043.46340719 </t>
  </si>
  <si>
    <t xml:space="preserve"> plot sizes of reit is: 29991596.112263095</t>
  </si>
  <si>
    <t xml:space="preserve"> plot sizes of total is: 150002611.5072553.
</t>
  </si>
  <si>
    <t xml:space="preserve"> 150002611.5072553.
</t>
  </si>
  <si>
    <t>predicted stdevs of gold is: 0.006037819183917363</t>
  </si>
  <si>
    <t xml:space="preserve"> predicted stdevs of tb is: 0.0006946228712566402</t>
  </si>
  <si>
    <t xml:space="preserve"> predicted stdevs of reit is: 0.015115613606301667</t>
  </si>
  <si>
    <t xml:space="preserve"> predicted stdevs of GTBCPS is: 0.006427901923074145.
</t>
  </si>
  <si>
    <t xml:space="preserve"> 0.006427901923074145.
</t>
  </si>
  <si>
    <t>total_value_of_collaterals is: 150003223.04125407</t>
  </si>
  <si>
    <t xml:space="preserve"> createdtionValue_gold is: -1414.9593934406857</t>
  </si>
  <si>
    <t xml:space="preserve"> createdValue_tb is: -707.46058418838</t>
  </si>
  <si>
    <t xml:space="preserve"> createdValue_reit is: -530.4065213626046
</t>
  </si>
  <si>
    <t xml:space="preserve"> -530.4065213626046
</t>
  </si>
  <si>
    <t>plotValue_gold_after_creation is: 80009839.77318192</t>
  </si>
  <si>
    <t xml:space="preserve"> plotValue_tb_after_creation  is: 40003839.15549217</t>
  </si>
  <si>
    <t xml:space="preserve"> plotValue_reit_after_creation  is: 29992196.93907898</t>
  </si>
  <si>
    <t xml:space="preserve">total_value_after_creation is: 150005875.86775306
</t>
  </si>
  <si>
    <t xml:space="preserve"> 150005875.86775306
</t>
  </si>
  <si>
    <t>total_amount_gtncps_before_creation is: 99991373.84807484</t>
  </si>
  <si>
    <t>creation_amount_gtbcps is: -1768.329171642661</t>
  </si>
  <si>
    <t xml:space="preserve">total_amount_gtbcps_new is: 99989605.5189032
</t>
  </si>
  <si>
    <t xml:space="preserve"> 99989605.5189032
</t>
  </si>
  <si>
    <t>payout of tranche of gold is: 452.88220346843013</t>
  </si>
  <si>
    <t xml:space="preserve"> payout of tranche of Treausry Bill Option is: 88.23150079623389</t>
  </si>
  <si>
    <t xml:space="preserve"> payout of tranche of Collar of REIT is: 70.42029452290518
</t>
  </si>
  <si>
    <t xml:space="preserve"> 70.42029452290518
</t>
  </si>
  <si>
    <t>Collateral size of tranche of gold is: 80009839.77318192</t>
  </si>
  <si>
    <t xml:space="preserve"> collateral size of tranche of Treausry Bill Option is: 40003839.15549217</t>
  </si>
  <si>
    <t xml:space="preserve"> collateral size of tranche of Collar of REIT is: 29992196.93907898
</t>
  </si>
  <si>
    <t xml:space="preserve"> 29992196.93907898
</t>
  </si>
  <si>
    <t>Collateral ratio of tranche of gold is: 0.8000357611981603</t>
  </si>
  <si>
    <t xml:space="preserve"> collateral ratio of tranche of Treausry Bill Option is: 0.4000070741341539</t>
  </si>
  <si>
    <t xml:space="preserve"> collateral ratio of tranche of Collar of REIT is: 0.2998984896880632
</t>
  </si>
  <si>
    <t xml:space="preserve"> 0.2998984896880632
</t>
  </si>
  <si>
    <t xml:space="preserve"> current price of reit option is: 4.100079980271602</t>
  </si>
  <si>
    <t xml:space="preserve"> predicted price of reit is: 83.6875543303576
</t>
  </si>
  <si>
    <t xml:space="preserve"> 83.6875543303576
</t>
  </si>
  <si>
    <t>value_ratio_gold_to_total is: -0.5042949734948355</t>
  </si>
  <si>
    <t xml:space="preserve"> risk_ratio_to_gold is: 0.7303310032762909</t>
  </si>
  <si>
    <t xml:space="preserve"> risk_ratio_to_gold_before is: 0.731364291690563
</t>
  </si>
  <si>
    <t xml:space="preserve"> 0.731364291690563
</t>
  </si>
  <si>
    <t>value_ratio_tb_to_total is: 0.737504315747845</t>
  </si>
  <si>
    <t xml:space="preserve"> risk_ratio_tb_to_gold is: 0.15864757458944764</t>
  </si>
  <si>
    <t xml:space="preserve"> risk_ratio_tb_to_gold_before is: 0.1576732591155715
</t>
  </si>
  <si>
    <t xml:space="preserve"> 0.1576732591155715
</t>
  </si>
  <si>
    <t>value_ratio_reit_to_total is: 0.7667906577469905</t>
  </si>
  <si>
    <t xml:space="preserve"> risk_ratio_reit_to_gold is: 0.21059458480672275</t>
  </si>
  <si>
    <t xml:space="preserve"> risk_ratio_reit_to_gold_before is: 0.20963440323759058
</t>
  </si>
  <si>
    <t xml:space="preserve"> 0.20963440323759058
</t>
  </si>
  <si>
    <t xml:space="preserve"> delta_reit is: 0.9998195663090467
</t>
  </si>
  <si>
    <t xml:space="preserve"> 0.9998195663090467
</t>
  </si>
  <si>
    <t>delta_gold_risk is: 0.9994031941058094</t>
  </si>
  <si>
    <t xml:space="preserve"> delta_tb_risk is: 1.000841615253876</t>
  </si>
  <si>
    <t xml:space="preserve"> delta_reit_risk is: 1.0007937783238987
</t>
  </si>
  <si>
    <t xml:space="preserve"> 1.0007937783238987
</t>
  </si>
  <si>
    <t xml:space="preserve">collateral_ratio_tranche_gold is: 0.8005135123807284
</t>
  </si>
  <si>
    <t xml:space="preserve"> 0.8005135123807284
</t>
  </si>
  <si>
    <t xml:space="preserve">collateral_ratio_tranche_tb is: 0.39967070517215364
</t>
  </si>
  <si>
    <t xml:space="preserve"> 0.39967070517215364
</t>
  </si>
  <si>
    <t xml:space="preserve">collateral_ratio_tranche_reit is: 0.29960655670624614
</t>
  </si>
  <si>
    <t xml:space="preserve"> 0.29960655670624614
</t>
  </si>
  <si>
    <t>Total plot size is: 150000464.26495954</t>
  </si>
  <si>
    <t xml:space="preserve"> plot size of gold is: 80009839.77318192</t>
  </si>
  <si>
    <t xml:space="preserve"> plot size of TB is: 40003839.15549217</t>
  </si>
  <si>
    <t xml:space="preserve"> plot size of REIT is: 29986785.33628546
</t>
  </si>
  <si>
    <t xml:space="preserve"> 29986785.33628546
</t>
  </si>
  <si>
    <t xml:space="preserve">collateral ratio is: 1.4999137389293138
</t>
  </si>
  <si>
    <t xml:space="preserve"> 1.4999137389293138
</t>
  </si>
  <si>
    <t>S_gtbcps_0 is: 1.0001645678824236</t>
  </si>
  <si>
    <t xml:space="preserve">stdev_gtbcps is: 0.006449276595544387
</t>
  </si>
  <si>
    <t xml:space="preserve"> 0.006449276595544387
</t>
  </si>
  <si>
    <t>predicted price of GTBCPS is: 1.0001602372609721</t>
  </si>
  <si>
    <t xml:space="preserve"> actual price is: 1.0001645678824236
</t>
  </si>
  <si>
    <t xml:space="preserve"> 1.0001645678824236
</t>
  </si>
  <si>
    <t>predicted amount of GTBCPS is: 99990038.46665941</t>
  </si>
  <si>
    <t xml:space="preserve"> actual amount is: 99989605.5189032
</t>
  </si>
  <si>
    <t>plot sizes of gold is: 80009839.77318192</t>
  </si>
  <si>
    <t xml:space="preserve"> plot sizes of tb is: 40003839.15549217 </t>
  </si>
  <si>
    <t xml:space="preserve"> plot sizes of reit is: 29986785.33628546</t>
  </si>
  <si>
    <t xml:space="preserve"> plot sizes of total is: 150000464.26495954.
</t>
  </si>
  <si>
    <t xml:space="preserve"> 150000464.26495954.
</t>
  </si>
  <si>
    <t>predicted stdevs of gold is: 0.006041715231539436</t>
  </si>
  <si>
    <t xml:space="preserve"> predicted stdevs of tb is: 0.0006992242261025372</t>
  </si>
  <si>
    <t xml:space="preserve"> predicted stdevs of reit is: 0.01520757084447094</t>
  </si>
  <si>
    <t xml:space="preserve"> predicted stdevs of GTBCPS is: 0.006449276595544387.
</t>
  </si>
  <si>
    <t xml:space="preserve"> 0.006449276595544387.
</t>
  </si>
  <si>
    <t>total_value_of_collaterals is: 150000314.4329631</t>
  </si>
  <si>
    <t xml:space="preserve"> createdtionValue_gold is: 346.4348162774511</t>
  </si>
  <si>
    <t xml:space="preserve"> createdValue_tb is: 173.21288098032804</t>
  </si>
  <si>
    <t xml:space="preserve"> createdValue_reit is: 129.8399973298137
</t>
  </si>
  <si>
    <t xml:space="preserve"> 129.8399973298137
</t>
  </si>
  <si>
    <t>plotValue_gold_after_creation is: 80009377.85278559</t>
  </si>
  <si>
    <t xml:space="preserve"> plotValue_tb_after_creation  is: 40003643.37580201</t>
  </si>
  <si>
    <t xml:space="preserve"> plotValue_reit_after_creation  is: 29986643.716680918</t>
  </si>
  <si>
    <t xml:space="preserve">total_value_after_creation is: 149999664.9452685
</t>
  </si>
  <si>
    <t xml:space="preserve"> 149999664.9452685
</t>
  </si>
  <si>
    <t>total_amount_gtncps_before_creation is: 99989605.5189032</t>
  </si>
  <si>
    <t>creation_amount_gtbcps is: 432.94775621593</t>
  </si>
  <si>
    <t xml:space="preserve">total_amount_gtbcps_new is: 99990038.46665941
</t>
  </si>
  <si>
    <t xml:space="preserve"> 99990038.46665941
</t>
  </si>
  <si>
    <t>payout of tranche of gold is: -115.48558006041685</t>
  </si>
  <si>
    <t xml:space="preserve"> payout of tranche of Treausry Bill Option is: -22.56680918067626</t>
  </si>
  <si>
    <t xml:space="preserve"> payout of tranche of Collar of REIT is: -11.779607213174822
</t>
  </si>
  <si>
    <t xml:space="preserve"> -11.779607213174822
</t>
  </si>
  <si>
    <t>Collateral size of tranche of gold is: 80009377.85278559</t>
  </si>
  <si>
    <t xml:space="preserve"> collateral size of tranche of Treausry Bill Option is: 40003643.37580201</t>
  </si>
  <si>
    <t xml:space="preserve"> collateral size of tranche of Collar of REIT is: 29986643.716680918
</t>
  </si>
  <si>
    <t xml:space="preserve"> 29986643.716680918
</t>
  </si>
  <si>
    <t>Collateral ratio of tranche of gold is: 0.8000487551487833</t>
  </si>
  <si>
    <t xml:space="preserve"> collateral ratio of tranche of Treausry Bill Option is: 0.40001392265684266</t>
  </si>
  <si>
    <t xml:space="preserve"> collateral ratio of tranche of Collar of REIT is: 0.2998495628945251
</t>
  </si>
  <si>
    <t xml:space="preserve"> 0.2998495628945251
</t>
  </si>
  <si>
    <t xml:space="preserve"> current price of reit option is: 4.174874967843479</t>
  </si>
  <si>
    <t xml:space="preserve"> predicted price of reit is: 83.71301264965125
</t>
  </si>
  <si>
    <t xml:space="preserve"> 83.71301264965125
</t>
  </si>
  <si>
    <t>value_ratio_gold_to_total is: -0.4961583890848858</t>
  </si>
  <si>
    <t xml:space="preserve"> risk_ratio_to_gold is: 0.7286077642774167</t>
  </si>
  <si>
    <t xml:space="preserve"> risk_ratio_to_gold_before is: 0.7303310032762909
</t>
  </si>
  <si>
    <t xml:space="preserve"> 0.7303310032762909
</t>
  </si>
  <si>
    <t>value_ratio_tb_to_total is: 0.7256049980207647</t>
  </si>
  <si>
    <t xml:space="preserve"> risk_ratio_tb_to_gold is: 0.1608546231541699</t>
  </si>
  <si>
    <t xml:space="preserve"> risk_ratio_tb_to_gold_before is: 0.15864757458944764
</t>
  </si>
  <si>
    <t xml:space="preserve"> 0.15864757458944764
</t>
  </si>
  <si>
    <t>value_ratio_reit_to_total is: 0.7705533910641211</t>
  </si>
  <si>
    <t xml:space="preserve"> risk_ratio_reit_to_gold is: 0.2116259473647725</t>
  </si>
  <si>
    <t xml:space="preserve"> risk_ratio_reit_to_gold_before is: 0.21059458480672275
</t>
  </si>
  <si>
    <t xml:space="preserve"> 0.21059458480672275
</t>
  </si>
  <si>
    <t xml:space="preserve"> delta_reit is: 1.0008577398964404
</t>
  </si>
  <si>
    <t xml:space="preserve"> 1.0008577398964404
</t>
  </si>
  <si>
    <t>delta_gold_risk is: 0.9990040986403114</t>
  </si>
  <si>
    <t xml:space="preserve"> delta_tb_risk is: 1.00190484890585</t>
  </si>
  <si>
    <t xml:space="preserve"> delta_reit_risk is: 1.0008519471101174
</t>
  </si>
  <si>
    <t xml:space="preserve"> 1.0008519471101174
</t>
  </si>
  <si>
    <t xml:space="preserve">collateral_ratio_tranche_gold is: 0.8008463190868634
</t>
  </si>
  <si>
    <t xml:space="preserve"> 0.8008463190868634
</t>
  </si>
  <si>
    <t xml:space="preserve">collateral_ratio_tranche_tb is: 0.39925340524470543
</t>
  </si>
  <si>
    <t xml:space="preserve"> 0.39925340524470543
</t>
  </si>
  <si>
    <t xml:space="preserve">collateral_ratio_tranche_reit is: 0.2998512983804298
</t>
  </si>
  <si>
    <t xml:space="preserve"> 0.2998512983804298
</t>
  </si>
  <si>
    <t>Total plot size is: 150025385.68594468</t>
  </si>
  <si>
    <t xml:space="preserve"> plot size of gold is: 80009377.85278559</t>
  </si>
  <si>
    <t xml:space="preserve"> plot size of TB is: 40003643.37580201</t>
  </si>
  <si>
    <t xml:space="preserve"> plot size of REIT is: 30012364.45735706
</t>
  </si>
  <si>
    <t xml:space="preserve"> 30012364.45735706
</t>
  </si>
  <si>
    <t xml:space="preserve">collateral ratio is: 1.5001629380362125
</t>
  </si>
  <si>
    <t xml:space="preserve"> 1.5001629380362125
</t>
  </si>
  <si>
    <t>S_gtbcps_0 is: 1.0001602372609721</t>
  </si>
  <si>
    <t xml:space="preserve">stdev_gtbcps is: 0.006331577128357856
</t>
  </si>
  <si>
    <t xml:space="preserve"> 0.006331577128357856
</t>
  </si>
  <si>
    <t>predicted price of GTBCPS is: 1.000172354148093</t>
  </si>
  <si>
    <t xml:space="preserve"> actual price is: 1.0001602372609721
</t>
  </si>
  <si>
    <t xml:space="preserve"> 1.0001602372609721
</t>
  </si>
  <si>
    <t>predicted amount of GTBCPS is: 99999688.42952093</t>
  </si>
  <si>
    <t xml:space="preserve"> actual amount is: 99990038.46665941
</t>
  </si>
  <si>
    <t>plot sizes of gold is: 80009377.85278559</t>
  </si>
  <si>
    <t xml:space="preserve"> plot sizes of tb is: 40003643.37580201 </t>
  </si>
  <si>
    <t xml:space="preserve"> plot sizes of reit is: 30012364.45735706</t>
  </si>
  <si>
    <t xml:space="preserve"> plot sizes of total is: 150025385.68594465.
</t>
  </si>
  <si>
    <t xml:space="preserve"> 150025385.68594465.
</t>
  </si>
  <si>
    <t>predicted stdevs of gold is: 0.005979814440613487</t>
  </si>
  <si>
    <t xml:space="preserve"> predicted stdevs of tb is: 0.0007039730703499849</t>
  </si>
  <si>
    <t xml:space="preserve"> predicted stdevs of reit is: 0.014770398399999746</t>
  </si>
  <si>
    <t xml:space="preserve"> predicted stdevs of GTBCPS is: 0.006331577128357856.
</t>
  </si>
  <si>
    <t xml:space="preserve"> 0.006331577128357856.
</t>
  </si>
  <si>
    <t>total_value_of_collaterals is: 150025804.86609122</t>
  </si>
  <si>
    <t xml:space="preserve"> createdtionValue_gold is: 7720.930483620337</t>
  </si>
  <si>
    <t xml:space="preserve"> createdValue_tb is: 3860.3548427385067</t>
  </si>
  <si>
    <t xml:space="preserve"> createdValue_reit is: 2896.194233472396
</t>
  </si>
  <si>
    <t xml:space="preserve"> 2896.194233472396
</t>
  </si>
  <si>
    <t>plotValue_gold_after_creation is: 80001980.02148116</t>
  </si>
  <si>
    <t xml:space="preserve"> plotValue_tb_after_creation  is: 39999846.088470556</t>
  </si>
  <si>
    <t xml:space="preserve"> plotValue_reit_after_creation  is: 30009501.27657968</t>
  </si>
  <si>
    <t xml:space="preserve">total_value_after_creation is: 150011327.38653138
</t>
  </si>
  <si>
    <t xml:space="preserve"> 150011327.38653138
</t>
  </si>
  <si>
    <t>total_amount_gtncps_before_creation is: 99990038.46665941</t>
  </si>
  <si>
    <t>creation_amount_gtbcps is: 9649.962861523032</t>
  </si>
  <si>
    <t xml:space="preserve">total_amount_gtbcps_new is: 99999688.42952093
</t>
  </si>
  <si>
    <t xml:space="preserve"> 99999688.42952093
</t>
  </si>
  <si>
    <t>payout of tranche of gold is: 323.0991791980242</t>
  </si>
  <si>
    <t xml:space="preserve"> payout of tranche of Treausry Bill Option is: 63.067511282543805</t>
  </si>
  <si>
    <t xml:space="preserve"> payout of tranche of Collar of REIT is: 33.01345609491798
</t>
  </si>
  <si>
    <t xml:space="preserve"> 33.01345609491798
</t>
  </si>
  <si>
    <t>Collateral size of tranche of gold is: 80001980.02148116</t>
  </si>
  <si>
    <t xml:space="preserve"> collateral size of tranche of Treausry Bill Option is: 39999846.088470556</t>
  </si>
  <si>
    <t xml:space="preserve"> collateral size of tranche of Collar of REIT is: 30009501.27657968
</t>
  </si>
  <si>
    <t xml:space="preserve"> 30009501.27657968
</t>
  </si>
  <si>
    <t>Collateral ratio of tranche of gold is: 0.7999616256889978</t>
  </si>
  <si>
    <t xml:space="preserve"> collateral ratio of tranche of Treausry Bill Option is: 0.39996937445361724</t>
  </si>
  <si>
    <t xml:space="preserve"> collateral ratio of tranche of Collar of REIT is: 0.3000731909495592
</t>
  </si>
  <si>
    <t xml:space="preserve"> 0.3000731909495592
</t>
  </si>
  <si>
    <t xml:space="preserve"> current price of reit option is: 4.15853729702593</t>
  </si>
  <si>
    <t xml:space="preserve"> predicted price of reit is: 83.92454114153425
</t>
  </si>
  <si>
    <t xml:space="preserve"> 83.92454114153425
</t>
  </si>
  <si>
    <t>value_ratio_gold_to_total is: -0.4810469560868932</t>
  </si>
  <si>
    <t xml:space="preserve"> risk_ratio_to_gold is: 0.7349227800201709</t>
  </si>
  <si>
    <t xml:space="preserve"> risk_ratio_to_gold_before is: 0.7286077642774167
</t>
  </si>
  <si>
    <t xml:space="preserve"> 0.7286077642774167
</t>
  </si>
  <si>
    <t>value_ratio_tb_to_total is: 0.7035053388155197</t>
  </si>
  <si>
    <t xml:space="preserve"> risk_ratio_tb_to_gold is: 0.15642898278582645</t>
  </si>
  <si>
    <t xml:space="preserve"> risk_ratio_tb_to_gold_before is: 0.1608546231541699
</t>
  </si>
  <si>
    <t xml:space="preserve"> 0.1608546231541699
</t>
  </si>
  <si>
    <t>value_ratio_reit_to_total is: 0.7775416172713735</t>
  </si>
  <si>
    <t xml:space="preserve"> risk_ratio_reit_to_gold is: 0.20425819032446121</t>
  </si>
  <si>
    <t xml:space="preserve"> risk_ratio_reit_to_gold_before is: 0.2116259473647725
</t>
  </si>
  <si>
    <t xml:space="preserve"> 0.2116259473647725
</t>
  </si>
  <si>
    <t xml:space="preserve"> delta_reit is: 0.9998128021286359
</t>
  </si>
  <si>
    <t xml:space="preserve"> 0.9998128021286359
</t>
  </si>
  <si>
    <t>delta_gold_risk is: 1.0036532380990397</t>
  </si>
  <si>
    <t xml:space="preserve"> delta_tb_risk is: 0.9961876015479713</t>
  </si>
  <si>
    <t xml:space="preserve"> delta_reit_risk is: 0.9939191158324597
</t>
  </si>
  <si>
    <t xml:space="preserve"> 0.9939191158324597
</t>
  </si>
  <si>
    <t xml:space="preserve">collateral_ratio_tranche_gold is: 0.7970498129455127
</t>
  </si>
  <si>
    <t xml:space="preserve"> 0.7970498129455127
</t>
  </si>
  <si>
    <t xml:space="preserve">collateral_ratio_tranche_tb is: 0.40150005263276384
</t>
  </si>
  <si>
    <t xml:space="preserve"> 0.40150005263276384
</t>
  </si>
  <si>
    <t xml:space="preserve">collateral_ratio_tranche_reit is: 0.3018525482686586
</t>
  </si>
  <si>
    <t xml:space="preserve"> 0.3018525482686586
</t>
  </si>
  <si>
    <t>Total plot size is: 150005709.6717717</t>
  </si>
  <si>
    <t xml:space="preserve"> plot size of gold is: 80001980.02148116</t>
  </si>
  <si>
    <t xml:space="preserve"> plot size of TB is: 39999846.088470556</t>
  </si>
  <si>
    <t xml:space="preserve"> plot size of REIT is: 30003883.561820008
</t>
  </si>
  <si>
    <t xml:space="preserve"> 30003883.561820008
</t>
  </si>
  <si>
    <t xml:space="preserve">collateral ratio is: 1.4998032731519106
</t>
  </si>
  <si>
    <t xml:space="preserve"> 1.4998032731519106
</t>
  </si>
  <si>
    <t>S_gtbcps_0 is: 1.000172354148093</t>
  </si>
  <si>
    <t xml:space="preserve">stdev_gtbcps is: 0.0063465074777487
</t>
  </si>
  <si>
    <t xml:space="preserve"> 0.0063465074777487
</t>
  </si>
  <si>
    <t>predicted price of GTBCPS is: 1.0001743428907166</t>
  </si>
  <si>
    <t xml:space="preserve"> actual price is: 1.000172354148093
</t>
  </si>
  <si>
    <t xml:space="preserve"> 1.000172354148093
</t>
  </si>
  <si>
    <t>predicted amount of GTBCPS is: 99999489.59054436</t>
  </si>
  <si>
    <t xml:space="preserve"> actual amount is: 99999688.42952093
</t>
  </si>
  <si>
    <t>plot sizes of gold is: 80001980.02148116</t>
  </si>
  <si>
    <t xml:space="preserve"> plot sizes of tb is: 39999846.088470556 </t>
  </si>
  <si>
    <t xml:space="preserve"> plot sizes of reit is: 30003883.561820008</t>
  </si>
  <si>
    <t xml:space="preserve"> plot sizes of total is: 150005709.6717717.
</t>
  </si>
  <si>
    <t xml:space="preserve"> 150005709.6717717.
</t>
  </si>
  <si>
    <t>predicted stdevs of gold is: 0.005981047235718161</t>
  </si>
  <si>
    <t xml:space="preserve"> predicted stdevs of tb is: 0.0006870418660500923</t>
  </si>
  <si>
    <t xml:space="preserve"> predicted stdevs of reit is: 0.014865914502703961</t>
  </si>
  <si>
    <t xml:space="preserve"> predicted stdevs of GTBCPS is: 0.0063465074777487.
</t>
  </si>
  <si>
    <t xml:space="preserve"> 0.0063465074777487.
</t>
  </si>
  <si>
    <t>total_value_of_collaterals is: 150005778.5603869</t>
  </si>
  <si>
    <t xml:space="preserve"> createdtionValue_gold is: -159.07603146045864</t>
  </si>
  <si>
    <t xml:space="preserve"> createdValue_tb is: -79.53571041213752</t>
  </si>
  <si>
    <t xml:space="preserve"> createdValue_reit is: -59.65973542894806
</t>
  </si>
  <si>
    <t xml:space="preserve"> -59.65973542894806
</t>
  </si>
  <si>
    <t>plotValue_gold_after_creation is: 80002189.99566427</t>
  </si>
  <si>
    <t xml:space="preserve"> plotValue_tb_after_creation  is: 39999935.612007074</t>
  </si>
  <si>
    <t xml:space="preserve"> plotValue_reit_after_creation  is: 30003951.22419283</t>
  </si>
  <si>
    <t xml:space="preserve">total_value_after_creation is: 150006076.83186418
</t>
  </si>
  <si>
    <t xml:space="preserve"> 150006076.83186418
</t>
  </si>
  <si>
    <t>total_amount_gtncps_before_creation is: 99999688.42952093</t>
  </si>
  <si>
    <t>creation_amount_gtbcps is: -198.83897657692432</t>
  </si>
  <si>
    <t xml:space="preserve">total_amount_gtbcps_new is: 99999489.59054436
</t>
  </si>
  <si>
    <t xml:space="preserve"> 99999489.59054436
</t>
  </si>
  <si>
    <t>payout of tranche of gold is: 50.89815165581641</t>
  </si>
  <si>
    <t xml:space="preserve"> payout of tranche of Treausry Bill Option is: 9.987826110193497</t>
  </si>
  <si>
    <t xml:space="preserve"> payout of tranche of Collar of REIT is: 8.00263739231006
</t>
  </si>
  <si>
    <t xml:space="preserve"> 8.00263739231006
</t>
  </si>
  <si>
    <t>Collateral size of tranche of gold is: 80002189.99566427</t>
  </si>
  <si>
    <t xml:space="preserve"> collateral size of tranche of Treausry Bill Option is: 39999935.612007074</t>
  </si>
  <si>
    <t xml:space="preserve"> collateral size of tranche of Collar of REIT is: 30003951.22419283
</t>
  </si>
  <si>
    <t xml:space="preserve"> 30003951.22419283
</t>
  </si>
  <si>
    <t>Collateral ratio of tranche of gold is: 0.7998849383440837</t>
  </si>
  <si>
    <t xml:space="preserve"> collateral ratio of tranche of Treausry Bill Option is: 0.39993087729862886</t>
  </si>
  <si>
    <t xml:space="preserve"> collateral ratio of tranche of Collar of REIT is: 0.2999881462787837
</t>
  </si>
  <si>
    <t xml:space="preserve"> 0.2999881462787837
</t>
  </si>
  <si>
    <t xml:space="preserve"> current price of reit option is: 4.194678653523965</t>
  </si>
  <si>
    <t xml:space="preserve"> predicted price of reit is: 83.8129704970568
</t>
  </si>
  <si>
    <t xml:space="preserve"> 83.8129704970568
</t>
  </si>
  <si>
    <t>value_ratio_gold_to_total is: -0.4867761726657623</t>
  </si>
  <si>
    <t xml:space="preserve"> risk_ratio_to_gold is: 0.7344032443662428</t>
  </si>
  <si>
    <t xml:space="preserve"> risk_ratio_to_gold_before is: 0.7349227800201709
</t>
  </si>
  <si>
    <t xml:space="preserve"> 0.7349227800201709
</t>
  </si>
  <si>
    <t>value_ratio_tb_to_total is: 0.711884010376507</t>
  </si>
  <si>
    <t xml:space="preserve"> risk_ratio_tb_to_gold is: 0.1567962471410803</t>
  </si>
  <si>
    <t xml:space="preserve"> risk_ratio_tb_to_gold_before is: 0.15642898278582645
</t>
  </si>
  <si>
    <t xml:space="preserve"> 0.15642898278582645
</t>
  </si>
  <si>
    <t>value_ratio_reit_to_total is: 0.7748921622892553</t>
  </si>
  <si>
    <t xml:space="preserve"> risk_ratio_reit_to_gold is: 0.20485351090561138</t>
  </si>
  <si>
    <t xml:space="preserve"> risk_ratio_reit_to_gold_before is: 0.20425819032446121
</t>
  </si>
  <si>
    <t xml:space="preserve"> 0.20425819032446121
</t>
  </si>
  <si>
    <t xml:space="preserve"> delta_reit is: 1.0004141870539842
</t>
  </si>
  <si>
    <t xml:space="preserve"> 1.0004141870539842
</t>
  </si>
  <si>
    <t>delta_gold_risk is: 0.9997005424910486</t>
  </si>
  <si>
    <t xml:space="preserve"> delta_tb_risk is: 1.0003175848761323</t>
  </si>
  <si>
    <t xml:space="preserve"> delta_reit_risk is: 1.0004943463004305
</t>
  </si>
  <si>
    <t xml:space="preserve"> 1.0004943463004305
</t>
  </si>
  <si>
    <t xml:space="preserve">collateral_ratio_tranche_gold is: 0.800124541646176
</t>
  </si>
  <si>
    <t xml:space="preserve"> 0.800124541646176
</t>
  </si>
  <si>
    <t xml:space="preserve">collateral_ratio_tranche_tb is: 0.3998039056247838
</t>
  </si>
  <si>
    <t xml:space="preserve"> 0.3998039056247838
</t>
  </si>
  <si>
    <t xml:space="preserve">collateral_ratio_tranche_reit is: 0.2999641113366199
</t>
  </si>
  <si>
    <t xml:space="preserve"> 0.2999641113366199
</t>
  </si>
  <si>
    <t>Total plot size is: 150018504.0800296</t>
  </si>
  <si>
    <t xml:space="preserve"> plot size of gold is: 80002189.99566427</t>
  </si>
  <si>
    <t xml:space="preserve"> plot size of TB is: 39999935.612007074</t>
  </si>
  <si>
    <t xml:space="preserve"> plot size of REIT is: 30016378.472358268
</t>
  </si>
  <si>
    <t xml:space="preserve"> 30016378.472358268
</t>
  </si>
  <si>
    <t xml:space="preserve">collateral ratio is: 1.4999311955851649
</t>
  </si>
  <si>
    <t xml:space="preserve"> 1.4999311955851649
</t>
  </si>
  <si>
    <t>S_gtbcps_0 is: 1.0001743428907166</t>
  </si>
  <si>
    <t xml:space="preserve">stdev_gtbcps is: 0.006328034643609553
</t>
  </si>
  <si>
    <t xml:space="preserve"> 0.006328034643609553
</t>
  </si>
  <si>
    <t>predicted price of GTBCPS is: 1.0001555932865784</t>
  </si>
  <si>
    <t xml:space="preserve"> actual price is: 1.0001743428907166
</t>
  </si>
  <si>
    <t xml:space="preserve"> 1.0001743428907166
</t>
  </si>
  <si>
    <t>predicted amount of GTBCPS is: 100001364.24970382</t>
  </si>
  <si>
    <t xml:space="preserve"> actual amount is: 99999489.59054436
</t>
  </si>
  <si>
    <t>plot sizes of gold is: 80002189.99566427</t>
  </si>
  <si>
    <t xml:space="preserve"> plot sizes of tb is: 39999935.612007074 </t>
  </si>
  <si>
    <t xml:space="preserve"> plot sizes of reit is: 30016378.472358268</t>
  </si>
  <si>
    <t xml:space="preserve"> plot sizes of total is: 150018504.0800296.
</t>
  </si>
  <si>
    <t xml:space="preserve"> 150018504.0800296.
</t>
  </si>
  <si>
    <t>predicted stdevs of gold is: 0.006021957554326476</t>
  </si>
  <si>
    <t xml:space="preserve"> predicted stdevs of tb is: 0.0006918621968673331</t>
  </si>
  <si>
    <t xml:space="preserve"> predicted stdevs of reit is: 0.014654601176216498</t>
  </si>
  <si>
    <t xml:space="preserve"> predicted stdevs of GTBCPS is: 0.006328034643609553.
</t>
  </si>
  <si>
    <t xml:space="preserve"> 0.006328034643609553.
</t>
  </si>
  <si>
    <t>total_value_of_collaterals is: 150017855.29288852</t>
  </si>
  <si>
    <t xml:space="preserve"> createdtionValue_gold is: 1499.7389250510269</t>
  </si>
  <si>
    <t xml:space="preserve"> createdValue_tb is: 749.8504681540506</t>
  </si>
  <si>
    <t xml:space="preserve"> createdValue_reit is: 562.6957052873163
</t>
  </si>
  <si>
    <t xml:space="preserve"> 562.6957052873163
</t>
  </si>
  <si>
    <t>plotValue_gold_after_creation is: 80000210.31388153</t>
  </si>
  <si>
    <t xml:space="preserve"> plotValue_tb_after_creation  is: 39999091.94478337</t>
  </si>
  <si>
    <t xml:space="preserve"> plotValue_reit_after_creation  is: 30015740.749125116</t>
  </si>
  <si>
    <t xml:space="preserve">total_value_after_creation is: 150015043.00779003
</t>
  </si>
  <si>
    <t xml:space="preserve"> 150015043.00779003
</t>
  </si>
  <si>
    <t>total_amount_gtncps_before_creation is: 99999489.59054436</t>
  </si>
  <si>
    <t>creation_amount_gtbcps is: 1874.6591594666243</t>
  </si>
  <si>
    <t xml:space="preserve">total_amount_gtbcps_new is: 100001364.24970382
</t>
  </si>
  <si>
    <t xml:space="preserve"> 100001364.24970382
</t>
  </si>
  <si>
    <t>payout of tranche of gold is: -479.94285768887465</t>
  </si>
  <si>
    <t xml:space="preserve"> payout of tranche of Treausry Bill Option is: -93.81675555675758</t>
  </si>
  <si>
    <t xml:space="preserve"> payout of tranche of Collar of REIT is: -75.02752786468538
</t>
  </si>
  <si>
    <t xml:space="preserve"> -75.02752786468538
</t>
  </si>
  <si>
    <t>Collateral size of tranche of gold is: 80000210.31388153</t>
  </si>
  <si>
    <t xml:space="preserve"> collateral size of tranche of Treausry Bill Option is: 39999091.94478337</t>
  </si>
  <si>
    <t xml:space="preserve"> collateral size of tranche of Collar of REIT is: 30015740.749125116
</t>
  </si>
  <si>
    <t xml:space="preserve"> 30015740.749125116
</t>
  </si>
  <si>
    <t>Collateral ratio of tranche of gold is: 0.799881730218758</t>
  </si>
  <si>
    <t xml:space="preserve"> collateral ratio of tranche of Treausry Bill Option is: 0.39993073451234223</t>
  </si>
  <si>
    <t xml:space="preserve"> collateral ratio of tranche of Collar of REIT is: 0.30011224408046155
</t>
  </si>
  <si>
    <t xml:space="preserve"> 0.30011224408046155
</t>
  </si>
  <si>
    <t xml:space="preserve"> current price of reit option is: 4.260593890004941</t>
  </si>
  <si>
    <t xml:space="preserve"> predicted price of reit is: 83.59718977285456
</t>
  </si>
  <si>
    <t xml:space="preserve"> 83.59718977285456
</t>
  </si>
  <si>
    <t>value_ratio_gold_to_total is: -0.4985739160648121</t>
  </si>
  <si>
    <t xml:space="preserve"> risk_ratio_to_gold is: 0.7343728492048457</t>
  </si>
  <si>
    <t xml:space="preserve"> risk_ratio_to_gold_before is: 0.7344032443662428
</t>
  </si>
  <si>
    <t xml:space="preserve"> 0.7344032443662428
</t>
  </si>
  <si>
    <t>value_ratio_tb_to_total is: 0.72913757650386</t>
  </si>
  <si>
    <t xml:space="preserve"> risk_ratio_tb_to_gold is: 0.15666950137244604</t>
  </si>
  <si>
    <t xml:space="preserve"> risk_ratio_tb_to_gold_before is: 0.1567962471410803
</t>
  </si>
  <si>
    <t xml:space="preserve"> 0.1567962471410803
</t>
  </si>
  <si>
    <t>value_ratio_reit_to_total is: 0.769436339560952</t>
  </si>
  <si>
    <t xml:space="preserve"> risk_ratio_reit_to_gold is: 0.20503661437348153</t>
  </si>
  <si>
    <t xml:space="preserve"> risk_ratio_reit_to_gold_before is: 0.20485351090561138
</t>
  </si>
  <si>
    <t xml:space="preserve"> 0.20485351090561138
</t>
  </si>
  <si>
    <t xml:space="preserve"> delta_reit is: 1.0007550888266923
</t>
  </si>
  <si>
    <t xml:space="preserve"> 1.0007550888266923
</t>
  </si>
  <si>
    <t>delta_gold_risk is: 0.9999824751472901</t>
  </si>
  <si>
    <t xml:space="preserve"> delta_tb_risk is: 0.9998904338002931</t>
  </si>
  <si>
    <t xml:space="preserve"> delta_reit_risk is: 1.0001519715602045
</t>
  </si>
  <si>
    <t xml:space="preserve"> 1.0001519715602045
</t>
  </si>
  <si>
    <t xml:space="preserve">collateral_ratio_tranche_gold is: 0.7998957482739297
</t>
  </si>
  <si>
    <t xml:space="preserve"> 0.7998957482739297
</t>
  </si>
  <si>
    <t xml:space="preserve">collateral_ratio_tranche_tb is: 0.39997455820466415
</t>
  </si>
  <si>
    <t xml:space="preserve"> 0.39997455820466415
</t>
  </si>
  <si>
    <t xml:space="preserve">collateral_ratio_tranche_reit is: 0.300293219453641
</t>
  </si>
  <si>
    <t xml:space="preserve"> 0.300293219453641
</t>
  </si>
  <si>
    <t>Total plot size is: 150037707.55825457</t>
  </si>
  <si>
    <t xml:space="preserve"> plot size of gold is: 80000210.31388153</t>
  </si>
  <si>
    <t xml:space="preserve"> plot size of TB is: 39999091.94478337</t>
  </si>
  <si>
    <t xml:space="preserve"> plot size of REIT is: 30038405.29958967
</t>
  </si>
  <si>
    <t xml:space="preserve"> 30038405.29958967
</t>
  </si>
  <si>
    <t xml:space="preserve">collateral ratio is: 1.5001231978733491
</t>
  </si>
  <si>
    <t xml:space="preserve"> 1.5001231978733491
</t>
  </si>
  <si>
    <t>S_gtbcps_0 is: 1.0001555932865784</t>
  </si>
  <si>
    <t xml:space="preserve">stdev_gtbcps is: 0.006272975739181076
</t>
  </si>
  <si>
    <t xml:space="preserve"> 0.006272975739181076
</t>
  </si>
  <si>
    <t>predicted price of GTBCPS is: 1.000174412173</t>
  </si>
  <si>
    <t xml:space="preserve"> actual price is: 1.0001555932865784
</t>
  </si>
  <si>
    <t xml:space="preserve"> 1.0001555932865784
</t>
  </si>
  <si>
    <t>predicted amount of GTBCPS is: 100007695.8126263</t>
  </si>
  <si>
    <t xml:space="preserve"> actual amount is: 100001364.24970382
</t>
  </si>
  <si>
    <t>plot sizes of gold is: 80000210.31388153</t>
  </si>
  <si>
    <t xml:space="preserve"> plot sizes of tb is: 39999091.94478337 </t>
  </si>
  <si>
    <t xml:space="preserve"> plot sizes of reit is: 30038405.29958967</t>
  </si>
  <si>
    <t xml:space="preserve"> plot sizes of total is: 150037707.55825457.
</t>
  </si>
  <si>
    <t xml:space="preserve"> 150037707.55825457.
</t>
  </si>
  <si>
    <t>predicted stdevs of gold is: 0.0060599006674459605</t>
  </si>
  <si>
    <t xml:space="preserve"> predicted stdevs of tb is: 0.0006942751964750031</t>
  </si>
  <si>
    <t xml:space="preserve"> predicted stdevs of reit is: 0.014269039581320147</t>
  </si>
  <si>
    <t xml:space="preserve"> predicted stdevs of GTBCPS is: 0.006272975739181076.
</t>
  </si>
  <si>
    <t xml:space="preserve"> 0.006272975739181076.
</t>
  </si>
  <si>
    <t>total_value_of_collaterals is: 150038358.80288815</t>
  </si>
  <si>
    <t xml:space="preserve"> createdtionValue_gold is: 5064.9056371566785</t>
  </si>
  <si>
    <t xml:space="preserve"> createdValue_tb is: 2532.3789996321334</t>
  </si>
  <si>
    <t xml:space="preserve"> createdValue_reit is: 1901.7574301901752
</t>
  </si>
  <si>
    <t xml:space="preserve"> 1901.7574301901752
</t>
  </si>
  <si>
    <t>plotValue_gold_after_creation is: 79995647.15902346</t>
  </si>
  <si>
    <t xml:space="preserve"> plotValue_tb_after_creation  is: 39996657.675386876</t>
  </si>
  <si>
    <t xml:space="preserve"> plotValue_reit_after_creation  is: 30036554.92641084</t>
  </si>
  <si>
    <t xml:space="preserve">total_value_after_creation is: 150028859.76082116
</t>
  </si>
  <si>
    <t xml:space="preserve"> 150028859.76082116
</t>
  </si>
  <si>
    <t>total_amount_gtncps_before_creation is: 100001364.24970382</t>
  </si>
  <si>
    <t>creation_amount_gtbcps is: 6331.562922477722</t>
  </si>
  <si>
    <t xml:space="preserve">total_amount_gtbcps_new is: 100007695.8126263
</t>
  </si>
  <si>
    <t xml:space="preserve"> 100007695.8126263
</t>
  </si>
  <si>
    <t>payout of tranche of gold is: 501.75077909091254</t>
  </si>
  <si>
    <t xml:space="preserve"> payout of tranche of Treausry Bill Option is: 98.10960314715692</t>
  </si>
  <si>
    <t xml:space="preserve"> payout of tranche of Collar of REIT is: 51.38425135766722
</t>
  </si>
  <si>
    <t xml:space="preserve"> 51.38425135766722
</t>
  </si>
  <si>
    <t>Collateral size of tranche of gold is: 79995647.15902346</t>
  </si>
  <si>
    <t xml:space="preserve"> collateral size of tranche of Treausry Bill Option is: 39996657.675386876</t>
  </si>
  <si>
    <t xml:space="preserve"> collateral size of tranche of Collar of REIT is: 30036554.92641084
</t>
  </si>
  <si>
    <t xml:space="preserve"> 30036554.92641084
</t>
  </si>
  <si>
    <t>Collateral ratio of tranche of gold is: 0.7998060624219986</t>
  </si>
  <si>
    <t xml:space="preserve"> collateral ratio of tranche of Treausry Bill Option is: 0.3998913743619034</t>
  </si>
  <si>
    <t xml:space="preserve"> collateral ratio of tranche of Collar of REIT is: 0.30030907402572227
</t>
  </si>
  <si>
    <t xml:space="preserve"> 0.30030907402572227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</si>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</sst>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A6BB-15AD-4660-BB93-43A81706166D}">
  <sheetPr filterMode="1"/>
  <dimension ref="A1:D2063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1305.25</v>
      </c>
    </row>
    <row r="4" spans="1:4" hidden="1" x14ac:dyDescent="0.3">
      <c r="A4">
        <v>2</v>
      </c>
      <c r="B4" t="s">
        <v>8</v>
      </c>
      <c r="C4" t="s">
        <v>9</v>
      </c>
      <c r="D4">
        <v>1302.1670850002499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98.4296875</v>
      </c>
    </row>
    <row r="7" spans="1:4" hidden="1" x14ac:dyDescent="0.3">
      <c r="A7">
        <v>5</v>
      </c>
      <c r="B7" t="s">
        <v>15</v>
      </c>
      <c r="C7" t="s">
        <v>16</v>
      </c>
      <c r="D7">
        <v>4.2819487927479898</v>
      </c>
    </row>
    <row r="8" spans="1:4" hidden="1" x14ac:dyDescent="0.3">
      <c r="A8">
        <v>6</v>
      </c>
      <c r="B8" t="s">
        <v>17</v>
      </c>
      <c r="C8" t="s">
        <v>18</v>
      </c>
      <c r="D8">
        <v>98.656336327487196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83.1</v>
      </c>
    </row>
    <row r="11" spans="1:4" hidden="1" x14ac:dyDescent="0.3">
      <c r="A11">
        <v>9</v>
      </c>
      <c r="B11" t="s">
        <v>23</v>
      </c>
      <c r="C11" t="s">
        <v>24</v>
      </c>
      <c r="D11">
        <v>4.1470463980726997</v>
      </c>
    </row>
    <row r="12" spans="1:4" hidden="1" x14ac:dyDescent="0.3">
      <c r="A12">
        <v>10</v>
      </c>
      <c r="B12" t="s">
        <v>25</v>
      </c>
      <c r="C12" t="s">
        <v>26</v>
      </c>
      <c r="D12">
        <v>83.489585748616193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0.75618242180930895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-0.51706679706260505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0.760884375253295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4.5657535904969002E-3</v>
      </c>
    </row>
    <row r="21" spans="1:4" hidden="1" x14ac:dyDescent="0.3">
      <c r="A21">
        <v>19</v>
      </c>
      <c r="B21" t="s">
        <v>46</v>
      </c>
      <c r="C21" t="s">
        <v>47</v>
      </c>
      <c r="D21">
        <v>1.24711815209512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0.75618242180930895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-0.51706679706260505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0.760884375253295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1.0000253073861001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99997469.325434193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6.2360020509236499E-3</v>
      </c>
    </row>
    <row r="51" spans="1:4" hidden="1" x14ac:dyDescent="0.3">
      <c r="A51">
        <v>49</v>
      </c>
      <c r="B51" t="s">
        <v>104</v>
      </c>
      <c r="C51" t="s">
        <v>105</v>
      </c>
      <c r="D51">
        <v>6.6860246807205997E-4</v>
      </c>
    </row>
    <row r="52" spans="1:4" hidden="1" x14ac:dyDescent="0.3">
      <c r="A52">
        <v>50</v>
      </c>
      <c r="B52" t="s">
        <v>106</v>
      </c>
      <c r="C52" t="s">
        <v>107</v>
      </c>
      <c r="D52">
        <v>1.49330867538998E-2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674.846550881025</v>
      </c>
    </row>
    <row r="55" spans="1:4" hidden="1" x14ac:dyDescent="0.3">
      <c r="A55">
        <v>53</v>
      </c>
      <c r="B55" t="s">
        <v>113</v>
      </c>
      <c r="C55" t="s">
        <v>114</v>
      </c>
      <c r="D55">
        <v>131.96999217228901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80000674.846550807</v>
      </c>
    </row>
    <row r="58" spans="1:4" hidden="1" x14ac:dyDescent="0.3">
      <c r="A58">
        <v>56</v>
      </c>
      <c r="B58" t="s">
        <v>120</v>
      </c>
      <c r="C58" t="s">
        <v>121</v>
      </c>
      <c r="D58">
        <v>40000131.969992101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0.80000674846550801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0.40000131969992098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1305.25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98.4296875</v>
      </c>
    </row>
    <row r="67" spans="1:4" hidden="1" x14ac:dyDescent="0.3">
      <c r="A67">
        <v>65</v>
      </c>
      <c r="B67" t="s">
        <v>15</v>
      </c>
      <c r="C67" t="s">
        <v>16</v>
      </c>
      <c r="D67">
        <v>4.2819487927479898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83.1</v>
      </c>
    </row>
    <row r="70" spans="1:4" hidden="1" x14ac:dyDescent="0.3">
      <c r="A70">
        <v>68</v>
      </c>
      <c r="B70" t="s">
        <v>137</v>
      </c>
      <c r="C70" t="s">
        <v>24</v>
      </c>
      <c r="D70">
        <v>4.1485438052168702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-0.50891851570855295</v>
      </c>
    </row>
    <row r="73" spans="1:4" hidden="1" x14ac:dyDescent="0.3">
      <c r="A73">
        <v>71</v>
      </c>
      <c r="B73" t="s">
        <v>142</v>
      </c>
      <c r="C73" t="s">
        <v>143</v>
      </c>
      <c r="D73">
        <v>0.74537880824405001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0.74426599792966097</v>
      </c>
    </row>
    <row r="76" spans="1:4" hidden="1" x14ac:dyDescent="0.3">
      <c r="A76">
        <v>74</v>
      </c>
      <c r="B76" t="s">
        <v>147</v>
      </c>
      <c r="C76" t="s">
        <v>32</v>
      </c>
      <c r="D76">
        <v>0.14682125711624899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0.76465251777889198</v>
      </c>
    </row>
    <row r="79" spans="1:4" hidden="1" x14ac:dyDescent="0.3">
      <c r="A79">
        <v>77</v>
      </c>
      <c r="B79" t="s">
        <v>151</v>
      </c>
      <c r="C79" t="s">
        <v>42</v>
      </c>
      <c r="D79">
        <v>0.194778462301293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0.99995561627110296</v>
      </c>
    </row>
    <row r="85" spans="1:4" hidden="1" x14ac:dyDescent="0.3">
      <c r="A85">
        <v>83</v>
      </c>
      <c r="B85" t="s">
        <v>163</v>
      </c>
      <c r="C85" t="s">
        <v>164</v>
      </c>
      <c r="D85">
        <v>1.00033379727098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150000514.88521501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1.0000253073861001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1.00002822811428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99997520.515373394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30000514.885215901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6.2674193312769596E-3</v>
      </c>
    </row>
    <row r="109" spans="1:4" hidden="1" x14ac:dyDescent="0.3">
      <c r="A109">
        <v>107</v>
      </c>
      <c r="B109" t="s">
        <v>192</v>
      </c>
      <c r="C109" t="s">
        <v>105</v>
      </c>
      <c r="D109">
        <v>6.7104853769719302E-4</v>
      </c>
    </row>
    <row r="110" spans="1:4" hidden="1" x14ac:dyDescent="0.3">
      <c r="A110">
        <v>108</v>
      </c>
      <c r="B110" t="s">
        <v>193</v>
      </c>
      <c r="C110" t="s">
        <v>107</v>
      </c>
      <c r="D110">
        <v>1.49243337394389E-2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hidden="1" x14ac:dyDescent="0.3">
      <c r="A112">
        <v>110</v>
      </c>
      <c r="B112" t="s">
        <v>196</v>
      </c>
      <c r="C112" t="s">
        <v>197</v>
      </c>
      <c r="D112">
        <v>150000615.95518899</v>
      </c>
    </row>
    <row r="113" spans="1:4" hidden="1" x14ac:dyDescent="0.3">
      <c r="A113">
        <v>111</v>
      </c>
      <c r="B113" t="s">
        <v>198</v>
      </c>
      <c r="C113" t="s">
        <v>199</v>
      </c>
      <c r="D113">
        <v>40.953006724447903</v>
      </c>
    </row>
    <row r="114" spans="1:4" hidden="1" x14ac:dyDescent="0.3">
      <c r="A114">
        <v>112</v>
      </c>
      <c r="B114" t="s">
        <v>200</v>
      </c>
      <c r="C114" t="s">
        <v>201</v>
      </c>
      <c r="D114">
        <v>20.4764912216677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80000036.930879399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39999994.749355599</v>
      </c>
    </row>
    <row r="118" spans="1:4" hidden="1" x14ac:dyDescent="0.3">
      <c r="A118">
        <v>116</v>
      </c>
      <c r="B118" t="s">
        <v>209</v>
      </c>
      <c r="C118" t="s">
        <v>210</v>
      </c>
      <c r="D118">
        <v>30000507.4878258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99997469.325434193</v>
      </c>
    </row>
    <row r="121" spans="1:4" hidden="1" x14ac:dyDescent="0.3">
      <c r="A121">
        <v>119</v>
      </c>
      <c r="B121" t="s">
        <v>216</v>
      </c>
      <c r="C121" t="s">
        <v>217</v>
      </c>
      <c r="D121">
        <v>51.189939290285103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77.883886219042594</v>
      </c>
    </row>
    <row r="124" spans="1:4" hidden="1" x14ac:dyDescent="0.3">
      <c r="A124">
        <v>122</v>
      </c>
      <c r="B124" t="s">
        <v>222</v>
      </c>
      <c r="C124" t="s">
        <v>114</v>
      </c>
      <c r="D124">
        <v>15.2258468761065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80000036.930879399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39999994.749355599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0.79999803279112902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0.39999877923541599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1305.25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98.4296875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4.2819487927479898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83.1</v>
      </c>
    </row>
    <row r="139" spans="1:4" hidden="1" x14ac:dyDescent="0.3">
      <c r="A139">
        <v>137</v>
      </c>
      <c r="B139" t="s">
        <v>233</v>
      </c>
      <c r="C139" t="s">
        <v>24</v>
      </c>
      <c r="D139">
        <v>4.1364986813285096</v>
      </c>
    </row>
    <row r="140" spans="1:4" hidden="1" x14ac:dyDescent="0.3">
      <c r="A140">
        <v>138</v>
      </c>
      <c r="B140" s="1" t="s">
        <v>234</v>
      </c>
      <c r="C140" t="s">
        <v>139</v>
      </c>
      <c r="D140" s="1" t="s">
        <v>235</v>
      </c>
    </row>
    <row r="141" spans="1:4" hidden="1" x14ac:dyDescent="0.3">
      <c r="A141">
        <v>139</v>
      </c>
      <c r="B141" t="s">
        <v>236</v>
      </c>
      <c r="C141" t="s">
        <v>35</v>
      </c>
      <c r="D141">
        <v>-0.48762616487016702</v>
      </c>
    </row>
    <row r="142" spans="1:4" hidden="1" x14ac:dyDescent="0.3">
      <c r="A142">
        <v>140</v>
      </c>
      <c r="B142" t="s">
        <v>237</v>
      </c>
      <c r="C142" t="s">
        <v>143</v>
      </c>
      <c r="D142">
        <v>0.74438763347100001</v>
      </c>
    </row>
    <row r="143" spans="1:4" hidden="1" x14ac:dyDescent="0.3">
      <c r="A143">
        <v>141</v>
      </c>
      <c r="B143" s="1" t="s">
        <v>238</v>
      </c>
      <c r="C143" t="s">
        <v>145</v>
      </c>
      <c r="D143" s="1" t="s">
        <v>239</v>
      </c>
    </row>
    <row r="144" spans="1:4" hidden="1" x14ac:dyDescent="0.3">
      <c r="A144">
        <v>142</v>
      </c>
      <c r="B144" t="s">
        <v>240</v>
      </c>
      <c r="C144" t="s">
        <v>30</v>
      </c>
      <c r="D144">
        <v>0.71312707832690903</v>
      </c>
    </row>
    <row r="145" spans="1:4" hidden="1" x14ac:dyDescent="0.3">
      <c r="A145">
        <v>143</v>
      </c>
      <c r="B145" t="s">
        <v>241</v>
      </c>
      <c r="C145" t="s">
        <v>32</v>
      </c>
      <c r="D145">
        <v>0.14845851165549501</v>
      </c>
    </row>
    <row r="146" spans="1:4" hidden="1" x14ac:dyDescent="0.3">
      <c r="A146">
        <v>144</v>
      </c>
      <c r="B146" s="1" t="s">
        <v>242</v>
      </c>
      <c r="C146" t="s">
        <v>149</v>
      </c>
      <c r="D146" s="1" t="s">
        <v>243</v>
      </c>
    </row>
    <row r="147" spans="1:4" hidden="1" x14ac:dyDescent="0.3">
      <c r="A147">
        <v>145</v>
      </c>
      <c r="B147" t="s">
        <v>244</v>
      </c>
      <c r="C147" t="s">
        <v>40</v>
      </c>
      <c r="D147">
        <v>0.77449908654325705</v>
      </c>
    </row>
    <row r="148" spans="1:4" hidden="1" x14ac:dyDescent="0.3">
      <c r="A148">
        <v>146</v>
      </c>
      <c r="B148" t="s">
        <v>245</v>
      </c>
      <c r="C148" t="s">
        <v>42</v>
      </c>
      <c r="D148">
        <v>0.194927588590562</v>
      </c>
    </row>
    <row r="149" spans="1:4" hidden="1" x14ac:dyDescent="0.3">
      <c r="A149">
        <v>147</v>
      </c>
      <c r="B149" s="1" t="s">
        <v>246</v>
      </c>
      <c r="C149" t="s">
        <v>153</v>
      </c>
      <c r="D149" s="1" t="s">
        <v>247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248</v>
      </c>
      <c r="C152" t="s">
        <v>159</v>
      </c>
      <c r="D152" s="1" t="s">
        <v>249</v>
      </c>
    </row>
    <row r="153" spans="1:4" hidden="1" x14ac:dyDescent="0.3">
      <c r="A153">
        <v>151</v>
      </c>
      <c r="B153" t="s">
        <v>250</v>
      </c>
      <c r="C153" t="s">
        <v>162</v>
      </c>
      <c r="D153">
        <v>0.99943211481177097</v>
      </c>
    </row>
    <row r="154" spans="1:4" hidden="1" x14ac:dyDescent="0.3">
      <c r="A154">
        <v>152</v>
      </c>
      <c r="B154" t="s">
        <v>251</v>
      </c>
      <c r="C154" t="s">
        <v>164</v>
      </c>
      <c r="D154">
        <v>1.00142764578968</v>
      </c>
    </row>
    <row r="155" spans="1:4" hidden="1" x14ac:dyDescent="0.3">
      <c r="A155">
        <v>153</v>
      </c>
      <c r="B155" s="1" t="s">
        <v>252</v>
      </c>
      <c r="C155" t="s">
        <v>166</v>
      </c>
      <c r="D155" s="1" t="s">
        <v>253</v>
      </c>
    </row>
    <row r="156" spans="1:4" hidden="1" x14ac:dyDescent="0.3">
      <c r="A156">
        <v>154</v>
      </c>
      <c r="B156" s="1" t="s">
        <v>254</v>
      </c>
      <c r="C156" t="s">
        <v>55</v>
      </c>
      <c r="D156" s="1" t="s">
        <v>255</v>
      </c>
    </row>
    <row r="157" spans="1:4" hidden="1" x14ac:dyDescent="0.3">
      <c r="A157">
        <v>155</v>
      </c>
      <c r="B157" s="1" t="s">
        <v>256</v>
      </c>
      <c r="C157" t="s">
        <v>52</v>
      </c>
      <c r="D157" s="1" t="s">
        <v>257</v>
      </c>
    </row>
    <row r="158" spans="1:4" hidden="1" x14ac:dyDescent="0.3">
      <c r="A158">
        <v>156</v>
      </c>
      <c r="B158" s="1" t="s">
        <v>258</v>
      </c>
      <c r="C158" t="s">
        <v>58</v>
      </c>
      <c r="D158" s="1" t="s">
        <v>259</v>
      </c>
    </row>
    <row r="159" spans="1:4" hidden="1" x14ac:dyDescent="0.3">
      <c r="A159">
        <v>157</v>
      </c>
      <c r="B159" t="s">
        <v>260</v>
      </c>
      <c r="C159" t="s">
        <v>61</v>
      </c>
      <c r="D159">
        <v>149996397.43900001</v>
      </c>
    </row>
    <row r="160" spans="1:4" hidden="1" x14ac:dyDescent="0.3">
      <c r="A160">
        <v>158</v>
      </c>
      <c r="B160" t="s">
        <v>261</v>
      </c>
      <c r="C160" t="s">
        <v>63</v>
      </c>
      <c r="D160">
        <v>80000036.930879399</v>
      </c>
    </row>
    <row r="161" spans="1:4" hidden="1" x14ac:dyDescent="0.3">
      <c r="A161">
        <v>159</v>
      </c>
      <c r="B161" t="s">
        <v>262</v>
      </c>
      <c r="C161" t="s">
        <v>65</v>
      </c>
      <c r="D161">
        <v>39999994.749355599</v>
      </c>
    </row>
    <row r="162" spans="1:4" hidden="1" x14ac:dyDescent="0.3">
      <c r="A162">
        <v>160</v>
      </c>
      <c r="B162" s="1" t="s">
        <v>263</v>
      </c>
      <c r="C162" t="s">
        <v>67</v>
      </c>
      <c r="D162" s="1" t="s">
        <v>264</v>
      </c>
    </row>
    <row r="163" spans="1:4" hidden="1" x14ac:dyDescent="0.3">
      <c r="A163">
        <v>161</v>
      </c>
      <c r="B163" s="1" t="s">
        <v>265</v>
      </c>
      <c r="C163" t="s">
        <v>70</v>
      </c>
      <c r="D163" s="1" t="s">
        <v>266</v>
      </c>
    </row>
    <row r="164" spans="1:4" hidden="1" x14ac:dyDescent="0.3">
      <c r="A164">
        <v>162</v>
      </c>
      <c r="B164" t="s">
        <v>267</v>
      </c>
      <c r="C164" t="s">
        <v>73</v>
      </c>
      <c r="D164">
        <v>1.00002822811428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268</v>
      </c>
      <c r="C167" t="s">
        <v>79</v>
      </c>
      <c r="D167" s="2">
        <v>-2.2204460492503101E-16</v>
      </c>
    </row>
    <row r="168" spans="1:4" hidden="1" x14ac:dyDescent="0.3">
      <c r="A168">
        <v>166</v>
      </c>
      <c r="B168" s="1" t="s">
        <v>269</v>
      </c>
      <c r="C168" t="s">
        <v>81</v>
      </c>
      <c r="D168" s="1" t="s">
        <v>270</v>
      </c>
    </row>
    <row r="169" spans="1:4" hidden="1" x14ac:dyDescent="0.3">
      <c r="A169">
        <v>167</v>
      </c>
      <c r="B169" t="s">
        <v>271</v>
      </c>
      <c r="C169" t="s">
        <v>84</v>
      </c>
      <c r="D169">
        <v>1.0000402777058199</v>
      </c>
    </row>
    <row r="170" spans="1:4" hidden="1" x14ac:dyDescent="0.3">
      <c r="A170">
        <v>168</v>
      </c>
      <c r="B170" s="1" t="s">
        <v>272</v>
      </c>
      <c r="C170" t="s">
        <v>86</v>
      </c>
      <c r="D170" s="1" t="s">
        <v>273</v>
      </c>
    </row>
    <row r="171" spans="1:4" hidden="1" x14ac:dyDescent="0.3">
      <c r="A171">
        <v>169</v>
      </c>
      <c r="B171" t="s">
        <v>274</v>
      </c>
      <c r="C171" t="s">
        <v>89</v>
      </c>
      <c r="D171">
        <v>99996315.634625405</v>
      </c>
    </row>
    <row r="172" spans="1:4" hidden="1" x14ac:dyDescent="0.3">
      <c r="A172">
        <v>170</v>
      </c>
      <c r="B172" s="1" t="s">
        <v>275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276</v>
      </c>
      <c r="C173" t="s">
        <v>94</v>
      </c>
      <c r="D173">
        <v>80000036.930879399</v>
      </c>
    </row>
    <row r="174" spans="1:4" hidden="1" x14ac:dyDescent="0.3">
      <c r="A174">
        <v>172</v>
      </c>
      <c r="B174" t="s">
        <v>277</v>
      </c>
      <c r="C174" t="s">
        <v>96</v>
      </c>
      <c r="D174">
        <v>39999994.749355599</v>
      </c>
    </row>
    <row r="175" spans="1:4" hidden="1" x14ac:dyDescent="0.3">
      <c r="A175">
        <v>173</v>
      </c>
      <c r="B175" t="s">
        <v>278</v>
      </c>
      <c r="C175" t="s">
        <v>98</v>
      </c>
      <c r="D175">
        <v>29996365.7587649</v>
      </c>
    </row>
    <row r="176" spans="1:4" hidden="1" x14ac:dyDescent="0.3">
      <c r="A176">
        <v>174</v>
      </c>
      <c r="B176" s="1" t="s">
        <v>279</v>
      </c>
      <c r="C176" t="s">
        <v>100</v>
      </c>
      <c r="D176" s="1" t="s">
        <v>280</v>
      </c>
    </row>
    <row r="177" spans="1:4" hidden="1" x14ac:dyDescent="0.3">
      <c r="A177">
        <v>175</v>
      </c>
      <c r="B177" t="s">
        <v>281</v>
      </c>
      <c r="C177" t="s">
        <v>103</v>
      </c>
      <c r="D177">
        <v>6.2273993426367096E-3</v>
      </c>
    </row>
    <row r="178" spans="1:4" hidden="1" x14ac:dyDescent="0.3">
      <c r="A178">
        <v>176</v>
      </c>
      <c r="B178" t="s">
        <v>282</v>
      </c>
      <c r="C178" t="s">
        <v>105</v>
      </c>
      <c r="D178">
        <v>6.7207256166739295E-4</v>
      </c>
    </row>
    <row r="179" spans="1:4" hidden="1" x14ac:dyDescent="0.3">
      <c r="A179">
        <v>177</v>
      </c>
      <c r="B179" t="s">
        <v>283</v>
      </c>
      <c r="C179" t="s">
        <v>107</v>
      </c>
      <c r="D179">
        <v>1.49947397699161E-2</v>
      </c>
    </row>
    <row r="180" spans="1:4" hidden="1" x14ac:dyDescent="0.3">
      <c r="A180">
        <v>178</v>
      </c>
      <c r="B180" s="1" t="s">
        <v>284</v>
      </c>
      <c r="C180" t="s">
        <v>109</v>
      </c>
      <c r="D180" s="1" t="s">
        <v>285</v>
      </c>
    </row>
    <row r="181" spans="1:4" hidden="1" x14ac:dyDescent="0.3">
      <c r="A181">
        <v>179</v>
      </c>
      <c r="B181" t="s">
        <v>286</v>
      </c>
      <c r="C181" t="s">
        <v>197</v>
      </c>
      <c r="D181">
        <v>149996814.337403</v>
      </c>
    </row>
    <row r="182" spans="1:4" hidden="1" x14ac:dyDescent="0.3">
      <c r="A182">
        <v>180</v>
      </c>
      <c r="B182" t="s">
        <v>287</v>
      </c>
      <c r="C182" t="s">
        <v>199</v>
      </c>
      <c r="D182">
        <v>-963.94427529484801</v>
      </c>
    </row>
    <row r="183" spans="1:4" hidden="1" x14ac:dyDescent="0.3">
      <c r="A183">
        <v>181</v>
      </c>
      <c r="B183" t="s">
        <v>288</v>
      </c>
      <c r="C183" t="s">
        <v>201</v>
      </c>
      <c r="D183">
        <v>-481.97071937111701</v>
      </c>
    </row>
    <row r="184" spans="1:4" hidden="1" x14ac:dyDescent="0.3">
      <c r="A184">
        <v>182</v>
      </c>
      <c r="B184" s="1" t="s">
        <v>289</v>
      </c>
      <c r="C184" t="s">
        <v>203</v>
      </c>
      <c r="D184" s="1" t="s">
        <v>290</v>
      </c>
    </row>
    <row r="185" spans="1:4" hidden="1" x14ac:dyDescent="0.3">
      <c r="A185">
        <v>183</v>
      </c>
      <c r="B185" t="s">
        <v>291</v>
      </c>
      <c r="C185" t="s">
        <v>206</v>
      </c>
      <c r="D185">
        <v>80001309.343672603</v>
      </c>
    </row>
    <row r="186" spans="1:4" hidden="1" x14ac:dyDescent="0.3">
      <c r="A186">
        <v>184</v>
      </c>
      <c r="B186" t="s">
        <v>292</v>
      </c>
      <c r="C186" t="s">
        <v>208</v>
      </c>
      <c r="D186">
        <v>40000536.963827103</v>
      </c>
    </row>
    <row r="187" spans="1:4" hidden="1" x14ac:dyDescent="0.3">
      <c r="A187">
        <v>185</v>
      </c>
      <c r="B187" t="s">
        <v>293</v>
      </c>
      <c r="C187" t="s">
        <v>210</v>
      </c>
      <c r="D187">
        <v>29996775.379231598</v>
      </c>
    </row>
    <row r="188" spans="1:4" hidden="1" x14ac:dyDescent="0.3">
      <c r="A188">
        <v>186</v>
      </c>
      <c r="B188" s="1" t="s">
        <v>294</v>
      </c>
      <c r="C188" t="s">
        <v>212</v>
      </c>
      <c r="D188" s="1" t="s">
        <v>295</v>
      </c>
    </row>
    <row r="189" spans="1:4" hidden="1" x14ac:dyDescent="0.3">
      <c r="A189">
        <v>187</v>
      </c>
      <c r="B189" t="s">
        <v>296</v>
      </c>
      <c r="C189" t="s">
        <v>215</v>
      </c>
      <c r="D189">
        <v>99997520.515373394</v>
      </c>
    </row>
    <row r="190" spans="1:4" hidden="1" x14ac:dyDescent="0.3">
      <c r="A190">
        <v>188</v>
      </c>
      <c r="B190" t="s">
        <v>297</v>
      </c>
      <c r="C190" t="s">
        <v>217</v>
      </c>
      <c r="D190">
        <v>-1204.8807480186199</v>
      </c>
    </row>
    <row r="191" spans="1:4" hidden="1" x14ac:dyDescent="0.3">
      <c r="A191">
        <v>189</v>
      </c>
      <c r="B191" s="1" t="s">
        <v>298</v>
      </c>
      <c r="C191" t="s">
        <v>219</v>
      </c>
      <c r="D191" s="1" t="s">
        <v>299</v>
      </c>
    </row>
    <row r="192" spans="1:4" hidden="1" x14ac:dyDescent="0.3">
      <c r="A192">
        <v>190</v>
      </c>
      <c r="B192" t="s">
        <v>300</v>
      </c>
      <c r="C192" t="s">
        <v>112</v>
      </c>
      <c r="D192">
        <v>308.46851784335303</v>
      </c>
    </row>
    <row r="193" spans="1:4" hidden="1" x14ac:dyDescent="0.3">
      <c r="A193">
        <v>191</v>
      </c>
      <c r="B193" t="s">
        <v>301</v>
      </c>
      <c r="C193" t="s">
        <v>114</v>
      </c>
      <c r="D193">
        <v>60.243752110803499</v>
      </c>
    </row>
    <row r="194" spans="1:4" hidden="1" x14ac:dyDescent="0.3">
      <c r="A194">
        <v>192</v>
      </c>
      <c r="B194" s="1" t="s">
        <v>302</v>
      </c>
      <c r="C194" t="s">
        <v>116</v>
      </c>
      <c r="D194" s="1" t="s">
        <v>303</v>
      </c>
    </row>
    <row r="195" spans="1:4" hidden="1" x14ac:dyDescent="0.3">
      <c r="A195">
        <v>193</v>
      </c>
      <c r="B195" t="s">
        <v>304</v>
      </c>
      <c r="C195" t="s">
        <v>119</v>
      </c>
      <c r="D195">
        <v>80001309.343672603</v>
      </c>
    </row>
    <row r="196" spans="1:4" hidden="1" x14ac:dyDescent="0.3">
      <c r="A196">
        <v>194</v>
      </c>
      <c r="B196" t="s">
        <v>305</v>
      </c>
      <c r="C196" t="s">
        <v>121</v>
      </c>
      <c r="D196">
        <v>40000536.963827103</v>
      </c>
    </row>
    <row r="197" spans="1:4" hidden="1" x14ac:dyDescent="0.3">
      <c r="A197">
        <v>195</v>
      </c>
      <c r="B197" s="1" t="s">
        <v>306</v>
      </c>
      <c r="C197" t="s">
        <v>123</v>
      </c>
      <c r="D197" s="1" t="s">
        <v>307</v>
      </c>
    </row>
    <row r="198" spans="1:4" hidden="1" x14ac:dyDescent="0.3">
      <c r="A198">
        <v>196</v>
      </c>
      <c r="B198" t="s">
        <v>308</v>
      </c>
      <c r="C198" t="s">
        <v>126</v>
      </c>
      <c r="D198">
        <v>0.80000070793705802</v>
      </c>
    </row>
    <row r="199" spans="1:4" hidden="1" x14ac:dyDescent="0.3">
      <c r="A199">
        <v>197</v>
      </c>
      <c r="B199" t="s">
        <v>309</v>
      </c>
      <c r="C199" t="s">
        <v>128</v>
      </c>
      <c r="D199">
        <v>0.39999917690665998</v>
      </c>
    </row>
    <row r="200" spans="1:4" hidden="1" x14ac:dyDescent="0.3">
      <c r="A200">
        <v>198</v>
      </c>
      <c r="B200" s="1" t="s">
        <v>310</v>
      </c>
      <c r="C200" t="s">
        <v>130</v>
      </c>
      <c r="D200" s="1" t="s">
        <v>311</v>
      </c>
    </row>
    <row r="201" spans="1:4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1305.25</v>
      </c>
    </row>
    <row r="203" spans="1:4" hidden="1" x14ac:dyDescent="0.3">
      <c r="A203">
        <v>201</v>
      </c>
      <c r="B203" s="1" t="s">
        <v>132</v>
      </c>
      <c r="C203" t="s">
        <v>9</v>
      </c>
      <c r="D203" s="1" t="s">
        <v>133</v>
      </c>
    </row>
    <row r="204" spans="1:4" hidden="1" x14ac:dyDescent="0.3">
      <c r="A204">
        <v>202</v>
      </c>
      <c r="B204" t="s">
        <v>13</v>
      </c>
      <c r="C204" t="s">
        <v>14</v>
      </c>
      <c r="D204">
        <v>98.4296875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4.2819487927479898</v>
      </c>
    </row>
    <row r="206" spans="1:4" hidden="1" x14ac:dyDescent="0.3">
      <c r="A206">
        <v>204</v>
      </c>
      <c r="B206" s="1" t="s">
        <v>134</v>
      </c>
      <c r="C206" t="s">
        <v>135</v>
      </c>
      <c r="D206" s="1" t="s">
        <v>136</v>
      </c>
    </row>
    <row r="207" spans="1:4" hidden="1" x14ac:dyDescent="0.3">
      <c r="A207">
        <v>205</v>
      </c>
      <c r="B207" t="s">
        <v>21</v>
      </c>
      <c r="C207" t="s">
        <v>22</v>
      </c>
      <c r="D207">
        <v>83.1</v>
      </c>
    </row>
    <row r="208" spans="1:4" hidden="1" x14ac:dyDescent="0.3">
      <c r="A208">
        <v>206</v>
      </c>
      <c r="B208" t="s">
        <v>312</v>
      </c>
      <c r="C208" t="s">
        <v>24</v>
      </c>
      <c r="D208">
        <v>4.1456612382089801</v>
      </c>
    </row>
    <row r="209" spans="1:4" hidden="1" x14ac:dyDescent="0.3">
      <c r="A209">
        <v>207</v>
      </c>
      <c r="B209" s="1" t="s">
        <v>313</v>
      </c>
      <c r="C209" t="s">
        <v>139</v>
      </c>
      <c r="D209" s="1" t="s">
        <v>314</v>
      </c>
    </row>
    <row r="210" spans="1:4" hidden="1" x14ac:dyDescent="0.3">
      <c r="A210">
        <v>208</v>
      </c>
      <c r="B210" t="s">
        <v>315</v>
      </c>
      <c r="C210" t="s">
        <v>35</v>
      </c>
      <c r="D210">
        <v>-0.53458459928781299</v>
      </c>
    </row>
    <row r="211" spans="1:4" hidden="1" x14ac:dyDescent="0.3">
      <c r="A211">
        <v>209</v>
      </c>
      <c r="B211" t="s">
        <v>316</v>
      </c>
      <c r="C211" t="s">
        <v>143</v>
      </c>
      <c r="D211">
        <v>0.734005698060755</v>
      </c>
    </row>
    <row r="212" spans="1:4" hidden="1" x14ac:dyDescent="0.3">
      <c r="A212">
        <v>210</v>
      </c>
      <c r="B212" s="1" t="s">
        <v>317</v>
      </c>
      <c r="C212" t="s">
        <v>145</v>
      </c>
      <c r="D212" s="1" t="s">
        <v>318</v>
      </c>
    </row>
    <row r="213" spans="1:4" hidden="1" x14ac:dyDescent="0.3">
      <c r="A213">
        <v>211</v>
      </c>
      <c r="B213" t="s">
        <v>319</v>
      </c>
      <c r="C213" t="s">
        <v>30</v>
      </c>
      <c r="D213">
        <v>0.78180126677612505</v>
      </c>
    </row>
    <row r="214" spans="1:4" hidden="1" x14ac:dyDescent="0.3">
      <c r="A214">
        <v>212</v>
      </c>
      <c r="B214" t="s">
        <v>320</v>
      </c>
      <c r="C214" t="s">
        <v>32</v>
      </c>
      <c r="D214">
        <v>0.15477054721258601</v>
      </c>
    </row>
    <row r="215" spans="1:4" hidden="1" x14ac:dyDescent="0.3">
      <c r="A215">
        <v>213</v>
      </c>
      <c r="B215" s="1" t="s">
        <v>321</v>
      </c>
      <c r="C215" t="s">
        <v>149</v>
      </c>
      <c r="D215" s="1" t="s">
        <v>322</v>
      </c>
    </row>
    <row r="216" spans="1:4" hidden="1" x14ac:dyDescent="0.3">
      <c r="A216">
        <v>214</v>
      </c>
      <c r="B216" t="s">
        <v>323</v>
      </c>
      <c r="C216" t="s">
        <v>40</v>
      </c>
      <c r="D216">
        <v>0.75278333251168805</v>
      </c>
    </row>
    <row r="217" spans="1:4" hidden="1" x14ac:dyDescent="0.3">
      <c r="A217">
        <v>215</v>
      </c>
      <c r="B217" t="s">
        <v>324</v>
      </c>
      <c r="C217" t="s">
        <v>42</v>
      </c>
      <c r="D217">
        <v>0.207616696703915</v>
      </c>
    </row>
    <row r="218" spans="1:4" hidden="1" x14ac:dyDescent="0.3">
      <c r="A218">
        <v>216</v>
      </c>
      <c r="B218" s="1" t="s">
        <v>325</v>
      </c>
      <c r="C218" t="s">
        <v>153</v>
      </c>
      <c r="D218" s="1" t="s">
        <v>326</v>
      </c>
    </row>
    <row r="219" spans="1:4" hidden="1" x14ac:dyDescent="0.3">
      <c r="A219">
        <v>217</v>
      </c>
      <c r="B219" t="s">
        <v>154</v>
      </c>
      <c r="C219" t="s">
        <v>155</v>
      </c>
      <c r="D219">
        <v>1</v>
      </c>
    </row>
    <row r="220" spans="1:4" hidden="1" x14ac:dyDescent="0.3">
      <c r="A220">
        <v>218</v>
      </c>
      <c r="B220" t="s">
        <v>156</v>
      </c>
      <c r="C220" t="s">
        <v>157</v>
      </c>
      <c r="D220">
        <v>1</v>
      </c>
    </row>
    <row r="221" spans="1:4" hidden="1" x14ac:dyDescent="0.3">
      <c r="A221">
        <v>219</v>
      </c>
      <c r="B221" s="1" t="s">
        <v>327</v>
      </c>
      <c r="C221" t="s">
        <v>159</v>
      </c>
      <c r="D221" s="1" t="s">
        <v>328</v>
      </c>
    </row>
    <row r="222" spans="1:4" hidden="1" x14ac:dyDescent="0.3">
      <c r="A222">
        <v>220</v>
      </c>
      <c r="B222" t="s">
        <v>329</v>
      </c>
      <c r="C222" t="s">
        <v>162</v>
      </c>
      <c r="D222">
        <v>0.99404837823254399</v>
      </c>
    </row>
    <row r="223" spans="1:4" hidden="1" x14ac:dyDescent="0.3">
      <c r="A223">
        <v>221</v>
      </c>
      <c r="B223" t="s">
        <v>330</v>
      </c>
      <c r="C223" t="s">
        <v>164</v>
      </c>
      <c r="D223">
        <v>1.0054960936708</v>
      </c>
    </row>
    <row r="224" spans="1:4" hidden="1" x14ac:dyDescent="0.3">
      <c r="A224">
        <v>222</v>
      </c>
      <c r="B224" s="1" t="s">
        <v>331</v>
      </c>
      <c r="C224" t="s">
        <v>166</v>
      </c>
      <c r="D224" s="1" t="s">
        <v>332</v>
      </c>
    </row>
    <row r="225" spans="1:4" hidden="1" x14ac:dyDescent="0.3">
      <c r="A225">
        <v>223</v>
      </c>
      <c r="B225" s="1" t="s">
        <v>333</v>
      </c>
      <c r="C225" t="s">
        <v>55</v>
      </c>
      <c r="D225" s="1" t="s">
        <v>334</v>
      </c>
    </row>
    <row r="226" spans="1:4" hidden="1" x14ac:dyDescent="0.3">
      <c r="A226">
        <v>224</v>
      </c>
      <c r="B226" s="1" t="s">
        <v>335</v>
      </c>
      <c r="C226" t="s">
        <v>52</v>
      </c>
      <c r="D226" s="1" t="s">
        <v>336</v>
      </c>
    </row>
    <row r="227" spans="1:4" hidden="1" x14ac:dyDescent="0.3">
      <c r="A227">
        <v>225</v>
      </c>
      <c r="B227" s="1" t="s">
        <v>337</v>
      </c>
      <c r="C227" t="s">
        <v>58</v>
      </c>
      <c r="D227" s="1" t="s">
        <v>338</v>
      </c>
    </row>
    <row r="228" spans="1:4" hidden="1" x14ac:dyDescent="0.3">
      <c r="A228">
        <v>226</v>
      </c>
      <c r="B228" t="s">
        <v>339</v>
      </c>
      <c r="C228" t="s">
        <v>61</v>
      </c>
      <c r="D228">
        <v>150001772.284987</v>
      </c>
    </row>
    <row r="229" spans="1:4" hidden="1" x14ac:dyDescent="0.3">
      <c r="A229">
        <v>227</v>
      </c>
      <c r="B229" t="s">
        <v>340</v>
      </c>
      <c r="C229" t="s">
        <v>63</v>
      </c>
      <c r="D229">
        <v>80001309.343672603</v>
      </c>
    </row>
    <row r="230" spans="1:4" hidden="1" x14ac:dyDescent="0.3">
      <c r="A230">
        <v>228</v>
      </c>
      <c r="B230" t="s">
        <v>341</v>
      </c>
      <c r="C230" t="s">
        <v>65</v>
      </c>
      <c r="D230">
        <v>40000536.963827103</v>
      </c>
    </row>
    <row r="231" spans="1:4" hidden="1" x14ac:dyDescent="0.3">
      <c r="A231">
        <v>229</v>
      </c>
      <c r="B231" s="1" t="s">
        <v>342</v>
      </c>
      <c r="C231" t="s">
        <v>67</v>
      </c>
      <c r="D231" s="1" t="s">
        <v>343</v>
      </c>
    </row>
    <row r="232" spans="1:4" hidden="1" x14ac:dyDescent="0.3">
      <c r="A232">
        <v>230</v>
      </c>
      <c r="B232" s="1" t="s">
        <v>344</v>
      </c>
      <c r="C232" t="s">
        <v>70</v>
      </c>
      <c r="D232" s="1" t="s">
        <v>345</v>
      </c>
    </row>
    <row r="233" spans="1:4" hidden="1" x14ac:dyDescent="0.3">
      <c r="A233">
        <v>231</v>
      </c>
      <c r="B233" t="s">
        <v>346</v>
      </c>
      <c r="C233" t="s">
        <v>73</v>
      </c>
      <c r="D233">
        <v>1.0000402777058199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347</v>
      </c>
      <c r="C237" t="s">
        <v>81</v>
      </c>
      <c r="D237" s="1" t="s">
        <v>348</v>
      </c>
    </row>
    <row r="238" spans="1:4" hidden="1" x14ac:dyDescent="0.3">
      <c r="A238">
        <v>236</v>
      </c>
      <c r="B238" t="s">
        <v>349</v>
      </c>
      <c r="C238" t="s">
        <v>84</v>
      </c>
      <c r="D238">
        <v>1.0000613289394</v>
      </c>
    </row>
    <row r="239" spans="1:4" hidden="1" x14ac:dyDescent="0.3">
      <c r="A239">
        <v>237</v>
      </c>
      <c r="B239" s="1" t="s">
        <v>350</v>
      </c>
      <c r="C239" t="s">
        <v>86</v>
      </c>
      <c r="D239" s="1" t="s">
        <v>351</v>
      </c>
    </row>
    <row r="240" spans="1:4" hidden="1" x14ac:dyDescent="0.3">
      <c r="A240">
        <v>238</v>
      </c>
      <c r="B240" t="s">
        <v>352</v>
      </c>
      <c r="C240" t="s">
        <v>89</v>
      </c>
      <c r="D240">
        <v>99995048.9330284</v>
      </c>
    </row>
    <row r="241" spans="1:4" hidden="1" x14ac:dyDescent="0.3">
      <c r="A241">
        <v>239</v>
      </c>
      <c r="B241" s="1" t="s">
        <v>353</v>
      </c>
      <c r="C241" t="s">
        <v>91</v>
      </c>
      <c r="D241" s="1" t="s">
        <v>299</v>
      </c>
    </row>
    <row r="242" spans="1:4" hidden="1" x14ac:dyDescent="0.3">
      <c r="A242">
        <v>240</v>
      </c>
      <c r="B242" t="s">
        <v>354</v>
      </c>
      <c r="C242" t="s">
        <v>94</v>
      </c>
      <c r="D242">
        <v>80001309.343672603</v>
      </c>
    </row>
    <row r="243" spans="1:4" hidden="1" x14ac:dyDescent="0.3">
      <c r="A243">
        <v>241</v>
      </c>
      <c r="B243" t="s">
        <v>355</v>
      </c>
      <c r="C243" t="s">
        <v>96</v>
      </c>
      <c r="D243">
        <v>40000536.963827103</v>
      </c>
    </row>
    <row r="244" spans="1:4" hidden="1" x14ac:dyDescent="0.3">
      <c r="A244">
        <v>242</v>
      </c>
      <c r="B244" t="s">
        <v>356</v>
      </c>
      <c r="C244" t="s">
        <v>98</v>
      </c>
      <c r="D244">
        <v>29999925.977488</v>
      </c>
    </row>
    <row r="245" spans="1:4" hidden="1" x14ac:dyDescent="0.3">
      <c r="A245">
        <v>243</v>
      </c>
      <c r="B245" s="1" t="s">
        <v>357</v>
      </c>
      <c r="C245" t="s">
        <v>100</v>
      </c>
      <c r="D245" s="1" t="s">
        <v>358</v>
      </c>
    </row>
    <row r="246" spans="1:4" hidden="1" x14ac:dyDescent="0.3">
      <c r="A246">
        <v>244</v>
      </c>
      <c r="B246" t="s">
        <v>359</v>
      </c>
      <c r="C246" t="s">
        <v>103</v>
      </c>
      <c r="D246">
        <v>5.87534389164906E-3</v>
      </c>
    </row>
    <row r="247" spans="1:4" hidden="1" x14ac:dyDescent="0.3">
      <c r="A247">
        <v>245</v>
      </c>
      <c r="B247" t="s">
        <v>360</v>
      </c>
      <c r="C247" t="s">
        <v>105</v>
      </c>
      <c r="D247">
        <v>6.7340327662479896E-4</v>
      </c>
    </row>
    <row r="248" spans="1:4" hidden="1" x14ac:dyDescent="0.3">
      <c r="A248">
        <v>246</v>
      </c>
      <c r="B248" t="s">
        <v>361</v>
      </c>
      <c r="C248" t="s">
        <v>107</v>
      </c>
      <c r="D248">
        <v>1.49411835351928E-2</v>
      </c>
    </row>
    <row r="249" spans="1:4" hidden="1" x14ac:dyDescent="0.3">
      <c r="A249">
        <v>247</v>
      </c>
      <c r="B249" s="1" t="s">
        <v>362</v>
      </c>
      <c r="C249" t="s">
        <v>109</v>
      </c>
      <c r="D249" s="1" t="s">
        <v>363</v>
      </c>
    </row>
    <row r="250" spans="1:4" hidden="1" x14ac:dyDescent="0.3">
      <c r="A250">
        <v>248</v>
      </c>
      <c r="B250" t="s">
        <v>364</v>
      </c>
      <c r="C250" t="s">
        <v>197</v>
      </c>
      <c r="D250">
        <v>150002499.633789</v>
      </c>
    </row>
    <row r="251" spans="1:4" hidden="1" x14ac:dyDescent="0.3">
      <c r="A251">
        <v>249</v>
      </c>
      <c r="B251" t="s">
        <v>365</v>
      </c>
      <c r="C251" t="s">
        <v>199</v>
      </c>
      <c r="D251">
        <v>-1013.43514949724</v>
      </c>
    </row>
    <row r="252" spans="1:4" hidden="1" x14ac:dyDescent="0.3">
      <c r="A252">
        <v>250</v>
      </c>
      <c r="B252" t="s">
        <v>366</v>
      </c>
      <c r="C252" t="s">
        <v>201</v>
      </c>
      <c r="D252">
        <v>-506.71391170263502</v>
      </c>
    </row>
    <row r="253" spans="1:4" hidden="1" x14ac:dyDescent="0.3">
      <c r="A253">
        <v>251</v>
      </c>
      <c r="B253" s="1" t="s">
        <v>367</v>
      </c>
      <c r="C253" t="s">
        <v>203</v>
      </c>
      <c r="D253" s="1" t="s">
        <v>368</v>
      </c>
    </row>
    <row r="254" spans="1:4" hidden="1" x14ac:dyDescent="0.3">
      <c r="A254">
        <v>252</v>
      </c>
      <c r="B254" t="s">
        <v>369</v>
      </c>
      <c r="C254" t="s">
        <v>206</v>
      </c>
      <c r="D254">
        <v>80002884.119812101</v>
      </c>
    </row>
    <row r="255" spans="1:4" hidden="1" x14ac:dyDescent="0.3">
      <c r="A255">
        <v>253</v>
      </c>
      <c r="B255" t="s">
        <v>370</v>
      </c>
      <c r="C255" t="s">
        <v>208</v>
      </c>
      <c r="D255">
        <v>40001152.890693799</v>
      </c>
    </row>
    <row r="256" spans="1:4" hidden="1" x14ac:dyDescent="0.3">
      <c r="A256">
        <v>254</v>
      </c>
      <c r="B256" t="s">
        <v>371</v>
      </c>
      <c r="C256" t="s">
        <v>210</v>
      </c>
      <c r="D256">
        <v>30000362.801421002</v>
      </c>
    </row>
    <row r="257" spans="1:4" hidden="1" x14ac:dyDescent="0.3">
      <c r="A257">
        <v>255</v>
      </c>
      <c r="B257" s="1" t="s">
        <v>372</v>
      </c>
      <c r="C257" t="s">
        <v>212</v>
      </c>
      <c r="D257" s="1" t="s">
        <v>373</v>
      </c>
    </row>
    <row r="258" spans="1:4" hidden="1" x14ac:dyDescent="0.3">
      <c r="A258">
        <v>256</v>
      </c>
      <c r="B258" t="s">
        <v>374</v>
      </c>
      <c r="C258" t="s">
        <v>215</v>
      </c>
      <c r="D258">
        <v>99996315.634625405</v>
      </c>
    </row>
    <row r="259" spans="1:4" hidden="1" x14ac:dyDescent="0.3">
      <c r="A259">
        <v>257</v>
      </c>
      <c r="B259" t="s">
        <v>375</v>
      </c>
      <c r="C259" t="s">
        <v>217</v>
      </c>
      <c r="D259">
        <v>-1266.7015970647301</v>
      </c>
    </row>
    <row r="260" spans="1:4" hidden="1" x14ac:dyDescent="0.3">
      <c r="A260">
        <v>258</v>
      </c>
      <c r="B260" s="1" t="s">
        <v>376</v>
      </c>
      <c r="C260" t="s">
        <v>219</v>
      </c>
      <c r="D260" s="1" t="s">
        <v>377</v>
      </c>
    </row>
    <row r="261" spans="1:4" hidden="1" x14ac:dyDescent="0.3">
      <c r="A261">
        <v>259</v>
      </c>
      <c r="B261" t="s">
        <v>378</v>
      </c>
      <c r="C261" t="s">
        <v>112</v>
      </c>
      <c r="D261">
        <v>561.34099002077403</v>
      </c>
    </row>
    <row r="262" spans="1:4" hidden="1" x14ac:dyDescent="0.3">
      <c r="A262">
        <v>260</v>
      </c>
      <c r="B262" t="s">
        <v>379</v>
      </c>
      <c r="C262" t="s">
        <v>114</v>
      </c>
      <c r="D262">
        <v>109.21295500245201</v>
      </c>
    </row>
    <row r="263" spans="1:4" hidden="1" x14ac:dyDescent="0.3">
      <c r="A263">
        <v>261</v>
      </c>
      <c r="B263" s="1" t="s">
        <v>380</v>
      </c>
      <c r="C263" t="s">
        <v>116</v>
      </c>
      <c r="D263" s="1" t="s">
        <v>381</v>
      </c>
    </row>
    <row r="264" spans="1:4" hidden="1" x14ac:dyDescent="0.3">
      <c r="A264">
        <v>262</v>
      </c>
      <c r="B264" t="s">
        <v>382</v>
      </c>
      <c r="C264" t="s">
        <v>119</v>
      </c>
      <c r="D264">
        <v>80002884.119812101</v>
      </c>
    </row>
    <row r="265" spans="1:4" hidden="1" x14ac:dyDescent="0.3">
      <c r="A265">
        <v>263</v>
      </c>
      <c r="B265" t="s">
        <v>383</v>
      </c>
      <c r="C265" t="s">
        <v>121</v>
      </c>
      <c r="D265">
        <v>40001152.890693799</v>
      </c>
    </row>
    <row r="266" spans="1:4" hidden="1" x14ac:dyDescent="0.3">
      <c r="A266">
        <v>264</v>
      </c>
      <c r="B266" s="1" t="s">
        <v>384</v>
      </c>
      <c r="C266" t="s">
        <v>123</v>
      </c>
      <c r="D266" s="1" t="s">
        <v>385</v>
      </c>
    </row>
    <row r="267" spans="1:4" hidden="1" x14ac:dyDescent="0.3">
      <c r="A267">
        <v>265</v>
      </c>
      <c r="B267" t="s">
        <v>386</v>
      </c>
      <c r="C267" t="s">
        <v>126</v>
      </c>
      <c r="D267">
        <v>0.80000925455067895</v>
      </c>
    </row>
    <row r="268" spans="1:4" hidden="1" x14ac:dyDescent="0.3">
      <c r="A268">
        <v>266</v>
      </c>
      <c r="B268" t="s">
        <v>387</v>
      </c>
      <c r="C268" t="s">
        <v>128</v>
      </c>
      <c r="D268">
        <v>0.40000173565401298</v>
      </c>
    </row>
    <row r="269" spans="1:4" hidden="1" x14ac:dyDescent="0.3">
      <c r="A269">
        <v>267</v>
      </c>
      <c r="B269" s="1" t="s">
        <v>388</v>
      </c>
      <c r="C269" t="s">
        <v>130</v>
      </c>
      <c r="D269" s="1" t="s">
        <v>389</v>
      </c>
    </row>
    <row r="270" spans="1:4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1305.25</v>
      </c>
    </row>
    <row r="272" spans="1:4" hidden="1" x14ac:dyDescent="0.3">
      <c r="A272">
        <v>270</v>
      </c>
      <c r="B272" s="1" t="s">
        <v>132</v>
      </c>
      <c r="C272" t="s">
        <v>9</v>
      </c>
      <c r="D272" s="1" t="s">
        <v>133</v>
      </c>
    </row>
    <row r="273" spans="1:4" hidden="1" x14ac:dyDescent="0.3">
      <c r="A273">
        <v>271</v>
      </c>
      <c r="B273" t="s">
        <v>13</v>
      </c>
      <c r="C273" t="s">
        <v>14</v>
      </c>
      <c r="D273">
        <v>98.4296875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4.2819487927479898</v>
      </c>
    </row>
    <row r="275" spans="1:4" hidden="1" x14ac:dyDescent="0.3">
      <c r="A275">
        <v>273</v>
      </c>
      <c r="B275" s="1" t="s">
        <v>134</v>
      </c>
      <c r="C275" t="s">
        <v>135</v>
      </c>
      <c r="D275" s="1" t="s">
        <v>136</v>
      </c>
    </row>
    <row r="276" spans="1:4" hidden="1" x14ac:dyDescent="0.3">
      <c r="A276">
        <v>274</v>
      </c>
      <c r="B276" t="s">
        <v>21</v>
      </c>
      <c r="C276" t="s">
        <v>22</v>
      </c>
      <c r="D276">
        <v>83.1</v>
      </c>
    </row>
    <row r="277" spans="1:4" hidden="1" x14ac:dyDescent="0.3">
      <c r="A277">
        <v>275</v>
      </c>
      <c r="B277" t="s">
        <v>390</v>
      </c>
      <c r="C277" t="s">
        <v>24</v>
      </c>
      <c r="D277">
        <v>4.13415380300561</v>
      </c>
    </row>
    <row r="278" spans="1:4" hidden="1" x14ac:dyDescent="0.3">
      <c r="A278">
        <v>276</v>
      </c>
      <c r="B278" s="1" t="s">
        <v>391</v>
      </c>
      <c r="C278" t="s">
        <v>139</v>
      </c>
      <c r="D278" s="1" t="s">
        <v>392</v>
      </c>
    </row>
    <row r="279" spans="1:4" hidden="1" x14ac:dyDescent="0.3">
      <c r="A279">
        <v>277</v>
      </c>
      <c r="B279" t="s">
        <v>393</v>
      </c>
      <c r="C279" t="s">
        <v>35</v>
      </c>
      <c r="D279">
        <v>-0.50973847733188005</v>
      </c>
    </row>
    <row r="280" spans="1:4" hidden="1" x14ac:dyDescent="0.3">
      <c r="A280">
        <v>278</v>
      </c>
      <c r="B280" t="s">
        <v>394</v>
      </c>
      <c r="C280" t="s">
        <v>143</v>
      </c>
      <c r="D280">
        <v>0.73258318115705301</v>
      </c>
    </row>
    <row r="281" spans="1:4" hidden="1" x14ac:dyDescent="0.3">
      <c r="A281">
        <v>279</v>
      </c>
      <c r="B281" s="1" t="s">
        <v>395</v>
      </c>
      <c r="C281" t="s">
        <v>145</v>
      </c>
      <c r="D281" s="1" t="s">
        <v>396</v>
      </c>
    </row>
    <row r="282" spans="1:4" hidden="1" x14ac:dyDescent="0.3">
      <c r="A282">
        <v>280</v>
      </c>
      <c r="B282" t="s">
        <v>397</v>
      </c>
      <c r="C282" t="s">
        <v>30</v>
      </c>
      <c r="D282">
        <v>0.74546514776801898</v>
      </c>
    </row>
    <row r="283" spans="1:4" hidden="1" x14ac:dyDescent="0.3">
      <c r="A283">
        <v>281</v>
      </c>
      <c r="B283" t="s">
        <v>398</v>
      </c>
      <c r="C283" t="s">
        <v>32</v>
      </c>
      <c r="D283">
        <v>0.15678325195430601</v>
      </c>
    </row>
    <row r="284" spans="1:4" hidden="1" x14ac:dyDescent="0.3">
      <c r="A284">
        <v>282</v>
      </c>
      <c r="B284" s="1" t="s">
        <v>399</v>
      </c>
      <c r="C284" t="s">
        <v>149</v>
      </c>
      <c r="D284" s="1" t="s">
        <v>400</v>
      </c>
    </row>
    <row r="285" spans="1:4" hidden="1" x14ac:dyDescent="0.3">
      <c r="A285">
        <v>283</v>
      </c>
      <c r="B285" t="s">
        <v>401</v>
      </c>
      <c r="C285" t="s">
        <v>40</v>
      </c>
      <c r="D285">
        <v>0.76427332956386096</v>
      </c>
    </row>
    <row r="286" spans="1:4" hidden="1" x14ac:dyDescent="0.3">
      <c r="A286">
        <v>284</v>
      </c>
      <c r="B286" t="s">
        <v>402</v>
      </c>
      <c r="C286" t="s">
        <v>42</v>
      </c>
      <c r="D286">
        <v>0.208249451117833</v>
      </c>
    </row>
    <row r="287" spans="1:4" hidden="1" x14ac:dyDescent="0.3">
      <c r="A287">
        <v>285</v>
      </c>
      <c r="B287" s="1" t="s">
        <v>403</v>
      </c>
      <c r="C287" t="s">
        <v>153</v>
      </c>
      <c r="D287" s="1" t="s">
        <v>404</v>
      </c>
    </row>
    <row r="288" spans="1:4" hidden="1" x14ac:dyDescent="0.3">
      <c r="A288">
        <v>286</v>
      </c>
      <c r="B288" t="s">
        <v>154</v>
      </c>
      <c r="C288" t="s">
        <v>155</v>
      </c>
      <c r="D288">
        <v>1</v>
      </c>
    </row>
    <row r="289" spans="1:4" hidden="1" x14ac:dyDescent="0.3">
      <c r="A289">
        <v>287</v>
      </c>
      <c r="B289" t="s">
        <v>156</v>
      </c>
      <c r="C289" t="s">
        <v>157</v>
      </c>
      <c r="D289">
        <v>1</v>
      </c>
    </row>
    <row r="290" spans="1:4" hidden="1" x14ac:dyDescent="0.3">
      <c r="A290">
        <v>288</v>
      </c>
      <c r="B290" s="1" t="s">
        <v>405</v>
      </c>
      <c r="C290" t="s">
        <v>159</v>
      </c>
      <c r="D290" s="1" t="s">
        <v>406</v>
      </c>
    </row>
    <row r="291" spans="1:4" hidden="1" x14ac:dyDescent="0.3">
      <c r="A291">
        <v>289</v>
      </c>
      <c r="B291" t="s">
        <v>407</v>
      </c>
      <c r="C291" t="s">
        <v>162</v>
      </c>
      <c r="D291">
        <v>0.99917963539261001</v>
      </c>
    </row>
    <row r="292" spans="1:4" hidden="1" x14ac:dyDescent="0.3">
      <c r="A292">
        <v>290</v>
      </c>
      <c r="B292" t="s">
        <v>408</v>
      </c>
      <c r="C292" t="s">
        <v>164</v>
      </c>
      <c r="D292">
        <v>1.00174294776272</v>
      </c>
    </row>
    <row r="293" spans="1:4" hidden="1" x14ac:dyDescent="0.3">
      <c r="A293">
        <v>291</v>
      </c>
      <c r="B293" s="1" t="s">
        <v>409</v>
      </c>
      <c r="C293" t="s">
        <v>166</v>
      </c>
      <c r="D293" s="1" t="s">
        <v>410</v>
      </c>
    </row>
    <row r="294" spans="1:4" hidden="1" x14ac:dyDescent="0.3">
      <c r="A294">
        <v>292</v>
      </c>
      <c r="B294" s="1" t="s">
        <v>411</v>
      </c>
      <c r="C294" t="s">
        <v>55</v>
      </c>
      <c r="D294" s="1" t="s">
        <v>412</v>
      </c>
    </row>
    <row r="295" spans="1:4" hidden="1" x14ac:dyDescent="0.3">
      <c r="A295">
        <v>293</v>
      </c>
      <c r="B295" s="1" t="s">
        <v>413</v>
      </c>
      <c r="C295" t="s">
        <v>52</v>
      </c>
      <c r="D295" s="1" t="s">
        <v>414</v>
      </c>
    </row>
    <row r="296" spans="1:4" hidden="1" x14ac:dyDescent="0.3">
      <c r="A296">
        <v>294</v>
      </c>
      <c r="B296" s="1" t="s">
        <v>415</v>
      </c>
      <c r="C296" t="s">
        <v>58</v>
      </c>
      <c r="D296" s="1" t="s">
        <v>416</v>
      </c>
    </row>
    <row r="297" spans="1:4" hidden="1" x14ac:dyDescent="0.3">
      <c r="A297">
        <v>295</v>
      </c>
      <c r="B297" t="s">
        <v>417</v>
      </c>
      <c r="C297" t="s">
        <v>61</v>
      </c>
      <c r="D297">
        <v>150000442.85606101</v>
      </c>
    </row>
    <row r="298" spans="1:4" hidden="1" x14ac:dyDescent="0.3">
      <c r="A298">
        <v>296</v>
      </c>
      <c r="B298" t="s">
        <v>418</v>
      </c>
      <c r="C298" t="s">
        <v>63</v>
      </c>
      <c r="D298">
        <v>80002884.119812101</v>
      </c>
    </row>
    <row r="299" spans="1:4" hidden="1" x14ac:dyDescent="0.3">
      <c r="A299">
        <v>297</v>
      </c>
      <c r="B299" t="s">
        <v>419</v>
      </c>
      <c r="C299" t="s">
        <v>65</v>
      </c>
      <c r="D299">
        <v>40001152.890693799</v>
      </c>
    </row>
    <row r="300" spans="1:4" hidden="1" x14ac:dyDescent="0.3">
      <c r="A300">
        <v>298</v>
      </c>
      <c r="B300" s="1" t="s">
        <v>420</v>
      </c>
      <c r="C300" t="s">
        <v>67</v>
      </c>
      <c r="D300" s="1" t="s">
        <v>421</v>
      </c>
    </row>
    <row r="301" spans="1:4" hidden="1" x14ac:dyDescent="0.3">
      <c r="A301">
        <v>299</v>
      </c>
      <c r="B301" s="1" t="s">
        <v>422</v>
      </c>
      <c r="C301" t="s">
        <v>70</v>
      </c>
      <c r="D301" s="1" t="s">
        <v>423</v>
      </c>
    </row>
    <row r="302" spans="1:4" hidden="1" x14ac:dyDescent="0.3">
      <c r="A302">
        <v>300</v>
      </c>
      <c r="B302" t="s">
        <v>424</v>
      </c>
      <c r="C302" t="s">
        <v>73</v>
      </c>
      <c r="D302">
        <v>1.0000613289394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425</v>
      </c>
      <c r="C305" t="s">
        <v>79</v>
      </c>
      <c r="D305" s="2">
        <v>2.2204460492503101E-16</v>
      </c>
    </row>
    <row r="306" spans="1:4" hidden="1" x14ac:dyDescent="0.3">
      <c r="A306">
        <v>304</v>
      </c>
      <c r="B306" s="1" t="s">
        <v>426</v>
      </c>
      <c r="C306" t="s">
        <v>81</v>
      </c>
      <c r="D306" s="1" t="s">
        <v>427</v>
      </c>
    </row>
    <row r="307" spans="1:4" hidden="1" x14ac:dyDescent="0.3">
      <c r="A307">
        <v>305</v>
      </c>
      <c r="B307" t="s">
        <v>428</v>
      </c>
      <c r="C307" t="s">
        <v>84</v>
      </c>
      <c r="D307">
        <v>1.0000675317905501</v>
      </c>
    </row>
    <row r="308" spans="1:4" hidden="1" x14ac:dyDescent="0.3">
      <c r="A308">
        <v>306</v>
      </c>
      <c r="B308" s="1" t="s">
        <v>429</v>
      </c>
      <c r="C308" t="s">
        <v>86</v>
      </c>
      <c r="D308" s="1" t="s">
        <v>430</v>
      </c>
    </row>
    <row r="309" spans="1:4" hidden="1" x14ac:dyDescent="0.3">
      <c r="A309">
        <v>307</v>
      </c>
      <c r="B309" t="s">
        <v>431</v>
      </c>
      <c r="C309" t="s">
        <v>89</v>
      </c>
      <c r="D309">
        <v>99994428.720508307</v>
      </c>
    </row>
    <row r="310" spans="1:4" hidden="1" x14ac:dyDescent="0.3">
      <c r="A310">
        <v>308</v>
      </c>
      <c r="B310" s="1" t="s">
        <v>432</v>
      </c>
      <c r="C310" t="s">
        <v>91</v>
      </c>
      <c r="D310" s="1" t="s">
        <v>377</v>
      </c>
    </row>
    <row r="311" spans="1:4" hidden="1" x14ac:dyDescent="0.3">
      <c r="A311">
        <v>309</v>
      </c>
      <c r="B311" t="s">
        <v>433</v>
      </c>
      <c r="C311" t="s">
        <v>94</v>
      </c>
      <c r="D311">
        <v>80002884.119812101</v>
      </c>
    </row>
    <row r="312" spans="1:4" hidden="1" x14ac:dyDescent="0.3">
      <c r="A312">
        <v>310</v>
      </c>
      <c r="B312" t="s">
        <v>434</v>
      </c>
      <c r="C312" t="s">
        <v>96</v>
      </c>
      <c r="D312">
        <v>40001152.890693799</v>
      </c>
    </row>
    <row r="313" spans="1:4" hidden="1" x14ac:dyDescent="0.3">
      <c r="A313">
        <v>311</v>
      </c>
      <c r="B313" t="s">
        <v>435</v>
      </c>
      <c r="C313" t="s">
        <v>98</v>
      </c>
      <c r="D313">
        <v>29996405.845555</v>
      </c>
    </row>
    <row r="314" spans="1:4" hidden="1" x14ac:dyDescent="0.3">
      <c r="A314">
        <v>312</v>
      </c>
      <c r="B314" s="1" t="s">
        <v>436</v>
      </c>
      <c r="C314" t="s">
        <v>100</v>
      </c>
      <c r="D314" s="1" t="s">
        <v>437</v>
      </c>
    </row>
    <row r="315" spans="1:4" hidden="1" x14ac:dyDescent="0.3">
      <c r="A315">
        <v>313</v>
      </c>
      <c r="B315" t="s">
        <v>438</v>
      </c>
      <c r="C315" t="s">
        <v>103</v>
      </c>
      <c r="D315">
        <v>5.8293758032446803E-3</v>
      </c>
    </row>
    <row r="316" spans="1:4" hidden="1" x14ac:dyDescent="0.3">
      <c r="A316">
        <v>314</v>
      </c>
      <c r="B316" t="s">
        <v>439</v>
      </c>
      <c r="C316" t="s">
        <v>105</v>
      </c>
      <c r="D316">
        <v>6.7436428756528896E-4</v>
      </c>
    </row>
    <row r="317" spans="1:4" hidden="1" x14ac:dyDescent="0.3">
      <c r="A317">
        <v>315</v>
      </c>
      <c r="B317" t="s">
        <v>440</v>
      </c>
      <c r="C317" t="s">
        <v>107</v>
      </c>
      <c r="D317">
        <v>1.50084452030603E-2</v>
      </c>
    </row>
    <row r="318" spans="1:4" hidden="1" x14ac:dyDescent="0.3">
      <c r="A318">
        <v>316</v>
      </c>
      <c r="B318" s="1" t="s">
        <v>441</v>
      </c>
      <c r="C318" t="s">
        <v>109</v>
      </c>
      <c r="D318" s="1" t="s">
        <v>442</v>
      </c>
    </row>
    <row r="319" spans="1:4" hidden="1" x14ac:dyDescent="0.3">
      <c r="A319">
        <v>317</v>
      </c>
      <c r="B319" t="s">
        <v>443</v>
      </c>
      <c r="C319" t="s">
        <v>197</v>
      </c>
      <c r="D319">
        <v>150000657.44707301</v>
      </c>
    </row>
    <row r="320" spans="1:4" hidden="1" x14ac:dyDescent="0.3">
      <c r="A320">
        <v>318</v>
      </c>
      <c r="B320" t="s">
        <v>444</v>
      </c>
      <c r="C320" t="s">
        <v>199</v>
      </c>
      <c r="D320">
        <v>-496.21653415466602</v>
      </c>
    </row>
    <row r="321" spans="1:4" hidden="1" x14ac:dyDescent="0.3">
      <c r="A321">
        <v>319</v>
      </c>
      <c r="B321" t="s">
        <v>445</v>
      </c>
      <c r="C321" t="s">
        <v>201</v>
      </c>
      <c r="D321">
        <v>-248.10617335383</v>
      </c>
    </row>
    <row r="322" spans="1:4" hidden="1" x14ac:dyDescent="0.3">
      <c r="A322">
        <v>320</v>
      </c>
      <c r="B322" s="1" t="s">
        <v>446</v>
      </c>
      <c r="C322" t="s">
        <v>203</v>
      </c>
      <c r="D322" s="1" t="s">
        <v>447</v>
      </c>
    </row>
    <row r="323" spans="1:4" hidden="1" x14ac:dyDescent="0.3">
      <c r="A323">
        <v>321</v>
      </c>
      <c r="B323" t="s">
        <v>448</v>
      </c>
      <c r="C323" t="s">
        <v>206</v>
      </c>
      <c r="D323">
        <v>80003539.129967794</v>
      </c>
    </row>
    <row r="324" spans="1:4" hidden="1" x14ac:dyDescent="0.3">
      <c r="A324">
        <v>322</v>
      </c>
      <c r="B324" t="s">
        <v>449</v>
      </c>
      <c r="C324" t="s">
        <v>208</v>
      </c>
      <c r="D324">
        <v>40001432.000072896</v>
      </c>
    </row>
    <row r="325" spans="1:4" hidden="1" x14ac:dyDescent="0.3">
      <c r="A325">
        <v>323</v>
      </c>
      <c r="B325" t="s">
        <v>450</v>
      </c>
      <c r="C325" t="s">
        <v>210</v>
      </c>
      <c r="D325">
        <v>29996616.691724099</v>
      </c>
    </row>
    <row r="326" spans="1:4" hidden="1" x14ac:dyDescent="0.3">
      <c r="A326">
        <v>324</v>
      </c>
      <c r="B326" s="1" t="s">
        <v>451</v>
      </c>
      <c r="C326" t="s">
        <v>212</v>
      </c>
      <c r="D326" s="1" t="s">
        <v>452</v>
      </c>
    </row>
    <row r="327" spans="1:4" hidden="1" x14ac:dyDescent="0.3">
      <c r="A327">
        <v>325</v>
      </c>
      <c r="B327" t="s">
        <v>453</v>
      </c>
      <c r="C327" t="s">
        <v>215</v>
      </c>
      <c r="D327">
        <v>99995048.9330284</v>
      </c>
    </row>
    <row r="328" spans="1:4" hidden="1" x14ac:dyDescent="0.3">
      <c r="A328">
        <v>326</v>
      </c>
      <c r="B328" t="s">
        <v>454</v>
      </c>
      <c r="C328" t="s">
        <v>217</v>
      </c>
      <c r="D328">
        <v>-620.21252001821995</v>
      </c>
    </row>
    <row r="329" spans="1:4" hidden="1" x14ac:dyDescent="0.3">
      <c r="A329">
        <v>327</v>
      </c>
      <c r="B329" s="1" t="s">
        <v>455</v>
      </c>
      <c r="C329" t="s">
        <v>219</v>
      </c>
      <c r="D329" s="1" t="s">
        <v>456</v>
      </c>
    </row>
    <row r="330" spans="1:4" hidden="1" x14ac:dyDescent="0.3">
      <c r="A330">
        <v>328</v>
      </c>
      <c r="B330" t="s">
        <v>457</v>
      </c>
      <c r="C330" t="s">
        <v>112</v>
      </c>
      <c r="D330">
        <v>158.793621565064</v>
      </c>
    </row>
    <row r="331" spans="1:4" hidden="1" x14ac:dyDescent="0.3">
      <c r="A331">
        <v>329</v>
      </c>
      <c r="B331" t="s">
        <v>458</v>
      </c>
      <c r="C331" t="s">
        <v>114</v>
      </c>
      <c r="D331">
        <v>31.0032057266328</v>
      </c>
    </row>
    <row r="332" spans="1:4" hidden="1" x14ac:dyDescent="0.3">
      <c r="A332">
        <v>330</v>
      </c>
      <c r="B332" s="1" t="s">
        <v>459</v>
      </c>
      <c r="C332" t="s">
        <v>116</v>
      </c>
      <c r="D332" s="1" t="s">
        <v>460</v>
      </c>
    </row>
    <row r="333" spans="1:4" hidden="1" x14ac:dyDescent="0.3">
      <c r="A333">
        <v>331</v>
      </c>
      <c r="B333" t="s">
        <v>461</v>
      </c>
      <c r="C333" t="s">
        <v>119</v>
      </c>
      <c r="D333">
        <v>80003539.129967794</v>
      </c>
    </row>
    <row r="334" spans="1:4" hidden="1" x14ac:dyDescent="0.3">
      <c r="A334">
        <v>332</v>
      </c>
      <c r="B334" t="s">
        <v>462</v>
      </c>
      <c r="C334" t="s">
        <v>121</v>
      </c>
      <c r="D334">
        <v>40001432.000072896</v>
      </c>
    </row>
    <row r="335" spans="1:4" hidden="1" x14ac:dyDescent="0.3">
      <c r="A335">
        <v>333</v>
      </c>
      <c r="B335" s="1" t="s">
        <v>463</v>
      </c>
      <c r="C335" t="s">
        <v>123</v>
      </c>
      <c r="D335" s="1" t="s">
        <v>464</v>
      </c>
    </row>
    <row r="336" spans="1:4" hidden="1" x14ac:dyDescent="0.3">
      <c r="A336">
        <v>334</v>
      </c>
      <c r="B336" t="s">
        <v>465</v>
      </c>
      <c r="C336" t="s">
        <v>126</v>
      </c>
      <c r="D336">
        <v>0.80002097669989003</v>
      </c>
    </row>
    <row r="337" spans="1:4" hidden="1" x14ac:dyDescent="0.3">
      <c r="A337">
        <v>335</v>
      </c>
      <c r="B337" t="s">
        <v>466</v>
      </c>
      <c r="C337" t="s">
        <v>128</v>
      </c>
      <c r="D337">
        <v>0.40000711276165501</v>
      </c>
    </row>
    <row r="338" spans="1:4" hidden="1" x14ac:dyDescent="0.3">
      <c r="A338">
        <v>336</v>
      </c>
      <c r="B338" s="1" t="s">
        <v>467</v>
      </c>
      <c r="C338" t="s">
        <v>130</v>
      </c>
      <c r="D338" s="1" t="s">
        <v>468</v>
      </c>
    </row>
    <row r="339" spans="1:4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1305.25</v>
      </c>
    </row>
    <row r="341" spans="1:4" hidden="1" x14ac:dyDescent="0.3">
      <c r="A341">
        <v>339</v>
      </c>
      <c r="B341" s="1" t="s">
        <v>132</v>
      </c>
      <c r="C341" t="s">
        <v>9</v>
      </c>
      <c r="D341" s="1" t="s">
        <v>133</v>
      </c>
    </row>
    <row r="342" spans="1:4" hidden="1" x14ac:dyDescent="0.3">
      <c r="A342">
        <v>340</v>
      </c>
      <c r="B342" t="s">
        <v>13</v>
      </c>
      <c r="C342" t="s">
        <v>14</v>
      </c>
      <c r="D342">
        <v>98.4296875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4.2819487927479898</v>
      </c>
    </row>
    <row r="344" spans="1:4" hidden="1" x14ac:dyDescent="0.3">
      <c r="A344">
        <v>342</v>
      </c>
      <c r="B344" s="1" t="s">
        <v>134</v>
      </c>
      <c r="C344" t="s">
        <v>135</v>
      </c>
      <c r="D344" s="1" t="s">
        <v>136</v>
      </c>
    </row>
    <row r="345" spans="1:4" hidden="1" x14ac:dyDescent="0.3">
      <c r="A345">
        <v>343</v>
      </c>
      <c r="B345" t="s">
        <v>21</v>
      </c>
      <c r="C345" t="s">
        <v>22</v>
      </c>
      <c r="D345">
        <v>83.1</v>
      </c>
    </row>
    <row r="346" spans="1:4" hidden="1" x14ac:dyDescent="0.3">
      <c r="A346">
        <v>344</v>
      </c>
      <c r="B346" t="s">
        <v>469</v>
      </c>
      <c r="C346" t="s">
        <v>24</v>
      </c>
      <c r="D346">
        <v>4.12065226683535</v>
      </c>
    </row>
    <row r="347" spans="1:4" hidden="1" x14ac:dyDescent="0.3">
      <c r="A347">
        <v>345</v>
      </c>
      <c r="B347" s="1" t="s">
        <v>470</v>
      </c>
      <c r="C347" t="s">
        <v>139</v>
      </c>
      <c r="D347" s="1" t="s">
        <v>471</v>
      </c>
    </row>
    <row r="348" spans="1:4" hidden="1" x14ac:dyDescent="0.3">
      <c r="A348">
        <v>346</v>
      </c>
      <c r="B348" t="s">
        <v>472</v>
      </c>
      <c r="C348" t="s">
        <v>35</v>
      </c>
      <c r="D348">
        <v>-0.51116254456069599</v>
      </c>
    </row>
    <row r="349" spans="1:4" hidden="1" x14ac:dyDescent="0.3">
      <c r="A349">
        <v>347</v>
      </c>
      <c r="B349" t="s">
        <v>473</v>
      </c>
      <c r="C349" t="s">
        <v>143</v>
      </c>
      <c r="D349">
        <v>0.73209870103294195</v>
      </c>
    </row>
    <row r="350" spans="1:4" hidden="1" x14ac:dyDescent="0.3">
      <c r="A350">
        <v>348</v>
      </c>
      <c r="B350" s="1" t="s">
        <v>474</v>
      </c>
      <c r="C350" t="s">
        <v>145</v>
      </c>
      <c r="D350" s="1" t="s">
        <v>475</v>
      </c>
    </row>
    <row r="351" spans="1:4" hidden="1" x14ac:dyDescent="0.3">
      <c r="A351">
        <v>349</v>
      </c>
      <c r="B351" t="s">
        <v>476</v>
      </c>
      <c r="C351" t="s">
        <v>30</v>
      </c>
      <c r="D351">
        <v>0.74754776961112102</v>
      </c>
    </row>
    <row r="352" spans="1:4" hidden="1" x14ac:dyDescent="0.3">
      <c r="A352">
        <v>350</v>
      </c>
      <c r="B352" t="s">
        <v>477</v>
      </c>
      <c r="C352" t="s">
        <v>32</v>
      </c>
      <c r="D352">
        <v>0.157045441560692</v>
      </c>
    </row>
    <row r="353" spans="1:4" hidden="1" x14ac:dyDescent="0.3">
      <c r="A353">
        <v>351</v>
      </c>
      <c r="B353" s="1" t="s">
        <v>478</v>
      </c>
      <c r="C353" t="s">
        <v>149</v>
      </c>
      <c r="D353" s="1" t="s">
        <v>479</v>
      </c>
    </row>
    <row r="354" spans="1:4" hidden="1" x14ac:dyDescent="0.3">
      <c r="A354">
        <v>352</v>
      </c>
      <c r="B354" t="s">
        <v>480</v>
      </c>
      <c r="C354" t="s">
        <v>40</v>
      </c>
      <c r="D354">
        <v>0.76361477494957497</v>
      </c>
    </row>
    <row r="355" spans="1:4" hidden="1" x14ac:dyDescent="0.3">
      <c r="A355">
        <v>353</v>
      </c>
      <c r="B355" t="s">
        <v>481</v>
      </c>
      <c r="C355" t="s">
        <v>42</v>
      </c>
      <c r="D355">
        <v>0.20889059764968501</v>
      </c>
    </row>
    <row r="356" spans="1:4" hidden="1" x14ac:dyDescent="0.3">
      <c r="A356">
        <v>354</v>
      </c>
      <c r="B356" s="1" t="s">
        <v>482</v>
      </c>
      <c r="C356" t="s">
        <v>153</v>
      </c>
      <c r="D356" s="1" t="s">
        <v>483</v>
      </c>
    </row>
    <row r="357" spans="1:4" hidden="1" x14ac:dyDescent="0.3">
      <c r="A357">
        <v>355</v>
      </c>
      <c r="B357" t="s">
        <v>154</v>
      </c>
      <c r="C357" t="s">
        <v>155</v>
      </c>
      <c r="D357">
        <v>1</v>
      </c>
    </row>
    <row r="358" spans="1:4" hidden="1" x14ac:dyDescent="0.3">
      <c r="A358">
        <v>356</v>
      </c>
      <c r="B358" t="s">
        <v>156</v>
      </c>
      <c r="C358" t="s">
        <v>157</v>
      </c>
      <c r="D358">
        <v>1</v>
      </c>
    </row>
    <row r="359" spans="1:4" hidden="1" x14ac:dyDescent="0.3">
      <c r="A359">
        <v>357</v>
      </c>
      <c r="B359" s="1" t="s">
        <v>484</v>
      </c>
      <c r="C359" t="s">
        <v>159</v>
      </c>
      <c r="D359" s="1" t="s">
        <v>485</v>
      </c>
    </row>
    <row r="360" spans="1:4" hidden="1" x14ac:dyDescent="0.3">
      <c r="A360">
        <v>358</v>
      </c>
      <c r="B360" t="s">
        <v>486</v>
      </c>
      <c r="C360" t="s">
        <v>162</v>
      </c>
      <c r="D360">
        <v>0.99972037121831703</v>
      </c>
    </row>
    <row r="361" spans="1:4" hidden="1" x14ac:dyDescent="0.3">
      <c r="A361">
        <v>359</v>
      </c>
      <c r="B361" t="s">
        <v>487</v>
      </c>
      <c r="C361" t="s">
        <v>164</v>
      </c>
      <c r="D361">
        <v>1.0002266540477101</v>
      </c>
    </row>
    <row r="362" spans="1:4" hidden="1" x14ac:dyDescent="0.3">
      <c r="A362">
        <v>360</v>
      </c>
      <c r="B362" s="1" t="s">
        <v>488</v>
      </c>
      <c r="C362" t="s">
        <v>166</v>
      </c>
      <c r="D362" s="1" t="s">
        <v>489</v>
      </c>
    </row>
    <row r="363" spans="1:4" hidden="1" x14ac:dyDescent="0.3">
      <c r="A363">
        <v>361</v>
      </c>
      <c r="B363" s="1" t="s">
        <v>490</v>
      </c>
      <c r="C363" t="s">
        <v>55</v>
      </c>
      <c r="D363" s="1" t="s">
        <v>491</v>
      </c>
    </row>
    <row r="364" spans="1:4" hidden="1" x14ac:dyDescent="0.3">
      <c r="A364">
        <v>362</v>
      </c>
      <c r="B364" s="1" t="s">
        <v>492</v>
      </c>
      <c r="C364" t="s">
        <v>52</v>
      </c>
      <c r="D364" s="1" t="s">
        <v>493</v>
      </c>
    </row>
    <row r="365" spans="1:4" hidden="1" x14ac:dyDescent="0.3">
      <c r="A365">
        <v>363</v>
      </c>
      <c r="B365" s="1" t="s">
        <v>494</v>
      </c>
      <c r="C365" t="s">
        <v>58</v>
      </c>
      <c r="D365" s="1" t="s">
        <v>495</v>
      </c>
    </row>
    <row r="366" spans="1:4" hidden="1" x14ac:dyDescent="0.3">
      <c r="A366">
        <v>364</v>
      </c>
      <c r="B366" t="s">
        <v>496</v>
      </c>
      <c r="C366" t="s">
        <v>61</v>
      </c>
      <c r="D366">
        <v>149996945.140113</v>
      </c>
    </row>
    <row r="367" spans="1:4" hidden="1" x14ac:dyDescent="0.3">
      <c r="A367">
        <v>365</v>
      </c>
      <c r="B367" t="s">
        <v>497</v>
      </c>
      <c r="C367" t="s">
        <v>63</v>
      </c>
      <c r="D367">
        <v>80003539.129967794</v>
      </c>
    </row>
    <row r="368" spans="1:4" hidden="1" x14ac:dyDescent="0.3">
      <c r="A368">
        <v>366</v>
      </c>
      <c r="B368" t="s">
        <v>498</v>
      </c>
      <c r="C368" t="s">
        <v>65</v>
      </c>
      <c r="D368">
        <v>40001432.000072896</v>
      </c>
    </row>
    <row r="369" spans="1:4" hidden="1" x14ac:dyDescent="0.3">
      <c r="A369">
        <v>367</v>
      </c>
      <c r="B369" s="1" t="s">
        <v>499</v>
      </c>
      <c r="C369" t="s">
        <v>67</v>
      </c>
      <c r="D369" s="1" t="s">
        <v>500</v>
      </c>
    </row>
    <row r="370" spans="1:4" hidden="1" x14ac:dyDescent="0.3">
      <c r="A370">
        <v>368</v>
      </c>
      <c r="B370" s="1" t="s">
        <v>501</v>
      </c>
      <c r="C370" t="s">
        <v>70</v>
      </c>
      <c r="D370" s="1" t="s">
        <v>502</v>
      </c>
    </row>
    <row r="371" spans="1:4" hidden="1" x14ac:dyDescent="0.3">
      <c r="A371">
        <v>369</v>
      </c>
      <c r="B371" t="s">
        <v>503</v>
      </c>
      <c r="C371" t="s">
        <v>73</v>
      </c>
      <c r="D371">
        <v>1.0000675317905501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504</v>
      </c>
      <c r="C375" t="s">
        <v>81</v>
      </c>
      <c r="D375" s="1" t="s">
        <v>505</v>
      </c>
    </row>
    <row r="376" spans="1:4" hidden="1" x14ac:dyDescent="0.3">
      <c r="A376">
        <v>374</v>
      </c>
      <c r="B376" t="s">
        <v>506</v>
      </c>
      <c r="C376" t="s">
        <v>84</v>
      </c>
      <c r="D376">
        <v>1.00008933936094</v>
      </c>
    </row>
    <row r="377" spans="1:4" hidden="1" x14ac:dyDescent="0.3">
      <c r="A377">
        <v>375</v>
      </c>
      <c r="B377" s="1" t="s">
        <v>507</v>
      </c>
      <c r="C377" t="s">
        <v>86</v>
      </c>
      <c r="D377" s="1" t="s">
        <v>508</v>
      </c>
    </row>
    <row r="378" spans="1:4" hidden="1" x14ac:dyDescent="0.3">
      <c r="A378">
        <v>376</v>
      </c>
      <c r="B378" t="s">
        <v>509</v>
      </c>
      <c r="C378" t="s">
        <v>89</v>
      </c>
      <c r="D378">
        <v>99992248.279764593</v>
      </c>
    </row>
    <row r="379" spans="1:4" hidden="1" x14ac:dyDescent="0.3">
      <c r="A379">
        <v>377</v>
      </c>
      <c r="B379" s="1" t="s">
        <v>510</v>
      </c>
      <c r="C379" t="s">
        <v>91</v>
      </c>
      <c r="D379" s="1" t="s">
        <v>456</v>
      </c>
    </row>
    <row r="380" spans="1:4" hidden="1" x14ac:dyDescent="0.3">
      <c r="A380">
        <v>378</v>
      </c>
      <c r="B380" t="s">
        <v>511</v>
      </c>
      <c r="C380" t="s">
        <v>94</v>
      </c>
      <c r="D380">
        <v>80003539.129967794</v>
      </c>
    </row>
    <row r="381" spans="1:4" hidden="1" x14ac:dyDescent="0.3">
      <c r="A381">
        <v>379</v>
      </c>
      <c r="B381" t="s">
        <v>512</v>
      </c>
      <c r="C381" t="s">
        <v>96</v>
      </c>
      <c r="D381">
        <v>40001432.000072896</v>
      </c>
    </row>
    <row r="382" spans="1:4" hidden="1" x14ac:dyDescent="0.3">
      <c r="A382">
        <v>380</v>
      </c>
      <c r="B382" t="s">
        <v>513</v>
      </c>
      <c r="C382" t="s">
        <v>98</v>
      </c>
      <c r="D382">
        <v>29991974.0100725</v>
      </c>
    </row>
    <row r="383" spans="1:4" hidden="1" x14ac:dyDescent="0.3">
      <c r="A383">
        <v>381</v>
      </c>
      <c r="B383" s="1" t="s">
        <v>514</v>
      </c>
      <c r="C383" t="s">
        <v>100</v>
      </c>
      <c r="D383" s="1" t="s">
        <v>515</v>
      </c>
    </row>
    <row r="384" spans="1:4" hidden="1" x14ac:dyDescent="0.3">
      <c r="A384">
        <v>382</v>
      </c>
      <c r="B384" t="s">
        <v>516</v>
      </c>
      <c r="C384" t="s">
        <v>103</v>
      </c>
      <c r="D384">
        <v>5.8460900526918101E-3</v>
      </c>
    </row>
    <row r="385" spans="1:4" hidden="1" x14ac:dyDescent="0.3">
      <c r="A385">
        <v>383</v>
      </c>
      <c r="B385" t="s">
        <v>517</v>
      </c>
      <c r="C385" t="s">
        <v>105</v>
      </c>
      <c r="D385">
        <v>6.7680447949580605E-4</v>
      </c>
    </row>
    <row r="386" spans="1:4" hidden="1" x14ac:dyDescent="0.3">
      <c r="A386">
        <v>384</v>
      </c>
      <c r="B386" t="s">
        <v>518</v>
      </c>
      <c r="C386" t="s">
        <v>107</v>
      </c>
      <c r="D386">
        <v>1.508735426169E-2</v>
      </c>
    </row>
    <row r="387" spans="1:4" hidden="1" x14ac:dyDescent="0.3">
      <c r="A387">
        <v>385</v>
      </c>
      <c r="B387" s="1" t="s">
        <v>519</v>
      </c>
      <c r="C387" t="s">
        <v>109</v>
      </c>
      <c r="D387" s="1" t="s">
        <v>520</v>
      </c>
    </row>
    <row r="388" spans="1:4" hidden="1" x14ac:dyDescent="0.3">
      <c r="A388">
        <v>386</v>
      </c>
      <c r="B388" t="s">
        <v>521</v>
      </c>
      <c r="C388" t="s">
        <v>197</v>
      </c>
      <c r="D388">
        <v>149997699.722314</v>
      </c>
    </row>
    <row r="389" spans="1:4" hidden="1" x14ac:dyDescent="0.3">
      <c r="A389">
        <v>387</v>
      </c>
      <c r="B389" t="s">
        <v>522</v>
      </c>
      <c r="C389" t="s">
        <v>199</v>
      </c>
      <c r="D389">
        <v>-1744.57717152809</v>
      </c>
    </row>
    <row r="390" spans="1:4" hidden="1" x14ac:dyDescent="0.3">
      <c r="A390">
        <v>388</v>
      </c>
      <c r="B390" t="s">
        <v>523</v>
      </c>
      <c r="C390" t="s">
        <v>201</v>
      </c>
      <c r="D390">
        <v>-872.27751800469798</v>
      </c>
    </row>
    <row r="391" spans="1:4" hidden="1" x14ac:dyDescent="0.3">
      <c r="A391">
        <v>389</v>
      </c>
      <c r="B391" s="1" t="s">
        <v>524</v>
      </c>
      <c r="C391" t="s">
        <v>203</v>
      </c>
      <c r="D391" s="1" t="s">
        <v>525</v>
      </c>
    </row>
    <row r="392" spans="1:4" hidden="1" x14ac:dyDescent="0.3">
      <c r="A392">
        <v>390</v>
      </c>
      <c r="B392" t="s">
        <v>526</v>
      </c>
      <c r="C392" t="s">
        <v>206</v>
      </c>
      <c r="D392">
        <v>80005841.997157097</v>
      </c>
    </row>
    <row r="393" spans="1:4" hidden="1" x14ac:dyDescent="0.3">
      <c r="A393">
        <v>391</v>
      </c>
      <c r="B393" t="s">
        <v>527</v>
      </c>
      <c r="C393" t="s">
        <v>208</v>
      </c>
      <c r="D393">
        <v>40002413.434098102</v>
      </c>
    </row>
    <row r="394" spans="1:4" hidden="1" x14ac:dyDescent="0.3">
      <c r="A394">
        <v>392</v>
      </c>
      <c r="B394" t="s">
        <v>528</v>
      </c>
      <c r="C394" t="s">
        <v>210</v>
      </c>
      <c r="D394">
        <v>29992715.1555668</v>
      </c>
    </row>
    <row r="395" spans="1:4" hidden="1" x14ac:dyDescent="0.3">
      <c r="A395">
        <v>393</v>
      </c>
      <c r="B395" s="1" t="s">
        <v>529</v>
      </c>
      <c r="C395" t="s">
        <v>212</v>
      </c>
      <c r="D395" s="1" t="s">
        <v>530</v>
      </c>
    </row>
    <row r="396" spans="1:4" hidden="1" x14ac:dyDescent="0.3">
      <c r="A396">
        <v>394</v>
      </c>
      <c r="B396" t="s">
        <v>531</v>
      </c>
      <c r="C396" t="s">
        <v>215</v>
      </c>
      <c r="D396">
        <v>99994428.720508307</v>
      </c>
    </row>
    <row r="397" spans="1:4" hidden="1" x14ac:dyDescent="0.3">
      <c r="A397">
        <v>395</v>
      </c>
      <c r="B397" t="s">
        <v>532</v>
      </c>
      <c r="C397" t="s">
        <v>217</v>
      </c>
      <c r="D397">
        <v>-2180.4407437145701</v>
      </c>
    </row>
    <row r="398" spans="1:4" hidden="1" x14ac:dyDescent="0.3">
      <c r="A398">
        <v>396</v>
      </c>
      <c r="B398" s="1" t="s">
        <v>533</v>
      </c>
      <c r="C398" t="s">
        <v>219</v>
      </c>
      <c r="D398" s="1" t="s">
        <v>534</v>
      </c>
    </row>
    <row r="399" spans="1:4" hidden="1" x14ac:dyDescent="0.3">
      <c r="A399">
        <v>397</v>
      </c>
      <c r="B399" t="s">
        <v>535</v>
      </c>
      <c r="C399" t="s">
        <v>112</v>
      </c>
      <c r="D399">
        <v>558.29001775003701</v>
      </c>
    </row>
    <row r="400" spans="1:4" hidden="1" x14ac:dyDescent="0.3">
      <c r="A400">
        <v>398</v>
      </c>
      <c r="B400" t="s">
        <v>536</v>
      </c>
      <c r="C400" t="s">
        <v>114</v>
      </c>
      <c r="D400">
        <v>109.15650725460399</v>
      </c>
    </row>
    <row r="401" spans="1:4" hidden="1" x14ac:dyDescent="0.3">
      <c r="A401">
        <v>399</v>
      </c>
      <c r="B401" s="1" t="s">
        <v>537</v>
      </c>
      <c r="C401" t="s">
        <v>116</v>
      </c>
      <c r="D401" s="1" t="s">
        <v>538</v>
      </c>
    </row>
    <row r="402" spans="1:4" hidden="1" x14ac:dyDescent="0.3">
      <c r="A402">
        <v>400</v>
      </c>
      <c r="B402" t="s">
        <v>539</v>
      </c>
      <c r="C402" t="s">
        <v>119</v>
      </c>
      <c r="D402">
        <v>80005841.997157097</v>
      </c>
    </row>
    <row r="403" spans="1:4" hidden="1" x14ac:dyDescent="0.3">
      <c r="A403">
        <v>401</v>
      </c>
      <c r="B403" t="s">
        <v>540</v>
      </c>
      <c r="C403" t="s">
        <v>121</v>
      </c>
      <c r="D403">
        <v>40002413.434098102</v>
      </c>
    </row>
    <row r="404" spans="1:4" hidden="1" x14ac:dyDescent="0.3">
      <c r="A404">
        <v>402</v>
      </c>
      <c r="B404" s="1" t="s">
        <v>541</v>
      </c>
      <c r="C404" t="s">
        <v>123</v>
      </c>
      <c r="D404" s="1" t="s">
        <v>542</v>
      </c>
    </row>
    <row r="405" spans="1:4" hidden="1" x14ac:dyDescent="0.3">
      <c r="A405">
        <v>403</v>
      </c>
      <c r="B405" t="s">
        <v>543</v>
      </c>
      <c r="C405" t="s">
        <v>126</v>
      </c>
      <c r="D405">
        <v>0.80003152164081803</v>
      </c>
    </row>
    <row r="406" spans="1:4" hidden="1" x14ac:dyDescent="0.3">
      <c r="A406">
        <v>404</v>
      </c>
      <c r="B406" t="s">
        <v>544</v>
      </c>
      <c r="C406" t="s">
        <v>128</v>
      </c>
      <c r="D406">
        <v>0.40001068534625001</v>
      </c>
    </row>
    <row r="407" spans="1:4" hidden="1" x14ac:dyDescent="0.3">
      <c r="A407">
        <v>405</v>
      </c>
      <c r="B407" s="1" t="s">
        <v>545</v>
      </c>
      <c r="C407" t="s">
        <v>130</v>
      </c>
      <c r="D407" s="1" t="s">
        <v>546</v>
      </c>
    </row>
    <row r="408" spans="1:4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1305.25</v>
      </c>
    </row>
    <row r="410" spans="1:4" hidden="1" x14ac:dyDescent="0.3">
      <c r="A410">
        <v>408</v>
      </c>
      <c r="B410" s="1" t="s">
        <v>132</v>
      </c>
      <c r="C410" t="s">
        <v>9</v>
      </c>
      <c r="D410" s="1" t="s">
        <v>133</v>
      </c>
    </row>
    <row r="411" spans="1:4" hidden="1" x14ac:dyDescent="0.3">
      <c r="A411">
        <v>409</v>
      </c>
      <c r="B411" t="s">
        <v>13</v>
      </c>
      <c r="C411" t="s">
        <v>14</v>
      </c>
      <c r="D411">
        <v>98.4296875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4.2819487927479898</v>
      </c>
    </row>
    <row r="413" spans="1:4" hidden="1" x14ac:dyDescent="0.3">
      <c r="A413">
        <v>411</v>
      </c>
      <c r="B413" s="1" t="s">
        <v>134</v>
      </c>
      <c r="C413" t="s">
        <v>135</v>
      </c>
      <c r="D413" s="1" t="s">
        <v>136</v>
      </c>
    </row>
    <row r="414" spans="1:4" hidden="1" x14ac:dyDescent="0.3">
      <c r="A414">
        <v>412</v>
      </c>
      <c r="B414" t="s">
        <v>21</v>
      </c>
      <c r="C414" t="s">
        <v>22</v>
      </c>
      <c r="D414">
        <v>83.1</v>
      </c>
    </row>
    <row r="415" spans="1:4" hidden="1" x14ac:dyDescent="0.3">
      <c r="A415">
        <v>413</v>
      </c>
      <c r="B415" t="s">
        <v>547</v>
      </c>
      <c r="C415" t="s">
        <v>24</v>
      </c>
      <c r="D415">
        <v>4.1069340424990699</v>
      </c>
    </row>
    <row r="416" spans="1:4" hidden="1" x14ac:dyDescent="0.3">
      <c r="A416">
        <v>414</v>
      </c>
      <c r="B416" s="1" t="s">
        <v>548</v>
      </c>
      <c r="C416" t="s">
        <v>139</v>
      </c>
      <c r="D416" s="1" t="s">
        <v>549</v>
      </c>
    </row>
    <row r="417" spans="1:4" hidden="1" x14ac:dyDescent="0.3">
      <c r="A417">
        <v>415</v>
      </c>
      <c r="B417" t="s">
        <v>550</v>
      </c>
      <c r="C417" t="s">
        <v>35</v>
      </c>
      <c r="D417">
        <v>-0.52076568398526402</v>
      </c>
    </row>
    <row r="418" spans="1:4" hidden="1" x14ac:dyDescent="0.3">
      <c r="A418">
        <v>416</v>
      </c>
      <c r="B418" t="s">
        <v>551</v>
      </c>
      <c r="C418" t="s">
        <v>143</v>
      </c>
      <c r="D418">
        <v>0.73185229557964304</v>
      </c>
    </row>
    <row r="419" spans="1:4" hidden="1" x14ac:dyDescent="0.3">
      <c r="A419">
        <v>417</v>
      </c>
      <c r="B419" s="1" t="s">
        <v>552</v>
      </c>
      <c r="C419" t="s">
        <v>145</v>
      </c>
      <c r="D419" s="1" t="s">
        <v>553</v>
      </c>
    </row>
    <row r="420" spans="1:4" hidden="1" x14ac:dyDescent="0.3">
      <c r="A420">
        <v>418</v>
      </c>
      <c r="B420" t="s">
        <v>554</v>
      </c>
      <c r="C420" t="s">
        <v>30</v>
      </c>
      <c r="D420">
        <v>0.76159184528624702</v>
      </c>
    </row>
    <row r="421" spans="1:4" hidden="1" x14ac:dyDescent="0.3">
      <c r="A421">
        <v>419</v>
      </c>
      <c r="B421" t="s">
        <v>555</v>
      </c>
      <c r="C421" t="s">
        <v>32</v>
      </c>
      <c r="D421">
        <v>0.15681295529115599</v>
      </c>
    </row>
    <row r="422" spans="1:4" hidden="1" x14ac:dyDescent="0.3">
      <c r="A422">
        <v>420</v>
      </c>
      <c r="B422" s="1" t="s">
        <v>556</v>
      </c>
      <c r="C422" t="s">
        <v>149</v>
      </c>
      <c r="D422" s="1" t="s">
        <v>557</v>
      </c>
    </row>
    <row r="423" spans="1:4" hidden="1" x14ac:dyDescent="0.3">
      <c r="A423">
        <v>421</v>
      </c>
      <c r="B423" t="s">
        <v>558</v>
      </c>
      <c r="C423" t="s">
        <v>40</v>
      </c>
      <c r="D423">
        <v>0.759173838699017</v>
      </c>
    </row>
    <row r="424" spans="1:4" hidden="1" x14ac:dyDescent="0.3">
      <c r="A424">
        <v>422</v>
      </c>
      <c r="B424" t="s">
        <v>559</v>
      </c>
      <c r="C424" t="s">
        <v>42</v>
      </c>
      <c r="D424">
        <v>0.20958297738536499</v>
      </c>
    </row>
    <row r="425" spans="1:4" hidden="1" x14ac:dyDescent="0.3">
      <c r="A425">
        <v>423</v>
      </c>
      <c r="B425" s="1" t="s">
        <v>560</v>
      </c>
      <c r="C425" t="s">
        <v>153</v>
      </c>
      <c r="D425" s="1" t="s">
        <v>561</v>
      </c>
    </row>
    <row r="426" spans="1:4" hidden="1" x14ac:dyDescent="0.3">
      <c r="A426">
        <v>424</v>
      </c>
      <c r="B426" t="s">
        <v>154</v>
      </c>
      <c r="C426" t="s">
        <v>155</v>
      </c>
      <c r="D426">
        <v>1</v>
      </c>
    </row>
    <row r="427" spans="1:4" hidden="1" x14ac:dyDescent="0.3">
      <c r="A427">
        <v>425</v>
      </c>
      <c r="B427" t="s">
        <v>156</v>
      </c>
      <c r="C427" t="s">
        <v>157</v>
      </c>
      <c r="D427">
        <v>1</v>
      </c>
    </row>
    <row r="428" spans="1:4" hidden="1" x14ac:dyDescent="0.3">
      <c r="A428">
        <v>426</v>
      </c>
      <c r="B428" s="1" t="s">
        <v>562</v>
      </c>
      <c r="C428" t="s">
        <v>159</v>
      </c>
      <c r="D428" s="1" t="s">
        <v>563</v>
      </c>
    </row>
    <row r="429" spans="1:4" hidden="1" x14ac:dyDescent="0.3">
      <c r="A429">
        <v>427</v>
      </c>
      <c r="B429" t="s">
        <v>564</v>
      </c>
      <c r="C429" t="s">
        <v>162</v>
      </c>
      <c r="D429">
        <v>0.99985774167883601</v>
      </c>
    </row>
    <row r="430" spans="1:4" hidden="1" x14ac:dyDescent="0.3">
      <c r="A430">
        <v>428</v>
      </c>
      <c r="B430" t="s">
        <v>565</v>
      </c>
      <c r="C430" t="s">
        <v>164</v>
      </c>
      <c r="D430">
        <v>0.99979906902426996</v>
      </c>
    </row>
    <row r="431" spans="1:4" hidden="1" x14ac:dyDescent="0.3">
      <c r="A431">
        <v>429</v>
      </c>
      <c r="B431" s="1" t="s">
        <v>566</v>
      </c>
      <c r="C431" t="s">
        <v>166</v>
      </c>
      <c r="D431" s="1" t="s">
        <v>567</v>
      </c>
    </row>
    <row r="432" spans="1:4" hidden="1" x14ac:dyDescent="0.3">
      <c r="A432">
        <v>430</v>
      </c>
      <c r="B432" s="1" t="s">
        <v>568</v>
      </c>
      <c r="C432" t="s">
        <v>55</v>
      </c>
      <c r="D432" s="1" t="s">
        <v>569</v>
      </c>
    </row>
    <row r="433" spans="1:4" hidden="1" x14ac:dyDescent="0.3">
      <c r="A433">
        <v>431</v>
      </c>
      <c r="B433" s="1" t="s">
        <v>570</v>
      </c>
      <c r="C433" t="s">
        <v>52</v>
      </c>
      <c r="D433" s="1" t="s">
        <v>571</v>
      </c>
    </row>
    <row r="434" spans="1:4" hidden="1" x14ac:dyDescent="0.3">
      <c r="A434">
        <v>432</v>
      </c>
      <c r="B434" s="1" t="s">
        <v>572</v>
      </c>
      <c r="C434" t="s">
        <v>58</v>
      </c>
      <c r="D434" s="1" t="s">
        <v>573</v>
      </c>
    </row>
    <row r="435" spans="1:4" hidden="1" x14ac:dyDescent="0.3">
      <c r="A435">
        <v>433</v>
      </c>
      <c r="B435" t="s">
        <v>574</v>
      </c>
      <c r="C435" t="s">
        <v>61</v>
      </c>
      <c r="D435">
        <v>149996253.27751201</v>
      </c>
    </row>
    <row r="436" spans="1:4" hidden="1" x14ac:dyDescent="0.3">
      <c r="A436">
        <v>434</v>
      </c>
      <c r="B436" t="s">
        <v>575</v>
      </c>
      <c r="C436" t="s">
        <v>63</v>
      </c>
      <c r="D436">
        <v>80005841.997157097</v>
      </c>
    </row>
    <row r="437" spans="1:4" hidden="1" x14ac:dyDescent="0.3">
      <c r="A437">
        <v>435</v>
      </c>
      <c r="B437" t="s">
        <v>576</v>
      </c>
      <c r="C437" t="s">
        <v>65</v>
      </c>
      <c r="D437">
        <v>40002413.434098102</v>
      </c>
    </row>
    <row r="438" spans="1:4" hidden="1" x14ac:dyDescent="0.3">
      <c r="A438">
        <v>436</v>
      </c>
      <c r="B438" s="1" t="s">
        <v>577</v>
      </c>
      <c r="C438" t="s">
        <v>67</v>
      </c>
      <c r="D438" s="1" t="s">
        <v>578</v>
      </c>
    </row>
    <row r="439" spans="1:4" hidden="1" x14ac:dyDescent="0.3">
      <c r="A439">
        <v>437</v>
      </c>
      <c r="B439" s="1" t="s">
        <v>579</v>
      </c>
      <c r="C439" t="s">
        <v>70</v>
      </c>
      <c r="D439" s="1" t="s">
        <v>580</v>
      </c>
    </row>
    <row r="440" spans="1:4" hidden="1" x14ac:dyDescent="0.3">
      <c r="A440">
        <v>438</v>
      </c>
      <c r="B440" t="s">
        <v>581</v>
      </c>
      <c r="C440" t="s">
        <v>73</v>
      </c>
      <c r="D440">
        <v>1.00008933936094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582</v>
      </c>
      <c r="C444" t="s">
        <v>81</v>
      </c>
      <c r="D444" s="1" t="s">
        <v>583</v>
      </c>
    </row>
    <row r="445" spans="1:4" hidden="1" x14ac:dyDescent="0.3">
      <c r="A445">
        <v>443</v>
      </c>
      <c r="B445" t="s">
        <v>584</v>
      </c>
      <c r="C445" t="s">
        <v>84</v>
      </c>
      <c r="D445">
        <v>1.00009757418664</v>
      </c>
    </row>
    <row r="446" spans="1:4" hidden="1" x14ac:dyDescent="0.3">
      <c r="A446">
        <v>444</v>
      </c>
      <c r="B446" s="1" t="s">
        <v>585</v>
      </c>
      <c r="C446" t="s">
        <v>86</v>
      </c>
      <c r="D446" s="1" t="s">
        <v>586</v>
      </c>
    </row>
    <row r="447" spans="1:4" hidden="1" x14ac:dyDescent="0.3">
      <c r="A447">
        <v>445</v>
      </c>
      <c r="B447" t="s">
        <v>587</v>
      </c>
      <c r="C447" t="s">
        <v>89</v>
      </c>
      <c r="D447">
        <v>99991424.941364706</v>
      </c>
    </row>
    <row r="448" spans="1:4" hidden="1" x14ac:dyDescent="0.3">
      <c r="A448">
        <v>446</v>
      </c>
      <c r="B448" s="1" t="s">
        <v>588</v>
      </c>
      <c r="C448" t="s">
        <v>91</v>
      </c>
      <c r="D448" s="1" t="s">
        <v>534</v>
      </c>
    </row>
    <row r="449" spans="1:4" hidden="1" x14ac:dyDescent="0.3">
      <c r="A449">
        <v>447</v>
      </c>
      <c r="B449" t="s">
        <v>589</v>
      </c>
      <c r="C449" t="s">
        <v>94</v>
      </c>
      <c r="D449">
        <v>80005841.997157097</v>
      </c>
    </row>
    <row r="450" spans="1:4" hidden="1" x14ac:dyDescent="0.3">
      <c r="A450">
        <v>448</v>
      </c>
      <c r="B450" t="s">
        <v>590</v>
      </c>
      <c r="C450" t="s">
        <v>96</v>
      </c>
      <c r="D450">
        <v>40002413.434098102</v>
      </c>
    </row>
    <row r="451" spans="1:4" hidden="1" x14ac:dyDescent="0.3">
      <c r="A451">
        <v>449</v>
      </c>
      <c r="B451" t="s">
        <v>591</v>
      </c>
      <c r="C451" t="s">
        <v>98</v>
      </c>
      <c r="D451">
        <v>29987997.8462568</v>
      </c>
    </row>
    <row r="452" spans="1:4" hidden="1" x14ac:dyDescent="0.3">
      <c r="A452">
        <v>450</v>
      </c>
      <c r="B452" s="1" t="s">
        <v>592</v>
      </c>
      <c r="C452" t="s">
        <v>100</v>
      </c>
      <c r="D452" s="1" t="s">
        <v>593</v>
      </c>
    </row>
    <row r="453" spans="1:4" hidden="1" x14ac:dyDescent="0.3">
      <c r="A453">
        <v>451</v>
      </c>
      <c r="B453" t="s">
        <v>594</v>
      </c>
      <c r="C453" t="s">
        <v>103</v>
      </c>
      <c r="D453">
        <v>5.8423305040607096E-3</v>
      </c>
    </row>
    <row r="454" spans="1:4" hidden="1" x14ac:dyDescent="0.3">
      <c r="A454">
        <v>452</v>
      </c>
      <c r="B454" t="s">
        <v>595</v>
      </c>
      <c r="C454" t="s">
        <v>105</v>
      </c>
      <c r="D454">
        <v>6.7699566977128195E-4</v>
      </c>
    </row>
    <row r="455" spans="1:4" hidden="1" x14ac:dyDescent="0.3">
      <c r="A455">
        <v>453</v>
      </c>
      <c r="B455" t="s">
        <v>596</v>
      </c>
      <c r="C455" t="s">
        <v>107</v>
      </c>
      <c r="D455">
        <v>1.5167520620221401E-2</v>
      </c>
    </row>
    <row r="456" spans="1:4" hidden="1" x14ac:dyDescent="0.3">
      <c r="A456">
        <v>454</v>
      </c>
      <c r="B456" s="1" t="s">
        <v>597</v>
      </c>
      <c r="C456" t="s">
        <v>109</v>
      </c>
      <c r="D456" s="1" t="s">
        <v>598</v>
      </c>
    </row>
    <row r="457" spans="1:4" hidden="1" x14ac:dyDescent="0.3">
      <c r="A457">
        <v>455</v>
      </c>
      <c r="B457" t="s">
        <v>599</v>
      </c>
      <c r="C457" t="s">
        <v>197</v>
      </c>
      <c r="D457">
        <v>149996538.23317501</v>
      </c>
    </row>
    <row r="458" spans="1:4" hidden="1" x14ac:dyDescent="0.3">
      <c r="A458">
        <v>456</v>
      </c>
      <c r="B458" t="s">
        <v>600</v>
      </c>
      <c r="C458" t="s">
        <v>199</v>
      </c>
      <c r="D458">
        <v>-658.77704565574402</v>
      </c>
    </row>
    <row r="459" spans="1:4" hidden="1" x14ac:dyDescent="0.3">
      <c r="A459">
        <v>457</v>
      </c>
      <c r="B459" t="s">
        <v>601</v>
      </c>
      <c r="C459" t="s">
        <v>201</v>
      </c>
      <c r="D459">
        <v>-329.383815068773</v>
      </c>
    </row>
    <row r="460" spans="1:4" hidden="1" x14ac:dyDescent="0.3">
      <c r="A460">
        <v>458</v>
      </c>
      <c r="B460" s="1" t="s">
        <v>602</v>
      </c>
      <c r="C460" t="s">
        <v>203</v>
      </c>
      <c r="D460" s="1" t="s">
        <v>603</v>
      </c>
    </row>
    <row r="461" spans="1:4" hidden="1" x14ac:dyDescent="0.3">
      <c r="A461">
        <v>459</v>
      </c>
      <c r="B461" t="s">
        <v>604</v>
      </c>
      <c r="C461" t="s">
        <v>206</v>
      </c>
      <c r="D461">
        <v>80006711.600067303</v>
      </c>
    </row>
    <row r="462" spans="1:4" hidden="1" x14ac:dyDescent="0.3">
      <c r="A462">
        <v>460</v>
      </c>
      <c r="B462" t="s">
        <v>605</v>
      </c>
      <c r="C462" t="s">
        <v>208</v>
      </c>
      <c r="D462">
        <v>40002784.055272602</v>
      </c>
    </row>
    <row r="463" spans="1:4" hidden="1" x14ac:dyDescent="0.3">
      <c r="A463">
        <v>461</v>
      </c>
      <c r="B463" t="s">
        <v>606</v>
      </c>
      <c r="C463" t="s">
        <v>210</v>
      </c>
      <c r="D463">
        <v>29988277.6628429</v>
      </c>
    </row>
    <row r="464" spans="1:4" hidden="1" x14ac:dyDescent="0.3">
      <c r="A464">
        <v>462</v>
      </c>
      <c r="B464" s="1" t="s">
        <v>607</v>
      </c>
      <c r="C464" t="s">
        <v>212</v>
      </c>
      <c r="D464" s="1" t="s">
        <v>608</v>
      </c>
    </row>
    <row r="465" spans="1:4" hidden="1" x14ac:dyDescent="0.3">
      <c r="A465">
        <v>463</v>
      </c>
      <c r="B465" t="s">
        <v>609</v>
      </c>
      <c r="C465" t="s">
        <v>215</v>
      </c>
      <c r="D465">
        <v>99992248.279764593</v>
      </c>
    </row>
    <row r="466" spans="1:4" hidden="1" x14ac:dyDescent="0.3">
      <c r="A466">
        <v>464</v>
      </c>
      <c r="B466" t="s">
        <v>610</v>
      </c>
      <c r="C466" t="s">
        <v>217</v>
      </c>
      <c r="D466">
        <v>-823.33839990198601</v>
      </c>
    </row>
    <row r="467" spans="1:4" hidden="1" x14ac:dyDescent="0.3">
      <c r="A467">
        <v>465</v>
      </c>
      <c r="B467" s="1" t="s">
        <v>611</v>
      </c>
      <c r="C467" t="s">
        <v>219</v>
      </c>
      <c r="D467" s="1" t="s">
        <v>612</v>
      </c>
    </row>
    <row r="468" spans="1:4" hidden="1" x14ac:dyDescent="0.3">
      <c r="A468">
        <v>466</v>
      </c>
      <c r="B468" t="s">
        <v>613</v>
      </c>
      <c r="C468" t="s">
        <v>112</v>
      </c>
      <c r="D468">
        <v>210.82586453390101</v>
      </c>
    </row>
    <row r="469" spans="1:4" hidden="1" x14ac:dyDescent="0.3">
      <c r="A469">
        <v>467</v>
      </c>
      <c r="B469" t="s">
        <v>614</v>
      </c>
      <c r="C469" t="s">
        <v>114</v>
      </c>
      <c r="D469">
        <v>41.237359421149897</v>
      </c>
    </row>
    <row r="470" spans="1:4" hidden="1" x14ac:dyDescent="0.3">
      <c r="A470">
        <v>468</v>
      </c>
      <c r="B470" s="1" t="s">
        <v>615</v>
      </c>
      <c r="C470" t="s">
        <v>116</v>
      </c>
      <c r="D470" s="1" t="s">
        <v>616</v>
      </c>
    </row>
    <row r="471" spans="1:4" hidden="1" x14ac:dyDescent="0.3">
      <c r="A471">
        <v>469</v>
      </c>
      <c r="B471" t="s">
        <v>617</v>
      </c>
      <c r="C471" t="s">
        <v>119</v>
      </c>
      <c r="D471">
        <v>80006711.600067303</v>
      </c>
    </row>
    <row r="472" spans="1:4" hidden="1" x14ac:dyDescent="0.3">
      <c r="A472">
        <v>470</v>
      </c>
      <c r="B472" t="s">
        <v>618</v>
      </c>
      <c r="C472" t="s">
        <v>121</v>
      </c>
      <c r="D472">
        <v>40002784.055272602</v>
      </c>
    </row>
    <row r="473" spans="1:4" hidden="1" x14ac:dyDescent="0.3">
      <c r="A473">
        <v>471</v>
      </c>
      <c r="B473" s="1" t="s">
        <v>619</v>
      </c>
      <c r="C473" t="s">
        <v>123</v>
      </c>
      <c r="D473" s="1" t="s">
        <v>620</v>
      </c>
    </row>
    <row r="474" spans="1:4" hidden="1" x14ac:dyDescent="0.3">
      <c r="A474">
        <v>472</v>
      </c>
      <c r="B474" t="s">
        <v>621</v>
      </c>
      <c r="C474" t="s">
        <v>126</v>
      </c>
      <c r="D474">
        <v>0.80005107544014598</v>
      </c>
    </row>
    <row r="475" spans="1:4" hidden="1" x14ac:dyDescent="0.3">
      <c r="A475">
        <v>473</v>
      </c>
      <c r="B475" t="s">
        <v>622</v>
      </c>
      <c r="C475" t="s">
        <v>128</v>
      </c>
      <c r="D475">
        <v>0.400019820387092</v>
      </c>
    </row>
    <row r="476" spans="1:4" hidden="1" x14ac:dyDescent="0.3">
      <c r="A476">
        <v>474</v>
      </c>
      <c r="B476" s="1" t="s">
        <v>623</v>
      </c>
      <c r="C476" t="s">
        <v>130</v>
      </c>
      <c r="D476" s="1" t="s">
        <v>624</v>
      </c>
    </row>
    <row r="477" spans="1:4" x14ac:dyDescent="0.3">
      <c r="A477">
        <v>475</v>
      </c>
      <c r="B477" s="1" t="s">
        <v>3</v>
      </c>
      <c r="C477" t="s">
        <v>4</v>
      </c>
      <c r="D477" t="s">
        <v>5</v>
      </c>
    </row>
    <row r="478" spans="1:4" hidden="1" x14ac:dyDescent="0.3">
      <c r="A478">
        <v>476</v>
      </c>
      <c r="B478" t="s">
        <v>6</v>
      </c>
      <c r="C478" t="s">
        <v>7</v>
      </c>
      <c r="D478">
        <v>1305.25</v>
      </c>
    </row>
    <row r="479" spans="1:4" hidden="1" x14ac:dyDescent="0.3">
      <c r="A479">
        <v>477</v>
      </c>
      <c r="B479" s="1" t="s">
        <v>132</v>
      </c>
      <c r="C479" t="s">
        <v>9</v>
      </c>
      <c r="D479" s="1" t="s">
        <v>133</v>
      </c>
    </row>
    <row r="480" spans="1:4" hidden="1" x14ac:dyDescent="0.3">
      <c r="A480">
        <v>478</v>
      </c>
      <c r="B480" t="s">
        <v>13</v>
      </c>
      <c r="C480" t="s">
        <v>14</v>
      </c>
      <c r="D480">
        <v>98.4296875</v>
      </c>
    </row>
    <row r="481" spans="1:4" hidden="1" x14ac:dyDescent="0.3">
      <c r="A481">
        <v>479</v>
      </c>
      <c r="B481" t="s">
        <v>15</v>
      </c>
      <c r="C481" t="s">
        <v>16</v>
      </c>
      <c r="D481">
        <v>4.2819487927479898</v>
      </c>
    </row>
    <row r="482" spans="1:4" hidden="1" x14ac:dyDescent="0.3">
      <c r="A482">
        <v>480</v>
      </c>
      <c r="B482" s="1" t="s">
        <v>134</v>
      </c>
      <c r="C482" t="s">
        <v>135</v>
      </c>
      <c r="D482" s="1" t="s">
        <v>136</v>
      </c>
    </row>
    <row r="483" spans="1:4" hidden="1" x14ac:dyDescent="0.3">
      <c r="A483">
        <v>481</v>
      </c>
      <c r="B483" t="s">
        <v>21</v>
      </c>
      <c r="C483" t="s">
        <v>22</v>
      </c>
      <c r="D483">
        <v>83.1</v>
      </c>
    </row>
    <row r="484" spans="1:4" hidden="1" x14ac:dyDescent="0.3">
      <c r="A484">
        <v>482</v>
      </c>
      <c r="B484" t="s">
        <v>625</v>
      </c>
      <c r="C484" t="s">
        <v>24</v>
      </c>
      <c r="D484">
        <v>4.0932209053936202</v>
      </c>
    </row>
    <row r="485" spans="1:4" hidden="1" x14ac:dyDescent="0.3">
      <c r="A485">
        <v>483</v>
      </c>
      <c r="B485" s="1" t="s">
        <v>626</v>
      </c>
      <c r="C485" t="s">
        <v>139</v>
      </c>
      <c r="D485" s="1" t="s">
        <v>627</v>
      </c>
    </row>
    <row r="486" spans="1:4" hidden="1" x14ac:dyDescent="0.3">
      <c r="A486">
        <v>484</v>
      </c>
      <c r="B486" t="s">
        <v>628</v>
      </c>
      <c r="C486" t="s">
        <v>35</v>
      </c>
      <c r="D486">
        <v>-0.51506946702931</v>
      </c>
    </row>
    <row r="487" spans="1:4" hidden="1" x14ac:dyDescent="0.3">
      <c r="A487">
        <v>485</v>
      </c>
      <c r="B487" t="s">
        <v>629</v>
      </c>
      <c r="C487" t="s">
        <v>143</v>
      </c>
      <c r="D487">
        <v>0.73229545943010099</v>
      </c>
    </row>
    <row r="488" spans="1:4" hidden="1" x14ac:dyDescent="0.3">
      <c r="A488">
        <v>486</v>
      </c>
      <c r="B488" s="1" t="s">
        <v>630</v>
      </c>
      <c r="C488" t="s">
        <v>145</v>
      </c>
      <c r="D488" s="1" t="s">
        <v>631</v>
      </c>
    </row>
    <row r="489" spans="1:4" hidden="1" x14ac:dyDescent="0.3">
      <c r="A489">
        <v>487</v>
      </c>
      <c r="B489" t="s">
        <v>632</v>
      </c>
      <c r="C489" t="s">
        <v>30</v>
      </c>
      <c r="D489">
        <v>0.75326143390153999</v>
      </c>
    </row>
    <row r="490" spans="1:4" hidden="1" x14ac:dyDescent="0.3">
      <c r="A490">
        <v>488</v>
      </c>
      <c r="B490" t="s">
        <v>633</v>
      </c>
      <c r="C490" t="s">
        <v>32</v>
      </c>
      <c r="D490">
        <v>0.156611014491356</v>
      </c>
    </row>
    <row r="491" spans="1:4" hidden="1" x14ac:dyDescent="0.3">
      <c r="A491">
        <v>489</v>
      </c>
      <c r="B491" s="1" t="s">
        <v>634</v>
      </c>
      <c r="C491" t="s">
        <v>149</v>
      </c>
      <c r="D491" s="1" t="s">
        <v>635</v>
      </c>
    </row>
    <row r="492" spans="1:4" hidden="1" x14ac:dyDescent="0.3">
      <c r="A492">
        <v>490</v>
      </c>
      <c r="B492" t="s">
        <v>636</v>
      </c>
      <c r="C492" t="s">
        <v>40</v>
      </c>
      <c r="D492">
        <v>0.76180803312777001</v>
      </c>
    </row>
    <row r="493" spans="1:4" hidden="1" x14ac:dyDescent="0.3">
      <c r="A493">
        <v>491</v>
      </c>
      <c r="B493" t="s">
        <v>637</v>
      </c>
      <c r="C493" t="s">
        <v>42</v>
      </c>
      <c r="D493">
        <v>0.208958015225468</v>
      </c>
    </row>
    <row r="494" spans="1:4" hidden="1" x14ac:dyDescent="0.3">
      <c r="A494">
        <v>492</v>
      </c>
      <c r="B494" s="1" t="s">
        <v>638</v>
      </c>
      <c r="C494" t="s">
        <v>153</v>
      </c>
      <c r="D494" s="1" t="s">
        <v>639</v>
      </c>
    </row>
    <row r="495" spans="1:4" hidden="1" x14ac:dyDescent="0.3">
      <c r="A495">
        <v>493</v>
      </c>
      <c r="B495" t="s">
        <v>154</v>
      </c>
      <c r="C495" t="s">
        <v>155</v>
      </c>
      <c r="D495">
        <v>1</v>
      </c>
    </row>
    <row r="496" spans="1:4" hidden="1" x14ac:dyDescent="0.3">
      <c r="A496">
        <v>494</v>
      </c>
      <c r="B496" t="s">
        <v>156</v>
      </c>
      <c r="C496" t="s">
        <v>157</v>
      </c>
      <c r="D496">
        <v>1</v>
      </c>
    </row>
    <row r="497" spans="1:4" hidden="1" x14ac:dyDescent="0.3">
      <c r="A497">
        <v>495</v>
      </c>
      <c r="B497" s="1" t="s">
        <v>640</v>
      </c>
      <c r="C497" t="s">
        <v>159</v>
      </c>
      <c r="D497" s="1" t="s">
        <v>641</v>
      </c>
    </row>
    <row r="498" spans="1:4" hidden="1" x14ac:dyDescent="0.3">
      <c r="A498">
        <v>496</v>
      </c>
      <c r="B498" t="s">
        <v>642</v>
      </c>
      <c r="C498" t="s">
        <v>162</v>
      </c>
      <c r="D498">
        <v>1.00025589009616</v>
      </c>
    </row>
    <row r="499" spans="1:4" hidden="1" x14ac:dyDescent="0.3">
      <c r="A499">
        <v>497</v>
      </c>
      <c r="B499" t="s">
        <v>643</v>
      </c>
      <c r="C499" t="s">
        <v>164</v>
      </c>
      <c r="D499">
        <v>0.99982543349045605</v>
      </c>
    </row>
    <row r="500" spans="1:4" hidden="1" x14ac:dyDescent="0.3">
      <c r="A500">
        <v>498</v>
      </c>
      <c r="B500" s="1" t="s">
        <v>644</v>
      </c>
      <c r="C500" t="s">
        <v>166</v>
      </c>
      <c r="D500" s="1" t="s">
        <v>645</v>
      </c>
    </row>
    <row r="501" spans="1:4" hidden="1" x14ac:dyDescent="0.3">
      <c r="A501">
        <v>499</v>
      </c>
      <c r="B501" s="1" t="s">
        <v>646</v>
      </c>
      <c r="C501" t="s">
        <v>55</v>
      </c>
      <c r="D501" s="1" t="s">
        <v>647</v>
      </c>
    </row>
    <row r="502" spans="1:4" hidden="1" x14ac:dyDescent="0.3">
      <c r="A502">
        <v>500</v>
      </c>
      <c r="B502" s="1" t="s">
        <v>648</v>
      </c>
      <c r="C502" t="s">
        <v>52</v>
      </c>
      <c r="D502" s="1" t="s">
        <v>649</v>
      </c>
    </row>
    <row r="503" spans="1:4" hidden="1" x14ac:dyDescent="0.3">
      <c r="A503">
        <v>501</v>
      </c>
      <c r="B503" s="1" t="s">
        <v>650</v>
      </c>
      <c r="C503" t="s">
        <v>58</v>
      </c>
      <c r="D503" s="1" t="s">
        <v>651</v>
      </c>
    </row>
    <row r="504" spans="1:4" hidden="1" x14ac:dyDescent="0.3">
      <c r="A504">
        <v>502</v>
      </c>
      <c r="B504" t="s">
        <v>652</v>
      </c>
      <c r="C504" t="s">
        <v>61</v>
      </c>
      <c r="D504">
        <v>149993057.71422699</v>
      </c>
    </row>
    <row r="505" spans="1:4" hidden="1" x14ac:dyDescent="0.3">
      <c r="A505">
        <v>503</v>
      </c>
      <c r="B505" t="s">
        <v>653</v>
      </c>
      <c r="C505" t="s">
        <v>63</v>
      </c>
      <c r="D505">
        <v>80006711.600067303</v>
      </c>
    </row>
    <row r="506" spans="1:4" hidden="1" x14ac:dyDescent="0.3">
      <c r="A506">
        <v>504</v>
      </c>
      <c r="B506" t="s">
        <v>654</v>
      </c>
      <c r="C506" t="s">
        <v>65</v>
      </c>
      <c r="D506">
        <v>40002784.055272602</v>
      </c>
    </row>
    <row r="507" spans="1:4" hidden="1" x14ac:dyDescent="0.3">
      <c r="A507">
        <v>505</v>
      </c>
      <c r="B507" s="1" t="s">
        <v>655</v>
      </c>
      <c r="C507" t="s">
        <v>67</v>
      </c>
      <c r="D507" s="1" t="s">
        <v>656</v>
      </c>
    </row>
    <row r="508" spans="1:4" hidden="1" x14ac:dyDescent="0.3">
      <c r="A508">
        <v>506</v>
      </c>
      <c r="B508" s="1" t="s">
        <v>657</v>
      </c>
      <c r="C508" t="s">
        <v>70</v>
      </c>
      <c r="D508" s="1" t="s">
        <v>658</v>
      </c>
    </row>
    <row r="509" spans="1:4" hidden="1" x14ac:dyDescent="0.3">
      <c r="A509">
        <v>507</v>
      </c>
      <c r="B509" t="s">
        <v>659</v>
      </c>
      <c r="C509" t="s">
        <v>73</v>
      </c>
      <c r="D509">
        <v>1.00009757418664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78</v>
      </c>
      <c r="C512" t="s">
        <v>79</v>
      </c>
      <c r="D512">
        <v>0</v>
      </c>
    </row>
    <row r="513" spans="1:4" hidden="1" x14ac:dyDescent="0.3">
      <c r="A513">
        <v>511</v>
      </c>
      <c r="B513" s="1" t="s">
        <v>660</v>
      </c>
      <c r="C513" t="s">
        <v>81</v>
      </c>
      <c r="D513" s="1" t="s">
        <v>661</v>
      </c>
    </row>
    <row r="514" spans="1:4" hidden="1" x14ac:dyDescent="0.3">
      <c r="A514">
        <v>512</v>
      </c>
      <c r="B514" t="s">
        <v>662</v>
      </c>
      <c r="C514" t="s">
        <v>84</v>
      </c>
      <c r="D514">
        <v>1.0001090219332101</v>
      </c>
    </row>
    <row r="515" spans="1:4" hidden="1" x14ac:dyDescent="0.3">
      <c r="A515">
        <v>513</v>
      </c>
      <c r="B515" s="1" t="s">
        <v>663</v>
      </c>
      <c r="C515" t="s">
        <v>86</v>
      </c>
      <c r="D515" s="1" t="s">
        <v>664</v>
      </c>
    </row>
    <row r="516" spans="1:4" hidden="1" x14ac:dyDescent="0.3">
      <c r="A516">
        <v>514</v>
      </c>
      <c r="B516" t="s">
        <v>665</v>
      </c>
      <c r="C516" t="s">
        <v>89</v>
      </c>
      <c r="D516">
        <v>99990280.389654204</v>
      </c>
    </row>
    <row r="517" spans="1:4" hidden="1" x14ac:dyDescent="0.3">
      <c r="A517">
        <v>515</v>
      </c>
      <c r="B517" s="1" t="s">
        <v>666</v>
      </c>
      <c r="C517" t="s">
        <v>91</v>
      </c>
      <c r="D517" s="1" t="s">
        <v>612</v>
      </c>
    </row>
    <row r="518" spans="1:4" hidden="1" x14ac:dyDescent="0.3">
      <c r="A518">
        <v>516</v>
      </c>
      <c r="B518" t="s">
        <v>667</v>
      </c>
      <c r="C518" t="s">
        <v>94</v>
      </c>
      <c r="D518">
        <v>80006711.600067303</v>
      </c>
    </row>
    <row r="519" spans="1:4" hidden="1" x14ac:dyDescent="0.3">
      <c r="A519">
        <v>517</v>
      </c>
      <c r="B519" t="s">
        <v>668</v>
      </c>
      <c r="C519" t="s">
        <v>96</v>
      </c>
      <c r="D519">
        <v>40002784.055272602</v>
      </c>
    </row>
    <row r="520" spans="1:4" hidden="1" x14ac:dyDescent="0.3">
      <c r="A520">
        <v>518</v>
      </c>
      <c r="B520" t="s">
        <v>669</v>
      </c>
      <c r="C520" t="s">
        <v>98</v>
      </c>
      <c r="D520">
        <v>29983562.058887102</v>
      </c>
    </row>
    <row r="521" spans="1:4" hidden="1" x14ac:dyDescent="0.3">
      <c r="A521">
        <v>519</v>
      </c>
      <c r="B521" s="1" t="s">
        <v>670</v>
      </c>
      <c r="C521" t="s">
        <v>100</v>
      </c>
      <c r="D521" s="1" t="s">
        <v>671</v>
      </c>
    </row>
    <row r="522" spans="1:4" hidden="1" x14ac:dyDescent="0.3">
      <c r="A522">
        <v>520</v>
      </c>
      <c r="B522" t="s">
        <v>672</v>
      </c>
      <c r="C522" t="s">
        <v>103</v>
      </c>
      <c r="D522">
        <v>5.8742863796398797E-3</v>
      </c>
    </row>
    <row r="523" spans="1:4" hidden="1" x14ac:dyDescent="0.3">
      <c r="A523">
        <v>521</v>
      </c>
      <c r="B523" t="s">
        <v>673</v>
      </c>
      <c r="C523" t="s">
        <v>105</v>
      </c>
      <c r="D523">
        <v>6.7862616841810703E-4</v>
      </c>
    </row>
    <row r="524" spans="1:4" hidden="1" x14ac:dyDescent="0.3">
      <c r="A524">
        <v>522</v>
      </c>
      <c r="B524" t="s">
        <v>674</v>
      </c>
      <c r="C524" t="s">
        <v>107</v>
      </c>
      <c r="D524">
        <v>1.52476480619593E-2</v>
      </c>
    </row>
    <row r="525" spans="1:4" hidden="1" x14ac:dyDescent="0.3">
      <c r="A525">
        <v>523</v>
      </c>
      <c r="B525" s="1" t="s">
        <v>675</v>
      </c>
      <c r="C525" t="s">
        <v>109</v>
      </c>
      <c r="D525" s="1" t="s">
        <v>676</v>
      </c>
    </row>
    <row r="526" spans="1:4" hidden="1" x14ac:dyDescent="0.3">
      <c r="A526">
        <v>524</v>
      </c>
      <c r="B526" t="s">
        <v>677</v>
      </c>
      <c r="C526" t="s">
        <v>197</v>
      </c>
      <c r="D526">
        <v>149993453.88134</v>
      </c>
    </row>
    <row r="527" spans="1:4" hidden="1" x14ac:dyDescent="0.3">
      <c r="A527">
        <v>525</v>
      </c>
      <c r="B527" t="s">
        <v>678</v>
      </c>
      <c r="C527" t="s">
        <v>199</v>
      </c>
      <c r="D527">
        <v>-915.81055381773297</v>
      </c>
    </row>
    <row r="528" spans="1:4" hidden="1" x14ac:dyDescent="0.3">
      <c r="A528">
        <v>526</v>
      </c>
      <c r="B528" t="s">
        <v>679</v>
      </c>
      <c r="C528" t="s">
        <v>201</v>
      </c>
      <c r="D528">
        <v>-457.89771116272698</v>
      </c>
    </row>
    <row r="529" spans="1:4" hidden="1" x14ac:dyDescent="0.3">
      <c r="A529">
        <v>527</v>
      </c>
      <c r="B529" s="1" t="s">
        <v>680</v>
      </c>
      <c r="C529" t="s">
        <v>203</v>
      </c>
      <c r="D529" s="1" t="s">
        <v>681</v>
      </c>
    </row>
    <row r="530" spans="1:4" hidden="1" x14ac:dyDescent="0.3">
      <c r="A530">
        <v>528</v>
      </c>
      <c r="B530" t="s">
        <v>682</v>
      </c>
      <c r="C530" t="s">
        <v>206</v>
      </c>
      <c r="D530">
        <v>80007920.488703698</v>
      </c>
    </row>
    <row r="531" spans="1:4" hidden="1" x14ac:dyDescent="0.3">
      <c r="A531">
        <v>529</v>
      </c>
      <c r="B531" t="s">
        <v>683</v>
      </c>
      <c r="C531" t="s">
        <v>208</v>
      </c>
      <c r="D531">
        <v>40003299.2783769</v>
      </c>
    </row>
    <row r="532" spans="1:4" hidden="1" x14ac:dyDescent="0.3">
      <c r="A532">
        <v>530</v>
      </c>
      <c r="B532" t="s">
        <v>684</v>
      </c>
      <c r="C532" t="s">
        <v>210</v>
      </c>
      <c r="D532">
        <v>29983951.033779498</v>
      </c>
    </row>
    <row r="533" spans="1:4" hidden="1" x14ac:dyDescent="0.3">
      <c r="A533">
        <v>531</v>
      </c>
      <c r="B533" s="1" t="s">
        <v>685</v>
      </c>
      <c r="C533" t="s">
        <v>212</v>
      </c>
      <c r="D533" s="1" t="s">
        <v>686</v>
      </c>
    </row>
    <row r="534" spans="1:4" hidden="1" x14ac:dyDescent="0.3">
      <c r="A534">
        <v>532</v>
      </c>
      <c r="B534" t="s">
        <v>687</v>
      </c>
      <c r="C534" t="s">
        <v>215</v>
      </c>
      <c r="D534">
        <v>99991424.941364706</v>
      </c>
    </row>
    <row r="535" spans="1:4" hidden="1" x14ac:dyDescent="0.3">
      <c r="A535">
        <v>533</v>
      </c>
      <c r="B535" t="s">
        <v>688</v>
      </c>
      <c r="C535" t="s">
        <v>217</v>
      </c>
      <c r="D535">
        <v>-1144.5517105460101</v>
      </c>
    </row>
    <row r="536" spans="1:4" hidden="1" x14ac:dyDescent="0.3">
      <c r="A536">
        <v>534</v>
      </c>
      <c r="B536" s="1" t="s">
        <v>689</v>
      </c>
      <c r="C536" t="s">
        <v>219</v>
      </c>
      <c r="D536" s="1" t="s">
        <v>690</v>
      </c>
    </row>
    <row r="537" spans="1:4" hidden="1" x14ac:dyDescent="0.3">
      <c r="A537">
        <v>535</v>
      </c>
      <c r="B537" t="s">
        <v>691</v>
      </c>
      <c r="C537" t="s">
        <v>112</v>
      </c>
      <c r="D537">
        <v>293.07808261767798</v>
      </c>
    </row>
    <row r="538" spans="1:4" hidden="1" x14ac:dyDescent="0.3">
      <c r="A538">
        <v>536</v>
      </c>
      <c r="B538" t="s">
        <v>692</v>
      </c>
      <c r="C538" t="s">
        <v>114</v>
      </c>
      <c r="D538">
        <v>57.325393091580104</v>
      </c>
    </row>
    <row r="539" spans="1:4" hidden="1" x14ac:dyDescent="0.3">
      <c r="A539">
        <v>537</v>
      </c>
      <c r="B539" s="1" t="s">
        <v>693</v>
      </c>
      <c r="C539" t="s">
        <v>116</v>
      </c>
      <c r="D539" s="1" t="s">
        <v>694</v>
      </c>
    </row>
    <row r="540" spans="1:4" hidden="1" x14ac:dyDescent="0.3">
      <c r="A540">
        <v>538</v>
      </c>
      <c r="B540" t="s">
        <v>695</v>
      </c>
      <c r="C540" t="s">
        <v>119</v>
      </c>
      <c r="D540">
        <v>80007920.488703698</v>
      </c>
    </row>
    <row r="541" spans="1:4" hidden="1" x14ac:dyDescent="0.3">
      <c r="A541">
        <v>539</v>
      </c>
      <c r="B541" t="s">
        <v>696</v>
      </c>
      <c r="C541" t="s">
        <v>121</v>
      </c>
      <c r="D541">
        <v>40003299.2783769</v>
      </c>
    </row>
    <row r="542" spans="1:4" hidden="1" x14ac:dyDescent="0.3">
      <c r="A542">
        <v>540</v>
      </c>
      <c r="B542" s="1" t="s">
        <v>697</v>
      </c>
      <c r="C542" t="s">
        <v>123</v>
      </c>
      <c r="D542" s="1" t="s">
        <v>698</v>
      </c>
    </row>
    <row r="543" spans="1:4" hidden="1" x14ac:dyDescent="0.3">
      <c r="A543">
        <v>541</v>
      </c>
      <c r="B543" t="s">
        <v>699</v>
      </c>
      <c r="C543" t="s">
        <v>126</v>
      </c>
      <c r="D543">
        <v>0.800060593878966</v>
      </c>
    </row>
    <row r="544" spans="1:4" hidden="1" x14ac:dyDescent="0.3">
      <c r="A544">
        <v>542</v>
      </c>
      <c r="B544" t="s">
        <v>700</v>
      </c>
      <c r="C544" t="s">
        <v>128</v>
      </c>
      <c r="D544">
        <v>0.40002368743348399</v>
      </c>
    </row>
    <row r="545" spans="1:4" hidden="1" x14ac:dyDescent="0.3">
      <c r="A545">
        <v>543</v>
      </c>
      <c r="B545" s="1" t="s">
        <v>701</v>
      </c>
      <c r="C545" t="s">
        <v>130</v>
      </c>
      <c r="D545" s="1" t="s">
        <v>702</v>
      </c>
    </row>
    <row r="546" spans="1:4" x14ac:dyDescent="0.3">
      <c r="A546">
        <v>544</v>
      </c>
      <c r="B546" s="1" t="s">
        <v>3</v>
      </c>
      <c r="C546" t="s">
        <v>4</v>
      </c>
      <c r="D546" t="s">
        <v>5</v>
      </c>
    </row>
    <row r="547" spans="1:4" hidden="1" x14ac:dyDescent="0.3">
      <c r="A547">
        <v>545</v>
      </c>
      <c r="B547" t="s">
        <v>6</v>
      </c>
      <c r="C547" t="s">
        <v>7</v>
      </c>
      <c r="D547">
        <v>1305.25</v>
      </c>
    </row>
    <row r="548" spans="1:4" hidden="1" x14ac:dyDescent="0.3">
      <c r="A548">
        <v>546</v>
      </c>
      <c r="B548" s="1" t="s">
        <v>132</v>
      </c>
      <c r="C548" t="s">
        <v>9</v>
      </c>
      <c r="D548" s="1" t="s">
        <v>133</v>
      </c>
    </row>
    <row r="549" spans="1:4" hidden="1" x14ac:dyDescent="0.3">
      <c r="A549">
        <v>547</v>
      </c>
      <c r="B549" t="s">
        <v>13</v>
      </c>
      <c r="C549" t="s">
        <v>14</v>
      </c>
      <c r="D549">
        <v>98.4296875</v>
      </c>
    </row>
    <row r="550" spans="1:4" hidden="1" x14ac:dyDescent="0.3">
      <c r="A550">
        <v>548</v>
      </c>
      <c r="B550" t="s">
        <v>15</v>
      </c>
      <c r="C550" t="s">
        <v>16</v>
      </c>
      <c r="D550">
        <v>4.2819487927479898</v>
      </c>
    </row>
    <row r="551" spans="1:4" hidden="1" x14ac:dyDescent="0.3">
      <c r="A551">
        <v>549</v>
      </c>
      <c r="B551" s="1" t="s">
        <v>134</v>
      </c>
      <c r="C551" t="s">
        <v>135</v>
      </c>
      <c r="D551" s="1" t="s">
        <v>136</v>
      </c>
    </row>
    <row r="552" spans="1:4" hidden="1" x14ac:dyDescent="0.3">
      <c r="A552">
        <v>550</v>
      </c>
      <c r="B552" t="s">
        <v>21</v>
      </c>
      <c r="C552" t="s">
        <v>22</v>
      </c>
      <c r="D552">
        <v>83.1</v>
      </c>
    </row>
    <row r="553" spans="1:4" hidden="1" x14ac:dyDescent="0.3">
      <c r="A553">
        <v>551</v>
      </c>
      <c r="B553" t="s">
        <v>703</v>
      </c>
      <c r="C553" t="s">
        <v>24</v>
      </c>
      <c r="D553">
        <v>4.0792836217456099</v>
      </c>
    </row>
    <row r="554" spans="1:4" hidden="1" x14ac:dyDescent="0.3">
      <c r="A554">
        <v>552</v>
      </c>
      <c r="B554" s="1" t="s">
        <v>704</v>
      </c>
      <c r="C554" t="s">
        <v>139</v>
      </c>
      <c r="D554" s="1" t="s">
        <v>705</v>
      </c>
    </row>
    <row r="555" spans="1:4" hidden="1" x14ac:dyDescent="0.3">
      <c r="A555">
        <v>553</v>
      </c>
      <c r="B555" t="s">
        <v>706</v>
      </c>
      <c r="C555" t="s">
        <v>35</v>
      </c>
      <c r="D555">
        <v>-0.49696613539618201</v>
      </c>
    </row>
    <row r="556" spans="1:4" hidden="1" x14ac:dyDescent="0.3">
      <c r="A556">
        <v>554</v>
      </c>
      <c r="B556" t="s">
        <v>707</v>
      </c>
      <c r="C556" t="s">
        <v>143</v>
      </c>
      <c r="D556">
        <v>0.73116148170747297</v>
      </c>
    </row>
    <row r="557" spans="1:4" hidden="1" x14ac:dyDescent="0.3">
      <c r="A557">
        <v>555</v>
      </c>
      <c r="B557" s="1" t="s">
        <v>708</v>
      </c>
      <c r="C557" t="s">
        <v>145</v>
      </c>
      <c r="D557" s="1" t="s">
        <v>709</v>
      </c>
    </row>
    <row r="558" spans="1:4" hidden="1" x14ac:dyDescent="0.3">
      <c r="A558">
        <v>556</v>
      </c>
      <c r="B558" t="s">
        <v>710</v>
      </c>
      <c r="C558" t="s">
        <v>30</v>
      </c>
      <c r="D558">
        <v>0.72678628362129805</v>
      </c>
    </row>
    <row r="559" spans="1:4" hidden="1" x14ac:dyDescent="0.3">
      <c r="A559">
        <v>557</v>
      </c>
      <c r="B559" t="s">
        <v>711</v>
      </c>
      <c r="C559" t="s">
        <v>32</v>
      </c>
      <c r="D559">
        <v>0.158186805680853</v>
      </c>
    </row>
    <row r="560" spans="1:4" hidden="1" x14ac:dyDescent="0.3">
      <c r="A560">
        <v>558</v>
      </c>
      <c r="B560" s="1" t="s">
        <v>712</v>
      </c>
      <c r="C560" t="s">
        <v>149</v>
      </c>
      <c r="D560" s="1" t="s">
        <v>713</v>
      </c>
    </row>
    <row r="561" spans="1:4" hidden="1" x14ac:dyDescent="0.3">
      <c r="A561">
        <v>559</v>
      </c>
      <c r="B561" t="s">
        <v>714</v>
      </c>
      <c r="C561" t="s">
        <v>40</v>
      </c>
      <c r="D561">
        <v>0.77017985177488402</v>
      </c>
    </row>
    <row r="562" spans="1:4" hidden="1" x14ac:dyDescent="0.3">
      <c r="A562">
        <v>560</v>
      </c>
      <c r="B562" t="s">
        <v>715</v>
      </c>
      <c r="C562" t="s">
        <v>42</v>
      </c>
      <c r="D562">
        <v>0.20950012124083001</v>
      </c>
    </row>
    <row r="563" spans="1:4" hidden="1" x14ac:dyDescent="0.3">
      <c r="A563">
        <v>561</v>
      </c>
      <c r="B563" s="1" t="s">
        <v>716</v>
      </c>
      <c r="C563" t="s">
        <v>153</v>
      </c>
      <c r="D563" s="1" t="s">
        <v>717</v>
      </c>
    </row>
    <row r="564" spans="1:4" hidden="1" x14ac:dyDescent="0.3">
      <c r="A564">
        <v>562</v>
      </c>
      <c r="B564" t="s">
        <v>154</v>
      </c>
      <c r="C564" t="s">
        <v>155</v>
      </c>
      <c r="D564">
        <v>1</v>
      </c>
    </row>
    <row r="565" spans="1:4" hidden="1" x14ac:dyDescent="0.3">
      <c r="A565">
        <v>563</v>
      </c>
      <c r="B565" t="s">
        <v>156</v>
      </c>
      <c r="C565" t="s">
        <v>157</v>
      </c>
      <c r="D565">
        <v>1</v>
      </c>
    </row>
    <row r="566" spans="1:4" hidden="1" x14ac:dyDescent="0.3">
      <c r="A566">
        <v>564</v>
      </c>
      <c r="B566" s="1" t="s">
        <v>718</v>
      </c>
      <c r="C566" t="s">
        <v>159</v>
      </c>
      <c r="D566" s="1" t="s">
        <v>719</v>
      </c>
    </row>
    <row r="567" spans="1:4" hidden="1" x14ac:dyDescent="0.3">
      <c r="A567">
        <v>565</v>
      </c>
      <c r="B567" t="s">
        <v>720</v>
      </c>
      <c r="C567" t="s">
        <v>162</v>
      </c>
      <c r="D567">
        <v>0.99934539012011203</v>
      </c>
    </row>
    <row r="568" spans="1:4" hidden="1" x14ac:dyDescent="0.3">
      <c r="A568">
        <v>566</v>
      </c>
      <c r="B568" t="s">
        <v>721</v>
      </c>
      <c r="C568" t="s">
        <v>164</v>
      </c>
      <c r="D568">
        <v>1.0013624210471299</v>
      </c>
    </row>
    <row r="569" spans="1:4" hidden="1" x14ac:dyDescent="0.3">
      <c r="A569">
        <v>567</v>
      </c>
      <c r="B569" s="1" t="s">
        <v>722</v>
      </c>
      <c r="C569" t="s">
        <v>166</v>
      </c>
      <c r="D569" s="1" t="s">
        <v>723</v>
      </c>
    </row>
    <row r="570" spans="1:4" hidden="1" x14ac:dyDescent="0.3">
      <c r="A570">
        <v>568</v>
      </c>
      <c r="B570" s="1" t="s">
        <v>724</v>
      </c>
      <c r="C570" t="s">
        <v>55</v>
      </c>
      <c r="D570" s="1" t="s">
        <v>725</v>
      </c>
    </row>
    <row r="571" spans="1:4" hidden="1" x14ac:dyDescent="0.3">
      <c r="A571">
        <v>569</v>
      </c>
      <c r="B571" s="1" t="s">
        <v>726</v>
      </c>
      <c r="C571" t="s">
        <v>52</v>
      </c>
      <c r="D571" s="1" t="s">
        <v>727</v>
      </c>
    </row>
    <row r="572" spans="1:4" hidden="1" x14ac:dyDescent="0.3">
      <c r="A572">
        <v>570</v>
      </c>
      <c r="B572" s="1" t="s">
        <v>728</v>
      </c>
      <c r="C572" t="s">
        <v>58</v>
      </c>
      <c r="D572" s="1" t="s">
        <v>729</v>
      </c>
    </row>
    <row r="573" spans="1:4" hidden="1" x14ac:dyDescent="0.3">
      <c r="A573">
        <v>571</v>
      </c>
      <c r="B573" t="s">
        <v>730</v>
      </c>
      <c r="C573" t="s">
        <v>61</v>
      </c>
      <c r="D573">
        <v>149990378.05635399</v>
      </c>
    </row>
    <row r="574" spans="1:4" hidden="1" x14ac:dyDescent="0.3">
      <c r="A574">
        <v>572</v>
      </c>
      <c r="B574" t="s">
        <v>731</v>
      </c>
      <c r="C574" t="s">
        <v>63</v>
      </c>
      <c r="D574">
        <v>80007920.488703698</v>
      </c>
    </row>
    <row r="575" spans="1:4" hidden="1" x14ac:dyDescent="0.3">
      <c r="A575">
        <v>573</v>
      </c>
      <c r="B575" t="s">
        <v>732</v>
      </c>
      <c r="C575" t="s">
        <v>65</v>
      </c>
      <c r="D575">
        <v>40003299.2783769</v>
      </c>
    </row>
    <row r="576" spans="1:4" hidden="1" x14ac:dyDescent="0.3">
      <c r="A576">
        <v>574</v>
      </c>
      <c r="B576" s="1" t="s">
        <v>733</v>
      </c>
      <c r="C576" t="s">
        <v>67</v>
      </c>
      <c r="D576" s="1" t="s">
        <v>734</v>
      </c>
    </row>
    <row r="577" spans="1:4" hidden="1" x14ac:dyDescent="0.3">
      <c r="A577">
        <v>575</v>
      </c>
      <c r="B577" s="1" t="s">
        <v>735</v>
      </c>
      <c r="C577" t="s">
        <v>70</v>
      </c>
      <c r="D577" s="1" t="s">
        <v>736</v>
      </c>
    </row>
    <row r="578" spans="1:4" hidden="1" x14ac:dyDescent="0.3">
      <c r="A578">
        <v>576</v>
      </c>
      <c r="B578" t="s">
        <v>737</v>
      </c>
      <c r="C578" t="s">
        <v>73</v>
      </c>
      <c r="D578">
        <v>1.0001090219332101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738</v>
      </c>
      <c r="C582" t="s">
        <v>81</v>
      </c>
      <c r="D582" s="1" t="s">
        <v>739</v>
      </c>
    </row>
    <row r="583" spans="1:4" hidden="1" x14ac:dyDescent="0.3">
      <c r="A583">
        <v>581</v>
      </c>
      <c r="B583" t="s">
        <v>740</v>
      </c>
      <c r="C583" t="s">
        <v>84</v>
      </c>
      <c r="D583">
        <v>1.00009264891854</v>
      </c>
    </row>
    <row r="584" spans="1:4" hidden="1" x14ac:dyDescent="0.3">
      <c r="A584">
        <v>582</v>
      </c>
      <c r="B584" s="1" t="s">
        <v>741</v>
      </c>
      <c r="C584" t="s">
        <v>86</v>
      </c>
      <c r="D584" s="1" t="s">
        <v>742</v>
      </c>
    </row>
    <row r="585" spans="1:4" hidden="1" x14ac:dyDescent="0.3">
      <c r="A585">
        <v>583</v>
      </c>
      <c r="B585" t="s">
        <v>743</v>
      </c>
      <c r="C585" t="s">
        <v>89</v>
      </c>
      <c r="D585">
        <v>99991917.380316496</v>
      </c>
    </row>
    <row r="586" spans="1:4" hidden="1" x14ac:dyDescent="0.3">
      <c r="A586">
        <v>584</v>
      </c>
      <c r="B586" s="1" t="s">
        <v>744</v>
      </c>
      <c r="C586" t="s">
        <v>91</v>
      </c>
      <c r="D586" s="1" t="s">
        <v>690</v>
      </c>
    </row>
    <row r="587" spans="1:4" hidden="1" x14ac:dyDescent="0.3">
      <c r="A587">
        <v>585</v>
      </c>
      <c r="B587" t="s">
        <v>745</v>
      </c>
      <c r="C587" t="s">
        <v>94</v>
      </c>
      <c r="D587">
        <v>80007920.488703698</v>
      </c>
    </row>
    <row r="588" spans="1:4" hidden="1" x14ac:dyDescent="0.3">
      <c r="A588">
        <v>586</v>
      </c>
      <c r="B588" t="s">
        <v>746</v>
      </c>
      <c r="C588" t="s">
        <v>96</v>
      </c>
      <c r="D588">
        <v>40003299.2783769</v>
      </c>
    </row>
    <row r="589" spans="1:4" hidden="1" x14ac:dyDescent="0.3">
      <c r="A589">
        <v>587</v>
      </c>
      <c r="B589" t="s">
        <v>747</v>
      </c>
      <c r="C589" t="s">
        <v>98</v>
      </c>
      <c r="D589">
        <v>29979158.289273601</v>
      </c>
    </row>
    <row r="590" spans="1:4" hidden="1" x14ac:dyDescent="0.3">
      <c r="A590">
        <v>588</v>
      </c>
      <c r="B590" s="1" t="s">
        <v>748</v>
      </c>
      <c r="C590" t="s">
        <v>100</v>
      </c>
      <c r="D590" s="1" t="s">
        <v>749</v>
      </c>
    </row>
    <row r="591" spans="1:4" hidden="1" x14ac:dyDescent="0.3">
      <c r="A591">
        <v>589</v>
      </c>
      <c r="B591" t="s">
        <v>750</v>
      </c>
      <c r="C591" t="s">
        <v>103</v>
      </c>
      <c r="D591">
        <v>5.8336712807205903E-3</v>
      </c>
    </row>
    <row r="592" spans="1:4" hidden="1" x14ac:dyDescent="0.3">
      <c r="A592">
        <v>590</v>
      </c>
      <c r="B592" t="s">
        <v>751</v>
      </c>
      <c r="C592" t="s">
        <v>105</v>
      </c>
      <c r="D592">
        <v>6.7890835229547197E-4</v>
      </c>
    </row>
    <row r="593" spans="1:4" hidden="1" x14ac:dyDescent="0.3">
      <c r="A593">
        <v>591</v>
      </c>
      <c r="B593" t="s">
        <v>752</v>
      </c>
      <c r="C593" t="s">
        <v>107</v>
      </c>
      <c r="D593">
        <v>1.5329075807772799E-2</v>
      </c>
    </row>
    <row r="594" spans="1:4" hidden="1" x14ac:dyDescent="0.3">
      <c r="A594">
        <v>592</v>
      </c>
      <c r="B594" s="1" t="s">
        <v>753</v>
      </c>
      <c r="C594" t="s">
        <v>109</v>
      </c>
      <c r="D594" s="1" t="s">
        <v>754</v>
      </c>
    </row>
    <row r="595" spans="1:4" hidden="1" x14ac:dyDescent="0.3">
      <c r="A595">
        <v>593</v>
      </c>
      <c r="B595" t="s">
        <v>755</v>
      </c>
      <c r="C595" t="s">
        <v>197</v>
      </c>
      <c r="D595">
        <v>149989811.58113399</v>
      </c>
    </row>
    <row r="596" spans="1:4" hidden="1" x14ac:dyDescent="0.3">
      <c r="A596">
        <v>594</v>
      </c>
      <c r="B596" t="s">
        <v>756</v>
      </c>
      <c r="C596" t="s">
        <v>199</v>
      </c>
      <c r="D596">
        <v>1309.8209074577601</v>
      </c>
    </row>
    <row r="597" spans="1:4" hidden="1" x14ac:dyDescent="0.3">
      <c r="A597">
        <v>595</v>
      </c>
      <c r="B597" t="s">
        <v>757</v>
      </c>
      <c r="C597" t="s">
        <v>201</v>
      </c>
      <c r="D597">
        <v>654.90181088097802</v>
      </c>
    </row>
    <row r="598" spans="1:4" hidden="1" x14ac:dyDescent="0.3">
      <c r="A598">
        <v>596</v>
      </c>
      <c r="B598" s="1" t="s">
        <v>758</v>
      </c>
      <c r="C598" t="s">
        <v>203</v>
      </c>
      <c r="D598" s="1" t="s">
        <v>759</v>
      </c>
    </row>
    <row r="599" spans="1:4" hidden="1" x14ac:dyDescent="0.3">
      <c r="A599">
        <v>597</v>
      </c>
      <c r="B599" t="s">
        <v>760</v>
      </c>
      <c r="C599" t="s">
        <v>206</v>
      </c>
      <c r="D599">
        <v>80006174.018128201</v>
      </c>
    </row>
    <row r="600" spans="1:4" hidden="1" x14ac:dyDescent="0.3">
      <c r="A600">
        <v>598</v>
      </c>
      <c r="B600" t="s">
        <v>761</v>
      </c>
      <c r="C600" t="s">
        <v>208</v>
      </c>
      <c r="D600">
        <v>40002559.088651903</v>
      </c>
    </row>
    <row r="601" spans="1:4" hidden="1" x14ac:dyDescent="0.3">
      <c r="A601">
        <v>599</v>
      </c>
      <c r="B601" t="s">
        <v>762</v>
      </c>
      <c r="C601" t="s">
        <v>210</v>
      </c>
      <c r="D601">
        <v>29978622.956674501</v>
      </c>
    </row>
    <row r="602" spans="1:4" hidden="1" x14ac:dyDescent="0.3">
      <c r="A602">
        <v>600</v>
      </c>
      <c r="B602" s="1" t="s">
        <v>763</v>
      </c>
      <c r="C602" t="s">
        <v>212</v>
      </c>
      <c r="D602" s="1" t="s">
        <v>764</v>
      </c>
    </row>
    <row r="603" spans="1:4" hidden="1" x14ac:dyDescent="0.3">
      <c r="A603">
        <v>601</v>
      </c>
      <c r="B603" t="s">
        <v>765</v>
      </c>
      <c r="C603" t="s">
        <v>215</v>
      </c>
      <c r="D603">
        <v>99990280.389654204</v>
      </c>
    </row>
    <row r="604" spans="1:4" hidden="1" x14ac:dyDescent="0.3">
      <c r="A604">
        <v>602</v>
      </c>
      <c r="B604" t="s">
        <v>766</v>
      </c>
      <c r="C604" t="s">
        <v>217</v>
      </c>
      <c r="D604">
        <v>1636.9906623363399</v>
      </c>
    </row>
    <row r="605" spans="1:4" hidden="1" x14ac:dyDescent="0.3">
      <c r="A605">
        <v>603</v>
      </c>
      <c r="B605" s="1" t="s">
        <v>767</v>
      </c>
      <c r="C605" t="s">
        <v>219</v>
      </c>
      <c r="D605" s="1" t="s">
        <v>768</v>
      </c>
    </row>
    <row r="606" spans="1:4" hidden="1" x14ac:dyDescent="0.3">
      <c r="A606">
        <v>604</v>
      </c>
      <c r="B606" t="s">
        <v>769</v>
      </c>
      <c r="C606" t="s">
        <v>112</v>
      </c>
      <c r="D606">
        <v>-436.64966811444299</v>
      </c>
    </row>
    <row r="607" spans="1:4" hidden="1" x14ac:dyDescent="0.3">
      <c r="A607">
        <v>605</v>
      </c>
      <c r="B607" t="s">
        <v>770</v>
      </c>
      <c r="C607" t="s">
        <v>114</v>
      </c>
      <c r="D607">
        <v>-85.287914108783994</v>
      </c>
    </row>
    <row r="608" spans="1:4" hidden="1" x14ac:dyDescent="0.3">
      <c r="A608">
        <v>606</v>
      </c>
      <c r="B608" s="1" t="s">
        <v>771</v>
      </c>
      <c r="C608" t="s">
        <v>116</v>
      </c>
      <c r="D608" s="1" t="s">
        <v>772</v>
      </c>
    </row>
    <row r="609" spans="1:4" hidden="1" x14ac:dyDescent="0.3">
      <c r="A609">
        <v>607</v>
      </c>
      <c r="B609" t="s">
        <v>773</v>
      </c>
      <c r="C609" t="s">
        <v>119</v>
      </c>
      <c r="D609">
        <v>80006174.018128201</v>
      </c>
    </row>
    <row r="610" spans="1:4" hidden="1" x14ac:dyDescent="0.3">
      <c r="A610">
        <v>608</v>
      </c>
      <c r="B610" t="s">
        <v>774</v>
      </c>
      <c r="C610" t="s">
        <v>121</v>
      </c>
      <c r="D610">
        <v>40002559.088651903</v>
      </c>
    </row>
    <row r="611" spans="1:4" hidden="1" x14ac:dyDescent="0.3">
      <c r="A611">
        <v>609</v>
      </c>
      <c r="B611" s="1" t="s">
        <v>775</v>
      </c>
      <c r="C611" t="s">
        <v>123</v>
      </c>
      <c r="D611" s="1" t="s">
        <v>776</v>
      </c>
    </row>
    <row r="612" spans="1:4" hidden="1" x14ac:dyDescent="0.3">
      <c r="A612">
        <v>610</v>
      </c>
      <c r="B612" t="s">
        <v>777</v>
      </c>
      <c r="C612" t="s">
        <v>126</v>
      </c>
      <c r="D612">
        <v>0.80006538543120997</v>
      </c>
    </row>
    <row r="613" spans="1:4" hidden="1" x14ac:dyDescent="0.3">
      <c r="A613">
        <v>611</v>
      </c>
      <c r="B613" t="s">
        <v>778</v>
      </c>
      <c r="C613" t="s">
        <v>128</v>
      </c>
      <c r="D613">
        <v>0.40002741348742998</v>
      </c>
    </row>
    <row r="614" spans="1:4" hidden="1" x14ac:dyDescent="0.3">
      <c r="A614">
        <v>612</v>
      </c>
      <c r="B614" s="1" t="s">
        <v>779</v>
      </c>
      <c r="C614" t="s">
        <v>130</v>
      </c>
      <c r="D614" s="1" t="s">
        <v>780</v>
      </c>
    </row>
    <row r="615" spans="1:4" x14ac:dyDescent="0.3">
      <c r="A615">
        <v>613</v>
      </c>
      <c r="B615" s="1" t="s">
        <v>3</v>
      </c>
      <c r="C615" t="s">
        <v>4</v>
      </c>
      <c r="D615" t="s">
        <v>5</v>
      </c>
    </row>
    <row r="616" spans="1:4" hidden="1" x14ac:dyDescent="0.3">
      <c r="A616">
        <v>614</v>
      </c>
      <c r="B616" t="s">
        <v>6</v>
      </c>
      <c r="C616" t="s">
        <v>7</v>
      </c>
      <c r="D616">
        <v>1305.25</v>
      </c>
    </row>
    <row r="617" spans="1:4" hidden="1" x14ac:dyDescent="0.3">
      <c r="A617">
        <v>615</v>
      </c>
      <c r="B617" s="1" t="s">
        <v>132</v>
      </c>
      <c r="C617" t="s">
        <v>9</v>
      </c>
      <c r="D617" s="1" t="s">
        <v>133</v>
      </c>
    </row>
    <row r="618" spans="1:4" hidden="1" x14ac:dyDescent="0.3">
      <c r="A618">
        <v>616</v>
      </c>
      <c r="B618" t="s">
        <v>13</v>
      </c>
      <c r="C618" t="s">
        <v>14</v>
      </c>
      <c r="D618">
        <v>98.4296875</v>
      </c>
    </row>
    <row r="619" spans="1:4" hidden="1" x14ac:dyDescent="0.3">
      <c r="A619">
        <v>617</v>
      </c>
      <c r="B619" t="s">
        <v>15</v>
      </c>
      <c r="C619" t="s">
        <v>16</v>
      </c>
      <c r="D619">
        <v>4.2819487927479898</v>
      </c>
    </row>
    <row r="620" spans="1:4" hidden="1" x14ac:dyDescent="0.3">
      <c r="A620">
        <v>618</v>
      </c>
      <c r="B620" s="1" t="s">
        <v>134</v>
      </c>
      <c r="C620" t="s">
        <v>135</v>
      </c>
      <c r="D620" s="1" t="s">
        <v>136</v>
      </c>
    </row>
    <row r="621" spans="1:4" hidden="1" x14ac:dyDescent="0.3">
      <c r="A621">
        <v>619</v>
      </c>
      <c r="B621" t="s">
        <v>21</v>
      </c>
      <c r="C621" t="s">
        <v>22</v>
      </c>
      <c r="D621">
        <v>83.1</v>
      </c>
    </row>
    <row r="622" spans="1:4" hidden="1" x14ac:dyDescent="0.3">
      <c r="A622">
        <v>620</v>
      </c>
      <c r="B622" t="s">
        <v>781</v>
      </c>
      <c r="C622" t="s">
        <v>24</v>
      </c>
      <c r="D622">
        <v>4.1319592341728297</v>
      </c>
    </row>
    <row r="623" spans="1:4" hidden="1" x14ac:dyDescent="0.3">
      <c r="A623">
        <v>621</v>
      </c>
      <c r="B623" s="1" t="s">
        <v>782</v>
      </c>
      <c r="C623" t="s">
        <v>139</v>
      </c>
      <c r="D623" s="1" t="s">
        <v>783</v>
      </c>
    </row>
    <row r="624" spans="1:4" hidden="1" x14ac:dyDescent="0.3">
      <c r="A624">
        <v>622</v>
      </c>
      <c r="B624" t="s">
        <v>784</v>
      </c>
      <c r="C624" t="s">
        <v>35</v>
      </c>
      <c r="D624">
        <v>-0.49151830670486701</v>
      </c>
    </row>
    <row r="625" spans="1:4" hidden="1" x14ac:dyDescent="0.3">
      <c r="A625">
        <v>623</v>
      </c>
      <c r="B625" t="s">
        <v>785</v>
      </c>
      <c r="C625" t="s">
        <v>143</v>
      </c>
      <c r="D625">
        <v>0.73123234479208099</v>
      </c>
    </row>
    <row r="626" spans="1:4" hidden="1" x14ac:dyDescent="0.3">
      <c r="A626">
        <v>624</v>
      </c>
      <c r="B626" s="1" t="s">
        <v>786</v>
      </c>
      <c r="C626" t="s">
        <v>145</v>
      </c>
      <c r="D626" s="1" t="s">
        <v>787</v>
      </c>
    </row>
    <row r="627" spans="1:4" hidden="1" x14ac:dyDescent="0.3">
      <c r="A627">
        <v>625</v>
      </c>
      <c r="B627" t="s">
        <v>788</v>
      </c>
      <c r="C627" t="s">
        <v>30</v>
      </c>
      <c r="D627">
        <v>0.71881912673401804</v>
      </c>
    </row>
    <row r="628" spans="1:4" hidden="1" x14ac:dyDescent="0.3">
      <c r="A628">
        <v>626</v>
      </c>
      <c r="B628" t="s">
        <v>789</v>
      </c>
      <c r="C628" t="s">
        <v>32</v>
      </c>
      <c r="D628">
        <v>0.158683813473042</v>
      </c>
    </row>
    <row r="629" spans="1:4" hidden="1" x14ac:dyDescent="0.3">
      <c r="A629">
        <v>627</v>
      </c>
      <c r="B629" s="1" t="s">
        <v>790</v>
      </c>
      <c r="C629" t="s">
        <v>149</v>
      </c>
      <c r="D629" s="1" t="s">
        <v>791</v>
      </c>
    </row>
    <row r="630" spans="1:4" hidden="1" x14ac:dyDescent="0.3">
      <c r="A630">
        <v>628</v>
      </c>
      <c r="B630" t="s">
        <v>792</v>
      </c>
      <c r="C630" t="s">
        <v>40</v>
      </c>
      <c r="D630">
        <v>0.77269917997084903</v>
      </c>
    </row>
    <row r="631" spans="1:4" hidden="1" x14ac:dyDescent="0.3">
      <c r="A631">
        <v>629</v>
      </c>
      <c r="B631" t="s">
        <v>793</v>
      </c>
      <c r="C631" t="s">
        <v>42</v>
      </c>
      <c r="D631">
        <v>0.20887057210920201</v>
      </c>
    </row>
    <row r="632" spans="1:4" hidden="1" x14ac:dyDescent="0.3">
      <c r="A632">
        <v>630</v>
      </c>
      <c r="B632" s="1" t="s">
        <v>794</v>
      </c>
      <c r="C632" t="s">
        <v>153</v>
      </c>
      <c r="D632" s="1" t="s">
        <v>795</v>
      </c>
    </row>
    <row r="633" spans="1:4" hidden="1" x14ac:dyDescent="0.3">
      <c r="A633">
        <v>631</v>
      </c>
      <c r="B633" t="s">
        <v>154</v>
      </c>
      <c r="C633" t="s">
        <v>155</v>
      </c>
      <c r="D633">
        <v>1</v>
      </c>
    </row>
    <row r="634" spans="1:4" hidden="1" x14ac:dyDescent="0.3">
      <c r="A634">
        <v>632</v>
      </c>
      <c r="B634" t="s">
        <v>156</v>
      </c>
      <c r="C634" t="s">
        <v>157</v>
      </c>
      <c r="D634">
        <v>1</v>
      </c>
    </row>
    <row r="635" spans="1:4" hidden="1" x14ac:dyDescent="0.3">
      <c r="A635">
        <v>633</v>
      </c>
      <c r="B635" s="1" t="s">
        <v>796</v>
      </c>
      <c r="C635" t="s">
        <v>159</v>
      </c>
      <c r="D635" s="1" t="s">
        <v>797</v>
      </c>
    </row>
    <row r="636" spans="1:4" hidden="1" x14ac:dyDescent="0.3">
      <c r="A636">
        <v>634</v>
      </c>
      <c r="B636" t="s">
        <v>798</v>
      </c>
      <c r="C636" t="s">
        <v>162</v>
      </c>
      <c r="D636">
        <v>1.0000409338385501</v>
      </c>
    </row>
    <row r="637" spans="1:4" hidden="1" x14ac:dyDescent="0.3">
      <c r="A637">
        <v>635</v>
      </c>
      <c r="B637" t="s">
        <v>799</v>
      </c>
      <c r="C637" t="s">
        <v>164</v>
      </c>
      <c r="D637">
        <v>1.00042912575911</v>
      </c>
    </row>
    <row r="638" spans="1:4" hidden="1" x14ac:dyDescent="0.3">
      <c r="A638">
        <v>636</v>
      </c>
      <c r="B638" s="1" t="s">
        <v>800</v>
      </c>
      <c r="C638" t="s">
        <v>166</v>
      </c>
      <c r="D638" s="1" t="s">
        <v>801</v>
      </c>
    </row>
    <row r="639" spans="1:4" hidden="1" x14ac:dyDescent="0.3">
      <c r="A639">
        <v>637</v>
      </c>
      <c r="B639" s="1" t="s">
        <v>802</v>
      </c>
      <c r="C639" t="s">
        <v>55</v>
      </c>
      <c r="D639" s="1" t="s">
        <v>803</v>
      </c>
    </row>
    <row r="640" spans="1:4" hidden="1" x14ac:dyDescent="0.3">
      <c r="A640">
        <v>638</v>
      </c>
      <c r="B640" s="1" t="s">
        <v>804</v>
      </c>
      <c r="C640" t="s">
        <v>52</v>
      </c>
      <c r="D640" s="1" t="s">
        <v>805</v>
      </c>
    </row>
    <row r="641" spans="1:4" hidden="1" x14ac:dyDescent="0.3">
      <c r="A641">
        <v>639</v>
      </c>
      <c r="B641" s="1" t="s">
        <v>806</v>
      </c>
      <c r="C641" t="s">
        <v>58</v>
      </c>
      <c r="D641" s="1" t="s">
        <v>807</v>
      </c>
    </row>
    <row r="642" spans="1:4" hidden="1" x14ac:dyDescent="0.3">
      <c r="A642">
        <v>640</v>
      </c>
      <c r="B642" t="s">
        <v>808</v>
      </c>
      <c r="C642" t="s">
        <v>61</v>
      </c>
      <c r="D642">
        <v>150005469.79711199</v>
      </c>
    </row>
    <row r="643" spans="1:4" hidden="1" x14ac:dyDescent="0.3">
      <c r="A643">
        <v>641</v>
      </c>
      <c r="B643" t="s">
        <v>809</v>
      </c>
      <c r="C643" t="s">
        <v>63</v>
      </c>
      <c r="D643">
        <v>80006174.018128201</v>
      </c>
    </row>
    <row r="644" spans="1:4" hidden="1" x14ac:dyDescent="0.3">
      <c r="A644">
        <v>642</v>
      </c>
      <c r="B644" t="s">
        <v>810</v>
      </c>
      <c r="C644" t="s">
        <v>65</v>
      </c>
      <c r="D644">
        <v>40002559.088651903</v>
      </c>
    </row>
    <row r="645" spans="1:4" hidden="1" x14ac:dyDescent="0.3">
      <c r="A645">
        <v>643</v>
      </c>
      <c r="B645" s="1" t="s">
        <v>811</v>
      </c>
      <c r="C645" t="s">
        <v>67</v>
      </c>
      <c r="D645" s="1" t="s">
        <v>812</v>
      </c>
    </row>
    <row r="646" spans="1:4" hidden="1" x14ac:dyDescent="0.3">
      <c r="A646">
        <v>644</v>
      </c>
      <c r="B646" s="1" t="s">
        <v>813</v>
      </c>
      <c r="C646" t="s">
        <v>70</v>
      </c>
      <c r="D646" s="1" t="s">
        <v>814</v>
      </c>
    </row>
    <row r="647" spans="1:4" hidden="1" x14ac:dyDescent="0.3">
      <c r="A647">
        <v>645</v>
      </c>
      <c r="B647" t="s">
        <v>815</v>
      </c>
      <c r="C647" t="s">
        <v>73</v>
      </c>
      <c r="D647">
        <v>1.00009264891854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425</v>
      </c>
      <c r="C650" t="s">
        <v>79</v>
      </c>
      <c r="D650" s="2">
        <v>2.2204460492503101E-16</v>
      </c>
    </row>
    <row r="651" spans="1:4" hidden="1" x14ac:dyDescent="0.3">
      <c r="A651">
        <v>649</v>
      </c>
      <c r="B651" s="1" t="s">
        <v>816</v>
      </c>
      <c r="C651" t="s">
        <v>81</v>
      </c>
      <c r="D651" s="1" t="s">
        <v>817</v>
      </c>
    </row>
    <row r="652" spans="1:4" hidden="1" x14ac:dyDescent="0.3">
      <c r="A652">
        <v>650</v>
      </c>
      <c r="B652" t="s">
        <v>818</v>
      </c>
      <c r="C652" t="s">
        <v>84</v>
      </c>
      <c r="D652">
        <v>1.00007925605193</v>
      </c>
    </row>
    <row r="653" spans="1:4" hidden="1" x14ac:dyDescent="0.3">
      <c r="A653">
        <v>651</v>
      </c>
      <c r="B653" s="1" t="s">
        <v>819</v>
      </c>
      <c r="C653" t="s">
        <v>86</v>
      </c>
      <c r="D653" s="1" t="s">
        <v>820</v>
      </c>
    </row>
    <row r="654" spans="1:4" hidden="1" x14ac:dyDescent="0.3">
      <c r="A654">
        <v>652</v>
      </c>
      <c r="B654" t="s">
        <v>821</v>
      </c>
      <c r="C654" t="s">
        <v>89</v>
      </c>
      <c r="D654">
        <v>99995721.265329599</v>
      </c>
    </row>
    <row r="655" spans="1:4" hidden="1" x14ac:dyDescent="0.3">
      <c r="A655">
        <v>653</v>
      </c>
      <c r="B655" s="1" t="s">
        <v>822</v>
      </c>
      <c r="C655" t="s">
        <v>91</v>
      </c>
      <c r="D655" s="1" t="s">
        <v>768</v>
      </c>
    </row>
    <row r="656" spans="1:4" hidden="1" x14ac:dyDescent="0.3">
      <c r="A656">
        <v>654</v>
      </c>
      <c r="B656" t="s">
        <v>823</v>
      </c>
      <c r="C656" t="s">
        <v>94</v>
      </c>
      <c r="D656">
        <v>80006174.018128201</v>
      </c>
    </row>
    <row r="657" spans="1:4" hidden="1" x14ac:dyDescent="0.3">
      <c r="A657">
        <v>655</v>
      </c>
      <c r="B657" t="s">
        <v>824</v>
      </c>
      <c r="C657" t="s">
        <v>96</v>
      </c>
      <c r="D657">
        <v>40002559.088651903</v>
      </c>
    </row>
    <row r="658" spans="1:4" hidden="1" x14ac:dyDescent="0.3">
      <c r="A658">
        <v>656</v>
      </c>
      <c r="B658" t="s">
        <v>825</v>
      </c>
      <c r="C658" t="s">
        <v>98</v>
      </c>
      <c r="D658">
        <v>29996736.690331899</v>
      </c>
    </row>
    <row r="659" spans="1:4" hidden="1" x14ac:dyDescent="0.3">
      <c r="A659">
        <v>657</v>
      </c>
      <c r="B659" s="1" t="s">
        <v>826</v>
      </c>
      <c r="C659" t="s">
        <v>100</v>
      </c>
      <c r="D659" s="1" t="s">
        <v>827</v>
      </c>
    </row>
    <row r="660" spans="1:4" hidden="1" x14ac:dyDescent="0.3">
      <c r="A660">
        <v>658</v>
      </c>
      <c r="B660" t="s">
        <v>828</v>
      </c>
      <c r="C660" t="s">
        <v>103</v>
      </c>
      <c r="D660">
        <v>5.8541434895205604E-3</v>
      </c>
    </row>
    <row r="661" spans="1:4" hidden="1" x14ac:dyDescent="0.3">
      <c r="A661">
        <v>659</v>
      </c>
      <c r="B661" t="s">
        <v>829</v>
      </c>
      <c r="C661" t="s">
        <v>105</v>
      </c>
      <c r="D661">
        <v>6.82665721393294E-4</v>
      </c>
    </row>
    <row r="662" spans="1:4" hidden="1" x14ac:dyDescent="0.3">
      <c r="A662">
        <v>660</v>
      </c>
      <c r="B662" t="s">
        <v>830</v>
      </c>
      <c r="C662" t="s">
        <v>107</v>
      </c>
      <c r="D662">
        <v>1.50212718581605E-2</v>
      </c>
    </row>
    <row r="663" spans="1:4" hidden="1" x14ac:dyDescent="0.3">
      <c r="A663">
        <v>661</v>
      </c>
      <c r="B663" s="1" t="s">
        <v>831</v>
      </c>
      <c r="C663" t="s">
        <v>109</v>
      </c>
      <c r="D663" s="1" t="s">
        <v>832</v>
      </c>
    </row>
    <row r="664" spans="1:4" hidden="1" x14ac:dyDescent="0.3">
      <c r="A664">
        <v>662</v>
      </c>
      <c r="B664" t="s">
        <v>833</v>
      </c>
      <c r="C664" t="s">
        <v>197</v>
      </c>
      <c r="D664">
        <v>150005006.34081101</v>
      </c>
    </row>
    <row r="665" spans="1:4" hidden="1" x14ac:dyDescent="0.3">
      <c r="A665">
        <v>663</v>
      </c>
      <c r="B665" t="s">
        <v>834</v>
      </c>
      <c r="C665" t="s">
        <v>199</v>
      </c>
      <c r="D665">
        <v>3043.4600429059001</v>
      </c>
    </row>
    <row r="666" spans="1:4" hidden="1" x14ac:dyDescent="0.3">
      <c r="A666">
        <v>664</v>
      </c>
      <c r="B666" t="s">
        <v>835</v>
      </c>
      <c r="C666" t="s">
        <v>201</v>
      </c>
      <c r="D666">
        <v>1521.71391077417</v>
      </c>
    </row>
    <row r="667" spans="1:4" hidden="1" x14ac:dyDescent="0.3">
      <c r="A667">
        <v>665</v>
      </c>
      <c r="B667" s="1" t="s">
        <v>836</v>
      </c>
      <c r="C667" t="s">
        <v>203</v>
      </c>
      <c r="D667" s="1" t="s">
        <v>837</v>
      </c>
    </row>
    <row r="668" spans="1:4" hidden="1" x14ac:dyDescent="0.3">
      <c r="A668">
        <v>666</v>
      </c>
      <c r="B668" t="s">
        <v>838</v>
      </c>
      <c r="C668" t="s">
        <v>206</v>
      </c>
      <c r="D668">
        <v>80002787.705160007</v>
      </c>
    </row>
    <row r="669" spans="1:4" hidden="1" x14ac:dyDescent="0.3">
      <c r="A669">
        <v>667</v>
      </c>
      <c r="B669" t="s">
        <v>839</v>
      </c>
      <c r="C669" t="s">
        <v>208</v>
      </c>
      <c r="D669">
        <v>40000970.354588903</v>
      </c>
    </row>
    <row r="670" spans="1:4" hidden="1" x14ac:dyDescent="0.3">
      <c r="A670">
        <v>668</v>
      </c>
      <c r="B670" t="s">
        <v>840</v>
      </c>
      <c r="C670" t="s">
        <v>210</v>
      </c>
      <c r="D670">
        <v>29995542.018951401</v>
      </c>
    </row>
    <row r="671" spans="1:4" hidden="1" x14ac:dyDescent="0.3">
      <c r="A671">
        <v>669</v>
      </c>
      <c r="B671" s="1" t="s">
        <v>841</v>
      </c>
      <c r="C671" t="s">
        <v>212</v>
      </c>
      <c r="D671" s="1" t="s">
        <v>842</v>
      </c>
    </row>
    <row r="672" spans="1:4" hidden="1" x14ac:dyDescent="0.3">
      <c r="A672">
        <v>670</v>
      </c>
      <c r="B672" t="s">
        <v>843</v>
      </c>
      <c r="C672" t="s">
        <v>215</v>
      </c>
      <c r="D672">
        <v>99991917.380316496</v>
      </c>
    </row>
    <row r="673" spans="1:4" hidden="1" x14ac:dyDescent="0.3">
      <c r="A673">
        <v>671</v>
      </c>
      <c r="B673" t="s">
        <v>844</v>
      </c>
      <c r="C673" t="s">
        <v>217</v>
      </c>
      <c r="D673">
        <v>3803.8850131332802</v>
      </c>
    </row>
    <row r="674" spans="1:4" hidden="1" x14ac:dyDescent="0.3">
      <c r="A674">
        <v>672</v>
      </c>
      <c r="B674" s="1" t="s">
        <v>845</v>
      </c>
      <c r="C674" t="s">
        <v>219</v>
      </c>
      <c r="D674" s="1" t="s">
        <v>846</v>
      </c>
    </row>
    <row r="675" spans="1:4" hidden="1" x14ac:dyDescent="0.3">
      <c r="A675">
        <v>673</v>
      </c>
      <c r="B675" t="s">
        <v>847</v>
      </c>
      <c r="C675" t="s">
        <v>112</v>
      </c>
      <c r="D675">
        <v>-342.852925232769</v>
      </c>
    </row>
    <row r="676" spans="1:4" hidden="1" x14ac:dyDescent="0.3">
      <c r="A676">
        <v>674</v>
      </c>
      <c r="B676" t="s">
        <v>848</v>
      </c>
      <c r="C676" t="s">
        <v>114</v>
      </c>
      <c r="D676">
        <v>-67.020152232698393</v>
      </c>
    </row>
    <row r="677" spans="1:4" hidden="1" x14ac:dyDescent="0.3">
      <c r="A677">
        <v>675</v>
      </c>
      <c r="B677" s="1" t="s">
        <v>849</v>
      </c>
      <c r="C677" t="s">
        <v>116</v>
      </c>
      <c r="D677" s="1" t="s">
        <v>850</v>
      </c>
    </row>
    <row r="678" spans="1:4" hidden="1" x14ac:dyDescent="0.3">
      <c r="A678">
        <v>676</v>
      </c>
      <c r="B678" t="s">
        <v>851</v>
      </c>
      <c r="C678" t="s">
        <v>119</v>
      </c>
      <c r="D678">
        <v>80002787.705160007</v>
      </c>
    </row>
    <row r="679" spans="1:4" hidden="1" x14ac:dyDescent="0.3">
      <c r="A679">
        <v>677</v>
      </c>
      <c r="B679" t="s">
        <v>852</v>
      </c>
      <c r="C679" t="s">
        <v>121</v>
      </c>
      <c r="D679">
        <v>40000970.354588903</v>
      </c>
    </row>
    <row r="680" spans="1:4" hidden="1" x14ac:dyDescent="0.3">
      <c r="A680">
        <v>678</v>
      </c>
      <c r="B680" s="1" t="s">
        <v>853</v>
      </c>
      <c r="C680" t="s">
        <v>123</v>
      </c>
      <c r="D680" s="1" t="s">
        <v>854</v>
      </c>
    </row>
    <row r="681" spans="1:4" hidden="1" x14ac:dyDescent="0.3">
      <c r="A681">
        <v>679</v>
      </c>
      <c r="B681" t="s">
        <v>855</v>
      </c>
      <c r="C681" t="s">
        <v>126</v>
      </c>
      <c r="D681">
        <v>0.80002913833822598</v>
      </c>
    </row>
    <row r="682" spans="1:4" hidden="1" x14ac:dyDescent="0.3">
      <c r="A682">
        <v>680</v>
      </c>
      <c r="B682" t="s">
        <v>856</v>
      </c>
      <c r="C682" t="s">
        <v>128</v>
      </c>
      <c r="D682">
        <v>0.40001033418252502</v>
      </c>
    </row>
    <row r="683" spans="1:4" hidden="1" x14ac:dyDescent="0.3">
      <c r="A683">
        <v>681</v>
      </c>
      <c r="B683" s="1" t="s">
        <v>857</v>
      </c>
      <c r="C683" t="s">
        <v>130</v>
      </c>
      <c r="D683" s="1" t="s">
        <v>858</v>
      </c>
    </row>
    <row r="684" spans="1:4" x14ac:dyDescent="0.3">
      <c r="A684">
        <v>682</v>
      </c>
      <c r="B684" s="1" t="s">
        <v>3</v>
      </c>
      <c r="C684" t="s">
        <v>4</v>
      </c>
      <c r="D684" t="s">
        <v>5</v>
      </c>
    </row>
    <row r="685" spans="1:4" hidden="1" x14ac:dyDescent="0.3">
      <c r="A685">
        <v>683</v>
      </c>
      <c r="B685" t="s">
        <v>6</v>
      </c>
      <c r="C685" t="s">
        <v>7</v>
      </c>
      <c r="D685">
        <v>1305.25</v>
      </c>
    </row>
    <row r="686" spans="1:4" hidden="1" x14ac:dyDescent="0.3">
      <c r="A686">
        <v>684</v>
      </c>
      <c r="B686" s="1" t="s">
        <v>132</v>
      </c>
      <c r="C686" t="s">
        <v>9</v>
      </c>
      <c r="D686" s="1" t="s">
        <v>133</v>
      </c>
    </row>
    <row r="687" spans="1:4" hidden="1" x14ac:dyDescent="0.3">
      <c r="A687">
        <v>685</v>
      </c>
      <c r="B687" t="s">
        <v>13</v>
      </c>
      <c r="C687" t="s">
        <v>14</v>
      </c>
      <c r="D687">
        <v>98.4296875</v>
      </c>
    </row>
    <row r="688" spans="1:4" hidden="1" x14ac:dyDescent="0.3">
      <c r="A688">
        <v>686</v>
      </c>
      <c r="B688" t="s">
        <v>15</v>
      </c>
      <c r="C688" t="s">
        <v>16</v>
      </c>
      <c r="D688">
        <v>4.2819487927479898</v>
      </c>
    </row>
    <row r="689" spans="1:4" hidden="1" x14ac:dyDescent="0.3">
      <c r="A689">
        <v>687</v>
      </c>
      <c r="B689" s="1" t="s">
        <v>134</v>
      </c>
      <c r="C689" t="s">
        <v>135</v>
      </c>
      <c r="D689" s="1" t="s">
        <v>136</v>
      </c>
    </row>
    <row r="690" spans="1:4" hidden="1" x14ac:dyDescent="0.3">
      <c r="A690">
        <v>688</v>
      </c>
      <c r="B690" t="s">
        <v>21</v>
      </c>
      <c r="C690" t="s">
        <v>22</v>
      </c>
      <c r="D690">
        <v>83.1</v>
      </c>
    </row>
    <row r="691" spans="1:4" hidden="1" x14ac:dyDescent="0.3">
      <c r="A691">
        <v>689</v>
      </c>
      <c r="B691" t="s">
        <v>859</v>
      </c>
      <c r="C691" t="s">
        <v>24</v>
      </c>
      <c r="D691">
        <v>4.1192102627726799</v>
      </c>
    </row>
    <row r="692" spans="1:4" hidden="1" x14ac:dyDescent="0.3">
      <c r="A692">
        <v>690</v>
      </c>
      <c r="B692" s="1" t="s">
        <v>860</v>
      </c>
      <c r="C692" t="s">
        <v>139</v>
      </c>
      <c r="D692" s="1" t="s">
        <v>861</v>
      </c>
    </row>
    <row r="693" spans="1:4" hidden="1" x14ac:dyDescent="0.3">
      <c r="A693">
        <v>691</v>
      </c>
      <c r="B693" t="s">
        <v>862</v>
      </c>
      <c r="C693" t="s">
        <v>35</v>
      </c>
      <c r="D693">
        <v>-0.50214754021290597</v>
      </c>
    </row>
    <row r="694" spans="1:4" hidden="1" x14ac:dyDescent="0.3">
      <c r="A694">
        <v>692</v>
      </c>
      <c r="B694" t="s">
        <v>863</v>
      </c>
      <c r="C694" t="s">
        <v>143</v>
      </c>
      <c r="D694">
        <v>0.73069710063034199</v>
      </c>
    </row>
    <row r="695" spans="1:4" hidden="1" x14ac:dyDescent="0.3">
      <c r="A695">
        <v>693</v>
      </c>
      <c r="B695" s="1" t="s">
        <v>864</v>
      </c>
      <c r="C695" t="s">
        <v>145</v>
      </c>
      <c r="D695" s="1" t="s">
        <v>865</v>
      </c>
    </row>
    <row r="696" spans="1:4" hidden="1" x14ac:dyDescent="0.3">
      <c r="A696">
        <v>694</v>
      </c>
      <c r="B696" t="s">
        <v>866</v>
      </c>
      <c r="C696" t="s">
        <v>30</v>
      </c>
      <c r="D696">
        <v>0.73436380990019001</v>
      </c>
    </row>
    <row r="697" spans="1:4" hidden="1" x14ac:dyDescent="0.3">
      <c r="A697">
        <v>695</v>
      </c>
      <c r="B697" t="s">
        <v>867</v>
      </c>
      <c r="C697" t="s">
        <v>32</v>
      </c>
      <c r="D697">
        <v>0.158545642996091</v>
      </c>
    </row>
    <row r="698" spans="1:4" hidden="1" x14ac:dyDescent="0.3">
      <c r="A698">
        <v>696</v>
      </c>
      <c r="B698" s="1" t="s">
        <v>868</v>
      </c>
      <c r="C698" t="s">
        <v>149</v>
      </c>
      <c r="D698" s="1" t="s">
        <v>869</v>
      </c>
    </row>
    <row r="699" spans="1:4" hidden="1" x14ac:dyDescent="0.3">
      <c r="A699">
        <v>697</v>
      </c>
      <c r="B699" t="s">
        <v>870</v>
      </c>
      <c r="C699" t="s">
        <v>40</v>
      </c>
      <c r="D699">
        <v>0.76778373031271596</v>
      </c>
    </row>
    <row r="700" spans="1:4" hidden="1" x14ac:dyDescent="0.3">
      <c r="A700">
        <v>698</v>
      </c>
      <c r="B700" t="s">
        <v>871</v>
      </c>
      <c r="C700" t="s">
        <v>42</v>
      </c>
      <c r="D700">
        <v>0.21001049214847201</v>
      </c>
    </row>
    <row r="701" spans="1:4" hidden="1" x14ac:dyDescent="0.3">
      <c r="A701">
        <v>699</v>
      </c>
      <c r="B701" s="1" t="s">
        <v>872</v>
      </c>
      <c r="C701" t="s">
        <v>153</v>
      </c>
      <c r="D701" s="1" t="s">
        <v>873</v>
      </c>
    </row>
    <row r="702" spans="1:4" hidden="1" x14ac:dyDescent="0.3">
      <c r="A702">
        <v>700</v>
      </c>
      <c r="B702" t="s">
        <v>154</v>
      </c>
      <c r="C702" t="s">
        <v>155</v>
      </c>
      <c r="D702">
        <v>1</v>
      </c>
    </row>
    <row r="703" spans="1:4" hidden="1" x14ac:dyDescent="0.3">
      <c r="A703">
        <v>701</v>
      </c>
      <c r="B703" t="s">
        <v>156</v>
      </c>
      <c r="C703" t="s">
        <v>157</v>
      </c>
      <c r="D703">
        <v>1</v>
      </c>
    </row>
    <row r="704" spans="1:4" hidden="1" x14ac:dyDescent="0.3">
      <c r="A704">
        <v>702</v>
      </c>
      <c r="B704" s="1" t="s">
        <v>874</v>
      </c>
      <c r="C704" t="s">
        <v>159</v>
      </c>
      <c r="D704" s="1" t="s">
        <v>875</v>
      </c>
    </row>
    <row r="705" spans="1:4" hidden="1" x14ac:dyDescent="0.3">
      <c r="A705">
        <v>703</v>
      </c>
      <c r="B705" t="s">
        <v>876</v>
      </c>
      <c r="C705" t="s">
        <v>162</v>
      </c>
      <c r="D705">
        <v>0.99969083054429397</v>
      </c>
    </row>
    <row r="706" spans="1:4" hidden="1" x14ac:dyDescent="0.3">
      <c r="A706">
        <v>704</v>
      </c>
      <c r="B706" t="s">
        <v>877</v>
      </c>
      <c r="C706" t="s">
        <v>164</v>
      </c>
      <c r="D706">
        <v>0.99988075221613903</v>
      </c>
    </row>
    <row r="707" spans="1:4" hidden="1" x14ac:dyDescent="0.3">
      <c r="A707">
        <v>705</v>
      </c>
      <c r="B707" s="1" t="s">
        <v>878</v>
      </c>
      <c r="C707" t="s">
        <v>166</v>
      </c>
      <c r="D707" s="1" t="s">
        <v>879</v>
      </c>
    </row>
    <row r="708" spans="1:4" hidden="1" x14ac:dyDescent="0.3">
      <c r="A708">
        <v>706</v>
      </c>
      <c r="B708" s="1" t="s">
        <v>880</v>
      </c>
      <c r="C708" t="s">
        <v>55</v>
      </c>
      <c r="D708" s="1" t="s">
        <v>881</v>
      </c>
    </row>
    <row r="709" spans="1:4" hidden="1" x14ac:dyDescent="0.3">
      <c r="A709">
        <v>707</v>
      </c>
      <c r="B709" s="1" t="s">
        <v>882</v>
      </c>
      <c r="C709" t="s">
        <v>52</v>
      </c>
      <c r="D709" s="1" t="s">
        <v>883</v>
      </c>
    </row>
    <row r="710" spans="1:4" hidden="1" x14ac:dyDescent="0.3">
      <c r="A710">
        <v>708</v>
      </c>
      <c r="B710" s="1" t="s">
        <v>884</v>
      </c>
      <c r="C710" t="s">
        <v>58</v>
      </c>
      <c r="D710" s="1" t="s">
        <v>885</v>
      </c>
    </row>
    <row r="711" spans="1:4" hidden="1" x14ac:dyDescent="0.3">
      <c r="A711">
        <v>709</v>
      </c>
      <c r="B711" t="s">
        <v>886</v>
      </c>
      <c r="C711" t="s">
        <v>61</v>
      </c>
      <c r="D711">
        <v>149994916.22316501</v>
      </c>
    </row>
    <row r="712" spans="1:4" hidden="1" x14ac:dyDescent="0.3">
      <c r="A712">
        <v>710</v>
      </c>
      <c r="B712" t="s">
        <v>887</v>
      </c>
      <c r="C712" t="s">
        <v>63</v>
      </c>
      <c r="D712">
        <v>80002787.705160007</v>
      </c>
    </row>
    <row r="713" spans="1:4" hidden="1" x14ac:dyDescent="0.3">
      <c r="A713">
        <v>711</v>
      </c>
      <c r="B713" t="s">
        <v>888</v>
      </c>
      <c r="C713" t="s">
        <v>65</v>
      </c>
      <c r="D713">
        <v>40000970.354588903</v>
      </c>
    </row>
    <row r="714" spans="1:4" hidden="1" x14ac:dyDescent="0.3">
      <c r="A714">
        <v>712</v>
      </c>
      <c r="B714" s="1" t="s">
        <v>889</v>
      </c>
      <c r="C714" t="s">
        <v>67</v>
      </c>
      <c r="D714" s="1" t="s">
        <v>890</v>
      </c>
    </row>
    <row r="715" spans="1:4" hidden="1" x14ac:dyDescent="0.3">
      <c r="A715">
        <v>713</v>
      </c>
      <c r="B715" s="1" t="s">
        <v>891</v>
      </c>
      <c r="C715" t="s">
        <v>70</v>
      </c>
      <c r="D715" s="1" t="s">
        <v>892</v>
      </c>
    </row>
    <row r="716" spans="1:4" hidden="1" x14ac:dyDescent="0.3">
      <c r="A716">
        <v>714</v>
      </c>
      <c r="B716" t="s">
        <v>893</v>
      </c>
      <c r="C716" t="s">
        <v>73</v>
      </c>
      <c r="D716">
        <v>1.00007925605193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425</v>
      </c>
      <c r="C719" t="s">
        <v>79</v>
      </c>
      <c r="D719" s="2">
        <v>2.2204460492503101E-16</v>
      </c>
    </row>
    <row r="720" spans="1:4" hidden="1" x14ac:dyDescent="0.3">
      <c r="A720">
        <v>718</v>
      </c>
      <c r="B720" s="1" t="s">
        <v>894</v>
      </c>
      <c r="C720" t="s">
        <v>81</v>
      </c>
      <c r="D720" s="1" t="s">
        <v>895</v>
      </c>
    </row>
    <row r="721" spans="1:4" hidden="1" x14ac:dyDescent="0.3">
      <c r="A721">
        <v>719</v>
      </c>
      <c r="B721" t="s">
        <v>896</v>
      </c>
      <c r="C721" t="s">
        <v>84</v>
      </c>
      <c r="D721">
        <v>1.0000989381168801</v>
      </c>
    </row>
    <row r="722" spans="1:4" hidden="1" x14ac:dyDescent="0.3">
      <c r="A722">
        <v>720</v>
      </c>
      <c r="B722" s="1" t="s">
        <v>897</v>
      </c>
      <c r="C722" t="s">
        <v>86</v>
      </c>
      <c r="D722" s="1" t="s">
        <v>898</v>
      </c>
    </row>
    <row r="723" spans="1:4" hidden="1" x14ac:dyDescent="0.3">
      <c r="A723">
        <v>721</v>
      </c>
      <c r="B723" t="s">
        <v>899</v>
      </c>
      <c r="C723" t="s">
        <v>89</v>
      </c>
      <c r="D723">
        <v>99993753.337752804</v>
      </c>
    </row>
    <row r="724" spans="1:4" hidden="1" x14ac:dyDescent="0.3">
      <c r="A724">
        <v>722</v>
      </c>
      <c r="B724" s="1" t="s">
        <v>900</v>
      </c>
      <c r="C724" t="s">
        <v>91</v>
      </c>
      <c r="D724" s="1" t="s">
        <v>846</v>
      </c>
    </row>
    <row r="725" spans="1:4" hidden="1" x14ac:dyDescent="0.3">
      <c r="A725">
        <v>723</v>
      </c>
      <c r="B725" t="s">
        <v>901</v>
      </c>
      <c r="C725" t="s">
        <v>94</v>
      </c>
      <c r="D725">
        <v>80002787.705160007</v>
      </c>
    </row>
    <row r="726" spans="1:4" hidden="1" x14ac:dyDescent="0.3">
      <c r="A726">
        <v>724</v>
      </c>
      <c r="B726" t="s">
        <v>902</v>
      </c>
      <c r="C726" t="s">
        <v>96</v>
      </c>
      <c r="D726">
        <v>40000970.354588903</v>
      </c>
    </row>
    <row r="727" spans="1:4" hidden="1" x14ac:dyDescent="0.3">
      <c r="A727">
        <v>725</v>
      </c>
      <c r="B727" t="s">
        <v>903</v>
      </c>
      <c r="C727" t="s">
        <v>98</v>
      </c>
      <c r="D727">
        <v>29991158.163416199</v>
      </c>
    </row>
    <row r="728" spans="1:4" hidden="1" x14ac:dyDescent="0.3">
      <c r="A728">
        <v>726</v>
      </c>
      <c r="B728" s="1" t="s">
        <v>904</v>
      </c>
      <c r="C728" t="s">
        <v>100</v>
      </c>
      <c r="D728" s="1" t="s">
        <v>905</v>
      </c>
    </row>
    <row r="729" spans="1:4" hidden="1" x14ac:dyDescent="0.3">
      <c r="A729">
        <v>727</v>
      </c>
      <c r="B729" t="s">
        <v>906</v>
      </c>
      <c r="C729" t="s">
        <v>103</v>
      </c>
      <c r="D729">
        <v>5.88366751639026E-3</v>
      </c>
    </row>
    <row r="730" spans="1:4" hidden="1" x14ac:dyDescent="0.3">
      <c r="A730">
        <v>728</v>
      </c>
      <c r="B730" t="s">
        <v>907</v>
      </c>
      <c r="C730" t="s">
        <v>105</v>
      </c>
      <c r="D730">
        <v>6.8441175798602497E-4</v>
      </c>
    </row>
    <row r="731" spans="1:4" hidden="1" x14ac:dyDescent="0.3">
      <c r="A731">
        <v>729</v>
      </c>
      <c r="B731" t="s">
        <v>908</v>
      </c>
      <c r="C731" t="s">
        <v>107</v>
      </c>
      <c r="D731">
        <v>1.50957814563887E-2</v>
      </c>
    </row>
    <row r="732" spans="1:4" hidden="1" x14ac:dyDescent="0.3">
      <c r="A732">
        <v>730</v>
      </c>
      <c r="B732" s="1" t="s">
        <v>909</v>
      </c>
      <c r="C732" t="s">
        <v>109</v>
      </c>
      <c r="D732" s="1" t="s">
        <v>910</v>
      </c>
    </row>
    <row r="733" spans="1:4" hidden="1" x14ac:dyDescent="0.3">
      <c r="A733">
        <v>731</v>
      </c>
      <c r="B733" t="s">
        <v>911</v>
      </c>
      <c r="C733" t="s">
        <v>197</v>
      </c>
      <c r="D733">
        <v>149995597.27817401</v>
      </c>
    </row>
    <row r="734" spans="1:4" hidden="1" x14ac:dyDescent="0.3">
      <c r="A734">
        <v>732</v>
      </c>
      <c r="B734" t="s">
        <v>912</v>
      </c>
      <c r="C734" t="s">
        <v>199</v>
      </c>
      <c r="D734">
        <v>-1574.5051918347201</v>
      </c>
    </row>
    <row r="735" spans="1:4" hidden="1" x14ac:dyDescent="0.3">
      <c r="A735">
        <v>733</v>
      </c>
      <c r="B735" t="s">
        <v>913</v>
      </c>
      <c r="C735" t="s">
        <v>201</v>
      </c>
      <c r="D735">
        <v>-787.24124237466106</v>
      </c>
    </row>
    <row r="736" spans="1:4" hidden="1" x14ac:dyDescent="0.3">
      <c r="A736">
        <v>734</v>
      </c>
      <c r="B736" s="1" t="s">
        <v>914</v>
      </c>
      <c r="C736" t="s">
        <v>203</v>
      </c>
      <c r="D736" s="1" t="s">
        <v>915</v>
      </c>
    </row>
    <row r="737" spans="1:4" hidden="1" x14ac:dyDescent="0.3">
      <c r="A737">
        <v>735</v>
      </c>
      <c r="B737" t="s">
        <v>916</v>
      </c>
      <c r="C737" t="s">
        <v>206</v>
      </c>
      <c r="D737">
        <v>80004866.1052683</v>
      </c>
    </row>
    <row r="738" spans="1:4" hidden="1" x14ac:dyDescent="0.3">
      <c r="A738">
        <v>736</v>
      </c>
      <c r="B738" t="s">
        <v>917</v>
      </c>
      <c r="C738" t="s">
        <v>208</v>
      </c>
      <c r="D738">
        <v>40001856.148430601</v>
      </c>
    </row>
    <row r="739" spans="1:4" hidden="1" x14ac:dyDescent="0.3">
      <c r="A739">
        <v>737</v>
      </c>
      <c r="B739" t="s">
        <v>918</v>
      </c>
      <c r="C739" t="s">
        <v>210</v>
      </c>
      <c r="D739">
        <v>29991827.013599601</v>
      </c>
    </row>
    <row r="740" spans="1:4" hidden="1" x14ac:dyDescent="0.3">
      <c r="A740">
        <v>738</v>
      </c>
      <c r="B740" s="1" t="s">
        <v>919</v>
      </c>
      <c r="C740" t="s">
        <v>212</v>
      </c>
      <c r="D740" s="1" t="s">
        <v>920</v>
      </c>
    </row>
    <row r="741" spans="1:4" hidden="1" x14ac:dyDescent="0.3">
      <c r="A741">
        <v>739</v>
      </c>
      <c r="B741" t="s">
        <v>921</v>
      </c>
      <c r="C741" t="s">
        <v>215</v>
      </c>
      <c r="D741">
        <v>99995721.265329599</v>
      </c>
    </row>
    <row r="742" spans="1:4" hidden="1" x14ac:dyDescent="0.3">
      <c r="A742">
        <v>740</v>
      </c>
      <c r="B742" t="s">
        <v>922</v>
      </c>
      <c r="C742" t="s">
        <v>217</v>
      </c>
      <c r="D742">
        <v>-1967.9275768846201</v>
      </c>
    </row>
    <row r="743" spans="1:4" hidden="1" x14ac:dyDescent="0.3">
      <c r="A743">
        <v>741</v>
      </c>
      <c r="B743" s="1" t="s">
        <v>923</v>
      </c>
      <c r="C743" t="s">
        <v>219</v>
      </c>
      <c r="D743" s="1" t="s">
        <v>924</v>
      </c>
    </row>
    <row r="744" spans="1:4" hidden="1" x14ac:dyDescent="0.3">
      <c r="A744">
        <v>742</v>
      </c>
      <c r="B744" t="s">
        <v>925</v>
      </c>
      <c r="C744" t="s">
        <v>112</v>
      </c>
      <c r="D744">
        <v>503.89491646885</v>
      </c>
    </row>
    <row r="745" spans="1:4" hidden="1" x14ac:dyDescent="0.3">
      <c r="A745">
        <v>743</v>
      </c>
      <c r="B745" t="s">
        <v>926</v>
      </c>
      <c r="C745" t="s">
        <v>114</v>
      </c>
      <c r="D745">
        <v>98.552599320196407</v>
      </c>
    </row>
    <row r="746" spans="1:4" hidden="1" x14ac:dyDescent="0.3">
      <c r="A746">
        <v>744</v>
      </c>
      <c r="B746" s="1" t="s">
        <v>927</v>
      </c>
      <c r="C746" t="s">
        <v>116</v>
      </c>
      <c r="D746" s="1" t="s">
        <v>928</v>
      </c>
    </row>
    <row r="747" spans="1:4" hidden="1" x14ac:dyDescent="0.3">
      <c r="A747">
        <v>745</v>
      </c>
      <c r="B747" t="s">
        <v>929</v>
      </c>
      <c r="C747" t="s">
        <v>119</v>
      </c>
      <c r="D747">
        <v>80004866.1052683</v>
      </c>
    </row>
    <row r="748" spans="1:4" hidden="1" x14ac:dyDescent="0.3">
      <c r="A748">
        <v>746</v>
      </c>
      <c r="B748" t="s">
        <v>930</v>
      </c>
      <c r="C748" t="s">
        <v>121</v>
      </c>
      <c r="D748">
        <v>40001856.148430601</v>
      </c>
    </row>
    <row r="749" spans="1:4" hidden="1" x14ac:dyDescent="0.3">
      <c r="A749">
        <v>747</v>
      </c>
      <c r="B749" s="1" t="s">
        <v>931</v>
      </c>
      <c r="C749" t="s">
        <v>123</v>
      </c>
      <c r="D749" s="1" t="s">
        <v>932</v>
      </c>
    </row>
    <row r="750" spans="1:4" hidden="1" x14ac:dyDescent="0.3">
      <c r="A750">
        <v>748</v>
      </c>
      <c r="B750" t="s">
        <v>933</v>
      </c>
      <c r="C750" t="s">
        <v>126</v>
      </c>
      <c r="D750">
        <v>0.80000374361298798</v>
      </c>
    </row>
    <row r="751" spans="1:4" hidden="1" x14ac:dyDescent="0.3">
      <c r="A751">
        <v>749</v>
      </c>
      <c r="B751" t="s">
        <v>934</v>
      </c>
      <c r="C751" t="s">
        <v>128</v>
      </c>
      <c r="D751">
        <v>0.39999610308835198</v>
      </c>
    </row>
    <row r="752" spans="1:4" hidden="1" x14ac:dyDescent="0.3">
      <c r="A752">
        <v>750</v>
      </c>
      <c r="B752" s="1" t="s">
        <v>935</v>
      </c>
      <c r="C752" t="s">
        <v>130</v>
      </c>
      <c r="D752" s="1" t="s">
        <v>936</v>
      </c>
    </row>
    <row r="753" spans="1:4" x14ac:dyDescent="0.3">
      <c r="A753">
        <v>751</v>
      </c>
      <c r="B753" s="1" t="s">
        <v>3</v>
      </c>
      <c r="C753" t="s">
        <v>4</v>
      </c>
      <c r="D753" t="s">
        <v>5</v>
      </c>
    </row>
    <row r="754" spans="1:4" hidden="1" x14ac:dyDescent="0.3">
      <c r="A754">
        <v>752</v>
      </c>
      <c r="B754" t="s">
        <v>6</v>
      </c>
      <c r="C754" t="s">
        <v>7</v>
      </c>
      <c r="D754">
        <v>1305.25</v>
      </c>
    </row>
    <row r="755" spans="1:4" hidden="1" x14ac:dyDescent="0.3">
      <c r="A755">
        <v>753</v>
      </c>
      <c r="B755" s="1" t="s">
        <v>132</v>
      </c>
      <c r="C755" t="s">
        <v>9</v>
      </c>
      <c r="D755" s="1" t="s">
        <v>133</v>
      </c>
    </row>
    <row r="756" spans="1:4" hidden="1" x14ac:dyDescent="0.3">
      <c r="A756">
        <v>754</v>
      </c>
      <c r="B756" t="s">
        <v>13</v>
      </c>
      <c r="C756" t="s">
        <v>14</v>
      </c>
      <c r="D756">
        <v>98.4296875</v>
      </c>
    </row>
    <row r="757" spans="1:4" hidden="1" x14ac:dyDescent="0.3">
      <c r="A757">
        <v>755</v>
      </c>
      <c r="B757" t="s">
        <v>15</v>
      </c>
      <c r="C757" t="s">
        <v>16</v>
      </c>
      <c r="D757">
        <v>4.2819487927479898</v>
      </c>
    </row>
    <row r="758" spans="1:4" hidden="1" x14ac:dyDescent="0.3">
      <c r="A758">
        <v>756</v>
      </c>
      <c r="B758" s="1" t="s">
        <v>134</v>
      </c>
      <c r="C758" t="s">
        <v>135</v>
      </c>
      <c r="D758" s="1" t="s">
        <v>136</v>
      </c>
    </row>
    <row r="759" spans="1:4" hidden="1" x14ac:dyDescent="0.3">
      <c r="A759">
        <v>757</v>
      </c>
      <c r="B759" t="s">
        <v>21</v>
      </c>
      <c r="C759" t="s">
        <v>22</v>
      </c>
      <c r="D759">
        <v>83.1</v>
      </c>
    </row>
    <row r="760" spans="1:4" hidden="1" x14ac:dyDescent="0.3">
      <c r="A760">
        <v>758</v>
      </c>
      <c r="B760" t="s">
        <v>937</v>
      </c>
      <c r="C760" t="s">
        <v>24</v>
      </c>
      <c r="D760">
        <v>4.1046627673496898</v>
      </c>
    </row>
    <row r="761" spans="1:4" hidden="1" x14ac:dyDescent="0.3">
      <c r="A761">
        <v>759</v>
      </c>
      <c r="B761" s="1" t="s">
        <v>938</v>
      </c>
      <c r="C761" t="s">
        <v>139</v>
      </c>
      <c r="D761" s="1" t="s">
        <v>939</v>
      </c>
    </row>
    <row r="762" spans="1:4" hidden="1" x14ac:dyDescent="0.3">
      <c r="A762">
        <v>760</v>
      </c>
      <c r="B762" t="s">
        <v>940</v>
      </c>
      <c r="C762" t="s">
        <v>35</v>
      </c>
      <c r="D762">
        <v>-0.53520414759115698</v>
      </c>
    </row>
    <row r="763" spans="1:4" hidden="1" x14ac:dyDescent="0.3">
      <c r="A763">
        <v>761</v>
      </c>
      <c r="B763" t="s">
        <v>941</v>
      </c>
      <c r="C763" t="s">
        <v>143</v>
      </c>
      <c r="D763">
        <v>0.73641068601505399</v>
      </c>
    </row>
    <row r="764" spans="1:4" hidden="1" x14ac:dyDescent="0.3">
      <c r="A764">
        <v>762</v>
      </c>
      <c r="B764" s="1" t="s">
        <v>942</v>
      </c>
      <c r="C764" t="s">
        <v>145</v>
      </c>
      <c r="D764" s="1" t="s">
        <v>943</v>
      </c>
    </row>
    <row r="765" spans="1:4" hidden="1" x14ac:dyDescent="0.3">
      <c r="A765">
        <v>763</v>
      </c>
      <c r="B765" t="s">
        <v>944</v>
      </c>
      <c r="C765" t="s">
        <v>30</v>
      </c>
      <c r="D765">
        <v>0.78270732289713696</v>
      </c>
    </row>
    <row r="766" spans="1:4" hidden="1" x14ac:dyDescent="0.3">
      <c r="A766">
        <v>764</v>
      </c>
      <c r="B766" t="s">
        <v>945</v>
      </c>
      <c r="C766" t="s">
        <v>32</v>
      </c>
      <c r="D766">
        <v>0.152711792172844</v>
      </c>
    </row>
    <row r="767" spans="1:4" hidden="1" x14ac:dyDescent="0.3">
      <c r="A767">
        <v>765</v>
      </c>
      <c r="B767" s="1" t="s">
        <v>946</v>
      </c>
      <c r="C767" t="s">
        <v>149</v>
      </c>
      <c r="D767" s="1" t="s">
        <v>947</v>
      </c>
    </row>
    <row r="768" spans="1:4" hidden="1" x14ac:dyDescent="0.3">
      <c r="A768">
        <v>766</v>
      </c>
      <c r="B768" t="s">
        <v>948</v>
      </c>
      <c r="C768" t="s">
        <v>40</v>
      </c>
      <c r="D768">
        <v>0.75249682469402002</v>
      </c>
    </row>
    <row r="769" spans="1:4" hidden="1" x14ac:dyDescent="0.3">
      <c r="A769">
        <v>767</v>
      </c>
      <c r="B769" t="s">
        <v>949</v>
      </c>
      <c r="C769" t="s">
        <v>42</v>
      </c>
      <c r="D769">
        <v>0.20522613430036901</v>
      </c>
    </row>
    <row r="770" spans="1:4" hidden="1" x14ac:dyDescent="0.3">
      <c r="A770">
        <v>768</v>
      </c>
      <c r="B770" s="1" t="s">
        <v>950</v>
      </c>
      <c r="C770" t="s">
        <v>153</v>
      </c>
      <c r="D770" s="1" t="s">
        <v>951</v>
      </c>
    </row>
    <row r="771" spans="1:4" hidden="1" x14ac:dyDescent="0.3">
      <c r="A771">
        <v>769</v>
      </c>
      <c r="B771" t="s">
        <v>154</v>
      </c>
      <c r="C771" t="s">
        <v>155</v>
      </c>
      <c r="D771">
        <v>1</v>
      </c>
    </row>
    <row r="772" spans="1:4" hidden="1" x14ac:dyDescent="0.3">
      <c r="A772">
        <v>770</v>
      </c>
      <c r="B772" t="s">
        <v>156</v>
      </c>
      <c r="C772" t="s">
        <v>157</v>
      </c>
      <c r="D772">
        <v>1</v>
      </c>
    </row>
    <row r="773" spans="1:4" hidden="1" x14ac:dyDescent="0.3">
      <c r="A773">
        <v>771</v>
      </c>
      <c r="B773" s="1" t="s">
        <v>952</v>
      </c>
      <c r="C773" t="s">
        <v>159</v>
      </c>
      <c r="D773" s="1" t="s">
        <v>953</v>
      </c>
    </row>
    <row r="774" spans="1:4" hidden="1" x14ac:dyDescent="0.3">
      <c r="A774">
        <v>772</v>
      </c>
      <c r="B774" t="s">
        <v>954</v>
      </c>
      <c r="C774" t="s">
        <v>162</v>
      </c>
      <c r="D774">
        <v>1.00330132024987</v>
      </c>
    </row>
    <row r="775" spans="1:4" hidden="1" x14ac:dyDescent="0.3">
      <c r="A775">
        <v>773</v>
      </c>
      <c r="B775" t="s">
        <v>955</v>
      </c>
      <c r="C775" t="s">
        <v>164</v>
      </c>
      <c r="D775">
        <v>0.99496450497352795</v>
      </c>
    </row>
    <row r="776" spans="1:4" hidden="1" x14ac:dyDescent="0.3">
      <c r="A776">
        <v>774</v>
      </c>
      <c r="B776" s="1" t="s">
        <v>956</v>
      </c>
      <c r="C776" t="s">
        <v>166</v>
      </c>
      <c r="D776" s="1" t="s">
        <v>957</v>
      </c>
    </row>
    <row r="777" spans="1:4" hidden="1" x14ac:dyDescent="0.3">
      <c r="A777">
        <v>775</v>
      </c>
      <c r="B777" s="1" t="s">
        <v>958</v>
      </c>
      <c r="C777" t="s">
        <v>55</v>
      </c>
      <c r="D777" s="1" t="s">
        <v>959</v>
      </c>
    </row>
    <row r="778" spans="1:4" hidden="1" x14ac:dyDescent="0.3">
      <c r="A778">
        <v>776</v>
      </c>
      <c r="B778" s="1" t="s">
        <v>960</v>
      </c>
      <c r="C778" t="s">
        <v>52</v>
      </c>
      <c r="D778" s="1" t="s">
        <v>961</v>
      </c>
    </row>
    <row r="779" spans="1:4" hidden="1" x14ac:dyDescent="0.3">
      <c r="A779">
        <v>777</v>
      </c>
      <c r="B779" s="1" t="s">
        <v>962</v>
      </c>
      <c r="C779" t="s">
        <v>58</v>
      </c>
      <c r="D779" s="1" t="s">
        <v>963</v>
      </c>
    </row>
    <row r="780" spans="1:4" hidden="1" x14ac:dyDescent="0.3">
      <c r="A780">
        <v>778</v>
      </c>
      <c r="B780" t="s">
        <v>964</v>
      </c>
      <c r="C780" t="s">
        <v>61</v>
      </c>
      <c r="D780">
        <v>149993546.86054701</v>
      </c>
    </row>
    <row r="781" spans="1:4" hidden="1" x14ac:dyDescent="0.3">
      <c r="A781">
        <v>779</v>
      </c>
      <c r="B781" t="s">
        <v>965</v>
      </c>
      <c r="C781" t="s">
        <v>63</v>
      </c>
      <c r="D781">
        <v>80004866.1052683</v>
      </c>
    </row>
    <row r="782" spans="1:4" hidden="1" x14ac:dyDescent="0.3">
      <c r="A782">
        <v>780</v>
      </c>
      <c r="B782" t="s">
        <v>966</v>
      </c>
      <c r="C782" t="s">
        <v>65</v>
      </c>
      <c r="D782">
        <v>40001856.148430601</v>
      </c>
    </row>
    <row r="783" spans="1:4" hidden="1" x14ac:dyDescent="0.3">
      <c r="A783">
        <v>781</v>
      </c>
      <c r="B783" s="1" t="s">
        <v>967</v>
      </c>
      <c r="C783" t="s">
        <v>67</v>
      </c>
      <c r="D783" s="1" t="s">
        <v>968</v>
      </c>
    </row>
    <row r="784" spans="1:4" hidden="1" x14ac:dyDescent="0.3">
      <c r="A784">
        <v>782</v>
      </c>
      <c r="B784" s="1" t="s">
        <v>969</v>
      </c>
      <c r="C784" t="s">
        <v>70</v>
      </c>
      <c r="D784" s="1" t="s">
        <v>970</v>
      </c>
    </row>
    <row r="785" spans="1:4" hidden="1" x14ac:dyDescent="0.3">
      <c r="A785">
        <v>783</v>
      </c>
      <c r="B785" t="s">
        <v>971</v>
      </c>
      <c r="C785" t="s">
        <v>73</v>
      </c>
      <c r="D785">
        <v>1.0000989381168801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425</v>
      </c>
      <c r="C788" t="s">
        <v>79</v>
      </c>
      <c r="D788" s="2">
        <v>2.2204460492503101E-16</v>
      </c>
    </row>
    <row r="789" spans="1:4" hidden="1" x14ac:dyDescent="0.3">
      <c r="A789">
        <v>787</v>
      </c>
      <c r="B789" s="1" t="s">
        <v>972</v>
      </c>
      <c r="C789" t="s">
        <v>81</v>
      </c>
      <c r="D789" s="1" t="s">
        <v>973</v>
      </c>
    </row>
    <row r="790" spans="1:4" hidden="1" x14ac:dyDescent="0.3">
      <c r="A790">
        <v>788</v>
      </c>
      <c r="B790" t="s">
        <v>974</v>
      </c>
      <c r="C790" t="s">
        <v>84</v>
      </c>
      <c r="D790">
        <v>1.0001233368714499</v>
      </c>
    </row>
    <row r="791" spans="1:4" hidden="1" x14ac:dyDescent="0.3">
      <c r="A791">
        <v>789</v>
      </c>
      <c r="B791" s="1" t="s">
        <v>975</v>
      </c>
      <c r="C791" t="s">
        <v>86</v>
      </c>
      <c r="D791" s="1" t="s">
        <v>976</v>
      </c>
    </row>
    <row r="792" spans="1:4" hidden="1" x14ac:dyDescent="0.3">
      <c r="A792">
        <v>790</v>
      </c>
      <c r="B792" t="s">
        <v>977</v>
      </c>
      <c r="C792" t="s">
        <v>89</v>
      </c>
      <c r="D792">
        <v>99991313.915577307</v>
      </c>
    </row>
    <row r="793" spans="1:4" hidden="1" x14ac:dyDescent="0.3">
      <c r="A793">
        <v>791</v>
      </c>
      <c r="B793" s="1" t="s">
        <v>978</v>
      </c>
      <c r="C793" t="s">
        <v>91</v>
      </c>
      <c r="D793" s="1" t="s">
        <v>924</v>
      </c>
    </row>
    <row r="794" spans="1:4" hidden="1" x14ac:dyDescent="0.3">
      <c r="A794">
        <v>792</v>
      </c>
      <c r="B794" t="s">
        <v>979</v>
      </c>
      <c r="C794" t="s">
        <v>94</v>
      </c>
      <c r="D794">
        <v>80004866.1052683</v>
      </c>
    </row>
    <row r="795" spans="1:4" hidden="1" x14ac:dyDescent="0.3">
      <c r="A795">
        <v>793</v>
      </c>
      <c r="B795" t="s">
        <v>980</v>
      </c>
      <c r="C795" t="s">
        <v>96</v>
      </c>
      <c r="D795">
        <v>40001856.148430601</v>
      </c>
    </row>
    <row r="796" spans="1:4" hidden="1" x14ac:dyDescent="0.3">
      <c r="A796">
        <v>794</v>
      </c>
      <c r="B796" t="s">
        <v>981</v>
      </c>
      <c r="C796" t="s">
        <v>98</v>
      </c>
      <c r="D796">
        <v>29986824.606848899</v>
      </c>
    </row>
    <row r="797" spans="1:4" hidden="1" x14ac:dyDescent="0.3">
      <c r="A797">
        <v>795</v>
      </c>
      <c r="B797" s="1" t="s">
        <v>982</v>
      </c>
      <c r="C797" t="s">
        <v>100</v>
      </c>
      <c r="D797" s="1" t="s">
        <v>983</v>
      </c>
    </row>
    <row r="798" spans="1:4" hidden="1" x14ac:dyDescent="0.3">
      <c r="A798">
        <v>796</v>
      </c>
      <c r="B798" t="s">
        <v>984</v>
      </c>
      <c r="C798" t="s">
        <v>103</v>
      </c>
      <c r="D798">
        <v>5.9066541201381701E-3</v>
      </c>
    </row>
    <row r="799" spans="1:4" hidden="1" x14ac:dyDescent="0.3">
      <c r="A799">
        <v>797</v>
      </c>
      <c r="B799" t="s">
        <v>985</v>
      </c>
      <c r="C799" t="s">
        <v>105</v>
      </c>
      <c r="D799">
        <v>6.6293381965963399E-4</v>
      </c>
    </row>
    <row r="800" spans="1:4" hidden="1" x14ac:dyDescent="0.3">
      <c r="A800">
        <v>798</v>
      </c>
      <c r="B800" t="s">
        <v>986</v>
      </c>
      <c r="C800" t="s">
        <v>107</v>
      </c>
      <c r="D800">
        <v>1.51807925775653E-2</v>
      </c>
    </row>
    <row r="801" spans="1:4" hidden="1" x14ac:dyDescent="0.3">
      <c r="A801">
        <v>799</v>
      </c>
      <c r="B801" s="1" t="s">
        <v>987</v>
      </c>
      <c r="C801" t="s">
        <v>109</v>
      </c>
      <c r="D801" s="1" t="s">
        <v>988</v>
      </c>
    </row>
    <row r="802" spans="1:4" hidden="1" x14ac:dyDescent="0.3">
      <c r="A802">
        <v>800</v>
      </c>
      <c r="B802" t="s">
        <v>989</v>
      </c>
      <c r="C802" t="s">
        <v>197</v>
      </c>
      <c r="D802">
        <v>149994391.973643</v>
      </c>
    </row>
    <row r="803" spans="1:4" hidden="1" x14ac:dyDescent="0.3">
      <c r="A803">
        <v>801</v>
      </c>
      <c r="B803" t="s">
        <v>990</v>
      </c>
      <c r="C803" t="s">
        <v>199</v>
      </c>
      <c r="D803">
        <v>-1951.8412191202101</v>
      </c>
    </row>
    <row r="804" spans="1:4" hidden="1" x14ac:dyDescent="0.3">
      <c r="A804">
        <v>802</v>
      </c>
      <c r="B804" t="s">
        <v>991</v>
      </c>
      <c r="C804" t="s">
        <v>201</v>
      </c>
      <c r="D804">
        <v>-975.90191052622004</v>
      </c>
    </row>
    <row r="805" spans="1:4" hidden="1" x14ac:dyDescent="0.3">
      <c r="A805">
        <v>803</v>
      </c>
      <c r="B805" s="1" t="s">
        <v>992</v>
      </c>
      <c r="C805" t="s">
        <v>203</v>
      </c>
      <c r="D805" s="1" t="s">
        <v>993</v>
      </c>
    </row>
    <row r="806" spans="1:4" hidden="1" x14ac:dyDescent="0.3">
      <c r="A806">
        <v>804</v>
      </c>
      <c r="B806" t="s">
        <v>994</v>
      </c>
      <c r="C806" t="s">
        <v>206</v>
      </c>
      <c r="D806">
        <v>80007442.492729306</v>
      </c>
    </row>
    <row r="807" spans="1:4" hidden="1" x14ac:dyDescent="0.3">
      <c r="A807">
        <v>805</v>
      </c>
      <c r="B807" t="s">
        <v>995</v>
      </c>
      <c r="C807" t="s">
        <v>208</v>
      </c>
      <c r="D807">
        <v>40002954.758873798</v>
      </c>
    </row>
    <row r="808" spans="1:4" hidden="1" x14ac:dyDescent="0.3">
      <c r="A808">
        <v>806</v>
      </c>
      <c r="B808" t="s">
        <v>996</v>
      </c>
      <c r="C808" t="s">
        <v>210</v>
      </c>
      <c r="D808">
        <v>29987654.036350999</v>
      </c>
    </row>
    <row r="809" spans="1:4" hidden="1" x14ac:dyDescent="0.3">
      <c r="A809">
        <v>807</v>
      </c>
      <c r="B809" s="1" t="s">
        <v>997</v>
      </c>
      <c r="C809" t="s">
        <v>212</v>
      </c>
      <c r="D809" s="1" t="s">
        <v>998</v>
      </c>
    </row>
    <row r="810" spans="1:4" hidden="1" x14ac:dyDescent="0.3">
      <c r="A810">
        <v>808</v>
      </c>
      <c r="B810" t="s">
        <v>999</v>
      </c>
      <c r="C810" t="s">
        <v>215</v>
      </c>
      <c r="D810">
        <v>99993753.337752804</v>
      </c>
    </row>
    <row r="811" spans="1:4" hidden="1" x14ac:dyDescent="0.3">
      <c r="A811">
        <v>809</v>
      </c>
      <c r="B811" t="s">
        <v>1000</v>
      </c>
      <c r="C811" t="s">
        <v>217</v>
      </c>
      <c r="D811">
        <v>-2439.4221754670102</v>
      </c>
    </row>
    <row r="812" spans="1:4" hidden="1" x14ac:dyDescent="0.3">
      <c r="A812">
        <v>810</v>
      </c>
      <c r="B812" s="1" t="s">
        <v>1001</v>
      </c>
      <c r="C812" t="s">
        <v>219</v>
      </c>
      <c r="D812" s="1" t="s">
        <v>1002</v>
      </c>
    </row>
    <row r="813" spans="1:4" hidden="1" x14ac:dyDescent="0.3">
      <c r="A813">
        <v>811</v>
      </c>
      <c r="B813" t="s">
        <v>1003</v>
      </c>
      <c r="C813" t="s">
        <v>112</v>
      </c>
      <c r="D813">
        <v>624.54624185900502</v>
      </c>
    </row>
    <row r="814" spans="1:4" hidden="1" x14ac:dyDescent="0.3">
      <c r="A814">
        <v>812</v>
      </c>
      <c r="B814" t="s">
        <v>1004</v>
      </c>
      <c r="C814" t="s">
        <v>114</v>
      </c>
      <c r="D814">
        <v>122.70853270466201</v>
      </c>
    </row>
    <row r="815" spans="1:4" hidden="1" x14ac:dyDescent="0.3">
      <c r="A815">
        <v>813</v>
      </c>
      <c r="B815" s="1" t="s">
        <v>1005</v>
      </c>
      <c r="C815" t="s">
        <v>116</v>
      </c>
      <c r="D815" s="1" t="s">
        <v>1006</v>
      </c>
    </row>
    <row r="816" spans="1:4" hidden="1" x14ac:dyDescent="0.3">
      <c r="A816">
        <v>814</v>
      </c>
      <c r="B816" t="s">
        <v>1007</v>
      </c>
      <c r="C816" t="s">
        <v>119</v>
      </c>
      <c r="D816">
        <v>80007442.492729306</v>
      </c>
    </row>
    <row r="817" spans="1:4" hidden="1" x14ac:dyDescent="0.3">
      <c r="A817">
        <v>815</v>
      </c>
      <c r="B817" t="s">
        <v>1008</v>
      </c>
      <c r="C817" t="s">
        <v>121</v>
      </c>
      <c r="D817">
        <v>40002954.758873798</v>
      </c>
    </row>
    <row r="818" spans="1:4" hidden="1" x14ac:dyDescent="0.3">
      <c r="A818">
        <v>816</v>
      </c>
      <c r="B818" s="1" t="s">
        <v>1009</v>
      </c>
      <c r="C818" t="s">
        <v>123</v>
      </c>
      <c r="D818" s="1" t="s">
        <v>1010</v>
      </c>
    </row>
    <row r="819" spans="1:4" hidden="1" x14ac:dyDescent="0.3">
      <c r="A819">
        <v>817</v>
      </c>
      <c r="B819" t="s">
        <v>1011</v>
      </c>
      <c r="C819" t="s">
        <v>126</v>
      </c>
      <c r="D819">
        <v>0.80002573332546301</v>
      </c>
    </row>
    <row r="820" spans="1:4" hidden="1" x14ac:dyDescent="0.3">
      <c r="A820">
        <v>818</v>
      </c>
      <c r="B820" t="s">
        <v>1012</v>
      </c>
      <c r="C820" t="s">
        <v>128</v>
      </c>
      <c r="D820">
        <v>0.40000520225429897</v>
      </c>
    </row>
    <row r="821" spans="1:4" hidden="1" x14ac:dyDescent="0.3">
      <c r="A821">
        <v>819</v>
      </c>
      <c r="B821" s="1" t="s">
        <v>1013</v>
      </c>
      <c r="C821" t="s">
        <v>130</v>
      </c>
      <c r="D821" s="1" t="s">
        <v>1014</v>
      </c>
    </row>
    <row r="822" spans="1:4" x14ac:dyDescent="0.3">
      <c r="A822">
        <v>820</v>
      </c>
      <c r="B822" s="1" t="s">
        <v>3</v>
      </c>
      <c r="C822" t="s">
        <v>4</v>
      </c>
      <c r="D822" t="s">
        <v>5</v>
      </c>
    </row>
    <row r="823" spans="1:4" hidden="1" x14ac:dyDescent="0.3">
      <c r="A823">
        <v>821</v>
      </c>
      <c r="B823" t="s">
        <v>6</v>
      </c>
      <c r="C823" t="s">
        <v>7</v>
      </c>
      <c r="D823">
        <v>1305.25</v>
      </c>
    </row>
    <row r="824" spans="1:4" hidden="1" x14ac:dyDescent="0.3">
      <c r="A824">
        <v>822</v>
      </c>
      <c r="B824" s="1" t="s">
        <v>132</v>
      </c>
      <c r="C824" t="s">
        <v>9</v>
      </c>
      <c r="D824" s="1" t="s">
        <v>133</v>
      </c>
    </row>
    <row r="825" spans="1:4" hidden="1" x14ac:dyDescent="0.3">
      <c r="A825">
        <v>823</v>
      </c>
      <c r="B825" t="s">
        <v>13</v>
      </c>
      <c r="C825" t="s">
        <v>14</v>
      </c>
      <c r="D825">
        <v>98.4296875</v>
      </c>
    </row>
    <row r="826" spans="1:4" hidden="1" x14ac:dyDescent="0.3">
      <c r="A826">
        <v>824</v>
      </c>
      <c r="B826" t="s">
        <v>15</v>
      </c>
      <c r="C826" t="s">
        <v>16</v>
      </c>
      <c r="D826">
        <v>4.2819487927479898</v>
      </c>
    </row>
    <row r="827" spans="1:4" hidden="1" x14ac:dyDescent="0.3">
      <c r="A827">
        <v>825</v>
      </c>
      <c r="B827" s="1" t="s">
        <v>134</v>
      </c>
      <c r="C827" t="s">
        <v>135</v>
      </c>
      <c r="D827" s="1" t="s">
        <v>136</v>
      </c>
    </row>
    <row r="828" spans="1:4" hidden="1" x14ac:dyDescent="0.3">
      <c r="A828">
        <v>826</v>
      </c>
      <c r="B828" t="s">
        <v>21</v>
      </c>
      <c r="C828" t="s">
        <v>22</v>
      </c>
      <c r="D828">
        <v>83.1</v>
      </c>
    </row>
    <row r="829" spans="1:4" hidden="1" x14ac:dyDescent="0.3">
      <c r="A829">
        <v>827</v>
      </c>
      <c r="B829" t="s">
        <v>1015</v>
      </c>
      <c r="C829" t="s">
        <v>24</v>
      </c>
      <c r="D829">
        <v>4.1021067837289102</v>
      </c>
    </row>
    <row r="830" spans="1:4" hidden="1" x14ac:dyDescent="0.3">
      <c r="A830">
        <v>828</v>
      </c>
      <c r="B830" s="1" t="s">
        <v>1016</v>
      </c>
      <c r="C830" t="s">
        <v>139</v>
      </c>
      <c r="D830" s="1" t="s">
        <v>1017</v>
      </c>
    </row>
    <row r="831" spans="1:4" hidden="1" x14ac:dyDescent="0.3">
      <c r="A831">
        <v>829</v>
      </c>
      <c r="B831" t="s">
        <v>1018</v>
      </c>
      <c r="C831" t="s">
        <v>35</v>
      </c>
      <c r="D831">
        <v>-0.50173723439550599</v>
      </c>
    </row>
    <row r="832" spans="1:4" hidden="1" x14ac:dyDescent="0.3">
      <c r="A832">
        <v>830</v>
      </c>
      <c r="B832" t="s">
        <v>1019</v>
      </c>
      <c r="C832" t="s">
        <v>143</v>
      </c>
      <c r="D832">
        <v>0.73755676374836698</v>
      </c>
    </row>
    <row r="833" spans="1:4" hidden="1" x14ac:dyDescent="0.3">
      <c r="A833">
        <v>831</v>
      </c>
      <c r="B833" s="1" t="s">
        <v>1020</v>
      </c>
      <c r="C833" t="s">
        <v>145</v>
      </c>
      <c r="D833" s="1" t="s">
        <v>1021</v>
      </c>
    </row>
    <row r="834" spans="1:4" hidden="1" x14ac:dyDescent="0.3">
      <c r="A834">
        <v>832</v>
      </c>
      <c r="B834" t="s">
        <v>1022</v>
      </c>
      <c r="C834" t="s">
        <v>30</v>
      </c>
      <c r="D834">
        <v>0.73376375967757601</v>
      </c>
    </row>
    <row r="835" spans="1:4" hidden="1" x14ac:dyDescent="0.3">
      <c r="A835">
        <v>833</v>
      </c>
      <c r="B835" t="s">
        <v>1023</v>
      </c>
      <c r="C835" t="s">
        <v>32</v>
      </c>
      <c r="D835">
        <v>0.152999617805333</v>
      </c>
    </row>
    <row r="836" spans="1:4" hidden="1" x14ac:dyDescent="0.3">
      <c r="A836">
        <v>834</v>
      </c>
      <c r="B836" s="1" t="s">
        <v>1024</v>
      </c>
      <c r="C836" t="s">
        <v>149</v>
      </c>
      <c r="D836" s="1" t="s">
        <v>1025</v>
      </c>
    </row>
    <row r="837" spans="1:4" hidden="1" x14ac:dyDescent="0.3">
      <c r="A837">
        <v>835</v>
      </c>
      <c r="B837" t="s">
        <v>1026</v>
      </c>
      <c r="C837" t="s">
        <v>40</v>
      </c>
      <c r="D837">
        <v>0.76797347471792998</v>
      </c>
    </row>
    <row r="838" spans="1:4" hidden="1" x14ac:dyDescent="0.3">
      <c r="A838">
        <v>836</v>
      </c>
      <c r="B838" t="s">
        <v>1027</v>
      </c>
      <c r="C838" t="s">
        <v>42</v>
      </c>
      <c r="D838">
        <v>0.202828230505431</v>
      </c>
    </row>
    <row r="839" spans="1:4" hidden="1" x14ac:dyDescent="0.3">
      <c r="A839">
        <v>837</v>
      </c>
      <c r="B839" s="1" t="s">
        <v>1028</v>
      </c>
      <c r="C839" t="s">
        <v>153</v>
      </c>
      <c r="D839" s="1" t="s">
        <v>1029</v>
      </c>
    </row>
    <row r="840" spans="1:4" hidden="1" x14ac:dyDescent="0.3">
      <c r="A840">
        <v>838</v>
      </c>
      <c r="B840" t="s">
        <v>154</v>
      </c>
      <c r="C840" t="s">
        <v>155</v>
      </c>
      <c r="D840">
        <v>1</v>
      </c>
    </row>
    <row r="841" spans="1:4" hidden="1" x14ac:dyDescent="0.3">
      <c r="A841">
        <v>839</v>
      </c>
      <c r="B841" t="s">
        <v>156</v>
      </c>
      <c r="C841" t="s">
        <v>157</v>
      </c>
      <c r="D841">
        <v>1</v>
      </c>
    </row>
    <row r="842" spans="1:4" hidden="1" x14ac:dyDescent="0.3">
      <c r="A842">
        <v>840</v>
      </c>
      <c r="B842" s="1" t="s">
        <v>1030</v>
      </c>
      <c r="C842" t="s">
        <v>159</v>
      </c>
      <c r="D842" s="1" t="s">
        <v>1031</v>
      </c>
    </row>
    <row r="843" spans="1:4" hidden="1" x14ac:dyDescent="0.3">
      <c r="A843">
        <v>841</v>
      </c>
      <c r="B843" t="s">
        <v>1032</v>
      </c>
      <c r="C843" t="s">
        <v>162</v>
      </c>
      <c r="D843">
        <v>1.0006600268833501</v>
      </c>
    </row>
    <row r="844" spans="1:4" hidden="1" x14ac:dyDescent="0.3">
      <c r="A844">
        <v>842</v>
      </c>
      <c r="B844" t="s">
        <v>1033</v>
      </c>
      <c r="C844" t="s">
        <v>164</v>
      </c>
      <c r="D844">
        <v>1.0002496943593699</v>
      </c>
    </row>
    <row r="845" spans="1:4" hidden="1" x14ac:dyDescent="0.3">
      <c r="A845">
        <v>843</v>
      </c>
      <c r="B845" s="1" t="s">
        <v>1034</v>
      </c>
      <c r="C845" t="s">
        <v>166</v>
      </c>
      <c r="D845" s="1" t="s">
        <v>1035</v>
      </c>
    </row>
    <row r="846" spans="1:4" hidden="1" x14ac:dyDescent="0.3">
      <c r="A846">
        <v>844</v>
      </c>
      <c r="B846" s="1" t="s">
        <v>1036</v>
      </c>
      <c r="C846" t="s">
        <v>55</v>
      </c>
      <c r="D846" s="1" t="s">
        <v>1037</v>
      </c>
    </row>
    <row r="847" spans="1:4" hidden="1" x14ac:dyDescent="0.3">
      <c r="A847">
        <v>845</v>
      </c>
      <c r="B847" s="1" t="s">
        <v>1038</v>
      </c>
      <c r="C847" t="s">
        <v>52</v>
      </c>
      <c r="D847" s="1" t="s">
        <v>1039</v>
      </c>
    </row>
    <row r="848" spans="1:4" hidden="1" x14ac:dyDescent="0.3">
      <c r="A848">
        <v>846</v>
      </c>
      <c r="B848" s="1" t="s">
        <v>1040</v>
      </c>
      <c r="C848" t="s">
        <v>58</v>
      </c>
      <c r="D848" s="1" t="s">
        <v>1041</v>
      </c>
    </row>
    <row r="849" spans="1:4" hidden="1" x14ac:dyDescent="0.3">
      <c r="A849">
        <v>847</v>
      </c>
      <c r="B849" t="s">
        <v>1042</v>
      </c>
      <c r="C849" t="s">
        <v>61</v>
      </c>
      <c r="D849">
        <v>149997172.34467101</v>
      </c>
    </row>
    <row r="850" spans="1:4" hidden="1" x14ac:dyDescent="0.3">
      <c r="A850">
        <v>848</v>
      </c>
      <c r="B850" t="s">
        <v>1043</v>
      </c>
      <c r="C850" t="s">
        <v>63</v>
      </c>
      <c r="D850">
        <v>80007442.492729306</v>
      </c>
    </row>
    <row r="851" spans="1:4" hidden="1" x14ac:dyDescent="0.3">
      <c r="A851">
        <v>849</v>
      </c>
      <c r="B851" t="s">
        <v>1044</v>
      </c>
      <c r="C851" t="s">
        <v>65</v>
      </c>
      <c r="D851">
        <v>40002954.758873798</v>
      </c>
    </row>
    <row r="852" spans="1:4" hidden="1" x14ac:dyDescent="0.3">
      <c r="A852">
        <v>850</v>
      </c>
      <c r="B852" s="1" t="s">
        <v>1045</v>
      </c>
      <c r="C852" t="s">
        <v>67</v>
      </c>
      <c r="D852" s="1" t="s">
        <v>1046</v>
      </c>
    </row>
    <row r="853" spans="1:4" hidden="1" x14ac:dyDescent="0.3">
      <c r="A853">
        <v>851</v>
      </c>
      <c r="B853" s="1" t="s">
        <v>1047</v>
      </c>
      <c r="C853" t="s">
        <v>70</v>
      </c>
      <c r="D853" s="1" t="s">
        <v>1048</v>
      </c>
    </row>
    <row r="854" spans="1:4" hidden="1" x14ac:dyDescent="0.3">
      <c r="A854">
        <v>852</v>
      </c>
      <c r="B854" t="s">
        <v>1049</v>
      </c>
      <c r="C854" t="s">
        <v>73</v>
      </c>
      <c r="D854">
        <v>1.0001233368714499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268</v>
      </c>
      <c r="C857" t="s">
        <v>79</v>
      </c>
      <c r="D857" s="2">
        <v>-2.2204460492503101E-16</v>
      </c>
    </row>
    <row r="858" spans="1:4" hidden="1" x14ac:dyDescent="0.3">
      <c r="A858">
        <v>856</v>
      </c>
      <c r="B858" s="1" t="s">
        <v>1050</v>
      </c>
      <c r="C858" t="s">
        <v>81</v>
      </c>
      <c r="D858" s="1" t="s">
        <v>1051</v>
      </c>
    </row>
    <row r="859" spans="1:4" hidden="1" x14ac:dyDescent="0.3">
      <c r="A859">
        <v>857</v>
      </c>
      <c r="B859" t="s">
        <v>1052</v>
      </c>
      <c r="C859" t="s">
        <v>84</v>
      </c>
      <c r="D859">
        <v>1.0001557735281299</v>
      </c>
    </row>
    <row r="860" spans="1:4" hidden="1" x14ac:dyDescent="0.3">
      <c r="A860">
        <v>858</v>
      </c>
      <c r="B860" s="1" t="s">
        <v>1053</v>
      </c>
      <c r="C860" t="s">
        <v>86</v>
      </c>
      <c r="D860" s="1" t="s">
        <v>1054</v>
      </c>
    </row>
    <row r="861" spans="1:4" hidden="1" x14ac:dyDescent="0.3">
      <c r="A861">
        <v>859</v>
      </c>
      <c r="B861" t="s">
        <v>1055</v>
      </c>
      <c r="C861" t="s">
        <v>89</v>
      </c>
      <c r="D861">
        <v>99988071.036810905</v>
      </c>
    </row>
    <row r="862" spans="1:4" hidden="1" x14ac:dyDescent="0.3">
      <c r="A862">
        <v>860</v>
      </c>
      <c r="B862" s="1" t="s">
        <v>1056</v>
      </c>
      <c r="C862" t="s">
        <v>91</v>
      </c>
      <c r="D862" s="1" t="s">
        <v>1002</v>
      </c>
    </row>
    <row r="863" spans="1:4" hidden="1" x14ac:dyDescent="0.3">
      <c r="A863">
        <v>861</v>
      </c>
      <c r="B863" t="s">
        <v>1057</v>
      </c>
      <c r="C863" t="s">
        <v>94</v>
      </c>
      <c r="D863">
        <v>80007442.492729306</v>
      </c>
    </row>
    <row r="864" spans="1:4" hidden="1" x14ac:dyDescent="0.3">
      <c r="A864">
        <v>862</v>
      </c>
      <c r="B864" t="s">
        <v>1058</v>
      </c>
      <c r="C864" t="s">
        <v>96</v>
      </c>
      <c r="D864">
        <v>40002954.758873798</v>
      </c>
    </row>
    <row r="865" spans="1:4" hidden="1" x14ac:dyDescent="0.3">
      <c r="A865">
        <v>863</v>
      </c>
      <c r="B865" t="s">
        <v>1059</v>
      </c>
      <c r="C865" t="s">
        <v>98</v>
      </c>
      <c r="D865">
        <v>29986775.093068499</v>
      </c>
    </row>
    <row r="866" spans="1:4" hidden="1" x14ac:dyDescent="0.3">
      <c r="A866">
        <v>864</v>
      </c>
      <c r="B866" s="1" t="s">
        <v>1060</v>
      </c>
      <c r="C866" t="s">
        <v>100</v>
      </c>
      <c r="D866" s="1" t="s">
        <v>1061</v>
      </c>
    </row>
    <row r="867" spans="1:4" hidden="1" x14ac:dyDescent="0.3">
      <c r="A867">
        <v>865</v>
      </c>
      <c r="B867" t="s">
        <v>1062</v>
      </c>
      <c r="C867" t="s">
        <v>103</v>
      </c>
      <c r="D867">
        <v>5.9381108153320301E-3</v>
      </c>
    </row>
    <row r="868" spans="1:4" hidden="1" x14ac:dyDescent="0.3">
      <c r="A868">
        <v>866</v>
      </c>
      <c r="B868" t="s">
        <v>1063</v>
      </c>
      <c r="C868" t="s">
        <v>105</v>
      </c>
      <c r="D868">
        <v>6.6641305030381605E-4</v>
      </c>
    </row>
    <row r="869" spans="1:4" hidden="1" x14ac:dyDescent="0.3">
      <c r="A869">
        <v>867</v>
      </c>
      <c r="B869" t="s">
        <v>1064</v>
      </c>
      <c r="C869" t="s">
        <v>107</v>
      </c>
      <c r="D869">
        <v>1.5195727897549E-2</v>
      </c>
    </row>
    <row r="870" spans="1:4" hidden="1" x14ac:dyDescent="0.3">
      <c r="A870">
        <v>868</v>
      </c>
      <c r="B870" s="1" t="s">
        <v>1065</v>
      </c>
      <c r="C870" t="s">
        <v>109</v>
      </c>
      <c r="D870" s="1" t="s">
        <v>1066</v>
      </c>
    </row>
    <row r="871" spans="1:4" hidden="1" x14ac:dyDescent="0.3">
      <c r="A871">
        <v>869</v>
      </c>
      <c r="B871" t="s">
        <v>1067</v>
      </c>
      <c r="C871" t="s">
        <v>197</v>
      </c>
      <c r="D871">
        <v>149998294.903211</v>
      </c>
    </row>
    <row r="872" spans="1:4" hidden="1" x14ac:dyDescent="0.3">
      <c r="A872">
        <v>870</v>
      </c>
      <c r="B872" t="s">
        <v>1068</v>
      </c>
      <c r="C872" t="s">
        <v>199</v>
      </c>
      <c r="D872">
        <v>-2594.8808331728401</v>
      </c>
    </row>
    <row r="873" spans="1:4" hidden="1" x14ac:dyDescent="0.3">
      <c r="A873">
        <v>871</v>
      </c>
      <c r="B873" t="s">
        <v>1069</v>
      </c>
      <c r="C873" t="s">
        <v>201</v>
      </c>
      <c r="D873">
        <v>-1297.4073576753301</v>
      </c>
    </row>
    <row r="874" spans="1:4" hidden="1" x14ac:dyDescent="0.3">
      <c r="A874">
        <v>872</v>
      </c>
      <c r="B874" s="1" t="s">
        <v>1070</v>
      </c>
      <c r="C874" t="s">
        <v>203</v>
      </c>
      <c r="D874" s="1" t="s">
        <v>1071</v>
      </c>
    </row>
    <row r="875" spans="1:4" hidden="1" x14ac:dyDescent="0.3">
      <c r="A875">
        <v>873</v>
      </c>
      <c r="B875" t="s">
        <v>1072</v>
      </c>
      <c r="C875" t="s">
        <v>206</v>
      </c>
      <c r="D875">
        <v>80010867.705403507</v>
      </c>
    </row>
    <row r="876" spans="1:4" hidden="1" x14ac:dyDescent="0.3">
      <c r="A876">
        <v>874</v>
      </c>
      <c r="B876" t="s">
        <v>1073</v>
      </c>
      <c r="C876" t="s">
        <v>208</v>
      </c>
      <c r="D876">
        <v>40004414.510260999</v>
      </c>
    </row>
    <row r="877" spans="1:4" hidden="1" x14ac:dyDescent="0.3">
      <c r="A877">
        <v>875</v>
      </c>
      <c r="B877" t="s">
        <v>1074</v>
      </c>
      <c r="C877" t="s">
        <v>210</v>
      </c>
      <c r="D877">
        <v>29987877.530727599</v>
      </c>
    </row>
    <row r="878" spans="1:4" hidden="1" x14ac:dyDescent="0.3">
      <c r="A878">
        <v>876</v>
      </c>
      <c r="B878" s="1" t="s">
        <v>1075</v>
      </c>
      <c r="C878" t="s">
        <v>212</v>
      </c>
      <c r="D878" s="1" t="s">
        <v>1076</v>
      </c>
    </row>
    <row r="879" spans="1:4" hidden="1" x14ac:dyDescent="0.3">
      <c r="A879">
        <v>877</v>
      </c>
      <c r="B879" t="s">
        <v>1077</v>
      </c>
      <c r="C879" t="s">
        <v>215</v>
      </c>
      <c r="D879">
        <v>99991313.915577307</v>
      </c>
    </row>
    <row r="880" spans="1:4" hidden="1" x14ac:dyDescent="0.3">
      <c r="A880">
        <v>878</v>
      </c>
      <c r="B880" t="s">
        <v>1078</v>
      </c>
      <c r="C880" t="s">
        <v>217</v>
      </c>
      <c r="D880">
        <v>-3242.8787664025999</v>
      </c>
    </row>
    <row r="881" spans="1:4" hidden="1" x14ac:dyDescent="0.3">
      <c r="A881">
        <v>879</v>
      </c>
      <c r="B881" s="1" t="s">
        <v>1079</v>
      </c>
      <c r="C881" t="s">
        <v>219</v>
      </c>
      <c r="D881" s="1" t="s">
        <v>1080</v>
      </c>
    </row>
    <row r="882" spans="1:4" hidden="1" x14ac:dyDescent="0.3">
      <c r="A882">
        <v>880</v>
      </c>
      <c r="B882" t="s">
        <v>1081</v>
      </c>
      <c r="C882" t="s">
        <v>112</v>
      </c>
      <c r="D882">
        <v>830.33184102997598</v>
      </c>
    </row>
    <row r="883" spans="1:4" hidden="1" x14ac:dyDescent="0.3">
      <c r="A883">
        <v>881</v>
      </c>
      <c r="B883" t="s">
        <v>1082</v>
      </c>
      <c r="C883" t="s">
        <v>114</v>
      </c>
      <c r="D883">
        <v>162.344029512688</v>
      </c>
    </row>
    <row r="884" spans="1:4" hidden="1" x14ac:dyDescent="0.3">
      <c r="A884">
        <v>882</v>
      </c>
      <c r="B884" s="1" t="s">
        <v>1083</v>
      </c>
      <c r="C884" t="s">
        <v>116</v>
      </c>
      <c r="D884" s="1" t="s">
        <v>1084</v>
      </c>
    </row>
    <row r="885" spans="1:4" hidden="1" x14ac:dyDescent="0.3">
      <c r="A885">
        <v>883</v>
      </c>
      <c r="B885" t="s">
        <v>1085</v>
      </c>
      <c r="C885" t="s">
        <v>119</v>
      </c>
      <c r="D885">
        <v>80010867.705403507</v>
      </c>
    </row>
    <row r="886" spans="1:4" hidden="1" x14ac:dyDescent="0.3">
      <c r="A886">
        <v>884</v>
      </c>
      <c r="B886" t="s">
        <v>1086</v>
      </c>
      <c r="C886" t="s">
        <v>121</v>
      </c>
      <c r="D886">
        <v>40004414.510260999</v>
      </c>
    </row>
    <row r="887" spans="1:4" hidden="1" x14ac:dyDescent="0.3">
      <c r="A887">
        <v>885</v>
      </c>
      <c r="B887" s="1" t="s">
        <v>1087</v>
      </c>
      <c r="C887" t="s">
        <v>123</v>
      </c>
      <c r="D887" s="1" t="s">
        <v>1088</v>
      </c>
    </row>
    <row r="888" spans="1:4" hidden="1" x14ac:dyDescent="0.3">
      <c r="A888">
        <v>886</v>
      </c>
      <c r="B888" t="s">
        <v>1089</v>
      </c>
      <c r="C888" t="s">
        <v>126</v>
      </c>
      <c r="D888">
        <v>0.80005355404157397</v>
      </c>
    </row>
    <row r="889" spans="1:4" hidden="1" x14ac:dyDescent="0.3">
      <c r="A889">
        <v>887</v>
      </c>
      <c r="B889" t="s">
        <v>1090</v>
      </c>
      <c r="C889" t="s">
        <v>128</v>
      </c>
      <c r="D889">
        <v>0.400016584298649</v>
      </c>
    </row>
    <row r="890" spans="1:4" hidden="1" x14ac:dyDescent="0.3">
      <c r="A890">
        <v>888</v>
      </c>
      <c r="B890" s="1" t="s">
        <v>1091</v>
      </c>
      <c r="C890" t="s">
        <v>130</v>
      </c>
      <c r="D890" s="1" t="s">
        <v>1092</v>
      </c>
    </row>
    <row r="891" spans="1:4" ht="72" x14ac:dyDescent="0.3">
      <c r="A891">
        <v>889</v>
      </c>
      <c r="B891" s="1" t="s">
        <v>3</v>
      </c>
      <c r="C891" t="s">
        <v>4</v>
      </c>
      <c r="D891" t="s">
        <v>5</v>
      </c>
    </row>
    <row r="892" spans="1:4" hidden="1" x14ac:dyDescent="0.3">
      <c r="A892">
        <v>890</v>
      </c>
      <c r="B892" t="s">
        <v>6</v>
      </c>
      <c r="C892" t="s">
        <v>7</v>
      </c>
      <c r="D892">
        <v>1305.25</v>
      </c>
    </row>
    <row r="893" spans="1:4" hidden="1" x14ac:dyDescent="0.3">
      <c r="A893">
        <v>891</v>
      </c>
      <c r="B893" s="1" t="s">
        <v>132</v>
      </c>
      <c r="C893" t="s">
        <v>9</v>
      </c>
      <c r="D893" s="1" t="s">
        <v>133</v>
      </c>
    </row>
    <row r="894" spans="1:4" hidden="1" x14ac:dyDescent="0.3">
      <c r="A894">
        <v>892</v>
      </c>
      <c r="B894" t="s">
        <v>13</v>
      </c>
      <c r="C894" t="s">
        <v>14</v>
      </c>
      <c r="D894">
        <v>98.4296875</v>
      </c>
    </row>
    <row r="895" spans="1:4" hidden="1" x14ac:dyDescent="0.3">
      <c r="A895">
        <v>893</v>
      </c>
      <c r="B895" t="s">
        <v>15</v>
      </c>
      <c r="C895" t="s">
        <v>16</v>
      </c>
      <c r="D895">
        <v>4.2819487927479898</v>
      </c>
    </row>
    <row r="896" spans="1:4" hidden="1" x14ac:dyDescent="0.3">
      <c r="A896">
        <v>894</v>
      </c>
      <c r="B896" s="1" t="s">
        <v>134</v>
      </c>
      <c r="C896" t="s">
        <v>135</v>
      </c>
      <c r="D896" s="1" t="s">
        <v>136</v>
      </c>
    </row>
    <row r="897" spans="1:4" hidden="1" x14ac:dyDescent="0.3">
      <c r="A897">
        <v>895</v>
      </c>
      <c r="B897" t="s">
        <v>21</v>
      </c>
      <c r="C897" t="s">
        <v>22</v>
      </c>
      <c r="D897">
        <v>83.1</v>
      </c>
    </row>
    <row r="898" spans="1:4" hidden="1" x14ac:dyDescent="0.3">
      <c r="A898">
        <v>896</v>
      </c>
      <c r="B898" t="s">
        <v>1093</v>
      </c>
      <c r="C898" t="s">
        <v>24</v>
      </c>
      <c r="D898">
        <v>4.1193540409970302</v>
      </c>
    </row>
    <row r="899" spans="1:4" hidden="1" x14ac:dyDescent="0.3">
      <c r="A899">
        <v>897</v>
      </c>
      <c r="B899" s="1" t="s">
        <v>1094</v>
      </c>
      <c r="C899" t="s">
        <v>139</v>
      </c>
      <c r="D899" s="1" t="s">
        <v>1095</v>
      </c>
    </row>
    <row r="900" spans="1:4" hidden="1" x14ac:dyDescent="0.3">
      <c r="A900">
        <v>898</v>
      </c>
      <c r="B900" t="s">
        <v>1096</v>
      </c>
      <c r="C900" t="s">
        <v>35</v>
      </c>
      <c r="D900">
        <v>-0.50860317300407898</v>
      </c>
    </row>
    <row r="901" spans="1:4" hidden="1" x14ac:dyDescent="0.3">
      <c r="A901">
        <v>899</v>
      </c>
      <c r="B901" t="s">
        <v>1097</v>
      </c>
      <c r="C901" t="s">
        <v>143</v>
      </c>
      <c r="D901">
        <v>0.738862781178522</v>
      </c>
    </row>
    <row r="902" spans="1:4" hidden="1" x14ac:dyDescent="0.3">
      <c r="A902">
        <v>900</v>
      </c>
      <c r="B902" s="1" t="s">
        <v>1098</v>
      </c>
      <c r="C902" t="s">
        <v>145</v>
      </c>
      <c r="D902" s="1" t="s">
        <v>1099</v>
      </c>
    </row>
    <row r="903" spans="1:4" hidden="1" x14ac:dyDescent="0.3">
      <c r="A903">
        <v>901</v>
      </c>
      <c r="B903" t="s">
        <v>1100</v>
      </c>
      <c r="C903" t="s">
        <v>30</v>
      </c>
      <c r="D903">
        <v>0.74380482615973798</v>
      </c>
    </row>
    <row r="904" spans="1:4" hidden="1" x14ac:dyDescent="0.3">
      <c r="A904">
        <v>902</v>
      </c>
      <c r="B904" t="s">
        <v>1101</v>
      </c>
      <c r="C904" t="s">
        <v>32</v>
      </c>
      <c r="D904">
        <v>0.15177401743899899</v>
      </c>
    </row>
    <row r="905" spans="1:4" hidden="1" x14ac:dyDescent="0.3">
      <c r="A905">
        <v>903</v>
      </c>
      <c r="B905" s="1" t="s">
        <v>1102</v>
      </c>
      <c r="C905" t="s">
        <v>149</v>
      </c>
      <c r="D905" s="1" t="s">
        <v>1103</v>
      </c>
    </row>
    <row r="906" spans="1:4" hidden="1" x14ac:dyDescent="0.3">
      <c r="A906">
        <v>904</v>
      </c>
      <c r="B906" t="s">
        <v>1104</v>
      </c>
      <c r="C906" t="s">
        <v>40</v>
      </c>
      <c r="D906">
        <v>0.76479834684434</v>
      </c>
    </row>
    <row r="907" spans="1:4" hidden="1" x14ac:dyDescent="0.3">
      <c r="A907">
        <v>905</v>
      </c>
      <c r="B907" t="s">
        <v>1105</v>
      </c>
      <c r="C907" t="s">
        <v>42</v>
      </c>
      <c r="D907">
        <v>0.20165726300112599</v>
      </c>
    </row>
    <row r="908" spans="1:4" hidden="1" x14ac:dyDescent="0.3">
      <c r="A908">
        <v>906</v>
      </c>
      <c r="B908" s="1" t="s">
        <v>1106</v>
      </c>
      <c r="C908" t="s">
        <v>153</v>
      </c>
      <c r="D908" s="1" t="s">
        <v>1107</v>
      </c>
    </row>
    <row r="909" spans="1:4" hidden="1" x14ac:dyDescent="0.3">
      <c r="A909">
        <v>907</v>
      </c>
      <c r="B909" t="s">
        <v>154</v>
      </c>
      <c r="C909" t="s">
        <v>155</v>
      </c>
      <c r="D909">
        <v>1</v>
      </c>
    </row>
    <row r="910" spans="1:4" hidden="1" x14ac:dyDescent="0.3">
      <c r="A910">
        <v>908</v>
      </c>
      <c r="B910" t="s">
        <v>156</v>
      </c>
      <c r="C910" t="s">
        <v>157</v>
      </c>
      <c r="D910">
        <v>1</v>
      </c>
    </row>
    <row r="911" spans="1:4" hidden="1" x14ac:dyDescent="0.3">
      <c r="A911">
        <v>909</v>
      </c>
      <c r="B911" s="1" t="s">
        <v>1108</v>
      </c>
      <c r="C911" t="s">
        <v>159</v>
      </c>
      <c r="D911" s="1" t="s">
        <v>1109</v>
      </c>
    </row>
    <row r="912" spans="1:4" hidden="1" x14ac:dyDescent="0.3">
      <c r="A912">
        <v>910</v>
      </c>
      <c r="B912" t="s">
        <v>1110</v>
      </c>
      <c r="C912" t="s">
        <v>162</v>
      </c>
      <c r="D912">
        <v>1.00075164015208</v>
      </c>
    </row>
    <row r="913" spans="1:4" hidden="1" x14ac:dyDescent="0.3">
      <c r="A913">
        <v>911</v>
      </c>
      <c r="B913" t="s">
        <v>1111</v>
      </c>
      <c r="C913" t="s">
        <v>164</v>
      </c>
      <c r="D913">
        <v>0.99893703315473104</v>
      </c>
    </row>
    <row r="914" spans="1:4" hidden="1" x14ac:dyDescent="0.3">
      <c r="A914">
        <v>912</v>
      </c>
      <c r="B914" s="1" t="s">
        <v>1112</v>
      </c>
      <c r="C914" t="s">
        <v>166</v>
      </c>
      <c r="D914" s="1" t="s">
        <v>1113</v>
      </c>
    </row>
    <row r="915" spans="1:4" hidden="1" x14ac:dyDescent="0.3">
      <c r="A915">
        <v>913</v>
      </c>
      <c r="B915" s="1" t="s">
        <v>1114</v>
      </c>
      <c r="C915" t="s">
        <v>55</v>
      </c>
      <c r="D915" s="1" t="s">
        <v>1115</v>
      </c>
    </row>
    <row r="916" spans="1:4" hidden="1" x14ac:dyDescent="0.3">
      <c r="A916">
        <v>914</v>
      </c>
      <c r="B916" s="1" t="s">
        <v>1116</v>
      </c>
      <c r="C916" t="s">
        <v>52</v>
      </c>
      <c r="D916" s="1" t="s">
        <v>1117</v>
      </c>
    </row>
    <row r="917" spans="1:4" hidden="1" x14ac:dyDescent="0.3">
      <c r="A917">
        <v>915</v>
      </c>
      <c r="B917" s="1" t="s">
        <v>1118</v>
      </c>
      <c r="C917" t="s">
        <v>58</v>
      </c>
      <c r="D917" s="1" t="s">
        <v>1119</v>
      </c>
    </row>
    <row r="918" spans="1:4" hidden="1" x14ac:dyDescent="0.3">
      <c r="A918">
        <v>916</v>
      </c>
      <c r="B918" t="s">
        <v>1120</v>
      </c>
      <c r="C918" t="s">
        <v>61</v>
      </c>
      <c r="D918">
        <v>150009090.89482099</v>
      </c>
    </row>
    <row r="919" spans="1:4" hidden="1" x14ac:dyDescent="0.3">
      <c r="A919">
        <v>917</v>
      </c>
      <c r="B919" t="s">
        <v>1121</v>
      </c>
      <c r="C919" t="s">
        <v>63</v>
      </c>
      <c r="D919">
        <v>80010867.705403507</v>
      </c>
    </row>
    <row r="920" spans="1:4" hidden="1" x14ac:dyDescent="0.3">
      <c r="A920">
        <v>918</v>
      </c>
      <c r="B920" t="s">
        <v>1122</v>
      </c>
      <c r="C920" t="s">
        <v>65</v>
      </c>
      <c r="D920">
        <v>40004414.510260999</v>
      </c>
    </row>
    <row r="921" spans="1:4" hidden="1" x14ac:dyDescent="0.3">
      <c r="A921">
        <v>919</v>
      </c>
      <c r="B921" s="1" t="s">
        <v>1123</v>
      </c>
      <c r="C921" t="s">
        <v>67</v>
      </c>
      <c r="D921" s="1" t="s">
        <v>1124</v>
      </c>
    </row>
    <row r="922" spans="1:4" hidden="1" x14ac:dyDescent="0.3">
      <c r="A922">
        <v>920</v>
      </c>
      <c r="B922" s="1" t="s">
        <v>1125</v>
      </c>
      <c r="C922" t="s">
        <v>70</v>
      </c>
      <c r="D922" s="1" t="s">
        <v>1126</v>
      </c>
    </row>
    <row r="923" spans="1:4" hidden="1" x14ac:dyDescent="0.3">
      <c r="A923">
        <v>921</v>
      </c>
      <c r="B923" t="s">
        <v>1127</v>
      </c>
      <c r="C923" t="s">
        <v>73</v>
      </c>
      <c r="D923">
        <v>1.0001557735281299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1128</v>
      </c>
      <c r="C927" t="s">
        <v>81</v>
      </c>
      <c r="D927" s="1" t="s">
        <v>1129</v>
      </c>
    </row>
    <row r="928" spans="1:4" hidden="1" x14ac:dyDescent="0.3">
      <c r="A928">
        <v>926</v>
      </c>
      <c r="B928" t="s">
        <v>1130</v>
      </c>
      <c r="C928" t="s">
        <v>84</v>
      </c>
      <c r="D928">
        <v>1.00015441334033</v>
      </c>
    </row>
    <row r="929" spans="1:4" hidden="1" x14ac:dyDescent="0.3">
      <c r="A929">
        <v>927</v>
      </c>
      <c r="B929" s="1" t="s">
        <v>1131</v>
      </c>
      <c r="C929" t="s">
        <v>86</v>
      </c>
      <c r="D929" s="1" t="s">
        <v>1132</v>
      </c>
    </row>
    <row r="930" spans="1:4" hidden="1" x14ac:dyDescent="0.3">
      <c r="A930">
        <v>928</v>
      </c>
      <c r="B930" t="s">
        <v>1133</v>
      </c>
      <c r="C930" t="s">
        <v>89</v>
      </c>
      <c r="D930">
        <v>99990620.710801303</v>
      </c>
    </row>
    <row r="931" spans="1:4" hidden="1" x14ac:dyDescent="0.3">
      <c r="A931">
        <v>929</v>
      </c>
      <c r="B931" s="1" t="s">
        <v>1134</v>
      </c>
      <c r="C931" t="s">
        <v>91</v>
      </c>
      <c r="D931" s="1" t="s">
        <v>1080</v>
      </c>
    </row>
    <row r="932" spans="1:4" hidden="1" x14ac:dyDescent="0.3">
      <c r="A932">
        <v>930</v>
      </c>
      <c r="B932" t="s">
        <v>1135</v>
      </c>
      <c r="C932" t="s">
        <v>94</v>
      </c>
      <c r="D932">
        <v>80010867.705403507</v>
      </c>
    </row>
    <row r="933" spans="1:4" hidden="1" x14ac:dyDescent="0.3">
      <c r="A933">
        <v>931</v>
      </c>
      <c r="B933" t="s">
        <v>1136</v>
      </c>
      <c r="C933" t="s">
        <v>96</v>
      </c>
      <c r="D933">
        <v>40004414.510260999</v>
      </c>
    </row>
    <row r="934" spans="1:4" hidden="1" x14ac:dyDescent="0.3">
      <c r="A934">
        <v>932</v>
      </c>
      <c r="B934" t="s">
        <v>1137</v>
      </c>
      <c r="C934" t="s">
        <v>98</v>
      </c>
      <c r="D934">
        <v>29993808.679157101</v>
      </c>
    </row>
    <row r="935" spans="1:4" hidden="1" x14ac:dyDescent="0.3">
      <c r="A935">
        <v>933</v>
      </c>
      <c r="B935" s="1" t="s">
        <v>1138</v>
      </c>
      <c r="C935" t="s">
        <v>100</v>
      </c>
      <c r="D935" s="1" t="s">
        <v>1139</v>
      </c>
    </row>
    <row r="936" spans="1:4" hidden="1" x14ac:dyDescent="0.3">
      <c r="A936">
        <v>934</v>
      </c>
      <c r="B936" t="s">
        <v>1140</v>
      </c>
      <c r="C936" t="s">
        <v>103</v>
      </c>
      <c r="D936">
        <v>5.9708526268672799E-3</v>
      </c>
    </row>
    <row r="937" spans="1:4" hidden="1" x14ac:dyDescent="0.3">
      <c r="A937">
        <v>935</v>
      </c>
      <c r="B937" t="s">
        <v>1141</v>
      </c>
      <c r="C937" t="s">
        <v>105</v>
      </c>
      <c r="D937">
        <v>6.6355944008280395E-4</v>
      </c>
    </row>
    <row r="938" spans="1:4" hidden="1" x14ac:dyDescent="0.3">
      <c r="A938">
        <v>936</v>
      </c>
      <c r="B938" t="s">
        <v>1142</v>
      </c>
      <c r="C938" t="s">
        <v>107</v>
      </c>
      <c r="D938">
        <v>1.50949412087465E-2</v>
      </c>
    </row>
    <row r="939" spans="1:4" hidden="1" x14ac:dyDescent="0.3">
      <c r="A939">
        <v>937</v>
      </c>
      <c r="B939" s="1" t="s">
        <v>1143</v>
      </c>
      <c r="C939" t="s">
        <v>109</v>
      </c>
      <c r="D939" s="1" t="s">
        <v>1144</v>
      </c>
    </row>
    <row r="940" spans="1:4" hidden="1" x14ac:dyDescent="0.3">
      <c r="A940">
        <v>938</v>
      </c>
      <c r="B940" t="s">
        <v>1145</v>
      </c>
      <c r="C940" t="s">
        <v>197</v>
      </c>
      <c r="D940">
        <v>150009043.81710899</v>
      </c>
    </row>
    <row r="941" spans="1:4" hidden="1" x14ac:dyDescent="0.3">
      <c r="A941">
        <v>939</v>
      </c>
      <c r="B941" t="s">
        <v>1146</v>
      </c>
      <c r="C941" t="s">
        <v>199</v>
      </c>
      <c r="D941">
        <v>2040.20675245746</v>
      </c>
    </row>
    <row r="942" spans="1:4" hidden="1" x14ac:dyDescent="0.3">
      <c r="A942">
        <v>940</v>
      </c>
      <c r="B942" t="s">
        <v>1147</v>
      </c>
      <c r="C942" t="s">
        <v>201</v>
      </c>
      <c r="D942">
        <v>1020.07765401832</v>
      </c>
    </row>
    <row r="943" spans="1:4" hidden="1" x14ac:dyDescent="0.3">
      <c r="A943">
        <v>941</v>
      </c>
      <c r="B943" s="1" t="s">
        <v>1148</v>
      </c>
      <c r="C943" t="s">
        <v>203</v>
      </c>
      <c r="D943" s="1" t="s">
        <v>1149</v>
      </c>
    </row>
    <row r="944" spans="1:4" hidden="1" x14ac:dyDescent="0.3">
      <c r="A944">
        <v>942</v>
      </c>
      <c r="B944" t="s">
        <v>1150</v>
      </c>
      <c r="C944" t="s">
        <v>206</v>
      </c>
      <c r="D944">
        <v>80008792.6790151</v>
      </c>
    </row>
    <row r="945" spans="1:4" hidden="1" x14ac:dyDescent="0.3">
      <c r="A945">
        <v>943</v>
      </c>
      <c r="B945" t="s">
        <v>1151</v>
      </c>
      <c r="C945" t="s">
        <v>208</v>
      </c>
      <c r="D945">
        <v>40003387.6167408</v>
      </c>
    </row>
    <row r="946" spans="1:4" hidden="1" x14ac:dyDescent="0.3">
      <c r="A946">
        <v>944</v>
      </c>
      <c r="B946" t="s">
        <v>1152</v>
      </c>
      <c r="C946" t="s">
        <v>210</v>
      </c>
      <c r="D946">
        <v>29993038.421012402</v>
      </c>
    </row>
    <row r="947" spans="1:4" hidden="1" x14ac:dyDescent="0.3">
      <c r="A947">
        <v>945</v>
      </c>
      <c r="B947" s="1" t="s">
        <v>1153</v>
      </c>
      <c r="C947" t="s">
        <v>212</v>
      </c>
      <c r="D947" s="1" t="s">
        <v>1154</v>
      </c>
    </row>
    <row r="948" spans="1:4" hidden="1" x14ac:dyDescent="0.3">
      <c r="A948">
        <v>946</v>
      </c>
      <c r="B948" t="s">
        <v>1155</v>
      </c>
      <c r="C948" t="s">
        <v>215</v>
      </c>
      <c r="D948">
        <v>99988071.036810905</v>
      </c>
    </row>
    <row r="949" spans="1:4" hidden="1" x14ac:dyDescent="0.3">
      <c r="A949">
        <v>947</v>
      </c>
      <c r="B949" t="s">
        <v>1156</v>
      </c>
      <c r="C949" t="s">
        <v>217</v>
      </c>
      <c r="D949">
        <v>2549.6739903688399</v>
      </c>
    </row>
    <row r="950" spans="1:4" hidden="1" x14ac:dyDescent="0.3">
      <c r="A950">
        <v>948</v>
      </c>
      <c r="B950" s="1" t="s">
        <v>1157</v>
      </c>
      <c r="C950" t="s">
        <v>219</v>
      </c>
      <c r="D950" s="1" t="s">
        <v>1158</v>
      </c>
    </row>
    <row r="951" spans="1:4" hidden="1" x14ac:dyDescent="0.3">
      <c r="A951">
        <v>949</v>
      </c>
      <c r="B951" t="s">
        <v>1159</v>
      </c>
      <c r="C951" t="s">
        <v>112</v>
      </c>
      <c r="D951">
        <v>-34.819635981816504</v>
      </c>
    </row>
    <row r="952" spans="1:4" hidden="1" x14ac:dyDescent="0.3">
      <c r="A952">
        <v>950</v>
      </c>
      <c r="B952" t="s">
        <v>1160</v>
      </c>
      <c r="C952" t="s">
        <v>114</v>
      </c>
      <c r="D952">
        <v>-6.81586614092285</v>
      </c>
    </row>
    <row r="953" spans="1:4" hidden="1" x14ac:dyDescent="0.3">
      <c r="A953">
        <v>951</v>
      </c>
      <c r="B953" s="1" t="s">
        <v>1161</v>
      </c>
      <c r="C953" t="s">
        <v>116</v>
      </c>
      <c r="D953" s="1" t="s">
        <v>1162</v>
      </c>
    </row>
    <row r="954" spans="1:4" hidden="1" x14ac:dyDescent="0.3">
      <c r="A954">
        <v>952</v>
      </c>
      <c r="B954" t="s">
        <v>1163</v>
      </c>
      <c r="C954" t="s">
        <v>119</v>
      </c>
      <c r="D954">
        <v>80008792.6790151</v>
      </c>
    </row>
    <row r="955" spans="1:4" hidden="1" x14ac:dyDescent="0.3">
      <c r="A955">
        <v>953</v>
      </c>
      <c r="B955" t="s">
        <v>1164</v>
      </c>
      <c r="C955" t="s">
        <v>121</v>
      </c>
      <c r="D955">
        <v>40003387.6167408</v>
      </c>
    </row>
    <row r="956" spans="1:4" hidden="1" x14ac:dyDescent="0.3">
      <c r="A956">
        <v>954</v>
      </c>
      <c r="B956" s="1" t="s">
        <v>1165</v>
      </c>
      <c r="C956" t="s">
        <v>123</v>
      </c>
      <c r="D956" s="1" t="s">
        <v>1166</v>
      </c>
    </row>
    <row r="957" spans="1:4" hidden="1" x14ac:dyDescent="0.3">
      <c r="A957">
        <v>955</v>
      </c>
      <c r="B957" t="s">
        <v>1167</v>
      </c>
      <c r="C957" t="s">
        <v>126</v>
      </c>
      <c r="D957">
        <v>0.80005984045860401</v>
      </c>
    </row>
    <row r="958" spans="1:4" hidden="1" x14ac:dyDescent="0.3">
      <c r="A958">
        <v>956</v>
      </c>
      <c r="B958" t="s">
        <v>1168</v>
      </c>
      <c r="C958" t="s">
        <v>128</v>
      </c>
      <c r="D958">
        <v>0.40001983335573799</v>
      </c>
    </row>
    <row r="959" spans="1:4" hidden="1" x14ac:dyDescent="0.3">
      <c r="A959">
        <v>957</v>
      </c>
      <c r="B959" s="1" t="s">
        <v>1169</v>
      </c>
      <c r="C959" t="s">
        <v>130</v>
      </c>
      <c r="D959" s="1" t="s">
        <v>1170</v>
      </c>
    </row>
    <row r="960" spans="1:4" ht="72" x14ac:dyDescent="0.3">
      <c r="A960">
        <v>958</v>
      </c>
      <c r="B960" s="1" t="s">
        <v>3</v>
      </c>
      <c r="C960" t="s">
        <v>4</v>
      </c>
      <c r="D960" t="s">
        <v>5</v>
      </c>
    </row>
    <row r="961" spans="1:4" hidden="1" x14ac:dyDescent="0.3">
      <c r="A961">
        <v>959</v>
      </c>
      <c r="B961" t="s">
        <v>6</v>
      </c>
      <c r="C961" t="s">
        <v>7</v>
      </c>
      <c r="D961">
        <v>1305.25</v>
      </c>
    </row>
    <row r="962" spans="1:4" hidden="1" x14ac:dyDescent="0.3">
      <c r="A962">
        <v>960</v>
      </c>
      <c r="B962" s="1" t="s">
        <v>132</v>
      </c>
      <c r="C962" t="s">
        <v>9</v>
      </c>
      <c r="D962" s="1" t="s">
        <v>133</v>
      </c>
    </row>
    <row r="963" spans="1:4" hidden="1" x14ac:dyDescent="0.3">
      <c r="A963">
        <v>961</v>
      </c>
      <c r="B963" t="s">
        <v>13</v>
      </c>
      <c r="C963" t="s">
        <v>14</v>
      </c>
      <c r="D963">
        <v>98.4296875</v>
      </c>
    </row>
    <row r="964" spans="1:4" hidden="1" x14ac:dyDescent="0.3">
      <c r="A964">
        <v>962</v>
      </c>
      <c r="B964" t="s">
        <v>15</v>
      </c>
      <c r="C964" t="s">
        <v>16</v>
      </c>
      <c r="D964">
        <v>4.2819487927479898</v>
      </c>
    </row>
    <row r="965" spans="1:4" hidden="1" x14ac:dyDescent="0.3">
      <c r="A965">
        <v>963</v>
      </c>
      <c r="B965" s="1" t="s">
        <v>134</v>
      </c>
      <c r="C965" t="s">
        <v>135</v>
      </c>
      <c r="D965" s="1" t="s">
        <v>136</v>
      </c>
    </row>
    <row r="966" spans="1:4" hidden="1" x14ac:dyDescent="0.3">
      <c r="A966">
        <v>964</v>
      </c>
      <c r="B966" t="s">
        <v>21</v>
      </c>
      <c r="C966" t="s">
        <v>22</v>
      </c>
      <c r="D966">
        <v>83.1</v>
      </c>
    </row>
    <row r="967" spans="1:4" hidden="1" x14ac:dyDescent="0.3">
      <c r="A967">
        <v>965</v>
      </c>
      <c r="B967" t="s">
        <v>1171</v>
      </c>
      <c r="C967" t="s">
        <v>24</v>
      </c>
      <c r="D967">
        <v>4.1062011938829599</v>
      </c>
    </row>
    <row r="968" spans="1:4" hidden="1" x14ac:dyDescent="0.3">
      <c r="A968">
        <v>966</v>
      </c>
      <c r="B968" s="1" t="s">
        <v>1172</v>
      </c>
      <c r="C968" t="s">
        <v>139</v>
      </c>
      <c r="D968" s="1" t="s">
        <v>1173</v>
      </c>
    </row>
    <row r="969" spans="1:4" hidden="1" x14ac:dyDescent="0.3">
      <c r="A969">
        <v>967</v>
      </c>
      <c r="B969" t="s">
        <v>1174</v>
      </c>
      <c r="C969" t="s">
        <v>35</v>
      </c>
      <c r="D969">
        <v>-0.51280165446755299</v>
      </c>
    </row>
    <row r="970" spans="1:4" hidden="1" x14ac:dyDescent="0.3">
      <c r="A970">
        <v>968</v>
      </c>
      <c r="B970" t="s">
        <v>1175</v>
      </c>
      <c r="C970" t="s">
        <v>143</v>
      </c>
      <c r="D970">
        <v>0.73753870962767498</v>
      </c>
    </row>
    <row r="971" spans="1:4" hidden="1" x14ac:dyDescent="0.3">
      <c r="A971">
        <v>969</v>
      </c>
      <c r="B971" s="1" t="s">
        <v>1176</v>
      </c>
      <c r="C971" t="s">
        <v>145</v>
      </c>
      <c r="D971" s="1" t="s">
        <v>1177</v>
      </c>
    </row>
    <row r="972" spans="1:4" hidden="1" x14ac:dyDescent="0.3">
      <c r="A972">
        <v>970</v>
      </c>
      <c r="B972" t="s">
        <v>1178</v>
      </c>
      <c r="C972" t="s">
        <v>30</v>
      </c>
      <c r="D972">
        <v>0.74994487982206404</v>
      </c>
    </row>
    <row r="973" spans="1:4" hidden="1" x14ac:dyDescent="0.3">
      <c r="A973">
        <v>971</v>
      </c>
      <c r="B973" t="s">
        <v>1179</v>
      </c>
      <c r="C973" t="s">
        <v>32</v>
      </c>
      <c r="D973">
        <v>0.152592134220527</v>
      </c>
    </row>
    <row r="974" spans="1:4" hidden="1" x14ac:dyDescent="0.3">
      <c r="A974">
        <v>972</v>
      </c>
      <c r="B974" s="1" t="s">
        <v>1180</v>
      </c>
      <c r="C974" t="s">
        <v>149</v>
      </c>
      <c r="D974" s="1" t="s">
        <v>1181</v>
      </c>
    </row>
    <row r="975" spans="1:4" hidden="1" x14ac:dyDescent="0.3">
      <c r="A975">
        <v>973</v>
      </c>
      <c r="B975" t="s">
        <v>1182</v>
      </c>
      <c r="C975" t="s">
        <v>40</v>
      </c>
      <c r="D975">
        <v>0.76285677464548796</v>
      </c>
    </row>
    <row r="976" spans="1:4" hidden="1" x14ac:dyDescent="0.3">
      <c r="A976">
        <v>974</v>
      </c>
      <c r="B976" t="s">
        <v>1183</v>
      </c>
      <c r="C976" t="s">
        <v>42</v>
      </c>
      <c r="D976">
        <v>0.203268903235824</v>
      </c>
    </row>
    <row r="977" spans="1:4" hidden="1" x14ac:dyDescent="0.3">
      <c r="A977">
        <v>975</v>
      </c>
      <c r="B977" s="1" t="s">
        <v>1184</v>
      </c>
      <c r="C977" t="s">
        <v>153</v>
      </c>
      <c r="D977" s="1" t="s">
        <v>1185</v>
      </c>
    </row>
    <row r="978" spans="1:4" hidden="1" x14ac:dyDescent="0.3">
      <c r="A978">
        <v>976</v>
      </c>
      <c r="B978" t="s">
        <v>154</v>
      </c>
      <c r="C978" t="s">
        <v>155</v>
      </c>
      <c r="D978">
        <v>1</v>
      </c>
    </row>
    <row r="979" spans="1:4" hidden="1" x14ac:dyDescent="0.3">
      <c r="A979">
        <v>977</v>
      </c>
      <c r="B979" t="s">
        <v>156</v>
      </c>
      <c r="C979" t="s">
        <v>157</v>
      </c>
      <c r="D979">
        <v>1</v>
      </c>
    </row>
    <row r="980" spans="1:4" hidden="1" x14ac:dyDescent="0.3">
      <c r="A980">
        <v>978</v>
      </c>
      <c r="B980" s="1" t="s">
        <v>1186</v>
      </c>
      <c r="C980" t="s">
        <v>159</v>
      </c>
      <c r="D980" s="1" t="s">
        <v>1187</v>
      </c>
    </row>
    <row r="981" spans="1:4" hidden="1" x14ac:dyDescent="0.3">
      <c r="A981">
        <v>979</v>
      </c>
      <c r="B981" t="s">
        <v>1188</v>
      </c>
      <c r="C981" t="s">
        <v>162</v>
      </c>
      <c r="D981">
        <v>0.99923854166920001</v>
      </c>
    </row>
    <row r="982" spans="1:4" hidden="1" x14ac:dyDescent="0.3">
      <c r="A982">
        <v>980</v>
      </c>
      <c r="B982" t="s">
        <v>1189</v>
      </c>
      <c r="C982" t="s">
        <v>164</v>
      </c>
      <c r="D982">
        <v>1.0007103101555801</v>
      </c>
    </row>
    <row r="983" spans="1:4" hidden="1" x14ac:dyDescent="0.3">
      <c r="A983">
        <v>981</v>
      </c>
      <c r="B983" s="1" t="s">
        <v>1190</v>
      </c>
      <c r="C983" t="s">
        <v>166</v>
      </c>
      <c r="D983" s="1" t="s">
        <v>1191</v>
      </c>
    </row>
    <row r="984" spans="1:4" hidden="1" x14ac:dyDescent="0.3">
      <c r="A984">
        <v>982</v>
      </c>
      <c r="B984" s="1" t="s">
        <v>1192</v>
      </c>
      <c r="C984" t="s">
        <v>55</v>
      </c>
      <c r="D984" s="1" t="s">
        <v>1193</v>
      </c>
    </row>
    <row r="985" spans="1:4" hidden="1" x14ac:dyDescent="0.3">
      <c r="A985">
        <v>983</v>
      </c>
      <c r="B985" s="1" t="s">
        <v>1194</v>
      </c>
      <c r="C985" t="s">
        <v>52</v>
      </c>
      <c r="D985" s="1" t="s">
        <v>1195</v>
      </c>
    </row>
    <row r="986" spans="1:4" hidden="1" x14ac:dyDescent="0.3">
      <c r="A986">
        <v>984</v>
      </c>
      <c r="B986" s="1" t="s">
        <v>1196</v>
      </c>
      <c r="C986" t="s">
        <v>58</v>
      </c>
      <c r="D986" s="1" t="s">
        <v>1197</v>
      </c>
    </row>
    <row r="987" spans="1:4" hidden="1" x14ac:dyDescent="0.3">
      <c r="A987">
        <v>985</v>
      </c>
      <c r="B987" t="s">
        <v>1198</v>
      </c>
      <c r="C987" t="s">
        <v>61</v>
      </c>
      <c r="D987">
        <v>150000695.70862201</v>
      </c>
    </row>
    <row r="988" spans="1:4" hidden="1" x14ac:dyDescent="0.3">
      <c r="A988">
        <v>986</v>
      </c>
      <c r="B988" t="s">
        <v>1199</v>
      </c>
      <c r="C988" t="s">
        <v>63</v>
      </c>
      <c r="D988">
        <v>80008792.6790151</v>
      </c>
    </row>
    <row r="989" spans="1:4" hidden="1" x14ac:dyDescent="0.3">
      <c r="A989">
        <v>987</v>
      </c>
      <c r="B989" t="s">
        <v>1200</v>
      </c>
      <c r="C989" t="s">
        <v>65</v>
      </c>
      <c r="D989">
        <v>40003387.6167408</v>
      </c>
    </row>
    <row r="990" spans="1:4" hidden="1" x14ac:dyDescent="0.3">
      <c r="A990">
        <v>988</v>
      </c>
      <c r="B990" s="1" t="s">
        <v>1201</v>
      </c>
      <c r="C990" t="s">
        <v>67</v>
      </c>
      <c r="D990" s="1" t="s">
        <v>1202</v>
      </c>
    </row>
    <row r="991" spans="1:4" hidden="1" x14ac:dyDescent="0.3">
      <c r="A991">
        <v>989</v>
      </c>
      <c r="B991" s="1" t="s">
        <v>1203</v>
      </c>
      <c r="C991" t="s">
        <v>70</v>
      </c>
      <c r="D991" s="1" t="s">
        <v>1204</v>
      </c>
    </row>
    <row r="992" spans="1:4" hidden="1" x14ac:dyDescent="0.3">
      <c r="A992">
        <v>990</v>
      </c>
      <c r="B992" t="s">
        <v>1205</v>
      </c>
      <c r="C992" t="s">
        <v>73</v>
      </c>
      <c r="D992">
        <v>1.00015441334033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1206</v>
      </c>
      <c r="C996" t="s">
        <v>81</v>
      </c>
      <c r="D996" s="1" t="s">
        <v>1207</v>
      </c>
    </row>
    <row r="997" spans="1:4" hidden="1" x14ac:dyDescent="0.3">
      <c r="A997">
        <v>995</v>
      </c>
      <c r="B997" t="s">
        <v>1208</v>
      </c>
      <c r="C997" t="s">
        <v>84</v>
      </c>
      <c r="D997">
        <v>1.0001441876336099</v>
      </c>
    </row>
    <row r="998" spans="1:4" hidden="1" x14ac:dyDescent="0.3">
      <c r="A998">
        <v>996</v>
      </c>
      <c r="B998" s="1" t="s">
        <v>1209</v>
      </c>
      <c r="C998" t="s">
        <v>86</v>
      </c>
      <c r="D998" s="1" t="s">
        <v>1210</v>
      </c>
    </row>
    <row r="999" spans="1:4" hidden="1" x14ac:dyDescent="0.3">
      <c r="A999">
        <v>997</v>
      </c>
      <c r="B999" t="s">
        <v>1211</v>
      </c>
      <c r="C999" t="s">
        <v>89</v>
      </c>
      <c r="D999">
        <v>99991643.038156897</v>
      </c>
    </row>
    <row r="1000" spans="1:4" hidden="1" x14ac:dyDescent="0.3">
      <c r="A1000">
        <v>998</v>
      </c>
      <c r="B1000" s="1" t="s">
        <v>1212</v>
      </c>
      <c r="C1000" t="s">
        <v>91</v>
      </c>
      <c r="D1000" s="1" t="s">
        <v>1158</v>
      </c>
    </row>
    <row r="1001" spans="1:4" hidden="1" x14ac:dyDescent="0.3">
      <c r="A1001">
        <v>999</v>
      </c>
      <c r="B1001" t="s">
        <v>1213</v>
      </c>
      <c r="C1001" t="s">
        <v>94</v>
      </c>
      <c r="D1001">
        <v>80008792.6790151</v>
      </c>
    </row>
    <row r="1002" spans="1:4" hidden="1" x14ac:dyDescent="0.3">
      <c r="A1002">
        <v>1000</v>
      </c>
      <c r="B1002" t="s">
        <v>1214</v>
      </c>
      <c r="C1002" t="s">
        <v>96</v>
      </c>
      <c r="D1002">
        <v>40003387.6167408</v>
      </c>
    </row>
    <row r="1003" spans="1:4" hidden="1" x14ac:dyDescent="0.3">
      <c r="A1003">
        <v>1001</v>
      </c>
      <c r="B1003" t="s">
        <v>1215</v>
      </c>
      <c r="C1003" t="s">
        <v>98</v>
      </c>
      <c r="D1003">
        <v>29988515.412866201</v>
      </c>
    </row>
    <row r="1004" spans="1:4" hidden="1" x14ac:dyDescent="0.3">
      <c r="A1004">
        <v>1002</v>
      </c>
      <c r="B1004" s="1" t="s">
        <v>1216</v>
      </c>
      <c r="C1004" t="s">
        <v>100</v>
      </c>
      <c r="D1004" s="1" t="s">
        <v>1217</v>
      </c>
    </row>
    <row r="1005" spans="1:4" hidden="1" x14ac:dyDescent="0.3">
      <c r="A1005">
        <v>1003</v>
      </c>
      <c r="B1005" t="s">
        <v>1218</v>
      </c>
      <c r="C1005" t="s">
        <v>103</v>
      </c>
      <c r="D1005">
        <v>5.97497999980623E-3</v>
      </c>
    </row>
    <row r="1006" spans="1:4" hidden="1" x14ac:dyDescent="0.3">
      <c r="A1006">
        <v>1004</v>
      </c>
      <c r="B1006" t="s">
        <v>1219</v>
      </c>
      <c r="C1006" t="s">
        <v>105</v>
      </c>
      <c r="D1006">
        <v>6.6745116749479798E-4</v>
      </c>
    </row>
    <row r="1007" spans="1:4" hidden="1" x14ac:dyDescent="0.3">
      <c r="A1007">
        <v>1005</v>
      </c>
      <c r="B1007" t="s">
        <v>1220</v>
      </c>
      <c r="C1007" t="s">
        <v>107</v>
      </c>
      <c r="D1007">
        <v>1.51718029715341E-2</v>
      </c>
    </row>
    <row r="1008" spans="1:4" hidden="1" x14ac:dyDescent="0.3">
      <c r="A1008">
        <v>1006</v>
      </c>
      <c r="B1008" s="1" t="s">
        <v>1221</v>
      </c>
      <c r="C1008" t="s">
        <v>109</v>
      </c>
      <c r="D1008" s="1" t="s">
        <v>1222</v>
      </c>
    </row>
    <row r="1009" spans="1:4" hidden="1" x14ac:dyDescent="0.3">
      <c r="A1009">
        <v>1007</v>
      </c>
      <c r="B1009" t="s">
        <v>1223</v>
      </c>
      <c r="C1009" t="s">
        <v>197</v>
      </c>
      <c r="D1009">
        <v>150000341.92253801</v>
      </c>
    </row>
    <row r="1010" spans="1:4" hidden="1" x14ac:dyDescent="0.3">
      <c r="A1010">
        <v>1008</v>
      </c>
      <c r="B1010" t="s">
        <v>1224</v>
      </c>
      <c r="C1010" t="s">
        <v>199</v>
      </c>
      <c r="D1010">
        <v>818.01734806004595</v>
      </c>
    </row>
    <row r="1011" spans="1:4" hidden="1" x14ac:dyDescent="0.3">
      <c r="A1011">
        <v>1009</v>
      </c>
      <c r="B1011" t="s">
        <v>1225</v>
      </c>
      <c r="C1011" t="s">
        <v>201</v>
      </c>
      <c r="D1011">
        <v>408.999209870632</v>
      </c>
    </row>
    <row r="1012" spans="1:4" hidden="1" x14ac:dyDescent="0.3">
      <c r="A1012">
        <v>1010</v>
      </c>
      <c r="B1012" s="1" t="s">
        <v>1226</v>
      </c>
      <c r="C1012" t="s">
        <v>203</v>
      </c>
      <c r="D1012" s="1" t="s">
        <v>1227</v>
      </c>
    </row>
    <row r="1013" spans="1:4" hidden="1" x14ac:dyDescent="0.3">
      <c r="A1013">
        <v>1011</v>
      </c>
      <c r="B1013" t="s">
        <v>1228</v>
      </c>
      <c r="C1013" t="s">
        <v>206</v>
      </c>
      <c r="D1013">
        <v>80007701.970239401</v>
      </c>
    </row>
    <row r="1014" spans="1:4" hidden="1" x14ac:dyDescent="0.3">
      <c r="A1014">
        <v>1012</v>
      </c>
      <c r="B1014" t="s">
        <v>1229</v>
      </c>
      <c r="C1014" t="s">
        <v>208</v>
      </c>
      <c r="D1014">
        <v>40002925.325479701</v>
      </c>
    </row>
    <row r="1015" spans="1:4" hidden="1" x14ac:dyDescent="0.3">
      <c r="A1015">
        <v>1013</v>
      </c>
      <c r="B1015" t="s">
        <v>1230</v>
      </c>
      <c r="C1015" t="s">
        <v>210</v>
      </c>
      <c r="D1015">
        <v>29988181.004125699</v>
      </c>
    </row>
    <row r="1016" spans="1:4" hidden="1" x14ac:dyDescent="0.3">
      <c r="A1016">
        <v>1014</v>
      </c>
      <c r="B1016" s="1" t="s">
        <v>1231</v>
      </c>
      <c r="C1016" t="s">
        <v>212</v>
      </c>
      <c r="D1016" s="1" t="s">
        <v>1232</v>
      </c>
    </row>
    <row r="1017" spans="1:4" hidden="1" x14ac:dyDescent="0.3">
      <c r="A1017">
        <v>1015</v>
      </c>
      <c r="B1017" t="s">
        <v>1233</v>
      </c>
      <c r="C1017" t="s">
        <v>215</v>
      </c>
      <c r="D1017">
        <v>99990620.710801303</v>
      </c>
    </row>
    <row r="1018" spans="1:4" hidden="1" x14ac:dyDescent="0.3">
      <c r="A1018">
        <v>1016</v>
      </c>
      <c r="B1018" t="s">
        <v>1234</v>
      </c>
      <c r="C1018" t="s">
        <v>217</v>
      </c>
      <c r="D1018">
        <v>1022.32735562324</v>
      </c>
    </row>
    <row r="1019" spans="1:4" hidden="1" x14ac:dyDescent="0.3">
      <c r="A1019">
        <v>1017</v>
      </c>
      <c r="B1019" s="1" t="s">
        <v>1235</v>
      </c>
      <c r="C1019" t="s">
        <v>219</v>
      </c>
      <c r="D1019" s="1" t="s">
        <v>1236</v>
      </c>
    </row>
    <row r="1020" spans="1:4" hidden="1" x14ac:dyDescent="0.3">
      <c r="A1020">
        <v>1018</v>
      </c>
      <c r="B1020" t="s">
        <v>1237</v>
      </c>
      <c r="C1020" t="s">
        <v>112</v>
      </c>
      <c r="D1020">
        <v>-272.69142761792</v>
      </c>
    </row>
    <row r="1021" spans="1:4" hidden="1" x14ac:dyDescent="0.3">
      <c r="A1021">
        <v>1019</v>
      </c>
      <c r="B1021" t="s">
        <v>1238</v>
      </c>
      <c r="C1021" t="s">
        <v>114</v>
      </c>
      <c r="D1021">
        <v>-53.292051270715298</v>
      </c>
    </row>
    <row r="1022" spans="1:4" hidden="1" x14ac:dyDescent="0.3">
      <c r="A1022">
        <v>1020</v>
      </c>
      <c r="B1022" s="1" t="s">
        <v>1239</v>
      </c>
      <c r="C1022" t="s">
        <v>116</v>
      </c>
      <c r="D1022" s="1" t="s">
        <v>1240</v>
      </c>
    </row>
    <row r="1023" spans="1:4" hidden="1" x14ac:dyDescent="0.3">
      <c r="A1023">
        <v>1021</v>
      </c>
      <c r="B1023" t="s">
        <v>1241</v>
      </c>
      <c r="C1023" t="s">
        <v>119</v>
      </c>
      <c r="D1023">
        <v>80007701.970239401</v>
      </c>
    </row>
    <row r="1024" spans="1:4" hidden="1" x14ac:dyDescent="0.3">
      <c r="A1024">
        <v>1022</v>
      </c>
      <c r="B1024" t="s">
        <v>1242</v>
      </c>
      <c r="C1024" t="s">
        <v>121</v>
      </c>
      <c r="D1024">
        <v>40002925.325479701</v>
      </c>
    </row>
    <row r="1025" spans="1:4" hidden="1" x14ac:dyDescent="0.3">
      <c r="A1025">
        <v>1023</v>
      </c>
      <c r="B1025" s="1" t="s">
        <v>1243</v>
      </c>
      <c r="C1025" t="s">
        <v>123</v>
      </c>
      <c r="D1025" s="1" t="s">
        <v>1244</v>
      </c>
    </row>
    <row r="1026" spans="1:4" hidden="1" x14ac:dyDescent="0.3">
      <c r="A1026">
        <v>1024</v>
      </c>
      <c r="B1026" t="s">
        <v>1245</v>
      </c>
      <c r="C1026" t="s">
        <v>126</v>
      </c>
      <c r="D1026">
        <v>0.800036712878473</v>
      </c>
    </row>
    <row r="1027" spans="1:4" hidden="1" x14ac:dyDescent="0.3">
      <c r="A1027">
        <v>1025</v>
      </c>
      <c r="B1027" t="s">
        <v>1246</v>
      </c>
      <c r="C1027" t="s">
        <v>128</v>
      </c>
      <c r="D1027">
        <v>0.40000910030917097</v>
      </c>
    </row>
    <row r="1028" spans="1:4" hidden="1" x14ac:dyDescent="0.3">
      <c r="A1028">
        <v>1026</v>
      </c>
      <c r="B1028" s="1" t="s">
        <v>1247</v>
      </c>
      <c r="C1028" t="s">
        <v>130</v>
      </c>
      <c r="D1028" s="1" t="s">
        <v>1248</v>
      </c>
    </row>
    <row r="1029" spans="1:4" ht="72" x14ac:dyDescent="0.3">
      <c r="A1029">
        <v>1027</v>
      </c>
      <c r="B1029" s="1" t="s">
        <v>3</v>
      </c>
      <c r="C1029" t="s">
        <v>4</v>
      </c>
      <c r="D1029" t="s">
        <v>5</v>
      </c>
    </row>
    <row r="1030" spans="1:4" hidden="1" x14ac:dyDescent="0.3">
      <c r="A1030">
        <v>1028</v>
      </c>
      <c r="B1030" t="s">
        <v>6</v>
      </c>
      <c r="C1030" t="s">
        <v>7</v>
      </c>
      <c r="D1030">
        <v>1305.25</v>
      </c>
    </row>
    <row r="1031" spans="1:4" hidden="1" x14ac:dyDescent="0.3">
      <c r="A1031">
        <v>1029</v>
      </c>
      <c r="B1031" s="1" t="s">
        <v>132</v>
      </c>
      <c r="C1031" t="s">
        <v>9</v>
      </c>
      <c r="D1031" s="1" t="s">
        <v>133</v>
      </c>
    </row>
    <row r="1032" spans="1:4" hidden="1" x14ac:dyDescent="0.3">
      <c r="A1032">
        <v>1030</v>
      </c>
      <c r="B1032" t="s">
        <v>13</v>
      </c>
      <c r="C1032" t="s">
        <v>14</v>
      </c>
      <c r="D1032">
        <v>98.4296875</v>
      </c>
    </row>
    <row r="1033" spans="1:4" hidden="1" x14ac:dyDescent="0.3">
      <c r="A1033">
        <v>1031</v>
      </c>
      <c r="B1033" t="s">
        <v>15</v>
      </c>
      <c r="C1033" t="s">
        <v>16</v>
      </c>
      <c r="D1033">
        <v>4.2819487927479898</v>
      </c>
    </row>
    <row r="1034" spans="1:4" hidden="1" x14ac:dyDescent="0.3">
      <c r="A1034">
        <v>1032</v>
      </c>
      <c r="B1034" s="1" t="s">
        <v>134</v>
      </c>
      <c r="C1034" t="s">
        <v>135</v>
      </c>
      <c r="D1034" s="1" t="s">
        <v>136</v>
      </c>
    </row>
    <row r="1035" spans="1:4" hidden="1" x14ac:dyDescent="0.3">
      <c r="A1035">
        <v>1033</v>
      </c>
      <c r="B1035" t="s">
        <v>21</v>
      </c>
      <c r="C1035" t="s">
        <v>22</v>
      </c>
      <c r="D1035">
        <v>83.1</v>
      </c>
    </row>
    <row r="1036" spans="1:4" hidden="1" x14ac:dyDescent="0.3">
      <c r="A1036">
        <v>1034</v>
      </c>
      <c r="B1036" t="s">
        <v>1249</v>
      </c>
      <c r="C1036" t="s">
        <v>24</v>
      </c>
      <c r="D1036">
        <v>4.0909596122579401</v>
      </c>
    </row>
    <row r="1037" spans="1:4" hidden="1" x14ac:dyDescent="0.3">
      <c r="A1037">
        <v>1035</v>
      </c>
      <c r="B1037" s="1" t="s">
        <v>1250</v>
      </c>
      <c r="C1037" t="s">
        <v>139</v>
      </c>
      <c r="D1037" s="1" t="s">
        <v>1251</v>
      </c>
    </row>
    <row r="1038" spans="1:4" hidden="1" x14ac:dyDescent="0.3">
      <c r="A1038">
        <v>1036</v>
      </c>
      <c r="B1038" t="s">
        <v>1252</v>
      </c>
      <c r="C1038" t="s">
        <v>35</v>
      </c>
      <c r="D1038">
        <v>-0.51097680517619504</v>
      </c>
    </row>
    <row r="1039" spans="1:4" hidden="1" x14ac:dyDescent="0.3">
      <c r="A1039">
        <v>1037</v>
      </c>
      <c r="B1039" t="s">
        <v>1253</v>
      </c>
      <c r="C1039" t="s">
        <v>143</v>
      </c>
      <c r="D1039">
        <v>0.73756995835856498</v>
      </c>
    </row>
    <row r="1040" spans="1:4" hidden="1" x14ac:dyDescent="0.3">
      <c r="A1040">
        <v>1038</v>
      </c>
      <c r="B1040" s="1" t="s">
        <v>1254</v>
      </c>
      <c r="C1040" t="s">
        <v>145</v>
      </c>
      <c r="D1040" s="1" t="s">
        <v>1255</v>
      </c>
    </row>
    <row r="1041" spans="1:4" hidden="1" x14ac:dyDescent="0.3">
      <c r="A1041">
        <v>1039</v>
      </c>
      <c r="B1041" t="s">
        <v>1256</v>
      </c>
      <c r="C1041" t="s">
        <v>30</v>
      </c>
      <c r="D1041">
        <v>0.74727613573635798</v>
      </c>
    </row>
    <row r="1042" spans="1:4" hidden="1" x14ac:dyDescent="0.3">
      <c r="A1042">
        <v>1040</v>
      </c>
      <c r="B1042" t="s">
        <v>1257</v>
      </c>
      <c r="C1042" t="s">
        <v>32</v>
      </c>
      <c r="D1042">
        <v>0.152569437669103</v>
      </c>
    </row>
    <row r="1043" spans="1:4" hidden="1" x14ac:dyDescent="0.3">
      <c r="A1043">
        <v>1041</v>
      </c>
      <c r="B1043" s="1" t="s">
        <v>1258</v>
      </c>
      <c r="C1043" t="s">
        <v>149</v>
      </c>
      <c r="D1043" s="1" t="s">
        <v>1259</v>
      </c>
    </row>
    <row r="1044" spans="1:4" hidden="1" x14ac:dyDescent="0.3">
      <c r="A1044">
        <v>1042</v>
      </c>
      <c r="B1044" t="s">
        <v>1260</v>
      </c>
      <c r="C1044" t="s">
        <v>40</v>
      </c>
      <c r="D1044">
        <v>0.76370066943983705</v>
      </c>
    </row>
    <row r="1045" spans="1:4" hidden="1" x14ac:dyDescent="0.3">
      <c r="A1045">
        <v>1043</v>
      </c>
      <c r="B1045" t="s">
        <v>1261</v>
      </c>
      <c r="C1045" t="s">
        <v>42</v>
      </c>
      <c r="D1045">
        <v>0.20323415583064</v>
      </c>
    </row>
    <row r="1046" spans="1:4" hidden="1" x14ac:dyDescent="0.3">
      <c r="A1046">
        <v>1044</v>
      </c>
      <c r="B1046" s="1" t="s">
        <v>1262</v>
      </c>
      <c r="C1046" t="s">
        <v>153</v>
      </c>
      <c r="D1046" s="1" t="s">
        <v>1263</v>
      </c>
    </row>
    <row r="1047" spans="1:4" hidden="1" x14ac:dyDescent="0.3">
      <c r="A1047">
        <v>1045</v>
      </c>
      <c r="B1047" t="s">
        <v>154</v>
      </c>
      <c r="C1047" t="s">
        <v>155</v>
      </c>
      <c r="D1047">
        <v>1</v>
      </c>
    </row>
    <row r="1048" spans="1:4" hidden="1" x14ac:dyDescent="0.3">
      <c r="A1048">
        <v>1046</v>
      </c>
      <c r="B1048" t="s">
        <v>156</v>
      </c>
      <c r="C1048" t="s">
        <v>157</v>
      </c>
      <c r="D1048">
        <v>1</v>
      </c>
    </row>
    <row r="1049" spans="1:4" hidden="1" x14ac:dyDescent="0.3">
      <c r="A1049">
        <v>1047</v>
      </c>
      <c r="B1049" s="1" t="s">
        <v>1264</v>
      </c>
      <c r="C1049" t="s">
        <v>159</v>
      </c>
      <c r="D1049" s="1" t="s">
        <v>1265</v>
      </c>
    </row>
    <row r="1050" spans="1:4" hidden="1" x14ac:dyDescent="0.3">
      <c r="A1050">
        <v>1048</v>
      </c>
      <c r="B1050" t="s">
        <v>1266</v>
      </c>
      <c r="C1050" t="s">
        <v>162</v>
      </c>
      <c r="D1050">
        <v>1.00001798448041</v>
      </c>
    </row>
    <row r="1051" spans="1:4" hidden="1" x14ac:dyDescent="0.3">
      <c r="A1051">
        <v>1049</v>
      </c>
      <c r="B1051" t="s">
        <v>1267</v>
      </c>
      <c r="C1051" t="s">
        <v>164</v>
      </c>
      <c r="D1051">
        <v>0.999980308254107</v>
      </c>
    </row>
    <row r="1052" spans="1:4" hidden="1" x14ac:dyDescent="0.3">
      <c r="A1052">
        <v>1050</v>
      </c>
      <c r="B1052" s="1" t="s">
        <v>1268</v>
      </c>
      <c r="C1052" t="s">
        <v>166</v>
      </c>
      <c r="D1052" s="1" t="s">
        <v>1269</v>
      </c>
    </row>
    <row r="1053" spans="1:4" hidden="1" x14ac:dyDescent="0.3">
      <c r="A1053">
        <v>1051</v>
      </c>
      <c r="B1053" s="1" t="s">
        <v>1270</v>
      </c>
      <c r="C1053" t="s">
        <v>55</v>
      </c>
      <c r="D1053" s="1" t="s">
        <v>1271</v>
      </c>
    </row>
    <row r="1054" spans="1:4" hidden="1" x14ac:dyDescent="0.3">
      <c r="A1054">
        <v>1052</v>
      </c>
      <c r="B1054" s="1" t="s">
        <v>1272</v>
      </c>
      <c r="C1054" t="s">
        <v>52</v>
      </c>
      <c r="D1054" s="1" t="s">
        <v>1273</v>
      </c>
    </row>
    <row r="1055" spans="1:4" hidden="1" x14ac:dyDescent="0.3">
      <c r="A1055">
        <v>1053</v>
      </c>
      <c r="B1055" s="1" t="s">
        <v>1274</v>
      </c>
      <c r="C1055" t="s">
        <v>58</v>
      </c>
      <c r="D1055" s="1" t="s">
        <v>1275</v>
      </c>
    </row>
    <row r="1056" spans="1:4" hidden="1" x14ac:dyDescent="0.3">
      <c r="A1056">
        <v>1054</v>
      </c>
      <c r="B1056" t="s">
        <v>1276</v>
      </c>
      <c r="C1056" t="s">
        <v>61</v>
      </c>
      <c r="D1056">
        <v>149993567.07499701</v>
      </c>
    </row>
    <row r="1057" spans="1:4" hidden="1" x14ac:dyDescent="0.3">
      <c r="A1057">
        <v>1055</v>
      </c>
      <c r="B1057" t="s">
        <v>1277</v>
      </c>
      <c r="C1057" t="s">
        <v>63</v>
      </c>
      <c r="D1057">
        <v>80007701.970239401</v>
      </c>
    </row>
    <row r="1058" spans="1:4" hidden="1" x14ac:dyDescent="0.3">
      <c r="A1058">
        <v>1056</v>
      </c>
      <c r="B1058" t="s">
        <v>1278</v>
      </c>
      <c r="C1058" t="s">
        <v>65</v>
      </c>
      <c r="D1058">
        <v>40002925.325479701</v>
      </c>
    </row>
    <row r="1059" spans="1:4" hidden="1" x14ac:dyDescent="0.3">
      <c r="A1059">
        <v>1057</v>
      </c>
      <c r="B1059" s="1" t="s">
        <v>1279</v>
      </c>
      <c r="C1059" t="s">
        <v>67</v>
      </c>
      <c r="D1059" s="1" t="s">
        <v>1280</v>
      </c>
    </row>
    <row r="1060" spans="1:4" hidden="1" x14ac:dyDescent="0.3">
      <c r="A1060">
        <v>1058</v>
      </c>
      <c r="B1060" s="1" t="s">
        <v>1281</v>
      </c>
      <c r="C1060" t="s">
        <v>70</v>
      </c>
      <c r="D1060" s="1" t="s">
        <v>1282</v>
      </c>
    </row>
    <row r="1061" spans="1:4" hidden="1" x14ac:dyDescent="0.3">
      <c r="A1061">
        <v>1059</v>
      </c>
      <c r="B1061" t="s">
        <v>1283</v>
      </c>
      <c r="C1061" t="s">
        <v>73</v>
      </c>
      <c r="D1061">
        <v>1.0001441876336099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78</v>
      </c>
      <c r="C1064" t="s">
        <v>79</v>
      </c>
      <c r="D1064">
        <v>0</v>
      </c>
    </row>
    <row r="1065" spans="1:4" hidden="1" x14ac:dyDescent="0.3">
      <c r="A1065">
        <v>1063</v>
      </c>
      <c r="B1065" s="1" t="s">
        <v>1284</v>
      </c>
      <c r="C1065" t="s">
        <v>81</v>
      </c>
      <c r="D1065" s="1" t="s">
        <v>1285</v>
      </c>
    </row>
    <row r="1066" spans="1:4" hidden="1" x14ac:dyDescent="0.3">
      <c r="A1066">
        <v>1064</v>
      </c>
      <c r="B1066" t="s">
        <v>1286</v>
      </c>
      <c r="C1066" t="s">
        <v>84</v>
      </c>
      <c r="D1066">
        <v>1.00013855195575</v>
      </c>
    </row>
    <row r="1067" spans="1:4" hidden="1" x14ac:dyDescent="0.3">
      <c r="A1067">
        <v>1065</v>
      </c>
      <c r="B1067" s="1" t="s">
        <v>1287</v>
      </c>
      <c r="C1067" t="s">
        <v>86</v>
      </c>
      <c r="D1067" s="1" t="s">
        <v>1288</v>
      </c>
    </row>
    <row r="1068" spans="1:4" hidden="1" x14ac:dyDescent="0.3">
      <c r="A1068">
        <v>1066</v>
      </c>
      <c r="B1068" t="s">
        <v>1289</v>
      </c>
      <c r="C1068" t="s">
        <v>89</v>
      </c>
      <c r="D1068">
        <v>99992206.480779499</v>
      </c>
    </row>
    <row r="1069" spans="1:4" hidden="1" x14ac:dyDescent="0.3">
      <c r="A1069">
        <v>1067</v>
      </c>
      <c r="B1069" s="1" t="s">
        <v>1290</v>
      </c>
      <c r="C1069" t="s">
        <v>91</v>
      </c>
      <c r="D1069" s="1" t="s">
        <v>1236</v>
      </c>
    </row>
    <row r="1070" spans="1:4" hidden="1" x14ac:dyDescent="0.3">
      <c r="A1070">
        <v>1068</v>
      </c>
      <c r="B1070" t="s">
        <v>1291</v>
      </c>
      <c r="C1070" t="s">
        <v>94</v>
      </c>
      <c r="D1070">
        <v>80007701.970239401</v>
      </c>
    </row>
    <row r="1071" spans="1:4" hidden="1" x14ac:dyDescent="0.3">
      <c r="A1071">
        <v>1069</v>
      </c>
      <c r="B1071" t="s">
        <v>1292</v>
      </c>
      <c r="C1071" t="s">
        <v>96</v>
      </c>
      <c r="D1071">
        <v>40002925.325479701</v>
      </c>
    </row>
    <row r="1072" spans="1:4" hidden="1" x14ac:dyDescent="0.3">
      <c r="A1072">
        <v>1070</v>
      </c>
      <c r="B1072" t="s">
        <v>1293</v>
      </c>
      <c r="C1072" t="s">
        <v>98</v>
      </c>
      <c r="D1072">
        <v>29982939.7792781</v>
      </c>
    </row>
    <row r="1073" spans="1:4" hidden="1" x14ac:dyDescent="0.3">
      <c r="A1073">
        <v>1071</v>
      </c>
      <c r="B1073" s="1" t="s">
        <v>1294</v>
      </c>
      <c r="C1073" t="s">
        <v>100</v>
      </c>
      <c r="D1073" s="1" t="s">
        <v>1295</v>
      </c>
    </row>
    <row r="1074" spans="1:4" hidden="1" x14ac:dyDescent="0.3">
      <c r="A1074">
        <v>1072</v>
      </c>
      <c r="B1074" t="s">
        <v>1296</v>
      </c>
      <c r="C1074" t="s">
        <v>103</v>
      </c>
      <c r="D1074">
        <v>5.9885116212898297E-3</v>
      </c>
    </row>
    <row r="1075" spans="1:4" hidden="1" x14ac:dyDescent="0.3">
      <c r="A1075">
        <v>1073</v>
      </c>
      <c r="B1075" t="s">
        <v>1297</v>
      </c>
      <c r="C1075" t="s">
        <v>105</v>
      </c>
      <c r="D1075">
        <v>6.7087812993611002E-4</v>
      </c>
    </row>
    <row r="1076" spans="1:4" hidden="1" x14ac:dyDescent="0.3">
      <c r="A1076">
        <v>1074</v>
      </c>
      <c r="B1076" t="s">
        <v>1298</v>
      </c>
      <c r="C1076" t="s">
        <v>107</v>
      </c>
      <c r="D1076">
        <v>1.5260860176436601E-2</v>
      </c>
    </row>
    <row r="1077" spans="1:4" hidden="1" x14ac:dyDescent="0.3">
      <c r="A1077">
        <v>1075</v>
      </c>
      <c r="B1077" s="1" t="s">
        <v>1299</v>
      </c>
      <c r="C1077" t="s">
        <v>109</v>
      </c>
      <c r="D1077" s="1" t="s">
        <v>1300</v>
      </c>
    </row>
    <row r="1078" spans="1:4" hidden="1" x14ac:dyDescent="0.3">
      <c r="A1078">
        <v>1076</v>
      </c>
      <c r="B1078" t="s">
        <v>1301</v>
      </c>
      <c r="C1078" t="s">
        <v>197</v>
      </c>
      <c r="D1078">
        <v>149993372.05068699</v>
      </c>
    </row>
    <row r="1079" spans="1:4" hidden="1" x14ac:dyDescent="0.3">
      <c r="A1079">
        <v>1077</v>
      </c>
      <c r="B1079" t="s">
        <v>1302</v>
      </c>
      <c r="C1079" t="s">
        <v>199</v>
      </c>
      <c r="D1079">
        <v>450.83178308238399</v>
      </c>
    </row>
    <row r="1080" spans="1:4" hidden="1" x14ac:dyDescent="0.3">
      <c r="A1080">
        <v>1078</v>
      </c>
      <c r="B1080" t="s">
        <v>1303</v>
      </c>
      <c r="C1080" t="s">
        <v>201</v>
      </c>
      <c r="D1080">
        <v>225.410933393487</v>
      </c>
    </row>
    <row r="1081" spans="1:4" hidden="1" x14ac:dyDescent="0.3">
      <c r="A1081">
        <v>1079</v>
      </c>
      <c r="B1081" s="1" t="s">
        <v>1304</v>
      </c>
      <c r="C1081" t="s">
        <v>203</v>
      </c>
      <c r="D1081" s="1" t="s">
        <v>1305</v>
      </c>
    </row>
    <row r="1082" spans="1:4" hidden="1" x14ac:dyDescent="0.3">
      <c r="A1082">
        <v>1080</v>
      </c>
      <c r="B1082" t="s">
        <v>1306</v>
      </c>
      <c r="C1082" t="s">
        <v>206</v>
      </c>
      <c r="D1082">
        <v>80007100.844512895</v>
      </c>
    </row>
    <row r="1083" spans="1:4" hidden="1" x14ac:dyDescent="0.3">
      <c r="A1083">
        <v>1081</v>
      </c>
      <c r="B1083" t="s">
        <v>1307</v>
      </c>
      <c r="C1083" t="s">
        <v>208</v>
      </c>
      <c r="D1083">
        <v>40002670.521951601</v>
      </c>
    </row>
    <row r="1084" spans="1:4" hidden="1" x14ac:dyDescent="0.3">
      <c r="A1084">
        <v>1082</v>
      </c>
      <c r="B1084" t="s">
        <v>1308</v>
      </c>
      <c r="C1084" t="s">
        <v>210</v>
      </c>
      <c r="D1084">
        <v>29982755.491762999</v>
      </c>
    </row>
    <row r="1085" spans="1:4" hidden="1" x14ac:dyDescent="0.3">
      <c r="A1085">
        <v>1083</v>
      </c>
      <c r="B1085" s="1" t="s">
        <v>1309</v>
      </c>
      <c r="C1085" t="s">
        <v>212</v>
      </c>
      <c r="D1085" s="1" t="s">
        <v>1310</v>
      </c>
    </row>
    <row r="1086" spans="1:4" hidden="1" x14ac:dyDescent="0.3">
      <c r="A1086">
        <v>1084</v>
      </c>
      <c r="B1086" t="s">
        <v>1311</v>
      </c>
      <c r="C1086" t="s">
        <v>215</v>
      </c>
      <c r="D1086">
        <v>99991643.038156897</v>
      </c>
    </row>
    <row r="1087" spans="1:4" hidden="1" x14ac:dyDescent="0.3">
      <c r="A1087">
        <v>1085</v>
      </c>
      <c r="B1087" t="s">
        <v>1312</v>
      </c>
      <c r="C1087" t="s">
        <v>217</v>
      </c>
      <c r="D1087">
        <v>563.44262257218304</v>
      </c>
    </row>
    <row r="1088" spans="1:4" hidden="1" x14ac:dyDescent="0.3">
      <c r="A1088">
        <v>1086</v>
      </c>
      <c r="B1088" s="1" t="s">
        <v>1313</v>
      </c>
      <c r="C1088" t="s">
        <v>219</v>
      </c>
      <c r="D1088" s="1" t="s">
        <v>1314</v>
      </c>
    </row>
    <row r="1089" spans="1:4" hidden="1" x14ac:dyDescent="0.3">
      <c r="A1089">
        <v>1087</v>
      </c>
      <c r="B1089" t="s">
        <v>1315</v>
      </c>
      <c r="C1089" t="s">
        <v>112</v>
      </c>
      <c r="D1089">
        <v>-150.29394341929401</v>
      </c>
    </row>
    <row r="1090" spans="1:4" hidden="1" x14ac:dyDescent="0.3">
      <c r="A1090">
        <v>1088</v>
      </c>
      <c r="B1090" t="s">
        <v>1316</v>
      </c>
      <c r="C1090" t="s">
        <v>114</v>
      </c>
      <c r="D1090">
        <v>-29.392594711065701</v>
      </c>
    </row>
    <row r="1091" spans="1:4" hidden="1" x14ac:dyDescent="0.3">
      <c r="A1091">
        <v>1089</v>
      </c>
      <c r="B1091" s="1" t="s">
        <v>1317</v>
      </c>
      <c r="C1091" t="s">
        <v>116</v>
      </c>
      <c r="D1091" s="1" t="s">
        <v>1318</v>
      </c>
    </row>
    <row r="1092" spans="1:4" hidden="1" x14ac:dyDescent="0.3">
      <c r="A1092">
        <v>1090</v>
      </c>
      <c r="B1092" t="s">
        <v>1319</v>
      </c>
      <c r="C1092" t="s">
        <v>119</v>
      </c>
      <c r="D1092">
        <v>80007100.844512895</v>
      </c>
    </row>
    <row r="1093" spans="1:4" hidden="1" x14ac:dyDescent="0.3">
      <c r="A1093">
        <v>1091</v>
      </c>
      <c r="B1093" t="s">
        <v>1320</v>
      </c>
      <c r="C1093" t="s">
        <v>121</v>
      </c>
      <c r="D1093">
        <v>40002670.521951601</v>
      </c>
    </row>
    <row r="1094" spans="1:4" hidden="1" x14ac:dyDescent="0.3">
      <c r="A1094">
        <v>1092</v>
      </c>
      <c r="B1094" s="1" t="s">
        <v>1321</v>
      </c>
      <c r="C1094" t="s">
        <v>123</v>
      </c>
      <c r="D1094" s="1" t="s">
        <v>1322</v>
      </c>
    </row>
    <row r="1095" spans="1:4" hidden="1" x14ac:dyDescent="0.3">
      <c r="A1095">
        <v>1093</v>
      </c>
      <c r="B1095" t="s">
        <v>1323</v>
      </c>
      <c r="C1095" t="s">
        <v>126</v>
      </c>
      <c r="D1095">
        <v>0.80002703035237699</v>
      </c>
    </row>
    <row r="1096" spans="1:4" hidden="1" x14ac:dyDescent="0.3">
      <c r="A1096">
        <v>1094</v>
      </c>
      <c r="B1096" t="s">
        <v>1324</v>
      </c>
      <c r="C1096" t="s">
        <v>128</v>
      </c>
      <c r="D1096">
        <v>0.40000471665680098</v>
      </c>
    </row>
    <row r="1097" spans="1:4" hidden="1" x14ac:dyDescent="0.3">
      <c r="A1097">
        <v>1095</v>
      </c>
      <c r="B1097" s="1" t="s">
        <v>1325</v>
      </c>
      <c r="C1097" t="s">
        <v>130</v>
      </c>
      <c r="D1097" s="1" t="s">
        <v>1326</v>
      </c>
    </row>
    <row r="1098" spans="1:4" ht="72" x14ac:dyDescent="0.3">
      <c r="A1098">
        <v>1096</v>
      </c>
      <c r="B1098" s="1" t="s">
        <v>3</v>
      </c>
      <c r="C1098" t="s">
        <v>4</v>
      </c>
      <c r="D1098" t="s">
        <v>5</v>
      </c>
    </row>
    <row r="1099" spans="1:4" hidden="1" x14ac:dyDescent="0.3">
      <c r="A1099">
        <v>1097</v>
      </c>
      <c r="B1099" t="s">
        <v>6</v>
      </c>
      <c r="C1099" t="s">
        <v>7</v>
      </c>
      <c r="D1099">
        <v>1305.25</v>
      </c>
    </row>
    <row r="1100" spans="1:4" hidden="1" x14ac:dyDescent="0.3">
      <c r="A1100">
        <v>1098</v>
      </c>
      <c r="B1100" s="1" t="s">
        <v>132</v>
      </c>
      <c r="C1100" t="s">
        <v>9</v>
      </c>
      <c r="D1100" s="1" t="s">
        <v>133</v>
      </c>
    </row>
    <row r="1101" spans="1:4" hidden="1" x14ac:dyDescent="0.3">
      <c r="A1101">
        <v>1099</v>
      </c>
      <c r="B1101" t="s">
        <v>13</v>
      </c>
      <c r="C1101" t="s">
        <v>14</v>
      </c>
      <c r="D1101">
        <v>98.4296875</v>
      </c>
    </row>
    <row r="1102" spans="1:4" hidden="1" x14ac:dyDescent="0.3">
      <c r="A1102">
        <v>1100</v>
      </c>
      <c r="B1102" t="s">
        <v>15</v>
      </c>
      <c r="C1102" t="s">
        <v>16</v>
      </c>
      <c r="D1102">
        <v>4.2819487927479898</v>
      </c>
    </row>
    <row r="1103" spans="1:4" hidden="1" x14ac:dyDescent="0.3">
      <c r="A1103">
        <v>1101</v>
      </c>
      <c r="B1103" s="1" t="s">
        <v>134</v>
      </c>
      <c r="C1103" t="s">
        <v>135</v>
      </c>
      <c r="D1103" s="1" t="s">
        <v>136</v>
      </c>
    </row>
    <row r="1104" spans="1:4" hidden="1" x14ac:dyDescent="0.3">
      <c r="A1104">
        <v>1102</v>
      </c>
      <c r="B1104" t="s">
        <v>21</v>
      </c>
      <c r="C1104" t="s">
        <v>22</v>
      </c>
      <c r="D1104">
        <v>83.1</v>
      </c>
    </row>
    <row r="1105" spans="1:4" hidden="1" x14ac:dyDescent="0.3">
      <c r="A1105">
        <v>1103</v>
      </c>
      <c r="B1105" t="s">
        <v>1327</v>
      </c>
      <c r="C1105" t="s">
        <v>24</v>
      </c>
      <c r="D1105">
        <v>4.0764943133411196</v>
      </c>
    </row>
    <row r="1106" spans="1:4" hidden="1" x14ac:dyDescent="0.3">
      <c r="A1106">
        <v>1104</v>
      </c>
      <c r="B1106" s="1" t="s">
        <v>1328</v>
      </c>
      <c r="C1106" t="s">
        <v>139</v>
      </c>
      <c r="D1106" s="1" t="s">
        <v>1329</v>
      </c>
    </row>
    <row r="1107" spans="1:4" hidden="1" x14ac:dyDescent="0.3">
      <c r="A1107">
        <v>1105</v>
      </c>
      <c r="B1107" t="s">
        <v>1330</v>
      </c>
      <c r="C1107" t="s">
        <v>35</v>
      </c>
      <c r="D1107">
        <v>-0.52220434247914005</v>
      </c>
    </row>
    <row r="1108" spans="1:4" hidden="1" x14ac:dyDescent="0.3">
      <c r="A1108">
        <v>1106</v>
      </c>
      <c r="B1108" t="s">
        <v>1331</v>
      </c>
      <c r="C1108" t="s">
        <v>143</v>
      </c>
      <c r="D1108">
        <v>0.73728464422681705</v>
      </c>
    </row>
    <row r="1109" spans="1:4" hidden="1" x14ac:dyDescent="0.3">
      <c r="A1109">
        <v>1107</v>
      </c>
      <c r="B1109" s="1" t="s">
        <v>1332</v>
      </c>
      <c r="C1109" t="s">
        <v>145</v>
      </c>
      <c r="D1109" s="1" t="s">
        <v>1333</v>
      </c>
    </row>
    <row r="1110" spans="1:4" hidden="1" x14ac:dyDescent="0.3">
      <c r="A1110">
        <v>1108</v>
      </c>
      <c r="B1110" t="s">
        <v>1334</v>
      </c>
      <c r="C1110" t="s">
        <v>30</v>
      </c>
      <c r="D1110">
        <v>0.76369580607088094</v>
      </c>
    </row>
    <row r="1111" spans="1:4" hidden="1" x14ac:dyDescent="0.3">
      <c r="A1111">
        <v>1109</v>
      </c>
      <c r="B1111" t="s">
        <v>1335</v>
      </c>
      <c r="C1111" t="s">
        <v>32</v>
      </c>
      <c r="D1111">
        <v>0.15234041961491199</v>
      </c>
    </row>
    <row r="1112" spans="1:4" hidden="1" x14ac:dyDescent="0.3">
      <c r="A1112">
        <v>1110</v>
      </c>
      <c r="B1112" s="1" t="s">
        <v>1336</v>
      </c>
      <c r="C1112" t="s">
        <v>149</v>
      </c>
      <c r="D1112" s="1" t="s">
        <v>1337</v>
      </c>
    </row>
    <row r="1113" spans="1:4" hidden="1" x14ac:dyDescent="0.3">
      <c r="A1113">
        <v>1111</v>
      </c>
      <c r="B1113" t="s">
        <v>1338</v>
      </c>
      <c r="C1113" t="s">
        <v>40</v>
      </c>
      <c r="D1113">
        <v>0.75850853640825899</v>
      </c>
    </row>
    <row r="1114" spans="1:4" hidden="1" x14ac:dyDescent="0.3">
      <c r="A1114">
        <v>1112</v>
      </c>
      <c r="B1114" t="s">
        <v>1339</v>
      </c>
      <c r="C1114" t="s">
        <v>42</v>
      </c>
      <c r="D1114">
        <v>0.20398784224477701</v>
      </c>
    </row>
    <row r="1115" spans="1:4" hidden="1" x14ac:dyDescent="0.3">
      <c r="A1115">
        <v>1113</v>
      </c>
      <c r="B1115" s="1" t="s">
        <v>1340</v>
      </c>
      <c r="C1115" t="s">
        <v>153</v>
      </c>
      <c r="D1115" s="1" t="s">
        <v>1341</v>
      </c>
    </row>
    <row r="1116" spans="1:4" hidden="1" x14ac:dyDescent="0.3">
      <c r="A1116">
        <v>1114</v>
      </c>
      <c r="B1116" t="s">
        <v>154</v>
      </c>
      <c r="C1116" t="s">
        <v>155</v>
      </c>
      <c r="D1116">
        <v>1</v>
      </c>
    </row>
    <row r="1117" spans="1:4" hidden="1" x14ac:dyDescent="0.3">
      <c r="A1117">
        <v>1115</v>
      </c>
      <c r="B1117" t="s">
        <v>156</v>
      </c>
      <c r="C1117" t="s">
        <v>157</v>
      </c>
      <c r="D1117">
        <v>1</v>
      </c>
    </row>
    <row r="1118" spans="1:4" hidden="1" x14ac:dyDescent="0.3">
      <c r="A1118">
        <v>1116</v>
      </c>
      <c r="B1118" s="1" t="s">
        <v>1342</v>
      </c>
      <c r="C1118" t="s">
        <v>159</v>
      </c>
      <c r="D1118" s="1" t="s">
        <v>1343</v>
      </c>
    </row>
    <row r="1119" spans="1:4" hidden="1" x14ac:dyDescent="0.3">
      <c r="A1119">
        <v>1117</v>
      </c>
      <c r="B1119" t="s">
        <v>1344</v>
      </c>
      <c r="C1119" t="s">
        <v>162</v>
      </c>
      <c r="D1119">
        <v>0.999835797039206</v>
      </c>
    </row>
    <row r="1120" spans="1:4" hidden="1" x14ac:dyDescent="0.3">
      <c r="A1120">
        <v>1118</v>
      </c>
      <c r="B1120" t="s">
        <v>1345</v>
      </c>
      <c r="C1120" t="s">
        <v>164</v>
      </c>
      <c r="D1120">
        <v>0.999801297824924</v>
      </c>
    </row>
    <row r="1121" spans="1:4" hidden="1" x14ac:dyDescent="0.3">
      <c r="A1121">
        <v>1119</v>
      </c>
      <c r="B1121" s="1" t="s">
        <v>1346</v>
      </c>
      <c r="C1121" t="s">
        <v>166</v>
      </c>
      <c r="D1121" s="1" t="s">
        <v>1347</v>
      </c>
    </row>
    <row r="1122" spans="1:4" hidden="1" x14ac:dyDescent="0.3">
      <c r="A1122">
        <v>1120</v>
      </c>
      <c r="B1122" s="1" t="s">
        <v>1348</v>
      </c>
      <c r="C1122" t="s">
        <v>55</v>
      </c>
      <c r="D1122" s="1" t="s">
        <v>1349</v>
      </c>
    </row>
    <row r="1123" spans="1:4" hidden="1" x14ac:dyDescent="0.3">
      <c r="A1123">
        <v>1121</v>
      </c>
      <c r="B1123" s="1" t="s">
        <v>1350</v>
      </c>
      <c r="C1123" t="s">
        <v>52</v>
      </c>
      <c r="D1123" s="1" t="s">
        <v>1351</v>
      </c>
    </row>
    <row r="1124" spans="1:4" hidden="1" x14ac:dyDescent="0.3">
      <c r="A1124">
        <v>1122</v>
      </c>
      <c r="B1124" s="1" t="s">
        <v>1352</v>
      </c>
      <c r="C1124" t="s">
        <v>58</v>
      </c>
      <c r="D1124" s="1" t="s">
        <v>1353</v>
      </c>
    </row>
    <row r="1125" spans="1:4" hidden="1" x14ac:dyDescent="0.3">
      <c r="A1125">
        <v>1123</v>
      </c>
      <c r="B1125" t="s">
        <v>1354</v>
      </c>
      <c r="C1125" t="s">
        <v>61</v>
      </c>
      <c r="D1125">
        <v>149987552.609492</v>
      </c>
    </row>
    <row r="1126" spans="1:4" hidden="1" x14ac:dyDescent="0.3">
      <c r="A1126">
        <v>1124</v>
      </c>
      <c r="B1126" t="s">
        <v>1355</v>
      </c>
      <c r="C1126" t="s">
        <v>63</v>
      </c>
      <c r="D1126">
        <v>80007100.844512895</v>
      </c>
    </row>
    <row r="1127" spans="1:4" hidden="1" x14ac:dyDescent="0.3">
      <c r="A1127">
        <v>1125</v>
      </c>
      <c r="B1127" t="s">
        <v>1356</v>
      </c>
      <c r="C1127" t="s">
        <v>65</v>
      </c>
      <c r="D1127">
        <v>40002670.521951601</v>
      </c>
    </row>
    <row r="1128" spans="1:4" hidden="1" x14ac:dyDescent="0.3">
      <c r="A1128">
        <v>1126</v>
      </c>
      <c r="B1128" s="1" t="s">
        <v>1357</v>
      </c>
      <c r="C1128" t="s">
        <v>67</v>
      </c>
      <c r="D1128" s="1" t="s">
        <v>1358</v>
      </c>
    </row>
    <row r="1129" spans="1:4" hidden="1" x14ac:dyDescent="0.3">
      <c r="A1129">
        <v>1127</v>
      </c>
      <c r="B1129" s="1" t="s">
        <v>1359</v>
      </c>
      <c r="C1129" t="s">
        <v>70</v>
      </c>
      <c r="D1129" s="1" t="s">
        <v>1360</v>
      </c>
    </row>
    <row r="1130" spans="1:4" hidden="1" x14ac:dyDescent="0.3">
      <c r="A1130">
        <v>1128</v>
      </c>
      <c r="B1130" t="s">
        <v>1361</v>
      </c>
      <c r="C1130" t="s">
        <v>73</v>
      </c>
      <c r="D1130">
        <v>1.00013855195575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1362</v>
      </c>
      <c r="C1134" t="s">
        <v>81</v>
      </c>
      <c r="D1134" s="1" t="s">
        <v>1363</v>
      </c>
    </row>
    <row r="1135" spans="1:4" hidden="1" x14ac:dyDescent="0.3">
      <c r="A1135">
        <v>1133</v>
      </c>
      <c r="B1135" t="s">
        <v>1364</v>
      </c>
      <c r="C1135" t="s">
        <v>84</v>
      </c>
      <c r="D1135">
        <v>1.0001448056783799</v>
      </c>
    </row>
    <row r="1136" spans="1:4" hidden="1" x14ac:dyDescent="0.3">
      <c r="A1136">
        <v>1134</v>
      </c>
      <c r="B1136" s="1" t="s">
        <v>1365</v>
      </c>
      <c r="C1136" t="s">
        <v>86</v>
      </c>
      <c r="D1136" s="1" t="s">
        <v>1366</v>
      </c>
    </row>
    <row r="1137" spans="1:4" hidden="1" x14ac:dyDescent="0.3">
      <c r="A1137">
        <v>1135</v>
      </c>
      <c r="B1137" t="s">
        <v>1367</v>
      </c>
      <c r="C1137" t="s">
        <v>89</v>
      </c>
      <c r="D1137">
        <v>99991581.247792706</v>
      </c>
    </row>
    <row r="1138" spans="1:4" hidden="1" x14ac:dyDescent="0.3">
      <c r="A1138">
        <v>1136</v>
      </c>
      <c r="B1138" s="1" t="s">
        <v>1368</v>
      </c>
      <c r="C1138" t="s">
        <v>91</v>
      </c>
      <c r="D1138" s="1" t="s">
        <v>1314</v>
      </c>
    </row>
    <row r="1139" spans="1:4" hidden="1" x14ac:dyDescent="0.3">
      <c r="A1139">
        <v>1137</v>
      </c>
      <c r="B1139" t="s">
        <v>1369</v>
      </c>
      <c r="C1139" t="s">
        <v>94</v>
      </c>
      <c r="D1139">
        <v>80007100.844512895</v>
      </c>
    </row>
    <row r="1140" spans="1:4" hidden="1" x14ac:dyDescent="0.3">
      <c r="A1140">
        <v>1138</v>
      </c>
      <c r="B1140" t="s">
        <v>1370</v>
      </c>
      <c r="C1140" t="s">
        <v>96</v>
      </c>
      <c r="D1140">
        <v>40002670.521951601</v>
      </c>
    </row>
    <row r="1141" spans="1:4" hidden="1" x14ac:dyDescent="0.3">
      <c r="A1141">
        <v>1139</v>
      </c>
      <c r="B1141" t="s">
        <v>1371</v>
      </c>
      <c r="C1141" t="s">
        <v>98</v>
      </c>
      <c r="D1141">
        <v>29977781.243028201</v>
      </c>
    </row>
    <row r="1142" spans="1:4" hidden="1" x14ac:dyDescent="0.3">
      <c r="A1142">
        <v>1140</v>
      </c>
      <c r="B1142" s="1" t="s">
        <v>1372</v>
      </c>
      <c r="C1142" t="s">
        <v>100</v>
      </c>
      <c r="D1142" s="1" t="s">
        <v>1373</v>
      </c>
    </row>
    <row r="1143" spans="1:4" hidden="1" x14ac:dyDescent="0.3">
      <c r="A1143">
        <v>1141</v>
      </c>
      <c r="B1143" t="s">
        <v>1374</v>
      </c>
      <c r="C1143" t="s">
        <v>103</v>
      </c>
      <c r="D1143">
        <v>5.9840900729552296E-3</v>
      </c>
    </row>
    <row r="1144" spans="1:4" hidden="1" x14ac:dyDescent="0.3">
      <c r="A1144">
        <v>1142</v>
      </c>
      <c r="B1144" t="s">
        <v>1375</v>
      </c>
      <c r="C1144" t="s">
        <v>105</v>
      </c>
      <c r="D1144">
        <v>6.7111928737157898E-4</v>
      </c>
    </row>
    <row r="1145" spans="1:4" hidden="1" x14ac:dyDescent="0.3">
      <c r="A1145">
        <v>1143</v>
      </c>
      <c r="B1145" t="s">
        <v>1376</v>
      </c>
      <c r="C1145" t="s">
        <v>107</v>
      </c>
      <c r="D1145">
        <v>1.5345371036249E-2</v>
      </c>
    </row>
    <row r="1146" spans="1:4" hidden="1" x14ac:dyDescent="0.3">
      <c r="A1146">
        <v>1144</v>
      </c>
      <c r="B1146" s="1" t="s">
        <v>1377</v>
      </c>
      <c r="C1146" t="s">
        <v>109</v>
      </c>
      <c r="D1146" s="1" t="s">
        <v>1378</v>
      </c>
    </row>
    <row r="1147" spans="1:4" hidden="1" x14ac:dyDescent="0.3">
      <c r="A1147">
        <v>1145</v>
      </c>
      <c r="B1147" t="s">
        <v>1379</v>
      </c>
      <c r="C1147" t="s">
        <v>197</v>
      </c>
      <c r="D1147">
        <v>149987769.016325</v>
      </c>
    </row>
    <row r="1148" spans="1:4" hidden="1" x14ac:dyDescent="0.3">
      <c r="A1148">
        <v>1146</v>
      </c>
      <c r="B1148" t="s">
        <v>1380</v>
      </c>
      <c r="C1148" t="s">
        <v>199</v>
      </c>
      <c r="D1148">
        <v>-500.27390419091103</v>
      </c>
    </row>
    <row r="1149" spans="1:4" hidden="1" x14ac:dyDescent="0.3">
      <c r="A1149">
        <v>1147</v>
      </c>
      <c r="B1149" t="s">
        <v>1381</v>
      </c>
      <c r="C1149" t="s">
        <v>201</v>
      </c>
      <c r="D1149">
        <v>-250.13114543746099</v>
      </c>
    </row>
    <row r="1150" spans="1:4" hidden="1" x14ac:dyDescent="0.3">
      <c r="A1150">
        <v>1148</v>
      </c>
      <c r="B1150" s="1" t="s">
        <v>1382</v>
      </c>
      <c r="C1150" t="s">
        <v>203</v>
      </c>
      <c r="D1150" s="1" t="s">
        <v>1383</v>
      </c>
    </row>
    <row r="1151" spans="1:4" hidden="1" x14ac:dyDescent="0.3">
      <c r="A1151">
        <v>1149</v>
      </c>
      <c r="B1151" t="s">
        <v>1384</v>
      </c>
      <c r="C1151" t="s">
        <v>206</v>
      </c>
      <c r="D1151">
        <v>80007761.240779698</v>
      </c>
    </row>
    <row r="1152" spans="1:4" hidden="1" x14ac:dyDescent="0.3">
      <c r="A1152">
        <v>1150</v>
      </c>
      <c r="B1152" t="s">
        <v>1385</v>
      </c>
      <c r="C1152" t="s">
        <v>208</v>
      </c>
      <c r="D1152">
        <v>40002951.973697402</v>
      </c>
    </row>
    <row r="1153" spans="1:4" hidden="1" x14ac:dyDescent="0.3">
      <c r="A1153">
        <v>1151</v>
      </c>
      <c r="B1153" t="s">
        <v>1386</v>
      </c>
      <c r="C1153" t="s">
        <v>210</v>
      </c>
      <c r="D1153">
        <v>29977993.653811701</v>
      </c>
    </row>
    <row r="1154" spans="1:4" hidden="1" x14ac:dyDescent="0.3">
      <c r="A1154">
        <v>1152</v>
      </c>
      <c r="B1154" s="1" t="s">
        <v>1387</v>
      </c>
      <c r="C1154" t="s">
        <v>212</v>
      </c>
      <c r="D1154" s="1" t="s">
        <v>1388</v>
      </c>
    </row>
    <row r="1155" spans="1:4" hidden="1" x14ac:dyDescent="0.3">
      <c r="A1155">
        <v>1153</v>
      </c>
      <c r="B1155" t="s">
        <v>1389</v>
      </c>
      <c r="C1155" t="s">
        <v>215</v>
      </c>
      <c r="D1155">
        <v>99992206.480779499</v>
      </c>
    </row>
    <row r="1156" spans="1:4" hidden="1" x14ac:dyDescent="0.3">
      <c r="A1156">
        <v>1154</v>
      </c>
      <c r="B1156" t="s">
        <v>1390</v>
      </c>
      <c r="C1156" t="s">
        <v>217</v>
      </c>
      <c r="D1156">
        <v>-625.23298676311902</v>
      </c>
    </row>
    <row r="1157" spans="1:4" hidden="1" x14ac:dyDescent="0.3">
      <c r="A1157">
        <v>1155</v>
      </c>
      <c r="B1157" s="1" t="s">
        <v>1391</v>
      </c>
      <c r="C1157" t="s">
        <v>219</v>
      </c>
      <c r="D1157" s="1" t="s">
        <v>1392</v>
      </c>
    </row>
    <row r="1158" spans="1:4" hidden="1" x14ac:dyDescent="0.3">
      <c r="A1158">
        <v>1156</v>
      </c>
      <c r="B1158" t="s">
        <v>1393</v>
      </c>
      <c r="C1158" t="s">
        <v>112</v>
      </c>
      <c r="D1158">
        <v>160.122362628205</v>
      </c>
    </row>
    <row r="1159" spans="1:4" hidden="1" x14ac:dyDescent="0.3">
      <c r="A1159">
        <v>1157</v>
      </c>
      <c r="B1159" t="s">
        <v>1394</v>
      </c>
      <c r="C1159" t="s">
        <v>114</v>
      </c>
      <c r="D1159">
        <v>31.320600404855899</v>
      </c>
    </row>
    <row r="1160" spans="1:4" hidden="1" x14ac:dyDescent="0.3">
      <c r="A1160">
        <v>1158</v>
      </c>
      <c r="B1160" s="1" t="s">
        <v>1395</v>
      </c>
      <c r="C1160" t="s">
        <v>116</v>
      </c>
      <c r="D1160" s="1" t="s">
        <v>1396</v>
      </c>
    </row>
    <row r="1161" spans="1:4" hidden="1" x14ac:dyDescent="0.3">
      <c r="A1161">
        <v>1159</v>
      </c>
      <c r="B1161" t="s">
        <v>1397</v>
      </c>
      <c r="C1161" t="s">
        <v>119</v>
      </c>
      <c r="D1161">
        <v>80007761.240779698</v>
      </c>
    </row>
    <row r="1162" spans="1:4" hidden="1" x14ac:dyDescent="0.3">
      <c r="A1162">
        <v>1160</v>
      </c>
      <c r="B1162" t="s">
        <v>1398</v>
      </c>
      <c r="C1162" t="s">
        <v>121</v>
      </c>
      <c r="D1162">
        <v>40002951.973697402</v>
      </c>
    </row>
    <row r="1163" spans="1:4" hidden="1" x14ac:dyDescent="0.3">
      <c r="A1163">
        <v>1161</v>
      </c>
      <c r="B1163" s="1" t="s">
        <v>1399</v>
      </c>
      <c r="C1163" t="s">
        <v>123</v>
      </c>
      <c r="D1163" s="1" t="s">
        <v>1400</v>
      </c>
    </row>
    <row r="1164" spans="1:4" hidden="1" x14ac:dyDescent="0.3">
      <c r="A1164">
        <v>1162</v>
      </c>
      <c r="B1164" t="s">
        <v>1401</v>
      </c>
      <c r="C1164" t="s">
        <v>126</v>
      </c>
      <c r="D1164">
        <v>0.80002412343434903</v>
      </c>
    </row>
    <row r="1165" spans="1:4" hidden="1" x14ac:dyDescent="0.3">
      <c r="A1165">
        <v>1163</v>
      </c>
      <c r="B1165" t="s">
        <v>1402</v>
      </c>
      <c r="C1165" t="s">
        <v>128</v>
      </c>
      <c r="D1165">
        <v>0.40000277587109401</v>
      </c>
    </row>
    <row r="1166" spans="1:4" hidden="1" x14ac:dyDescent="0.3">
      <c r="A1166">
        <v>1164</v>
      </c>
      <c r="B1166" s="1" t="s">
        <v>1403</v>
      </c>
      <c r="C1166" t="s">
        <v>130</v>
      </c>
      <c r="D1166" s="1" t="s">
        <v>1404</v>
      </c>
    </row>
    <row r="1167" spans="1:4" ht="72" x14ac:dyDescent="0.3">
      <c r="A1167">
        <v>1165</v>
      </c>
      <c r="B1167" s="1" t="s">
        <v>3</v>
      </c>
      <c r="C1167" t="s">
        <v>4</v>
      </c>
      <c r="D1167" t="s">
        <v>5</v>
      </c>
    </row>
    <row r="1168" spans="1:4" hidden="1" x14ac:dyDescent="0.3">
      <c r="A1168">
        <v>1166</v>
      </c>
      <c r="B1168" t="s">
        <v>6</v>
      </c>
      <c r="C1168" t="s">
        <v>7</v>
      </c>
      <c r="D1168">
        <v>1305.25</v>
      </c>
    </row>
    <row r="1169" spans="1:4" hidden="1" x14ac:dyDescent="0.3">
      <c r="A1169">
        <v>1167</v>
      </c>
      <c r="B1169" s="1" t="s">
        <v>132</v>
      </c>
      <c r="C1169" t="s">
        <v>9</v>
      </c>
      <c r="D1169" s="1" t="s">
        <v>133</v>
      </c>
    </row>
    <row r="1170" spans="1:4" hidden="1" x14ac:dyDescent="0.3">
      <c r="A1170">
        <v>1168</v>
      </c>
      <c r="B1170" t="s">
        <v>13</v>
      </c>
      <c r="C1170" t="s">
        <v>14</v>
      </c>
      <c r="D1170">
        <v>98.4296875</v>
      </c>
    </row>
    <row r="1171" spans="1:4" hidden="1" x14ac:dyDescent="0.3">
      <c r="A1171">
        <v>1169</v>
      </c>
      <c r="B1171" t="s">
        <v>15</v>
      </c>
      <c r="C1171" t="s">
        <v>16</v>
      </c>
      <c r="D1171">
        <v>4.2819487927479898</v>
      </c>
    </row>
    <row r="1172" spans="1:4" hidden="1" x14ac:dyDescent="0.3">
      <c r="A1172">
        <v>1170</v>
      </c>
      <c r="B1172" s="1" t="s">
        <v>134</v>
      </c>
      <c r="C1172" t="s">
        <v>135</v>
      </c>
      <c r="D1172" s="1" t="s">
        <v>136</v>
      </c>
    </row>
    <row r="1173" spans="1:4" hidden="1" x14ac:dyDescent="0.3">
      <c r="A1173">
        <v>1171</v>
      </c>
      <c r="B1173" t="s">
        <v>21</v>
      </c>
      <c r="C1173" t="s">
        <v>22</v>
      </c>
      <c r="D1173">
        <v>83.1</v>
      </c>
    </row>
    <row r="1174" spans="1:4" hidden="1" x14ac:dyDescent="0.3">
      <c r="A1174">
        <v>1172</v>
      </c>
      <c r="B1174" t="s">
        <v>1405</v>
      </c>
      <c r="C1174" t="s">
        <v>24</v>
      </c>
      <c r="D1174">
        <v>4.0767136686362697</v>
      </c>
    </row>
    <row r="1175" spans="1:4" hidden="1" x14ac:dyDescent="0.3">
      <c r="A1175">
        <v>1173</v>
      </c>
      <c r="B1175" s="1" t="s">
        <v>1406</v>
      </c>
      <c r="C1175" t="s">
        <v>139</v>
      </c>
      <c r="D1175" s="1" t="s">
        <v>1407</v>
      </c>
    </row>
    <row r="1176" spans="1:4" hidden="1" x14ac:dyDescent="0.3">
      <c r="A1176">
        <v>1174</v>
      </c>
      <c r="B1176" t="s">
        <v>1408</v>
      </c>
      <c r="C1176" t="s">
        <v>35</v>
      </c>
      <c r="D1176">
        <v>-0.51500056806192795</v>
      </c>
    </row>
    <row r="1177" spans="1:4" hidden="1" x14ac:dyDescent="0.3">
      <c r="A1177">
        <v>1175</v>
      </c>
      <c r="B1177" t="s">
        <v>1409</v>
      </c>
      <c r="C1177" t="s">
        <v>143</v>
      </c>
      <c r="D1177">
        <v>0.73674781945492296</v>
      </c>
    </row>
    <row r="1178" spans="1:4" hidden="1" x14ac:dyDescent="0.3">
      <c r="A1178">
        <v>1176</v>
      </c>
      <c r="B1178" s="1" t="s">
        <v>1410</v>
      </c>
      <c r="C1178" t="s">
        <v>145</v>
      </c>
      <c r="D1178" s="1" t="s">
        <v>1411</v>
      </c>
    </row>
    <row r="1179" spans="1:4" hidden="1" x14ac:dyDescent="0.3">
      <c r="A1179">
        <v>1177</v>
      </c>
      <c r="B1179" t="s">
        <v>1412</v>
      </c>
      <c r="C1179" t="s">
        <v>30</v>
      </c>
      <c r="D1179">
        <v>0.753160672861938</v>
      </c>
    </row>
    <row r="1180" spans="1:4" hidden="1" x14ac:dyDescent="0.3">
      <c r="A1180">
        <v>1178</v>
      </c>
      <c r="B1180" t="s">
        <v>1413</v>
      </c>
      <c r="C1180" t="s">
        <v>32</v>
      </c>
      <c r="D1180">
        <v>0.15301079086006</v>
      </c>
    </row>
    <row r="1181" spans="1:4" hidden="1" x14ac:dyDescent="0.3">
      <c r="A1181">
        <v>1179</v>
      </c>
      <c r="B1181" s="1" t="s">
        <v>1414</v>
      </c>
      <c r="C1181" t="s">
        <v>149</v>
      </c>
      <c r="D1181" s="1" t="s">
        <v>1415</v>
      </c>
    </row>
    <row r="1182" spans="1:4" hidden="1" x14ac:dyDescent="0.3">
      <c r="A1182">
        <v>1180</v>
      </c>
      <c r="B1182" t="s">
        <v>1416</v>
      </c>
      <c r="C1182" t="s">
        <v>40</v>
      </c>
      <c r="D1182">
        <v>0.76183989519998896</v>
      </c>
    </row>
    <row r="1183" spans="1:4" hidden="1" x14ac:dyDescent="0.3">
      <c r="A1183">
        <v>1181</v>
      </c>
      <c r="B1183" t="s">
        <v>1417</v>
      </c>
      <c r="C1183" t="s">
        <v>42</v>
      </c>
      <c r="D1183">
        <v>0.20430574757209999</v>
      </c>
    </row>
    <row r="1184" spans="1:4" hidden="1" x14ac:dyDescent="0.3">
      <c r="A1184">
        <v>1182</v>
      </c>
      <c r="B1184" s="1" t="s">
        <v>1418</v>
      </c>
      <c r="C1184" t="s">
        <v>153</v>
      </c>
      <c r="D1184" s="1" t="s">
        <v>1419</v>
      </c>
    </row>
    <row r="1185" spans="1:4" hidden="1" x14ac:dyDescent="0.3">
      <c r="A1185">
        <v>1183</v>
      </c>
      <c r="B1185" t="s">
        <v>154</v>
      </c>
      <c r="C1185" t="s">
        <v>155</v>
      </c>
      <c r="D1185">
        <v>1</v>
      </c>
    </row>
    <row r="1186" spans="1:4" hidden="1" x14ac:dyDescent="0.3">
      <c r="A1186">
        <v>1184</v>
      </c>
      <c r="B1186" t="s">
        <v>156</v>
      </c>
      <c r="C1186" t="s">
        <v>157</v>
      </c>
      <c r="D1186">
        <v>1</v>
      </c>
    </row>
    <row r="1187" spans="1:4" hidden="1" x14ac:dyDescent="0.3">
      <c r="A1187">
        <v>1185</v>
      </c>
      <c r="B1187" s="1" t="s">
        <v>1420</v>
      </c>
      <c r="C1187" t="s">
        <v>159</v>
      </c>
      <c r="D1187" s="1" t="s">
        <v>1421</v>
      </c>
    </row>
    <row r="1188" spans="1:4" hidden="1" x14ac:dyDescent="0.3">
      <c r="A1188">
        <v>1186</v>
      </c>
      <c r="B1188" t="s">
        <v>1422</v>
      </c>
      <c r="C1188" t="s">
        <v>162</v>
      </c>
      <c r="D1188">
        <v>0.99969099780299198</v>
      </c>
    </row>
    <row r="1189" spans="1:4" hidden="1" x14ac:dyDescent="0.3">
      <c r="A1189">
        <v>1187</v>
      </c>
      <c r="B1189" t="s">
        <v>1423</v>
      </c>
      <c r="C1189" t="s">
        <v>164</v>
      </c>
      <c r="D1189">
        <v>1.0005817475754</v>
      </c>
    </row>
    <row r="1190" spans="1:4" hidden="1" x14ac:dyDescent="0.3">
      <c r="A1190">
        <v>1188</v>
      </c>
      <c r="B1190" s="1" t="s">
        <v>1424</v>
      </c>
      <c r="C1190" t="s">
        <v>166</v>
      </c>
      <c r="D1190" s="1" t="s">
        <v>1425</v>
      </c>
    </row>
    <row r="1191" spans="1:4" hidden="1" x14ac:dyDescent="0.3">
      <c r="A1191">
        <v>1189</v>
      </c>
      <c r="B1191" s="1" t="s">
        <v>1426</v>
      </c>
      <c r="C1191" t="s">
        <v>55</v>
      </c>
      <c r="D1191" s="1" t="s">
        <v>1427</v>
      </c>
    </row>
    <row r="1192" spans="1:4" hidden="1" x14ac:dyDescent="0.3">
      <c r="A1192">
        <v>1190</v>
      </c>
      <c r="B1192" s="1" t="s">
        <v>1428</v>
      </c>
      <c r="C1192" t="s">
        <v>52</v>
      </c>
      <c r="D1192" s="1" t="s">
        <v>1429</v>
      </c>
    </row>
    <row r="1193" spans="1:4" hidden="1" x14ac:dyDescent="0.3">
      <c r="A1193">
        <v>1191</v>
      </c>
      <c r="B1193" s="1" t="s">
        <v>1430</v>
      </c>
      <c r="C1193" t="s">
        <v>58</v>
      </c>
      <c r="D1193" s="1" t="s">
        <v>1431</v>
      </c>
    </row>
    <row r="1194" spans="1:4" hidden="1" x14ac:dyDescent="0.3">
      <c r="A1194">
        <v>1192</v>
      </c>
      <c r="B1194" t="s">
        <v>1432</v>
      </c>
      <c r="C1194" t="s">
        <v>61</v>
      </c>
      <c r="D1194">
        <v>149988782.29953501</v>
      </c>
    </row>
    <row r="1195" spans="1:4" hidden="1" x14ac:dyDescent="0.3">
      <c r="A1195">
        <v>1193</v>
      </c>
      <c r="B1195" t="s">
        <v>1433</v>
      </c>
      <c r="C1195" t="s">
        <v>63</v>
      </c>
      <c r="D1195">
        <v>80007761.240779698</v>
      </c>
    </row>
    <row r="1196" spans="1:4" hidden="1" x14ac:dyDescent="0.3">
      <c r="A1196">
        <v>1194</v>
      </c>
      <c r="B1196" t="s">
        <v>1434</v>
      </c>
      <c r="C1196" t="s">
        <v>65</v>
      </c>
      <c r="D1196">
        <v>40002951.973697402</v>
      </c>
    </row>
    <row r="1197" spans="1:4" hidden="1" x14ac:dyDescent="0.3">
      <c r="A1197">
        <v>1195</v>
      </c>
      <c r="B1197" s="1" t="s">
        <v>1435</v>
      </c>
      <c r="C1197" t="s">
        <v>67</v>
      </c>
      <c r="D1197" s="1" t="s">
        <v>1436</v>
      </c>
    </row>
    <row r="1198" spans="1:4" hidden="1" x14ac:dyDescent="0.3">
      <c r="A1198">
        <v>1196</v>
      </c>
      <c r="B1198" s="1" t="s">
        <v>1437</v>
      </c>
      <c r="C1198" t="s">
        <v>70</v>
      </c>
      <c r="D1198" s="1" t="s">
        <v>1438</v>
      </c>
    </row>
    <row r="1199" spans="1:4" hidden="1" x14ac:dyDescent="0.3">
      <c r="A1199">
        <v>1197</v>
      </c>
      <c r="B1199" t="s">
        <v>1439</v>
      </c>
      <c r="C1199" t="s">
        <v>73</v>
      </c>
      <c r="D1199">
        <v>1.0001448056783799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268</v>
      </c>
      <c r="C1202" t="s">
        <v>79</v>
      </c>
      <c r="D1202" s="2">
        <v>-2.2204460492503101E-16</v>
      </c>
    </row>
    <row r="1203" spans="1:4" hidden="1" x14ac:dyDescent="0.3">
      <c r="A1203">
        <v>1201</v>
      </c>
      <c r="B1203" s="1" t="s">
        <v>1440</v>
      </c>
      <c r="C1203" t="s">
        <v>81</v>
      </c>
      <c r="D1203" s="1" t="s">
        <v>1441</v>
      </c>
    </row>
    <row r="1204" spans="1:4" hidden="1" x14ac:dyDescent="0.3">
      <c r="A1204">
        <v>1202</v>
      </c>
      <c r="B1204" t="s">
        <v>1442</v>
      </c>
      <c r="C1204" t="s">
        <v>84</v>
      </c>
      <c r="D1204">
        <v>1.0000901799271</v>
      </c>
    </row>
    <row r="1205" spans="1:4" hidden="1" x14ac:dyDescent="0.3">
      <c r="A1205">
        <v>1203</v>
      </c>
      <c r="B1205" s="1" t="s">
        <v>1443</v>
      </c>
      <c r="C1205" t="s">
        <v>86</v>
      </c>
      <c r="D1205" s="1" t="s">
        <v>1444</v>
      </c>
    </row>
    <row r="1206" spans="1:4" hidden="1" x14ac:dyDescent="0.3">
      <c r="A1206">
        <v>1204</v>
      </c>
      <c r="B1206" t="s">
        <v>1445</v>
      </c>
      <c r="C1206" t="s">
        <v>89</v>
      </c>
      <c r="D1206">
        <v>99997042.870510504</v>
      </c>
    </row>
    <row r="1207" spans="1:4" hidden="1" x14ac:dyDescent="0.3">
      <c r="A1207">
        <v>1205</v>
      </c>
      <c r="B1207" s="1" t="s">
        <v>1446</v>
      </c>
      <c r="C1207" t="s">
        <v>91</v>
      </c>
      <c r="D1207" s="1" t="s">
        <v>1392</v>
      </c>
    </row>
    <row r="1208" spans="1:4" hidden="1" x14ac:dyDescent="0.3">
      <c r="A1208">
        <v>1206</v>
      </c>
      <c r="B1208" t="s">
        <v>1447</v>
      </c>
      <c r="C1208" t="s">
        <v>94</v>
      </c>
      <c r="D1208">
        <v>80007761.240779698</v>
      </c>
    </row>
    <row r="1209" spans="1:4" hidden="1" x14ac:dyDescent="0.3">
      <c r="A1209">
        <v>1207</v>
      </c>
      <c r="B1209" t="s">
        <v>1448</v>
      </c>
      <c r="C1209" t="s">
        <v>96</v>
      </c>
      <c r="D1209">
        <v>40002951.973697402</v>
      </c>
    </row>
    <row r="1210" spans="1:4" hidden="1" x14ac:dyDescent="0.3">
      <c r="A1210">
        <v>1208</v>
      </c>
      <c r="B1210" t="s">
        <v>1449</v>
      </c>
      <c r="C1210" t="s">
        <v>98</v>
      </c>
      <c r="D1210">
        <v>29978069.085058399</v>
      </c>
    </row>
    <row r="1211" spans="1:4" hidden="1" x14ac:dyDescent="0.3">
      <c r="A1211">
        <v>1209</v>
      </c>
      <c r="B1211" s="1" t="s">
        <v>1450</v>
      </c>
      <c r="C1211" t="s">
        <v>100</v>
      </c>
      <c r="D1211" s="1" t="s">
        <v>1451</v>
      </c>
    </row>
    <row r="1212" spans="1:4" hidden="1" x14ac:dyDescent="0.3">
      <c r="A1212">
        <v>1210</v>
      </c>
      <c r="B1212" t="s">
        <v>1452</v>
      </c>
      <c r="C1212" t="s">
        <v>103</v>
      </c>
      <c r="D1212">
        <v>5.99830714071124E-3</v>
      </c>
    </row>
    <row r="1213" spans="1:4" hidden="1" x14ac:dyDescent="0.3">
      <c r="A1213">
        <v>1211</v>
      </c>
      <c r="B1213" t="s">
        <v>1453</v>
      </c>
      <c r="C1213" t="s">
        <v>105</v>
      </c>
      <c r="D1213">
        <v>6.7516021797722704E-4</v>
      </c>
    </row>
    <row r="1214" spans="1:4" hidden="1" x14ac:dyDescent="0.3">
      <c r="A1214">
        <v>1212</v>
      </c>
      <c r="B1214" t="s">
        <v>1454</v>
      </c>
      <c r="C1214" t="s">
        <v>107</v>
      </c>
      <c r="D1214">
        <v>1.5344089569393701E-2</v>
      </c>
    </row>
    <row r="1215" spans="1:4" hidden="1" x14ac:dyDescent="0.3">
      <c r="A1215">
        <v>1213</v>
      </c>
      <c r="B1215" s="1" t="s">
        <v>1455</v>
      </c>
      <c r="C1215" t="s">
        <v>109</v>
      </c>
      <c r="D1215" s="1" t="s">
        <v>1456</v>
      </c>
    </row>
    <row r="1216" spans="1:4" hidden="1" x14ac:dyDescent="0.3">
      <c r="A1216">
        <v>1214</v>
      </c>
      <c r="B1216" t="s">
        <v>1457</v>
      </c>
      <c r="C1216" t="s">
        <v>197</v>
      </c>
      <c r="D1216">
        <v>149986892.03553599</v>
      </c>
    </row>
    <row r="1217" spans="1:4" hidden="1" x14ac:dyDescent="0.3">
      <c r="A1217">
        <v>1215</v>
      </c>
      <c r="B1217" t="s">
        <v>1458</v>
      </c>
      <c r="C1217" t="s">
        <v>199</v>
      </c>
      <c r="D1217">
        <v>4369.77489171672</v>
      </c>
    </row>
    <row r="1218" spans="1:4" hidden="1" x14ac:dyDescent="0.3">
      <c r="A1218">
        <v>1216</v>
      </c>
      <c r="B1218" t="s">
        <v>1459</v>
      </c>
      <c r="C1218" t="s">
        <v>201</v>
      </c>
      <c r="D1218">
        <v>2184.85999013115</v>
      </c>
    </row>
    <row r="1219" spans="1:4" hidden="1" x14ac:dyDescent="0.3">
      <c r="A1219">
        <v>1217</v>
      </c>
      <c r="B1219" s="1" t="s">
        <v>1460</v>
      </c>
      <c r="C1219" t="s">
        <v>203</v>
      </c>
      <c r="D1219" s="1" t="s">
        <v>1461</v>
      </c>
    </row>
    <row r="1220" spans="1:4" hidden="1" x14ac:dyDescent="0.3">
      <c r="A1220">
        <v>1218</v>
      </c>
      <c r="B1220" t="s">
        <v>1462</v>
      </c>
      <c r="C1220" t="s">
        <v>206</v>
      </c>
      <c r="D1220">
        <v>80001992.758417606</v>
      </c>
    </row>
    <row r="1221" spans="1:4" hidden="1" x14ac:dyDescent="0.3">
      <c r="A1221">
        <v>1219</v>
      </c>
      <c r="B1221" t="s">
        <v>1463</v>
      </c>
      <c r="C1221" t="s">
        <v>208</v>
      </c>
      <c r="D1221">
        <v>40000493.718787201</v>
      </c>
    </row>
    <row r="1222" spans="1:4" hidden="1" x14ac:dyDescent="0.3">
      <c r="A1222">
        <v>1220</v>
      </c>
      <c r="B1222" t="s">
        <v>1464</v>
      </c>
      <c r="C1222" t="s">
        <v>210</v>
      </c>
      <c r="D1222">
        <v>29976213.5979155</v>
      </c>
    </row>
    <row r="1223" spans="1:4" hidden="1" x14ac:dyDescent="0.3">
      <c r="A1223">
        <v>1221</v>
      </c>
      <c r="B1223" s="1" t="s">
        <v>1465</v>
      </c>
      <c r="C1223" t="s">
        <v>212</v>
      </c>
      <c r="D1223" s="1" t="s">
        <v>1466</v>
      </c>
    </row>
    <row r="1224" spans="1:4" hidden="1" x14ac:dyDescent="0.3">
      <c r="A1224">
        <v>1222</v>
      </c>
      <c r="B1224" t="s">
        <v>1467</v>
      </c>
      <c r="C1224" t="s">
        <v>215</v>
      </c>
      <c r="D1224">
        <v>99991581.247792706</v>
      </c>
    </row>
    <row r="1225" spans="1:4" hidden="1" x14ac:dyDescent="0.3">
      <c r="A1225">
        <v>1223</v>
      </c>
      <c r="B1225" t="s">
        <v>1468</v>
      </c>
      <c r="C1225" t="s">
        <v>217</v>
      </c>
      <c r="D1225">
        <v>5461.6227178126501</v>
      </c>
    </row>
    <row r="1226" spans="1:4" hidden="1" x14ac:dyDescent="0.3">
      <c r="A1226">
        <v>1224</v>
      </c>
      <c r="B1226" s="1" t="s">
        <v>1469</v>
      </c>
      <c r="C1226" t="s">
        <v>219</v>
      </c>
      <c r="D1226" s="1" t="s">
        <v>1470</v>
      </c>
    </row>
    <row r="1227" spans="1:4" hidden="1" x14ac:dyDescent="0.3">
      <c r="A1227">
        <v>1225</v>
      </c>
      <c r="B1227" t="s">
        <v>1471</v>
      </c>
      <c r="C1227" t="s">
        <v>112</v>
      </c>
      <c r="D1227">
        <v>-1398.7074703718799</v>
      </c>
    </row>
    <row r="1228" spans="1:4" hidden="1" x14ac:dyDescent="0.3">
      <c r="A1228">
        <v>1226</v>
      </c>
      <c r="B1228" t="s">
        <v>1472</v>
      </c>
      <c r="C1228" t="s">
        <v>114</v>
      </c>
      <c r="D1228">
        <v>-273.39492009684</v>
      </c>
    </row>
    <row r="1229" spans="1:4" hidden="1" x14ac:dyDescent="0.3">
      <c r="A1229">
        <v>1227</v>
      </c>
      <c r="B1229" s="1" t="s">
        <v>1473</v>
      </c>
      <c r="C1229" t="s">
        <v>116</v>
      </c>
      <c r="D1229" s="1" t="s">
        <v>1474</v>
      </c>
    </row>
    <row r="1230" spans="1:4" hidden="1" x14ac:dyDescent="0.3">
      <c r="A1230">
        <v>1228</v>
      </c>
      <c r="B1230" t="s">
        <v>1475</v>
      </c>
      <c r="C1230" t="s">
        <v>119</v>
      </c>
      <c r="D1230">
        <v>80001992.758417606</v>
      </c>
    </row>
    <row r="1231" spans="1:4" hidden="1" x14ac:dyDescent="0.3">
      <c r="A1231">
        <v>1229</v>
      </c>
      <c r="B1231" t="s">
        <v>1476</v>
      </c>
      <c r="C1231" t="s">
        <v>121</v>
      </c>
      <c r="D1231">
        <v>40000493.718787201</v>
      </c>
    </row>
    <row r="1232" spans="1:4" hidden="1" x14ac:dyDescent="0.3">
      <c r="A1232">
        <v>1230</v>
      </c>
      <c r="B1232" s="1" t="s">
        <v>1477</v>
      </c>
      <c r="C1232" t="s">
        <v>123</v>
      </c>
      <c r="D1232" s="1" t="s">
        <v>1478</v>
      </c>
    </row>
    <row r="1233" spans="1:4" hidden="1" x14ac:dyDescent="0.3">
      <c r="A1233">
        <v>1231</v>
      </c>
      <c r="B1233" t="s">
        <v>1479</v>
      </c>
      <c r="C1233" t="s">
        <v>126</v>
      </c>
      <c r="D1233">
        <v>0.80001513964315796</v>
      </c>
    </row>
    <row r="1234" spans="1:4" hidden="1" x14ac:dyDescent="0.3">
      <c r="A1234">
        <v>1232</v>
      </c>
      <c r="B1234" t="s">
        <v>1480</v>
      </c>
      <c r="C1234" t="s">
        <v>128</v>
      </c>
      <c r="D1234">
        <v>0.400002543247446</v>
      </c>
    </row>
    <row r="1235" spans="1:4" hidden="1" x14ac:dyDescent="0.3">
      <c r="A1235">
        <v>1233</v>
      </c>
      <c r="B1235" s="1" t="s">
        <v>1481</v>
      </c>
      <c r="C1235" t="s">
        <v>130</v>
      </c>
      <c r="D1235" s="1" t="s">
        <v>1482</v>
      </c>
    </row>
    <row r="1236" spans="1:4" ht="72" x14ac:dyDescent="0.3">
      <c r="A1236">
        <v>1234</v>
      </c>
      <c r="B1236" s="1" t="s">
        <v>3</v>
      </c>
      <c r="C1236" t="s">
        <v>4</v>
      </c>
      <c r="D1236" t="s">
        <v>5</v>
      </c>
    </row>
    <row r="1237" spans="1:4" hidden="1" x14ac:dyDescent="0.3">
      <c r="A1237">
        <v>1235</v>
      </c>
      <c r="B1237" t="s">
        <v>6</v>
      </c>
      <c r="C1237" t="s">
        <v>7</v>
      </c>
      <c r="D1237">
        <v>1305.25</v>
      </c>
    </row>
    <row r="1238" spans="1:4" hidden="1" x14ac:dyDescent="0.3">
      <c r="A1238">
        <v>1236</v>
      </c>
      <c r="B1238" s="1" t="s">
        <v>132</v>
      </c>
      <c r="C1238" t="s">
        <v>9</v>
      </c>
      <c r="D1238" s="1" t="s">
        <v>133</v>
      </c>
    </row>
    <row r="1239" spans="1:4" hidden="1" x14ac:dyDescent="0.3">
      <c r="A1239">
        <v>1237</v>
      </c>
      <c r="B1239" t="s">
        <v>13</v>
      </c>
      <c r="C1239" t="s">
        <v>14</v>
      </c>
      <c r="D1239">
        <v>98.4296875</v>
      </c>
    </row>
    <row r="1240" spans="1:4" hidden="1" x14ac:dyDescent="0.3">
      <c r="A1240">
        <v>1238</v>
      </c>
      <c r="B1240" t="s">
        <v>15</v>
      </c>
      <c r="C1240" t="s">
        <v>16</v>
      </c>
      <c r="D1240">
        <v>4.2819487927479898</v>
      </c>
    </row>
    <row r="1241" spans="1:4" hidden="1" x14ac:dyDescent="0.3">
      <c r="A1241">
        <v>1239</v>
      </c>
      <c r="B1241" s="1" t="s">
        <v>134</v>
      </c>
      <c r="C1241" t="s">
        <v>135</v>
      </c>
      <c r="D1241" s="1" t="s">
        <v>136</v>
      </c>
    </row>
    <row r="1242" spans="1:4" hidden="1" x14ac:dyDescent="0.3">
      <c r="A1242">
        <v>1240</v>
      </c>
      <c r="B1242" t="s">
        <v>21</v>
      </c>
      <c r="C1242" t="s">
        <v>22</v>
      </c>
      <c r="D1242">
        <v>83.1</v>
      </c>
    </row>
    <row r="1243" spans="1:4" hidden="1" x14ac:dyDescent="0.3">
      <c r="A1243">
        <v>1241</v>
      </c>
      <c r="B1243" t="s">
        <v>1483</v>
      </c>
      <c r="C1243" t="s">
        <v>24</v>
      </c>
      <c r="D1243">
        <v>4.0642805284626702</v>
      </c>
    </row>
    <row r="1244" spans="1:4" hidden="1" x14ac:dyDescent="0.3">
      <c r="A1244">
        <v>1242</v>
      </c>
      <c r="B1244" s="1" t="s">
        <v>1484</v>
      </c>
      <c r="C1244" t="s">
        <v>139</v>
      </c>
      <c r="D1244" s="1" t="s">
        <v>1485</v>
      </c>
    </row>
    <row r="1245" spans="1:4" hidden="1" x14ac:dyDescent="0.3">
      <c r="A1245">
        <v>1243</v>
      </c>
      <c r="B1245" t="s">
        <v>1486</v>
      </c>
      <c r="C1245" t="s">
        <v>35</v>
      </c>
      <c r="D1245">
        <v>-0.51352077978354405</v>
      </c>
    </row>
    <row r="1246" spans="1:4" hidden="1" x14ac:dyDescent="0.3">
      <c r="A1246">
        <v>1244</v>
      </c>
      <c r="B1246" t="s">
        <v>1487</v>
      </c>
      <c r="C1246" t="s">
        <v>143</v>
      </c>
      <c r="D1246">
        <v>0.73850595553227605</v>
      </c>
    </row>
    <row r="1247" spans="1:4" hidden="1" x14ac:dyDescent="0.3">
      <c r="A1247">
        <v>1245</v>
      </c>
      <c r="B1247" s="1" t="s">
        <v>1488</v>
      </c>
      <c r="C1247" t="s">
        <v>145</v>
      </c>
      <c r="D1247" s="1" t="s">
        <v>1489</v>
      </c>
    </row>
    <row r="1248" spans="1:4" hidden="1" x14ac:dyDescent="0.3">
      <c r="A1248">
        <v>1246</v>
      </c>
      <c r="B1248" t="s">
        <v>1490</v>
      </c>
      <c r="C1248" t="s">
        <v>30</v>
      </c>
      <c r="D1248">
        <v>0.75099656197632303</v>
      </c>
    </row>
    <row r="1249" spans="1:4" hidden="1" x14ac:dyDescent="0.3">
      <c r="A1249">
        <v>1247</v>
      </c>
      <c r="B1249" t="s">
        <v>1491</v>
      </c>
      <c r="C1249" t="s">
        <v>32</v>
      </c>
      <c r="D1249">
        <v>0.15163034671621101</v>
      </c>
    </row>
    <row r="1250" spans="1:4" hidden="1" x14ac:dyDescent="0.3">
      <c r="A1250">
        <v>1248</v>
      </c>
      <c r="B1250" s="1" t="s">
        <v>1492</v>
      </c>
      <c r="C1250" t="s">
        <v>149</v>
      </c>
      <c r="D1250" s="1" t="s">
        <v>1493</v>
      </c>
    </row>
    <row r="1251" spans="1:4" hidden="1" x14ac:dyDescent="0.3">
      <c r="A1251">
        <v>1249</v>
      </c>
      <c r="B1251" t="s">
        <v>1494</v>
      </c>
      <c r="C1251" t="s">
        <v>40</v>
      </c>
      <c r="D1251">
        <v>0.76252421780722002</v>
      </c>
    </row>
    <row r="1252" spans="1:4" hidden="1" x14ac:dyDescent="0.3">
      <c r="A1252">
        <v>1250</v>
      </c>
      <c r="B1252" t="s">
        <v>1495</v>
      </c>
      <c r="C1252" t="s">
        <v>42</v>
      </c>
      <c r="D1252">
        <v>0.20245487427466299</v>
      </c>
    </row>
    <row r="1253" spans="1:4" hidden="1" x14ac:dyDescent="0.3">
      <c r="A1253">
        <v>1251</v>
      </c>
      <c r="B1253" s="1" t="s">
        <v>1496</v>
      </c>
      <c r="C1253" t="s">
        <v>153</v>
      </c>
      <c r="D1253" s="1" t="s">
        <v>1497</v>
      </c>
    </row>
    <row r="1254" spans="1:4" hidden="1" x14ac:dyDescent="0.3">
      <c r="A1254">
        <v>1252</v>
      </c>
      <c r="B1254" t="s">
        <v>154</v>
      </c>
      <c r="C1254" t="s">
        <v>155</v>
      </c>
      <c r="D1254">
        <v>1</v>
      </c>
    </row>
    <row r="1255" spans="1:4" hidden="1" x14ac:dyDescent="0.3">
      <c r="A1255">
        <v>1253</v>
      </c>
      <c r="B1255" t="s">
        <v>156</v>
      </c>
      <c r="C1255" t="s">
        <v>157</v>
      </c>
      <c r="D1255">
        <v>1</v>
      </c>
    </row>
    <row r="1256" spans="1:4" hidden="1" x14ac:dyDescent="0.3">
      <c r="A1256">
        <v>1254</v>
      </c>
      <c r="B1256" s="1" t="s">
        <v>1498</v>
      </c>
      <c r="C1256" t="s">
        <v>159</v>
      </c>
      <c r="D1256" s="1" t="s">
        <v>1499</v>
      </c>
    </row>
    <row r="1257" spans="1:4" hidden="1" x14ac:dyDescent="0.3">
      <c r="A1257">
        <v>1255</v>
      </c>
      <c r="B1257" t="s">
        <v>1500</v>
      </c>
      <c r="C1257" t="s">
        <v>162</v>
      </c>
      <c r="D1257">
        <v>1.0010123151200501</v>
      </c>
    </row>
    <row r="1258" spans="1:4" hidden="1" x14ac:dyDescent="0.3">
      <c r="A1258">
        <v>1256</v>
      </c>
      <c r="B1258" t="s">
        <v>1501</v>
      </c>
      <c r="C1258" t="s">
        <v>164</v>
      </c>
      <c r="D1258">
        <v>0.99880274828753302</v>
      </c>
    </row>
    <row r="1259" spans="1:4" hidden="1" x14ac:dyDescent="0.3">
      <c r="A1259">
        <v>1257</v>
      </c>
      <c r="B1259" s="1" t="s">
        <v>1502</v>
      </c>
      <c r="C1259" t="s">
        <v>166</v>
      </c>
      <c r="D1259" s="1" t="s">
        <v>1503</v>
      </c>
    </row>
    <row r="1260" spans="1:4" hidden="1" x14ac:dyDescent="0.3">
      <c r="A1260">
        <v>1258</v>
      </c>
      <c r="B1260" s="1" t="s">
        <v>1504</v>
      </c>
      <c r="C1260" t="s">
        <v>55</v>
      </c>
      <c r="D1260" s="1" t="s">
        <v>1505</v>
      </c>
    </row>
    <row r="1261" spans="1:4" hidden="1" x14ac:dyDescent="0.3">
      <c r="A1261">
        <v>1259</v>
      </c>
      <c r="B1261" s="1" t="s">
        <v>1506</v>
      </c>
      <c r="C1261" t="s">
        <v>52</v>
      </c>
      <c r="D1261" s="1" t="s">
        <v>1507</v>
      </c>
    </row>
    <row r="1262" spans="1:4" hidden="1" x14ac:dyDescent="0.3">
      <c r="A1262">
        <v>1260</v>
      </c>
      <c r="B1262" s="1" t="s">
        <v>1508</v>
      </c>
      <c r="C1262" t="s">
        <v>58</v>
      </c>
      <c r="D1262" s="1" t="s">
        <v>1509</v>
      </c>
    </row>
    <row r="1263" spans="1:4" hidden="1" x14ac:dyDescent="0.3">
      <c r="A1263">
        <v>1261</v>
      </c>
      <c r="B1263" t="s">
        <v>1510</v>
      </c>
      <c r="C1263" t="s">
        <v>61</v>
      </c>
      <c r="D1263">
        <v>149974424.86847499</v>
      </c>
    </row>
    <row r="1264" spans="1:4" hidden="1" x14ac:dyDescent="0.3">
      <c r="A1264">
        <v>1262</v>
      </c>
      <c r="B1264" t="s">
        <v>1511</v>
      </c>
      <c r="C1264" t="s">
        <v>63</v>
      </c>
      <c r="D1264">
        <v>80001992.758417606</v>
      </c>
    </row>
    <row r="1265" spans="1:4" hidden="1" x14ac:dyDescent="0.3">
      <c r="A1265">
        <v>1263</v>
      </c>
      <c r="B1265" t="s">
        <v>1512</v>
      </c>
      <c r="C1265" t="s">
        <v>65</v>
      </c>
      <c r="D1265">
        <v>40000493.718787201</v>
      </c>
    </row>
    <row r="1266" spans="1:4" hidden="1" x14ac:dyDescent="0.3">
      <c r="A1266">
        <v>1264</v>
      </c>
      <c r="B1266" s="1" t="s">
        <v>1513</v>
      </c>
      <c r="C1266" t="s">
        <v>67</v>
      </c>
      <c r="D1266" s="1" t="s">
        <v>1514</v>
      </c>
    </row>
    <row r="1267" spans="1:4" hidden="1" x14ac:dyDescent="0.3">
      <c r="A1267">
        <v>1265</v>
      </c>
      <c r="B1267" s="1" t="s">
        <v>1515</v>
      </c>
      <c r="C1267" t="s">
        <v>70</v>
      </c>
      <c r="D1267" s="1" t="s">
        <v>1516</v>
      </c>
    </row>
    <row r="1268" spans="1:4" hidden="1" x14ac:dyDescent="0.3">
      <c r="A1268">
        <v>1266</v>
      </c>
      <c r="B1268" t="s">
        <v>1517</v>
      </c>
      <c r="C1268" t="s">
        <v>73</v>
      </c>
      <c r="D1268">
        <v>1.0000901799271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1518</v>
      </c>
      <c r="C1272" t="s">
        <v>81</v>
      </c>
      <c r="D1272" s="1" t="s">
        <v>1519</v>
      </c>
    </row>
    <row r="1273" spans="1:4" hidden="1" x14ac:dyDescent="0.3">
      <c r="A1273">
        <v>1271</v>
      </c>
      <c r="B1273" t="s">
        <v>1520</v>
      </c>
      <c r="C1273" t="s">
        <v>84</v>
      </c>
      <c r="D1273">
        <v>1.00004573588631</v>
      </c>
    </row>
    <row r="1274" spans="1:4" hidden="1" x14ac:dyDescent="0.3">
      <c r="A1274">
        <v>1272</v>
      </c>
      <c r="B1274" s="1" t="s">
        <v>1521</v>
      </c>
      <c r="C1274" t="s">
        <v>86</v>
      </c>
      <c r="D1274" s="1" t="s">
        <v>1522</v>
      </c>
    </row>
    <row r="1275" spans="1:4" hidden="1" x14ac:dyDescent="0.3">
      <c r="A1275">
        <v>1273</v>
      </c>
      <c r="B1275" t="s">
        <v>1523</v>
      </c>
      <c r="C1275" t="s">
        <v>89</v>
      </c>
      <c r="D1275">
        <v>100001486.93990999</v>
      </c>
    </row>
    <row r="1276" spans="1:4" hidden="1" x14ac:dyDescent="0.3">
      <c r="A1276">
        <v>1274</v>
      </c>
      <c r="B1276" s="1" t="s">
        <v>1524</v>
      </c>
      <c r="C1276" t="s">
        <v>91</v>
      </c>
      <c r="D1276" s="1" t="s">
        <v>1470</v>
      </c>
    </row>
    <row r="1277" spans="1:4" hidden="1" x14ac:dyDescent="0.3">
      <c r="A1277">
        <v>1275</v>
      </c>
      <c r="B1277" t="s">
        <v>1525</v>
      </c>
      <c r="C1277" t="s">
        <v>94</v>
      </c>
      <c r="D1277">
        <v>80001992.758417606</v>
      </c>
    </row>
    <row r="1278" spans="1:4" hidden="1" x14ac:dyDescent="0.3">
      <c r="A1278">
        <v>1276</v>
      </c>
      <c r="B1278" t="s">
        <v>1526</v>
      </c>
      <c r="C1278" t="s">
        <v>96</v>
      </c>
      <c r="D1278">
        <v>40000493.718787201</v>
      </c>
    </row>
    <row r="1279" spans="1:4" hidden="1" x14ac:dyDescent="0.3">
      <c r="A1279">
        <v>1277</v>
      </c>
      <c r="B1279" t="s">
        <v>1527</v>
      </c>
      <c r="C1279" t="s">
        <v>98</v>
      </c>
      <c r="D1279">
        <v>29971938.391270801</v>
      </c>
    </row>
    <row r="1280" spans="1:4" hidden="1" x14ac:dyDescent="0.3">
      <c r="A1280">
        <v>1278</v>
      </c>
      <c r="B1280" s="1" t="s">
        <v>1528</v>
      </c>
      <c r="C1280" t="s">
        <v>100</v>
      </c>
      <c r="D1280" s="1" t="s">
        <v>1529</v>
      </c>
    </row>
    <row r="1281" spans="1:4" hidden="1" x14ac:dyDescent="0.3">
      <c r="A1281">
        <v>1279</v>
      </c>
      <c r="B1281" t="s">
        <v>1530</v>
      </c>
      <c r="C1281" t="s">
        <v>103</v>
      </c>
      <c r="D1281">
        <v>6.0236059730641002E-3</v>
      </c>
    </row>
    <row r="1282" spans="1:4" hidden="1" x14ac:dyDescent="0.3">
      <c r="A1282">
        <v>1280</v>
      </c>
      <c r="B1282" t="s">
        <v>1531</v>
      </c>
      <c r="C1282" t="s">
        <v>105</v>
      </c>
      <c r="D1282">
        <v>6.7319444748868804E-4</v>
      </c>
    </row>
    <row r="1283" spans="1:4" hidden="1" x14ac:dyDescent="0.3">
      <c r="A1283">
        <v>1281</v>
      </c>
      <c r="B1283" t="s">
        <v>1532</v>
      </c>
      <c r="C1283" t="s">
        <v>107</v>
      </c>
      <c r="D1283">
        <v>1.54167198837089E-2</v>
      </c>
    </row>
    <row r="1284" spans="1:4" hidden="1" x14ac:dyDescent="0.3">
      <c r="A1284">
        <v>1282</v>
      </c>
      <c r="B1284" s="1" t="s">
        <v>1533</v>
      </c>
      <c r="C1284" t="s">
        <v>109</v>
      </c>
      <c r="D1284" s="1" t="s">
        <v>1534</v>
      </c>
    </row>
    <row r="1285" spans="1:4" hidden="1" x14ac:dyDescent="0.3">
      <c r="A1285">
        <v>1283</v>
      </c>
      <c r="B1285" t="s">
        <v>1535</v>
      </c>
      <c r="C1285" t="s">
        <v>197</v>
      </c>
      <c r="D1285">
        <v>149972886.27983901</v>
      </c>
    </row>
    <row r="1286" spans="1:4" hidden="1" x14ac:dyDescent="0.3">
      <c r="A1286">
        <v>1284</v>
      </c>
      <c r="B1286" t="s">
        <v>1536</v>
      </c>
      <c r="C1286" t="s">
        <v>199</v>
      </c>
      <c r="D1286">
        <v>3555.2385338241802</v>
      </c>
    </row>
    <row r="1287" spans="1:4" hidden="1" x14ac:dyDescent="0.3">
      <c r="A1287">
        <v>1285</v>
      </c>
      <c r="B1287" t="s">
        <v>1537</v>
      </c>
      <c r="C1287" t="s">
        <v>201</v>
      </c>
      <c r="D1287">
        <v>1777.6129544151599</v>
      </c>
    </row>
    <row r="1288" spans="1:4" hidden="1" x14ac:dyDescent="0.3">
      <c r="A1288">
        <v>1286</v>
      </c>
      <c r="B1288" s="1" t="s">
        <v>1538</v>
      </c>
      <c r="C1288" t="s">
        <v>203</v>
      </c>
      <c r="D1288" s="1" t="s">
        <v>1539</v>
      </c>
    </row>
    <row r="1289" spans="1:4" hidden="1" x14ac:dyDescent="0.3">
      <c r="A1289">
        <v>1287</v>
      </c>
      <c r="B1289" t="s">
        <v>1540</v>
      </c>
      <c r="C1289" t="s">
        <v>206</v>
      </c>
      <c r="D1289">
        <v>79997252.096201405</v>
      </c>
    </row>
    <row r="1290" spans="1:4" hidden="1" x14ac:dyDescent="0.3">
      <c r="A1290">
        <v>1288</v>
      </c>
      <c r="B1290" t="s">
        <v>1541</v>
      </c>
      <c r="C1290" t="s">
        <v>208</v>
      </c>
      <c r="D1290">
        <v>39998484.009134002</v>
      </c>
    </row>
    <row r="1291" spans="1:4" hidden="1" x14ac:dyDescent="0.3">
      <c r="A1291">
        <v>1289</v>
      </c>
      <c r="B1291" t="s">
        <v>1542</v>
      </c>
      <c r="C1291" t="s">
        <v>210</v>
      </c>
      <c r="D1291">
        <v>29970485.374458499</v>
      </c>
    </row>
    <row r="1292" spans="1:4" hidden="1" x14ac:dyDescent="0.3">
      <c r="A1292">
        <v>1290</v>
      </c>
      <c r="B1292" s="1" t="s">
        <v>1543</v>
      </c>
      <c r="C1292" t="s">
        <v>212</v>
      </c>
      <c r="D1292" s="1" t="s">
        <v>1544</v>
      </c>
    </row>
    <row r="1293" spans="1:4" hidden="1" x14ac:dyDescent="0.3">
      <c r="A1293">
        <v>1291</v>
      </c>
      <c r="B1293" t="s">
        <v>1545</v>
      </c>
      <c r="C1293" t="s">
        <v>215</v>
      </c>
      <c r="D1293">
        <v>99997042.870510504</v>
      </c>
    </row>
    <row r="1294" spans="1:4" hidden="1" x14ac:dyDescent="0.3">
      <c r="A1294">
        <v>1292</v>
      </c>
      <c r="B1294" t="s">
        <v>1546</v>
      </c>
      <c r="C1294" t="s">
        <v>217</v>
      </c>
      <c r="D1294">
        <v>4444.0693994611502</v>
      </c>
    </row>
    <row r="1295" spans="1:4" hidden="1" x14ac:dyDescent="0.3">
      <c r="A1295">
        <v>1293</v>
      </c>
      <c r="B1295" s="1" t="s">
        <v>1547</v>
      </c>
      <c r="C1295" t="s">
        <v>219</v>
      </c>
      <c r="D1295" s="1" t="s">
        <v>1548</v>
      </c>
    </row>
    <row r="1296" spans="1:4" hidden="1" x14ac:dyDescent="0.3">
      <c r="A1296">
        <v>1294</v>
      </c>
      <c r="B1296" t="s">
        <v>1549</v>
      </c>
      <c r="C1296" t="s">
        <v>112</v>
      </c>
      <c r="D1296">
        <v>-1185.42368237861</v>
      </c>
    </row>
    <row r="1297" spans="1:4" hidden="1" x14ac:dyDescent="0.3">
      <c r="A1297">
        <v>1295</v>
      </c>
      <c r="B1297" t="s">
        <v>1550</v>
      </c>
      <c r="C1297" t="s">
        <v>114</v>
      </c>
      <c r="D1297">
        <v>-232.09669882689201</v>
      </c>
    </row>
    <row r="1298" spans="1:4" hidden="1" x14ac:dyDescent="0.3">
      <c r="A1298">
        <v>1296</v>
      </c>
      <c r="B1298" s="1" t="s">
        <v>1551</v>
      </c>
      <c r="C1298" t="s">
        <v>116</v>
      </c>
      <c r="D1298" s="1" t="s">
        <v>1552</v>
      </c>
    </row>
    <row r="1299" spans="1:4" hidden="1" x14ac:dyDescent="0.3">
      <c r="A1299">
        <v>1297</v>
      </c>
      <c r="B1299" t="s">
        <v>1553</v>
      </c>
      <c r="C1299" t="s">
        <v>119</v>
      </c>
      <c r="D1299">
        <v>79997252.096201405</v>
      </c>
    </row>
    <row r="1300" spans="1:4" hidden="1" x14ac:dyDescent="0.3">
      <c r="A1300">
        <v>1298</v>
      </c>
      <c r="B1300" t="s">
        <v>1554</v>
      </c>
      <c r="C1300" t="s">
        <v>121</v>
      </c>
      <c r="D1300">
        <v>39998484.009134002</v>
      </c>
    </row>
    <row r="1301" spans="1:4" hidden="1" x14ac:dyDescent="0.3">
      <c r="A1301">
        <v>1299</v>
      </c>
      <c r="B1301" s="1" t="s">
        <v>1555</v>
      </c>
      <c r="C1301" t="s">
        <v>123</v>
      </c>
      <c r="D1301" s="1" t="s">
        <v>1556</v>
      </c>
    </row>
    <row r="1302" spans="1:4" hidden="1" x14ac:dyDescent="0.3">
      <c r="A1302">
        <v>1300</v>
      </c>
      <c r="B1302" t="s">
        <v>1557</v>
      </c>
      <c r="C1302" t="s">
        <v>126</v>
      </c>
      <c r="D1302">
        <v>0.79995959102399505</v>
      </c>
    </row>
    <row r="1303" spans="1:4" hidden="1" x14ac:dyDescent="0.3">
      <c r="A1303">
        <v>1301</v>
      </c>
      <c r="B1303" t="s">
        <v>1558</v>
      </c>
      <c r="C1303" t="s">
        <v>128</v>
      </c>
      <c r="D1303">
        <v>0.399978375145288</v>
      </c>
    </row>
    <row r="1304" spans="1:4" hidden="1" x14ac:dyDescent="0.3">
      <c r="A1304">
        <v>1302</v>
      </c>
      <c r="B1304" s="1" t="s">
        <v>1559</v>
      </c>
      <c r="C1304" t="s">
        <v>130</v>
      </c>
      <c r="D1304" s="1" t="s">
        <v>1560</v>
      </c>
    </row>
    <row r="1305" spans="1:4" ht="72" x14ac:dyDescent="0.3">
      <c r="A1305">
        <v>1303</v>
      </c>
      <c r="B1305" s="1" t="s">
        <v>3</v>
      </c>
      <c r="C1305" t="s">
        <v>4</v>
      </c>
      <c r="D1305" t="s">
        <v>5</v>
      </c>
    </row>
    <row r="1306" spans="1:4" hidden="1" x14ac:dyDescent="0.3">
      <c r="A1306">
        <v>1304</v>
      </c>
      <c r="B1306" t="s">
        <v>6</v>
      </c>
      <c r="C1306" t="s">
        <v>7</v>
      </c>
      <c r="D1306">
        <v>1305.25</v>
      </c>
    </row>
    <row r="1307" spans="1:4" hidden="1" x14ac:dyDescent="0.3">
      <c r="A1307">
        <v>1305</v>
      </c>
      <c r="B1307" s="1" t="s">
        <v>132</v>
      </c>
      <c r="C1307" t="s">
        <v>9</v>
      </c>
      <c r="D1307" s="1" t="s">
        <v>133</v>
      </c>
    </row>
    <row r="1308" spans="1:4" hidden="1" x14ac:dyDescent="0.3">
      <c r="A1308">
        <v>1306</v>
      </c>
      <c r="B1308" t="s">
        <v>13</v>
      </c>
      <c r="C1308" t="s">
        <v>14</v>
      </c>
      <c r="D1308">
        <v>98.4296875</v>
      </c>
    </row>
    <row r="1309" spans="1:4" hidden="1" x14ac:dyDescent="0.3">
      <c r="A1309">
        <v>1307</v>
      </c>
      <c r="B1309" t="s">
        <v>15</v>
      </c>
      <c r="C1309" t="s">
        <v>16</v>
      </c>
      <c r="D1309">
        <v>4.2819487927479898</v>
      </c>
    </row>
    <row r="1310" spans="1:4" hidden="1" x14ac:dyDescent="0.3">
      <c r="A1310">
        <v>1308</v>
      </c>
      <c r="B1310" s="1" t="s">
        <v>134</v>
      </c>
      <c r="C1310" t="s">
        <v>135</v>
      </c>
      <c r="D1310" s="1" t="s">
        <v>136</v>
      </c>
    </row>
    <row r="1311" spans="1:4" hidden="1" x14ac:dyDescent="0.3">
      <c r="A1311">
        <v>1309</v>
      </c>
      <c r="B1311" t="s">
        <v>21</v>
      </c>
      <c r="C1311" t="s">
        <v>22</v>
      </c>
      <c r="D1311">
        <v>83.1</v>
      </c>
    </row>
    <row r="1312" spans="1:4" hidden="1" x14ac:dyDescent="0.3">
      <c r="A1312">
        <v>1310</v>
      </c>
      <c r="B1312" t="s">
        <v>1561</v>
      </c>
      <c r="C1312" t="s">
        <v>24</v>
      </c>
      <c r="D1312">
        <v>4.0491998287987698</v>
      </c>
    </row>
    <row r="1313" spans="1:4" hidden="1" x14ac:dyDescent="0.3">
      <c r="A1313">
        <v>1311</v>
      </c>
      <c r="B1313" s="1" t="s">
        <v>1562</v>
      </c>
      <c r="C1313" t="s">
        <v>139</v>
      </c>
      <c r="D1313" s="1" t="s">
        <v>1563</v>
      </c>
    </row>
    <row r="1314" spans="1:4" hidden="1" x14ac:dyDescent="0.3">
      <c r="A1314">
        <v>1312</v>
      </c>
      <c r="B1314" t="s">
        <v>1564</v>
      </c>
      <c r="C1314" t="s">
        <v>35</v>
      </c>
      <c r="D1314">
        <v>-0.50151519780669696</v>
      </c>
    </row>
    <row r="1315" spans="1:4" hidden="1" x14ac:dyDescent="0.3">
      <c r="A1315">
        <v>1313</v>
      </c>
      <c r="B1315" t="s">
        <v>1565</v>
      </c>
      <c r="C1315" t="s">
        <v>143</v>
      </c>
      <c r="D1315">
        <v>0.73826850112499898</v>
      </c>
    </row>
    <row r="1316" spans="1:4" hidden="1" x14ac:dyDescent="0.3">
      <c r="A1316">
        <v>1314</v>
      </c>
      <c r="B1316" s="1" t="s">
        <v>1566</v>
      </c>
      <c r="C1316" t="s">
        <v>145</v>
      </c>
      <c r="D1316" s="1" t="s">
        <v>1567</v>
      </c>
    </row>
    <row r="1317" spans="1:4" hidden="1" x14ac:dyDescent="0.3">
      <c r="A1317">
        <v>1315</v>
      </c>
      <c r="B1317" t="s">
        <v>1568</v>
      </c>
      <c r="C1317" t="s">
        <v>30</v>
      </c>
      <c r="D1317">
        <v>0.73343904309084196</v>
      </c>
    </row>
    <row r="1318" spans="1:4" hidden="1" x14ac:dyDescent="0.3">
      <c r="A1318">
        <v>1316</v>
      </c>
      <c r="B1318" t="s">
        <v>1569</v>
      </c>
      <c r="C1318" t="s">
        <v>32</v>
      </c>
      <c r="D1318">
        <v>0.15219648201420999</v>
      </c>
    </row>
    <row r="1319" spans="1:4" hidden="1" x14ac:dyDescent="0.3">
      <c r="A1319">
        <v>1317</v>
      </c>
      <c r="B1319" s="1" t="s">
        <v>1570</v>
      </c>
      <c r="C1319" t="s">
        <v>149</v>
      </c>
      <c r="D1319" s="1" t="s">
        <v>1571</v>
      </c>
    </row>
    <row r="1320" spans="1:4" hidden="1" x14ac:dyDescent="0.3">
      <c r="A1320">
        <v>1318</v>
      </c>
      <c r="B1320" t="s">
        <v>1572</v>
      </c>
      <c r="C1320" t="s">
        <v>40</v>
      </c>
      <c r="D1320">
        <v>0.768076154715855</v>
      </c>
    </row>
    <row r="1321" spans="1:4" hidden="1" x14ac:dyDescent="0.3">
      <c r="A1321">
        <v>1319</v>
      </c>
      <c r="B1321" t="s">
        <v>1573</v>
      </c>
      <c r="C1321" t="s">
        <v>42</v>
      </c>
      <c r="D1321">
        <v>0.202324262777372</v>
      </c>
    </row>
    <row r="1322" spans="1:4" hidden="1" x14ac:dyDescent="0.3">
      <c r="A1322">
        <v>1320</v>
      </c>
      <c r="B1322" s="1" t="s">
        <v>1574</v>
      </c>
      <c r="C1322" t="s">
        <v>153</v>
      </c>
      <c r="D1322" s="1" t="s">
        <v>1575</v>
      </c>
    </row>
    <row r="1323" spans="1:4" hidden="1" x14ac:dyDescent="0.3">
      <c r="A1323">
        <v>1321</v>
      </c>
      <c r="B1323" t="s">
        <v>154</v>
      </c>
      <c r="C1323" t="s">
        <v>155</v>
      </c>
      <c r="D1323">
        <v>1</v>
      </c>
    </row>
    <row r="1324" spans="1:4" hidden="1" x14ac:dyDescent="0.3">
      <c r="A1324">
        <v>1322</v>
      </c>
      <c r="B1324" t="s">
        <v>156</v>
      </c>
      <c r="C1324" t="s">
        <v>157</v>
      </c>
      <c r="D1324">
        <v>1</v>
      </c>
    </row>
    <row r="1325" spans="1:4" hidden="1" x14ac:dyDescent="0.3">
      <c r="A1325">
        <v>1323</v>
      </c>
      <c r="B1325" s="1" t="s">
        <v>1576</v>
      </c>
      <c r="C1325" t="s">
        <v>159</v>
      </c>
      <c r="D1325" s="1" t="s">
        <v>1577</v>
      </c>
    </row>
    <row r="1326" spans="1:4" hidden="1" x14ac:dyDescent="0.3">
      <c r="A1326">
        <v>1324</v>
      </c>
      <c r="B1326" t="s">
        <v>1578</v>
      </c>
      <c r="C1326" t="s">
        <v>162</v>
      </c>
      <c r="D1326">
        <v>0.99986341467136097</v>
      </c>
    </row>
    <row r="1327" spans="1:4" hidden="1" x14ac:dyDescent="0.3">
      <c r="A1327">
        <v>1325</v>
      </c>
      <c r="B1327" t="s">
        <v>1579</v>
      </c>
      <c r="C1327" t="s">
        <v>164</v>
      </c>
      <c r="D1327">
        <v>1.0004915946333</v>
      </c>
    </row>
    <row r="1328" spans="1:4" hidden="1" x14ac:dyDescent="0.3">
      <c r="A1328">
        <v>1326</v>
      </c>
      <c r="B1328" s="1" t="s">
        <v>1580</v>
      </c>
      <c r="C1328" t="s">
        <v>166</v>
      </c>
      <c r="D1328" s="1" t="s">
        <v>1581</v>
      </c>
    </row>
    <row r="1329" spans="1:4" hidden="1" x14ac:dyDescent="0.3">
      <c r="A1329">
        <v>1327</v>
      </c>
      <c r="B1329" s="1" t="s">
        <v>1582</v>
      </c>
      <c r="C1329" t="s">
        <v>55</v>
      </c>
      <c r="D1329" s="1" t="s">
        <v>1583</v>
      </c>
    </row>
    <row r="1330" spans="1:4" hidden="1" x14ac:dyDescent="0.3">
      <c r="A1330">
        <v>1328</v>
      </c>
      <c r="B1330" s="1" t="s">
        <v>1584</v>
      </c>
      <c r="C1330" t="s">
        <v>52</v>
      </c>
      <c r="D1330" s="1" t="s">
        <v>1585</v>
      </c>
    </row>
    <row r="1331" spans="1:4" hidden="1" x14ac:dyDescent="0.3">
      <c r="A1331">
        <v>1329</v>
      </c>
      <c r="B1331" s="1" t="s">
        <v>1586</v>
      </c>
      <c r="C1331" t="s">
        <v>58</v>
      </c>
      <c r="D1331" s="1" t="s">
        <v>1587</v>
      </c>
    </row>
    <row r="1332" spans="1:4" hidden="1" x14ac:dyDescent="0.3">
      <c r="A1332">
        <v>1330</v>
      </c>
      <c r="B1332" t="s">
        <v>1588</v>
      </c>
      <c r="C1332" t="s">
        <v>61</v>
      </c>
      <c r="D1332">
        <v>149961036.14600801</v>
      </c>
    </row>
    <row r="1333" spans="1:4" hidden="1" x14ac:dyDescent="0.3">
      <c r="A1333">
        <v>1331</v>
      </c>
      <c r="B1333" t="s">
        <v>1589</v>
      </c>
      <c r="C1333" t="s">
        <v>63</v>
      </c>
      <c r="D1333">
        <v>79997252.096201405</v>
      </c>
    </row>
    <row r="1334" spans="1:4" hidden="1" x14ac:dyDescent="0.3">
      <c r="A1334">
        <v>1332</v>
      </c>
      <c r="B1334" t="s">
        <v>1590</v>
      </c>
      <c r="C1334" t="s">
        <v>65</v>
      </c>
      <c r="D1334">
        <v>39998484.009134002</v>
      </c>
    </row>
    <row r="1335" spans="1:4" hidden="1" x14ac:dyDescent="0.3">
      <c r="A1335">
        <v>1333</v>
      </c>
      <c r="B1335" s="1" t="s">
        <v>1591</v>
      </c>
      <c r="C1335" t="s">
        <v>67</v>
      </c>
      <c r="D1335" s="1" t="s">
        <v>1592</v>
      </c>
    </row>
    <row r="1336" spans="1:4" hidden="1" x14ac:dyDescent="0.3">
      <c r="A1336">
        <v>1334</v>
      </c>
      <c r="B1336" s="1" t="s">
        <v>1593</v>
      </c>
      <c r="C1336" t="s">
        <v>70</v>
      </c>
      <c r="D1336" s="1" t="s">
        <v>1594</v>
      </c>
    </row>
    <row r="1337" spans="1:4" hidden="1" x14ac:dyDescent="0.3">
      <c r="A1337">
        <v>1335</v>
      </c>
      <c r="B1337" t="s">
        <v>1595</v>
      </c>
      <c r="C1337" t="s">
        <v>73</v>
      </c>
      <c r="D1337">
        <v>1.00004573588631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78</v>
      </c>
      <c r="C1340" t="s">
        <v>79</v>
      </c>
      <c r="D1340">
        <v>0</v>
      </c>
    </row>
    <row r="1341" spans="1:4" hidden="1" x14ac:dyDescent="0.3">
      <c r="A1341">
        <v>1339</v>
      </c>
      <c r="B1341" s="1" t="s">
        <v>1596</v>
      </c>
      <c r="C1341" t="s">
        <v>81</v>
      </c>
      <c r="D1341" s="1" t="s">
        <v>1597</v>
      </c>
    </row>
    <row r="1342" spans="1:4" hidden="1" x14ac:dyDescent="0.3">
      <c r="A1342">
        <v>1340</v>
      </c>
      <c r="B1342" t="s">
        <v>1598</v>
      </c>
      <c r="C1342" t="s">
        <v>84</v>
      </c>
      <c r="D1342">
        <v>1.0000706251932501</v>
      </c>
    </row>
    <row r="1343" spans="1:4" hidden="1" x14ac:dyDescent="0.3">
      <c r="A1343">
        <v>1341</v>
      </c>
      <c r="B1343" s="1" t="s">
        <v>1599</v>
      </c>
      <c r="C1343" t="s">
        <v>86</v>
      </c>
      <c r="D1343" s="1" t="s">
        <v>1600</v>
      </c>
    </row>
    <row r="1344" spans="1:4" hidden="1" x14ac:dyDescent="0.3">
      <c r="A1344">
        <v>1342</v>
      </c>
      <c r="B1344" t="s">
        <v>1601</v>
      </c>
      <c r="C1344" t="s">
        <v>89</v>
      </c>
      <c r="D1344">
        <v>99998998.147978306</v>
      </c>
    </row>
    <row r="1345" spans="1:4" hidden="1" x14ac:dyDescent="0.3">
      <c r="A1345">
        <v>1343</v>
      </c>
      <c r="B1345" s="1" t="s">
        <v>1602</v>
      </c>
      <c r="C1345" t="s">
        <v>91</v>
      </c>
      <c r="D1345" s="1" t="s">
        <v>1548</v>
      </c>
    </row>
    <row r="1346" spans="1:4" hidden="1" x14ac:dyDescent="0.3">
      <c r="A1346">
        <v>1344</v>
      </c>
      <c r="B1346" t="s">
        <v>1603</v>
      </c>
      <c r="C1346" t="s">
        <v>94</v>
      </c>
      <c r="D1346">
        <v>79997252.096201405</v>
      </c>
    </row>
    <row r="1347" spans="1:4" hidden="1" x14ac:dyDescent="0.3">
      <c r="A1347">
        <v>1345</v>
      </c>
      <c r="B1347" t="s">
        <v>1604</v>
      </c>
      <c r="C1347" t="s">
        <v>96</v>
      </c>
      <c r="D1347">
        <v>39998484.009134002</v>
      </c>
    </row>
    <row r="1348" spans="1:4" hidden="1" x14ac:dyDescent="0.3">
      <c r="A1348">
        <v>1346</v>
      </c>
      <c r="B1348" t="s">
        <v>1605</v>
      </c>
      <c r="C1348" t="s">
        <v>98</v>
      </c>
      <c r="D1348">
        <v>29965300.040672999</v>
      </c>
    </row>
    <row r="1349" spans="1:4" hidden="1" x14ac:dyDescent="0.3">
      <c r="A1349">
        <v>1347</v>
      </c>
      <c r="B1349" s="1" t="s">
        <v>1606</v>
      </c>
      <c r="C1349" t="s">
        <v>100</v>
      </c>
      <c r="D1349" s="1" t="s">
        <v>1607</v>
      </c>
    </row>
    <row r="1350" spans="1:4" hidden="1" x14ac:dyDescent="0.3">
      <c r="A1350">
        <v>1348</v>
      </c>
      <c r="B1350" t="s">
        <v>1608</v>
      </c>
      <c r="C1350" t="s">
        <v>103</v>
      </c>
      <c r="D1350">
        <v>6.0456240931750201E-3</v>
      </c>
    </row>
    <row r="1351" spans="1:4" hidden="1" x14ac:dyDescent="0.3">
      <c r="A1351">
        <v>1349</v>
      </c>
      <c r="B1351" t="s">
        <v>1609</v>
      </c>
      <c r="C1351" t="s">
        <v>105</v>
      </c>
      <c r="D1351">
        <v>6.7738346305176896E-4</v>
      </c>
    </row>
    <row r="1352" spans="1:4" hidden="1" x14ac:dyDescent="0.3">
      <c r="A1352">
        <v>1350</v>
      </c>
      <c r="B1352" t="s">
        <v>1610</v>
      </c>
      <c r="C1352" t="s">
        <v>107</v>
      </c>
      <c r="D1352">
        <v>1.55048062443653E-2</v>
      </c>
    </row>
    <row r="1353" spans="1:4" hidden="1" x14ac:dyDescent="0.3">
      <c r="A1353">
        <v>1351</v>
      </c>
      <c r="B1353" s="1" t="s">
        <v>1611</v>
      </c>
      <c r="C1353" t="s">
        <v>109</v>
      </c>
      <c r="D1353" s="1" t="s">
        <v>1612</v>
      </c>
    </row>
    <row r="1354" spans="1:4" hidden="1" x14ac:dyDescent="0.3">
      <c r="A1354">
        <v>1352</v>
      </c>
      <c r="B1354" t="s">
        <v>1613</v>
      </c>
      <c r="C1354" t="s">
        <v>197</v>
      </c>
      <c r="D1354">
        <v>149961897.482519</v>
      </c>
    </row>
    <row r="1355" spans="1:4" hidden="1" x14ac:dyDescent="0.3">
      <c r="A1355">
        <v>1353</v>
      </c>
      <c r="B1355" t="s">
        <v>1614</v>
      </c>
      <c r="C1355" t="s">
        <v>199</v>
      </c>
      <c r="D1355">
        <v>-1991.00096485105</v>
      </c>
    </row>
    <row r="1356" spans="1:4" hidden="1" x14ac:dyDescent="0.3">
      <c r="A1356">
        <v>1354</v>
      </c>
      <c r="B1356" t="s">
        <v>1615</v>
      </c>
      <c r="C1356" t="s">
        <v>201</v>
      </c>
      <c r="D1356">
        <v>-995.49211712568103</v>
      </c>
    </row>
    <row r="1357" spans="1:4" hidden="1" x14ac:dyDescent="0.3">
      <c r="A1357">
        <v>1355</v>
      </c>
      <c r="B1357" s="1" t="s">
        <v>1616</v>
      </c>
      <c r="C1357" t="s">
        <v>203</v>
      </c>
      <c r="D1357" s="1" t="s">
        <v>1617</v>
      </c>
    </row>
    <row r="1358" spans="1:4" hidden="1" x14ac:dyDescent="0.3">
      <c r="A1358">
        <v>1356</v>
      </c>
      <c r="B1358" t="s">
        <v>1618</v>
      </c>
      <c r="C1358" t="s">
        <v>206</v>
      </c>
      <c r="D1358">
        <v>79999880.444478095</v>
      </c>
    </row>
    <row r="1359" spans="1:4" hidden="1" x14ac:dyDescent="0.3">
      <c r="A1359">
        <v>1357</v>
      </c>
      <c r="B1359" t="s">
        <v>1619</v>
      </c>
      <c r="C1359" t="s">
        <v>208</v>
      </c>
      <c r="D1359">
        <v>39999604.098350003</v>
      </c>
    </row>
    <row r="1360" spans="1:4" hidden="1" x14ac:dyDescent="0.3">
      <c r="A1360">
        <v>1358</v>
      </c>
      <c r="B1360" t="s">
        <v>1620</v>
      </c>
      <c r="C1360" t="s">
        <v>210</v>
      </c>
      <c r="D1360">
        <v>29966145.2166881</v>
      </c>
    </row>
    <row r="1361" spans="1:4" hidden="1" x14ac:dyDescent="0.3">
      <c r="A1361">
        <v>1359</v>
      </c>
      <c r="B1361" s="1" t="s">
        <v>1621</v>
      </c>
      <c r="C1361" t="s">
        <v>212</v>
      </c>
      <c r="D1361" s="1" t="s">
        <v>1622</v>
      </c>
    </row>
    <row r="1362" spans="1:4" hidden="1" x14ac:dyDescent="0.3">
      <c r="A1362">
        <v>1360</v>
      </c>
      <c r="B1362" t="s">
        <v>1623</v>
      </c>
      <c r="C1362" t="s">
        <v>215</v>
      </c>
      <c r="D1362">
        <v>100001486.93990999</v>
      </c>
    </row>
    <row r="1363" spans="1:4" hidden="1" x14ac:dyDescent="0.3">
      <c r="A1363">
        <v>1361</v>
      </c>
      <c r="B1363" t="s">
        <v>1624</v>
      </c>
      <c r="C1363" t="s">
        <v>217</v>
      </c>
      <c r="D1363">
        <v>-2488.79193165898</v>
      </c>
    </row>
    <row r="1364" spans="1:4" hidden="1" x14ac:dyDescent="0.3">
      <c r="A1364">
        <v>1362</v>
      </c>
      <c r="B1364" s="1" t="s">
        <v>1625</v>
      </c>
      <c r="C1364" t="s">
        <v>219</v>
      </c>
      <c r="D1364" s="1" t="s">
        <v>1626</v>
      </c>
    </row>
    <row r="1365" spans="1:4" hidden="1" x14ac:dyDescent="0.3">
      <c r="A1365">
        <v>1363</v>
      </c>
      <c r="B1365" t="s">
        <v>1627</v>
      </c>
      <c r="C1365" t="s">
        <v>112</v>
      </c>
      <c r="D1365">
        <v>637.347311849069</v>
      </c>
    </row>
    <row r="1366" spans="1:4" hidden="1" x14ac:dyDescent="0.3">
      <c r="A1366">
        <v>1364</v>
      </c>
      <c r="B1366" t="s">
        <v>1628</v>
      </c>
      <c r="C1366" t="s">
        <v>114</v>
      </c>
      <c r="D1366">
        <v>124.59709891467401</v>
      </c>
    </row>
    <row r="1367" spans="1:4" hidden="1" x14ac:dyDescent="0.3">
      <c r="A1367">
        <v>1365</v>
      </c>
      <c r="B1367" s="1" t="s">
        <v>1629</v>
      </c>
      <c r="C1367" t="s">
        <v>116</v>
      </c>
      <c r="D1367" s="1" t="s">
        <v>1630</v>
      </c>
    </row>
    <row r="1368" spans="1:4" hidden="1" x14ac:dyDescent="0.3">
      <c r="A1368">
        <v>1366</v>
      </c>
      <c r="B1368" t="s">
        <v>1631</v>
      </c>
      <c r="C1368" t="s">
        <v>119</v>
      </c>
      <c r="D1368">
        <v>79999880.444478095</v>
      </c>
    </row>
    <row r="1369" spans="1:4" hidden="1" x14ac:dyDescent="0.3">
      <c r="A1369">
        <v>1367</v>
      </c>
      <c r="B1369" t="s">
        <v>1632</v>
      </c>
      <c r="C1369" t="s">
        <v>121</v>
      </c>
      <c r="D1369">
        <v>39999604.098350003</v>
      </c>
    </row>
    <row r="1370" spans="1:4" hidden="1" x14ac:dyDescent="0.3">
      <c r="A1370">
        <v>1368</v>
      </c>
      <c r="B1370" s="1" t="s">
        <v>1633</v>
      </c>
      <c r="C1370" t="s">
        <v>123</v>
      </c>
      <c r="D1370" s="1" t="s">
        <v>1634</v>
      </c>
    </row>
    <row r="1371" spans="1:4" hidden="1" x14ac:dyDescent="0.3">
      <c r="A1371">
        <v>1369</v>
      </c>
      <c r="B1371" t="s">
        <v>1635</v>
      </c>
      <c r="C1371" t="s">
        <v>126</v>
      </c>
      <c r="D1371">
        <v>0.79993041388008401</v>
      </c>
    </row>
    <row r="1372" spans="1:4" hidden="1" x14ac:dyDescent="0.3">
      <c r="A1372">
        <v>1370</v>
      </c>
      <c r="B1372" t="s">
        <v>1636</v>
      </c>
      <c r="C1372" t="s">
        <v>128</v>
      </c>
      <c r="D1372">
        <v>0.39996184598849799</v>
      </c>
    </row>
    <row r="1373" spans="1:4" hidden="1" x14ac:dyDescent="0.3">
      <c r="A1373">
        <v>1371</v>
      </c>
      <c r="B1373" s="1" t="s">
        <v>1637</v>
      </c>
      <c r="C1373" t="s">
        <v>130</v>
      </c>
      <c r="D1373" s="1" t="s">
        <v>1638</v>
      </c>
    </row>
    <row r="1374" spans="1:4" ht="72" x14ac:dyDescent="0.3">
      <c r="A1374">
        <v>1372</v>
      </c>
      <c r="B1374" s="1" t="s">
        <v>3</v>
      </c>
      <c r="C1374" t="s">
        <v>4</v>
      </c>
      <c r="D1374" t="s">
        <v>5</v>
      </c>
    </row>
    <row r="1375" spans="1:4" hidden="1" x14ac:dyDescent="0.3">
      <c r="A1375">
        <v>1373</v>
      </c>
      <c r="B1375" t="s">
        <v>6</v>
      </c>
      <c r="C1375" t="s">
        <v>7</v>
      </c>
      <c r="D1375">
        <v>1305.25</v>
      </c>
    </row>
    <row r="1376" spans="1:4" hidden="1" x14ac:dyDescent="0.3">
      <c r="A1376">
        <v>1374</v>
      </c>
      <c r="B1376" s="1" t="s">
        <v>132</v>
      </c>
      <c r="C1376" t="s">
        <v>9</v>
      </c>
      <c r="D1376" s="1" t="s">
        <v>133</v>
      </c>
    </row>
    <row r="1377" spans="1:4" hidden="1" x14ac:dyDescent="0.3">
      <c r="A1377">
        <v>1375</v>
      </c>
      <c r="B1377" t="s">
        <v>13</v>
      </c>
      <c r="C1377" t="s">
        <v>14</v>
      </c>
      <c r="D1377">
        <v>98.4296875</v>
      </c>
    </row>
    <row r="1378" spans="1:4" hidden="1" x14ac:dyDescent="0.3">
      <c r="A1378">
        <v>1376</v>
      </c>
      <c r="B1378" t="s">
        <v>15</v>
      </c>
      <c r="C1378" t="s">
        <v>16</v>
      </c>
      <c r="D1378">
        <v>4.2819487927479898</v>
      </c>
    </row>
    <row r="1379" spans="1:4" hidden="1" x14ac:dyDescent="0.3">
      <c r="A1379">
        <v>1377</v>
      </c>
      <c r="B1379" s="1" t="s">
        <v>134</v>
      </c>
      <c r="C1379" t="s">
        <v>135</v>
      </c>
      <c r="D1379" s="1" t="s">
        <v>136</v>
      </c>
    </row>
    <row r="1380" spans="1:4" hidden="1" x14ac:dyDescent="0.3">
      <c r="A1380">
        <v>1378</v>
      </c>
      <c r="B1380" t="s">
        <v>21</v>
      </c>
      <c r="C1380" t="s">
        <v>22</v>
      </c>
      <c r="D1380">
        <v>83.1</v>
      </c>
    </row>
    <row r="1381" spans="1:4" hidden="1" x14ac:dyDescent="0.3">
      <c r="A1381">
        <v>1379</v>
      </c>
      <c r="B1381" t="s">
        <v>1639</v>
      </c>
      <c r="C1381" t="s">
        <v>24</v>
      </c>
      <c r="D1381">
        <v>4.0374440945563599</v>
      </c>
    </row>
    <row r="1382" spans="1:4" hidden="1" x14ac:dyDescent="0.3">
      <c r="A1382">
        <v>1380</v>
      </c>
      <c r="B1382" s="1" t="s">
        <v>1640</v>
      </c>
      <c r="C1382" t="s">
        <v>139</v>
      </c>
      <c r="D1382" s="1" t="s">
        <v>1641</v>
      </c>
    </row>
    <row r="1383" spans="1:4" hidden="1" x14ac:dyDescent="0.3">
      <c r="A1383">
        <v>1381</v>
      </c>
      <c r="B1383" t="s">
        <v>1642</v>
      </c>
      <c r="C1383" t="s">
        <v>35</v>
      </c>
      <c r="D1383">
        <v>-0.50704104083754697</v>
      </c>
    </row>
    <row r="1384" spans="1:4" hidden="1" x14ac:dyDescent="0.3">
      <c r="A1384">
        <v>1382</v>
      </c>
      <c r="B1384" t="s">
        <v>1643</v>
      </c>
      <c r="C1384" t="s">
        <v>143</v>
      </c>
      <c r="D1384">
        <v>0.73773763453458396</v>
      </c>
    </row>
    <row r="1385" spans="1:4" hidden="1" x14ac:dyDescent="0.3">
      <c r="A1385">
        <v>1383</v>
      </c>
      <c r="B1385" s="1" t="s">
        <v>1644</v>
      </c>
      <c r="C1385" t="s">
        <v>145</v>
      </c>
      <c r="D1385" s="1" t="s">
        <v>1645</v>
      </c>
    </row>
    <row r="1386" spans="1:4" hidden="1" x14ac:dyDescent="0.3">
      <c r="A1386">
        <v>1384</v>
      </c>
      <c r="B1386" t="s">
        <v>1646</v>
      </c>
      <c r="C1386" t="s">
        <v>30</v>
      </c>
      <c r="D1386">
        <v>0.74152029175995704</v>
      </c>
    </row>
    <row r="1387" spans="1:4" hidden="1" x14ac:dyDescent="0.3">
      <c r="A1387">
        <v>1385</v>
      </c>
      <c r="B1387" t="s">
        <v>1647</v>
      </c>
      <c r="C1387" t="s">
        <v>32</v>
      </c>
      <c r="D1387">
        <v>0.15235898657734401</v>
      </c>
    </row>
    <row r="1388" spans="1:4" hidden="1" x14ac:dyDescent="0.3">
      <c r="A1388">
        <v>1386</v>
      </c>
      <c r="B1388" s="1" t="s">
        <v>1648</v>
      </c>
      <c r="C1388" t="s">
        <v>149</v>
      </c>
      <c r="D1388" s="1" t="s">
        <v>1649</v>
      </c>
    </row>
    <row r="1389" spans="1:4" hidden="1" x14ac:dyDescent="0.3">
      <c r="A1389">
        <v>1387</v>
      </c>
      <c r="B1389" t="s">
        <v>1650</v>
      </c>
      <c r="C1389" t="s">
        <v>40</v>
      </c>
      <c r="D1389">
        <v>0.76552074907758905</v>
      </c>
    </row>
    <row r="1390" spans="1:4" hidden="1" x14ac:dyDescent="0.3">
      <c r="A1390">
        <v>1388</v>
      </c>
      <c r="B1390" t="s">
        <v>1651</v>
      </c>
      <c r="C1390" t="s">
        <v>42</v>
      </c>
      <c r="D1390">
        <v>0.203136454062428</v>
      </c>
    </row>
    <row r="1391" spans="1:4" hidden="1" x14ac:dyDescent="0.3">
      <c r="A1391">
        <v>1389</v>
      </c>
      <c r="B1391" s="1" t="s">
        <v>1652</v>
      </c>
      <c r="C1391" t="s">
        <v>153</v>
      </c>
      <c r="D1391" s="1" t="s">
        <v>1653</v>
      </c>
    </row>
    <row r="1392" spans="1:4" hidden="1" x14ac:dyDescent="0.3">
      <c r="A1392">
        <v>1390</v>
      </c>
      <c r="B1392" t="s">
        <v>154</v>
      </c>
      <c r="C1392" t="s">
        <v>155</v>
      </c>
      <c r="D1392">
        <v>1</v>
      </c>
    </row>
    <row r="1393" spans="1:4" hidden="1" x14ac:dyDescent="0.3">
      <c r="A1393">
        <v>1391</v>
      </c>
      <c r="B1393" t="s">
        <v>156</v>
      </c>
      <c r="C1393" t="s">
        <v>157</v>
      </c>
      <c r="D1393">
        <v>1</v>
      </c>
    </row>
    <row r="1394" spans="1:4" hidden="1" x14ac:dyDescent="0.3">
      <c r="A1394">
        <v>1392</v>
      </c>
      <c r="B1394" s="1" t="s">
        <v>1654</v>
      </c>
      <c r="C1394" t="s">
        <v>159</v>
      </c>
      <c r="D1394" s="1" t="s">
        <v>1655</v>
      </c>
    </row>
    <row r="1395" spans="1:4" hidden="1" x14ac:dyDescent="0.3">
      <c r="A1395">
        <v>1393</v>
      </c>
      <c r="B1395" t="s">
        <v>1656</v>
      </c>
      <c r="C1395" t="s">
        <v>162</v>
      </c>
      <c r="D1395">
        <v>0.99969460035082502</v>
      </c>
    </row>
    <row r="1396" spans="1:4" hidden="1" x14ac:dyDescent="0.3">
      <c r="A1396">
        <v>1394</v>
      </c>
      <c r="B1396" t="s">
        <v>1657</v>
      </c>
      <c r="C1396" t="s">
        <v>164</v>
      </c>
      <c r="D1396">
        <v>1.0001410389336101</v>
      </c>
    </row>
    <row r="1397" spans="1:4" hidden="1" x14ac:dyDescent="0.3">
      <c r="A1397">
        <v>1395</v>
      </c>
      <c r="B1397" s="1" t="s">
        <v>1658</v>
      </c>
      <c r="C1397" t="s">
        <v>166</v>
      </c>
      <c r="D1397" s="1" t="s">
        <v>1659</v>
      </c>
    </row>
    <row r="1398" spans="1:4" hidden="1" x14ac:dyDescent="0.3">
      <c r="A1398">
        <v>1396</v>
      </c>
      <c r="B1398" s="1" t="s">
        <v>1660</v>
      </c>
      <c r="C1398" t="s">
        <v>55</v>
      </c>
      <c r="D1398" s="1" t="s">
        <v>1661</v>
      </c>
    </row>
    <row r="1399" spans="1:4" hidden="1" x14ac:dyDescent="0.3">
      <c r="A1399">
        <v>1397</v>
      </c>
      <c r="B1399" s="1" t="s">
        <v>1662</v>
      </c>
      <c r="C1399" t="s">
        <v>52</v>
      </c>
      <c r="D1399" s="1" t="s">
        <v>1663</v>
      </c>
    </row>
    <row r="1400" spans="1:4" hidden="1" x14ac:dyDescent="0.3">
      <c r="A1400">
        <v>1398</v>
      </c>
      <c r="B1400" s="1" t="s">
        <v>1664</v>
      </c>
      <c r="C1400" t="s">
        <v>58</v>
      </c>
      <c r="D1400" s="1" t="s">
        <v>1665</v>
      </c>
    </row>
    <row r="1401" spans="1:4" hidden="1" x14ac:dyDescent="0.3">
      <c r="A1401">
        <v>1399</v>
      </c>
      <c r="B1401" t="s">
        <v>1666</v>
      </c>
      <c r="C1401" t="s">
        <v>61</v>
      </c>
      <c r="D1401">
        <v>149961587.56474999</v>
      </c>
    </row>
    <row r="1402" spans="1:4" hidden="1" x14ac:dyDescent="0.3">
      <c r="A1402">
        <v>1400</v>
      </c>
      <c r="B1402" t="s">
        <v>1667</v>
      </c>
      <c r="C1402" t="s">
        <v>63</v>
      </c>
      <c r="D1402">
        <v>79999880.444478095</v>
      </c>
    </row>
    <row r="1403" spans="1:4" hidden="1" x14ac:dyDescent="0.3">
      <c r="A1403">
        <v>1401</v>
      </c>
      <c r="B1403" t="s">
        <v>1668</v>
      </c>
      <c r="C1403" t="s">
        <v>65</v>
      </c>
      <c r="D1403">
        <v>39999604.098350003</v>
      </c>
    </row>
    <row r="1404" spans="1:4" hidden="1" x14ac:dyDescent="0.3">
      <c r="A1404">
        <v>1402</v>
      </c>
      <c r="B1404" s="1" t="s">
        <v>1669</v>
      </c>
      <c r="C1404" t="s">
        <v>67</v>
      </c>
      <c r="D1404" s="1" t="s">
        <v>1670</v>
      </c>
    </row>
    <row r="1405" spans="1:4" hidden="1" x14ac:dyDescent="0.3">
      <c r="A1405">
        <v>1403</v>
      </c>
      <c r="B1405" s="1" t="s">
        <v>1671</v>
      </c>
      <c r="C1405" t="s">
        <v>70</v>
      </c>
      <c r="D1405" s="1" t="s">
        <v>1672</v>
      </c>
    </row>
    <row r="1406" spans="1:4" hidden="1" x14ac:dyDescent="0.3">
      <c r="A1406">
        <v>1404</v>
      </c>
      <c r="B1406" t="s">
        <v>1673</v>
      </c>
      <c r="C1406" t="s">
        <v>73</v>
      </c>
      <c r="D1406">
        <v>1.0000706251932501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1674</v>
      </c>
      <c r="C1410" t="s">
        <v>81</v>
      </c>
      <c r="D1410" s="1" t="s">
        <v>1675</v>
      </c>
    </row>
    <row r="1411" spans="1:4" hidden="1" x14ac:dyDescent="0.3">
      <c r="A1411">
        <v>1409</v>
      </c>
      <c r="B1411" t="s">
        <v>1676</v>
      </c>
      <c r="C1411" t="s">
        <v>84</v>
      </c>
      <c r="D1411">
        <v>1.00009804328608</v>
      </c>
    </row>
    <row r="1412" spans="1:4" hidden="1" x14ac:dyDescent="0.3">
      <c r="A1412">
        <v>1410</v>
      </c>
      <c r="B1412" s="1" t="s">
        <v>1677</v>
      </c>
      <c r="C1412" t="s">
        <v>86</v>
      </c>
      <c r="D1412" s="1" t="s">
        <v>1678</v>
      </c>
    </row>
    <row r="1413" spans="1:4" hidden="1" x14ac:dyDescent="0.3">
      <c r="A1413">
        <v>1411</v>
      </c>
      <c r="B1413" t="s">
        <v>1679</v>
      </c>
      <c r="C1413" t="s">
        <v>89</v>
      </c>
      <c r="D1413">
        <v>99996256.634951293</v>
      </c>
    </row>
    <row r="1414" spans="1:4" hidden="1" x14ac:dyDescent="0.3">
      <c r="A1414">
        <v>1412</v>
      </c>
      <c r="B1414" s="1" t="s">
        <v>1680</v>
      </c>
      <c r="C1414" t="s">
        <v>91</v>
      </c>
      <c r="D1414" s="1" t="s">
        <v>1626</v>
      </c>
    </row>
    <row r="1415" spans="1:4" hidden="1" x14ac:dyDescent="0.3">
      <c r="A1415">
        <v>1413</v>
      </c>
      <c r="B1415" t="s">
        <v>1681</v>
      </c>
      <c r="C1415" t="s">
        <v>94</v>
      </c>
      <c r="D1415">
        <v>79999880.444478095</v>
      </c>
    </row>
    <row r="1416" spans="1:4" hidden="1" x14ac:dyDescent="0.3">
      <c r="A1416">
        <v>1414</v>
      </c>
      <c r="B1416" t="s">
        <v>1682</v>
      </c>
      <c r="C1416" t="s">
        <v>96</v>
      </c>
      <c r="D1416">
        <v>39999604.098350003</v>
      </c>
    </row>
    <row r="1417" spans="1:4" hidden="1" x14ac:dyDescent="0.3">
      <c r="A1417">
        <v>1415</v>
      </c>
      <c r="B1417" t="s">
        <v>1683</v>
      </c>
      <c r="C1417" t="s">
        <v>98</v>
      </c>
      <c r="D1417">
        <v>29962103.021921799</v>
      </c>
    </row>
    <row r="1418" spans="1:4" hidden="1" x14ac:dyDescent="0.3">
      <c r="A1418">
        <v>1416</v>
      </c>
      <c r="B1418" s="1" t="s">
        <v>1684</v>
      </c>
      <c r="C1418" t="s">
        <v>100</v>
      </c>
      <c r="D1418" s="1" t="s">
        <v>1685</v>
      </c>
    </row>
    <row r="1419" spans="1:4" hidden="1" x14ac:dyDescent="0.3">
      <c r="A1419">
        <v>1417</v>
      </c>
      <c r="B1419" t="s">
        <v>1686</v>
      </c>
      <c r="C1419" t="s">
        <v>103</v>
      </c>
      <c r="D1419">
        <v>6.0807847087944403E-3</v>
      </c>
    </row>
    <row r="1420" spans="1:4" hidden="1" x14ac:dyDescent="0.3">
      <c r="A1420">
        <v>1418</v>
      </c>
      <c r="B1420" t="s">
        <v>1687</v>
      </c>
      <c r="C1420" t="s">
        <v>105</v>
      </c>
      <c r="D1420">
        <v>6.8078524274784303E-4</v>
      </c>
    </row>
    <row r="1421" spans="1:4" hidden="1" x14ac:dyDescent="0.3">
      <c r="A1421">
        <v>1419</v>
      </c>
      <c r="B1421" t="s">
        <v>1688</v>
      </c>
      <c r="C1421" t="s">
        <v>107</v>
      </c>
      <c r="D1421">
        <v>1.55734637870979E-2</v>
      </c>
    </row>
    <row r="1422" spans="1:4" hidden="1" x14ac:dyDescent="0.3">
      <c r="A1422">
        <v>1420</v>
      </c>
      <c r="B1422" s="1" t="s">
        <v>1689</v>
      </c>
      <c r="C1422" t="s">
        <v>109</v>
      </c>
      <c r="D1422" s="1" t="s">
        <v>1690</v>
      </c>
    </row>
    <row r="1423" spans="1:4" hidden="1" x14ac:dyDescent="0.3">
      <c r="A1423">
        <v>1421</v>
      </c>
      <c r="B1423" t="s">
        <v>1691</v>
      </c>
      <c r="C1423" t="s">
        <v>197</v>
      </c>
      <c r="D1423">
        <v>149962536.38137901</v>
      </c>
    </row>
    <row r="1424" spans="1:4" hidden="1" x14ac:dyDescent="0.3">
      <c r="A1424">
        <v>1422</v>
      </c>
      <c r="B1424" t="s">
        <v>1692</v>
      </c>
      <c r="C1424" t="s">
        <v>199</v>
      </c>
      <c r="D1424">
        <v>-2193.3084966415799</v>
      </c>
    </row>
    <row r="1425" spans="1:4" hidden="1" x14ac:dyDescent="0.3">
      <c r="A1425">
        <v>1423</v>
      </c>
      <c r="B1425" t="s">
        <v>1693</v>
      </c>
      <c r="C1425" t="s">
        <v>201</v>
      </c>
      <c r="D1425">
        <v>-1096.6391726479701</v>
      </c>
    </row>
    <row r="1426" spans="1:4" hidden="1" x14ac:dyDescent="0.3">
      <c r="A1426">
        <v>1424</v>
      </c>
      <c r="B1426" s="1" t="s">
        <v>1694</v>
      </c>
      <c r="C1426" t="s">
        <v>203</v>
      </c>
      <c r="D1426" s="1" t="s">
        <v>1695</v>
      </c>
    </row>
    <row r="1427" spans="1:4" hidden="1" x14ac:dyDescent="0.3">
      <c r="A1427">
        <v>1425</v>
      </c>
      <c r="B1427" t="s">
        <v>1696</v>
      </c>
      <c r="C1427" t="s">
        <v>206</v>
      </c>
      <c r="D1427">
        <v>80002775.886949897</v>
      </c>
    </row>
    <row r="1428" spans="1:4" hidden="1" x14ac:dyDescent="0.3">
      <c r="A1428">
        <v>1426</v>
      </c>
      <c r="B1428" t="s">
        <v>1697</v>
      </c>
      <c r="C1428" t="s">
        <v>208</v>
      </c>
      <c r="D1428">
        <v>40000838.045603298</v>
      </c>
    </row>
    <row r="1429" spans="1:4" hidden="1" x14ac:dyDescent="0.3">
      <c r="A1429">
        <v>1427</v>
      </c>
      <c r="B1429" t="s">
        <v>1698</v>
      </c>
      <c r="C1429" t="s">
        <v>210</v>
      </c>
      <c r="D1429">
        <v>29963033.845201001</v>
      </c>
    </row>
    <row r="1430" spans="1:4" hidden="1" x14ac:dyDescent="0.3">
      <c r="A1430">
        <v>1428</v>
      </c>
      <c r="B1430" s="1" t="s">
        <v>1699</v>
      </c>
      <c r="C1430" t="s">
        <v>212</v>
      </c>
      <c r="D1430" s="1" t="s">
        <v>1700</v>
      </c>
    </row>
    <row r="1431" spans="1:4" hidden="1" x14ac:dyDescent="0.3">
      <c r="A1431">
        <v>1429</v>
      </c>
      <c r="B1431" t="s">
        <v>1701</v>
      </c>
      <c r="C1431" t="s">
        <v>215</v>
      </c>
      <c r="D1431">
        <v>99998998.147978306</v>
      </c>
    </row>
    <row r="1432" spans="1:4" hidden="1" x14ac:dyDescent="0.3">
      <c r="A1432">
        <v>1430</v>
      </c>
      <c r="B1432" t="s">
        <v>1702</v>
      </c>
      <c r="C1432" t="s">
        <v>217</v>
      </c>
      <c r="D1432">
        <v>-2741.51302704215</v>
      </c>
    </row>
    <row r="1433" spans="1:4" hidden="1" x14ac:dyDescent="0.3">
      <c r="A1433">
        <v>1431</v>
      </c>
      <c r="B1433" s="1" t="s">
        <v>1703</v>
      </c>
      <c r="C1433" t="s">
        <v>219</v>
      </c>
      <c r="D1433" s="1" t="s">
        <v>1704</v>
      </c>
    </row>
    <row r="1434" spans="1:4" hidden="1" x14ac:dyDescent="0.3">
      <c r="A1434">
        <v>1432</v>
      </c>
      <c r="B1434" t="s">
        <v>1705</v>
      </c>
      <c r="C1434" t="s">
        <v>112</v>
      </c>
      <c r="D1434">
        <v>702.13397510229004</v>
      </c>
    </row>
    <row r="1435" spans="1:4" hidden="1" x14ac:dyDescent="0.3">
      <c r="A1435">
        <v>1433</v>
      </c>
      <c r="B1435" t="s">
        <v>1706</v>
      </c>
      <c r="C1435" t="s">
        <v>114</v>
      </c>
      <c r="D1435">
        <v>137.308080682081</v>
      </c>
    </row>
    <row r="1436" spans="1:4" hidden="1" x14ac:dyDescent="0.3">
      <c r="A1436">
        <v>1434</v>
      </c>
      <c r="B1436" s="1" t="s">
        <v>1707</v>
      </c>
      <c r="C1436" t="s">
        <v>116</v>
      </c>
      <c r="D1436" s="1" t="s">
        <v>1708</v>
      </c>
    </row>
    <row r="1437" spans="1:4" hidden="1" x14ac:dyDescent="0.3">
      <c r="A1437">
        <v>1435</v>
      </c>
      <c r="B1437" t="s">
        <v>1709</v>
      </c>
      <c r="C1437" t="s">
        <v>119</v>
      </c>
      <c r="D1437">
        <v>80002775.886949897</v>
      </c>
    </row>
    <row r="1438" spans="1:4" hidden="1" x14ac:dyDescent="0.3">
      <c r="A1438">
        <v>1436</v>
      </c>
      <c r="B1438" t="s">
        <v>1710</v>
      </c>
      <c r="C1438" t="s">
        <v>121</v>
      </c>
      <c r="D1438">
        <v>40000838.045603298</v>
      </c>
    </row>
    <row r="1439" spans="1:4" hidden="1" x14ac:dyDescent="0.3">
      <c r="A1439">
        <v>1437</v>
      </c>
      <c r="B1439" s="1" t="s">
        <v>1711</v>
      </c>
      <c r="C1439" t="s">
        <v>123</v>
      </c>
      <c r="D1439" s="1" t="s">
        <v>1712</v>
      </c>
    </row>
    <row r="1440" spans="1:4" hidden="1" x14ac:dyDescent="0.3">
      <c r="A1440">
        <v>1438</v>
      </c>
      <c r="B1440" t="s">
        <v>1713</v>
      </c>
      <c r="C1440" t="s">
        <v>126</v>
      </c>
      <c r="D1440">
        <v>0.79995734359738202</v>
      </c>
    </row>
    <row r="1441" spans="1:4" hidden="1" x14ac:dyDescent="0.3">
      <c r="A1441">
        <v>1439</v>
      </c>
      <c r="B1441" t="s">
        <v>1714</v>
      </c>
      <c r="C1441" t="s">
        <v>128</v>
      </c>
      <c r="D1441">
        <v>0.39997317330397397</v>
      </c>
    </row>
    <row r="1442" spans="1:4" hidden="1" x14ac:dyDescent="0.3">
      <c r="A1442">
        <v>1440</v>
      </c>
      <c r="B1442" s="1" t="s">
        <v>1715</v>
      </c>
      <c r="C1442" t="s">
        <v>130</v>
      </c>
      <c r="D1442" s="1" t="s">
        <v>1716</v>
      </c>
    </row>
    <row r="1443" spans="1:4" ht="72" x14ac:dyDescent="0.3">
      <c r="A1443">
        <v>1441</v>
      </c>
      <c r="B1443" s="1" t="s">
        <v>3</v>
      </c>
      <c r="C1443" t="s">
        <v>4</v>
      </c>
      <c r="D1443" t="s">
        <v>5</v>
      </c>
    </row>
    <row r="1444" spans="1:4" hidden="1" x14ac:dyDescent="0.3">
      <c r="A1444">
        <v>1442</v>
      </c>
      <c r="B1444" t="s">
        <v>6</v>
      </c>
      <c r="C1444" t="s">
        <v>7</v>
      </c>
      <c r="D1444">
        <v>1305.25</v>
      </c>
    </row>
    <row r="1445" spans="1:4" hidden="1" x14ac:dyDescent="0.3">
      <c r="A1445">
        <v>1443</v>
      </c>
      <c r="B1445" s="1" t="s">
        <v>132</v>
      </c>
      <c r="C1445" t="s">
        <v>9</v>
      </c>
      <c r="D1445" s="1" t="s">
        <v>133</v>
      </c>
    </row>
    <row r="1446" spans="1:4" hidden="1" x14ac:dyDescent="0.3">
      <c r="A1446">
        <v>1444</v>
      </c>
      <c r="B1446" t="s">
        <v>13</v>
      </c>
      <c r="C1446" t="s">
        <v>14</v>
      </c>
      <c r="D1446">
        <v>98.4296875</v>
      </c>
    </row>
    <row r="1447" spans="1:4" hidden="1" x14ac:dyDescent="0.3">
      <c r="A1447">
        <v>1445</v>
      </c>
      <c r="B1447" t="s">
        <v>15</v>
      </c>
      <c r="C1447" t="s">
        <v>16</v>
      </c>
      <c r="D1447">
        <v>4.2819487927479898</v>
      </c>
    </row>
    <row r="1448" spans="1:4" hidden="1" x14ac:dyDescent="0.3">
      <c r="A1448">
        <v>1446</v>
      </c>
      <c r="B1448" s="1" t="s">
        <v>134</v>
      </c>
      <c r="C1448" t="s">
        <v>135</v>
      </c>
      <c r="D1448" s="1" t="s">
        <v>136</v>
      </c>
    </row>
    <row r="1449" spans="1:4" hidden="1" x14ac:dyDescent="0.3">
      <c r="A1449">
        <v>1447</v>
      </c>
      <c r="B1449" t="s">
        <v>21</v>
      </c>
      <c r="C1449" t="s">
        <v>22</v>
      </c>
      <c r="D1449">
        <v>83.1</v>
      </c>
    </row>
    <row r="1450" spans="1:4" hidden="1" x14ac:dyDescent="0.3">
      <c r="A1450">
        <v>1448</v>
      </c>
      <c r="B1450" t="s">
        <v>1717</v>
      </c>
      <c r="C1450" t="s">
        <v>24</v>
      </c>
      <c r="D1450">
        <v>4.0543275899923596</v>
      </c>
    </row>
    <row r="1451" spans="1:4" hidden="1" x14ac:dyDescent="0.3">
      <c r="A1451">
        <v>1449</v>
      </c>
      <c r="B1451" s="1" t="s">
        <v>1718</v>
      </c>
      <c r="C1451" t="s">
        <v>139</v>
      </c>
      <c r="D1451" s="1" t="s">
        <v>1719</v>
      </c>
    </row>
    <row r="1452" spans="1:4" hidden="1" x14ac:dyDescent="0.3">
      <c r="A1452">
        <v>1450</v>
      </c>
      <c r="B1452" t="s">
        <v>1720</v>
      </c>
      <c r="C1452" t="s">
        <v>35</v>
      </c>
      <c r="D1452">
        <v>-0.49313442363638599</v>
      </c>
    </row>
    <row r="1453" spans="1:4" hidden="1" x14ac:dyDescent="0.3">
      <c r="A1453">
        <v>1451</v>
      </c>
      <c r="B1453" t="s">
        <v>1721</v>
      </c>
      <c r="C1453" t="s">
        <v>143</v>
      </c>
      <c r="D1453">
        <v>0.73744855615465899</v>
      </c>
    </row>
    <row r="1454" spans="1:4" hidden="1" x14ac:dyDescent="0.3">
      <c r="A1454">
        <v>1452</v>
      </c>
      <c r="B1454" s="1" t="s">
        <v>1722</v>
      </c>
      <c r="C1454" t="s">
        <v>145</v>
      </c>
      <c r="D1454" s="1" t="s">
        <v>1723</v>
      </c>
    </row>
    <row r="1455" spans="1:4" hidden="1" x14ac:dyDescent="0.3">
      <c r="A1455">
        <v>1453</v>
      </c>
      <c r="B1455" t="s">
        <v>1724</v>
      </c>
      <c r="C1455" t="s">
        <v>30</v>
      </c>
      <c r="D1455">
        <v>0.721182610953359</v>
      </c>
    </row>
    <row r="1456" spans="1:4" hidden="1" x14ac:dyDescent="0.3">
      <c r="A1456">
        <v>1454</v>
      </c>
      <c r="B1456" t="s">
        <v>1725</v>
      </c>
      <c r="C1456" t="s">
        <v>32</v>
      </c>
      <c r="D1456">
        <v>0.15320676082398399</v>
      </c>
    </row>
    <row r="1457" spans="1:4" hidden="1" x14ac:dyDescent="0.3">
      <c r="A1457">
        <v>1455</v>
      </c>
      <c r="B1457" s="1" t="s">
        <v>1726</v>
      </c>
      <c r="C1457" t="s">
        <v>149</v>
      </c>
      <c r="D1457" s="1" t="s">
        <v>1727</v>
      </c>
    </row>
    <row r="1458" spans="1:4" hidden="1" x14ac:dyDescent="0.3">
      <c r="A1458">
        <v>1456</v>
      </c>
      <c r="B1458" t="s">
        <v>1728</v>
      </c>
      <c r="C1458" t="s">
        <v>40</v>
      </c>
      <c r="D1458">
        <v>0.77195181268302604</v>
      </c>
    </row>
    <row r="1459" spans="1:4" hidden="1" x14ac:dyDescent="0.3">
      <c r="A1459">
        <v>1457</v>
      </c>
      <c r="B1459" t="s">
        <v>1729</v>
      </c>
      <c r="C1459" t="s">
        <v>42</v>
      </c>
      <c r="D1459">
        <v>0.202820031355777</v>
      </c>
    </row>
    <row r="1460" spans="1:4" hidden="1" x14ac:dyDescent="0.3">
      <c r="A1460">
        <v>1458</v>
      </c>
      <c r="B1460" s="1" t="s">
        <v>1730</v>
      </c>
      <c r="C1460" t="s">
        <v>153</v>
      </c>
      <c r="D1460" s="1" t="s">
        <v>1731</v>
      </c>
    </row>
    <row r="1461" spans="1:4" hidden="1" x14ac:dyDescent="0.3">
      <c r="A1461">
        <v>1459</v>
      </c>
      <c r="B1461" t="s">
        <v>154</v>
      </c>
      <c r="C1461" t="s">
        <v>155</v>
      </c>
      <c r="D1461">
        <v>1</v>
      </c>
    </row>
    <row r="1462" spans="1:4" hidden="1" x14ac:dyDescent="0.3">
      <c r="A1462">
        <v>1460</v>
      </c>
      <c r="B1462" t="s">
        <v>156</v>
      </c>
      <c r="C1462" t="s">
        <v>157</v>
      </c>
      <c r="D1462">
        <v>1</v>
      </c>
    </row>
    <row r="1463" spans="1:4" hidden="1" x14ac:dyDescent="0.3">
      <c r="A1463">
        <v>1461</v>
      </c>
      <c r="B1463" s="1" t="s">
        <v>1732</v>
      </c>
      <c r="C1463" t="s">
        <v>159</v>
      </c>
      <c r="D1463" s="1" t="s">
        <v>1733</v>
      </c>
    </row>
    <row r="1464" spans="1:4" hidden="1" x14ac:dyDescent="0.3">
      <c r="A1464">
        <v>1462</v>
      </c>
      <c r="B1464" t="s">
        <v>1734</v>
      </c>
      <c r="C1464" t="s">
        <v>162</v>
      </c>
      <c r="D1464">
        <v>0.99983364670581998</v>
      </c>
    </row>
    <row r="1465" spans="1:4" hidden="1" x14ac:dyDescent="0.3">
      <c r="A1465">
        <v>1463</v>
      </c>
      <c r="B1465" t="s">
        <v>1735</v>
      </c>
      <c r="C1465" t="s">
        <v>164</v>
      </c>
      <c r="D1465">
        <v>1.0007356858900001</v>
      </c>
    </row>
    <row r="1466" spans="1:4" hidden="1" x14ac:dyDescent="0.3">
      <c r="A1466">
        <v>1464</v>
      </c>
      <c r="B1466" s="1" t="s">
        <v>1736</v>
      </c>
      <c r="C1466" t="s">
        <v>166</v>
      </c>
      <c r="D1466" s="1" t="s">
        <v>1737</v>
      </c>
    </row>
    <row r="1467" spans="1:4" hidden="1" x14ac:dyDescent="0.3">
      <c r="A1467">
        <v>1465</v>
      </c>
      <c r="B1467" s="1" t="s">
        <v>1738</v>
      </c>
      <c r="C1467" t="s">
        <v>55</v>
      </c>
      <c r="D1467" s="1" t="s">
        <v>1739</v>
      </c>
    </row>
    <row r="1468" spans="1:4" hidden="1" x14ac:dyDescent="0.3">
      <c r="A1468">
        <v>1466</v>
      </c>
      <c r="B1468" s="1" t="s">
        <v>1740</v>
      </c>
      <c r="C1468" t="s">
        <v>52</v>
      </c>
      <c r="D1468" s="1" t="s">
        <v>1741</v>
      </c>
    </row>
    <row r="1469" spans="1:4" hidden="1" x14ac:dyDescent="0.3">
      <c r="A1469">
        <v>1467</v>
      </c>
      <c r="B1469" s="1" t="s">
        <v>1742</v>
      </c>
      <c r="C1469" t="s">
        <v>58</v>
      </c>
      <c r="D1469" s="1" t="s">
        <v>1743</v>
      </c>
    </row>
    <row r="1470" spans="1:4" hidden="1" x14ac:dyDescent="0.3">
      <c r="A1470">
        <v>1468</v>
      </c>
      <c r="B1470" t="s">
        <v>1744</v>
      </c>
      <c r="C1470" t="s">
        <v>61</v>
      </c>
      <c r="D1470">
        <v>149972453.32725599</v>
      </c>
    </row>
    <row r="1471" spans="1:4" hidden="1" x14ac:dyDescent="0.3">
      <c r="A1471">
        <v>1469</v>
      </c>
      <c r="B1471" t="s">
        <v>1745</v>
      </c>
      <c r="C1471" t="s">
        <v>63</v>
      </c>
      <c r="D1471">
        <v>80002775.886949897</v>
      </c>
    </row>
    <row r="1472" spans="1:4" hidden="1" x14ac:dyDescent="0.3">
      <c r="A1472">
        <v>1470</v>
      </c>
      <c r="B1472" t="s">
        <v>1746</v>
      </c>
      <c r="C1472" t="s">
        <v>65</v>
      </c>
      <c r="D1472">
        <v>40000838.045603298</v>
      </c>
    </row>
    <row r="1473" spans="1:4" hidden="1" x14ac:dyDescent="0.3">
      <c r="A1473">
        <v>1471</v>
      </c>
      <c r="B1473" s="1" t="s">
        <v>1747</v>
      </c>
      <c r="C1473" t="s">
        <v>67</v>
      </c>
      <c r="D1473" s="1" t="s">
        <v>1748</v>
      </c>
    </row>
    <row r="1474" spans="1:4" hidden="1" x14ac:dyDescent="0.3">
      <c r="A1474">
        <v>1472</v>
      </c>
      <c r="B1474" s="1" t="s">
        <v>1749</v>
      </c>
      <c r="C1474" t="s">
        <v>70</v>
      </c>
      <c r="D1474" s="1" t="s">
        <v>1750</v>
      </c>
    </row>
    <row r="1475" spans="1:4" hidden="1" x14ac:dyDescent="0.3">
      <c r="A1475">
        <v>1473</v>
      </c>
      <c r="B1475" t="s">
        <v>1751</v>
      </c>
      <c r="C1475" t="s">
        <v>73</v>
      </c>
      <c r="D1475">
        <v>1.00009804328608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78</v>
      </c>
      <c r="C1478" t="s">
        <v>79</v>
      </c>
      <c r="D1478">
        <v>0</v>
      </c>
    </row>
    <row r="1479" spans="1:4" hidden="1" x14ac:dyDescent="0.3">
      <c r="A1479">
        <v>1477</v>
      </c>
      <c r="B1479" s="1" t="s">
        <v>1752</v>
      </c>
      <c r="C1479" t="s">
        <v>81</v>
      </c>
      <c r="D1479" s="1" t="s">
        <v>1753</v>
      </c>
    </row>
    <row r="1480" spans="1:4" hidden="1" x14ac:dyDescent="0.3">
      <c r="A1480">
        <v>1478</v>
      </c>
      <c r="B1480" t="s">
        <v>1754</v>
      </c>
      <c r="C1480" t="s">
        <v>84</v>
      </c>
      <c r="D1480">
        <v>1.0001198320798399</v>
      </c>
    </row>
    <row r="1481" spans="1:4" hidden="1" x14ac:dyDescent="0.3">
      <c r="A1481">
        <v>1479</v>
      </c>
      <c r="B1481" s="1" t="s">
        <v>1755</v>
      </c>
      <c r="C1481" t="s">
        <v>86</v>
      </c>
      <c r="D1481" s="1" t="s">
        <v>1756</v>
      </c>
    </row>
    <row r="1482" spans="1:4" hidden="1" x14ac:dyDescent="0.3">
      <c r="A1482">
        <v>1480</v>
      </c>
      <c r="B1482" t="s">
        <v>1757</v>
      </c>
      <c r="C1482" t="s">
        <v>89</v>
      </c>
      <c r="D1482">
        <v>99994078.098197103</v>
      </c>
    </row>
    <row r="1483" spans="1:4" hidden="1" x14ac:dyDescent="0.3">
      <c r="A1483">
        <v>1481</v>
      </c>
      <c r="B1483" s="1" t="s">
        <v>1758</v>
      </c>
      <c r="C1483" t="s">
        <v>91</v>
      </c>
      <c r="D1483" s="1" t="s">
        <v>1704</v>
      </c>
    </row>
    <row r="1484" spans="1:4" hidden="1" x14ac:dyDescent="0.3">
      <c r="A1484">
        <v>1482</v>
      </c>
      <c r="B1484" t="s">
        <v>1759</v>
      </c>
      <c r="C1484" t="s">
        <v>94</v>
      </c>
      <c r="D1484">
        <v>80002775.886949897</v>
      </c>
    </row>
    <row r="1485" spans="1:4" hidden="1" x14ac:dyDescent="0.3">
      <c r="A1485">
        <v>1483</v>
      </c>
      <c r="B1485" t="s">
        <v>1760</v>
      </c>
      <c r="C1485" t="s">
        <v>96</v>
      </c>
      <c r="D1485">
        <v>40000838.045603298</v>
      </c>
    </row>
    <row r="1486" spans="1:4" hidden="1" x14ac:dyDescent="0.3">
      <c r="A1486">
        <v>1484</v>
      </c>
      <c r="B1486" t="s">
        <v>1761</v>
      </c>
      <c r="C1486" t="s">
        <v>98</v>
      </c>
      <c r="D1486">
        <v>29968839.394703101</v>
      </c>
    </row>
    <row r="1487" spans="1:4" hidden="1" x14ac:dyDescent="0.3">
      <c r="A1487">
        <v>1485</v>
      </c>
      <c r="B1487" s="1" t="s">
        <v>1762</v>
      </c>
      <c r="C1487" t="s">
        <v>100</v>
      </c>
      <c r="D1487" s="1" t="s">
        <v>1763</v>
      </c>
    </row>
    <row r="1488" spans="1:4" hidden="1" x14ac:dyDescent="0.3">
      <c r="A1488">
        <v>1486</v>
      </c>
      <c r="B1488" t="s">
        <v>1764</v>
      </c>
      <c r="C1488" t="s">
        <v>103</v>
      </c>
      <c r="D1488">
        <v>6.0717569437921002E-3</v>
      </c>
    </row>
    <row r="1489" spans="1:4" hidden="1" x14ac:dyDescent="0.3">
      <c r="A1489">
        <v>1487</v>
      </c>
      <c r="B1489" t="s">
        <v>1765</v>
      </c>
      <c r="C1489" t="s">
        <v>105</v>
      </c>
      <c r="D1489">
        <v>6.8505526647554297E-4</v>
      </c>
    </row>
    <row r="1490" spans="1:4" hidden="1" x14ac:dyDescent="0.3">
      <c r="A1490">
        <v>1488</v>
      </c>
      <c r="B1490" t="s">
        <v>1766</v>
      </c>
      <c r="C1490" t="s">
        <v>107</v>
      </c>
      <c r="D1490">
        <v>1.54748562384933E-2</v>
      </c>
    </row>
    <row r="1491" spans="1:4" hidden="1" x14ac:dyDescent="0.3">
      <c r="A1491">
        <v>1489</v>
      </c>
      <c r="B1491" s="1" t="s">
        <v>1767</v>
      </c>
      <c r="C1491" t="s">
        <v>109</v>
      </c>
      <c r="D1491" s="1" t="s">
        <v>1768</v>
      </c>
    </row>
    <row r="1492" spans="1:4" hidden="1" x14ac:dyDescent="0.3">
      <c r="A1492">
        <v>1490</v>
      </c>
      <c r="B1492" t="s">
        <v>1769</v>
      </c>
      <c r="C1492" t="s">
        <v>197</v>
      </c>
      <c r="D1492">
        <v>149973207.31133199</v>
      </c>
    </row>
    <row r="1493" spans="1:4" hidden="1" x14ac:dyDescent="0.3">
      <c r="A1493">
        <v>1491</v>
      </c>
      <c r="B1493" t="s">
        <v>1770</v>
      </c>
      <c r="C1493" t="s">
        <v>199</v>
      </c>
      <c r="D1493">
        <v>-1743.0057562361001</v>
      </c>
    </row>
    <row r="1494" spans="1:4" hidden="1" x14ac:dyDescent="0.3">
      <c r="A1494">
        <v>1492</v>
      </c>
      <c r="B1494" t="s">
        <v>1771</v>
      </c>
      <c r="C1494" t="s">
        <v>201</v>
      </c>
      <c r="D1494">
        <v>-871.48704175781995</v>
      </c>
    </row>
    <row r="1495" spans="1:4" hidden="1" x14ac:dyDescent="0.3">
      <c r="A1495">
        <v>1493</v>
      </c>
      <c r="B1495" s="1" t="s">
        <v>1772</v>
      </c>
      <c r="C1495" t="s">
        <v>203</v>
      </c>
      <c r="D1495" s="1" t="s">
        <v>1773</v>
      </c>
    </row>
    <row r="1496" spans="1:4" hidden="1" x14ac:dyDescent="0.3">
      <c r="A1496">
        <v>1494</v>
      </c>
      <c r="B1496" t="s">
        <v>1774</v>
      </c>
      <c r="C1496" t="s">
        <v>206</v>
      </c>
      <c r="D1496">
        <v>80005100.019678801</v>
      </c>
    </row>
    <row r="1497" spans="1:4" hidden="1" x14ac:dyDescent="0.3">
      <c r="A1497">
        <v>1495</v>
      </c>
      <c r="B1497" t="s">
        <v>1775</v>
      </c>
      <c r="C1497" t="s">
        <v>208</v>
      </c>
      <c r="D1497">
        <v>40001823.110584997</v>
      </c>
    </row>
    <row r="1498" spans="1:4" hidden="1" x14ac:dyDescent="0.3">
      <c r="A1498">
        <v>1496</v>
      </c>
      <c r="B1498" t="s">
        <v>1776</v>
      </c>
      <c r="C1498" t="s">
        <v>210</v>
      </c>
      <c r="D1498">
        <v>29969551.596004501</v>
      </c>
    </row>
    <row r="1499" spans="1:4" hidden="1" x14ac:dyDescent="0.3">
      <c r="A1499">
        <v>1497</v>
      </c>
      <c r="B1499" s="1" t="s">
        <v>1777</v>
      </c>
      <c r="C1499" t="s">
        <v>212</v>
      </c>
      <c r="D1499" s="1" t="s">
        <v>1778</v>
      </c>
    </row>
    <row r="1500" spans="1:4" hidden="1" x14ac:dyDescent="0.3">
      <c r="A1500">
        <v>1498</v>
      </c>
      <c r="B1500" t="s">
        <v>1779</v>
      </c>
      <c r="C1500" t="s">
        <v>215</v>
      </c>
      <c r="D1500">
        <v>99996256.634951293</v>
      </c>
    </row>
    <row r="1501" spans="1:4" hidden="1" x14ac:dyDescent="0.3">
      <c r="A1501">
        <v>1499</v>
      </c>
      <c r="B1501" t="s">
        <v>1780</v>
      </c>
      <c r="C1501" t="s">
        <v>217</v>
      </c>
      <c r="D1501">
        <v>-2178.5367542058202</v>
      </c>
    </row>
    <row r="1502" spans="1:4" hidden="1" x14ac:dyDescent="0.3">
      <c r="A1502">
        <v>1500</v>
      </c>
      <c r="B1502" s="1" t="s">
        <v>1781</v>
      </c>
      <c r="C1502" t="s">
        <v>219</v>
      </c>
      <c r="D1502" s="1" t="s">
        <v>1782</v>
      </c>
    </row>
    <row r="1503" spans="1:4" hidden="1" x14ac:dyDescent="0.3">
      <c r="A1503">
        <v>1501</v>
      </c>
      <c r="B1503" t="s">
        <v>1783</v>
      </c>
      <c r="C1503" t="s">
        <v>112</v>
      </c>
      <c r="D1503">
        <v>581.12697267678595</v>
      </c>
    </row>
    <row r="1504" spans="1:4" hidden="1" x14ac:dyDescent="0.3">
      <c r="A1504">
        <v>1502</v>
      </c>
      <c r="B1504" t="s">
        <v>1784</v>
      </c>
      <c r="C1504" t="s">
        <v>114</v>
      </c>
      <c r="D1504">
        <v>113.57793994486801</v>
      </c>
    </row>
    <row r="1505" spans="1:4" hidden="1" x14ac:dyDescent="0.3">
      <c r="A1505">
        <v>1503</v>
      </c>
      <c r="B1505" s="1" t="s">
        <v>1785</v>
      </c>
      <c r="C1505" t="s">
        <v>116</v>
      </c>
      <c r="D1505" s="1" t="s">
        <v>1786</v>
      </c>
    </row>
    <row r="1506" spans="1:4" hidden="1" x14ac:dyDescent="0.3">
      <c r="A1506">
        <v>1504</v>
      </c>
      <c r="B1506" t="s">
        <v>1787</v>
      </c>
      <c r="C1506" t="s">
        <v>119</v>
      </c>
      <c r="D1506">
        <v>80005100.019678801</v>
      </c>
    </row>
    <row r="1507" spans="1:4" hidden="1" x14ac:dyDescent="0.3">
      <c r="A1507">
        <v>1505</v>
      </c>
      <c r="B1507" t="s">
        <v>1788</v>
      </c>
      <c r="C1507" t="s">
        <v>121</v>
      </c>
      <c r="D1507">
        <v>40001823.110584997</v>
      </c>
    </row>
    <row r="1508" spans="1:4" hidden="1" x14ac:dyDescent="0.3">
      <c r="A1508">
        <v>1506</v>
      </c>
      <c r="B1508" s="1" t="s">
        <v>1789</v>
      </c>
      <c r="C1508" t="s">
        <v>123</v>
      </c>
      <c r="D1508" s="1" t="s">
        <v>1790</v>
      </c>
    </row>
    <row r="1509" spans="1:4" hidden="1" x14ac:dyDescent="0.3">
      <c r="A1509">
        <v>1507</v>
      </c>
      <c r="B1509" t="s">
        <v>1791</v>
      </c>
      <c r="C1509" t="s">
        <v>126</v>
      </c>
      <c r="D1509">
        <v>0.79998508627070397</v>
      </c>
    </row>
    <row r="1510" spans="1:4" hidden="1" x14ac:dyDescent="0.3">
      <c r="A1510">
        <v>1508</v>
      </c>
      <c r="B1510" t="s">
        <v>1792</v>
      </c>
      <c r="C1510" t="s">
        <v>128</v>
      </c>
      <c r="D1510">
        <v>0.39998527474168</v>
      </c>
    </row>
    <row r="1511" spans="1:4" hidden="1" x14ac:dyDescent="0.3">
      <c r="A1511">
        <v>1509</v>
      </c>
      <c r="B1511" s="1" t="s">
        <v>1793</v>
      </c>
      <c r="C1511" t="s">
        <v>130</v>
      </c>
      <c r="D1511" s="1" t="s">
        <v>1794</v>
      </c>
    </row>
    <row r="1512" spans="1:4" ht="72" x14ac:dyDescent="0.3">
      <c r="A1512">
        <v>1510</v>
      </c>
      <c r="B1512" s="1" t="s">
        <v>3</v>
      </c>
      <c r="C1512" t="s">
        <v>4</v>
      </c>
      <c r="D1512" t="s">
        <v>5</v>
      </c>
    </row>
    <row r="1513" spans="1:4" hidden="1" x14ac:dyDescent="0.3">
      <c r="A1513">
        <v>1511</v>
      </c>
      <c r="B1513" t="s">
        <v>6</v>
      </c>
      <c r="C1513" t="s">
        <v>7</v>
      </c>
      <c r="D1513">
        <v>1305.25</v>
      </c>
    </row>
    <row r="1514" spans="1:4" hidden="1" x14ac:dyDescent="0.3">
      <c r="A1514">
        <v>1512</v>
      </c>
      <c r="B1514" s="1" t="s">
        <v>132</v>
      </c>
      <c r="C1514" t="s">
        <v>9</v>
      </c>
      <c r="D1514" s="1" t="s">
        <v>133</v>
      </c>
    </row>
    <row r="1515" spans="1:4" hidden="1" x14ac:dyDescent="0.3">
      <c r="A1515">
        <v>1513</v>
      </c>
      <c r="B1515" t="s">
        <v>13</v>
      </c>
      <c r="C1515" t="s">
        <v>14</v>
      </c>
      <c r="D1515">
        <v>98.4296875</v>
      </c>
    </row>
    <row r="1516" spans="1:4" hidden="1" x14ac:dyDescent="0.3">
      <c r="A1516">
        <v>1514</v>
      </c>
      <c r="B1516" t="s">
        <v>15</v>
      </c>
      <c r="C1516" t="s">
        <v>16</v>
      </c>
      <c r="D1516">
        <v>4.2819487927479898</v>
      </c>
    </row>
    <row r="1517" spans="1:4" hidden="1" x14ac:dyDescent="0.3">
      <c r="A1517">
        <v>1515</v>
      </c>
      <c r="B1517" s="1" t="s">
        <v>134</v>
      </c>
      <c r="C1517" t="s">
        <v>135</v>
      </c>
      <c r="D1517" s="1" t="s">
        <v>136</v>
      </c>
    </row>
    <row r="1518" spans="1:4" hidden="1" x14ac:dyDescent="0.3">
      <c r="A1518">
        <v>1516</v>
      </c>
      <c r="B1518" t="s">
        <v>21</v>
      </c>
      <c r="C1518" t="s">
        <v>22</v>
      </c>
      <c r="D1518">
        <v>83.1</v>
      </c>
    </row>
    <row r="1519" spans="1:4" hidden="1" x14ac:dyDescent="0.3">
      <c r="A1519">
        <v>1517</v>
      </c>
      <c r="B1519" t="s">
        <v>1795</v>
      </c>
      <c r="C1519" t="s">
        <v>24</v>
      </c>
      <c r="D1519">
        <v>4.0407122203129102</v>
      </c>
    </row>
    <row r="1520" spans="1:4" hidden="1" x14ac:dyDescent="0.3">
      <c r="A1520">
        <v>1518</v>
      </c>
      <c r="B1520" s="1" t="s">
        <v>1796</v>
      </c>
      <c r="C1520" t="s">
        <v>139</v>
      </c>
      <c r="D1520" s="1" t="s">
        <v>1797</v>
      </c>
    </row>
    <row r="1521" spans="1:4" hidden="1" x14ac:dyDescent="0.3">
      <c r="A1521">
        <v>1519</v>
      </c>
      <c r="B1521" t="s">
        <v>1798</v>
      </c>
      <c r="C1521" t="s">
        <v>35</v>
      </c>
      <c r="D1521">
        <v>-0.51365616233490297</v>
      </c>
    </row>
    <row r="1522" spans="1:4" hidden="1" x14ac:dyDescent="0.3">
      <c r="A1522">
        <v>1520</v>
      </c>
      <c r="B1522" t="s">
        <v>1799</v>
      </c>
      <c r="C1522" t="s">
        <v>143</v>
      </c>
      <c r="D1522">
        <v>0.73639605966655097</v>
      </c>
    </row>
    <row r="1523" spans="1:4" hidden="1" x14ac:dyDescent="0.3">
      <c r="A1523">
        <v>1521</v>
      </c>
      <c r="B1523" s="1" t="s">
        <v>1800</v>
      </c>
      <c r="C1523" t="s">
        <v>145</v>
      </c>
      <c r="D1523" s="1" t="s">
        <v>1801</v>
      </c>
    </row>
    <row r="1524" spans="1:4" hidden="1" x14ac:dyDescent="0.3">
      <c r="A1524">
        <v>1522</v>
      </c>
      <c r="B1524" t="s">
        <v>1802</v>
      </c>
      <c r="C1524" t="s">
        <v>30</v>
      </c>
      <c r="D1524">
        <v>0.75119455168701299</v>
      </c>
    </row>
    <row r="1525" spans="1:4" hidden="1" x14ac:dyDescent="0.3">
      <c r="A1525">
        <v>1523</v>
      </c>
      <c r="B1525" t="s">
        <v>1803</v>
      </c>
      <c r="C1525" t="s">
        <v>32</v>
      </c>
      <c r="D1525">
        <v>0.15319745903499599</v>
      </c>
    </row>
    <row r="1526" spans="1:4" hidden="1" x14ac:dyDescent="0.3">
      <c r="A1526">
        <v>1524</v>
      </c>
      <c r="B1526" s="1" t="s">
        <v>1804</v>
      </c>
      <c r="C1526" t="s">
        <v>149</v>
      </c>
      <c r="D1526" s="1" t="s">
        <v>1805</v>
      </c>
    </row>
    <row r="1527" spans="1:4" hidden="1" x14ac:dyDescent="0.3">
      <c r="A1527">
        <v>1525</v>
      </c>
      <c r="B1527" t="s">
        <v>1806</v>
      </c>
      <c r="C1527" t="s">
        <v>40</v>
      </c>
      <c r="D1527">
        <v>0.76246161064788998</v>
      </c>
    </row>
    <row r="1528" spans="1:4" hidden="1" x14ac:dyDescent="0.3">
      <c r="A1528">
        <v>1526</v>
      </c>
      <c r="B1528" t="s">
        <v>1807</v>
      </c>
      <c r="C1528" t="s">
        <v>42</v>
      </c>
      <c r="D1528">
        <v>0.204767438893452</v>
      </c>
    </row>
    <row r="1529" spans="1:4" hidden="1" x14ac:dyDescent="0.3">
      <c r="A1529">
        <v>1527</v>
      </c>
      <c r="B1529" s="1" t="s">
        <v>1808</v>
      </c>
      <c r="C1529" t="s">
        <v>153</v>
      </c>
      <c r="D1529" s="1" t="s">
        <v>1809</v>
      </c>
    </row>
    <row r="1530" spans="1:4" hidden="1" x14ac:dyDescent="0.3">
      <c r="A1530">
        <v>1528</v>
      </c>
      <c r="B1530" t="s">
        <v>154</v>
      </c>
      <c r="C1530" t="s">
        <v>155</v>
      </c>
      <c r="D1530">
        <v>1</v>
      </c>
    </row>
    <row r="1531" spans="1:4" hidden="1" x14ac:dyDescent="0.3">
      <c r="A1531">
        <v>1529</v>
      </c>
      <c r="B1531" t="s">
        <v>156</v>
      </c>
      <c r="C1531" t="s">
        <v>157</v>
      </c>
      <c r="D1531">
        <v>1</v>
      </c>
    </row>
    <row r="1532" spans="1:4" hidden="1" x14ac:dyDescent="0.3">
      <c r="A1532">
        <v>1530</v>
      </c>
      <c r="B1532" s="1" t="s">
        <v>1810</v>
      </c>
      <c r="C1532" t="s">
        <v>159</v>
      </c>
      <c r="D1532" s="1" t="s">
        <v>1811</v>
      </c>
    </row>
    <row r="1533" spans="1:4" hidden="1" x14ac:dyDescent="0.3">
      <c r="A1533">
        <v>1531</v>
      </c>
      <c r="B1533" t="s">
        <v>1812</v>
      </c>
      <c r="C1533" t="s">
        <v>162</v>
      </c>
      <c r="D1533">
        <v>0.99939422868989103</v>
      </c>
    </row>
    <row r="1534" spans="1:4" hidden="1" x14ac:dyDescent="0.3">
      <c r="A1534">
        <v>1532</v>
      </c>
      <c r="B1534" t="s">
        <v>1813</v>
      </c>
      <c r="C1534" t="s">
        <v>164</v>
      </c>
      <c r="D1534">
        <v>0.99999193397983399</v>
      </c>
    </row>
    <row r="1535" spans="1:4" hidden="1" x14ac:dyDescent="0.3">
      <c r="A1535">
        <v>1533</v>
      </c>
      <c r="B1535" s="1" t="s">
        <v>1814</v>
      </c>
      <c r="C1535" t="s">
        <v>166</v>
      </c>
      <c r="D1535" s="1" t="s">
        <v>1815</v>
      </c>
    </row>
    <row r="1536" spans="1:4" hidden="1" x14ac:dyDescent="0.3">
      <c r="A1536">
        <v>1534</v>
      </c>
      <c r="B1536" s="1" t="s">
        <v>1816</v>
      </c>
      <c r="C1536" t="s">
        <v>55</v>
      </c>
      <c r="D1536" s="1" t="s">
        <v>1817</v>
      </c>
    </row>
    <row r="1537" spans="1:4" hidden="1" x14ac:dyDescent="0.3">
      <c r="A1537">
        <v>1535</v>
      </c>
      <c r="B1537" s="1" t="s">
        <v>1818</v>
      </c>
      <c r="C1537" t="s">
        <v>52</v>
      </c>
      <c r="D1537" s="1" t="s">
        <v>1819</v>
      </c>
    </row>
    <row r="1538" spans="1:4" hidden="1" x14ac:dyDescent="0.3">
      <c r="A1538">
        <v>1536</v>
      </c>
      <c r="B1538" s="1" t="s">
        <v>1820</v>
      </c>
      <c r="C1538" t="s">
        <v>58</v>
      </c>
      <c r="D1538" s="1" t="s">
        <v>1821</v>
      </c>
    </row>
    <row r="1539" spans="1:4" hidden="1" x14ac:dyDescent="0.3">
      <c r="A1539">
        <v>1537</v>
      </c>
      <c r="B1539" t="s">
        <v>1822</v>
      </c>
      <c r="C1539" t="s">
        <v>61</v>
      </c>
      <c r="D1539">
        <v>149971792.84143901</v>
      </c>
    </row>
    <row r="1540" spans="1:4" hidden="1" x14ac:dyDescent="0.3">
      <c r="A1540">
        <v>1538</v>
      </c>
      <c r="B1540" t="s">
        <v>1823</v>
      </c>
      <c r="C1540" t="s">
        <v>63</v>
      </c>
      <c r="D1540">
        <v>80005100.019678801</v>
      </c>
    </row>
    <row r="1541" spans="1:4" hidden="1" x14ac:dyDescent="0.3">
      <c r="A1541">
        <v>1539</v>
      </c>
      <c r="B1541" t="s">
        <v>1824</v>
      </c>
      <c r="C1541" t="s">
        <v>65</v>
      </c>
      <c r="D1541">
        <v>40001823.110584997</v>
      </c>
    </row>
    <row r="1542" spans="1:4" hidden="1" x14ac:dyDescent="0.3">
      <c r="A1542">
        <v>1540</v>
      </c>
      <c r="B1542" s="1" t="s">
        <v>1825</v>
      </c>
      <c r="C1542" t="s">
        <v>67</v>
      </c>
      <c r="D1542" s="1" t="s">
        <v>1826</v>
      </c>
    </row>
    <row r="1543" spans="1:4" hidden="1" x14ac:dyDescent="0.3">
      <c r="A1543">
        <v>1541</v>
      </c>
      <c r="B1543" s="1" t="s">
        <v>1827</v>
      </c>
      <c r="C1543" t="s">
        <v>70</v>
      </c>
      <c r="D1543" s="1" t="s">
        <v>1828</v>
      </c>
    </row>
    <row r="1544" spans="1:4" hidden="1" x14ac:dyDescent="0.3">
      <c r="A1544">
        <v>1542</v>
      </c>
      <c r="B1544" t="s">
        <v>1829</v>
      </c>
      <c r="C1544" t="s">
        <v>73</v>
      </c>
      <c r="D1544">
        <v>1.0001198320798399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78</v>
      </c>
      <c r="C1547" t="s">
        <v>79</v>
      </c>
      <c r="D1547">
        <v>0</v>
      </c>
    </row>
    <row r="1548" spans="1:4" hidden="1" x14ac:dyDescent="0.3">
      <c r="A1548">
        <v>1546</v>
      </c>
      <c r="B1548" s="1" t="s">
        <v>1830</v>
      </c>
      <c r="C1548" t="s">
        <v>81</v>
      </c>
      <c r="D1548" s="1" t="s">
        <v>1831</v>
      </c>
    </row>
    <row r="1549" spans="1:4" hidden="1" x14ac:dyDescent="0.3">
      <c r="A1549">
        <v>1547</v>
      </c>
      <c r="B1549" t="s">
        <v>1832</v>
      </c>
      <c r="C1549" t="s">
        <v>84</v>
      </c>
      <c r="D1549">
        <v>1.0001322034786599</v>
      </c>
    </row>
    <row r="1550" spans="1:4" hidden="1" x14ac:dyDescent="0.3">
      <c r="A1550">
        <v>1548</v>
      </c>
      <c r="B1550" s="1" t="s">
        <v>1833</v>
      </c>
      <c r="C1550" t="s">
        <v>86</v>
      </c>
      <c r="D1550" s="1" t="s">
        <v>1834</v>
      </c>
    </row>
    <row r="1551" spans="1:4" hidden="1" x14ac:dyDescent="0.3">
      <c r="A1551">
        <v>1549</v>
      </c>
      <c r="B1551" t="s">
        <v>1835</v>
      </c>
      <c r="C1551" t="s">
        <v>89</v>
      </c>
      <c r="D1551">
        <v>99992841.195100293</v>
      </c>
    </row>
    <row r="1552" spans="1:4" hidden="1" x14ac:dyDescent="0.3">
      <c r="A1552">
        <v>1550</v>
      </c>
      <c r="B1552" s="1" t="s">
        <v>1836</v>
      </c>
      <c r="C1552" t="s">
        <v>91</v>
      </c>
      <c r="D1552" s="1" t="s">
        <v>1782</v>
      </c>
    </row>
    <row r="1553" spans="1:4" hidden="1" x14ac:dyDescent="0.3">
      <c r="A1553">
        <v>1551</v>
      </c>
      <c r="B1553" t="s">
        <v>1837</v>
      </c>
      <c r="C1553" t="s">
        <v>94</v>
      </c>
      <c r="D1553">
        <v>80005100.019678801</v>
      </c>
    </row>
    <row r="1554" spans="1:4" hidden="1" x14ac:dyDescent="0.3">
      <c r="A1554">
        <v>1552</v>
      </c>
      <c r="B1554" t="s">
        <v>1838</v>
      </c>
      <c r="C1554" t="s">
        <v>96</v>
      </c>
      <c r="D1554">
        <v>40001823.110584997</v>
      </c>
    </row>
    <row r="1555" spans="1:4" hidden="1" x14ac:dyDescent="0.3">
      <c r="A1555">
        <v>1553</v>
      </c>
      <c r="B1555" t="s">
        <v>1839</v>
      </c>
      <c r="C1555" t="s">
        <v>98</v>
      </c>
      <c r="D1555">
        <v>29964869.711175699</v>
      </c>
    </row>
    <row r="1556" spans="1:4" hidden="1" x14ac:dyDescent="0.3">
      <c r="A1556">
        <v>1554</v>
      </c>
      <c r="B1556" s="1" t="s">
        <v>1840</v>
      </c>
      <c r="C1556" t="s">
        <v>100</v>
      </c>
      <c r="D1556" s="1" t="s">
        <v>1841</v>
      </c>
    </row>
    <row r="1557" spans="1:4" hidden="1" x14ac:dyDescent="0.3">
      <c r="A1557">
        <v>1555</v>
      </c>
      <c r="B1557" t="s">
        <v>1842</v>
      </c>
      <c r="C1557" t="s">
        <v>103</v>
      </c>
      <c r="D1557">
        <v>6.1083808718015E-3</v>
      </c>
    </row>
    <row r="1558" spans="1:4" hidden="1" x14ac:dyDescent="0.3">
      <c r="A1558">
        <v>1556</v>
      </c>
      <c r="B1558" t="s">
        <v>1843</v>
      </c>
      <c r="C1558" t="s">
        <v>105</v>
      </c>
      <c r="D1558">
        <v>6.8774635704117401E-4</v>
      </c>
    </row>
    <row r="1559" spans="1:4" hidden="1" x14ac:dyDescent="0.3">
      <c r="A1559">
        <v>1557</v>
      </c>
      <c r="B1559" t="s">
        <v>1844</v>
      </c>
      <c r="C1559" t="s">
        <v>107</v>
      </c>
      <c r="D1559">
        <v>1.5554377482017301E-2</v>
      </c>
    </row>
    <row r="1560" spans="1:4" hidden="1" x14ac:dyDescent="0.3">
      <c r="A1560">
        <v>1558</v>
      </c>
      <c r="B1560" s="1" t="s">
        <v>1845</v>
      </c>
      <c r="C1560" t="s">
        <v>109</v>
      </c>
      <c r="D1560" s="1" t="s">
        <v>1846</v>
      </c>
    </row>
    <row r="1561" spans="1:4" hidden="1" x14ac:dyDescent="0.3">
      <c r="A1561">
        <v>1559</v>
      </c>
      <c r="B1561" t="s">
        <v>1847</v>
      </c>
      <c r="C1561" t="s">
        <v>197</v>
      </c>
      <c r="D1561">
        <v>149972220.92084599</v>
      </c>
    </row>
    <row r="1562" spans="1:4" hidden="1" x14ac:dyDescent="0.3">
      <c r="A1562">
        <v>1560</v>
      </c>
      <c r="B1562" t="s">
        <v>1848</v>
      </c>
      <c r="C1562" t="s">
        <v>199</v>
      </c>
      <c r="D1562">
        <v>-989.66032623680906</v>
      </c>
    </row>
    <row r="1563" spans="1:4" hidden="1" x14ac:dyDescent="0.3">
      <c r="A1563">
        <v>1561</v>
      </c>
      <c r="B1563" t="s">
        <v>1849</v>
      </c>
      <c r="C1563" t="s">
        <v>201</v>
      </c>
      <c r="D1563">
        <v>-494.81997843500898</v>
      </c>
    </row>
    <row r="1564" spans="1:4" hidden="1" x14ac:dyDescent="0.3">
      <c r="A1564">
        <v>1562</v>
      </c>
      <c r="B1564" s="1" t="s">
        <v>1850</v>
      </c>
      <c r="C1564" t="s">
        <v>203</v>
      </c>
      <c r="D1564" s="1" t="s">
        <v>1851</v>
      </c>
    </row>
    <row r="1565" spans="1:4" hidden="1" x14ac:dyDescent="0.3">
      <c r="A1565">
        <v>1563</v>
      </c>
      <c r="B1565" t="s">
        <v>1852</v>
      </c>
      <c r="C1565" t="s">
        <v>206</v>
      </c>
      <c r="D1565">
        <v>80006406.492163196</v>
      </c>
    </row>
    <row r="1566" spans="1:4" hidden="1" x14ac:dyDescent="0.3">
      <c r="A1566">
        <v>1564</v>
      </c>
      <c r="B1566" t="s">
        <v>1853</v>
      </c>
      <c r="C1566" t="s">
        <v>208</v>
      </c>
      <c r="D1566">
        <v>40002379.8929592</v>
      </c>
    </row>
    <row r="1567" spans="1:4" hidden="1" x14ac:dyDescent="0.3">
      <c r="A1567">
        <v>1565</v>
      </c>
      <c r="B1567" t="s">
        <v>1854</v>
      </c>
      <c r="C1567" t="s">
        <v>210</v>
      </c>
      <c r="D1567">
        <v>29965289.679574601</v>
      </c>
    </row>
    <row r="1568" spans="1:4" hidden="1" x14ac:dyDescent="0.3">
      <c r="A1568">
        <v>1566</v>
      </c>
      <c r="B1568" s="1" t="s">
        <v>1855</v>
      </c>
      <c r="C1568" t="s">
        <v>212</v>
      </c>
      <c r="D1568" s="1" t="s">
        <v>1856</v>
      </c>
    </row>
    <row r="1569" spans="1:4" hidden="1" x14ac:dyDescent="0.3">
      <c r="A1569">
        <v>1567</v>
      </c>
      <c r="B1569" t="s">
        <v>1857</v>
      </c>
      <c r="C1569" t="s">
        <v>215</v>
      </c>
      <c r="D1569">
        <v>99994078.098197103</v>
      </c>
    </row>
    <row r="1570" spans="1:4" hidden="1" x14ac:dyDescent="0.3">
      <c r="A1570">
        <v>1568</v>
      </c>
      <c r="B1570" t="s">
        <v>1858</v>
      </c>
      <c r="C1570" t="s">
        <v>217</v>
      </c>
      <c r="D1570">
        <v>-1236.90309678018</v>
      </c>
    </row>
    <row r="1571" spans="1:4" hidden="1" x14ac:dyDescent="0.3">
      <c r="A1571">
        <v>1569</v>
      </c>
      <c r="B1571" s="1" t="s">
        <v>1859</v>
      </c>
      <c r="C1571" t="s">
        <v>219</v>
      </c>
      <c r="D1571" s="1" t="s">
        <v>1860</v>
      </c>
    </row>
    <row r="1572" spans="1:4" hidden="1" x14ac:dyDescent="0.3">
      <c r="A1572">
        <v>1570</v>
      </c>
      <c r="B1572" t="s">
        <v>1861</v>
      </c>
      <c r="C1572" t="s">
        <v>112</v>
      </c>
      <c r="D1572">
        <v>316.81215821770598</v>
      </c>
    </row>
    <row r="1573" spans="1:4" hidden="1" x14ac:dyDescent="0.3">
      <c r="A1573">
        <v>1571</v>
      </c>
      <c r="B1573" t="s">
        <v>1862</v>
      </c>
      <c r="C1573" t="s">
        <v>114</v>
      </c>
      <c r="D1573">
        <v>61.9623957271655</v>
      </c>
    </row>
    <row r="1574" spans="1:4" hidden="1" x14ac:dyDescent="0.3">
      <c r="A1574">
        <v>1572</v>
      </c>
      <c r="B1574" s="1" t="s">
        <v>1863</v>
      </c>
      <c r="C1574" t="s">
        <v>116</v>
      </c>
      <c r="D1574" s="1" t="s">
        <v>1864</v>
      </c>
    </row>
    <row r="1575" spans="1:4" hidden="1" x14ac:dyDescent="0.3">
      <c r="A1575">
        <v>1573</v>
      </c>
      <c r="B1575" t="s">
        <v>1865</v>
      </c>
      <c r="C1575" t="s">
        <v>119</v>
      </c>
      <c r="D1575">
        <v>80006406.492163196</v>
      </c>
    </row>
    <row r="1576" spans="1:4" hidden="1" x14ac:dyDescent="0.3">
      <c r="A1576">
        <v>1574</v>
      </c>
      <c r="B1576" t="s">
        <v>1866</v>
      </c>
      <c r="C1576" t="s">
        <v>121</v>
      </c>
      <c r="D1576">
        <v>40002379.8929592</v>
      </c>
    </row>
    <row r="1577" spans="1:4" hidden="1" x14ac:dyDescent="0.3">
      <c r="A1577">
        <v>1575</v>
      </c>
      <c r="B1577" s="1" t="s">
        <v>1867</v>
      </c>
      <c r="C1577" t="s">
        <v>123</v>
      </c>
      <c r="D1577" s="1" t="s">
        <v>1868</v>
      </c>
    </row>
    <row r="1578" spans="1:4" hidden="1" x14ac:dyDescent="0.3">
      <c r="A1578">
        <v>1576</v>
      </c>
      <c r="B1578" t="s">
        <v>1869</v>
      </c>
      <c r="C1578" t="s">
        <v>126</v>
      </c>
      <c r="D1578">
        <v>0.80000568320155097</v>
      </c>
    </row>
    <row r="1579" spans="1:4" hidden="1" x14ac:dyDescent="0.3">
      <c r="A1579">
        <v>1577</v>
      </c>
      <c r="B1579" t="s">
        <v>1870</v>
      </c>
      <c r="C1579" t="s">
        <v>128</v>
      </c>
      <c r="D1579">
        <v>0.39999460867036302</v>
      </c>
    </row>
    <row r="1580" spans="1:4" hidden="1" x14ac:dyDescent="0.3">
      <c r="A1580">
        <v>1578</v>
      </c>
      <c r="B1580" s="1" t="s">
        <v>1871</v>
      </c>
      <c r="C1580" t="s">
        <v>130</v>
      </c>
      <c r="D1580" s="1" t="s">
        <v>1872</v>
      </c>
    </row>
    <row r="1581" spans="1:4" ht="72" x14ac:dyDescent="0.3">
      <c r="A1581">
        <v>1579</v>
      </c>
      <c r="B1581" s="1" t="s">
        <v>3</v>
      </c>
      <c r="C1581" t="s">
        <v>4</v>
      </c>
      <c r="D1581" t="s">
        <v>5</v>
      </c>
    </row>
    <row r="1582" spans="1:4" hidden="1" x14ac:dyDescent="0.3">
      <c r="A1582">
        <v>1580</v>
      </c>
      <c r="B1582" t="s">
        <v>6</v>
      </c>
      <c r="C1582" t="s">
        <v>7</v>
      </c>
      <c r="D1582">
        <v>1305.25</v>
      </c>
    </row>
    <row r="1583" spans="1:4" hidden="1" x14ac:dyDescent="0.3">
      <c r="A1583">
        <v>1581</v>
      </c>
      <c r="B1583" s="1" t="s">
        <v>132</v>
      </c>
      <c r="C1583" t="s">
        <v>9</v>
      </c>
      <c r="D1583" s="1" t="s">
        <v>133</v>
      </c>
    </row>
    <row r="1584" spans="1:4" hidden="1" x14ac:dyDescent="0.3">
      <c r="A1584">
        <v>1582</v>
      </c>
      <c r="B1584" t="s">
        <v>13</v>
      </c>
      <c r="C1584" t="s">
        <v>14</v>
      </c>
      <c r="D1584">
        <v>98.4296875</v>
      </c>
    </row>
    <row r="1585" spans="1:4" hidden="1" x14ac:dyDescent="0.3">
      <c r="A1585">
        <v>1583</v>
      </c>
      <c r="B1585" t="s">
        <v>15</v>
      </c>
      <c r="C1585" t="s">
        <v>16</v>
      </c>
      <c r="D1585">
        <v>4.2819487927479898</v>
      </c>
    </row>
    <row r="1586" spans="1:4" hidden="1" x14ac:dyDescent="0.3">
      <c r="A1586">
        <v>1584</v>
      </c>
      <c r="B1586" s="1" t="s">
        <v>134</v>
      </c>
      <c r="C1586" t="s">
        <v>135</v>
      </c>
      <c r="D1586" s="1" t="s">
        <v>136</v>
      </c>
    </row>
    <row r="1587" spans="1:4" hidden="1" x14ac:dyDescent="0.3">
      <c r="A1587">
        <v>1585</v>
      </c>
      <c r="B1587" t="s">
        <v>21</v>
      </c>
      <c r="C1587" t="s">
        <v>22</v>
      </c>
      <c r="D1587">
        <v>83.1</v>
      </c>
    </row>
    <row r="1588" spans="1:4" hidden="1" x14ac:dyDescent="0.3">
      <c r="A1588">
        <v>1586</v>
      </c>
      <c r="B1588" t="s">
        <v>1873</v>
      </c>
      <c r="C1588" t="s">
        <v>24</v>
      </c>
      <c r="D1588">
        <v>4.1326345816262604</v>
      </c>
    </row>
    <row r="1589" spans="1:4" hidden="1" x14ac:dyDescent="0.3">
      <c r="A1589">
        <v>1587</v>
      </c>
      <c r="B1589" s="1" t="s">
        <v>1874</v>
      </c>
      <c r="C1589" t="s">
        <v>139</v>
      </c>
      <c r="D1589" s="1" t="s">
        <v>1875</v>
      </c>
    </row>
    <row r="1590" spans="1:4" hidden="1" x14ac:dyDescent="0.3">
      <c r="A1590">
        <v>1588</v>
      </c>
      <c r="B1590" t="s">
        <v>1876</v>
      </c>
      <c r="C1590" t="s">
        <v>35</v>
      </c>
      <c r="D1590">
        <v>-0.52372691885891698</v>
      </c>
    </row>
    <row r="1591" spans="1:4" hidden="1" x14ac:dyDescent="0.3">
      <c r="A1591">
        <v>1589</v>
      </c>
      <c r="B1591" t="s">
        <v>1877</v>
      </c>
      <c r="C1591" t="s">
        <v>143</v>
      </c>
      <c r="D1591">
        <v>0.73667769910923597</v>
      </c>
    </row>
    <row r="1592" spans="1:4" hidden="1" x14ac:dyDescent="0.3">
      <c r="A1592">
        <v>1590</v>
      </c>
      <c r="B1592" s="1" t="s">
        <v>1878</v>
      </c>
      <c r="C1592" t="s">
        <v>145</v>
      </c>
      <c r="D1592" s="1" t="s">
        <v>1879</v>
      </c>
    </row>
    <row r="1593" spans="1:4" hidden="1" x14ac:dyDescent="0.3">
      <c r="A1593">
        <v>1591</v>
      </c>
      <c r="B1593" t="s">
        <v>1880</v>
      </c>
      <c r="C1593" t="s">
        <v>30</v>
      </c>
      <c r="D1593">
        <v>0.76592249225686304</v>
      </c>
    </row>
    <row r="1594" spans="1:4" hidden="1" x14ac:dyDescent="0.3">
      <c r="A1594">
        <v>1592</v>
      </c>
      <c r="B1594" t="s">
        <v>1881</v>
      </c>
      <c r="C1594" t="s">
        <v>32</v>
      </c>
      <c r="D1594">
        <v>0.15298151214061601</v>
      </c>
    </row>
    <row r="1595" spans="1:4" hidden="1" x14ac:dyDescent="0.3">
      <c r="A1595">
        <v>1593</v>
      </c>
      <c r="B1595" s="1" t="s">
        <v>1882</v>
      </c>
      <c r="C1595" t="s">
        <v>149</v>
      </c>
      <c r="D1595" s="1" t="s">
        <v>1883</v>
      </c>
    </row>
    <row r="1596" spans="1:4" hidden="1" x14ac:dyDescent="0.3">
      <c r="A1596">
        <v>1594</v>
      </c>
      <c r="B1596" t="s">
        <v>1884</v>
      </c>
      <c r="C1596" t="s">
        <v>40</v>
      </c>
      <c r="D1596">
        <v>0.75780442660205405</v>
      </c>
    </row>
    <row r="1597" spans="1:4" hidden="1" x14ac:dyDescent="0.3">
      <c r="A1597">
        <v>1595</v>
      </c>
      <c r="B1597" t="s">
        <v>1885</v>
      </c>
      <c r="C1597" t="s">
        <v>42</v>
      </c>
      <c r="D1597">
        <v>0.20446422187462901</v>
      </c>
    </row>
    <row r="1598" spans="1:4" hidden="1" x14ac:dyDescent="0.3">
      <c r="A1598">
        <v>1596</v>
      </c>
      <c r="B1598" s="1" t="s">
        <v>1886</v>
      </c>
      <c r="C1598" t="s">
        <v>153</v>
      </c>
      <c r="D1598" s="1" t="s">
        <v>1887</v>
      </c>
    </row>
    <row r="1599" spans="1:4" hidden="1" x14ac:dyDescent="0.3">
      <c r="A1599">
        <v>1597</v>
      </c>
      <c r="B1599" t="s">
        <v>154</v>
      </c>
      <c r="C1599" t="s">
        <v>155</v>
      </c>
      <c r="D1599">
        <v>1</v>
      </c>
    </row>
    <row r="1600" spans="1:4" hidden="1" x14ac:dyDescent="0.3">
      <c r="A1600">
        <v>1598</v>
      </c>
      <c r="B1600" t="s">
        <v>156</v>
      </c>
      <c r="C1600" t="s">
        <v>157</v>
      </c>
      <c r="D1600">
        <v>1</v>
      </c>
    </row>
    <row r="1601" spans="1:4" hidden="1" x14ac:dyDescent="0.3">
      <c r="A1601">
        <v>1599</v>
      </c>
      <c r="B1601" s="1" t="s">
        <v>1888</v>
      </c>
      <c r="C1601" t="s">
        <v>159</v>
      </c>
      <c r="D1601" s="1" t="s">
        <v>1889</v>
      </c>
    </row>
    <row r="1602" spans="1:4" hidden="1" x14ac:dyDescent="0.3">
      <c r="A1602">
        <v>1600</v>
      </c>
      <c r="B1602" t="s">
        <v>1890</v>
      </c>
      <c r="C1602" t="s">
        <v>162</v>
      </c>
      <c r="D1602">
        <v>1.00016219769741</v>
      </c>
    </row>
    <row r="1603" spans="1:4" hidden="1" x14ac:dyDescent="0.3">
      <c r="A1603">
        <v>1601</v>
      </c>
      <c r="B1603" t="s">
        <v>1891</v>
      </c>
      <c r="C1603" t="s">
        <v>164</v>
      </c>
      <c r="D1603">
        <v>0.99981274074731197</v>
      </c>
    </row>
    <row r="1604" spans="1:4" hidden="1" x14ac:dyDescent="0.3">
      <c r="A1604">
        <v>1602</v>
      </c>
      <c r="B1604" s="1" t="s">
        <v>1892</v>
      </c>
      <c r="C1604" t="s">
        <v>166</v>
      </c>
      <c r="D1604" s="1" t="s">
        <v>1893</v>
      </c>
    </row>
    <row r="1605" spans="1:4" hidden="1" x14ac:dyDescent="0.3">
      <c r="A1605">
        <v>1603</v>
      </c>
      <c r="B1605" s="1" t="s">
        <v>1894</v>
      </c>
      <c r="C1605" t="s">
        <v>55</v>
      </c>
      <c r="D1605" s="1" t="s">
        <v>1895</v>
      </c>
    </row>
    <row r="1606" spans="1:4" hidden="1" x14ac:dyDescent="0.3">
      <c r="A1606">
        <v>1604</v>
      </c>
      <c r="B1606" s="1" t="s">
        <v>1896</v>
      </c>
      <c r="C1606" t="s">
        <v>52</v>
      </c>
      <c r="D1606" s="1" t="s">
        <v>1897</v>
      </c>
    </row>
    <row r="1607" spans="1:4" hidden="1" x14ac:dyDescent="0.3">
      <c r="A1607">
        <v>1605</v>
      </c>
      <c r="B1607" s="1" t="s">
        <v>1898</v>
      </c>
      <c r="C1607" t="s">
        <v>58</v>
      </c>
      <c r="D1607" s="1" t="s">
        <v>1899</v>
      </c>
    </row>
    <row r="1608" spans="1:4" hidden="1" x14ac:dyDescent="0.3">
      <c r="A1608">
        <v>1606</v>
      </c>
      <c r="B1608" t="s">
        <v>1900</v>
      </c>
      <c r="C1608" t="s">
        <v>61</v>
      </c>
      <c r="D1608">
        <v>150005685.63173601</v>
      </c>
    </row>
    <row r="1609" spans="1:4" hidden="1" x14ac:dyDescent="0.3">
      <c r="A1609">
        <v>1607</v>
      </c>
      <c r="B1609" t="s">
        <v>1901</v>
      </c>
      <c r="C1609" t="s">
        <v>63</v>
      </c>
      <c r="D1609">
        <v>80006406.492163196</v>
      </c>
    </row>
    <row r="1610" spans="1:4" hidden="1" x14ac:dyDescent="0.3">
      <c r="A1610">
        <v>1608</v>
      </c>
      <c r="B1610" t="s">
        <v>1902</v>
      </c>
      <c r="C1610" t="s">
        <v>65</v>
      </c>
      <c r="D1610">
        <v>40002379.8929592</v>
      </c>
    </row>
    <row r="1611" spans="1:4" hidden="1" x14ac:dyDescent="0.3">
      <c r="A1611">
        <v>1609</v>
      </c>
      <c r="B1611" s="1" t="s">
        <v>1903</v>
      </c>
      <c r="C1611" t="s">
        <v>67</v>
      </c>
      <c r="D1611" s="1" t="s">
        <v>1904</v>
      </c>
    </row>
    <row r="1612" spans="1:4" hidden="1" x14ac:dyDescent="0.3">
      <c r="A1612">
        <v>1610</v>
      </c>
      <c r="B1612" s="1" t="s">
        <v>1905</v>
      </c>
      <c r="C1612" t="s">
        <v>70</v>
      </c>
      <c r="D1612" s="1" t="s">
        <v>1906</v>
      </c>
    </row>
    <row r="1613" spans="1:4" hidden="1" x14ac:dyDescent="0.3">
      <c r="A1613">
        <v>1611</v>
      </c>
      <c r="B1613" t="s">
        <v>1907</v>
      </c>
      <c r="C1613" t="s">
        <v>73</v>
      </c>
      <c r="D1613">
        <v>1.0001322034786599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78</v>
      </c>
      <c r="C1616" t="s">
        <v>79</v>
      </c>
      <c r="D1616">
        <v>0</v>
      </c>
    </row>
    <row r="1617" spans="1:4" hidden="1" x14ac:dyDescent="0.3">
      <c r="A1617">
        <v>1615</v>
      </c>
      <c r="B1617" s="1" t="s">
        <v>1908</v>
      </c>
      <c r="C1617" t="s">
        <v>81</v>
      </c>
      <c r="D1617" s="1" t="s">
        <v>1909</v>
      </c>
    </row>
    <row r="1618" spans="1:4" hidden="1" x14ac:dyDescent="0.3">
      <c r="A1618">
        <v>1616</v>
      </c>
      <c r="B1618" t="s">
        <v>1910</v>
      </c>
      <c r="C1618" t="s">
        <v>84</v>
      </c>
      <c r="D1618">
        <v>1.0001468801548301</v>
      </c>
    </row>
    <row r="1619" spans="1:4" hidden="1" x14ac:dyDescent="0.3">
      <c r="A1619">
        <v>1617</v>
      </c>
      <c r="B1619" s="1" t="s">
        <v>1911</v>
      </c>
      <c r="C1619" t="s">
        <v>86</v>
      </c>
      <c r="D1619" s="1" t="s">
        <v>1912</v>
      </c>
    </row>
    <row r="1620" spans="1:4" hidden="1" x14ac:dyDescent="0.3">
      <c r="A1620">
        <v>1618</v>
      </c>
      <c r="B1620" t="s">
        <v>1913</v>
      </c>
      <c r="C1620" t="s">
        <v>89</v>
      </c>
      <c r="D1620">
        <v>99991373.848074794</v>
      </c>
    </row>
    <row r="1621" spans="1:4" hidden="1" x14ac:dyDescent="0.3">
      <c r="A1621">
        <v>1619</v>
      </c>
      <c r="B1621" s="1" t="s">
        <v>1914</v>
      </c>
      <c r="C1621" t="s">
        <v>91</v>
      </c>
      <c r="D1621" s="1" t="s">
        <v>1860</v>
      </c>
    </row>
    <row r="1622" spans="1:4" hidden="1" x14ac:dyDescent="0.3">
      <c r="A1622">
        <v>1620</v>
      </c>
      <c r="B1622" t="s">
        <v>1915</v>
      </c>
      <c r="C1622" t="s">
        <v>94</v>
      </c>
      <c r="D1622">
        <v>80006406.492163196</v>
      </c>
    </row>
    <row r="1623" spans="1:4" hidden="1" x14ac:dyDescent="0.3">
      <c r="A1623">
        <v>1621</v>
      </c>
      <c r="B1623" t="s">
        <v>1916</v>
      </c>
      <c r="C1623" t="s">
        <v>96</v>
      </c>
      <c r="D1623">
        <v>40002379.8929592</v>
      </c>
    </row>
    <row r="1624" spans="1:4" hidden="1" x14ac:dyDescent="0.3">
      <c r="A1624">
        <v>1622</v>
      </c>
      <c r="B1624" t="s">
        <v>1917</v>
      </c>
      <c r="C1624" t="s">
        <v>98</v>
      </c>
      <c r="D1624">
        <v>29996899.246613901</v>
      </c>
    </row>
    <row r="1625" spans="1:4" hidden="1" x14ac:dyDescent="0.3">
      <c r="A1625">
        <v>1623</v>
      </c>
      <c r="B1625" s="1" t="s">
        <v>1918</v>
      </c>
      <c r="C1625" t="s">
        <v>100</v>
      </c>
      <c r="D1625" s="1" t="s">
        <v>1919</v>
      </c>
    </row>
    <row r="1626" spans="1:4" hidden="1" x14ac:dyDescent="0.3">
      <c r="A1626">
        <v>1624</v>
      </c>
      <c r="B1626" t="s">
        <v>1920</v>
      </c>
      <c r="C1626" t="s">
        <v>103</v>
      </c>
      <c r="D1626">
        <v>6.1244506351062896E-3</v>
      </c>
    </row>
    <row r="1627" spans="1:4" hidden="1" x14ac:dyDescent="0.3">
      <c r="A1627">
        <v>1625</v>
      </c>
      <c r="B1627" t="s">
        <v>1921</v>
      </c>
      <c r="C1627" t="s">
        <v>105</v>
      </c>
      <c r="D1627">
        <v>6.9095247796692797E-4</v>
      </c>
    </row>
    <row r="1628" spans="1:4" hidden="1" x14ac:dyDescent="0.3">
      <c r="A1628">
        <v>1626</v>
      </c>
      <c r="B1628" t="s">
        <v>1922</v>
      </c>
      <c r="C1628" t="s">
        <v>107</v>
      </c>
      <c r="D1628">
        <v>1.50173246619277E-2</v>
      </c>
    </row>
    <row r="1629" spans="1:4" hidden="1" x14ac:dyDescent="0.3">
      <c r="A1629">
        <v>1627</v>
      </c>
      <c r="B1629" s="1" t="s">
        <v>1923</v>
      </c>
      <c r="C1629" t="s">
        <v>109</v>
      </c>
      <c r="D1629" s="1" t="s">
        <v>1924</v>
      </c>
    </row>
    <row r="1630" spans="1:4" hidden="1" x14ac:dyDescent="0.3">
      <c r="A1630">
        <v>1628</v>
      </c>
      <c r="B1630" t="s">
        <v>1925</v>
      </c>
      <c r="C1630" t="s">
        <v>197</v>
      </c>
      <c r="D1630">
        <v>150006193.52109399</v>
      </c>
    </row>
    <row r="1631" spans="1:4" hidden="1" x14ac:dyDescent="0.3">
      <c r="A1631">
        <v>1629</v>
      </c>
      <c r="B1631" t="s">
        <v>1926</v>
      </c>
      <c r="C1631" t="s">
        <v>199</v>
      </c>
      <c r="D1631">
        <v>-1174.0786462877099</v>
      </c>
    </row>
    <row r="1632" spans="1:4" hidden="1" x14ac:dyDescent="0.3">
      <c r="A1632">
        <v>1630</v>
      </c>
      <c r="B1632" t="s">
        <v>1927</v>
      </c>
      <c r="C1632" t="s">
        <v>201</v>
      </c>
      <c r="D1632">
        <v>-587.02549237302605</v>
      </c>
    </row>
    <row r="1633" spans="1:4" hidden="1" x14ac:dyDescent="0.3">
      <c r="A1633">
        <v>1631</v>
      </c>
      <c r="B1633" s="1" t="s">
        <v>1928</v>
      </c>
      <c r="C1633" t="s">
        <v>203</v>
      </c>
      <c r="D1633" s="1" t="s">
        <v>1929</v>
      </c>
    </row>
    <row r="1634" spans="1:4" hidden="1" x14ac:dyDescent="0.3">
      <c r="A1634">
        <v>1632</v>
      </c>
      <c r="B1634" t="s">
        <v>1930</v>
      </c>
      <c r="C1634" t="s">
        <v>206</v>
      </c>
      <c r="D1634">
        <v>80007971.931584999</v>
      </c>
    </row>
    <row r="1635" spans="1:4" hidden="1" x14ac:dyDescent="0.3">
      <c r="A1635">
        <v>1633</v>
      </c>
      <c r="B1635" t="s">
        <v>1931</v>
      </c>
      <c r="C1635" t="s">
        <v>208</v>
      </c>
      <c r="D1635">
        <v>40003043.463407099</v>
      </c>
    </row>
    <row r="1636" spans="1:4" hidden="1" x14ac:dyDescent="0.3">
      <c r="A1636">
        <v>1634</v>
      </c>
      <c r="B1636" t="s">
        <v>1932</v>
      </c>
      <c r="C1636" t="s">
        <v>210</v>
      </c>
      <c r="D1636">
        <v>29997379.427409001</v>
      </c>
    </row>
    <row r="1637" spans="1:4" hidden="1" x14ac:dyDescent="0.3">
      <c r="A1637">
        <v>1635</v>
      </c>
      <c r="B1637" s="1" t="s">
        <v>1933</v>
      </c>
      <c r="C1637" t="s">
        <v>212</v>
      </c>
      <c r="D1637" s="1" t="s">
        <v>1934</v>
      </c>
    </row>
    <row r="1638" spans="1:4" hidden="1" x14ac:dyDescent="0.3">
      <c r="A1638">
        <v>1636</v>
      </c>
      <c r="B1638" t="s">
        <v>1935</v>
      </c>
      <c r="C1638" t="s">
        <v>215</v>
      </c>
      <c r="D1638">
        <v>99992841.195100293</v>
      </c>
    </row>
    <row r="1639" spans="1:4" hidden="1" x14ac:dyDescent="0.3">
      <c r="A1639">
        <v>1637</v>
      </c>
      <c r="B1639" t="s">
        <v>1936</v>
      </c>
      <c r="C1639" t="s">
        <v>217</v>
      </c>
      <c r="D1639">
        <v>-1467.3470254838401</v>
      </c>
    </row>
    <row r="1640" spans="1:4" hidden="1" x14ac:dyDescent="0.3">
      <c r="A1640">
        <v>1638</v>
      </c>
      <c r="B1640" s="1" t="s">
        <v>1937</v>
      </c>
      <c r="C1640" t="s">
        <v>219</v>
      </c>
      <c r="D1640" s="1" t="s">
        <v>1938</v>
      </c>
    </row>
    <row r="1641" spans="1:4" hidden="1" x14ac:dyDescent="0.3">
      <c r="A1641">
        <v>1639</v>
      </c>
      <c r="B1641" t="s">
        <v>1939</v>
      </c>
      <c r="C1641" t="s">
        <v>112</v>
      </c>
      <c r="D1641">
        <v>391.360775442933</v>
      </c>
    </row>
    <row r="1642" spans="1:4" hidden="1" x14ac:dyDescent="0.3">
      <c r="A1642">
        <v>1640</v>
      </c>
      <c r="B1642" t="s">
        <v>1940</v>
      </c>
      <c r="C1642" t="s">
        <v>114</v>
      </c>
      <c r="D1642">
        <v>76.544955562144395</v>
      </c>
    </row>
    <row r="1643" spans="1:4" hidden="1" x14ac:dyDescent="0.3">
      <c r="A1643">
        <v>1641</v>
      </c>
      <c r="B1643" s="1" t="s">
        <v>1941</v>
      </c>
      <c r="C1643" t="s">
        <v>116</v>
      </c>
      <c r="D1643" s="1" t="s">
        <v>1942</v>
      </c>
    </row>
    <row r="1644" spans="1:4" hidden="1" x14ac:dyDescent="0.3">
      <c r="A1644">
        <v>1642</v>
      </c>
      <c r="B1644" t="s">
        <v>1943</v>
      </c>
      <c r="C1644" t="s">
        <v>119</v>
      </c>
      <c r="D1644">
        <v>80007971.931584999</v>
      </c>
    </row>
    <row r="1645" spans="1:4" hidden="1" x14ac:dyDescent="0.3">
      <c r="A1645">
        <v>1643</v>
      </c>
      <c r="B1645" t="s">
        <v>1944</v>
      </c>
      <c r="C1645" t="s">
        <v>121</v>
      </c>
      <c r="D1645">
        <v>40003043.463407099</v>
      </c>
    </row>
    <row r="1646" spans="1:4" hidden="1" x14ac:dyDescent="0.3">
      <c r="A1646">
        <v>1644</v>
      </c>
      <c r="B1646" s="1" t="s">
        <v>1945</v>
      </c>
      <c r="C1646" t="s">
        <v>123</v>
      </c>
      <c r="D1646" s="1" t="s">
        <v>1946</v>
      </c>
    </row>
    <row r="1647" spans="1:4" hidden="1" x14ac:dyDescent="0.3">
      <c r="A1647">
        <v>1645</v>
      </c>
      <c r="B1647" t="s">
        <v>1947</v>
      </c>
      <c r="C1647" t="s">
        <v>126</v>
      </c>
      <c r="D1647">
        <v>0.80001949257563798</v>
      </c>
    </row>
    <row r="1648" spans="1:4" hidden="1" x14ac:dyDescent="0.3">
      <c r="A1648">
        <v>1646</v>
      </c>
      <c r="B1648" t="s">
        <v>1948</v>
      </c>
      <c r="C1648" t="s">
        <v>128</v>
      </c>
      <c r="D1648">
        <v>0.40000032197344298</v>
      </c>
    </row>
    <row r="1649" spans="1:4" hidden="1" x14ac:dyDescent="0.3">
      <c r="A1649">
        <v>1647</v>
      </c>
      <c r="B1649" s="1" t="s">
        <v>1949</v>
      </c>
      <c r="C1649" t="s">
        <v>130</v>
      </c>
      <c r="D1649" s="1" t="s">
        <v>1950</v>
      </c>
    </row>
    <row r="1650" spans="1:4" ht="72" x14ac:dyDescent="0.3">
      <c r="A1650">
        <v>1648</v>
      </c>
      <c r="B1650" s="1" t="s">
        <v>3</v>
      </c>
      <c r="C1650" t="s">
        <v>4</v>
      </c>
      <c r="D1650" t="s">
        <v>5</v>
      </c>
    </row>
    <row r="1651" spans="1:4" hidden="1" x14ac:dyDescent="0.3">
      <c r="A1651">
        <v>1649</v>
      </c>
      <c r="B1651" t="s">
        <v>6</v>
      </c>
      <c r="C1651" t="s">
        <v>7</v>
      </c>
      <c r="D1651">
        <v>1305.25</v>
      </c>
    </row>
    <row r="1652" spans="1:4" hidden="1" x14ac:dyDescent="0.3">
      <c r="A1652">
        <v>1650</v>
      </c>
      <c r="B1652" s="1" t="s">
        <v>132</v>
      </c>
      <c r="C1652" t="s">
        <v>9</v>
      </c>
      <c r="D1652" s="1" t="s">
        <v>133</v>
      </c>
    </row>
    <row r="1653" spans="1:4" hidden="1" x14ac:dyDescent="0.3">
      <c r="A1653">
        <v>1651</v>
      </c>
      <c r="B1653" t="s">
        <v>13</v>
      </c>
      <c r="C1653" t="s">
        <v>14</v>
      </c>
      <c r="D1653">
        <v>98.4296875</v>
      </c>
    </row>
    <row r="1654" spans="1:4" hidden="1" x14ac:dyDescent="0.3">
      <c r="A1654">
        <v>1652</v>
      </c>
      <c r="B1654" t="s">
        <v>15</v>
      </c>
      <c r="C1654" t="s">
        <v>16</v>
      </c>
      <c r="D1654">
        <v>4.2819487927479898</v>
      </c>
    </row>
    <row r="1655" spans="1:4" hidden="1" x14ac:dyDescent="0.3">
      <c r="A1655">
        <v>1653</v>
      </c>
      <c r="B1655" s="1" t="s">
        <v>134</v>
      </c>
      <c r="C1655" t="s">
        <v>135</v>
      </c>
      <c r="D1655" s="1" t="s">
        <v>136</v>
      </c>
    </row>
    <row r="1656" spans="1:4" hidden="1" x14ac:dyDescent="0.3">
      <c r="A1656">
        <v>1654</v>
      </c>
      <c r="B1656" t="s">
        <v>21</v>
      </c>
      <c r="C1656" t="s">
        <v>22</v>
      </c>
      <c r="D1656">
        <v>83.1</v>
      </c>
    </row>
    <row r="1657" spans="1:4" hidden="1" x14ac:dyDescent="0.3">
      <c r="A1657">
        <v>1655</v>
      </c>
      <c r="B1657" t="s">
        <v>1951</v>
      </c>
      <c r="C1657" t="s">
        <v>24</v>
      </c>
      <c r="D1657">
        <v>4.1158166519796202</v>
      </c>
    </row>
    <row r="1658" spans="1:4" hidden="1" x14ac:dyDescent="0.3">
      <c r="A1658">
        <v>1656</v>
      </c>
      <c r="B1658" s="1" t="s">
        <v>1952</v>
      </c>
      <c r="C1658" t="s">
        <v>139</v>
      </c>
      <c r="D1658" s="1" t="s">
        <v>1953</v>
      </c>
    </row>
    <row r="1659" spans="1:4" hidden="1" x14ac:dyDescent="0.3">
      <c r="A1659">
        <v>1657</v>
      </c>
      <c r="B1659" t="s">
        <v>1954</v>
      </c>
      <c r="C1659" t="s">
        <v>35</v>
      </c>
      <c r="D1659">
        <v>-0.50962537998440705</v>
      </c>
    </row>
    <row r="1660" spans="1:4" hidden="1" x14ac:dyDescent="0.3">
      <c r="A1660">
        <v>1658</v>
      </c>
      <c r="B1660" t="s">
        <v>1955</v>
      </c>
      <c r="C1660" t="s">
        <v>143</v>
      </c>
      <c r="D1660">
        <v>0.73136429169056305</v>
      </c>
    </row>
    <row r="1661" spans="1:4" hidden="1" x14ac:dyDescent="0.3">
      <c r="A1661">
        <v>1659</v>
      </c>
      <c r="B1661" s="1" t="s">
        <v>1956</v>
      </c>
      <c r="C1661" t="s">
        <v>145</v>
      </c>
      <c r="D1661" s="1" t="s">
        <v>1957</v>
      </c>
    </row>
    <row r="1662" spans="1:4" hidden="1" x14ac:dyDescent="0.3">
      <c r="A1662">
        <v>1660</v>
      </c>
      <c r="B1662" t="s">
        <v>1958</v>
      </c>
      <c r="C1662" t="s">
        <v>30</v>
      </c>
      <c r="D1662">
        <v>0.745299748971193</v>
      </c>
    </row>
    <row r="1663" spans="1:4" hidden="1" x14ac:dyDescent="0.3">
      <c r="A1663">
        <v>1661</v>
      </c>
      <c r="B1663" t="s">
        <v>1959</v>
      </c>
      <c r="C1663" t="s">
        <v>32</v>
      </c>
      <c r="D1663">
        <v>0.15767325911557101</v>
      </c>
    </row>
    <row r="1664" spans="1:4" hidden="1" x14ac:dyDescent="0.3">
      <c r="A1664">
        <v>1662</v>
      </c>
      <c r="B1664" s="1" t="s">
        <v>1960</v>
      </c>
      <c r="C1664" t="s">
        <v>149</v>
      </c>
      <c r="D1664" s="1" t="s">
        <v>1961</v>
      </c>
    </row>
    <row r="1665" spans="1:4" hidden="1" x14ac:dyDescent="0.3">
      <c r="A1665">
        <v>1663</v>
      </c>
      <c r="B1665" t="s">
        <v>1962</v>
      </c>
      <c r="C1665" t="s">
        <v>40</v>
      </c>
      <c r="D1665">
        <v>0.76432563101321305</v>
      </c>
    </row>
    <row r="1666" spans="1:4" hidden="1" x14ac:dyDescent="0.3">
      <c r="A1666">
        <v>1664</v>
      </c>
      <c r="B1666" t="s">
        <v>1963</v>
      </c>
      <c r="C1666" t="s">
        <v>42</v>
      </c>
      <c r="D1666">
        <v>0.20963440323759</v>
      </c>
    </row>
    <row r="1667" spans="1:4" hidden="1" x14ac:dyDescent="0.3">
      <c r="A1667">
        <v>1665</v>
      </c>
      <c r="B1667" s="1" t="s">
        <v>1964</v>
      </c>
      <c r="C1667" t="s">
        <v>153</v>
      </c>
      <c r="D1667" s="1" t="s">
        <v>1965</v>
      </c>
    </row>
    <row r="1668" spans="1:4" hidden="1" x14ac:dyDescent="0.3">
      <c r="A1668">
        <v>1666</v>
      </c>
      <c r="B1668" t="s">
        <v>154</v>
      </c>
      <c r="C1668" t="s">
        <v>155</v>
      </c>
      <c r="D1668">
        <v>1</v>
      </c>
    </row>
    <row r="1669" spans="1:4" hidden="1" x14ac:dyDescent="0.3">
      <c r="A1669">
        <v>1667</v>
      </c>
      <c r="B1669" t="s">
        <v>156</v>
      </c>
      <c r="C1669" t="s">
        <v>157</v>
      </c>
      <c r="D1669">
        <v>1</v>
      </c>
    </row>
    <row r="1670" spans="1:4" hidden="1" x14ac:dyDescent="0.3">
      <c r="A1670">
        <v>1668</v>
      </c>
      <c r="B1670" s="1" t="s">
        <v>1966</v>
      </c>
      <c r="C1670" t="s">
        <v>159</v>
      </c>
      <c r="D1670" s="1" t="s">
        <v>1967</v>
      </c>
    </row>
    <row r="1671" spans="1:4" hidden="1" x14ac:dyDescent="0.3">
      <c r="A1671">
        <v>1669</v>
      </c>
      <c r="B1671" t="s">
        <v>1968</v>
      </c>
      <c r="C1671" t="s">
        <v>162</v>
      </c>
      <c r="D1671">
        <v>0.99694047581690004</v>
      </c>
    </row>
    <row r="1672" spans="1:4" hidden="1" x14ac:dyDescent="0.3">
      <c r="A1672">
        <v>1670</v>
      </c>
      <c r="B1672" t="s">
        <v>1969</v>
      </c>
      <c r="C1672" t="s">
        <v>164</v>
      </c>
      <c r="D1672">
        <v>1.0040692300141401</v>
      </c>
    </row>
    <row r="1673" spans="1:4" hidden="1" x14ac:dyDescent="0.3">
      <c r="A1673">
        <v>1671</v>
      </c>
      <c r="B1673" s="1" t="s">
        <v>1970</v>
      </c>
      <c r="C1673" t="s">
        <v>166</v>
      </c>
      <c r="D1673" s="1" t="s">
        <v>1971</v>
      </c>
    </row>
    <row r="1674" spans="1:4" hidden="1" x14ac:dyDescent="0.3">
      <c r="A1674">
        <v>1672</v>
      </c>
      <c r="B1674" s="1" t="s">
        <v>1972</v>
      </c>
      <c r="C1674" t="s">
        <v>55</v>
      </c>
      <c r="D1674" s="1" t="s">
        <v>1973</v>
      </c>
    </row>
    <row r="1675" spans="1:4" hidden="1" x14ac:dyDescent="0.3">
      <c r="A1675">
        <v>1673</v>
      </c>
      <c r="B1675" s="1" t="s">
        <v>1974</v>
      </c>
      <c r="C1675" t="s">
        <v>52</v>
      </c>
      <c r="D1675" s="1" t="s">
        <v>1975</v>
      </c>
    </row>
    <row r="1676" spans="1:4" hidden="1" x14ac:dyDescent="0.3">
      <c r="A1676">
        <v>1674</v>
      </c>
      <c r="B1676" s="1" t="s">
        <v>1976</v>
      </c>
      <c r="C1676" t="s">
        <v>58</v>
      </c>
      <c r="D1676" s="1" t="s">
        <v>1977</v>
      </c>
    </row>
    <row r="1677" spans="1:4" hidden="1" x14ac:dyDescent="0.3">
      <c r="A1677">
        <v>1675</v>
      </c>
      <c r="B1677" t="s">
        <v>1978</v>
      </c>
      <c r="C1677" t="s">
        <v>61</v>
      </c>
      <c r="D1677">
        <v>150002611.50725499</v>
      </c>
    </row>
    <row r="1678" spans="1:4" hidden="1" x14ac:dyDescent="0.3">
      <c r="A1678">
        <v>1676</v>
      </c>
      <c r="B1678" t="s">
        <v>1979</v>
      </c>
      <c r="C1678" t="s">
        <v>63</v>
      </c>
      <c r="D1678">
        <v>80007971.931584999</v>
      </c>
    </row>
    <row r="1679" spans="1:4" hidden="1" x14ac:dyDescent="0.3">
      <c r="A1679">
        <v>1677</v>
      </c>
      <c r="B1679" t="s">
        <v>1980</v>
      </c>
      <c r="C1679" t="s">
        <v>65</v>
      </c>
      <c r="D1679">
        <v>40003043.463407099</v>
      </c>
    </row>
    <row r="1680" spans="1:4" hidden="1" x14ac:dyDescent="0.3">
      <c r="A1680">
        <v>1678</v>
      </c>
      <c r="B1680" s="1" t="s">
        <v>1981</v>
      </c>
      <c r="C1680" t="s">
        <v>67</v>
      </c>
      <c r="D1680" s="1" t="s">
        <v>1982</v>
      </c>
    </row>
    <row r="1681" spans="1:4" hidden="1" x14ac:dyDescent="0.3">
      <c r="A1681">
        <v>1679</v>
      </c>
      <c r="B1681" s="1" t="s">
        <v>1983</v>
      </c>
      <c r="C1681" t="s">
        <v>70</v>
      </c>
      <c r="D1681" s="1" t="s">
        <v>1984</v>
      </c>
    </row>
    <row r="1682" spans="1:4" hidden="1" x14ac:dyDescent="0.3">
      <c r="A1682">
        <v>1680</v>
      </c>
      <c r="B1682" t="s">
        <v>1985</v>
      </c>
      <c r="C1682" t="s">
        <v>73</v>
      </c>
      <c r="D1682">
        <v>1.0001468801548301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1986</v>
      </c>
      <c r="C1686" t="s">
        <v>81</v>
      </c>
      <c r="D1686" s="1" t="s">
        <v>1987</v>
      </c>
    </row>
    <row r="1687" spans="1:4" hidden="1" x14ac:dyDescent="0.3">
      <c r="A1687">
        <v>1685</v>
      </c>
      <c r="B1687" t="s">
        <v>1988</v>
      </c>
      <c r="C1687" t="s">
        <v>84</v>
      </c>
      <c r="D1687">
        <v>1.00016456788242</v>
      </c>
    </row>
    <row r="1688" spans="1:4" hidden="1" x14ac:dyDescent="0.3">
      <c r="A1688">
        <v>1686</v>
      </c>
      <c r="B1688" s="1" t="s">
        <v>1989</v>
      </c>
      <c r="C1688" t="s">
        <v>86</v>
      </c>
      <c r="D1688" s="1" t="s">
        <v>1990</v>
      </c>
    </row>
    <row r="1689" spans="1:4" hidden="1" x14ac:dyDescent="0.3">
      <c r="A1689">
        <v>1687</v>
      </c>
      <c r="B1689" t="s">
        <v>1991</v>
      </c>
      <c r="C1689" t="s">
        <v>89</v>
      </c>
      <c r="D1689">
        <v>99989605.518903196</v>
      </c>
    </row>
    <row r="1690" spans="1:4" hidden="1" x14ac:dyDescent="0.3">
      <c r="A1690">
        <v>1688</v>
      </c>
      <c r="B1690" s="1" t="s">
        <v>1992</v>
      </c>
      <c r="C1690" t="s">
        <v>91</v>
      </c>
      <c r="D1690" s="1" t="s">
        <v>1938</v>
      </c>
    </row>
    <row r="1691" spans="1:4" hidden="1" x14ac:dyDescent="0.3">
      <c r="A1691">
        <v>1689</v>
      </c>
      <c r="B1691" t="s">
        <v>1993</v>
      </c>
      <c r="C1691" t="s">
        <v>94</v>
      </c>
      <c r="D1691">
        <v>80007971.931584999</v>
      </c>
    </row>
    <row r="1692" spans="1:4" hidden="1" x14ac:dyDescent="0.3">
      <c r="A1692">
        <v>1690</v>
      </c>
      <c r="B1692" t="s">
        <v>1994</v>
      </c>
      <c r="C1692" t="s">
        <v>96</v>
      </c>
      <c r="D1692">
        <v>40003043.463407099</v>
      </c>
    </row>
    <row r="1693" spans="1:4" hidden="1" x14ac:dyDescent="0.3">
      <c r="A1693">
        <v>1691</v>
      </c>
      <c r="B1693" t="s">
        <v>1995</v>
      </c>
      <c r="C1693" t="s">
        <v>98</v>
      </c>
      <c r="D1693">
        <v>29991596.112263002</v>
      </c>
    </row>
    <row r="1694" spans="1:4" hidden="1" x14ac:dyDescent="0.3">
      <c r="A1694">
        <v>1692</v>
      </c>
      <c r="B1694" s="1" t="s">
        <v>1996</v>
      </c>
      <c r="C1694" t="s">
        <v>100</v>
      </c>
      <c r="D1694" s="1" t="s">
        <v>1997</v>
      </c>
    </row>
    <row r="1695" spans="1:4" hidden="1" x14ac:dyDescent="0.3">
      <c r="A1695">
        <v>1693</v>
      </c>
      <c r="B1695" t="s">
        <v>1998</v>
      </c>
      <c r="C1695" t="s">
        <v>103</v>
      </c>
      <c r="D1695">
        <v>6.0378191839173603E-3</v>
      </c>
    </row>
    <row r="1696" spans="1:4" hidden="1" x14ac:dyDescent="0.3">
      <c r="A1696">
        <v>1694</v>
      </c>
      <c r="B1696" t="s">
        <v>1999</v>
      </c>
      <c r="C1696" t="s">
        <v>105</v>
      </c>
      <c r="D1696">
        <v>6.9462287125663996E-4</v>
      </c>
    </row>
    <row r="1697" spans="1:4" hidden="1" x14ac:dyDescent="0.3">
      <c r="A1697">
        <v>1695</v>
      </c>
      <c r="B1697" t="s">
        <v>2000</v>
      </c>
      <c r="C1697" t="s">
        <v>107</v>
      </c>
      <c r="D1697">
        <v>1.5115613606301599E-2</v>
      </c>
    </row>
    <row r="1698" spans="1:4" hidden="1" x14ac:dyDescent="0.3">
      <c r="A1698">
        <v>1696</v>
      </c>
      <c r="B1698" s="1" t="s">
        <v>2001</v>
      </c>
      <c r="C1698" t="s">
        <v>109</v>
      </c>
      <c r="D1698" s="1" t="s">
        <v>2002</v>
      </c>
    </row>
    <row r="1699" spans="1:4" hidden="1" x14ac:dyDescent="0.3">
      <c r="A1699">
        <v>1697</v>
      </c>
      <c r="B1699" t="s">
        <v>2003</v>
      </c>
      <c r="C1699" t="s">
        <v>197</v>
      </c>
      <c r="D1699">
        <v>150003223.04125401</v>
      </c>
    </row>
    <row r="1700" spans="1:4" hidden="1" x14ac:dyDescent="0.3">
      <c r="A1700">
        <v>1698</v>
      </c>
      <c r="B1700" t="s">
        <v>2004</v>
      </c>
      <c r="C1700" t="s">
        <v>199</v>
      </c>
      <c r="D1700">
        <v>-1414.9593934406801</v>
      </c>
    </row>
    <row r="1701" spans="1:4" hidden="1" x14ac:dyDescent="0.3">
      <c r="A1701">
        <v>1699</v>
      </c>
      <c r="B1701" t="s">
        <v>2005</v>
      </c>
      <c r="C1701" t="s">
        <v>201</v>
      </c>
      <c r="D1701">
        <v>-707.46058418838004</v>
      </c>
    </row>
    <row r="1702" spans="1:4" hidden="1" x14ac:dyDescent="0.3">
      <c r="A1702">
        <v>1700</v>
      </c>
      <c r="B1702" s="1" t="s">
        <v>2006</v>
      </c>
      <c r="C1702" t="s">
        <v>203</v>
      </c>
      <c r="D1702" s="1" t="s">
        <v>2007</v>
      </c>
    </row>
    <row r="1703" spans="1:4" hidden="1" x14ac:dyDescent="0.3">
      <c r="A1703">
        <v>1701</v>
      </c>
      <c r="B1703" t="s">
        <v>2008</v>
      </c>
      <c r="C1703" t="s">
        <v>206</v>
      </c>
      <c r="D1703">
        <v>80009839.7731819</v>
      </c>
    </row>
    <row r="1704" spans="1:4" hidden="1" x14ac:dyDescent="0.3">
      <c r="A1704">
        <v>1702</v>
      </c>
      <c r="B1704" t="s">
        <v>2009</v>
      </c>
      <c r="C1704" t="s">
        <v>208</v>
      </c>
      <c r="D1704">
        <v>40003839.155492097</v>
      </c>
    </row>
    <row r="1705" spans="1:4" hidden="1" x14ac:dyDescent="0.3">
      <c r="A1705">
        <v>1703</v>
      </c>
      <c r="B1705" t="s">
        <v>2010</v>
      </c>
      <c r="C1705" t="s">
        <v>210</v>
      </c>
      <c r="D1705">
        <v>29992196.939078901</v>
      </c>
    </row>
    <row r="1706" spans="1:4" hidden="1" x14ac:dyDescent="0.3">
      <c r="A1706">
        <v>1704</v>
      </c>
      <c r="B1706" s="1" t="s">
        <v>2011</v>
      </c>
      <c r="C1706" t="s">
        <v>212</v>
      </c>
      <c r="D1706" s="1" t="s">
        <v>2012</v>
      </c>
    </row>
    <row r="1707" spans="1:4" hidden="1" x14ac:dyDescent="0.3">
      <c r="A1707">
        <v>1705</v>
      </c>
      <c r="B1707" t="s">
        <v>2013</v>
      </c>
      <c r="C1707" t="s">
        <v>215</v>
      </c>
      <c r="D1707">
        <v>99991373.848074794</v>
      </c>
    </row>
    <row r="1708" spans="1:4" hidden="1" x14ac:dyDescent="0.3">
      <c r="A1708">
        <v>1706</v>
      </c>
      <c r="B1708" t="s">
        <v>2014</v>
      </c>
      <c r="C1708" t="s">
        <v>217</v>
      </c>
      <c r="D1708">
        <v>-1768.32917164266</v>
      </c>
    </row>
    <row r="1709" spans="1:4" hidden="1" x14ac:dyDescent="0.3">
      <c r="A1709">
        <v>1707</v>
      </c>
      <c r="B1709" s="1" t="s">
        <v>2015</v>
      </c>
      <c r="C1709" t="s">
        <v>219</v>
      </c>
      <c r="D1709" s="1" t="s">
        <v>2016</v>
      </c>
    </row>
    <row r="1710" spans="1:4" hidden="1" x14ac:dyDescent="0.3">
      <c r="A1710">
        <v>1708</v>
      </c>
      <c r="B1710" t="s">
        <v>2017</v>
      </c>
      <c r="C1710" t="s">
        <v>112</v>
      </c>
      <c r="D1710">
        <v>452.88220346843002</v>
      </c>
    </row>
    <row r="1711" spans="1:4" hidden="1" x14ac:dyDescent="0.3">
      <c r="A1711">
        <v>1709</v>
      </c>
      <c r="B1711" t="s">
        <v>2018</v>
      </c>
      <c r="C1711" t="s">
        <v>114</v>
      </c>
      <c r="D1711">
        <v>88.231500796233803</v>
      </c>
    </row>
    <row r="1712" spans="1:4" hidden="1" x14ac:dyDescent="0.3">
      <c r="A1712">
        <v>1710</v>
      </c>
      <c r="B1712" s="1" t="s">
        <v>2019</v>
      </c>
      <c r="C1712" t="s">
        <v>116</v>
      </c>
      <c r="D1712" s="1" t="s">
        <v>2020</v>
      </c>
    </row>
    <row r="1713" spans="1:4" hidden="1" x14ac:dyDescent="0.3">
      <c r="A1713">
        <v>1711</v>
      </c>
      <c r="B1713" t="s">
        <v>2021</v>
      </c>
      <c r="C1713" t="s">
        <v>119</v>
      </c>
      <c r="D1713">
        <v>80009839.7731819</v>
      </c>
    </row>
    <row r="1714" spans="1:4" hidden="1" x14ac:dyDescent="0.3">
      <c r="A1714">
        <v>1712</v>
      </c>
      <c r="B1714" t="s">
        <v>2022</v>
      </c>
      <c r="C1714" t="s">
        <v>121</v>
      </c>
      <c r="D1714">
        <v>40003839.155492097</v>
      </c>
    </row>
    <row r="1715" spans="1:4" hidden="1" x14ac:dyDescent="0.3">
      <c r="A1715">
        <v>1713</v>
      </c>
      <c r="B1715" s="1" t="s">
        <v>2023</v>
      </c>
      <c r="C1715" t="s">
        <v>123</v>
      </c>
      <c r="D1715" s="1" t="s">
        <v>2024</v>
      </c>
    </row>
    <row r="1716" spans="1:4" hidden="1" x14ac:dyDescent="0.3">
      <c r="A1716">
        <v>1714</v>
      </c>
      <c r="B1716" t="s">
        <v>2025</v>
      </c>
      <c r="C1716" t="s">
        <v>126</v>
      </c>
      <c r="D1716">
        <v>0.80003576119816</v>
      </c>
    </row>
    <row r="1717" spans="1:4" hidden="1" x14ac:dyDescent="0.3">
      <c r="A1717">
        <v>1715</v>
      </c>
      <c r="B1717" t="s">
        <v>2026</v>
      </c>
      <c r="C1717" t="s">
        <v>128</v>
      </c>
      <c r="D1717">
        <v>0.40000707413415298</v>
      </c>
    </row>
    <row r="1718" spans="1:4" hidden="1" x14ac:dyDescent="0.3">
      <c r="A1718">
        <v>1716</v>
      </c>
      <c r="B1718" s="1" t="s">
        <v>2027</v>
      </c>
      <c r="C1718" t="s">
        <v>130</v>
      </c>
      <c r="D1718" s="1" t="s">
        <v>2028</v>
      </c>
    </row>
    <row r="1719" spans="1:4" ht="72" x14ac:dyDescent="0.3">
      <c r="A1719">
        <v>1717</v>
      </c>
      <c r="B1719" s="1" t="s">
        <v>3</v>
      </c>
      <c r="C1719" t="s">
        <v>4</v>
      </c>
      <c r="D1719" t="s">
        <v>5</v>
      </c>
    </row>
    <row r="1720" spans="1:4" hidden="1" x14ac:dyDescent="0.3">
      <c r="A1720">
        <v>1718</v>
      </c>
      <c r="B1720" t="s">
        <v>6</v>
      </c>
      <c r="C1720" t="s">
        <v>7</v>
      </c>
      <c r="D1720">
        <v>1305.25</v>
      </c>
    </row>
    <row r="1721" spans="1:4" hidden="1" x14ac:dyDescent="0.3">
      <c r="A1721">
        <v>1719</v>
      </c>
      <c r="B1721" s="1" t="s">
        <v>132</v>
      </c>
      <c r="C1721" t="s">
        <v>9</v>
      </c>
      <c r="D1721" s="1" t="s">
        <v>133</v>
      </c>
    </row>
    <row r="1722" spans="1:4" hidden="1" x14ac:dyDescent="0.3">
      <c r="A1722">
        <v>1720</v>
      </c>
      <c r="B1722" t="s">
        <v>13</v>
      </c>
      <c r="C1722" t="s">
        <v>14</v>
      </c>
      <c r="D1722">
        <v>98.4296875</v>
      </c>
    </row>
    <row r="1723" spans="1:4" hidden="1" x14ac:dyDescent="0.3">
      <c r="A1723">
        <v>1721</v>
      </c>
      <c r="B1723" t="s">
        <v>15</v>
      </c>
      <c r="C1723" t="s">
        <v>16</v>
      </c>
      <c r="D1723">
        <v>4.2819487927479898</v>
      </c>
    </row>
    <row r="1724" spans="1:4" hidden="1" x14ac:dyDescent="0.3">
      <c r="A1724">
        <v>1722</v>
      </c>
      <c r="B1724" s="1" t="s">
        <v>134</v>
      </c>
      <c r="C1724" t="s">
        <v>135</v>
      </c>
      <c r="D1724" s="1" t="s">
        <v>136</v>
      </c>
    </row>
    <row r="1725" spans="1:4" hidden="1" x14ac:dyDescent="0.3">
      <c r="A1725">
        <v>1723</v>
      </c>
      <c r="B1725" t="s">
        <v>21</v>
      </c>
      <c r="C1725" t="s">
        <v>22</v>
      </c>
      <c r="D1725">
        <v>83.1</v>
      </c>
    </row>
    <row r="1726" spans="1:4" hidden="1" x14ac:dyDescent="0.3">
      <c r="A1726">
        <v>1724</v>
      </c>
      <c r="B1726" t="s">
        <v>2029</v>
      </c>
      <c r="C1726" t="s">
        <v>24</v>
      </c>
      <c r="D1726">
        <v>4.1000799802715999</v>
      </c>
    </row>
    <row r="1727" spans="1:4" hidden="1" x14ac:dyDescent="0.3">
      <c r="A1727">
        <v>1725</v>
      </c>
      <c r="B1727" s="1" t="s">
        <v>2030</v>
      </c>
      <c r="C1727" t="s">
        <v>139</v>
      </c>
      <c r="D1727" s="1" t="s">
        <v>2031</v>
      </c>
    </row>
    <row r="1728" spans="1:4" hidden="1" x14ac:dyDescent="0.3">
      <c r="A1728">
        <v>1726</v>
      </c>
      <c r="B1728" t="s">
        <v>2032</v>
      </c>
      <c r="C1728" t="s">
        <v>35</v>
      </c>
      <c r="D1728">
        <v>-0.50429497349483499</v>
      </c>
    </row>
    <row r="1729" spans="1:4" hidden="1" x14ac:dyDescent="0.3">
      <c r="A1729">
        <v>1727</v>
      </c>
      <c r="B1729" t="s">
        <v>2033</v>
      </c>
      <c r="C1729" t="s">
        <v>143</v>
      </c>
      <c r="D1729">
        <v>0.73033100327628997</v>
      </c>
    </row>
    <row r="1730" spans="1:4" hidden="1" x14ac:dyDescent="0.3">
      <c r="A1730">
        <v>1728</v>
      </c>
      <c r="B1730" s="1" t="s">
        <v>2034</v>
      </c>
      <c r="C1730" t="s">
        <v>145</v>
      </c>
      <c r="D1730" s="1" t="s">
        <v>2035</v>
      </c>
    </row>
    <row r="1731" spans="1:4" hidden="1" x14ac:dyDescent="0.3">
      <c r="A1731">
        <v>1729</v>
      </c>
      <c r="B1731" t="s">
        <v>2036</v>
      </c>
      <c r="C1731" t="s">
        <v>30</v>
      </c>
      <c r="D1731">
        <v>0.73750431574784503</v>
      </c>
    </row>
    <row r="1732" spans="1:4" hidden="1" x14ac:dyDescent="0.3">
      <c r="A1732">
        <v>1730</v>
      </c>
      <c r="B1732" t="s">
        <v>2037</v>
      </c>
      <c r="C1732" t="s">
        <v>32</v>
      </c>
      <c r="D1732">
        <v>0.158647574589447</v>
      </c>
    </row>
    <row r="1733" spans="1:4" hidden="1" x14ac:dyDescent="0.3">
      <c r="A1733">
        <v>1731</v>
      </c>
      <c r="B1733" s="1" t="s">
        <v>2038</v>
      </c>
      <c r="C1733" t="s">
        <v>149</v>
      </c>
      <c r="D1733" s="1" t="s">
        <v>2039</v>
      </c>
    </row>
    <row r="1734" spans="1:4" hidden="1" x14ac:dyDescent="0.3">
      <c r="A1734">
        <v>1732</v>
      </c>
      <c r="B1734" t="s">
        <v>2040</v>
      </c>
      <c r="C1734" t="s">
        <v>40</v>
      </c>
      <c r="D1734">
        <v>0.76679065774698996</v>
      </c>
    </row>
    <row r="1735" spans="1:4" hidden="1" x14ac:dyDescent="0.3">
      <c r="A1735">
        <v>1733</v>
      </c>
      <c r="B1735" t="s">
        <v>2041</v>
      </c>
      <c r="C1735" t="s">
        <v>42</v>
      </c>
      <c r="D1735">
        <v>0.210594584806722</v>
      </c>
    </row>
    <row r="1736" spans="1:4" hidden="1" x14ac:dyDescent="0.3">
      <c r="A1736">
        <v>1734</v>
      </c>
      <c r="B1736" s="1" t="s">
        <v>2042</v>
      </c>
      <c r="C1736" t="s">
        <v>153</v>
      </c>
      <c r="D1736" s="1" t="s">
        <v>2043</v>
      </c>
    </row>
    <row r="1737" spans="1:4" hidden="1" x14ac:dyDescent="0.3">
      <c r="A1737">
        <v>1735</v>
      </c>
      <c r="B1737" t="s">
        <v>154</v>
      </c>
      <c r="C1737" t="s">
        <v>155</v>
      </c>
      <c r="D1737">
        <v>1</v>
      </c>
    </row>
    <row r="1738" spans="1:4" hidden="1" x14ac:dyDescent="0.3">
      <c r="A1738">
        <v>1736</v>
      </c>
      <c r="B1738" t="s">
        <v>156</v>
      </c>
      <c r="C1738" t="s">
        <v>157</v>
      </c>
      <c r="D1738">
        <v>1</v>
      </c>
    </row>
    <row r="1739" spans="1:4" hidden="1" x14ac:dyDescent="0.3">
      <c r="A1739">
        <v>1737</v>
      </c>
      <c r="B1739" s="1" t="s">
        <v>2044</v>
      </c>
      <c r="C1739" t="s">
        <v>159</v>
      </c>
      <c r="D1739" s="1" t="s">
        <v>2045</v>
      </c>
    </row>
    <row r="1740" spans="1:4" hidden="1" x14ac:dyDescent="0.3">
      <c r="A1740">
        <v>1738</v>
      </c>
      <c r="B1740" t="s">
        <v>2046</v>
      </c>
      <c r="C1740" t="s">
        <v>162</v>
      </c>
      <c r="D1740">
        <v>0.99940319410580902</v>
      </c>
    </row>
    <row r="1741" spans="1:4" hidden="1" x14ac:dyDescent="0.3">
      <c r="A1741">
        <v>1739</v>
      </c>
      <c r="B1741" t="s">
        <v>2047</v>
      </c>
      <c r="C1741" t="s">
        <v>164</v>
      </c>
      <c r="D1741">
        <v>1.0008416152538699</v>
      </c>
    </row>
    <row r="1742" spans="1:4" hidden="1" x14ac:dyDescent="0.3">
      <c r="A1742">
        <v>1740</v>
      </c>
      <c r="B1742" s="1" t="s">
        <v>2048</v>
      </c>
      <c r="C1742" t="s">
        <v>166</v>
      </c>
      <c r="D1742" s="1" t="s">
        <v>2049</v>
      </c>
    </row>
    <row r="1743" spans="1:4" hidden="1" x14ac:dyDescent="0.3">
      <c r="A1743">
        <v>1741</v>
      </c>
      <c r="B1743" s="1" t="s">
        <v>2050</v>
      </c>
      <c r="C1743" t="s">
        <v>55</v>
      </c>
      <c r="D1743" s="1" t="s">
        <v>2051</v>
      </c>
    </row>
    <row r="1744" spans="1:4" hidden="1" x14ac:dyDescent="0.3">
      <c r="A1744">
        <v>1742</v>
      </c>
      <c r="B1744" s="1" t="s">
        <v>2052</v>
      </c>
      <c r="C1744" t="s">
        <v>52</v>
      </c>
      <c r="D1744" s="1" t="s">
        <v>2053</v>
      </c>
    </row>
    <row r="1745" spans="1:4" hidden="1" x14ac:dyDescent="0.3">
      <c r="A1745">
        <v>1743</v>
      </c>
      <c r="B1745" s="1" t="s">
        <v>2054</v>
      </c>
      <c r="C1745" t="s">
        <v>58</v>
      </c>
      <c r="D1745" s="1" t="s">
        <v>2055</v>
      </c>
    </row>
    <row r="1746" spans="1:4" hidden="1" x14ac:dyDescent="0.3">
      <c r="A1746">
        <v>1744</v>
      </c>
      <c r="B1746" t="s">
        <v>2056</v>
      </c>
      <c r="C1746" t="s">
        <v>61</v>
      </c>
      <c r="D1746">
        <v>150000464.26495901</v>
      </c>
    </row>
    <row r="1747" spans="1:4" hidden="1" x14ac:dyDescent="0.3">
      <c r="A1747">
        <v>1745</v>
      </c>
      <c r="B1747" t="s">
        <v>2057</v>
      </c>
      <c r="C1747" t="s">
        <v>63</v>
      </c>
      <c r="D1747">
        <v>80009839.7731819</v>
      </c>
    </row>
    <row r="1748" spans="1:4" hidden="1" x14ac:dyDescent="0.3">
      <c r="A1748">
        <v>1746</v>
      </c>
      <c r="B1748" t="s">
        <v>2058</v>
      </c>
      <c r="C1748" t="s">
        <v>65</v>
      </c>
      <c r="D1748">
        <v>40003839.155492097</v>
      </c>
    </row>
    <row r="1749" spans="1:4" hidden="1" x14ac:dyDescent="0.3">
      <c r="A1749">
        <v>1747</v>
      </c>
      <c r="B1749" s="1" t="s">
        <v>2059</v>
      </c>
      <c r="C1749" t="s">
        <v>67</v>
      </c>
      <c r="D1749" s="1" t="s">
        <v>2060</v>
      </c>
    </row>
    <row r="1750" spans="1:4" hidden="1" x14ac:dyDescent="0.3">
      <c r="A1750">
        <v>1748</v>
      </c>
      <c r="B1750" s="1" t="s">
        <v>2061</v>
      </c>
      <c r="C1750" t="s">
        <v>70</v>
      </c>
      <c r="D1750" s="1" t="s">
        <v>2062</v>
      </c>
    </row>
    <row r="1751" spans="1:4" hidden="1" x14ac:dyDescent="0.3">
      <c r="A1751">
        <v>1749</v>
      </c>
      <c r="B1751" t="s">
        <v>2063</v>
      </c>
      <c r="C1751" t="s">
        <v>73</v>
      </c>
      <c r="D1751">
        <v>1.00016456788242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2064</v>
      </c>
      <c r="C1755" t="s">
        <v>81</v>
      </c>
      <c r="D1755" s="1" t="s">
        <v>2065</v>
      </c>
    </row>
    <row r="1756" spans="1:4" hidden="1" x14ac:dyDescent="0.3">
      <c r="A1756">
        <v>1754</v>
      </c>
      <c r="B1756" t="s">
        <v>2066</v>
      </c>
      <c r="C1756" t="s">
        <v>84</v>
      </c>
      <c r="D1756">
        <v>1.0001602372609699</v>
      </c>
    </row>
    <row r="1757" spans="1:4" hidden="1" x14ac:dyDescent="0.3">
      <c r="A1757">
        <v>1755</v>
      </c>
      <c r="B1757" s="1" t="s">
        <v>2067</v>
      </c>
      <c r="C1757" t="s">
        <v>86</v>
      </c>
      <c r="D1757" s="1" t="s">
        <v>2068</v>
      </c>
    </row>
    <row r="1758" spans="1:4" hidden="1" x14ac:dyDescent="0.3">
      <c r="A1758">
        <v>1756</v>
      </c>
      <c r="B1758" t="s">
        <v>2069</v>
      </c>
      <c r="C1758" t="s">
        <v>89</v>
      </c>
      <c r="D1758">
        <v>99990038.466659397</v>
      </c>
    </row>
    <row r="1759" spans="1:4" hidden="1" x14ac:dyDescent="0.3">
      <c r="A1759">
        <v>1757</v>
      </c>
      <c r="B1759" s="1" t="s">
        <v>2070</v>
      </c>
      <c r="C1759" t="s">
        <v>91</v>
      </c>
      <c r="D1759" s="1" t="s">
        <v>2016</v>
      </c>
    </row>
    <row r="1760" spans="1:4" hidden="1" x14ac:dyDescent="0.3">
      <c r="A1760">
        <v>1758</v>
      </c>
      <c r="B1760" t="s">
        <v>2071</v>
      </c>
      <c r="C1760" t="s">
        <v>94</v>
      </c>
      <c r="D1760">
        <v>80009839.7731819</v>
      </c>
    </row>
    <row r="1761" spans="1:4" hidden="1" x14ac:dyDescent="0.3">
      <c r="A1761">
        <v>1759</v>
      </c>
      <c r="B1761" t="s">
        <v>2072</v>
      </c>
      <c r="C1761" t="s">
        <v>96</v>
      </c>
      <c r="D1761">
        <v>40003839.155492097</v>
      </c>
    </row>
    <row r="1762" spans="1:4" hidden="1" x14ac:dyDescent="0.3">
      <c r="A1762">
        <v>1760</v>
      </c>
      <c r="B1762" t="s">
        <v>2073</v>
      </c>
      <c r="C1762" t="s">
        <v>98</v>
      </c>
      <c r="D1762">
        <v>29986785.336285401</v>
      </c>
    </row>
    <row r="1763" spans="1:4" hidden="1" x14ac:dyDescent="0.3">
      <c r="A1763">
        <v>1761</v>
      </c>
      <c r="B1763" s="1" t="s">
        <v>2074</v>
      </c>
      <c r="C1763" t="s">
        <v>100</v>
      </c>
      <c r="D1763" s="1" t="s">
        <v>2075</v>
      </c>
    </row>
    <row r="1764" spans="1:4" hidden="1" x14ac:dyDescent="0.3">
      <c r="A1764">
        <v>1762</v>
      </c>
      <c r="B1764" t="s">
        <v>2076</v>
      </c>
      <c r="C1764" t="s">
        <v>103</v>
      </c>
      <c r="D1764">
        <v>6.0417152315394296E-3</v>
      </c>
    </row>
    <row r="1765" spans="1:4" hidden="1" x14ac:dyDescent="0.3">
      <c r="A1765">
        <v>1763</v>
      </c>
      <c r="B1765" t="s">
        <v>2077</v>
      </c>
      <c r="C1765" t="s">
        <v>105</v>
      </c>
      <c r="D1765">
        <v>6.99224226102537E-4</v>
      </c>
    </row>
    <row r="1766" spans="1:4" hidden="1" x14ac:dyDescent="0.3">
      <c r="A1766">
        <v>1764</v>
      </c>
      <c r="B1766" t="s">
        <v>2078</v>
      </c>
      <c r="C1766" t="s">
        <v>107</v>
      </c>
      <c r="D1766">
        <v>1.52075708444709E-2</v>
      </c>
    </row>
    <row r="1767" spans="1:4" hidden="1" x14ac:dyDescent="0.3">
      <c r="A1767">
        <v>1765</v>
      </c>
      <c r="B1767" s="1" t="s">
        <v>2079</v>
      </c>
      <c r="C1767" t="s">
        <v>109</v>
      </c>
      <c r="D1767" s="1" t="s">
        <v>2080</v>
      </c>
    </row>
    <row r="1768" spans="1:4" hidden="1" x14ac:dyDescent="0.3">
      <c r="A1768">
        <v>1766</v>
      </c>
      <c r="B1768" t="s">
        <v>2081</v>
      </c>
      <c r="C1768" t="s">
        <v>197</v>
      </c>
      <c r="D1768">
        <v>150000314.43296301</v>
      </c>
    </row>
    <row r="1769" spans="1:4" hidden="1" x14ac:dyDescent="0.3">
      <c r="A1769">
        <v>1767</v>
      </c>
      <c r="B1769" t="s">
        <v>2082</v>
      </c>
      <c r="C1769" t="s">
        <v>199</v>
      </c>
      <c r="D1769">
        <v>346.43481627745098</v>
      </c>
    </row>
    <row r="1770" spans="1:4" hidden="1" x14ac:dyDescent="0.3">
      <c r="A1770">
        <v>1768</v>
      </c>
      <c r="B1770" t="s">
        <v>2083</v>
      </c>
      <c r="C1770" t="s">
        <v>201</v>
      </c>
      <c r="D1770">
        <v>173.21288098032801</v>
      </c>
    </row>
    <row r="1771" spans="1:4" hidden="1" x14ac:dyDescent="0.3">
      <c r="A1771">
        <v>1769</v>
      </c>
      <c r="B1771" s="1" t="s">
        <v>2084</v>
      </c>
      <c r="C1771" t="s">
        <v>203</v>
      </c>
      <c r="D1771" s="1" t="s">
        <v>2085</v>
      </c>
    </row>
    <row r="1772" spans="1:4" hidden="1" x14ac:dyDescent="0.3">
      <c r="A1772">
        <v>1770</v>
      </c>
      <c r="B1772" t="s">
        <v>2086</v>
      </c>
      <c r="C1772" t="s">
        <v>206</v>
      </c>
      <c r="D1772">
        <v>80009377.852785498</v>
      </c>
    </row>
    <row r="1773" spans="1:4" hidden="1" x14ac:dyDescent="0.3">
      <c r="A1773">
        <v>1771</v>
      </c>
      <c r="B1773" t="s">
        <v>2087</v>
      </c>
      <c r="C1773" t="s">
        <v>208</v>
      </c>
      <c r="D1773">
        <v>40003643.375802003</v>
      </c>
    </row>
    <row r="1774" spans="1:4" hidden="1" x14ac:dyDescent="0.3">
      <c r="A1774">
        <v>1772</v>
      </c>
      <c r="B1774" t="s">
        <v>2088</v>
      </c>
      <c r="C1774" t="s">
        <v>210</v>
      </c>
      <c r="D1774">
        <v>29986643.716680899</v>
      </c>
    </row>
    <row r="1775" spans="1:4" hidden="1" x14ac:dyDescent="0.3">
      <c r="A1775">
        <v>1773</v>
      </c>
      <c r="B1775" s="1" t="s">
        <v>2089</v>
      </c>
      <c r="C1775" t="s">
        <v>212</v>
      </c>
      <c r="D1775" s="1" t="s">
        <v>2090</v>
      </c>
    </row>
    <row r="1776" spans="1:4" hidden="1" x14ac:dyDescent="0.3">
      <c r="A1776">
        <v>1774</v>
      </c>
      <c r="B1776" t="s">
        <v>2091</v>
      </c>
      <c r="C1776" t="s">
        <v>215</v>
      </c>
      <c r="D1776">
        <v>99989605.518903196</v>
      </c>
    </row>
    <row r="1777" spans="1:4" hidden="1" x14ac:dyDescent="0.3">
      <c r="A1777">
        <v>1775</v>
      </c>
      <c r="B1777" t="s">
        <v>2092</v>
      </c>
      <c r="C1777" t="s">
        <v>217</v>
      </c>
      <c r="D1777">
        <v>432.94775621592999</v>
      </c>
    </row>
    <row r="1778" spans="1:4" hidden="1" x14ac:dyDescent="0.3">
      <c r="A1778">
        <v>1776</v>
      </c>
      <c r="B1778" s="1" t="s">
        <v>2093</v>
      </c>
      <c r="C1778" t="s">
        <v>219</v>
      </c>
      <c r="D1778" s="1" t="s">
        <v>2094</v>
      </c>
    </row>
    <row r="1779" spans="1:4" hidden="1" x14ac:dyDescent="0.3">
      <c r="A1779">
        <v>1777</v>
      </c>
      <c r="B1779" t="s">
        <v>2095</v>
      </c>
      <c r="C1779" t="s">
        <v>112</v>
      </c>
      <c r="D1779">
        <v>-115.485580060416</v>
      </c>
    </row>
    <row r="1780" spans="1:4" hidden="1" x14ac:dyDescent="0.3">
      <c r="A1780">
        <v>1778</v>
      </c>
      <c r="B1780" t="s">
        <v>2096</v>
      </c>
      <c r="C1780" t="s">
        <v>114</v>
      </c>
      <c r="D1780">
        <v>-22.566809180676199</v>
      </c>
    </row>
    <row r="1781" spans="1:4" hidden="1" x14ac:dyDescent="0.3">
      <c r="A1781">
        <v>1779</v>
      </c>
      <c r="B1781" s="1" t="s">
        <v>2097</v>
      </c>
      <c r="C1781" t="s">
        <v>116</v>
      </c>
      <c r="D1781" s="1" t="s">
        <v>2098</v>
      </c>
    </row>
    <row r="1782" spans="1:4" hidden="1" x14ac:dyDescent="0.3">
      <c r="A1782">
        <v>1780</v>
      </c>
      <c r="B1782" t="s">
        <v>2099</v>
      </c>
      <c r="C1782" t="s">
        <v>119</v>
      </c>
      <c r="D1782">
        <v>80009377.852785498</v>
      </c>
    </row>
    <row r="1783" spans="1:4" hidden="1" x14ac:dyDescent="0.3">
      <c r="A1783">
        <v>1781</v>
      </c>
      <c r="B1783" t="s">
        <v>2100</v>
      </c>
      <c r="C1783" t="s">
        <v>121</v>
      </c>
      <c r="D1783">
        <v>40003643.375802003</v>
      </c>
    </row>
    <row r="1784" spans="1:4" hidden="1" x14ac:dyDescent="0.3">
      <c r="A1784">
        <v>1782</v>
      </c>
      <c r="B1784" s="1" t="s">
        <v>2101</v>
      </c>
      <c r="C1784" t="s">
        <v>123</v>
      </c>
      <c r="D1784" s="1" t="s">
        <v>2102</v>
      </c>
    </row>
    <row r="1785" spans="1:4" hidden="1" x14ac:dyDescent="0.3">
      <c r="A1785">
        <v>1783</v>
      </c>
      <c r="B1785" t="s">
        <v>2103</v>
      </c>
      <c r="C1785" t="s">
        <v>126</v>
      </c>
      <c r="D1785">
        <v>0.80004875514878304</v>
      </c>
    </row>
    <row r="1786" spans="1:4" hidden="1" x14ac:dyDescent="0.3">
      <c r="A1786">
        <v>1784</v>
      </c>
      <c r="B1786" t="s">
        <v>2104</v>
      </c>
      <c r="C1786" t="s">
        <v>128</v>
      </c>
      <c r="D1786">
        <v>0.40001392265684199</v>
      </c>
    </row>
    <row r="1787" spans="1:4" hidden="1" x14ac:dyDescent="0.3">
      <c r="A1787">
        <v>1785</v>
      </c>
      <c r="B1787" s="1" t="s">
        <v>2105</v>
      </c>
      <c r="C1787" t="s">
        <v>130</v>
      </c>
      <c r="D1787" s="1" t="s">
        <v>2106</v>
      </c>
    </row>
    <row r="1788" spans="1:4" ht="72" x14ac:dyDescent="0.3">
      <c r="A1788">
        <v>1786</v>
      </c>
      <c r="B1788" s="1" t="s">
        <v>3</v>
      </c>
      <c r="C1788" t="s">
        <v>4</v>
      </c>
      <c r="D1788" t="s">
        <v>5</v>
      </c>
    </row>
    <row r="1789" spans="1:4" hidden="1" x14ac:dyDescent="0.3">
      <c r="A1789">
        <v>1787</v>
      </c>
      <c r="B1789" t="s">
        <v>6</v>
      </c>
      <c r="C1789" t="s">
        <v>7</v>
      </c>
      <c r="D1789">
        <v>1305.25</v>
      </c>
    </row>
    <row r="1790" spans="1:4" hidden="1" x14ac:dyDescent="0.3">
      <c r="A1790">
        <v>1788</v>
      </c>
      <c r="B1790" s="1" t="s">
        <v>132</v>
      </c>
      <c r="C1790" t="s">
        <v>9</v>
      </c>
      <c r="D1790" s="1" t="s">
        <v>133</v>
      </c>
    </row>
    <row r="1791" spans="1:4" hidden="1" x14ac:dyDescent="0.3">
      <c r="A1791">
        <v>1789</v>
      </c>
      <c r="B1791" t="s">
        <v>13</v>
      </c>
      <c r="C1791" t="s">
        <v>14</v>
      </c>
      <c r="D1791">
        <v>98.4296875</v>
      </c>
    </row>
    <row r="1792" spans="1:4" hidden="1" x14ac:dyDescent="0.3">
      <c r="A1792">
        <v>1790</v>
      </c>
      <c r="B1792" t="s">
        <v>15</v>
      </c>
      <c r="C1792" t="s">
        <v>16</v>
      </c>
      <c r="D1792">
        <v>4.2819487927479898</v>
      </c>
    </row>
    <row r="1793" spans="1:4" hidden="1" x14ac:dyDescent="0.3">
      <c r="A1793">
        <v>1791</v>
      </c>
      <c r="B1793" s="1" t="s">
        <v>134</v>
      </c>
      <c r="C1793" t="s">
        <v>135</v>
      </c>
      <c r="D1793" s="1" t="s">
        <v>136</v>
      </c>
    </row>
    <row r="1794" spans="1:4" hidden="1" x14ac:dyDescent="0.3">
      <c r="A1794">
        <v>1792</v>
      </c>
      <c r="B1794" t="s">
        <v>21</v>
      </c>
      <c r="C1794" t="s">
        <v>22</v>
      </c>
      <c r="D1794">
        <v>83.1</v>
      </c>
    </row>
    <row r="1795" spans="1:4" hidden="1" x14ac:dyDescent="0.3">
      <c r="A1795">
        <v>1793</v>
      </c>
      <c r="B1795" t="s">
        <v>2107</v>
      </c>
      <c r="C1795" t="s">
        <v>24</v>
      </c>
      <c r="D1795">
        <v>4.1748749678434702</v>
      </c>
    </row>
    <row r="1796" spans="1:4" hidden="1" x14ac:dyDescent="0.3">
      <c r="A1796">
        <v>1794</v>
      </c>
      <c r="B1796" s="1" t="s">
        <v>2108</v>
      </c>
      <c r="C1796" t="s">
        <v>139</v>
      </c>
      <c r="D1796" s="1" t="s">
        <v>2109</v>
      </c>
    </row>
    <row r="1797" spans="1:4" hidden="1" x14ac:dyDescent="0.3">
      <c r="A1797">
        <v>1795</v>
      </c>
      <c r="B1797" t="s">
        <v>2110</v>
      </c>
      <c r="C1797" t="s">
        <v>35</v>
      </c>
      <c r="D1797">
        <v>-0.49615838908488502</v>
      </c>
    </row>
    <row r="1798" spans="1:4" hidden="1" x14ac:dyDescent="0.3">
      <c r="A1798">
        <v>1796</v>
      </c>
      <c r="B1798" t="s">
        <v>2111</v>
      </c>
      <c r="C1798" t="s">
        <v>143</v>
      </c>
      <c r="D1798">
        <v>0.72860776427741603</v>
      </c>
    </row>
    <row r="1799" spans="1:4" hidden="1" x14ac:dyDescent="0.3">
      <c r="A1799">
        <v>1797</v>
      </c>
      <c r="B1799" s="1" t="s">
        <v>2112</v>
      </c>
      <c r="C1799" t="s">
        <v>145</v>
      </c>
      <c r="D1799" s="1" t="s">
        <v>2113</v>
      </c>
    </row>
    <row r="1800" spans="1:4" hidden="1" x14ac:dyDescent="0.3">
      <c r="A1800">
        <v>1798</v>
      </c>
      <c r="B1800" t="s">
        <v>2114</v>
      </c>
      <c r="C1800" t="s">
        <v>30</v>
      </c>
      <c r="D1800">
        <v>0.72560499802076395</v>
      </c>
    </row>
    <row r="1801" spans="1:4" hidden="1" x14ac:dyDescent="0.3">
      <c r="A1801">
        <v>1799</v>
      </c>
      <c r="B1801" t="s">
        <v>2115</v>
      </c>
      <c r="C1801" t="s">
        <v>32</v>
      </c>
      <c r="D1801">
        <v>0.16085462315416901</v>
      </c>
    </row>
    <row r="1802" spans="1:4" hidden="1" x14ac:dyDescent="0.3">
      <c r="A1802">
        <v>1800</v>
      </c>
      <c r="B1802" s="1" t="s">
        <v>2116</v>
      </c>
      <c r="C1802" t="s">
        <v>149</v>
      </c>
      <c r="D1802" s="1" t="s">
        <v>2117</v>
      </c>
    </row>
    <row r="1803" spans="1:4" hidden="1" x14ac:dyDescent="0.3">
      <c r="A1803">
        <v>1801</v>
      </c>
      <c r="B1803" t="s">
        <v>2118</v>
      </c>
      <c r="C1803" t="s">
        <v>40</v>
      </c>
      <c r="D1803">
        <v>0.77055339106412102</v>
      </c>
    </row>
    <row r="1804" spans="1:4" hidden="1" x14ac:dyDescent="0.3">
      <c r="A1804">
        <v>1802</v>
      </c>
      <c r="B1804" t="s">
        <v>2119</v>
      </c>
      <c r="C1804" t="s">
        <v>42</v>
      </c>
      <c r="D1804">
        <v>0.211625947364772</v>
      </c>
    </row>
    <row r="1805" spans="1:4" hidden="1" x14ac:dyDescent="0.3">
      <c r="A1805">
        <v>1803</v>
      </c>
      <c r="B1805" s="1" t="s">
        <v>2120</v>
      </c>
      <c r="C1805" t="s">
        <v>153</v>
      </c>
      <c r="D1805" s="1" t="s">
        <v>2121</v>
      </c>
    </row>
    <row r="1806" spans="1:4" hidden="1" x14ac:dyDescent="0.3">
      <c r="A1806">
        <v>1804</v>
      </c>
      <c r="B1806" t="s">
        <v>154</v>
      </c>
      <c r="C1806" t="s">
        <v>155</v>
      </c>
      <c r="D1806">
        <v>1</v>
      </c>
    </row>
    <row r="1807" spans="1:4" hidden="1" x14ac:dyDescent="0.3">
      <c r="A1807">
        <v>1805</v>
      </c>
      <c r="B1807" t="s">
        <v>156</v>
      </c>
      <c r="C1807" t="s">
        <v>157</v>
      </c>
      <c r="D1807">
        <v>1</v>
      </c>
    </row>
    <row r="1808" spans="1:4" hidden="1" x14ac:dyDescent="0.3">
      <c r="A1808">
        <v>1806</v>
      </c>
      <c r="B1808" s="1" t="s">
        <v>2122</v>
      </c>
      <c r="C1808" t="s">
        <v>159</v>
      </c>
      <c r="D1808" s="1" t="s">
        <v>2123</v>
      </c>
    </row>
    <row r="1809" spans="1:4" hidden="1" x14ac:dyDescent="0.3">
      <c r="A1809">
        <v>1807</v>
      </c>
      <c r="B1809" t="s">
        <v>2124</v>
      </c>
      <c r="C1809" t="s">
        <v>162</v>
      </c>
      <c r="D1809">
        <v>0.99900409864031103</v>
      </c>
    </row>
    <row r="1810" spans="1:4" hidden="1" x14ac:dyDescent="0.3">
      <c r="A1810">
        <v>1808</v>
      </c>
      <c r="B1810" t="s">
        <v>2125</v>
      </c>
      <c r="C1810" t="s">
        <v>164</v>
      </c>
      <c r="D1810">
        <v>1.00190484890585</v>
      </c>
    </row>
    <row r="1811" spans="1:4" hidden="1" x14ac:dyDescent="0.3">
      <c r="A1811">
        <v>1809</v>
      </c>
      <c r="B1811" s="1" t="s">
        <v>2126</v>
      </c>
      <c r="C1811" t="s">
        <v>166</v>
      </c>
      <c r="D1811" s="1" t="s">
        <v>2127</v>
      </c>
    </row>
    <row r="1812" spans="1:4" hidden="1" x14ac:dyDescent="0.3">
      <c r="A1812">
        <v>1810</v>
      </c>
      <c r="B1812" s="1" t="s">
        <v>2128</v>
      </c>
      <c r="C1812" t="s">
        <v>55</v>
      </c>
      <c r="D1812" s="1" t="s">
        <v>2129</v>
      </c>
    </row>
    <row r="1813" spans="1:4" hidden="1" x14ac:dyDescent="0.3">
      <c r="A1813">
        <v>1811</v>
      </c>
      <c r="B1813" s="1" t="s">
        <v>2130</v>
      </c>
      <c r="C1813" t="s">
        <v>52</v>
      </c>
      <c r="D1813" s="1" t="s">
        <v>2131</v>
      </c>
    </row>
    <row r="1814" spans="1:4" hidden="1" x14ac:dyDescent="0.3">
      <c r="A1814">
        <v>1812</v>
      </c>
      <c r="B1814" s="1" t="s">
        <v>2132</v>
      </c>
      <c r="C1814" t="s">
        <v>58</v>
      </c>
      <c r="D1814" s="1" t="s">
        <v>2133</v>
      </c>
    </row>
    <row r="1815" spans="1:4" hidden="1" x14ac:dyDescent="0.3">
      <c r="A1815">
        <v>1813</v>
      </c>
      <c r="B1815" t="s">
        <v>2134</v>
      </c>
      <c r="C1815" t="s">
        <v>61</v>
      </c>
      <c r="D1815">
        <v>150025385.68594399</v>
      </c>
    </row>
    <row r="1816" spans="1:4" hidden="1" x14ac:dyDescent="0.3">
      <c r="A1816">
        <v>1814</v>
      </c>
      <c r="B1816" t="s">
        <v>2135</v>
      </c>
      <c r="C1816" t="s">
        <v>63</v>
      </c>
      <c r="D1816">
        <v>80009377.852785498</v>
      </c>
    </row>
    <row r="1817" spans="1:4" hidden="1" x14ac:dyDescent="0.3">
      <c r="A1817">
        <v>1815</v>
      </c>
      <c r="B1817" t="s">
        <v>2136</v>
      </c>
      <c r="C1817" t="s">
        <v>65</v>
      </c>
      <c r="D1817">
        <v>40003643.375802003</v>
      </c>
    </row>
    <row r="1818" spans="1:4" hidden="1" x14ac:dyDescent="0.3">
      <c r="A1818">
        <v>1816</v>
      </c>
      <c r="B1818" s="1" t="s">
        <v>2137</v>
      </c>
      <c r="C1818" t="s">
        <v>67</v>
      </c>
      <c r="D1818" s="1" t="s">
        <v>2138</v>
      </c>
    </row>
    <row r="1819" spans="1:4" hidden="1" x14ac:dyDescent="0.3">
      <c r="A1819">
        <v>1817</v>
      </c>
      <c r="B1819" s="1" t="s">
        <v>2139</v>
      </c>
      <c r="C1819" t="s">
        <v>70</v>
      </c>
      <c r="D1819" s="1" t="s">
        <v>2140</v>
      </c>
    </row>
    <row r="1820" spans="1:4" hidden="1" x14ac:dyDescent="0.3">
      <c r="A1820">
        <v>1818</v>
      </c>
      <c r="B1820" t="s">
        <v>2141</v>
      </c>
      <c r="C1820" t="s">
        <v>73</v>
      </c>
      <c r="D1820">
        <v>1.0001602372609699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268</v>
      </c>
      <c r="C1823" t="s">
        <v>79</v>
      </c>
      <c r="D1823" s="2">
        <v>-2.2204460492503101E-16</v>
      </c>
    </row>
    <row r="1824" spans="1:4" hidden="1" x14ac:dyDescent="0.3">
      <c r="A1824">
        <v>1822</v>
      </c>
      <c r="B1824" s="1" t="s">
        <v>2142</v>
      </c>
      <c r="C1824" t="s">
        <v>81</v>
      </c>
      <c r="D1824" s="1" t="s">
        <v>2143</v>
      </c>
    </row>
    <row r="1825" spans="1:4" hidden="1" x14ac:dyDescent="0.3">
      <c r="A1825">
        <v>1823</v>
      </c>
      <c r="B1825" t="s">
        <v>2144</v>
      </c>
      <c r="C1825" t="s">
        <v>84</v>
      </c>
      <c r="D1825">
        <v>1.00017235414809</v>
      </c>
    </row>
    <row r="1826" spans="1:4" hidden="1" x14ac:dyDescent="0.3">
      <c r="A1826">
        <v>1824</v>
      </c>
      <c r="B1826" s="1" t="s">
        <v>2145</v>
      </c>
      <c r="C1826" t="s">
        <v>86</v>
      </c>
      <c r="D1826" s="1" t="s">
        <v>2146</v>
      </c>
    </row>
    <row r="1827" spans="1:4" hidden="1" x14ac:dyDescent="0.3">
      <c r="A1827">
        <v>1825</v>
      </c>
      <c r="B1827" t="s">
        <v>2147</v>
      </c>
      <c r="C1827" t="s">
        <v>89</v>
      </c>
      <c r="D1827">
        <v>99999688.429520905</v>
      </c>
    </row>
    <row r="1828" spans="1:4" hidden="1" x14ac:dyDescent="0.3">
      <c r="A1828">
        <v>1826</v>
      </c>
      <c r="B1828" s="1" t="s">
        <v>2148</v>
      </c>
      <c r="C1828" t="s">
        <v>91</v>
      </c>
      <c r="D1828" s="1" t="s">
        <v>2094</v>
      </c>
    </row>
    <row r="1829" spans="1:4" hidden="1" x14ac:dyDescent="0.3">
      <c r="A1829">
        <v>1827</v>
      </c>
      <c r="B1829" t="s">
        <v>2149</v>
      </c>
      <c r="C1829" t="s">
        <v>94</v>
      </c>
      <c r="D1829">
        <v>80009377.852785498</v>
      </c>
    </row>
    <row r="1830" spans="1:4" hidden="1" x14ac:dyDescent="0.3">
      <c r="A1830">
        <v>1828</v>
      </c>
      <c r="B1830" t="s">
        <v>2150</v>
      </c>
      <c r="C1830" t="s">
        <v>96</v>
      </c>
      <c r="D1830">
        <v>40003643.375802003</v>
      </c>
    </row>
    <row r="1831" spans="1:4" hidden="1" x14ac:dyDescent="0.3">
      <c r="A1831">
        <v>1829</v>
      </c>
      <c r="B1831" t="s">
        <v>2151</v>
      </c>
      <c r="C1831" t="s">
        <v>98</v>
      </c>
      <c r="D1831">
        <v>30012364.457357001</v>
      </c>
    </row>
    <row r="1832" spans="1:4" hidden="1" x14ac:dyDescent="0.3">
      <c r="A1832">
        <v>1830</v>
      </c>
      <c r="B1832" s="1" t="s">
        <v>2152</v>
      </c>
      <c r="C1832" t="s">
        <v>100</v>
      </c>
      <c r="D1832" s="1" t="s">
        <v>2153</v>
      </c>
    </row>
    <row r="1833" spans="1:4" hidden="1" x14ac:dyDescent="0.3">
      <c r="A1833">
        <v>1831</v>
      </c>
      <c r="B1833" t="s">
        <v>2154</v>
      </c>
      <c r="C1833" t="s">
        <v>103</v>
      </c>
      <c r="D1833">
        <v>5.9798144406134797E-3</v>
      </c>
    </row>
    <row r="1834" spans="1:4" hidden="1" x14ac:dyDescent="0.3">
      <c r="A1834">
        <v>1832</v>
      </c>
      <c r="B1834" t="s">
        <v>2155</v>
      </c>
      <c r="C1834" t="s">
        <v>105</v>
      </c>
      <c r="D1834">
        <v>7.0397307034998397E-4</v>
      </c>
    </row>
    <row r="1835" spans="1:4" hidden="1" x14ac:dyDescent="0.3">
      <c r="A1835">
        <v>1833</v>
      </c>
      <c r="B1835" t="s">
        <v>2156</v>
      </c>
      <c r="C1835" t="s">
        <v>107</v>
      </c>
      <c r="D1835">
        <v>1.4770398399999701E-2</v>
      </c>
    </row>
    <row r="1836" spans="1:4" hidden="1" x14ac:dyDescent="0.3">
      <c r="A1836">
        <v>1834</v>
      </c>
      <c r="B1836" s="1" t="s">
        <v>2157</v>
      </c>
      <c r="C1836" t="s">
        <v>109</v>
      </c>
      <c r="D1836" s="1" t="s">
        <v>2158</v>
      </c>
    </row>
    <row r="1837" spans="1:4" hidden="1" x14ac:dyDescent="0.3">
      <c r="A1837">
        <v>1835</v>
      </c>
      <c r="B1837" t="s">
        <v>2159</v>
      </c>
      <c r="C1837" t="s">
        <v>197</v>
      </c>
      <c r="D1837">
        <v>150025804.86609101</v>
      </c>
    </row>
    <row r="1838" spans="1:4" hidden="1" x14ac:dyDescent="0.3">
      <c r="A1838">
        <v>1836</v>
      </c>
      <c r="B1838" t="s">
        <v>2160</v>
      </c>
      <c r="C1838" t="s">
        <v>199</v>
      </c>
      <c r="D1838">
        <v>7720.9304836203301</v>
      </c>
    </row>
    <row r="1839" spans="1:4" hidden="1" x14ac:dyDescent="0.3">
      <c r="A1839">
        <v>1837</v>
      </c>
      <c r="B1839" t="s">
        <v>2161</v>
      </c>
      <c r="C1839" t="s">
        <v>201</v>
      </c>
      <c r="D1839">
        <v>3860.3548427384999</v>
      </c>
    </row>
    <row r="1840" spans="1:4" hidden="1" x14ac:dyDescent="0.3">
      <c r="A1840">
        <v>1838</v>
      </c>
      <c r="B1840" s="1" t="s">
        <v>2162</v>
      </c>
      <c r="C1840" t="s">
        <v>203</v>
      </c>
      <c r="D1840" s="1" t="s">
        <v>2163</v>
      </c>
    </row>
    <row r="1841" spans="1:4" hidden="1" x14ac:dyDescent="0.3">
      <c r="A1841">
        <v>1839</v>
      </c>
      <c r="B1841" t="s">
        <v>2164</v>
      </c>
      <c r="C1841" t="s">
        <v>206</v>
      </c>
      <c r="D1841">
        <v>80001980.021481097</v>
      </c>
    </row>
    <row r="1842" spans="1:4" hidden="1" x14ac:dyDescent="0.3">
      <c r="A1842">
        <v>1840</v>
      </c>
      <c r="B1842" t="s">
        <v>2165</v>
      </c>
      <c r="C1842" t="s">
        <v>208</v>
      </c>
      <c r="D1842">
        <v>39999846.088470504</v>
      </c>
    </row>
    <row r="1843" spans="1:4" hidden="1" x14ac:dyDescent="0.3">
      <c r="A1843">
        <v>1841</v>
      </c>
      <c r="B1843" t="s">
        <v>2166</v>
      </c>
      <c r="C1843" t="s">
        <v>210</v>
      </c>
      <c r="D1843">
        <v>30009501.2765796</v>
      </c>
    </row>
    <row r="1844" spans="1:4" hidden="1" x14ac:dyDescent="0.3">
      <c r="A1844">
        <v>1842</v>
      </c>
      <c r="B1844" s="1" t="s">
        <v>2167</v>
      </c>
      <c r="C1844" t="s">
        <v>212</v>
      </c>
      <c r="D1844" s="1" t="s">
        <v>2168</v>
      </c>
    </row>
    <row r="1845" spans="1:4" hidden="1" x14ac:dyDescent="0.3">
      <c r="A1845">
        <v>1843</v>
      </c>
      <c r="B1845" t="s">
        <v>2169</v>
      </c>
      <c r="C1845" t="s">
        <v>215</v>
      </c>
      <c r="D1845">
        <v>99990038.466659397</v>
      </c>
    </row>
    <row r="1846" spans="1:4" hidden="1" x14ac:dyDescent="0.3">
      <c r="A1846">
        <v>1844</v>
      </c>
      <c r="B1846" t="s">
        <v>2170</v>
      </c>
      <c r="C1846" t="s">
        <v>217</v>
      </c>
      <c r="D1846">
        <v>9649.9628615230304</v>
      </c>
    </row>
    <row r="1847" spans="1:4" hidden="1" x14ac:dyDescent="0.3">
      <c r="A1847">
        <v>1845</v>
      </c>
      <c r="B1847" s="1" t="s">
        <v>2171</v>
      </c>
      <c r="C1847" t="s">
        <v>219</v>
      </c>
      <c r="D1847" s="1" t="s">
        <v>2172</v>
      </c>
    </row>
    <row r="1848" spans="1:4" hidden="1" x14ac:dyDescent="0.3">
      <c r="A1848">
        <v>1846</v>
      </c>
      <c r="B1848" t="s">
        <v>2173</v>
      </c>
      <c r="C1848" t="s">
        <v>112</v>
      </c>
      <c r="D1848">
        <v>323.09917919802399</v>
      </c>
    </row>
    <row r="1849" spans="1:4" hidden="1" x14ac:dyDescent="0.3">
      <c r="A1849">
        <v>1847</v>
      </c>
      <c r="B1849" t="s">
        <v>2174</v>
      </c>
      <c r="C1849" t="s">
        <v>114</v>
      </c>
      <c r="D1849">
        <v>63.067511282543798</v>
      </c>
    </row>
    <row r="1850" spans="1:4" hidden="1" x14ac:dyDescent="0.3">
      <c r="A1850">
        <v>1848</v>
      </c>
      <c r="B1850" s="1" t="s">
        <v>2175</v>
      </c>
      <c r="C1850" t="s">
        <v>116</v>
      </c>
      <c r="D1850" s="1" t="s">
        <v>2176</v>
      </c>
    </row>
    <row r="1851" spans="1:4" hidden="1" x14ac:dyDescent="0.3">
      <c r="A1851">
        <v>1849</v>
      </c>
      <c r="B1851" t="s">
        <v>2177</v>
      </c>
      <c r="C1851" t="s">
        <v>119</v>
      </c>
      <c r="D1851">
        <v>80001980.021481097</v>
      </c>
    </row>
    <row r="1852" spans="1:4" hidden="1" x14ac:dyDescent="0.3">
      <c r="A1852">
        <v>1850</v>
      </c>
      <c r="B1852" t="s">
        <v>2178</v>
      </c>
      <c r="C1852" t="s">
        <v>121</v>
      </c>
      <c r="D1852">
        <v>39999846.088470504</v>
      </c>
    </row>
    <row r="1853" spans="1:4" hidden="1" x14ac:dyDescent="0.3">
      <c r="A1853">
        <v>1851</v>
      </c>
      <c r="B1853" s="1" t="s">
        <v>2179</v>
      </c>
      <c r="C1853" t="s">
        <v>123</v>
      </c>
      <c r="D1853" s="1" t="s">
        <v>2180</v>
      </c>
    </row>
    <row r="1854" spans="1:4" hidden="1" x14ac:dyDescent="0.3">
      <c r="A1854">
        <v>1852</v>
      </c>
      <c r="B1854" t="s">
        <v>2181</v>
      </c>
      <c r="C1854" t="s">
        <v>126</v>
      </c>
      <c r="D1854">
        <v>0.79996162568899698</v>
      </c>
    </row>
    <row r="1855" spans="1:4" hidden="1" x14ac:dyDescent="0.3">
      <c r="A1855">
        <v>1853</v>
      </c>
      <c r="B1855" t="s">
        <v>2182</v>
      </c>
      <c r="C1855" t="s">
        <v>128</v>
      </c>
      <c r="D1855">
        <v>0.39996937445361702</v>
      </c>
    </row>
    <row r="1856" spans="1:4" hidden="1" x14ac:dyDescent="0.3">
      <c r="A1856">
        <v>1854</v>
      </c>
      <c r="B1856" s="1" t="s">
        <v>2183</v>
      </c>
      <c r="C1856" t="s">
        <v>130</v>
      </c>
      <c r="D1856" s="1" t="s">
        <v>2184</v>
      </c>
    </row>
    <row r="1857" spans="1:4" ht="72" x14ac:dyDescent="0.3">
      <c r="A1857">
        <v>1855</v>
      </c>
      <c r="B1857" s="1" t="s">
        <v>3</v>
      </c>
      <c r="C1857" t="s">
        <v>4</v>
      </c>
      <c r="D1857" t="s">
        <v>5</v>
      </c>
    </row>
    <row r="1858" spans="1:4" hidden="1" x14ac:dyDescent="0.3">
      <c r="A1858">
        <v>1856</v>
      </c>
      <c r="B1858" t="s">
        <v>6</v>
      </c>
      <c r="C1858" t="s">
        <v>7</v>
      </c>
      <c r="D1858">
        <v>1305.25</v>
      </c>
    </row>
    <row r="1859" spans="1:4" hidden="1" x14ac:dyDescent="0.3">
      <c r="A1859">
        <v>1857</v>
      </c>
      <c r="B1859" s="1" t="s">
        <v>132</v>
      </c>
      <c r="C1859" t="s">
        <v>9</v>
      </c>
      <c r="D1859" s="1" t="s">
        <v>133</v>
      </c>
    </row>
    <row r="1860" spans="1:4" hidden="1" x14ac:dyDescent="0.3">
      <c r="A1860">
        <v>1858</v>
      </c>
      <c r="B1860" t="s">
        <v>13</v>
      </c>
      <c r="C1860" t="s">
        <v>14</v>
      </c>
      <c r="D1860">
        <v>98.4296875</v>
      </c>
    </row>
    <row r="1861" spans="1:4" hidden="1" x14ac:dyDescent="0.3">
      <c r="A1861">
        <v>1859</v>
      </c>
      <c r="B1861" t="s">
        <v>15</v>
      </c>
      <c r="C1861" t="s">
        <v>16</v>
      </c>
      <c r="D1861">
        <v>4.2819487927479898</v>
      </c>
    </row>
    <row r="1862" spans="1:4" hidden="1" x14ac:dyDescent="0.3">
      <c r="A1862">
        <v>1860</v>
      </c>
      <c r="B1862" s="1" t="s">
        <v>134</v>
      </c>
      <c r="C1862" t="s">
        <v>135</v>
      </c>
      <c r="D1862" s="1" t="s">
        <v>136</v>
      </c>
    </row>
    <row r="1863" spans="1:4" hidden="1" x14ac:dyDescent="0.3">
      <c r="A1863">
        <v>1861</v>
      </c>
      <c r="B1863" t="s">
        <v>21</v>
      </c>
      <c r="C1863" t="s">
        <v>22</v>
      </c>
      <c r="D1863">
        <v>83.1</v>
      </c>
    </row>
    <row r="1864" spans="1:4" hidden="1" x14ac:dyDescent="0.3">
      <c r="A1864">
        <v>1862</v>
      </c>
      <c r="B1864" t="s">
        <v>2185</v>
      </c>
      <c r="C1864" t="s">
        <v>24</v>
      </c>
      <c r="D1864">
        <v>4.15853729702593</v>
      </c>
    </row>
    <row r="1865" spans="1:4" hidden="1" x14ac:dyDescent="0.3">
      <c r="A1865">
        <v>1863</v>
      </c>
      <c r="B1865" s="1" t="s">
        <v>2186</v>
      </c>
      <c r="C1865" t="s">
        <v>139</v>
      </c>
      <c r="D1865" s="1" t="s">
        <v>2187</v>
      </c>
    </row>
    <row r="1866" spans="1:4" hidden="1" x14ac:dyDescent="0.3">
      <c r="A1866">
        <v>1864</v>
      </c>
      <c r="B1866" t="s">
        <v>2188</v>
      </c>
      <c r="C1866" t="s">
        <v>35</v>
      </c>
      <c r="D1866">
        <v>-0.48104695608689302</v>
      </c>
    </row>
    <row r="1867" spans="1:4" hidden="1" x14ac:dyDescent="0.3">
      <c r="A1867">
        <v>1865</v>
      </c>
      <c r="B1867" t="s">
        <v>2189</v>
      </c>
      <c r="C1867" t="s">
        <v>143</v>
      </c>
      <c r="D1867">
        <v>0.73492278002016997</v>
      </c>
    </row>
    <row r="1868" spans="1:4" hidden="1" x14ac:dyDescent="0.3">
      <c r="A1868">
        <v>1866</v>
      </c>
      <c r="B1868" s="1" t="s">
        <v>2190</v>
      </c>
      <c r="C1868" t="s">
        <v>145</v>
      </c>
      <c r="D1868" s="1" t="s">
        <v>2191</v>
      </c>
    </row>
    <row r="1869" spans="1:4" hidden="1" x14ac:dyDescent="0.3">
      <c r="A1869">
        <v>1867</v>
      </c>
      <c r="B1869" t="s">
        <v>2192</v>
      </c>
      <c r="C1869" t="s">
        <v>30</v>
      </c>
      <c r="D1869">
        <v>0.70350533881551902</v>
      </c>
    </row>
    <row r="1870" spans="1:4" hidden="1" x14ac:dyDescent="0.3">
      <c r="A1870">
        <v>1868</v>
      </c>
      <c r="B1870" t="s">
        <v>2193</v>
      </c>
      <c r="C1870" t="s">
        <v>32</v>
      </c>
      <c r="D1870">
        <v>0.15642898278582601</v>
      </c>
    </row>
    <row r="1871" spans="1:4" hidden="1" x14ac:dyDescent="0.3">
      <c r="A1871">
        <v>1869</v>
      </c>
      <c r="B1871" s="1" t="s">
        <v>2194</v>
      </c>
      <c r="C1871" t="s">
        <v>149</v>
      </c>
      <c r="D1871" s="1" t="s">
        <v>2195</v>
      </c>
    </row>
    <row r="1872" spans="1:4" hidden="1" x14ac:dyDescent="0.3">
      <c r="A1872">
        <v>1870</v>
      </c>
      <c r="B1872" t="s">
        <v>2196</v>
      </c>
      <c r="C1872" t="s">
        <v>40</v>
      </c>
      <c r="D1872">
        <v>0.77754161727137305</v>
      </c>
    </row>
    <row r="1873" spans="1:4" hidden="1" x14ac:dyDescent="0.3">
      <c r="A1873">
        <v>1871</v>
      </c>
      <c r="B1873" t="s">
        <v>2197</v>
      </c>
      <c r="C1873" t="s">
        <v>42</v>
      </c>
      <c r="D1873">
        <v>0.20425819032446099</v>
      </c>
    </row>
    <row r="1874" spans="1:4" hidden="1" x14ac:dyDescent="0.3">
      <c r="A1874">
        <v>1872</v>
      </c>
      <c r="B1874" s="1" t="s">
        <v>2198</v>
      </c>
      <c r="C1874" t="s">
        <v>153</v>
      </c>
      <c r="D1874" s="1" t="s">
        <v>2199</v>
      </c>
    </row>
    <row r="1875" spans="1:4" hidden="1" x14ac:dyDescent="0.3">
      <c r="A1875">
        <v>1873</v>
      </c>
      <c r="B1875" t="s">
        <v>154</v>
      </c>
      <c r="C1875" t="s">
        <v>155</v>
      </c>
      <c r="D1875">
        <v>1</v>
      </c>
    </row>
    <row r="1876" spans="1:4" hidden="1" x14ac:dyDescent="0.3">
      <c r="A1876">
        <v>1874</v>
      </c>
      <c r="B1876" t="s">
        <v>156</v>
      </c>
      <c r="C1876" t="s">
        <v>157</v>
      </c>
      <c r="D1876">
        <v>1</v>
      </c>
    </row>
    <row r="1877" spans="1:4" hidden="1" x14ac:dyDescent="0.3">
      <c r="A1877">
        <v>1875</v>
      </c>
      <c r="B1877" s="1" t="s">
        <v>2200</v>
      </c>
      <c r="C1877" t="s">
        <v>159</v>
      </c>
      <c r="D1877" s="1" t="s">
        <v>2201</v>
      </c>
    </row>
    <row r="1878" spans="1:4" hidden="1" x14ac:dyDescent="0.3">
      <c r="A1878">
        <v>1876</v>
      </c>
      <c r="B1878" t="s">
        <v>2202</v>
      </c>
      <c r="C1878" t="s">
        <v>162</v>
      </c>
      <c r="D1878">
        <v>1.00365323809903</v>
      </c>
    </row>
    <row r="1879" spans="1:4" hidden="1" x14ac:dyDescent="0.3">
      <c r="A1879">
        <v>1877</v>
      </c>
      <c r="B1879" t="s">
        <v>2203</v>
      </c>
      <c r="C1879" t="s">
        <v>164</v>
      </c>
      <c r="D1879">
        <v>0.99618760154797104</v>
      </c>
    </row>
    <row r="1880" spans="1:4" hidden="1" x14ac:dyDescent="0.3">
      <c r="A1880">
        <v>1878</v>
      </c>
      <c r="B1880" s="1" t="s">
        <v>2204</v>
      </c>
      <c r="C1880" t="s">
        <v>166</v>
      </c>
      <c r="D1880" s="1" t="s">
        <v>2205</v>
      </c>
    </row>
    <row r="1881" spans="1:4" hidden="1" x14ac:dyDescent="0.3">
      <c r="A1881">
        <v>1879</v>
      </c>
      <c r="B1881" s="1" t="s">
        <v>2206</v>
      </c>
      <c r="C1881" t="s">
        <v>55</v>
      </c>
      <c r="D1881" s="1" t="s">
        <v>2207</v>
      </c>
    </row>
    <row r="1882" spans="1:4" hidden="1" x14ac:dyDescent="0.3">
      <c r="A1882">
        <v>1880</v>
      </c>
      <c r="B1882" s="1" t="s">
        <v>2208</v>
      </c>
      <c r="C1882" t="s">
        <v>52</v>
      </c>
      <c r="D1882" s="1" t="s">
        <v>2209</v>
      </c>
    </row>
    <row r="1883" spans="1:4" hidden="1" x14ac:dyDescent="0.3">
      <c r="A1883">
        <v>1881</v>
      </c>
      <c r="B1883" s="1" t="s">
        <v>2210</v>
      </c>
      <c r="C1883" t="s">
        <v>58</v>
      </c>
      <c r="D1883" s="1" t="s">
        <v>2211</v>
      </c>
    </row>
    <row r="1884" spans="1:4" hidden="1" x14ac:dyDescent="0.3">
      <c r="A1884">
        <v>1882</v>
      </c>
      <c r="B1884" t="s">
        <v>2212</v>
      </c>
      <c r="C1884" t="s">
        <v>61</v>
      </c>
      <c r="D1884">
        <v>150005709.67177099</v>
      </c>
    </row>
    <row r="1885" spans="1:4" hidden="1" x14ac:dyDescent="0.3">
      <c r="A1885">
        <v>1883</v>
      </c>
      <c r="B1885" t="s">
        <v>2213</v>
      </c>
      <c r="C1885" t="s">
        <v>63</v>
      </c>
      <c r="D1885">
        <v>80001980.021481097</v>
      </c>
    </row>
    <row r="1886" spans="1:4" hidden="1" x14ac:dyDescent="0.3">
      <c r="A1886">
        <v>1884</v>
      </c>
      <c r="B1886" t="s">
        <v>2214</v>
      </c>
      <c r="C1886" t="s">
        <v>65</v>
      </c>
      <c r="D1886">
        <v>39999846.088470504</v>
      </c>
    </row>
    <row r="1887" spans="1:4" hidden="1" x14ac:dyDescent="0.3">
      <c r="A1887">
        <v>1885</v>
      </c>
      <c r="B1887" s="1" t="s">
        <v>2215</v>
      </c>
      <c r="C1887" t="s">
        <v>67</v>
      </c>
      <c r="D1887" s="1" t="s">
        <v>2216</v>
      </c>
    </row>
    <row r="1888" spans="1:4" hidden="1" x14ac:dyDescent="0.3">
      <c r="A1888">
        <v>1886</v>
      </c>
      <c r="B1888" s="1" t="s">
        <v>2217</v>
      </c>
      <c r="C1888" t="s">
        <v>70</v>
      </c>
      <c r="D1888" s="1" t="s">
        <v>2218</v>
      </c>
    </row>
    <row r="1889" spans="1:4" hidden="1" x14ac:dyDescent="0.3">
      <c r="A1889">
        <v>1887</v>
      </c>
      <c r="B1889" t="s">
        <v>2219</v>
      </c>
      <c r="C1889" t="s">
        <v>73</v>
      </c>
      <c r="D1889">
        <v>1.00017235414809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2220</v>
      </c>
      <c r="C1893" t="s">
        <v>81</v>
      </c>
      <c r="D1893" s="1" t="s">
        <v>2221</v>
      </c>
    </row>
    <row r="1894" spans="1:4" hidden="1" x14ac:dyDescent="0.3">
      <c r="A1894">
        <v>1892</v>
      </c>
      <c r="B1894" t="s">
        <v>2222</v>
      </c>
      <c r="C1894" t="s">
        <v>84</v>
      </c>
      <c r="D1894">
        <v>1.0001743428907099</v>
      </c>
    </row>
    <row r="1895" spans="1:4" hidden="1" x14ac:dyDescent="0.3">
      <c r="A1895">
        <v>1893</v>
      </c>
      <c r="B1895" s="1" t="s">
        <v>2223</v>
      </c>
      <c r="C1895" t="s">
        <v>86</v>
      </c>
      <c r="D1895" s="1" t="s">
        <v>2224</v>
      </c>
    </row>
    <row r="1896" spans="1:4" hidden="1" x14ac:dyDescent="0.3">
      <c r="A1896">
        <v>1894</v>
      </c>
      <c r="B1896" t="s">
        <v>2225</v>
      </c>
      <c r="C1896" t="s">
        <v>89</v>
      </c>
      <c r="D1896">
        <v>99999489.590544298</v>
      </c>
    </row>
    <row r="1897" spans="1:4" hidden="1" x14ac:dyDescent="0.3">
      <c r="A1897">
        <v>1895</v>
      </c>
      <c r="B1897" s="1" t="s">
        <v>2226</v>
      </c>
      <c r="C1897" t="s">
        <v>91</v>
      </c>
      <c r="D1897" s="1" t="s">
        <v>2172</v>
      </c>
    </row>
    <row r="1898" spans="1:4" hidden="1" x14ac:dyDescent="0.3">
      <c r="A1898">
        <v>1896</v>
      </c>
      <c r="B1898" t="s">
        <v>2227</v>
      </c>
      <c r="C1898" t="s">
        <v>94</v>
      </c>
      <c r="D1898">
        <v>80001980.021481097</v>
      </c>
    </row>
    <row r="1899" spans="1:4" hidden="1" x14ac:dyDescent="0.3">
      <c r="A1899">
        <v>1897</v>
      </c>
      <c r="B1899" t="s">
        <v>2228</v>
      </c>
      <c r="C1899" t="s">
        <v>96</v>
      </c>
      <c r="D1899">
        <v>39999846.088470504</v>
      </c>
    </row>
    <row r="1900" spans="1:4" hidden="1" x14ac:dyDescent="0.3">
      <c r="A1900">
        <v>1898</v>
      </c>
      <c r="B1900" t="s">
        <v>2229</v>
      </c>
      <c r="C1900" t="s">
        <v>98</v>
      </c>
      <c r="D1900">
        <v>30003883.56182</v>
      </c>
    </row>
    <row r="1901" spans="1:4" hidden="1" x14ac:dyDescent="0.3">
      <c r="A1901">
        <v>1899</v>
      </c>
      <c r="B1901" s="1" t="s">
        <v>2230</v>
      </c>
      <c r="C1901" t="s">
        <v>100</v>
      </c>
      <c r="D1901" s="1" t="s">
        <v>2231</v>
      </c>
    </row>
    <row r="1902" spans="1:4" hidden="1" x14ac:dyDescent="0.3">
      <c r="A1902">
        <v>1900</v>
      </c>
      <c r="B1902" t="s">
        <v>2232</v>
      </c>
      <c r="C1902" t="s">
        <v>103</v>
      </c>
      <c r="D1902">
        <v>5.98104723571816E-3</v>
      </c>
    </row>
    <row r="1903" spans="1:4" hidden="1" x14ac:dyDescent="0.3">
      <c r="A1903">
        <v>1901</v>
      </c>
      <c r="B1903" t="s">
        <v>2233</v>
      </c>
      <c r="C1903" t="s">
        <v>105</v>
      </c>
      <c r="D1903">
        <v>6.8704186605009199E-4</v>
      </c>
    </row>
    <row r="1904" spans="1:4" hidden="1" x14ac:dyDescent="0.3">
      <c r="A1904">
        <v>1902</v>
      </c>
      <c r="B1904" t="s">
        <v>2234</v>
      </c>
      <c r="C1904" t="s">
        <v>107</v>
      </c>
      <c r="D1904">
        <v>1.48659145027039E-2</v>
      </c>
    </row>
    <row r="1905" spans="1:4" hidden="1" x14ac:dyDescent="0.3">
      <c r="A1905">
        <v>1903</v>
      </c>
      <c r="B1905" s="1" t="s">
        <v>2235</v>
      </c>
      <c r="C1905" t="s">
        <v>109</v>
      </c>
      <c r="D1905" s="1" t="s">
        <v>2236</v>
      </c>
    </row>
    <row r="1906" spans="1:4" hidden="1" x14ac:dyDescent="0.3">
      <c r="A1906">
        <v>1904</v>
      </c>
      <c r="B1906" t="s">
        <v>2237</v>
      </c>
      <c r="C1906" t="s">
        <v>197</v>
      </c>
      <c r="D1906">
        <v>150005778.560386</v>
      </c>
    </row>
    <row r="1907" spans="1:4" hidden="1" x14ac:dyDescent="0.3">
      <c r="A1907">
        <v>1905</v>
      </c>
      <c r="B1907" t="s">
        <v>2238</v>
      </c>
      <c r="C1907" t="s">
        <v>199</v>
      </c>
      <c r="D1907">
        <v>-159.07603146045801</v>
      </c>
    </row>
    <row r="1908" spans="1:4" hidden="1" x14ac:dyDescent="0.3">
      <c r="A1908">
        <v>1906</v>
      </c>
      <c r="B1908" t="s">
        <v>2239</v>
      </c>
      <c r="C1908" t="s">
        <v>201</v>
      </c>
      <c r="D1908">
        <v>-79.535710412137504</v>
      </c>
    </row>
    <row r="1909" spans="1:4" hidden="1" x14ac:dyDescent="0.3">
      <c r="A1909">
        <v>1907</v>
      </c>
      <c r="B1909" s="1" t="s">
        <v>2240</v>
      </c>
      <c r="C1909" t="s">
        <v>203</v>
      </c>
      <c r="D1909" s="1" t="s">
        <v>2241</v>
      </c>
    </row>
    <row r="1910" spans="1:4" hidden="1" x14ac:dyDescent="0.3">
      <c r="A1910">
        <v>1908</v>
      </c>
      <c r="B1910" t="s">
        <v>2242</v>
      </c>
      <c r="C1910" t="s">
        <v>206</v>
      </c>
      <c r="D1910">
        <v>80002189.995664194</v>
      </c>
    </row>
    <row r="1911" spans="1:4" hidden="1" x14ac:dyDescent="0.3">
      <c r="A1911">
        <v>1909</v>
      </c>
      <c r="B1911" t="s">
        <v>2243</v>
      </c>
      <c r="C1911" t="s">
        <v>208</v>
      </c>
      <c r="D1911">
        <v>39999935.612007</v>
      </c>
    </row>
    <row r="1912" spans="1:4" hidden="1" x14ac:dyDescent="0.3">
      <c r="A1912">
        <v>1910</v>
      </c>
      <c r="B1912" t="s">
        <v>2244</v>
      </c>
      <c r="C1912" t="s">
        <v>210</v>
      </c>
      <c r="D1912">
        <v>30003951.224192798</v>
      </c>
    </row>
    <row r="1913" spans="1:4" hidden="1" x14ac:dyDescent="0.3">
      <c r="A1913">
        <v>1911</v>
      </c>
      <c r="B1913" s="1" t="s">
        <v>2245</v>
      </c>
      <c r="C1913" t="s">
        <v>212</v>
      </c>
      <c r="D1913" s="1" t="s">
        <v>2246</v>
      </c>
    </row>
    <row r="1914" spans="1:4" hidden="1" x14ac:dyDescent="0.3">
      <c r="A1914">
        <v>1912</v>
      </c>
      <c r="B1914" t="s">
        <v>2247</v>
      </c>
      <c r="C1914" t="s">
        <v>215</v>
      </c>
      <c r="D1914">
        <v>99999688.429520905</v>
      </c>
    </row>
    <row r="1915" spans="1:4" hidden="1" x14ac:dyDescent="0.3">
      <c r="A1915">
        <v>1913</v>
      </c>
      <c r="B1915" t="s">
        <v>2248</v>
      </c>
      <c r="C1915" t="s">
        <v>217</v>
      </c>
      <c r="D1915">
        <v>-198.83897657692401</v>
      </c>
    </row>
    <row r="1916" spans="1:4" hidden="1" x14ac:dyDescent="0.3">
      <c r="A1916">
        <v>1914</v>
      </c>
      <c r="B1916" s="1" t="s">
        <v>2249</v>
      </c>
      <c r="C1916" t="s">
        <v>219</v>
      </c>
      <c r="D1916" s="1" t="s">
        <v>2250</v>
      </c>
    </row>
    <row r="1917" spans="1:4" hidden="1" x14ac:dyDescent="0.3">
      <c r="A1917">
        <v>1915</v>
      </c>
      <c r="B1917" t="s">
        <v>2251</v>
      </c>
      <c r="C1917" t="s">
        <v>112</v>
      </c>
      <c r="D1917">
        <v>50.898151655816399</v>
      </c>
    </row>
    <row r="1918" spans="1:4" hidden="1" x14ac:dyDescent="0.3">
      <c r="A1918">
        <v>1916</v>
      </c>
      <c r="B1918" t="s">
        <v>2252</v>
      </c>
      <c r="C1918" t="s">
        <v>114</v>
      </c>
      <c r="D1918">
        <v>9.98782611019349</v>
      </c>
    </row>
    <row r="1919" spans="1:4" hidden="1" x14ac:dyDescent="0.3">
      <c r="A1919">
        <v>1917</v>
      </c>
      <c r="B1919" s="1" t="s">
        <v>2253</v>
      </c>
      <c r="C1919" t="s">
        <v>116</v>
      </c>
      <c r="D1919" s="1" t="s">
        <v>2254</v>
      </c>
    </row>
    <row r="1920" spans="1:4" hidden="1" x14ac:dyDescent="0.3">
      <c r="A1920">
        <v>1918</v>
      </c>
      <c r="B1920" t="s">
        <v>2255</v>
      </c>
      <c r="C1920" t="s">
        <v>119</v>
      </c>
      <c r="D1920">
        <v>80002189.995664194</v>
      </c>
    </row>
    <row r="1921" spans="1:4" hidden="1" x14ac:dyDescent="0.3">
      <c r="A1921">
        <v>1919</v>
      </c>
      <c r="B1921" t="s">
        <v>2256</v>
      </c>
      <c r="C1921" t="s">
        <v>121</v>
      </c>
      <c r="D1921">
        <v>39999935.612007</v>
      </c>
    </row>
    <row r="1922" spans="1:4" hidden="1" x14ac:dyDescent="0.3">
      <c r="A1922">
        <v>1920</v>
      </c>
      <c r="B1922" s="1" t="s">
        <v>2257</v>
      </c>
      <c r="C1922" t="s">
        <v>123</v>
      </c>
      <c r="D1922" s="1" t="s">
        <v>2258</v>
      </c>
    </row>
    <row r="1923" spans="1:4" hidden="1" x14ac:dyDescent="0.3">
      <c r="A1923">
        <v>1921</v>
      </c>
      <c r="B1923" t="s">
        <v>2259</v>
      </c>
      <c r="C1923" t="s">
        <v>126</v>
      </c>
      <c r="D1923">
        <v>0.79988493834408303</v>
      </c>
    </row>
    <row r="1924" spans="1:4" hidden="1" x14ac:dyDescent="0.3">
      <c r="A1924">
        <v>1922</v>
      </c>
      <c r="B1924" t="s">
        <v>2260</v>
      </c>
      <c r="C1924" t="s">
        <v>128</v>
      </c>
      <c r="D1924">
        <v>0.39993087729862797</v>
      </c>
    </row>
    <row r="1925" spans="1:4" hidden="1" x14ac:dyDescent="0.3">
      <c r="A1925">
        <v>1923</v>
      </c>
      <c r="B1925" s="1" t="s">
        <v>2261</v>
      </c>
      <c r="C1925" t="s">
        <v>130</v>
      </c>
      <c r="D1925" s="1" t="s">
        <v>2262</v>
      </c>
    </row>
    <row r="1926" spans="1:4" ht="72" x14ac:dyDescent="0.3">
      <c r="A1926">
        <v>1924</v>
      </c>
      <c r="B1926" s="1" t="s">
        <v>3</v>
      </c>
      <c r="C1926" t="s">
        <v>4</v>
      </c>
      <c r="D1926" t="s">
        <v>5</v>
      </c>
    </row>
    <row r="1927" spans="1:4" hidden="1" x14ac:dyDescent="0.3">
      <c r="A1927">
        <v>1925</v>
      </c>
      <c r="B1927" t="s">
        <v>6</v>
      </c>
      <c r="C1927" t="s">
        <v>7</v>
      </c>
      <c r="D1927">
        <v>1305.25</v>
      </c>
    </row>
    <row r="1928" spans="1:4" hidden="1" x14ac:dyDescent="0.3">
      <c r="A1928">
        <v>1926</v>
      </c>
      <c r="B1928" s="1" t="s">
        <v>132</v>
      </c>
      <c r="C1928" t="s">
        <v>9</v>
      </c>
      <c r="D1928" s="1" t="s">
        <v>133</v>
      </c>
    </row>
    <row r="1929" spans="1:4" hidden="1" x14ac:dyDescent="0.3">
      <c r="A1929">
        <v>1927</v>
      </c>
      <c r="B1929" t="s">
        <v>13</v>
      </c>
      <c r="C1929" t="s">
        <v>14</v>
      </c>
      <c r="D1929">
        <v>98.4296875</v>
      </c>
    </row>
    <row r="1930" spans="1:4" hidden="1" x14ac:dyDescent="0.3">
      <c r="A1930">
        <v>1928</v>
      </c>
      <c r="B1930" t="s">
        <v>15</v>
      </c>
      <c r="C1930" t="s">
        <v>16</v>
      </c>
      <c r="D1930">
        <v>4.2819487927479898</v>
      </c>
    </row>
    <row r="1931" spans="1:4" hidden="1" x14ac:dyDescent="0.3">
      <c r="A1931">
        <v>1929</v>
      </c>
      <c r="B1931" s="1" t="s">
        <v>134</v>
      </c>
      <c r="C1931" t="s">
        <v>135</v>
      </c>
      <c r="D1931" s="1" t="s">
        <v>136</v>
      </c>
    </row>
    <row r="1932" spans="1:4" hidden="1" x14ac:dyDescent="0.3">
      <c r="A1932">
        <v>1930</v>
      </c>
      <c r="B1932" t="s">
        <v>21</v>
      </c>
      <c r="C1932" t="s">
        <v>22</v>
      </c>
      <c r="D1932">
        <v>83.1</v>
      </c>
    </row>
    <row r="1933" spans="1:4" hidden="1" x14ac:dyDescent="0.3">
      <c r="A1933">
        <v>1931</v>
      </c>
      <c r="B1933" t="s">
        <v>2263</v>
      </c>
      <c r="C1933" t="s">
        <v>24</v>
      </c>
      <c r="D1933">
        <v>4.19467865352396</v>
      </c>
    </row>
    <row r="1934" spans="1:4" hidden="1" x14ac:dyDescent="0.3">
      <c r="A1934">
        <v>1932</v>
      </c>
      <c r="B1934" s="1" t="s">
        <v>2264</v>
      </c>
      <c r="C1934" t="s">
        <v>139</v>
      </c>
      <c r="D1934" s="1" t="s">
        <v>2265</v>
      </c>
    </row>
    <row r="1935" spans="1:4" hidden="1" x14ac:dyDescent="0.3">
      <c r="A1935">
        <v>1933</v>
      </c>
      <c r="B1935" t="s">
        <v>2266</v>
      </c>
      <c r="C1935" t="s">
        <v>35</v>
      </c>
      <c r="D1935">
        <v>-0.48677617266576201</v>
      </c>
    </row>
    <row r="1936" spans="1:4" hidden="1" x14ac:dyDescent="0.3">
      <c r="A1936">
        <v>1934</v>
      </c>
      <c r="B1936" t="s">
        <v>2267</v>
      </c>
      <c r="C1936" t="s">
        <v>143</v>
      </c>
      <c r="D1936">
        <v>0.73440324436624205</v>
      </c>
    </row>
    <row r="1937" spans="1:4" hidden="1" x14ac:dyDescent="0.3">
      <c r="A1937">
        <v>1935</v>
      </c>
      <c r="B1937" s="1" t="s">
        <v>2268</v>
      </c>
      <c r="C1937" t="s">
        <v>145</v>
      </c>
      <c r="D1937" s="1" t="s">
        <v>2269</v>
      </c>
    </row>
    <row r="1938" spans="1:4" hidden="1" x14ac:dyDescent="0.3">
      <c r="A1938">
        <v>1936</v>
      </c>
      <c r="B1938" t="s">
        <v>2270</v>
      </c>
      <c r="C1938" t="s">
        <v>30</v>
      </c>
      <c r="D1938">
        <v>0.71188401037650695</v>
      </c>
    </row>
    <row r="1939" spans="1:4" hidden="1" x14ac:dyDescent="0.3">
      <c r="A1939">
        <v>1937</v>
      </c>
      <c r="B1939" t="s">
        <v>2271</v>
      </c>
      <c r="C1939" t="s">
        <v>32</v>
      </c>
      <c r="D1939">
        <v>0.15679624714108001</v>
      </c>
    </row>
    <row r="1940" spans="1:4" hidden="1" x14ac:dyDescent="0.3">
      <c r="A1940">
        <v>1938</v>
      </c>
      <c r="B1940" s="1" t="s">
        <v>2272</v>
      </c>
      <c r="C1940" t="s">
        <v>149</v>
      </c>
      <c r="D1940" s="1" t="s">
        <v>2273</v>
      </c>
    </row>
    <row r="1941" spans="1:4" hidden="1" x14ac:dyDescent="0.3">
      <c r="A1941">
        <v>1939</v>
      </c>
      <c r="B1941" t="s">
        <v>2274</v>
      </c>
      <c r="C1941" t="s">
        <v>40</v>
      </c>
      <c r="D1941">
        <v>0.77489216228925495</v>
      </c>
    </row>
    <row r="1942" spans="1:4" hidden="1" x14ac:dyDescent="0.3">
      <c r="A1942">
        <v>1940</v>
      </c>
      <c r="B1942" t="s">
        <v>2275</v>
      </c>
      <c r="C1942" t="s">
        <v>42</v>
      </c>
      <c r="D1942">
        <v>0.20485351090561099</v>
      </c>
    </row>
    <row r="1943" spans="1:4" hidden="1" x14ac:dyDescent="0.3">
      <c r="A1943">
        <v>1941</v>
      </c>
      <c r="B1943" s="1" t="s">
        <v>2276</v>
      </c>
      <c r="C1943" t="s">
        <v>153</v>
      </c>
      <c r="D1943" s="1" t="s">
        <v>2277</v>
      </c>
    </row>
    <row r="1944" spans="1:4" hidden="1" x14ac:dyDescent="0.3">
      <c r="A1944">
        <v>1942</v>
      </c>
      <c r="B1944" t="s">
        <v>154</v>
      </c>
      <c r="C1944" t="s">
        <v>155</v>
      </c>
      <c r="D1944">
        <v>1</v>
      </c>
    </row>
    <row r="1945" spans="1:4" hidden="1" x14ac:dyDescent="0.3">
      <c r="A1945">
        <v>1943</v>
      </c>
      <c r="B1945" t="s">
        <v>156</v>
      </c>
      <c r="C1945" t="s">
        <v>157</v>
      </c>
      <c r="D1945">
        <v>1</v>
      </c>
    </row>
    <row r="1946" spans="1:4" hidden="1" x14ac:dyDescent="0.3">
      <c r="A1946">
        <v>1944</v>
      </c>
      <c r="B1946" s="1" t="s">
        <v>2278</v>
      </c>
      <c r="C1946" t="s">
        <v>159</v>
      </c>
      <c r="D1946" s="1" t="s">
        <v>2279</v>
      </c>
    </row>
    <row r="1947" spans="1:4" hidden="1" x14ac:dyDescent="0.3">
      <c r="A1947">
        <v>1945</v>
      </c>
      <c r="B1947" t="s">
        <v>2280</v>
      </c>
      <c r="C1947" t="s">
        <v>162</v>
      </c>
      <c r="D1947">
        <v>0.99970054249104801</v>
      </c>
    </row>
    <row r="1948" spans="1:4" hidden="1" x14ac:dyDescent="0.3">
      <c r="A1948">
        <v>1946</v>
      </c>
      <c r="B1948" t="s">
        <v>2281</v>
      </c>
      <c r="C1948" t="s">
        <v>164</v>
      </c>
      <c r="D1948">
        <v>1.0003175848761301</v>
      </c>
    </row>
    <row r="1949" spans="1:4" hidden="1" x14ac:dyDescent="0.3">
      <c r="A1949">
        <v>1947</v>
      </c>
      <c r="B1949" s="1" t="s">
        <v>2282</v>
      </c>
      <c r="C1949" t="s">
        <v>166</v>
      </c>
      <c r="D1949" s="1" t="s">
        <v>2283</v>
      </c>
    </row>
    <row r="1950" spans="1:4" hidden="1" x14ac:dyDescent="0.3">
      <c r="A1950">
        <v>1948</v>
      </c>
      <c r="B1950" s="1" t="s">
        <v>2284</v>
      </c>
      <c r="C1950" t="s">
        <v>55</v>
      </c>
      <c r="D1950" s="1" t="s">
        <v>2285</v>
      </c>
    </row>
    <row r="1951" spans="1:4" hidden="1" x14ac:dyDescent="0.3">
      <c r="A1951">
        <v>1949</v>
      </c>
      <c r="B1951" s="1" t="s">
        <v>2286</v>
      </c>
      <c r="C1951" t="s">
        <v>52</v>
      </c>
      <c r="D1951" s="1" t="s">
        <v>2287</v>
      </c>
    </row>
    <row r="1952" spans="1:4" hidden="1" x14ac:dyDescent="0.3">
      <c r="A1952">
        <v>1950</v>
      </c>
      <c r="B1952" s="1" t="s">
        <v>2288</v>
      </c>
      <c r="C1952" t="s">
        <v>58</v>
      </c>
      <c r="D1952" s="1" t="s">
        <v>2289</v>
      </c>
    </row>
    <row r="1953" spans="1:4" hidden="1" x14ac:dyDescent="0.3">
      <c r="A1953">
        <v>1951</v>
      </c>
      <c r="B1953" t="s">
        <v>2290</v>
      </c>
      <c r="C1953" t="s">
        <v>61</v>
      </c>
      <c r="D1953">
        <v>150018504.08002901</v>
      </c>
    </row>
    <row r="1954" spans="1:4" hidden="1" x14ac:dyDescent="0.3">
      <c r="A1954">
        <v>1952</v>
      </c>
      <c r="B1954" t="s">
        <v>2291</v>
      </c>
      <c r="C1954" t="s">
        <v>63</v>
      </c>
      <c r="D1954">
        <v>80002189.995664194</v>
      </c>
    </row>
    <row r="1955" spans="1:4" hidden="1" x14ac:dyDescent="0.3">
      <c r="A1955">
        <v>1953</v>
      </c>
      <c r="B1955" t="s">
        <v>2292</v>
      </c>
      <c r="C1955" t="s">
        <v>65</v>
      </c>
      <c r="D1955">
        <v>39999935.612007</v>
      </c>
    </row>
    <row r="1956" spans="1:4" hidden="1" x14ac:dyDescent="0.3">
      <c r="A1956">
        <v>1954</v>
      </c>
      <c r="B1956" s="1" t="s">
        <v>2293</v>
      </c>
      <c r="C1956" t="s">
        <v>67</v>
      </c>
      <c r="D1956" s="1" t="s">
        <v>2294</v>
      </c>
    </row>
    <row r="1957" spans="1:4" hidden="1" x14ac:dyDescent="0.3">
      <c r="A1957">
        <v>1955</v>
      </c>
      <c r="B1957" s="1" t="s">
        <v>2295</v>
      </c>
      <c r="C1957" t="s">
        <v>70</v>
      </c>
      <c r="D1957" s="1" t="s">
        <v>2296</v>
      </c>
    </row>
    <row r="1958" spans="1:4" hidden="1" x14ac:dyDescent="0.3">
      <c r="A1958">
        <v>1956</v>
      </c>
      <c r="B1958" t="s">
        <v>2297</v>
      </c>
      <c r="C1958" t="s">
        <v>73</v>
      </c>
      <c r="D1958">
        <v>1.0001743428907099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2298</v>
      </c>
      <c r="C1962" t="s">
        <v>81</v>
      </c>
      <c r="D1962" s="1" t="s">
        <v>2299</v>
      </c>
    </row>
    <row r="1963" spans="1:4" hidden="1" x14ac:dyDescent="0.3">
      <c r="A1963">
        <v>1961</v>
      </c>
      <c r="B1963" t="s">
        <v>2300</v>
      </c>
      <c r="C1963" t="s">
        <v>84</v>
      </c>
      <c r="D1963">
        <v>1.00015559328657</v>
      </c>
    </row>
    <row r="1964" spans="1:4" hidden="1" x14ac:dyDescent="0.3">
      <c r="A1964">
        <v>1962</v>
      </c>
      <c r="B1964" s="1" t="s">
        <v>2301</v>
      </c>
      <c r="C1964" t="s">
        <v>86</v>
      </c>
      <c r="D1964" s="1" t="s">
        <v>2302</v>
      </c>
    </row>
    <row r="1965" spans="1:4" hidden="1" x14ac:dyDescent="0.3">
      <c r="A1965">
        <v>1963</v>
      </c>
      <c r="B1965" t="s">
        <v>2303</v>
      </c>
      <c r="C1965" t="s">
        <v>89</v>
      </c>
      <c r="D1965">
        <v>100001364.249703</v>
      </c>
    </row>
    <row r="1966" spans="1:4" hidden="1" x14ac:dyDescent="0.3">
      <c r="A1966">
        <v>1964</v>
      </c>
      <c r="B1966" s="1" t="s">
        <v>2304</v>
      </c>
      <c r="C1966" t="s">
        <v>91</v>
      </c>
      <c r="D1966" s="1" t="s">
        <v>2250</v>
      </c>
    </row>
    <row r="1967" spans="1:4" hidden="1" x14ac:dyDescent="0.3">
      <c r="A1967">
        <v>1965</v>
      </c>
      <c r="B1967" t="s">
        <v>2305</v>
      </c>
      <c r="C1967" t="s">
        <v>94</v>
      </c>
      <c r="D1967">
        <v>80002189.995664194</v>
      </c>
    </row>
    <row r="1968" spans="1:4" hidden="1" x14ac:dyDescent="0.3">
      <c r="A1968">
        <v>1966</v>
      </c>
      <c r="B1968" t="s">
        <v>2306</v>
      </c>
      <c r="C1968" t="s">
        <v>96</v>
      </c>
      <c r="D1968">
        <v>39999935.612007</v>
      </c>
    </row>
    <row r="1969" spans="1:4" hidden="1" x14ac:dyDescent="0.3">
      <c r="A1969">
        <v>1967</v>
      </c>
      <c r="B1969" t="s">
        <v>2307</v>
      </c>
      <c r="C1969" t="s">
        <v>98</v>
      </c>
      <c r="D1969">
        <v>30016378.472358201</v>
      </c>
    </row>
    <row r="1970" spans="1:4" hidden="1" x14ac:dyDescent="0.3">
      <c r="A1970">
        <v>1968</v>
      </c>
      <c r="B1970" s="1" t="s">
        <v>2308</v>
      </c>
      <c r="C1970" t="s">
        <v>100</v>
      </c>
      <c r="D1970" s="1" t="s">
        <v>2309</v>
      </c>
    </row>
    <row r="1971" spans="1:4" hidden="1" x14ac:dyDescent="0.3">
      <c r="A1971">
        <v>1969</v>
      </c>
      <c r="B1971" t="s">
        <v>2310</v>
      </c>
      <c r="C1971" t="s">
        <v>103</v>
      </c>
      <c r="D1971">
        <v>6.0219575543264698E-3</v>
      </c>
    </row>
    <row r="1972" spans="1:4" hidden="1" x14ac:dyDescent="0.3">
      <c r="A1972">
        <v>1970</v>
      </c>
      <c r="B1972" t="s">
        <v>2311</v>
      </c>
      <c r="C1972" t="s">
        <v>105</v>
      </c>
      <c r="D1972">
        <v>6.9186219686733299E-4</v>
      </c>
    </row>
    <row r="1973" spans="1:4" hidden="1" x14ac:dyDescent="0.3">
      <c r="A1973">
        <v>1971</v>
      </c>
      <c r="B1973" t="s">
        <v>2312</v>
      </c>
      <c r="C1973" t="s">
        <v>107</v>
      </c>
      <c r="D1973">
        <v>1.4654601176216401E-2</v>
      </c>
    </row>
    <row r="1974" spans="1:4" hidden="1" x14ac:dyDescent="0.3">
      <c r="A1974">
        <v>1972</v>
      </c>
      <c r="B1974" s="1" t="s">
        <v>2313</v>
      </c>
      <c r="C1974" t="s">
        <v>109</v>
      </c>
      <c r="D1974" s="1" t="s">
        <v>2314</v>
      </c>
    </row>
    <row r="1975" spans="1:4" hidden="1" x14ac:dyDescent="0.3">
      <c r="A1975">
        <v>1973</v>
      </c>
      <c r="B1975" t="s">
        <v>2315</v>
      </c>
      <c r="C1975" t="s">
        <v>197</v>
      </c>
      <c r="D1975">
        <v>150017855.29288799</v>
      </c>
    </row>
    <row r="1976" spans="1:4" hidden="1" x14ac:dyDescent="0.3">
      <c r="A1976">
        <v>1974</v>
      </c>
      <c r="B1976" t="s">
        <v>2316</v>
      </c>
      <c r="C1976" t="s">
        <v>199</v>
      </c>
      <c r="D1976">
        <v>1499.73892505102</v>
      </c>
    </row>
    <row r="1977" spans="1:4" hidden="1" x14ac:dyDescent="0.3">
      <c r="A1977">
        <v>1975</v>
      </c>
      <c r="B1977" t="s">
        <v>2317</v>
      </c>
      <c r="C1977" t="s">
        <v>201</v>
      </c>
      <c r="D1977">
        <v>749.85046815404996</v>
      </c>
    </row>
    <row r="1978" spans="1:4" hidden="1" x14ac:dyDescent="0.3">
      <c r="A1978">
        <v>1976</v>
      </c>
      <c r="B1978" s="1" t="s">
        <v>2318</v>
      </c>
      <c r="C1978" t="s">
        <v>203</v>
      </c>
      <c r="D1978" s="1" t="s">
        <v>2319</v>
      </c>
    </row>
    <row r="1979" spans="1:4" hidden="1" x14ac:dyDescent="0.3">
      <c r="A1979">
        <v>1977</v>
      </c>
      <c r="B1979" t="s">
        <v>2320</v>
      </c>
      <c r="C1979" t="s">
        <v>206</v>
      </c>
      <c r="D1979">
        <v>80000210.313881502</v>
      </c>
    </row>
    <row r="1980" spans="1:4" hidden="1" x14ac:dyDescent="0.3">
      <c r="A1980">
        <v>1978</v>
      </c>
      <c r="B1980" t="s">
        <v>2321</v>
      </c>
      <c r="C1980" t="s">
        <v>208</v>
      </c>
      <c r="D1980">
        <v>39999091.9447833</v>
      </c>
    </row>
    <row r="1981" spans="1:4" hidden="1" x14ac:dyDescent="0.3">
      <c r="A1981">
        <v>1979</v>
      </c>
      <c r="B1981" t="s">
        <v>2322</v>
      </c>
      <c r="C1981" t="s">
        <v>210</v>
      </c>
      <c r="D1981">
        <v>30015740.749125101</v>
      </c>
    </row>
    <row r="1982" spans="1:4" hidden="1" x14ac:dyDescent="0.3">
      <c r="A1982">
        <v>1980</v>
      </c>
      <c r="B1982" s="1" t="s">
        <v>2323</v>
      </c>
      <c r="C1982" t="s">
        <v>212</v>
      </c>
      <c r="D1982" s="1" t="s">
        <v>2324</v>
      </c>
    </row>
    <row r="1983" spans="1:4" hidden="1" x14ac:dyDescent="0.3">
      <c r="A1983">
        <v>1981</v>
      </c>
      <c r="B1983" t="s">
        <v>2325</v>
      </c>
      <c r="C1983" t="s">
        <v>215</v>
      </c>
      <c r="D1983">
        <v>99999489.590544298</v>
      </c>
    </row>
    <row r="1984" spans="1:4" hidden="1" x14ac:dyDescent="0.3">
      <c r="A1984">
        <v>1982</v>
      </c>
      <c r="B1984" t="s">
        <v>2326</v>
      </c>
      <c r="C1984" t="s">
        <v>217</v>
      </c>
      <c r="D1984">
        <v>1874.6591594666199</v>
      </c>
    </row>
    <row r="1985" spans="1:4" hidden="1" x14ac:dyDescent="0.3">
      <c r="A1985">
        <v>1983</v>
      </c>
      <c r="B1985" s="1" t="s">
        <v>2327</v>
      </c>
      <c r="C1985" t="s">
        <v>219</v>
      </c>
      <c r="D1985" s="1" t="s">
        <v>2328</v>
      </c>
    </row>
    <row r="1986" spans="1:4" hidden="1" x14ac:dyDescent="0.3">
      <c r="A1986">
        <v>1984</v>
      </c>
      <c r="B1986" t="s">
        <v>2329</v>
      </c>
      <c r="C1986" t="s">
        <v>112</v>
      </c>
      <c r="D1986">
        <v>-479.94285768887403</v>
      </c>
    </row>
    <row r="1987" spans="1:4" hidden="1" x14ac:dyDescent="0.3">
      <c r="A1987">
        <v>1985</v>
      </c>
      <c r="B1987" t="s">
        <v>2330</v>
      </c>
      <c r="C1987" t="s">
        <v>114</v>
      </c>
      <c r="D1987">
        <v>-93.816755556757499</v>
      </c>
    </row>
    <row r="1988" spans="1:4" hidden="1" x14ac:dyDescent="0.3">
      <c r="A1988">
        <v>1986</v>
      </c>
      <c r="B1988" s="1" t="s">
        <v>2331</v>
      </c>
      <c r="C1988" t="s">
        <v>116</v>
      </c>
      <c r="D1988" s="1" t="s">
        <v>2332</v>
      </c>
    </row>
    <row r="1989" spans="1:4" hidden="1" x14ac:dyDescent="0.3">
      <c r="A1989">
        <v>1987</v>
      </c>
      <c r="B1989" t="s">
        <v>2333</v>
      </c>
      <c r="C1989" t="s">
        <v>119</v>
      </c>
      <c r="D1989">
        <v>80000210.313881502</v>
      </c>
    </row>
    <row r="1990" spans="1:4" hidden="1" x14ac:dyDescent="0.3">
      <c r="A1990">
        <v>1988</v>
      </c>
      <c r="B1990" t="s">
        <v>2334</v>
      </c>
      <c r="C1990" t="s">
        <v>121</v>
      </c>
      <c r="D1990">
        <v>39999091.9447833</v>
      </c>
    </row>
    <row r="1991" spans="1:4" hidden="1" x14ac:dyDescent="0.3">
      <c r="A1991">
        <v>1989</v>
      </c>
      <c r="B1991" s="1" t="s">
        <v>2335</v>
      </c>
      <c r="C1991" t="s">
        <v>123</v>
      </c>
      <c r="D1991" s="1" t="s">
        <v>2336</v>
      </c>
    </row>
    <row r="1992" spans="1:4" hidden="1" x14ac:dyDescent="0.3">
      <c r="A1992">
        <v>1990</v>
      </c>
      <c r="B1992" t="s">
        <v>2337</v>
      </c>
      <c r="C1992" t="s">
        <v>126</v>
      </c>
      <c r="D1992">
        <v>0.79988173021875797</v>
      </c>
    </row>
    <row r="1993" spans="1:4" hidden="1" x14ac:dyDescent="0.3">
      <c r="A1993">
        <v>1991</v>
      </c>
      <c r="B1993" t="s">
        <v>2338</v>
      </c>
      <c r="C1993" t="s">
        <v>128</v>
      </c>
      <c r="D1993">
        <v>0.39993073451234201</v>
      </c>
    </row>
    <row r="1994" spans="1:4" hidden="1" x14ac:dyDescent="0.3">
      <c r="A1994">
        <v>1992</v>
      </c>
      <c r="B1994" s="1" t="s">
        <v>2339</v>
      </c>
      <c r="C1994" t="s">
        <v>130</v>
      </c>
      <c r="D1994" s="1" t="s">
        <v>2340</v>
      </c>
    </row>
    <row r="1995" spans="1:4" ht="72" x14ac:dyDescent="0.3">
      <c r="A1995">
        <v>1993</v>
      </c>
      <c r="B1995" s="1" t="s">
        <v>3</v>
      </c>
      <c r="C1995" t="s">
        <v>4</v>
      </c>
      <c r="D1995" t="s">
        <v>5</v>
      </c>
    </row>
    <row r="1996" spans="1:4" hidden="1" x14ac:dyDescent="0.3">
      <c r="A1996">
        <v>1994</v>
      </c>
      <c r="B1996" t="s">
        <v>6</v>
      </c>
      <c r="C1996" t="s">
        <v>7</v>
      </c>
      <c r="D1996">
        <v>1305.25</v>
      </c>
    </row>
    <row r="1997" spans="1:4" hidden="1" x14ac:dyDescent="0.3">
      <c r="A1997">
        <v>1995</v>
      </c>
      <c r="B1997" s="1" t="s">
        <v>132</v>
      </c>
      <c r="C1997" t="s">
        <v>9</v>
      </c>
      <c r="D1997" s="1" t="s">
        <v>133</v>
      </c>
    </row>
    <row r="1998" spans="1:4" hidden="1" x14ac:dyDescent="0.3">
      <c r="A1998">
        <v>1996</v>
      </c>
      <c r="B1998" t="s">
        <v>13</v>
      </c>
      <c r="C1998" t="s">
        <v>14</v>
      </c>
      <c r="D1998">
        <v>98.4296875</v>
      </c>
    </row>
    <row r="1999" spans="1:4" hidden="1" x14ac:dyDescent="0.3">
      <c r="A1999">
        <v>1997</v>
      </c>
      <c r="B1999" t="s">
        <v>15</v>
      </c>
      <c r="C1999" t="s">
        <v>16</v>
      </c>
      <c r="D1999">
        <v>4.2819487927479898</v>
      </c>
    </row>
    <row r="2000" spans="1:4" hidden="1" x14ac:dyDescent="0.3">
      <c r="A2000">
        <v>1998</v>
      </c>
      <c r="B2000" s="1" t="s">
        <v>134</v>
      </c>
      <c r="C2000" t="s">
        <v>135</v>
      </c>
      <c r="D2000" s="1" t="s">
        <v>136</v>
      </c>
    </row>
    <row r="2001" spans="1:4" hidden="1" x14ac:dyDescent="0.3">
      <c r="A2001">
        <v>1999</v>
      </c>
      <c r="B2001" t="s">
        <v>21</v>
      </c>
      <c r="C2001" t="s">
        <v>22</v>
      </c>
      <c r="D2001">
        <v>83.1</v>
      </c>
    </row>
    <row r="2002" spans="1:4" hidden="1" x14ac:dyDescent="0.3">
      <c r="A2002">
        <v>2000</v>
      </c>
      <c r="B2002" t="s">
        <v>2341</v>
      </c>
      <c r="C2002" t="s">
        <v>24</v>
      </c>
      <c r="D2002">
        <v>4.26059389000494</v>
      </c>
    </row>
    <row r="2003" spans="1:4" hidden="1" x14ac:dyDescent="0.3">
      <c r="A2003">
        <v>2001</v>
      </c>
      <c r="B2003" s="1" t="s">
        <v>2342</v>
      </c>
      <c r="C2003" t="s">
        <v>139</v>
      </c>
      <c r="D2003" s="1" t="s">
        <v>2343</v>
      </c>
    </row>
    <row r="2004" spans="1:4" hidden="1" x14ac:dyDescent="0.3">
      <c r="A2004">
        <v>2002</v>
      </c>
      <c r="B2004" t="s">
        <v>2344</v>
      </c>
      <c r="C2004" t="s">
        <v>35</v>
      </c>
      <c r="D2004">
        <v>-0.49857391606481199</v>
      </c>
    </row>
    <row r="2005" spans="1:4" hidden="1" x14ac:dyDescent="0.3">
      <c r="A2005">
        <v>2003</v>
      </c>
      <c r="B2005" t="s">
        <v>2345</v>
      </c>
      <c r="C2005" t="s">
        <v>143</v>
      </c>
      <c r="D2005">
        <v>0.73437284920484502</v>
      </c>
    </row>
    <row r="2006" spans="1:4" hidden="1" x14ac:dyDescent="0.3">
      <c r="A2006">
        <v>2004</v>
      </c>
      <c r="B2006" s="1" t="s">
        <v>2346</v>
      </c>
      <c r="C2006" t="s">
        <v>145</v>
      </c>
      <c r="D2006" s="1" t="s">
        <v>2347</v>
      </c>
    </row>
    <row r="2007" spans="1:4" hidden="1" x14ac:dyDescent="0.3">
      <c r="A2007">
        <v>2005</v>
      </c>
      <c r="B2007" t="s">
        <v>2348</v>
      </c>
      <c r="C2007" t="s">
        <v>30</v>
      </c>
      <c r="D2007">
        <v>0.72913757650386002</v>
      </c>
    </row>
    <row r="2008" spans="1:4" hidden="1" x14ac:dyDescent="0.3">
      <c r="A2008">
        <v>2006</v>
      </c>
      <c r="B2008" t="s">
        <v>2349</v>
      </c>
      <c r="C2008" t="s">
        <v>32</v>
      </c>
      <c r="D2008">
        <v>0.15666950137244601</v>
      </c>
    </row>
    <row r="2009" spans="1:4" hidden="1" x14ac:dyDescent="0.3">
      <c r="A2009">
        <v>2007</v>
      </c>
      <c r="B2009" s="1" t="s">
        <v>2350</v>
      </c>
      <c r="C2009" t="s">
        <v>149</v>
      </c>
      <c r="D2009" s="1" t="s">
        <v>2351</v>
      </c>
    </row>
    <row r="2010" spans="1:4" hidden="1" x14ac:dyDescent="0.3">
      <c r="A2010">
        <v>2008</v>
      </c>
      <c r="B2010" t="s">
        <v>2352</v>
      </c>
      <c r="C2010" t="s">
        <v>40</v>
      </c>
      <c r="D2010">
        <v>0.76943633956095203</v>
      </c>
    </row>
    <row r="2011" spans="1:4" hidden="1" x14ac:dyDescent="0.3">
      <c r="A2011">
        <v>2009</v>
      </c>
      <c r="B2011" t="s">
        <v>2353</v>
      </c>
      <c r="C2011" t="s">
        <v>42</v>
      </c>
      <c r="D2011">
        <v>0.205036614373481</v>
      </c>
    </row>
    <row r="2012" spans="1:4" hidden="1" x14ac:dyDescent="0.3">
      <c r="A2012">
        <v>2010</v>
      </c>
      <c r="B2012" s="1" t="s">
        <v>2354</v>
      </c>
      <c r="C2012" t="s">
        <v>153</v>
      </c>
      <c r="D2012" s="1" t="s">
        <v>2355</v>
      </c>
    </row>
    <row r="2013" spans="1:4" hidden="1" x14ac:dyDescent="0.3">
      <c r="A2013">
        <v>2011</v>
      </c>
      <c r="B2013" t="s">
        <v>154</v>
      </c>
      <c r="C2013" t="s">
        <v>155</v>
      </c>
      <c r="D2013">
        <v>1</v>
      </c>
    </row>
    <row r="2014" spans="1:4" hidden="1" x14ac:dyDescent="0.3">
      <c r="A2014">
        <v>2012</v>
      </c>
      <c r="B2014" t="s">
        <v>156</v>
      </c>
      <c r="C2014" t="s">
        <v>157</v>
      </c>
      <c r="D2014">
        <v>1</v>
      </c>
    </row>
    <row r="2015" spans="1:4" hidden="1" x14ac:dyDescent="0.3">
      <c r="A2015">
        <v>2013</v>
      </c>
      <c r="B2015" s="1" t="s">
        <v>2356</v>
      </c>
      <c r="C2015" t="s">
        <v>159</v>
      </c>
      <c r="D2015" s="1" t="s">
        <v>2357</v>
      </c>
    </row>
    <row r="2016" spans="1:4" hidden="1" x14ac:dyDescent="0.3">
      <c r="A2016">
        <v>2014</v>
      </c>
      <c r="B2016" t="s">
        <v>2358</v>
      </c>
      <c r="C2016" t="s">
        <v>162</v>
      </c>
      <c r="D2016">
        <v>0.99998247514729</v>
      </c>
    </row>
    <row r="2017" spans="1:4" hidden="1" x14ac:dyDescent="0.3">
      <c r="A2017">
        <v>2015</v>
      </c>
      <c r="B2017" t="s">
        <v>2359</v>
      </c>
      <c r="C2017" t="s">
        <v>164</v>
      </c>
      <c r="D2017">
        <v>0.99989043380029297</v>
      </c>
    </row>
    <row r="2018" spans="1:4" hidden="1" x14ac:dyDescent="0.3">
      <c r="A2018">
        <v>2016</v>
      </c>
      <c r="B2018" s="1" t="s">
        <v>2360</v>
      </c>
      <c r="C2018" t="s">
        <v>166</v>
      </c>
      <c r="D2018" s="1" t="s">
        <v>2361</v>
      </c>
    </row>
    <row r="2019" spans="1:4" hidden="1" x14ac:dyDescent="0.3">
      <c r="A2019">
        <v>2017</v>
      </c>
      <c r="B2019" s="1" t="s">
        <v>2362</v>
      </c>
      <c r="C2019" t="s">
        <v>55</v>
      </c>
      <c r="D2019" s="1" t="s">
        <v>2363</v>
      </c>
    </row>
    <row r="2020" spans="1:4" hidden="1" x14ac:dyDescent="0.3">
      <c r="A2020">
        <v>2018</v>
      </c>
      <c r="B2020" s="1" t="s">
        <v>2364</v>
      </c>
      <c r="C2020" t="s">
        <v>52</v>
      </c>
      <c r="D2020" s="1" t="s">
        <v>2365</v>
      </c>
    </row>
    <row r="2021" spans="1:4" hidden="1" x14ac:dyDescent="0.3">
      <c r="A2021">
        <v>2019</v>
      </c>
      <c r="B2021" s="1" t="s">
        <v>2366</v>
      </c>
      <c r="C2021" t="s">
        <v>58</v>
      </c>
      <c r="D2021" s="1" t="s">
        <v>2367</v>
      </c>
    </row>
    <row r="2022" spans="1:4" hidden="1" x14ac:dyDescent="0.3">
      <c r="A2022">
        <v>2020</v>
      </c>
      <c r="B2022" t="s">
        <v>2368</v>
      </c>
      <c r="C2022" t="s">
        <v>61</v>
      </c>
      <c r="D2022">
        <v>150037707.558254</v>
      </c>
    </row>
    <row r="2023" spans="1:4" hidden="1" x14ac:dyDescent="0.3">
      <c r="A2023">
        <v>2021</v>
      </c>
      <c r="B2023" t="s">
        <v>2369</v>
      </c>
      <c r="C2023" t="s">
        <v>63</v>
      </c>
      <c r="D2023">
        <v>80000210.313881502</v>
      </c>
    </row>
    <row r="2024" spans="1:4" hidden="1" x14ac:dyDescent="0.3">
      <c r="A2024">
        <v>2022</v>
      </c>
      <c r="B2024" t="s">
        <v>2370</v>
      </c>
      <c r="C2024" t="s">
        <v>65</v>
      </c>
      <c r="D2024">
        <v>39999091.9447833</v>
      </c>
    </row>
    <row r="2025" spans="1:4" hidden="1" x14ac:dyDescent="0.3">
      <c r="A2025">
        <v>2023</v>
      </c>
      <c r="B2025" s="1" t="s">
        <v>2371</v>
      </c>
      <c r="C2025" t="s">
        <v>67</v>
      </c>
      <c r="D2025" s="1" t="s">
        <v>2372</v>
      </c>
    </row>
    <row r="2026" spans="1:4" hidden="1" x14ac:dyDescent="0.3">
      <c r="A2026">
        <v>2024</v>
      </c>
      <c r="B2026" s="1" t="s">
        <v>2373</v>
      </c>
      <c r="C2026" t="s">
        <v>70</v>
      </c>
      <c r="D2026" s="1" t="s">
        <v>2374</v>
      </c>
    </row>
    <row r="2027" spans="1:4" hidden="1" x14ac:dyDescent="0.3">
      <c r="A2027">
        <v>2025</v>
      </c>
      <c r="B2027" t="s">
        <v>2375</v>
      </c>
      <c r="C2027" t="s">
        <v>73</v>
      </c>
      <c r="D2027">
        <v>1.00015559328657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78</v>
      </c>
      <c r="C2030" t="s">
        <v>79</v>
      </c>
      <c r="D2030">
        <v>0</v>
      </c>
    </row>
    <row r="2031" spans="1:4" hidden="1" x14ac:dyDescent="0.3">
      <c r="A2031">
        <v>2029</v>
      </c>
      <c r="B2031" s="1" t="s">
        <v>2376</v>
      </c>
      <c r="C2031" t="s">
        <v>81</v>
      </c>
      <c r="D2031" s="1" t="s">
        <v>2377</v>
      </c>
    </row>
    <row r="2032" spans="1:4" hidden="1" x14ac:dyDescent="0.3">
      <c r="A2032">
        <v>2030</v>
      </c>
      <c r="B2032" t="s">
        <v>2378</v>
      </c>
      <c r="C2032" t="s">
        <v>84</v>
      </c>
      <c r="D2032">
        <v>1.0001744121730001</v>
      </c>
    </row>
    <row r="2033" spans="1:4" hidden="1" x14ac:dyDescent="0.3">
      <c r="A2033">
        <v>2031</v>
      </c>
      <c r="B2033" s="1" t="s">
        <v>2379</v>
      </c>
      <c r="C2033" t="s">
        <v>86</v>
      </c>
      <c r="D2033" s="1" t="s">
        <v>2380</v>
      </c>
    </row>
    <row r="2034" spans="1:4" hidden="1" x14ac:dyDescent="0.3">
      <c r="A2034">
        <v>2032</v>
      </c>
      <c r="B2034" t="s">
        <v>2381</v>
      </c>
      <c r="C2034" t="s">
        <v>89</v>
      </c>
      <c r="D2034">
        <v>100007695.812626</v>
      </c>
    </row>
    <row r="2035" spans="1:4" hidden="1" x14ac:dyDescent="0.3">
      <c r="A2035">
        <v>2033</v>
      </c>
      <c r="B2035" s="1" t="s">
        <v>2382</v>
      </c>
      <c r="C2035" t="s">
        <v>91</v>
      </c>
      <c r="D2035" s="1" t="s">
        <v>2328</v>
      </c>
    </row>
    <row r="2036" spans="1:4" hidden="1" x14ac:dyDescent="0.3">
      <c r="A2036">
        <v>2034</v>
      </c>
      <c r="B2036" t="s">
        <v>2383</v>
      </c>
      <c r="C2036" t="s">
        <v>94</v>
      </c>
      <c r="D2036">
        <v>80000210.313881502</v>
      </c>
    </row>
    <row r="2037" spans="1:4" hidden="1" x14ac:dyDescent="0.3">
      <c r="A2037">
        <v>2035</v>
      </c>
      <c r="B2037" t="s">
        <v>2384</v>
      </c>
      <c r="C2037" t="s">
        <v>96</v>
      </c>
      <c r="D2037">
        <v>39999091.9447833</v>
      </c>
    </row>
    <row r="2038" spans="1:4" hidden="1" x14ac:dyDescent="0.3">
      <c r="A2038">
        <v>2036</v>
      </c>
      <c r="B2038" t="s">
        <v>2385</v>
      </c>
      <c r="C2038" t="s">
        <v>98</v>
      </c>
      <c r="D2038">
        <v>30038405.2995896</v>
      </c>
    </row>
    <row r="2039" spans="1:4" hidden="1" x14ac:dyDescent="0.3">
      <c r="A2039">
        <v>2037</v>
      </c>
      <c r="B2039" s="1" t="s">
        <v>2386</v>
      </c>
      <c r="C2039" t="s">
        <v>100</v>
      </c>
      <c r="D2039" s="1" t="s">
        <v>2387</v>
      </c>
    </row>
    <row r="2040" spans="1:4" hidden="1" x14ac:dyDescent="0.3">
      <c r="A2040">
        <v>2038</v>
      </c>
      <c r="B2040" t="s">
        <v>2388</v>
      </c>
      <c r="C2040" t="s">
        <v>103</v>
      </c>
      <c r="D2040">
        <v>6.0599006674459596E-3</v>
      </c>
    </row>
    <row r="2041" spans="1:4" hidden="1" x14ac:dyDescent="0.3">
      <c r="A2041">
        <v>2039</v>
      </c>
      <c r="B2041" t="s">
        <v>2389</v>
      </c>
      <c r="C2041" t="s">
        <v>105</v>
      </c>
      <c r="D2041">
        <v>6.9427519647500299E-4</v>
      </c>
    </row>
    <row r="2042" spans="1:4" hidden="1" x14ac:dyDescent="0.3">
      <c r="A2042">
        <v>2040</v>
      </c>
      <c r="B2042" t="s">
        <v>2390</v>
      </c>
      <c r="C2042" t="s">
        <v>107</v>
      </c>
      <c r="D2042">
        <v>1.42690395813201E-2</v>
      </c>
    </row>
    <row r="2043" spans="1:4" hidden="1" x14ac:dyDescent="0.3">
      <c r="A2043">
        <v>2041</v>
      </c>
      <c r="B2043" s="1" t="s">
        <v>2391</v>
      </c>
      <c r="C2043" t="s">
        <v>109</v>
      </c>
      <c r="D2043" s="1" t="s">
        <v>2392</v>
      </c>
    </row>
    <row r="2044" spans="1:4" hidden="1" x14ac:dyDescent="0.3">
      <c r="A2044">
        <v>2042</v>
      </c>
      <c r="B2044" t="s">
        <v>2393</v>
      </c>
      <c r="C2044" t="s">
        <v>197</v>
      </c>
      <c r="D2044">
        <v>150038358.80288801</v>
      </c>
    </row>
    <row r="2045" spans="1:4" hidden="1" x14ac:dyDescent="0.3">
      <c r="A2045">
        <v>2043</v>
      </c>
      <c r="B2045" t="s">
        <v>2394</v>
      </c>
      <c r="C2045" t="s">
        <v>199</v>
      </c>
      <c r="D2045">
        <v>5064.9056371566703</v>
      </c>
    </row>
    <row r="2046" spans="1:4" hidden="1" x14ac:dyDescent="0.3">
      <c r="A2046">
        <v>2044</v>
      </c>
      <c r="B2046" t="s">
        <v>2395</v>
      </c>
      <c r="C2046" t="s">
        <v>201</v>
      </c>
      <c r="D2046">
        <v>2532.3789996321302</v>
      </c>
    </row>
    <row r="2047" spans="1:4" hidden="1" x14ac:dyDescent="0.3">
      <c r="A2047">
        <v>2045</v>
      </c>
      <c r="B2047" s="1" t="s">
        <v>2396</v>
      </c>
      <c r="C2047" t="s">
        <v>203</v>
      </c>
      <c r="D2047" s="1" t="s">
        <v>2397</v>
      </c>
    </row>
    <row r="2048" spans="1:4" hidden="1" x14ac:dyDescent="0.3">
      <c r="A2048">
        <v>2046</v>
      </c>
      <c r="B2048" t="s">
        <v>2398</v>
      </c>
      <c r="C2048" t="s">
        <v>206</v>
      </c>
      <c r="D2048">
        <v>79995647.159023404</v>
      </c>
    </row>
    <row r="2049" spans="1:4" hidden="1" x14ac:dyDescent="0.3">
      <c r="A2049">
        <v>2047</v>
      </c>
      <c r="B2049" t="s">
        <v>2399</v>
      </c>
      <c r="C2049" t="s">
        <v>208</v>
      </c>
      <c r="D2049">
        <v>39996657.675386801</v>
      </c>
    </row>
    <row r="2050" spans="1:4" hidden="1" x14ac:dyDescent="0.3">
      <c r="A2050">
        <v>2048</v>
      </c>
      <c r="B2050" t="s">
        <v>2400</v>
      </c>
      <c r="C2050" t="s">
        <v>210</v>
      </c>
      <c r="D2050">
        <v>30036554.926410802</v>
      </c>
    </row>
    <row r="2051" spans="1:4" hidden="1" x14ac:dyDescent="0.3">
      <c r="A2051">
        <v>2049</v>
      </c>
      <c r="B2051" s="1" t="s">
        <v>2401</v>
      </c>
      <c r="C2051" t="s">
        <v>212</v>
      </c>
      <c r="D2051" s="1" t="s">
        <v>2402</v>
      </c>
    </row>
    <row r="2052" spans="1:4" hidden="1" x14ac:dyDescent="0.3">
      <c r="A2052">
        <v>2050</v>
      </c>
      <c r="B2052" t="s">
        <v>2403</v>
      </c>
      <c r="C2052" t="s">
        <v>215</v>
      </c>
      <c r="D2052">
        <v>100001364.249703</v>
      </c>
    </row>
    <row r="2053" spans="1:4" hidden="1" x14ac:dyDescent="0.3">
      <c r="A2053">
        <v>2051</v>
      </c>
      <c r="B2053" t="s">
        <v>2404</v>
      </c>
      <c r="C2053" t="s">
        <v>217</v>
      </c>
      <c r="D2053">
        <v>6331.5629224777203</v>
      </c>
    </row>
    <row r="2054" spans="1:4" hidden="1" x14ac:dyDescent="0.3">
      <c r="A2054">
        <v>2052</v>
      </c>
      <c r="B2054" s="1" t="s">
        <v>2405</v>
      </c>
      <c r="C2054" t="s">
        <v>219</v>
      </c>
      <c r="D2054" s="1" t="s">
        <v>2406</v>
      </c>
    </row>
    <row r="2055" spans="1:4" hidden="1" x14ac:dyDescent="0.3">
      <c r="A2055">
        <v>2053</v>
      </c>
      <c r="B2055" t="s">
        <v>2407</v>
      </c>
      <c r="C2055" t="s">
        <v>112</v>
      </c>
      <c r="D2055">
        <v>501.75077909091198</v>
      </c>
    </row>
    <row r="2056" spans="1:4" hidden="1" x14ac:dyDescent="0.3">
      <c r="A2056">
        <v>2054</v>
      </c>
      <c r="B2056" t="s">
        <v>2408</v>
      </c>
      <c r="C2056" t="s">
        <v>114</v>
      </c>
      <c r="D2056">
        <v>98.109603147156903</v>
      </c>
    </row>
    <row r="2057" spans="1:4" hidden="1" x14ac:dyDescent="0.3">
      <c r="A2057">
        <v>2055</v>
      </c>
      <c r="B2057" s="1" t="s">
        <v>2409</v>
      </c>
      <c r="C2057" t="s">
        <v>116</v>
      </c>
      <c r="D2057" s="1" t="s">
        <v>2410</v>
      </c>
    </row>
    <row r="2058" spans="1:4" hidden="1" x14ac:dyDescent="0.3">
      <c r="A2058">
        <v>2056</v>
      </c>
      <c r="B2058" t="s">
        <v>2411</v>
      </c>
      <c r="C2058" t="s">
        <v>119</v>
      </c>
      <c r="D2058">
        <v>79995647.159023404</v>
      </c>
    </row>
    <row r="2059" spans="1:4" hidden="1" x14ac:dyDescent="0.3">
      <c r="A2059">
        <v>2057</v>
      </c>
      <c r="B2059" t="s">
        <v>2412</v>
      </c>
      <c r="C2059" t="s">
        <v>121</v>
      </c>
      <c r="D2059">
        <v>39996657.675386801</v>
      </c>
    </row>
    <row r="2060" spans="1:4" hidden="1" x14ac:dyDescent="0.3">
      <c r="A2060">
        <v>2058</v>
      </c>
      <c r="B2060" s="1" t="s">
        <v>2413</v>
      </c>
      <c r="C2060" t="s">
        <v>123</v>
      </c>
      <c r="D2060" s="1" t="s">
        <v>2414</v>
      </c>
    </row>
    <row r="2061" spans="1:4" hidden="1" x14ac:dyDescent="0.3">
      <c r="A2061">
        <v>2059</v>
      </c>
      <c r="B2061" t="s">
        <v>2415</v>
      </c>
      <c r="C2061" t="s">
        <v>126</v>
      </c>
      <c r="D2061">
        <v>0.79980606242199803</v>
      </c>
    </row>
    <row r="2062" spans="1:4" hidden="1" x14ac:dyDescent="0.3">
      <c r="A2062">
        <v>2060</v>
      </c>
      <c r="B2062" t="s">
        <v>2416</v>
      </c>
      <c r="C2062" t="s">
        <v>128</v>
      </c>
      <c r="D2062">
        <v>0.39989137436190297</v>
      </c>
    </row>
    <row r="2063" spans="1:4" hidden="1" x14ac:dyDescent="0.3">
      <c r="A2063">
        <v>2061</v>
      </c>
      <c r="B2063" s="1" t="s">
        <v>2417</v>
      </c>
      <c r="C2063" t="s">
        <v>130</v>
      </c>
      <c r="D2063" s="1" t="s">
        <v>2418</v>
      </c>
    </row>
  </sheetData>
  <autoFilter ref="A1:D2063" xr:uid="{7F83A6BB-15AD-4660-BB93-43A81706166D}">
    <filterColumn colId="2">
      <filters>
        <filter val="date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97D5-6549-45A0-B92D-C912B8FA3422}">
  <dimension ref="A1:Q37"/>
  <sheetViews>
    <sheetView tabSelected="1" workbookViewId="0">
      <selection activeCell="Q5" sqref="Q5"/>
    </sheetView>
  </sheetViews>
  <sheetFormatPr defaultRowHeight="14.4" x14ac:dyDescent="0.3"/>
  <cols>
    <col min="2" max="2" width="10" bestFit="1" customWidth="1"/>
    <col min="13" max="15" width="12" bestFit="1" customWidth="1"/>
    <col min="16" max="16" width="9" bestFit="1" customWidth="1"/>
    <col min="17" max="17" width="12.6640625" bestFit="1" customWidth="1"/>
    <col min="18" max="19" width="9" bestFit="1" customWidth="1"/>
  </cols>
  <sheetData>
    <row r="1" spans="1:17" x14ac:dyDescent="0.3">
      <c r="A1" t="s">
        <v>2</v>
      </c>
      <c r="B1" t="s">
        <v>91</v>
      </c>
      <c r="C1" t="s">
        <v>86</v>
      </c>
      <c r="D1" t="s">
        <v>70</v>
      </c>
      <c r="E1" t="s">
        <v>197</v>
      </c>
      <c r="L1" t="s">
        <v>2</v>
      </c>
      <c r="M1" t="s">
        <v>2419</v>
      </c>
      <c r="N1" t="s">
        <v>2420</v>
      </c>
      <c r="O1" t="s">
        <v>2421</v>
      </c>
      <c r="P1" t="s">
        <v>2422</v>
      </c>
      <c r="Q1" t="s">
        <v>2423</v>
      </c>
    </row>
    <row r="2" spans="1:17" x14ac:dyDescent="0.3">
      <c r="A2" t="s">
        <v>5</v>
      </c>
      <c r="B2">
        <v>100000000</v>
      </c>
      <c r="C2">
        <v>1</v>
      </c>
      <c r="D2">
        <v>1.5</v>
      </c>
      <c r="E2">
        <v>150000000</v>
      </c>
      <c r="L2" t="s">
        <v>91</v>
      </c>
      <c r="M2">
        <v>99988071.036810905</v>
      </c>
      <c r="N2">
        <v>100001486.93990999</v>
      </c>
      <c r="O2">
        <v>99994460.971437469</v>
      </c>
      <c r="P2">
        <v>1502.4139964134358</v>
      </c>
      <c r="Q2">
        <v>-2944.731432970334</v>
      </c>
    </row>
    <row r="3" spans="1:17" x14ac:dyDescent="0.3">
      <c r="A3" t="s">
        <v>5</v>
      </c>
      <c r="B3">
        <v>99997469.325434193</v>
      </c>
      <c r="C3">
        <v>1.0000253073861001</v>
      </c>
      <c r="D3">
        <v>1.50000514885215</v>
      </c>
      <c r="E3">
        <v>150000615.95518899</v>
      </c>
      <c r="F3">
        <f>STDEV(B2:B3)</f>
        <v>1789.4571464584408</v>
      </c>
      <c r="G3">
        <f t="shared" ref="G3:H3" si="0">STDEV(C2:C3)</f>
        <v>1.7895024325466216E-5</v>
      </c>
      <c r="H3">
        <f t="shared" si="0"/>
        <v>3.6407882705721864E-6</v>
      </c>
      <c r="I3">
        <f>STDEV(E2:E3)</f>
        <v>435.5460910416154</v>
      </c>
      <c r="L3" t="s">
        <v>86</v>
      </c>
      <c r="M3">
        <v>1</v>
      </c>
      <c r="N3">
        <v>1.0001743428907099</v>
      </c>
      <c r="O3">
        <v>1.0001060372328925</v>
      </c>
      <c r="P3">
        <v>1.2041985306446164E-5</v>
      </c>
      <c r="Q3">
        <v>-2.3602291200634483E-5</v>
      </c>
    </row>
    <row r="4" spans="1:17" x14ac:dyDescent="0.3">
      <c r="A4" t="s">
        <v>5</v>
      </c>
      <c r="B4">
        <v>99997520.515373394</v>
      </c>
      <c r="C4">
        <v>1.00002822811428</v>
      </c>
      <c r="D4">
        <v>1.49995882567917</v>
      </c>
      <c r="E4">
        <v>149996814.337403</v>
      </c>
      <c r="F4">
        <f t="shared" ref="F4:F31" si="1">STDEV(B3:B4)</f>
        <v>36.196753137468015</v>
      </c>
      <c r="G4">
        <f t="shared" ref="G4:G31" si="2">STDEV(C3:C4)</f>
        <v>2.0652667020651767E-6</v>
      </c>
      <c r="H4">
        <f t="shared" ref="H4:H31" si="3">STDEV(D3:D4)</f>
        <v>3.2755429740180962E-5</v>
      </c>
      <c r="I4">
        <f t="shared" ref="I4:I31" si="4">STDEV(E3:E4)</f>
        <v>2688.1497159530868</v>
      </c>
      <c r="L4" t="s">
        <v>70</v>
      </c>
      <c r="M4">
        <v>1.49951948163414</v>
      </c>
      <c r="N4">
        <v>1.50016293803621</v>
      </c>
      <c r="O4">
        <v>1.4998853524960019</v>
      </c>
      <c r="P4">
        <v>6.5255750655604094E-5</v>
      </c>
      <c r="Q4">
        <v>-1.2790127128498401E-4</v>
      </c>
    </row>
    <row r="5" spans="1:17" x14ac:dyDescent="0.3">
      <c r="A5" t="s">
        <v>5</v>
      </c>
      <c r="B5">
        <v>99996315.634625405</v>
      </c>
      <c r="C5">
        <v>1.0000402777058199</v>
      </c>
      <c r="D5">
        <v>1.50001257395455</v>
      </c>
      <c r="E5">
        <v>150002499.633789</v>
      </c>
      <c r="F5">
        <f t="shared" si="1"/>
        <v>851.97934742401435</v>
      </c>
      <c r="G5">
        <f t="shared" si="2"/>
        <v>8.5203478883818726E-6</v>
      </c>
      <c r="H5">
        <f t="shared" si="3"/>
        <v>3.8005769998252516E-5</v>
      </c>
      <c r="I5">
        <f t="shared" si="4"/>
        <v>4020.1116275984423</v>
      </c>
      <c r="L5" t="s">
        <v>197</v>
      </c>
      <c r="M5">
        <v>149961897.482519</v>
      </c>
      <c r="N5">
        <v>150038358.80288801</v>
      </c>
      <c r="O5">
        <v>149996302.567431</v>
      </c>
      <c r="P5">
        <v>5867.5992799985224</v>
      </c>
      <c r="Q5">
        <v>-11500.494588797104</v>
      </c>
    </row>
    <row r="6" spans="1:17" x14ac:dyDescent="0.3">
      <c r="A6" t="s">
        <v>5</v>
      </c>
      <c r="B6">
        <v>99995048.9330284</v>
      </c>
      <c r="C6">
        <v>1.0000613289394</v>
      </c>
      <c r="D6">
        <v>1.4999867058678</v>
      </c>
      <c r="E6">
        <v>150000657.44707301</v>
      </c>
      <c r="F6">
        <f t="shared" si="1"/>
        <v>895.69328898215599</v>
      </c>
      <c r="G6">
        <f t="shared" si="2"/>
        <v>1.4885470016826335E-5</v>
      </c>
      <c r="H6">
        <f t="shared" si="3"/>
        <v>1.8291499557233116E-5</v>
      </c>
      <c r="I6">
        <f t="shared" si="4"/>
        <v>1302.6227190885211</v>
      </c>
    </row>
    <row r="7" spans="1:17" x14ac:dyDescent="0.3">
      <c r="A7" t="s">
        <v>5</v>
      </c>
      <c r="B7">
        <v>99994428.720508307</v>
      </c>
      <c r="C7">
        <v>1.0000675317905501</v>
      </c>
      <c r="D7">
        <v>1.49995172912158</v>
      </c>
      <c r="E7">
        <v>149997699.722314</v>
      </c>
      <c r="F7">
        <f t="shared" si="1"/>
        <v>438.55647873436425</v>
      </c>
      <c r="G7">
        <f t="shared" si="2"/>
        <v>4.3860781108911564E-6</v>
      </c>
      <c r="H7">
        <f t="shared" si="3"/>
        <v>2.4732294435999111E-5</v>
      </c>
      <c r="I7">
        <f t="shared" si="4"/>
        <v>2091.4272339810582</v>
      </c>
    </row>
    <row r="8" spans="1:17" x14ac:dyDescent="0.3">
      <c r="A8" t="s">
        <v>5</v>
      </c>
      <c r="B8">
        <v>99992248.279764593</v>
      </c>
      <c r="C8">
        <v>1.00008933936094</v>
      </c>
      <c r="D8">
        <v>1.4999448105773101</v>
      </c>
      <c r="E8">
        <v>149996538.23317501</v>
      </c>
      <c r="F8">
        <f t="shared" si="1"/>
        <v>1541.8044358560121</v>
      </c>
      <c r="G8">
        <f t="shared" si="2"/>
        <v>1.5420280903931163E-5</v>
      </c>
      <c r="H8">
        <f t="shared" si="3"/>
        <v>4.8921495692063591E-6</v>
      </c>
      <c r="I8">
        <f t="shared" si="4"/>
        <v>821.29684645480643</v>
      </c>
    </row>
    <row r="9" spans="1:17" x14ac:dyDescent="0.3">
      <c r="A9" t="s">
        <v>5</v>
      </c>
      <c r="B9">
        <v>99991424.941364706</v>
      </c>
      <c r="C9">
        <v>1.00009757418664</v>
      </c>
      <c r="D9">
        <v>1.49991285532202</v>
      </c>
      <c r="E9">
        <v>149993453.88134</v>
      </c>
      <c r="F9">
        <f t="shared" si="1"/>
        <v>582.18816577143912</v>
      </c>
      <c r="G9">
        <f t="shared" si="2"/>
        <v>5.8229010943622435E-6</v>
      </c>
      <c r="H9">
        <f t="shared" si="3"/>
        <v>2.259577771017333E-5</v>
      </c>
      <c r="I9">
        <f t="shared" si="4"/>
        <v>2180.9660981024649</v>
      </c>
    </row>
    <row r="10" spans="1:17" x14ac:dyDescent="0.3">
      <c r="A10" t="s">
        <v>5</v>
      </c>
      <c r="B10">
        <v>99990280.389654204</v>
      </c>
      <c r="C10">
        <v>1.0001090219332101</v>
      </c>
      <c r="D10">
        <v>1.4998860590598999</v>
      </c>
      <c r="E10">
        <v>149989811.58113399</v>
      </c>
      <c r="F10">
        <f t="shared" si="1"/>
        <v>809.32027591414078</v>
      </c>
      <c r="G10">
        <f t="shared" si="2"/>
        <v>8.0947792289702733E-6</v>
      </c>
      <c r="H10">
        <f t="shared" si="3"/>
        <v>1.8947818655574219E-5</v>
      </c>
      <c r="I10">
        <f t="shared" si="4"/>
        <v>2575.4951747836999</v>
      </c>
    </row>
    <row r="11" spans="1:17" x14ac:dyDescent="0.3">
      <c r="A11" t="s">
        <v>5</v>
      </c>
      <c r="B11">
        <v>99991917.380316496</v>
      </c>
      <c r="C11">
        <v>1.00009264891854</v>
      </c>
      <c r="D11">
        <v>1.50003697468437</v>
      </c>
      <c r="E11">
        <v>150005006.34081101</v>
      </c>
      <c r="F11">
        <f t="shared" si="1"/>
        <v>1157.5271980454806</v>
      </c>
      <c r="G11">
        <f t="shared" si="2"/>
        <v>1.1577469701664069E-5</v>
      </c>
      <c r="H11">
        <f t="shared" si="3"/>
        <v>1.0671346144982146E-4</v>
      </c>
      <c r="I11">
        <f t="shared" si="4"/>
        <v>10744.317606122662</v>
      </c>
    </row>
    <row r="12" spans="1:17" x14ac:dyDescent="0.3">
      <c r="A12" t="s">
        <v>5</v>
      </c>
      <c r="B12">
        <v>99995721.265329599</v>
      </c>
      <c r="C12">
        <v>1.00007925605193</v>
      </c>
      <c r="D12">
        <v>1.49989446810878</v>
      </c>
      <c r="E12">
        <v>149995597.27817401</v>
      </c>
      <c r="F12">
        <f t="shared" si="1"/>
        <v>2689.7528876193537</v>
      </c>
      <c r="G12">
        <f t="shared" si="2"/>
        <v>9.4701867994235424E-6</v>
      </c>
      <c r="H12">
        <f t="shared" si="3"/>
        <v>1.0076736596336712E-4</v>
      </c>
      <c r="I12">
        <f t="shared" si="4"/>
        <v>6653.2119952325811</v>
      </c>
    </row>
    <row r="13" spans="1:17" x14ac:dyDescent="0.3">
      <c r="A13" t="s">
        <v>5</v>
      </c>
      <c r="B13">
        <v>99993753.337752804</v>
      </c>
      <c r="C13">
        <v>1.0000989381168801</v>
      </c>
      <c r="D13">
        <v>1.4998807749819301</v>
      </c>
      <c r="E13">
        <v>149994391.973643</v>
      </c>
      <c r="F13">
        <f t="shared" si="1"/>
        <v>1391.5349344359106</v>
      </c>
      <c r="G13">
        <f t="shared" si="2"/>
        <v>1.3917321593945871E-5</v>
      </c>
      <c r="H13">
        <f t="shared" si="3"/>
        <v>9.6825028512516691E-6</v>
      </c>
      <c r="I13">
        <f t="shared" si="4"/>
        <v>852.27900727063172</v>
      </c>
    </row>
    <row r="14" spans="1:17" x14ac:dyDescent="0.3">
      <c r="A14" t="s">
        <v>5</v>
      </c>
      <c r="B14">
        <v>99991313.915577307</v>
      </c>
      <c r="C14">
        <v>1.0001233368714499</v>
      </c>
      <c r="D14">
        <v>1.49991702850117</v>
      </c>
      <c r="E14">
        <v>149998294.903211</v>
      </c>
      <c r="F14">
        <f t="shared" si="1"/>
        <v>1724.9319624706393</v>
      </c>
      <c r="G14">
        <f t="shared" si="2"/>
        <v>1.7252524808834536E-5</v>
      </c>
      <c r="H14">
        <f t="shared" si="3"/>
        <v>2.563510929646007E-5</v>
      </c>
      <c r="I14">
        <f t="shared" si="4"/>
        <v>2759.7879640211113</v>
      </c>
    </row>
    <row r="15" spans="1:17" x14ac:dyDescent="0.3">
      <c r="A15" t="s">
        <v>5</v>
      </c>
      <c r="B15">
        <v>99988071.036810905</v>
      </c>
      <c r="C15">
        <v>1.0001557735281299</v>
      </c>
      <c r="D15">
        <v>1.5000362096566899</v>
      </c>
      <c r="E15">
        <v>150009043.81710899</v>
      </c>
      <c r="F15">
        <f t="shared" si="1"/>
        <v>2293.061566289146</v>
      </c>
      <c r="G15">
        <f t="shared" si="2"/>
        <v>2.293617989741767E-5</v>
      </c>
      <c r="H15">
        <f t="shared" si="3"/>
        <v>8.4273803257768756E-5</v>
      </c>
      <c r="I15">
        <f t="shared" si="4"/>
        <v>7600.6299076598889</v>
      </c>
    </row>
    <row r="16" spans="1:17" x14ac:dyDescent="0.3">
      <c r="A16" t="s">
        <v>5</v>
      </c>
      <c r="B16">
        <v>99990620.710801303</v>
      </c>
      <c r="C16">
        <v>1.00015441334033</v>
      </c>
      <c r="D16">
        <v>1.4999160532256799</v>
      </c>
      <c r="E16">
        <v>150000341.92253801</v>
      </c>
      <c r="F16">
        <f t="shared" si="1"/>
        <v>1802.8917684258465</v>
      </c>
      <c r="G16">
        <f t="shared" si="2"/>
        <v>9.6179801703048784E-7</v>
      </c>
      <c r="H16">
        <f t="shared" si="3"/>
        <v>8.4963427170375223E-5</v>
      </c>
      <c r="I16">
        <f t="shared" si="4"/>
        <v>6153.1686603078833</v>
      </c>
    </row>
    <row r="17" spans="1:9" x14ac:dyDescent="0.3">
      <c r="A17" t="s">
        <v>5</v>
      </c>
      <c r="B17">
        <v>99991643.038156897</v>
      </c>
      <c r="C17">
        <v>1.0001441876336099</v>
      </c>
      <c r="D17">
        <v>1.49984477120954</v>
      </c>
      <c r="E17">
        <v>149993372.05068699</v>
      </c>
      <c r="F17">
        <f t="shared" si="1"/>
        <v>722.89460573263443</v>
      </c>
      <c r="G17">
        <f t="shared" si="2"/>
        <v>7.2306665641695103E-6</v>
      </c>
      <c r="H17">
        <f t="shared" si="3"/>
        <v>5.0403996989192421E-5</v>
      </c>
      <c r="I17">
        <f t="shared" si="4"/>
        <v>4928.4436498624345</v>
      </c>
    </row>
    <row r="18" spans="1:9" x14ac:dyDescent="0.3">
      <c r="A18" t="s">
        <v>5</v>
      </c>
      <c r="B18">
        <v>99992206.480779499</v>
      </c>
      <c r="C18">
        <v>1.00013855195575</v>
      </c>
      <c r="D18">
        <v>1.4997846301994</v>
      </c>
      <c r="E18">
        <v>149987769.016325</v>
      </c>
      <c r="F18">
        <f t="shared" si="1"/>
        <v>398.41409925139698</v>
      </c>
      <c r="G18">
        <f t="shared" si="2"/>
        <v>3.985026031345531E-6</v>
      </c>
      <c r="H18">
        <f t="shared" si="3"/>
        <v>4.2526116097373203E-5</v>
      </c>
      <c r="I18">
        <f t="shared" si="4"/>
        <v>3961.9435925831722</v>
      </c>
    </row>
    <row r="19" spans="1:9" x14ac:dyDescent="0.3">
      <c r="A19" t="s">
        <v>5</v>
      </c>
      <c r="B19">
        <v>99991581.247792706</v>
      </c>
      <c r="C19">
        <v>1.0001448056783799</v>
      </c>
      <c r="D19">
        <v>1.49979692635461</v>
      </c>
      <c r="E19">
        <v>149986892.03553599</v>
      </c>
      <c r="F19">
        <f t="shared" si="1"/>
        <v>442.10648478279427</v>
      </c>
      <c r="G19">
        <f t="shared" si="2"/>
        <v>4.4220496793097782E-6</v>
      </c>
      <c r="H19">
        <f t="shared" si="3"/>
        <v>8.6946947315375097E-6</v>
      </c>
      <c r="I19">
        <f t="shared" si="4"/>
        <v>620.11906287629915</v>
      </c>
    </row>
    <row r="20" spans="1:9" x14ac:dyDescent="0.3">
      <c r="A20" t="s">
        <v>5</v>
      </c>
      <c r="B20">
        <v>99997042.870510504</v>
      </c>
      <c r="C20">
        <v>1.0000901799271</v>
      </c>
      <c r="D20">
        <v>1.49965336074494</v>
      </c>
      <c r="E20">
        <v>149972886.27983901</v>
      </c>
      <c r="F20">
        <f t="shared" si="1"/>
        <v>3861.9504600372948</v>
      </c>
      <c r="G20">
        <f t="shared" si="2"/>
        <v>3.8626239157428425E-5</v>
      </c>
      <c r="H20">
        <f t="shared" si="3"/>
        <v>1.0151621614283325E-4</v>
      </c>
      <c r="I20">
        <f t="shared" si="4"/>
        <v>9903.5648289781948</v>
      </c>
    </row>
    <row r="21" spans="1:9" x14ac:dyDescent="0.3">
      <c r="A21" t="s">
        <v>5</v>
      </c>
      <c r="B21">
        <v>100001486.93990999</v>
      </c>
      <c r="C21">
        <v>1.00004573588631</v>
      </c>
      <c r="D21">
        <v>1.49951948163414</v>
      </c>
      <c r="E21">
        <v>149961897.482519</v>
      </c>
      <c r="F21">
        <f t="shared" si="1"/>
        <v>3142.4316084436805</v>
      </c>
      <c r="G21">
        <f t="shared" si="2"/>
        <v>3.1426682625990273E-5</v>
      </c>
      <c r="H21">
        <f t="shared" si="3"/>
        <v>9.4666827105972136E-5</v>
      </c>
      <c r="I21">
        <f t="shared" si="4"/>
        <v>7770.2531020624128</v>
      </c>
    </row>
    <row r="22" spans="1:9" x14ac:dyDescent="0.3">
      <c r="A22" t="s">
        <v>5</v>
      </c>
      <c r="B22">
        <v>99998998.147978306</v>
      </c>
      <c r="C22">
        <v>1.0000706251932501</v>
      </c>
      <c r="D22">
        <v>1.4995249954873899</v>
      </c>
      <c r="E22">
        <v>149962536.38137901</v>
      </c>
      <c r="F22">
        <f t="shared" si="1"/>
        <v>1759.841651859507</v>
      </c>
      <c r="G22">
        <f t="shared" si="2"/>
        <v>1.7599397716386861E-5</v>
      </c>
      <c r="H22">
        <f t="shared" si="3"/>
        <v>3.8988830235306145E-6</v>
      </c>
      <c r="I22">
        <f t="shared" si="4"/>
        <v>451.76971640367526</v>
      </c>
    </row>
    <row r="23" spans="1:9" x14ac:dyDescent="0.3">
      <c r="A23" t="s">
        <v>5</v>
      </c>
      <c r="B23">
        <v>99996256.634951293</v>
      </c>
      <c r="C23">
        <v>1.00009804328608</v>
      </c>
      <c r="D23">
        <v>1.4996336465275499</v>
      </c>
      <c r="E23">
        <v>149973207.31133199</v>
      </c>
      <c r="F23">
        <f t="shared" si="1"/>
        <v>1938.54245211169</v>
      </c>
      <c r="G23">
        <f t="shared" si="2"/>
        <v>1.938751936723282E-5</v>
      </c>
      <c r="H23">
        <f t="shared" si="3"/>
        <v>7.6827887280109033E-5</v>
      </c>
      <c r="I23">
        <f t="shared" si="4"/>
        <v>7545.4869313181598</v>
      </c>
    </row>
    <row r="24" spans="1:9" x14ac:dyDescent="0.3">
      <c r="A24" t="s">
        <v>5</v>
      </c>
      <c r="B24">
        <v>99994078.098197103</v>
      </c>
      <c r="C24">
        <v>1.0001198320798399</v>
      </c>
      <c r="D24">
        <v>1.49962704206965</v>
      </c>
      <c r="E24">
        <v>149972220.92084599</v>
      </c>
      <c r="F24">
        <f t="shared" si="1"/>
        <v>1540.4581119525317</v>
      </c>
      <c r="G24">
        <f t="shared" si="2"/>
        <v>1.5407003821510118E-5</v>
      </c>
      <c r="H24">
        <f t="shared" si="3"/>
        <v>4.6700569670844727E-6</v>
      </c>
      <c r="I24">
        <f t="shared" si="4"/>
        <v>697.48340154988614</v>
      </c>
    </row>
    <row r="25" spans="1:9" x14ac:dyDescent="0.3">
      <c r="A25" t="s">
        <v>5</v>
      </c>
      <c r="B25">
        <v>99992841.195100293</v>
      </c>
      <c r="C25">
        <v>1.0001322034786599</v>
      </c>
      <c r="D25">
        <v>1.4999659494328099</v>
      </c>
      <c r="E25">
        <v>150006193.52109399</v>
      </c>
      <c r="F25">
        <f t="shared" si="1"/>
        <v>874.62256742497993</v>
      </c>
      <c r="G25">
        <f t="shared" si="2"/>
        <v>8.7478999984160583E-6</v>
      </c>
      <c r="H25">
        <f t="shared" si="3"/>
        <v>2.3964369468441047E-4</v>
      </c>
      <c r="I25">
        <f t="shared" si="4"/>
        <v>24022.256009906927</v>
      </c>
    </row>
    <row r="26" spans="1:9" x14ac:dyDescent="0.3">
      <c r="A26" t="s">
        <v>5</v>
      </c>
      <c r="B26">
        <v>99991373.848074794</v>
      </c>
      <c r="C26">
        <v>1.0001468801548301</v>
      </c>
      <c r="D26">
        <v>1.49993521005099</v>
      </c>
      <c r="E26">
        <v>150003223.04125401</v>
      </c>
      <c r="F26">
        <f t="shared" si="1"/>
        <v>1037.5710320840744</v>
      </c>
      <c r="G26">
        <f t="shared" si="2"/>
        <v>1.0377977245203851E-5</v>
      </c>
      <c r="H26">
        <f t="shared" si="3"/>
        <v>2.1736025334380705E-5</v>
      </c>
      <c r="I26">
        <f t="shared" si="4"/>
        <v>2100.4464382282144</v>
      </c>
    </row>
    <row r="27" spans="1:9" x14ac:dyDescent="0.3">
      <c r="A27" t="s">
        <v>5</v>
      </c>
      <c r="B27">
        <v>99989605.518903196</v>
      </c>
      <c r="C27">
        <v>1.00016456788242</v>
      </c>
      <c r="D27">
        <v>1.49991373892931</v>
      </c>
      <c r="E27">
        <v>150000314.43296301</v>
      </c>
      <c r="F27">
        <f t="shared" si="1"/>
        <v>1250.3975486069057</v>
      </c>
      <c r="G27">
        <f t="shared" si="2"/>
        <v>1.2507112122613676E-5</v>
      </c>
      <c r="H27">
        <f t="shared" si="3"/>
        <v>1.5182375739566385E-5</v>
      </c>
      <c r="I27">
        <f t="shared" si="4"/>
        <v>2056.6966463816057</v>
      </c>
    </row>
    <row r="28" spans="1:9" x14ac:dyDescent="0.3">
      <c r="A28" t="s">
        <v>5</v>
      </c>
      <c r="B28">
        <v>99990038.466659397</v>
      </c>
      <c r="C28">
        <v>1.0001602372609699</v>
      </c>
      <c r="D28">
        <v>1.50016293803621</v>
      </c>
      <c r="E28">
        <v>150025804.86609101</v>
      </c>
      <c r="F28">
        <f t="shared" si="1"/>
        <v>306.14029430924762</v>
      </c>
      <c r="G28">
        <f t="shared" si="2"/>
        <v>3.0622117941250033E-6</v>
      </c>
      <c r="H28">
        <f t="shared" si="3"/>
        <v>1.76210378354637E-4</v>
      </c>
      <c r="I28">
        <f t="shared" si="4"/>
        <v>18024.458120190528</v>
      </c>
    </row>
    <row r="29" spans="1:9" x14ac:dyDescent="0.3">
      <c r="A29" t="s">
        <v>5</v>
      </c>
      <c r="B29">
        <v>99999688.429520905</v>
      </c>
      <c r="C29">
        <v>1.00017235414809</v>
      </c>
      <c r="D29">
        <v>1.49980327315191</v>
      </c>
      <c r="E29">
        <v>150005778.560386</v>
      </c>
      <c r="F29">
        <f t="shared" si="1"/>
        <v>6823.5541775707397</v>
      </c>
      <c r="G29">
        <f t="shared" si="2"/>
        <v>8.56793304949893E-6</v>
      </c>
      <c r="H29">
        <f t="shared" si="3"/>
        <v>2.5432147864324701E-4</v>
      </c>
      <c r="I29">
        <f t="shared" si="4"/>
        <v>14160.736566128044</v>
      </c>
    </row>
    <row r="30" spans="1:9" x14ac:dyDescent="0.3">
      <c r="A30" t="s">
        <v>5</v>
      </c>
      <c r="B30">
        <v>99999489.590544298</v>
      </c>
      <c r="C30">
        <v>1.0001743428907099</v>
      </c>
      <c r="D30">
        <v>1.49993119558516</v>
      </c>
      <c r="E30">
        <v>150017855.29288799</v>
      </c>
      <c r="F30">
        <f t="shared" si="1"/>
        <v>140.6003887228097</v>
      </c>
      <c r="G30">
        <f t="shared" si="2"/>
        <v>1.4062533925789495E-6</v>
      </c>
      <c r="H30">
        <f t="shared" si="3"/>
        <v>9.0454820016954226E-5</v>
      </c>
      <c r="I30">
        <f t="shared" si="4"/>
        <v>8539.5394467286151</v>
      </c>
    </row>
    <row r="31" spans="1:9" x14ac:dyDescent="0.3">
      <c r="A31" t="s">
        <v>5</v>
      </c>
      <c r="B31">
        <v>100001364.249703</v>
      </c>
      <c r="C31">
        <v>1.00015559328657</v>
      </c>
      <c r="D31">
        <v>1.50012319787334</v>
      </c>
      <c r="E31">
        <v>150038358.80288801</v>
      </c>
      <c r="F31">
        <f t="shared" si="1"/>
        <v>1325.584203534951</v>
      </c>
      <c r="G31">
        <f t="shared" si="2"/>
        <v>1.3257972231918379E-5</v>
      </c>
      <c r="H31">
        <f t="shared" si="3"/>
        <v>1.35766119975454E-4</v>
      </c>
      <c r="I31">
        <f t="shared" si="4"/>
        <v>14498.17095914052</v>
      </c>
    </row>
    <row r="32" spans="1:9" x14ac:dyDescent="0.3">
      <c r="A32" t="s">
        <v>2419</v>
      </c>
      <c r="B32">
        <f>MIN($B$2:B31)</f>
        <v>99988071.036810905</v>
      </c>
      <c r="C32">
        <f>MIN($C$2:C31)</f>
        <v>1</v>
      </c>
      <c r="D32">
        <f>MIN($D$2:D31)</f>
        <v>1.49951948163414</v>
      </c>
      <c r="E32">
        <f>MIN($E$2:E31)</f>
        <v>149961897.482519</v>
      </c>
    </row>
    <row r="33" spans="1:5" x14ac:dyDescent="0.3">
      <c r="A33" t="s">
        <v>2420</v>
      </c>
      <c r="B33">
        <f>MAX($B$2:B31)</f>
        <v>100001486.93990999</v>
      </c>
      <c r="C33">
        <f>MAX($C$2:C31)</f>
        <v>1.0001743428907099</v>
      </c>
      <c r="D33">
        <f>MAX($D$2:D31)</f>
        <v>1.50016293803621</v>
      </c>
      <c r="E33">
        <f>MAX($E$2:E31)</f>
        <v>150038358.80288801</v>
      </c>
    </row>
    <row r="34" spans="1:5" x14ac:dyDescent="0.3">
      <c r="A34" t="s">
        <v>2421</v>
      </c>
      <c r="B34">
        <f>AVERAGE($B$2:B31)</f>
        <v>99994460.971437469</v>
      </c>
      <c r="C34">
        <f>AVERAGE($C$2:C31)</f>
        <v>1.0001060372328925</v>
      </c>
      <c r="D34">
        <f>AVERAGE($D$2:D31)</f>
        <v>1.4998853524960019</v>
      </c>
      <c r="E34" s="3">
        <f>AVERAGE($E$2:E31)</f>
        <v>149996302.567431</v>
      </c>
    </row>
    <row r="35" spans="1:5" x14ac:dyDescent="0.3">
      <c r="A35" t="s">
        <v>2422</v>
      </c>
      <c r="B35">
        <f>AVERAGE($F$2:F31)</f>
        <v>1502.4139964134358</v>
      </c>
      <c r="C35">
        <f>AVERAGE($G$2:G31)</f>
        <v>1.2041985306446164E-5</v>
      </c>
      <c r="D35">
        <f>AVERAGE($H$2:H31)</f>
        <v>6.5255750655604094E-5</v>
      </c>
      <c r="E35" s="3">
        <f>AVERAGE($I$2:I31)</f>
        <v>5867.5992799985224</v>
      </c>
    </row>
    <row r="36" spans="1:5" x14ac:dyDescent="0.3">
      <c r="A36" t="s">
        <v>2423</v>
      </c>
      <c r="B36">
        <f>-1.96*B35</f>
        <v>-2944.731432970334</v>
      </c>
      <c r="C36">
        <f>-1.96*C35</f>
        <v>-2.3602291200634483E-5</v>
      </c>
      <c r="D36">
        <f t="shared" ref="D36:E36" si="5">-1.96*D35</f>
        <v>-1.2790127128498401E-4</v>
      </c>
      <c r="E36" s="3">
        <f t="shared" si="5"/>
        <v>-11500.494588797104</v>
      </c>
    </row>
    <row r="37" spans="1:5" x14ac:dyDescent="0.3">
      <c r="B37">
        <f>B36/B34</f>
        <v>-2.9448945515206792E-5</v>
      </c>
      <c r="C37">
        <f>C36/C34</f>
        <v>-2.3599788744339185E-5</v>
      </c>
      <c r="D37">
        <f t="shared" ref="D37:E37" si="6">D36/D34</f>
        <v>-8.5274031826592533E-5</v>
      </c>
      <c r="E37">
        <f t="shared" si="6"/>
        <v>-7.6671853852044419E-5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2026-02-21T11:21:54Z</dcterms:created>
  <dcterms:modified xsi:type="dcterms:W3CDTF">2026-02-21T15:06:49Z</dcterms:modified>
</cp:coreProperties>
</file>