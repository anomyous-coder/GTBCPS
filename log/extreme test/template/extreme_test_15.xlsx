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AA4DE5CE-35D5-411F-AA83-7DE7A8CA1147}" xr6:coauthVersionLast="47" xr6:coauthVersionMax="47" xr10:uidLastSave="{00000000-0000-0000-0000-000000000000}"/>
  <bookViews>
    <workbookView xWindow="1776" yWindow="2928" windowWidth="17280" windowHeight="8880" activeTab="1" xr2:uid="{FCD5CD53-2F94-4F0F-A38F-DF89AFC7FD2D}"/>
  </bookViews>
  <sheets>
    <sheet name="extreme_test_15" sheetId="1" r:id="rId1"/>
    <sheet name="Sheet1" sheetId="2" r:id="rId2"/>
  </sheets>
  <definedNames>
    <definedName name="_xlnm._FilterDatabase" localSheetId="0" hidden="1">extreme_test_15!$A$1:$D$1028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21" i="2" s="1"/>
  <c r="B22" i="2" s="1"/>
  <c r="C19" i="2"/>
  <c r="B19" i="2"/>
  <c r="C18" i="2"/>
  <c r="B18" i="2"/>
  <c r="C17" i="2"/>
  <c r="B17" i="2"/>
  <c r="D4" i="2"/>
  <c r="E4" i="2"/>
  <c r="C20" i="2" s="1"/>
  <c r="C21" i="2" s="1"/>
  <c r="C22" i="2" s="1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E3" i="2"/>
  <c r="D3" i="2"/>
</calcChain>
</file>

<file path=xl/sharedStrings.xml><?xml version="1.0" encoding="utf-8"?>
<sst xmlns="http://schemas.openxmlformats.org/spreadsheetml/2006/main" count="2453" uniqueCount="1258">
  <si>
    <t>string</t>
  </si>
  <si>
    <t>name</t>
  </si>
  <si>
    <t>value</t>
  </si>
  <si>
    <t xml:space="preserve">date is: 2021-02-04 00:00:00
</t>
  </si>
  <si>
    <t>date is</t>
  </si>
  <si>
    <t xml:space="preserve"> 2021-02-04 00</t>
  </si>
  <si>
    <t>current price of gold is: 1794.03</t>
  </si>
  <si>
    <t>current price of gold is</t>
  </si>
  <si>
    <t xml:space="preserve"> predicted price of gold is: 1809.259857481012</t>
  </si>
  <si>
    <t xml:space="preserve"> predicted price of gold is</t>
  </si>
  <si>
    <t xml:space="preserve">profit is: 15.229857481012004
</t>
  </si>
  <si>
    <t>profit is</t>
  </si>
  <si>
    <t xml:space="preserve"> 15.229857481012004
</t>
  </si>
  <si>
    <t>current price of tb is: 99.65234375</t>
  </si>
  <si>
    <t>current price of tb is</t>
  </si>
  <si>
    <t xml:space="preserve"> current price of tb option is: 4.408089355926049</t>
  </si>
  <si>
    <t xml:space="preserve"> current price of tb option is</t>
  </si>
  <si>
    <t>predicted price of tb is: 99.74788968787651</t>
  </si>
  <si>
    <t>predicted price of tb is</t>
  </si>
  <si>
    <t xml:space="preserve">profit is: 4.50363529380256
</t>
  </si>
  <si>
    <t xml:space="preserve"> 4.50363529380256
</t>
  </si>
  <si>
    <t>current price of reit is: 67.8</t>
  </si>
  <si>
    <t>current price of reit is</t>
  </si>
  <si>
    <t xml:space="preserve"> current price of reit option is: 6.28378942099819</t>
  </si>
  <si>
    <t xml:space="preserve"> current price of reit option is</t>
  </si>
  <si>
    <t>predicted price of reit is: 68.14906598619457</t>
  </si>
  <si>
    <t>predicted price of reit is</t>
  </si>
  <si>
    <t xml:space="preserve">profit is: 6.632855407192764
</t>
  </si>
  <si>
    <t xml:space="preserve"> 6.632855407192764
</t>
  </si>
  <si>
    <t>value_ratio_tb_to_total is: 0.17080997575826173</t>
  </si>
  <si>
    <t>value_ratio_tb_to_total is</t>
  </si>
  <si>
    <t xml:space="preserve"> risk_ratio_tb_to_gold is: 0.05159618627807581
</t>
  </si>
  <si>
    <t xml:space="preserve"> risk_ratio_tb_to_gold is</t>
  </si>
  <si>
    <t xml:space="preserve"> 0.05159618627807581
</t>
  </si>
  <si>
    <t>value_ratio_gold_to_total is: 0.5776248335901526</t>
  </si>
  <si>
    <t>value_ratio_gold_to_total is</t>
  </si>
  <si>
    <t xml:space="preserve"> risk_ratio_gold_to_total is: 0.9109830778903779
</t>
  </si>
  <si>
    <t xml:space="preserve"> risk_ratio_gold_to_total is</t>
  </si>
  <si>
    <t xml:space="preserve"> 0.9109830778903779
</t>
  </si>
  <si>
    <t>value_ratio_reit_to_total is: 0.2515651906515857</t>
  </si>
  <si>
    <t>value_ratio_reit_to_total is</t>
  </si>
  <si>
    <t xml:space="preserve"> risk_ratio_reit_to_gold is: 0.046119044959549695
</t>
  </si>
  <si>
    <t xml:space="preserve"> risk_ratio_reit_to_gold is</t>
  </si>
  <si>
    <t xml:space="preserve"> 0.046119044959549695
</t>
  </si>
  <si>
    <t>average_risk_gold is: 0.009726329456433824</t>
  </si>
  <si>
    <t>average_risk_gold is</t>
  </si>
  <si>
    <t xml:space="preserve"> average_risk_tb is: 1.5670839317804446</t>
  </si>
  <si>
    <t xml:space="preserve"> average_risk_tb is</t>
  </si>
  <si>
    <t xml:space="preserve"> average_risk_reit is: 1.4007317113644915
</t>
  </si>
  <si>
    <t xml:space="preserve"> average_risk_reit is</t>
  </si>
  <si>
    <t xml:space="preserve"> 1.4007317113644915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</si>
  <si>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</si>
  <si>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</si>
  <si>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</si>
  <si>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</si>
  <si>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</si>
  <si>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</si>
  <si>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0.35
</t>
  </si>
  <si>
    <t>collateral_ratio_tranche_reit is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</si>
  <si>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</si>
  <si>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</si>
  <si>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</si>
  <si>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</si>
  <si>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</si>
  <si>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</si>
  <si>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35000000.0
</t>
  </si>
  <si>
    <t xml:space="preserve"> plot size of REIT is</t>
  </si>
  <si>
    <t xml:space="preserve"> 35000000.0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</si>
  <si>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</si>
  <si>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</si>
  <si>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</si>
  <si>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</si>
  <si>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</si>
  <si>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</si>
  <si>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</si>
  <si>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</si>
  <si>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</si>
  <si>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</si>
  <si>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</si>
  <si>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0.009138127203288248
</t>
  </si>
  <si>
    <t>stdev_gtbcps is</t>
  </si>
  <si>
    <t xml:space="preserve"> 0.009138127203288248
</t>
  </si>
  <si>
    <t>predicted price of GTBCPS is: 1.0000034194238143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</si>
  <si>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</si>
  <si>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</si>
  <si>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</si>
  <si>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</si>
  <si>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99999658.05878781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</si>
  <si>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</si>
  <si>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</si>
  <si>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</si>
  <si>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</si>
  <si>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</si>
  <si>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</si>
  <si>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</si>
  <si>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</si>
  <si>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35000000.0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</si>
  <si>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</si>
  <si>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</si>
  <si>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</si>
  <si>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</si>
  <si>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0.01069086020474327</t>
  </si>
  <si>
    <t>predicted stdevs of gold is</t>
  </si>
  <si>
    <t xml:space="preserve"> predicted stdevs of tb is: 0.0005018415064360954</t>
  </si>
  <si>
    <t xml:space="preserve"> predicted stdevs of tb is</t>
  </si>
  <si>
    <t xml:space="preserve"> predicted stdevs of reit is: 0.014225308896814642</t>
  </si>
  <si>
    <t xml:space="preserve"> predicted stdevs of reit is</t>
  </si>
  <si>
    <t xml:space="preserve"> predicted stdevs of GTBCPS is: 0.009138127203288248.
</t>
  </si>
  <si>
    <t xml:space="preserve"> predicted stdevs of GTBCPS is</t>
  </si>
  <si>
    <t xml:space="preserve"> 0.009138127203288248.
</t>
  </si>
  <si>
    <t>payout of tranche of gold is: 91.18432325072628</t>
  </si>
  <si>
    <t>payout of tranche of gold is</t>
  </si>
  <si>
    <t xml:space="preserve"> payout of tranche of Treausry Bill Option is: 13.652319508928185</t>
  </si>
  <si>
    <t xml:space="preserve"> payout of tranche of Treausry Bill Option is</t>
  </si>
  <si>
    <t xml:space="preserve"> payout of tranche of Collar of REIT is: 12.90902655788654
</t>
  </si>
  <si>
    <t xml:space="preserve"> payout of tranche of Collar of REIT is</t>
  </si>
  <si>
    <t xml:space="preserve"> 12.90902655788654
</t>
  </si>
  <si>
    <t>Collateral size of tranche of gold is: 80000091.18432325</t>
  </si>
  <si>
    <t>Collateral size of tranche of gold is</t>
  </si>
  <si>
    <t xml:space="preserve"> collateral size of tranche of Treausry Bill Option is: 35000013.652319506</t>
  </si>
  <si>
    <t xml:space="preserve"> collateral size of tranche of Treausry Bill Option is</t>
  </si>
  <si>
    <t xml:space="preserve"> collateral size of tranche of Collar of REIT is: 35000012.909026556
</t>
  </si>
  <si>
    <t xml:space="preserve"> collateral size of tranche of Collar of REIT is</t>
  </si>
  <si>
    <t xml:space="preserve"> 35000012.909026556
</t>
  </si>
  <si>
    <t>Collateral ratio of tranche of gold is: 0.8000009118432325</t>
  </si>
  <si>
    <t>Collateral ratio of tranche of gold is</t>
  </si>
  <si>
    <t xml:space="preserve"> collateral ratio of tranche of Treausry Bill Option is: 0.35000013652319506</t>
  </si>
  <si>
    <t xml:space="preserve"> collateral ratio of tranche of Treausry Bill Option is</t>
  </si>
  <si>
    <t xml:space="preserve"> collateral ratio of tranche of Collar of REIT is: 0.35000012909026557
</t>
  </si>
  <si>
    <t xml:space="preserve"> collateral ratio of tranche of Collar of REIT is</t>
  </si>
  <si>
    <t xml:space="preserve"> 0.35000012909026557
</t>
  </si>
  <si>
    <t xml:space="preserve"> predicted price of gold is: 1809.259857481012
</t>
  </si>
  <si>
    <t xml:space="preserve"> 1809.259857481012
</t>
  </si>
  <si>
    <t xml:space="preserve"> predicted price of tb is: 99.74788968787651
</t>
  </si>
  <si>
    <t xml:space="preserve"> predicted price of tb is</t>
  </si>
  <si>
    <t xml:space="preserve"> 99.74788968787651
</t>
  </si>
  <si>
    <t xml:space="preserve"> current price of reit option is: 6.29548262503009</t>
  </si>
  <si>
    <t xml:space="preserve"> predicted price of reit is: 68.40927019560122
</t>
  </si>
  <si>
    <t xml:space="preserve"> predicted price of reit is</t>
  </si>
  <si>
    <t xml:space="preserve"> 68.40927019560122
</t>
  </si>
  <si>
    <t>value_ratio_gold_to_total is: 0.5717289986850983</t>
  </si>
  <si>
    <t xml:space="preserve"> risk_ratio_to_gold is: 0.9113045606663938</t>
  </si>
  <si>
    <t xml:space="preserve"> risk_ratio_to_gold is</t>
  </si>
  <si>
    <t xml:space="preserve"> risk_ratio_to_gold_before is: 0.9109830778903779
</t>
  </si>
  <si>
    <t xml:space="preserve"> risk_ratio_to_gold_before is</t>
  </si>
  <si>
    <t>value_ratio_tb_to_total is: 0.16906651294530106</t>
  </si>
  <si>
    <t xml:space="preserve"> risk_ratio_tb_to_gold is: 0.0517155763909577</t>
  </si>
  <si>
    <t xml:space="preserve"> risk_ratio_tb_to_gold_before is: 0.05159618627807581
</t>
  </si>
  <si>
    <t xml:space="preserve"> risk_ratio_tb_to_gold_before is</t>
  </si>
  <si>
    <t>value_ratio_reit_to_total is: 0.2592044883696006</t>
  </si>
  <si>
    <t xml:space="preserve"> risk_ratio_reit_to_gold is: 0.04561241159666666</t>
  </si>
  <si>
    <t xml:space="preserve"> risk_ratio_reit_to_gold_before is: 0.046119044959549695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</si>
  <si>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</si>
  <si>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</si>
  <si>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</si>
  <si>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</si>
  <si>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</si>
  <si>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1.0001578375529017
</t>
  </si>
  <si>
    <t xml:space="preserve"> delta_reit is</t>
  </si>
  <si>
    <t xml:space="preserve"> 1.0001578375529017
</t>
  </si>
  <si>
    <t>delta_gold_risk is: 1.0001682290019913</t>
  </si>
  <si>
    <t>delta_gold_risk is</t>
  </si>
  <si>
    <t xml:space="preserve"> delta_tb_risk is: 1.000113532280204</t>
  </si>
  <si>
    <t xml:space="preserve"> delta_tb_risk is</t>
  </si>
  <si>
    <t xml:space="preserve"> delta_reit_risk is: 0.9995157019984255
</t>
  </si>
  <si>
    <t xml:space="preserve"> delta_reit_risk is</t>
  </si>
  <si>
    <t xml:space="preserve"> 0.9995157019984255
</t>
  </si>
  <si>
    <t xml:space="preserve">collateral_ratio_tranche_gold is: 0.7998663511252563
</t>
  </si>
  <si>
    <t xml:space="preserve"> 0.7998663511252563
</t>
  </si>
  <si>
    <t xml:space="preserve">collateral_ratio_tranche_tb is: 0.3499604047204661
</t>
  </si>
  <si>
    <t xml:space="preserve"> 0.3499604047204661
</t>
  </si>
  <si>
    <t xml:space="preserve">collateral_ratio_tranche_reit is: 0.3502249855147427
</t>
  </si>
  <si>
    <t xml:space="preserve"> 0.3502249855147427
</t>
  </si>
  <si>
    <t>Total plot size is: 150005524.31435156</t>
  </si>
  <si>
    <t xml:space="preserve"> plot size of REIT is: 35005524.31435156
</t>
  </si>
  <si>
    <t xml:space="preserve"> 35005524.31435156
</t>
  </si>
  <si>
    <t xml:space="preserve">collateral ratio is: 1.5000552431435157
</t>
  </si>
  <si>
    <t xml:space="preserve"> 1.5000552431435157
</t>
  </si>
  <si>
    <t>S_gtbcps_0 is: 1.0000034194238143</t>
  </si>
  <si>
    <t xml:space="preserve">stdev_gtbcps is: 0.009147258193260774
</t>
  </si>
  <si>
    <t xml:space="preserve"> 0.009147258193260774
</t>
  </si>
  <si>
    <t>predicted price of GTBCPS is: 1.0000187415323343</t>
  </si>
  <si>
    <t xml:space="preserve"> actual price is: 1.0000034194238143
</t>
  </si>
  <si>
    <t xml:space="preserve"> 1.0000034194238143
</t>
  </si>
  <si>
    <t>predicted amount of GTBCPS is: 100001808.68910334</t>
  </si>
  <si>
    <t xml:space="preserve"> actual amount is: 99999658.05878781
</t>
  </si>
  <si>
    <t xml:space="preserve"> 99999658.05878781
</t>
  </si>
  <si>
    <t xml:space="preserve"> plot sizes of reit is: 35005524.31435156</t>
  </si>
  <si>
    <t xml:space="preserve"> plot sizes of total is: 150005524.31435156.
</t>
  </si>
  <si>
    <t xml:space="preserve"> 150005524.31435156.
</t>
  </si>
  <si>
    <t>predicted stdevs of gold is: 0.01074381584903011</t>
  </si>
  <si>
    <t xml:space="preserve"> predicted stdevs of tb is: 0.0005043720498415497</t>
  </si>
  <si>
    <t xml:space="preserve"> predicted stdevs of reit is: 0.014140081639886625</t>
  </si>
  <si>
    <t xml:space="preserve"> predicted stdevs of GTBCPS is: 0.009147258193260774.
</t>
  </si>
  <si>
    <t xml:space="preserve"> 0.009147258193260774.
</t>
  </si>
  <si>
    <t>total_value_of_collaterals is: 150006051.95076275</t>
  </si>
  <si>
    <t>total_value_of_collaterals is</t>
  </si>
  <si>
    <t xml:space="preserve"> createdtionValue_gold is: 1720.4819213390913</t>
  </si>
  <si>
    <t xml:space="preserve"> createdtionValue_gold is</t>
  </si>
  <si>
    <t xml:space="preserve"> createdValue_tb is: 752.7083117268369</t>
  </si>
  <si>
    <t xml:space="preserve"> createdValue_tb is</t>
  </si>
  <si>
    <t xml:space="preserve"> createdValue_reit is: 752.827046689825
</t>
  </si>
  <si>
    <t xml:space="preserve"> createdValue_reit is</t>
  </si>
  <si>
    <t xml:space="preserve"> 752.827046689825
</t>
  </si>
  <si>
    <t>plotValue_gold_after_creation is: 79998688.09998174</t>
  </si>
  <si>
    <t>plotValue_gold_after_creation is</t>
  </si>
  <si>
    <t xml:space="preserve"> plotValue_tb_after_creation  is: 34999308.45726748</t>
  </si>
  <si>
    <t xml:space="preserve"> plotValue_tb_after_creation  is</t>
  </si>
  <si>
    <t xml:space="preserve"> plotValue_reit_after_creation  is: 35004829.37623375</t>
  </si>
  <si>
    <t xml:space="preserve"> plotValue_reit_after_creation  is</t>
  </si>
  <si>
    <t xml:space="preserve">total_value_after_creation is: 150002825.93348297
</t>
  </si>
  <si>
    <t>total_value_after_creation is</t>
  </si>
  <si>
    <t xml:space="preserve"> 150002825.93348297
</t>
  </si>
  <si>
    <t>total_amount_gtncps_before_creation is: 99999658.05878781</t>
  </si>
  <si>
    <t>total_amount_gtncps_before_creation is</t>
  </si>
  <si>
    <t>creation_amount_gtbcps is: 2150.63031552732</t>
  </si>
  <si>
    <t>creation_amount_gtbcps is</t>
  </si>
  <si>
    <t xml:space="preserve">total_amount_gtbcps_new is: 100001808.68910334
</t>
  </si>
  <si>
    <t>total_amount_gtbcps_new is</t>
  </si>
  <si>
    <t xml:space="preserve"> 100001808.68910334
</t>
  </si>
  <si>
    <t>payout of tranche of gold is: 408.58190308118765</t>
  </si>
  <si>
    <t xml:space="preserve"> payout of tranche of Treausry Bill Option is: 61.16557921003855</t>
  </si>
  <si>
    <t xml:space="preserve"> payout of tranche of Collar of REIT is: 57.888928885814984
</t>
  </si>
  <si>
    <t xml:space="preserve"> 57.888928885814984
</t>
  </si>
  <si>
    <t>Collateral size of tranche of gold is: 79998688.09998174</t>
  </si>
  <si>
    <t xml:space="preserve"> collateral size of tranche of Treausry Bill Option is: 34999308.45726748</t>
  </si>
  <si>
    <t xml:space="preserve"> collateral size of tranche of Collar of REIT is: 35004829.37623375
</t>
  </si>
  <si>
    <t xml:space="preserve"> 35004829.37623375
</t>
  </si>
  <si>
    <t>Collateral ratio of tranche of gold is: 0.7999746237437321</t>
  </si>
  <si>
    <t xml:space="preserve"> collateral ratio of tranche of Treausry Bill Option is: 0.3499877220411538</t>
  </si>
  <si>
    <t xml:space="preserve"> collateral ratio of tranche of Collar of REIT is: 0.3500429303849112
</t>
  </si>
  <si>
    <t xml:space="preserve"> 0.3500429303849112
</t>
  </si>
  <si>
    <t xml:space="preserve"> current price of reit option is: 6.287090950652669</t>
  </si>
  <si>
    <t xml:space="preserve"> predicted price of reit is: 68.17740172786021
</t>
  </si>
  <si>
    <t xml:space="preserve"> 68.17740172786021
</t>
  </si>
  <si>
    <t>value_ratio_gold_to_total is: 0.5769325658557892</t>
  </si>
  <si>
    <t xml:space="preserve"> risk_ratio_to_gold is: 0.9108168745916558</t>
  </si>
  <si>
    <t xml:space="preserve"> risk_ratio_to_gold_before is: 0.9113045606663938
</t>
  </si>
  <si>
    <t xml:space="preserve"> 0.9113045606663938
</t>
  </si>
  <si>
    <t>value_ratio_tb_to_total is: 0.1706052646238912</t>
  </si>
  <si>
    <t xml:space="preserve"> risk_ratio_tb_to_gold is: 0.05174753206366374</t>
  </si>
  <si>
    <t xml:space="preserve"> risk_ratio_tb_to_gold_before is: 0.0517155763909577
</t>
  </si>
  <si>
    <t xml:space="preserve"> 0.0517155763909577
</t>
  </si>
  <si>
    <t>value_ratio_reit_to_total is: 0.25246216952031963</t>
  </si>
  <si>
    <t xml:space="preserve"> risk_ratio_reit_to_gold is: 0.04616800715856181</t>
  </si>
  <si>
    <t xml:space="preserve"> risk_ratio_reit_to_gold_before is: 0.04561241159666666
</t>
  </si>
  <si>
    <t xml:space="preserve"> 0.04561241159666666
</t>
  </si>
  <si>
    <t xml:space="preserve"> delta_reit is: 0.9998867451283111
</t>
  </si>
  <si>
    <t xml:space="preserve"> 0.9998867451283111
</t>
  </si>
  <si>
    <t>delta_gold_risk is: 0.9997448412540972</t>
  </si>
  <si>
    <t xml:space="preserve"> delta_tb_risk is: 1.0000303843295881</t>
  </si>
  <si>
    <t xml:space="preserve"> delta_reit_risk is: 1.000531358996635
</t>
  </si>
  <si>
    <t xml:space="preserve"> 1.000531358996635
</t>
  </si>
  <si>
    <t xml:space="preserve">collateral_ratio_tranche_gold is: 0.8001787963619097
</t>
  </si>
  <si>
    <t xml:space="preserve"> 0.8001787963619097
</t>
  </si>
  <si>
    <t xml:space="preserve">collateral_ratio_tranche_tb is: 0.34997708822195694
</t>
  </si>
  <si>
    <t xml:space="preserve"> 0.34997708822195694
</t>
  </si>
  <si>
    <t xml:space="preserve">collateral_ratio_tranche_reit is: 0.34981740769098874
</t>
  </si>
  <si>
    <t xml:space="preserve"> 0.34981740769098874
</t>
  </si>
  <si>
    <t>Total plot size is: 149998861.46602345</t>
  </si>
  <si>
    <t xml:space="preserve"> plot size of gold is: 79998688.09998174</t>
  </si>
  <si>
    <t xml:space="preserve"> plot size of TB is: 34999308.45726748</t>
  </si>
  <si>
    <t xml:space="preserve"> plot size of REIT is: 35000864.90877425
</t>
  </si>
  <si>
    <t xml:space="preserve"> 35000864.90877425
</t>
  </si>
  <si>
    <t xml:space="preserve">collateral ratio is: 1.4999333739704732
</t>
  </si>
  <si>
    <t xml:space="preserve"> 1.4999333739704732
</t>
  </si>
  <si>
    <t>S_gtbcps_0 is: 1.0000187415323343</t>
  </si>
  <si>
    <t>change_of_collaterals is: 2.220446049250313e-16</t>
  </si>
  <si>
    <t xml:space="preserve">stdev_gtbcps is: 0.009191705831847393
</t>
  </si>
  <si>
    <t xml:space="preserve"> 0.009191705831847393
</t>
  </si>
  <si>
    <t>predicted price of GTBCPS is: 1.0000325995821826</t>
  </si>
  <si>
    <t xml:space="preserve"> actual price is: 1.0000187415323343
</t>
  </si>
  <si>
    <t xml:space="preserve"> 1.0000187415323343
</t>
  </si>
  <si>
    <t>predicted amount of GTBCPS is: 100000422.90422963</t>
  </si>
  <si>
    <t xml:space="preserve"> actual amount is: 100001808.68910334
</t>
  </si>
  <si>
    <t>plot sizes of gold is: 79998688.09998174</t>
  </si>
  <si>
    <t xml:space="preserve"> plot sizes of tb is: 34999308.45726748 </t>
  </si>
  <si>
    <t xml:space="preserve"> plot sizes of reit is: 35000864.90877425</t>
  </si>
  <si>
    <t xml:space="preserve"> plot sizes of total is: 149998861.46602347.
</t>
  </si>
  <si>
    <t xml:space="preserve"> 149998861.46602347.
</t>
  </si>
  <si>
    <t>predicted stdevs of gold is: 0.010799506869296403</t>
  </si>
  <si>
    <t xml:space="preserve"> predicted stdevs of tb is: 0.0005069563647013116</t>
  </si>
  <si>
    <t xml:space="preserve"> predicted stdevs of reit is: 0.014201246373488977</t>
  </si>
  <si>
    <t xml:space="preserve"> predicted stdevs of GTBCPS is: 0.009191705831847393.
</t>
  </si>
  <si>
    <t xml:space="preserve"> 0.009191705831847393.
</t>
  </si>
  <si>
    <t>total_value_of_collaterals is: 149999338.63203147</t>
  </si>
  <si>
    <t xml:space="preserve"> createdtionValue_gold is: -1108.6098729291236</t>
  </si>
  <si>
    <t xml:space="preserve"> createdValue_tb is: -485.0137963447377</t>
  </si>
  <si>
    <t xml:space="preserve"> createdValue_reit is: -485.0356854141651
</t>
  </si>
  <si>
    <t xml:space="preserve"> -485.0356854141651
</t>
  </si>
  <si>
    <t>plotValue_gold_after_creation is: 80000146.14590372</t>
  </si>
  <si>
    <t xml:space="preserve"> plotValue_tb_after_creation  is: 34999845.78690404</t>
  </si>
  <si>
    <t xml:space="preserve"> plotValue_reit_after_creation  is: 35001425.35857839</t>
  </si>
  <si>
    <t xml:space="preserve">total_value_after_creation is: 150001417.29138616
</t>
  </si>
  <si>
    <t xml:space="preserve"> 150001417.29138616
</t>
  </si>
  <si>
    <t>total_amount_gtncps_before_creation is: 100001808.68910334</t>
  </si>
  <si>
    <t>creation_amount_gtbcps is: -1385.7848737090826</t>
  </si>
  <si>
    <t xml:space="preserve">total_amount_gtbcps_new is: 100000422.90422963
</t>
  </si>
  <si>
    <t xml:space="preserve"> 100000422.90422963
</t>
  </si>
  <si>
    <t>payout of tranche of gold is: 349.43604906115297</t>
  </si>
  <si>
    <t xml:space="preserve"> payout of tranche of Treausry Bill Option is: 52.31584021622906</t>
  </si>
  <si>
    <t xml:space="preserve"> payout of tranche of Collar of REIT is: 75.41411873285122
</t>
  </si>
  <si>
    <t xml:space="preserve"> 75.41411873285122
</t>
  </si>
  <si>
    <t>Collateral size of tranche of gold is: 80000146.14590372</t>
  </si>
  <si>
    <t xml:space="preserve"> collateral size of tranche of Treausry Bill Option is: 34999845.78690404</t>
  </si>
  <si>
    <t xml:space="preserve"> collateral size of tranche of Collar of REIT is: 35001425.35857839
</t>
  </si>
  <si>
    <t xml:space="preserve"> 35001425.35857839
</t>
  </si>
  <si>
    <t>Collateral ratio of tranche of gold is: 0.7999609137899297</t>
  </si>
  <si>
    <t xml:space="preserve"> collateral ratio of tranche of Treausry Bill Option is: 0.349980718374375</t>
  </si>
  <si>
    <t xml:space="preserve"> collateral ratio of tranche of Collar of REIT is: 0.3499965132905206
</t>
  </si>
  <si>
    <t xml:space="preserve"> 0.3499965132905206
</t>
  </si>
  <si>
    <t xml:space="preserve"> current price of reit option is: 6.277729760450995</t>
  </si>
  <si>
    <t xml:space="preserve"> predicted price of reit is: 68.27564488254193
</t>
  </si>
  <si>
    <t xml:space="preserve"> 68.27564488254193
</t>
  </si>
  <si>
    <t>value_ratio_gold_to_total is: 0.57499655360425</t>
  </si>
  <si>
    <t xml:space="preserve"> risk_ratio_to_gold is: 0.9105980864269099</t>
  </si>
  <si>
    <t xml:space="preserve"> risk_ratio_to_gold_before is: 0.9108168745916558
</t>
  </si>
  <si>
    <t xml:space="preserve"> 0.9108168745916558
</t>
  </si>
  <si>
    <t>value_ratio_tb_to_total is: 0.1700327646437609</t>
  </si>
  <si>
    <t xml:space="preserve"> risk_ratio_tb_to_gold is: 0.05195149563380368</t>
  </si>
  <si>
    <t xml:space="preserve"> risk_ratio_tb_to_gold_before is: 0.05174753206366374
</t>
  </si>
  <si>
    <t xml:space="preserve"> 0.05174753206366374
</t>
  </si>
  <si>
    <t>value_ratio_reit_to_total is: 0.25497068175198917</t>
  </si>
  <si>
    <t xml:space="preserve"> risk_ratio_reit_to_gold is: 0.04622783826299135</t>
  </si>
  <si>
    <t xml:space="preserve"> risk_ratio_reit_to_gold_before is: 0.04616800715856181
</t>
  </si>
  <si>
    <t xml:space="preserve"> 0.04616800715856181
</t>
  </si>
  <si>
    <t xml:space="preserve"> delta_reit is: 0.9998736461361682
</t>
  </si>
  <si>
    <t xml:space="preserve"> 0.9998736461361682
</t>
  </si>
  <si>
    <t>delta_gold_risk is: 0.9998855001922711</t>
  </si>
  <si>
    <t xml:space="preserve"> delta_tb_risk is: 1.0001939282612242</t>
  </si>
  <si>
    <t xml:space="preserve"> delta_reit_risk is: 1.000057190722733
</t>
  </si>
  <si>
    <t xml:space="preserve"> 1.000057190722733
</t>
  </si>
  <si>
    <t xml:space="preserve">collateral_ratio_tranche_gold is: 0.8000525196496027
</t>
  </si>
  <si>
    <t xml:space="preserve"> 0.8000525196496027
</t>
  </si>
  <si>
    <t xml:space="preserve">collateral_ratio_tranche_tb is: 0.34991286038178115
</t>
  </si>
  <si>
    <t xml:space="preserve"> 0.34991286038178115
</t>
  </si>
  <si>
    <t xml:space="preserve">collateral_ratio_tranche_reit is: 0.34993227699890955
</t>
  </si>
  <si>
    <t xml:space="preserve"> 0.34993227699890955
</t>
  </si>
  <si>
    <t>Total plot size is: 149996994.72605246</t>
  </si>
  <si>
    <t xml:space="preserve"> plot size of gold is: 80000146.14590372</t>
  </si>
  <si>
    <t xml:space="preserve"> plot size of TB is: 34999845.78690404</t>
  </si>
  <si>
    <t xml:space="preserve"> plot size of REIT is: 34997002.79324472
</t>
  </si>
  <si>
    <t xml:space="preserve"> 34997002.79324472
</t>
  </si>
  <si>
    <t xml:space="preserve">collateral ratio is: 1.499914707258235
</t>
  </si>
  <si>
    <t xml:space="preserve"> 1.499914707258235
</t>
  </si>
  <si>
    <t>S_gtbcps_0 is: 1.0000325995821826</t>
  </si>
  <si>
    <t xml:space="preserve">stdev_gtbcps is: 0.009220950851091281
</t>
  </si>
  <si>
    <t xml:space="preserve"> 0.009220950851091281
</t>
  </si>
  <si>
    <t>predicted price of GTBCPS is: 1.0000376850497088</t>
  </si>
  <si>
    <t xml:space="preserve"> actual price is: 1.0000325995821826
</t>
  </si>
  <si>
    <t xml:space="preserve"> 1.0000325995821826
</t>
  </si>
  <si>
    <t>predicted amount of GTBCPS is: 99999914.3744903</t>
  </si>
  <si>
    <t xml:space="preserve"> actual amount is: 100000422.90422963
</t>
  </si>
  <si>
    <t>plot sizes of gold is: 80000146.14590372</t>
  </si>
  <si>
    <t xml:space="preserve"> plot sizes of tb is: 34999845.78690404 </t>
  </si>
  <si>
    <t xml:space="preserve"> plot sizes of reit is: 34997002.79324472</t>
  </si>
  <si>
    <t xml:space="preserve"> plot sizes of total is: 149996994.72605246.
</t>
  </si>
  <si>
    <t xml:space="preserve"> 149996994.72605246.
</t>
  </si>
  <si>
    <t>predicted stdevs of gold is: 0.010823616951765942</t>
  </si>
  <si>
    <t xml:space="preserve"> predicted stdevs of tb is: 0.000509580817223261</t>
  </si>
  <si>
    <t xml:space="preserve"> predicted stdevs of reit is: 0.014269471335682129</t>
  </si>
  <si>
    <t xml:space="preserve"> predicted stdevs of GTBCPS is: 0.009220950851091281.
</t>
  </si>
  <si>
    <t xml:space="preserve"> 0.009220950851091281.
</t>
  </si>
  <si>
    <t>total_value_of_collaterals is: 149997169.8371351</t>
  </si>
  <si>
    <t xml:space="preserve"> createdtionValue_gold is: -406.82553510212745</t>
  </si>
  <si>
    <t xml:space="preserve"> createdValue_tb is: -177.98487455853868</t>
  </si>
  <si>
    <t xml:space="preserve"> createdValue_reit is: -177.9704602349196
</t>
  </si>
  <si>
    <t xml:space="preserve"> -177.9704602349196
</t>
  </si>
  <si>
    <t>plotValue_gold_after_creation is: 80000681.2046636</t>
  </si>
  <si>
    <t xml:space="preserve"> plotValue_tb_after_creation  is: 35000042.96739936</t>
  </si>
  <si>
    <t xml:space="preserve"> plotValue_reit_after_creation  is: 34997208.445942044</t>
  </si>
  <si>
    <t xml:space="preserve">total_value_after_creation is: 149997932.618005
</t>
  </si>
  <si>
    <t xml:space="preserve"> 149997932.618005
</t>
  </si>
  <si>
    <t>total_amount_gtncps_before_creation is: 100000422.90422963</t>
  </si>
  <si>
    <t>creation_amount_gtbcps is: -508.52973932027817</t>
  </si>
  <si>
    <t xml:space="preserve">total_amount_gtbcps_new is: 99999914.3744903
</t>
  </si>
  <si>
    <t xml:space="preserve"> 99999914.3744903
</t>
  </si>
  <si>
    <t>payout of tranche of gold is: 128.23322478344136</t>
  </si>
  <si>
    <t xml:space="preserve"> payout of tranche of Treausry Bill Option is: 19.19562076316355</t>
  </si>
  <si>
    <t xml:space="preserve"> payout of tranche of Collar of REIT is: 27.682237089552025
</t>
  </si>
  <si>
    <t xml:space="preserve"> 27.682237089552025
</t>
  </si>
  <si>
    <t>Collateral size of tranche of gold is: 80000681.2046636</t>
  </si>
  <si>
    <t xml:space="preserve"> collateral size of tranche of Treausry Bill Option is: 35000042.96739936</t>
  </si>
  <si>
    <t xml:space="preserve"> collateral size of tranche of Collar of REIT is: 34997208.445942044
</t>
  </si>
  <si>
    <t xml:space="preserve"> 34997208.445942044
</t>
  </si>
  <si>
    <t>Collateral ratio of tranche of gold is: 0.7999732817654095</t>
  </si>
  <si>
    <t xml:space="preserve"> collateral ratio of tranche of Treausry Bill Option is: 0.34998576028285877</t>
  </si>
  <si>
    <t xml:space="preserve"> collateral ratio of tranche of Collar of REIT is: 0.34995741625630433
</t>
  </si>
  <si>
    <t xml:space="preserve"> 0.34995741625630433
</t>
  </si>
  <si>
    <t xml:space="preserve"> current price of reit option is: 6.267756904398979</t>
  </si>
  <si>
    <t xml:space="preserve"> predicted price of reit is: 68.13320635330071
</t>
  </si>
  <si>
    <t xml:space="preserve"> 68.13320635330071
</t>
  </si>
  <si>
    <t>value_ratio_gold_to_total is: 0.5783243619009338</t>
  </si>
  <si>
    <t xml:space="preserve"> risk_ratio_to_gold is: 0.910182288123866</t>
  </si>
  <si>
    <t xml:space="preserve"> risk_ratio_to_gold_before is: 0.9105980864269099
</t>
  </si>
  <si>
    <t xml:space="preserve"> 0.9105980864269099
</t>
  </si>
  <si>
    <t>value_ratio_tb_to_total is: 0.17101683392442493</t>
  </si>
  <si>
    <t xml:space="preserve"> risk_ratio_tb_to_gold is: 0.05201742155754085</t>
  </si>
  <si>
    <t xml:space="preserve"> risk_ratio_tb_to_gold_before is: 0.05195149563380368
</t>
  </si>
  <si>
    <t xml:space="preserve"> 0.05195149563380368
</t>
  </si>
  <si>
    <t>value_ratio_reit_to_total is: 0.2506588041746412</t>
  </si>
  <si>
    <t xml:space="preserve"> risk_ratio_reit_to_gold is: 0.046663593276611584</t>
  </si>
  <si>
    <t xml:space="preserve"> risk_ratio_reit_to_gold_before is: 0.04622783826299135
</t>
  </si>
  <si>
    <t xml:space="preserve"> 0.04622783826299135
</t>
  </si>
  <si>
    <t xml:space="preserve"> delta_reit is: 0.9998653730873737
</t>
  </si>
  <si>
    <t xml:space="preserve"> 0.9998653730873737
</t>
  </si>
  <si>
    <t>delta_gold_risk is: 0.9997823726999426</t>
  </si>
  <si>
    <t xml:space="preserve"> delta_tb_risk is: 1.0000626701174065</t>
  </si>
  <si>
    <t xml:space="preserve"> delta_reit_risk is: 1.0004165010695412
</t>
  </si>
  <si>
    <t xml:space="preserve"> 1.0004165010695412
</t>
  </si>
  <si>
    <t xml:space="preserve">collateral_ratio_tranche_gold is: 0.8001474156871334
</t>
  </si>
  <si>
    <t xml:space="preserve"> 0.8001474156871334
</t>
  </si>
  <si>
    <t xml:space="preserve">collateral_ratio_tranche_tb is: 0.34996382800866943
</t>
  </si>
  <si>
    <t xml:space="preserve"> 0.34996382800866943
</t>
  </si>
  <si>
    <t xml:space="preserve">collateral_ratio_tranche_reit is: 0.3497646252293074
</t>
  </si>
  <si>
    <t xml:space="preserve"> 0.3497646252293074
</t>
  </si>
  <si>
    <t>Total plot size is: 149993221.05188137</t>
  </si>
  <si>
    <t xml:space="preserve"> plot size of gold is: 80000681.2046636</t>
  </si>
  <si>
    <t xml:space="preserve"> plot size of TB is: 35000042.96739936</t>
  </si>
  <si>
    <t xml:space="preserve"> plot size of REIT is: 34992496.879818425
</t>
  </si>
  <si>
    <t xml:space="preserve"> 34992496.879818425
</t>
  </si>
  <si>
    <t xml:space="preserve">collateral ratio is: 1.4998769719062703
</t>
  </si>
  <si>
    <t xml:space="preserve"> 1.4998769719062703
</t>
  </si>
  <si>
    <t>S_gtbcps_0 is: 1.0000376850497088</t>
  </si>
  <si>
    <t xml:space="preserve">stdev_gtbcps is: 0.009268987013720153
</t>
  </si>
  <si>
    <t xml:space="preserve"> 0.009268987013720153
</t>
  </si>
  <si>
    <t>predicted price of GTBCPS is: 1.000056256991648</t>
  </si>
  <si>
    <t xml:space="preserve"> actual price is: 1.0000376850497088
</t>
  </si>
  <si>
    <t xml:space="preserve"> 1.0000376850497088
</t>
  </si>
  <si>
    <t>predicted amount of GTBCPS is: 99998057.2863608</t>
  </si>
  <si>
    <t xml:space="preserve"> actual amount is: 99999914.3744903
</t>
  </si>
  <si>
    <t>plot sizes of gold is: 80000681.2046636</t>
  </si>
  <si>
    <t xml:space="preserve"> plot sizes of tb is: 35000042.96739936 </t>
  </si>
  <si>
    <t xml:space="preserve"> plot sizes of reit is: 34992496.879818425</t>
  </si>
  <si>
    <t xml:space="preserve"> plot sizes of total is: 149993221.05188137.
</t>
  </si>
  <si>
    <t xml:space="preserve"> 149993221.05188137.
</t>
  </si>
  <si>
    <t>predicted stdevs of gold is: 0.01088102037227006</t>
  </si>
  <si>
    <t xml:space="preserve"> predicted stdevs of tb is: 0.00051224645661553</t>
  </si>
  <si>
    <t xml:space="preserve"> predicted stdevs of reit is: 0.014342146827210923</t>
  </si>
  <si>
    <t xml:space="preserve"> predicted stdevs of GTBCPS is: 0.009268987013720153.
</t>
  </si>
  <si>
    <t xml:space="preserve"> 0.009268987013720153.
</t>
  </si>
  <si>
    <t>total_value_of_collaterals is: 149993860.526959</t>
  </si>
  <si>
    <t xml:space="preserve"> createdtionValue_gold is: -1485.7207146747603</t>
  </si>
  <si>
    <t xml:space="preserve"> createdValue_tb is: -649.9955729244888</t>
  </si>
  <si>
    <t xml:space="preserve"> createdValue_reit is: -649.8560069268606
</t>
  </si>
  <si>
    <t xml:space="preserve"> -649.8560069268606
</t>
  </si>
  <si>
    <t>plotValue_gold_after_creation is: 80002635.24997205</t>
  </si>
  <si>
    <t xml:space="preserve"> plotValue_tb_after_creation  is: 35000763.078246586</t>
  </si>
  <si>
    <t xml:space="preserve"> plotValue_reit_after_creation  is: 34993247.7710349</t>
  </si>
  <si>
    <t xml:space="preserve">total_value_after_creation is: 149996646.09925354
</t>
  </si>
  <si>
    <t xml:space="preserve"> 149996646.09925354
</t>
  </si>
  <si>
    <t>total_amount_gtncps_before_creation is: 99999914.3744903</t>
  </si>
  <si>
    <t>creation_amount_gtbcps is: -1857.088129505515</t>
  </si>
  <si>
    <t xml:space="preserve">total_amount_gtbcps_new is: 99998057.2863608
</t>
  </si>
  <si>
    <t xml:space="preserve"> 99998057.2863608
</t>
  </si>
  <si>
    <t>payout of tranche of gold is: 468.3245937619046</t>
  </si>
  <si>
    <t xml:space="preserve"> payout of tranche of Treausry Bill Option is: 70.1152743000407</t>
  </si>
  <si>
    <t xml:space="preserve"> payout of tranche of Collar of REIT is: 101.03520954155233
</t>
  </si>
  <si>
    <t xml:space="preserve"> 101.03520954155233
</t>
  </si>
  <si>
    <t>Collateral size of tranche of gold is: 80002635.24997205</t>
  </si>
  <si>
    <t xml:space="preserve"> collateral size of tranche of Treausry Bill Option is: 35000763.078246586</t>
  </si>
  <si>
    <t xml:space="preserve"> collateral size of tranche of Collar of REIT is: 34993247.7710349
</t>
  </si>
  <si>
    <t xml:space="preserve"> 34993247.7710349
</t>
  </si>
  <si>
    <t>Collateral ratio of tranche of gold is: 0.7999820329444031</t>
  </si>
  <si>
    <t xml:space="preserve"> collateral ratio of tranche of Treausry Bill Option is: 0.3499882411929786</t>
  </si>
  <si>
    <t xml:space="preserve"> collateral ratio of tranche of Collar of REIT is: 0.34991309228416295
</t>
  </si>
  <si>
    <t xml:space="preserve"> 0.34991309228416295
</t>
  </si>
  <si>
    <t xml:space="preserve"> current price of reit option is: 6.257460364566498</t>
  </si>
  <si>
    <t xml:space="preserve"> predicted price of reit is: 68.08127430295178
</t>
  </si>
  <si>
    <t xml:space="preserve"> 68.08127430295178
</t>
  </si>
  <si>
    <t>value_ratio_gold_to_total is: 0.5796941852167395</t>
  </si>
  <si>
    <t xml:space="preserve"> risk_ratio_to_gold is: 0.9100611488880616</t>
  </si>
  <si>
    <t xml:space="preserve"> risk_ratio_to_gold_before is: 0.910182288123866
</t>
  </si>
  <si>
    <t xml:space="preserve"> 0.910182288123866
</t>
  </si>
  <si>
    <t>value_ratio_tb_to_total is: 0.1714219056487682</t>
  </si>
  <si>
    <t xml:space="preserve"> risk_ratio_tb_to_gold is: 0.051990942373040326</t>
  </si>
  <si>
    <t xml:space="preserve"> risk_ratio_tb_to_gold_before is: 0.05201742155754085
</t>
  </si>
  <si>
    <t xml:space="preserve"> 0.05201742155754085
</t>
  </si>
  <si>
    <t>value_ratio_reit_to_total is: 0.24888390913449232</t>
  </si>
  <si>
    <t xml:space="preserve"> risk_ratio_reit_to_gold is: 0.04683631909376153</t>
  </si>
  <si>
    <t xml:space="preserve"> risk_ratio_reit_to_gold_before is: 0.046663593276611584
</t>
  </si>
  <si>
    <t xml:space="preserve"> 0.046663593276611584
</t>
  </si>
  <si>
    <t xml:space="preserve"> delta_reit is: 0.9998609848568012
</t>
  </si>
  <si>
    <t xml:space="preserve"> 0.9998609848568012
</t>
  </si>
  <si>
    <t>delta_gold_risk is: 0.999936582368836</t>
  </si>
  <si>
    <t xml:space="preserve"> delta_tb_risk is: 0.9999748300893522</t>
  </si>
  <si>
    <t xml:space="preserve"> delta_reit_risk is: 1.0001650251506402
</t>
  </si>
  <si>
    <t xml:space="preserve"> 1.0001650251506402
</t>
  </si>
  <si>
    <t xml:space="preserve">collateral_ratio_tranche_gold is: 0.8000327691274747
</t>
  </si>
  <si>
    <t xml:space="preserve"> 0.8000327691274747
</t>
  </si>
  <si>
    <t xml:space="preserve">collateral_ratio_tranche_tb is: 0.34999705058746894
</t>
  </si>
  <si>
    <t xml:space="preserve"> 0.34999705058746894
</t>
  </si>
  <si>
    <t xml:space="preserve">collateral_ratio_tranche_reit is: 0.3498067221585128
</t>
  </si>
  <si>
    <t xml:space="preserve"> 0.3498067221585128
</t>
  </si>
  <si>
    <t>Total plot size is: 149991781.50790364</t>
  </si>
  <si>
    <t xml:space="preserve"> plot size of gold is: 80002635.24997205</t>
  </si>
  <si>
    <t xml:space="preserve"> plot size of TB is: 35000763.078246586</t>
  </si>
  <si>
    <t xml:space="preserve"> plot size of REIT is: 34988383.17968501
</t>
  </si>
  <si>
    <t xml:space="preserve"> 34988383.17968501
</t>
  </si>
  <si>
    <t xml:space="preserve">collateral ratio is: 1.4998625769966398
</t>
  </si>
  <si>
    <t xml:space="preserve"> 1.4998625769966398
</t>
  </si>
  <si>
    <t>S_gtbcps_0 is: 1.000056256991648</t>
  </si>
  <si>
    <t xml:space="preserve">stdev_gtbcps is: 0.00931670385062191
</t>
  </si>
  <si>
    <t xml:space="preserve"> 0.00931670385062191
</t>
  </si>
  <si>
    <t>predicted price of GTBCPS is: 1.0000642678298945</t>
  </si>
  <si>
    <t xml:space="preserve"> actual price is: 1.000056256991648
</t>
  </si>
  <si>
    <t xml:space="preserve"> 1.000056256991648
</t>
  </si>
  <si>
    <t>predicted amount of GTBCPS is: 99997256.26957853</t>
  </si>
  <si>
    <t xml:space="preserve"> actual amount is: 99998057.2863608
</t>
  </si>
  <si>
    <t>plot sizes of gold is: 80002635.24997205</t>
  </si>
  <si>
    <t xml:space="preserve"> plot sizes of tb is: 35000763.078246586 </t>
  </si>
  <si>
    <t xml:space="preserve"> plot sizes of reit is: 34988383.17968501</t>
  </si>
  <si>
    <t xml:space="preserve"> plot sizes of total is: 149991781.50790364.
</t>
  </si>
  <si>
    <t xml:space="preserve"> 149991781.50790364.
</t>
  </si>
  <si>
    <t>predicted stdevs of gold is: 0.010936791224366391</t>
  </si>
  <si>
    <t xml:space="preserve"> predicted stdevs of tb is: 0.0005149404804082766</t>
  </si>
  <si>
    <t xml:space="preserve"> predicted stdevs of reit is: 0.014417173176123288</t>
  </si>
  <si>
    <t xml:space="preserve"> predicted stdevs of GTBCPS is: 0.00931670385062191.
</t>
  </si>
  <si>
    <t xml:space="preserve"> 0.00931670385062191.
</t>
  </si>
  <si>
    <t>total_value_of_collaterals is: 149992057.34969476</t>
  </si>
  <si>
    <t xml:space="preserve"> createdtionValue_gold is: -640.8537360614574</t>
  </si>
  <si>
    <t xml:space="preserve"> createdValue_tb is: -280.3699210611249</t>
  </si>
  <si>
    <t xml:space="preserve"> createdValue_reit is: -280.27086008941967
</t>
  </si>
  <si>
    <t xml:space="preserve"> -280.27086008941967
</t>
  </si>
  <si>
    <t>plotValue_gold_after_creation is: 80003478.11606833</t>
  </si>
  <si>
    <t xml:space="preserve"> plotValue_tb_after_creation  is: 35001073.69564658</t>
  </si>
  <si>
    <t xml:space="preserve"> plotValue_reit_after_creation  is: 34988707.03249707</t>
  </si>
  <si>
    <t xml:space="preserve">total_value_after_creation is: 149993258.844212
</t>
  </si>
  <si>
    <t xml:space="preserve"> 149993258.844212
</t>
  </si>
  <si>
    <t>total_amount_gtncps_before_creation is: 99998057.2863608</t>
  </si>
  <si>
    <t>creation_amount_gtbcps is: -801.0167822688818</t>
  </si>
  <si>
    <t xml:space="preserve">total_amount_gtbcps_new is: 99997256.26957853
</t>
  </si>
  <si>
    <t xml:space="preserve"> 99997256.26957853
</t>
  </si>
  <si>
    <t>payout of tranche of gold is: 202.01236023703595</t>
  </si>
  <si>
    <t xml:space="preserve"> payout of tranche of Treausry Bill Option is: 30.247478935022038</t>
  </si>
  <si>
    <t xml:space="preserve"> payout of tranche of Collar of REIT is: 43.58195196905358
</t>
  </si>
  <si>
    <t xml:space="preserve"> 43.58195196905358
</t>
  </si>
  <si>
    <t>Collateral size of tranche of gold is: 80003478.11606833</t>
  </si>
  <si>
    <t xml:space="preserve"> collateral size of tranche of Treausry Bill Option is: 35001073.69564658</t>
  </si>
  <si>
    <t xml:space="preserve"> collateral size of tranche of Collar of REIT is: 34988707.03249707
</t>
  </si>
  <si>
    <t xml:space="preserve"> 34988707.03249707
</t>
  </si>
  <si>
    <t>Collateral ratio of tranche of gold is: 0.7999989096536038</t>
  </si>
  <si>
    <t xml:space="preserve"> collateral ratio of tranche of Treausry Bill Option is: 0.34999504337298126</t>
  </si>
  <si>
    <t xml:space="preserve"> collateral ratio of tranche of Collar of REIT is: 0.34987138228638065
</t>
  </si>
  <si>
    <t xml:space="preserve"> 0.34987138228638065
</t>
  </si>
  <si>
    <t xml:space="preserve"> current price of reit option is: 6.253113869205066</t>
  </si>
  <si>
    <t xml:space="preserve"> predicted price of reit is: 68.34349697301019
</t>
  </si>
  <si>
    <t xml:space="preserve"> 68.34349697301019
</t>
  </si>
  <si>
    <t>value_ratio_gold_to_total is: 0.57405947978416</t>
  </si>
  <si>
    <t xml:space="preserve"> risk_ratio_to_gold is: 0.9101306939431832</t>
  </si>
  <si>
    <t xml:space="preserve"> risk_ratio_to_gold_before is: 0.9100611488880616
</t>
  </si>
  <si>
    <t xml:space="preserve"> 0.9100611488880616
</t>
  </si>
  <si>
    <t>value_ratio_tb_to_total is: 0.16975566167452324</t>
  </si>
  <si>
    <t xml:space="preserve"> risk_ratio_tb_to_gold is: 0.052214182950873315</t>
  </si>
  <si>
    <t xml:space="preserve"> risk_ratio_tb_to_gold_before is: 0.051990942373040326
</t>
  </si>
  <si>
    <t xml:space="preserve"> 0.051990942373040326
</t>
  </si>
  <si>
    <t>value_ratio_reit_to_total is: 0.2561848585413167</t>
  </si>
  <si>
    <t xml:space="preserve"> risk_ratio_reit_to_gold is: 0.046529114747893154</t>
  </si>
  <si>
    <t xml:space="preserve"> risk_ratio_reit_to_gold_before is: 0.04683631909376153
</t>
  </si>
  <si>
    <t xml:space="preserve"> 0.04683631909376153
</t>
  </si>
  <si>
    <t xml:space="preserve"> delta_reit is: 0.9999413091491386
</t>
  </si>
  <si>
    <t xml:space="preserve"> 0.9999413091491386
</t>
  </si>
  <si>
    <t>delta_gold_risk is: 1.0000364098579577</t>
  </si>
  <si>
    <t xml:space="preserve"> delta_tb_risk is: 1.0002122076995543</t>
  </si>
  <si>
    <t xml:space="preserve"> delta_reit_risk is: 0.9997065402295803
</t>
  </si>
  <si>
    <t xml:space="preserve"> 0.9997065402295803
</t>
  </si>
  <si>
    <t xml:space="preserve">collateral_ratio_tranche_gold is: 0.7999697828674391
</t>
  </si>
  <si>
    <t xml:space="preserve"> 0.7999697828674391
</t>
  </si>
  <si>
    <t xml:space="preserve">collateral_ratio_tranche_tb is: 0.34992078748764227
</t>
  </si>
  <si>
    <t xml:space="preserve"> 0.34992078748764227
</t>
  </si>
  <si>
    <t xml:space="preserve">collateral_ratio_tranche_reit is: 0.34995354532433065
</t>
  </si>
  <si>
    <t xml:space="preserve"> 0.34995354532433065
</t>
  </si>
  <si>
    <t>Total plot size is: 149991205.32722571</t>
  </si>
  <si>
    <t xml:space="preserve"> plot size of gold is: 80003478.11606833</t>
  </si>
  <si>
    <t xml:space="preserve"> plot size of TB is: 35001073.69564658</t>
  </si>
  <si>
    <t xml:space="preserve"> plot size of REIT is: 34986653.51551079
</t>
  </si>
  <si>
    <t xml:space="preserve"> 34986653.51551079
</t>
  </si>
  <si>
    <t xml:space="preserve">collateral ratio is: 1.4998568154020528
</t>
  </si>
  <si>
    <t xml:space="preserve"> 1.4998568154020528
</t>
  </si>
  <si>
    <t>S_gtbcps_0 is: 1.0000642678298945</t>
  </si>
  <si>
    <t xml:space="preserve">stdev_gtbcps is: 0.009334881616508684
</t>
  </si>
  <si>
    <t xml:space="preserve"> 0.009334881616508684
</t>
  </si>
  <si>
    <t>predicted price of GTBCPS is: 1.000019596403312</t>
  </si>
  <si>
    <t xml:space="preserve"> actual price is: 1.0000642678298945
</t>
  </si>
  <si>
    <t xml:space="preserve"> 1.0000642678298945
</t>
  </si>
  <si>
    <t>predicted amount of GTBCPS is: 100001723.20213461</t>
  </si>
  <si>
    <t xml:space="preserve"> actual amount is: 99997256.26957853
</t>
  </si>
  <si>
    <t>plot sizes of gold is: 80003478.11606833</t>
  </si>
  <si>
    <t xml:space="preserve"> plot sizes of tb is: 35001073.69564658 </t>
  </si>
  <si>
    <t xml:space="preserve"> plot sizes of reit is: 34986653.51551079</t>
  </si>
  <si>
    <t xml:space="preserve"> plot sizes of total is: 149991205.32722571.
</t>
  </si>
  <si>
    <t xml:space="preserve"> 149991205.32722571.
</t>
  </si>
  <si>
    <t>predicted stdevs of gold is: 0.010955963009278277</t>
  </si>
  <si>
    <t xml:space="preserve"> predicted stdevs of tb is: 0.0005176520699015406</t>
  </si>
  <si>
    <t xml:space="preserve"> predicted stdevs of reit is: 0.014448841753967953</t>
  </si>
  <si>
    <t xml:space="preserve"> predicted stdevs of GTBCPS is: 0.009334881616508684.
</t>
  </si>
  <si>
    <t xml:space="preserve"> 0.009334881616508684.
</t>
  </si>
  <si>
    <t>total_value_of_collaterals is: 149989667.01959592</t>
  </si>
  <si>
    <t xml:space="preserve"> createdtionValue_gold is: 3573.5866116898737</t>
  </si>
  <si>
    <t xml:space="preserve"> createdValue_tb is: 1563.4394480990788</t>
  </si>
  <si>
    <t xml:space="preserve"> createdValue_reit is: 1562.7957555895835
</t>
  </si>
  <si>
    <t xml:space="preserve"> 1562.7957555895835
</t>
  </si>
  <si>
    <t>plotValue_gold_after_creation is: 79998713.14924331</t>
  </si>
  <si>
    <t xml:space="preserve"> plotValue_tb_after_creation  is: 34999331.91084602</t>
  </si>
  <si>
    <t xml:space="preserve"> plotValue_reit_after_creation  is: 34984922.13769123</t>
  </si>
  <si>
    <t xml:space="preserve">total_value_after_creation is: 149982967.19778055
</t>
  </si>
  <si>
    <t xml:space="preserve"> 149982967.19778055
</t>
  </si>
  <si>
    <t>total_amount_gtncps_before_creation is: 99997256.26957853</t>
  </si>
  <si>
    <t>creation_amount_gtbcps is: 4466.932556077838</t>
  </si>
  <si>
    <t xml:space="preserve">total_amount_gtbcps_new is: 100001723.20213461
</t>
  </si>
  <si>
    <t xml:space="preserve"> 100001723.20213461
</t>
  </si>
  <si>
    <t>payout of tranche of gold is: -1191.3802133278737</t>
  </si>
  <si>
    <t xml:space="preserve"> payout of tranche of Treausry Bill Option is: -178.34535246293294</t>
  </si>
  <si>
    <t xml:space="preserve"> payout of tranche of Collar of REIT is: -168.5820639765807
</t>
  </si>
  <si>
    <t xml:space="preserve"> -168.5820639765807
</t>
  </si>
  <si>
    <t>Collateral size of tranche of gold is: 79998713.14924331</t>
  </si>
  <si>
    <t xml:space="preserve"> collateral size of tranche of Treausry Bill Option is: 34999331.91084602</t>
  </si>
  <si>
    <t xml:space="preserve"> collateral size of tranche of Collar of REIT is: 34984922.13769123
</t>
  </si>
  <si>
    <t xml:space="preserve"> 34984922.13769123
</t>
  </si>
  <si>
    <t>Collateral ratio of tranche of gold is: 0.7999934045915756</t>
  </si>
  <si>
    <t xml:space="preserve"> collateral ratio of tranche of Treausry Bill Option is: 0.34999606358109425</t>
  </si>
  <si>
    <t xml:space="preserve"> collateral ratio of tranche of Collar of REIT is: 0.349851964719604
</t>
  </si>
  <si>
    <t xml:space="preserve"> 0.349851964719604
</t>
  </si>
  <si>
    <t xml:space="preserve"> current price of reit option is: 6.247789366449396</t>
  </si>
  <si>
    <t xml:space="preserve"> predicted price of reit is: 68.10059127431795
</t>
  </si>
  <si>
    <t xml:space="preserve"> 68.10059127431795
</t>
  </si>
  <si>
    <t>value_ratio_gold_to_total is: 0.5794814258553797</t>
  </si>
  <si>
    <t xml:space="preserve"> risk_ratio_to_gold is: 0.9096283374110683</t>
  </si>
  <si>
    <t xml:space="preserve"> risk_ratio_to_gold_before is: 0.9101306939431832
</t>
  </si>
  <si>
    <t xml:space="preserve"> 0.9101306939431832
</t>
  </si>
  <si>
    <t>value_ratio_tb_to_total is: 0.17135899038051294</t>
  </si>
  <si>
    <t xml:space="preserve"> risk_ratio_tb_to_gold is: 0.05224532218553391</t>
  </si>
  <si>
    <t xml:space="preserve"> risk_ratio_tb_to_gold_before is: 0.052214182950873315
</t>
  </si>
  <si>
    <t xml:space="preserve"> 0.052214182950873315
</t>
  </si>
  <si>
    <t>value_ratio_reit_to_total is: 0.24915958376410738</t>
  </si>
  <si>
    <t xml:space="preserve"> risk_ratio_reit_to_gold is: 0.047104773751606994</t>
  </si>
  <si>
    <t xml:space="preserve"> risk_ratio_reit_to_gold_before is: 0.046529114747893154
</t>
  </si>
  <si>
    <t xml:space="preserve"> 0.046529114747893154
</t>
  </si>
  <si>
    <t xml:space="preserve"> delta_reit is: 0.9999280988674552
</t>
  </si>
  <si>
    <t xml:space="preserve"> 0.9999280988674552
</t>
  </si>
  <si>
    <t>delta_gold_risk is: 0.9997370041046365</t>
  </si>
  <si>
    <t xml:space="preserve"> delta_tb_risk is: 1.0000295940077268</t>
  </si>
  <si>
    <t xml:space="preserve"> delta_reit_risk is: 1.0005500649677124
</t>
  </si>
  <si>
    <t xml:space="preserve"> 1.0005500649677124
</t>
  </si>
  <si>
    <t xml:space="preserve">collateral_ratio_tranche_gold is: 0.8002038549208739
</t>
  </si>
  <si>
    <t xml:space="preserve"> 0.8002038549208739
</t>
  </si>
  <si>
    <t xml:space="preserve">collateral_ratio_tranche_tb is: 0.3499857061014036
</t>
  </si>
  <si>
    <t xml:space="preserve"> 0.3499857061014036
</t>
  </si>
  <si>
    <t xml:space="preserve">collateral_ratio_tranche_reit is: 0.34963448828360877
</t>
  </si>
  <si>
    <t xml:space="preserve"> 0.34963448828360877
</t>
  </si>
  <si>
    <t>Total plot size is: 149980451.74225688</t>
  </si>
  <si>
    <t xml:space="preserve"> plot size of gold is: 79998713.14924331</t>
  </si>
  <si>
    <t xml:space="preserve"> plot size of TB is: 34999331.91084602</t>
  </si>
  <si>
    <t xml:space="preserve"> plot size of REIT is: 34982406.68216754
</t>
  </si>
  <si>
    <t xml:space="preserve"> 34982406.68216754
</t>
  </si>
  <si>
    <t xml:space="preserve">collateral ratio is: 1.499749283512631
</t>
  </si>
  <si>
    <t xml:space="preserve"> 1.499749283512631
</t>
  </si>
  <si>
    <t>S_gtbcps_0 is: 1.000019596403312</t>
  </si>
  <si>
    <t>change_of_collaterals is: -2.220446049250313e-16</t>
  </si>
  <si>
    <t xml:space="preserve">stdev_gtbcps is: 0.009376363971659885
</t>
  </si>
  <si>
    <t xml:space="preserve"> 0.009376363971659885
</t>
  </si>
  <si>
    <t>predicted price of GTBCPS is: 1.0000177564434052</t>
  </si>
  <si>
    <t xml:space="preserve"> actual price is: 1.000019596403312
</t>
  </si>
  <si>
    <t xml:space="preserve"> 1.000019596403312
</t>
  </si>
  <si>
    <t>predicted amount of GTBCPS is: 100001907.1980288</t>
  </si>
  <si>
    <t xml:space="preserve"> actual amount is: 100001723.20213461
</t>
  </si>
  <si>
    <t>plot sizes of gold is: 79998713.14924331</t>
  </si>
  <si>
    <t xml:space="preserve"> plot sizes of tb is: 34999331.91084602 </t>
  </si>
  <si>
    <t xml:space="preserve"> plot sizes of reit is: 34982406.68216754</t>
  </si>
  <si>
    <t xml:space="preserve"> plot sizes of total is: 149980451.74225685.
</t>
  </si>
  <si>
    <t xml:space="preserve"> 149980451.74225685.
</t>
  </si>
  <si>
    <t>predicted stdevs of gold is: 0.011015719260940058</t>
  </si>
  <si>
    <t xml:space="preserve"> predicted stdevs of tb is: 0.000520456492681477</t>
  </si>
  <si>
    <t xml:space="preserve"> predicted stdevs of reit is: 0.014487634140010995</t>
  </si>
  <si>
    <t xml:space="preserve"> predicted stdevs of GTBCPS is: 0.009376363971659885.
</t>
  </si>
  <si>
    <t xml:space="preserve"> 0.009376363971659885.
</t>
  </si>
  <si>
    <t>total_value_of_collaterals is: 149980388.3856988</t>
  </si>
  <si>
    <t xml:space="preserve"> createdtionValue_gold is: 147.191450079207</t>
  </si>
  <si>
    <t xml:space="preserve"> createdValue_tb is: 64.39609203120762</t>
  </si>
  <si>
    <t xml:space="preserve"> createdValue_reit is: 64.36495165443854
</t>
  </si>
  <si>
    <t xml:space="preserve"> 64.36495165443854
</t>
  </si>
  <si>
    <t>plotValue_gold_after_creation is: 79998516.88565405</t>
  </si>
  <si>
    <t xml:space="preserve"> plotValue_tb_after_creation  is: 34999260.16732974</t>
  </si>
  <si>
    <t xml:space="preserve"> plotValue_reit_after_creation  is: 34982335.38022122</t>
  </si>
  <si>
    <t xml:space="preserve">total_value_after_creation is: 149980112.433205
</t>
  </si>
  <si>
    <t xml:space="preserve"> 149980112.433205
</t>
  </si>
  <si>
    <t>total_amount_gtncps_before_creation is: 100001723.20213461</t>
  </si>
  <si>
    <t>creation_amount_gtbcps is: 183.9958941936493</t>
  </si>
  <si>
    <t xml:space="preserve">total_amount_gtbcps_new is: 100001907.1980288
</t>
  </si>
  <si>
    <t xml:space="preserve"> 100001907.1980288
</t>
  </si>
  <si>
    <t>payout of tranche of gold is: -49.07213919408134</t>
  </si>
  <si>
    <t xml:space="preserve"> payout of tranche of Treausry Bill Option is: -7.347424236619895</t>
  </si>
  <si>
    <t xml:space="preserve"> payout of tranche of Collar of REIT is: -6.936994665196424
</t>
  </si>
  <si>
    <t xml:space="preserve"> -6.936994665196424
</t>
  </si>
  <si>
    <t>Collateral size of tranche of gold is: 79998516.88565405</t>
  </si>
  <si>
    <t xml:space="preserve"> collateral size of tranche of Treausry Bill Option is: 34999260.16732974</t>
  </si>
  <si>
    <t xml:space="preserve"> collateral size of tranche of Collar of REIT is: 34982335.38022122
</t>
  </si>
  <si>
    <t xml:space="preserve"> 34982335.38022122
</t>
  </si>
  <si>
    <t>Collateral ratio of tranche of gold is: 0.7999571793381982</t>
  </si>
  <si>
    <t xml:space="preserve"> collateral ratio of tranche of Treausry Bill Option is: 0.349980356290851</t>
  </si>
  <si>
    <t xml:space="preserve"> collateral ratio of tranche of Collar of REIT is: 0.3498111143413335
</t>
  </si>
  <si>
    <t xml:space="preserve"> 0.3498111143413335
</t>
  </si>
  <si>
    <t xml:space="preserve"> current price of reit option is: 6.245140623531142</t>
  </si>
  <si>
    <t xml:space="preserve"> predicted price of reit is: 68.06585423563256
</t>
  </si>
  <si>
    <t xml:space="preserve"> 68.06585423563256
</t>
  </si>
  <si>
    <t>value_ratio_gold_to_total is: 0.5803069083846081</t>
  </si>
  <si>
    <t xml:space="preserve"> risk_ratio_to_gold is: 0.9093476106491748</t>
  </si>
  <si>
    <t xml:space="preserve"> risk_ratio_to_gold_before is: 0.9096283374110683
</t>
  </si>
  <si>
    <t xml:space="preserve"> 0.9096283374110683
</t>
  </si>
  <si>
    <t>value_ratio_tb_to_total is: 0.1716030945855382</t>
  </si>
  <si>
    <t xml:space="preserve"> risk_ratio_tb_to_gold is: 0.052372738515717186</t>
  </si>
  <si>
    <t xml:space="preserve"> risk_ratio_tb_to_gold_before is: 0.05224532218553391
</t>
  </si>
  <si>
    <t xml:space="preserve"> 0.05224532218553391
</t>
  </si>
  <si>
    <t>value_ratio_reit_to_total is: 0.24808999702985376</t>
  </si>
  <si>
    <t xml:space="preserve"> risk_ratio_reit_to_gold is: 0.04731674028118579</t>
  </si>
  <si>
    <t xml:space="preserve"> risk_ratio_reit_to_gold_before is: 0.047104773751606994
</t>
  </si>
  <si>
    <t xml:space="preserve"> 0.047104773751606994
</t>
  </si>
  <si>
    <t xml:space="preserve"> delta_reit is: 0.9999642292775933
</t>
  </si>
  <si>
    <t xml:space="preserve"> 0.9999642292775933
</t>
  </si>
  <si>
    <t>delta_gold_risk is: 0.9998529940321925</t>
  </si>
  <si>
    <t xml:space="preserve"> delta_tb_risk is: 1.0001210899468942</t>
  </si>
  <si>
    <t xml:space="preserve"> delta_reit_risk is: 1.0002024310602837
</t>
  </si>
  <si>
    <t xml:space="preserve"> 1.0002024310602837
</t>
  </si>
  <si>
    <t xml:space="preserve">collateral_ratio_tranche_gold is: 0.8000747951077715
</t>
  </si>
  <si>
    <t xml:space="preserve"> 0.8000747951077715
</t>
  </si>
  <si>
    <t xml:space="preserve">collateral_ratio_tranche_tb is: 0.34993798231915574
</t>
  </si>
  <si>
    <t xml:space="preserve"> 0.34993798231915574
</t>
  </si>
  <si>
    <t xml:space="preserve">collateral_ratio_tranche_reit is: 0.34972780557457445
</t>
  </si>
  <si>
    <t xml:space="preserve"> 0.34972780557457445
</t>
  </si>
  <si>
    <t>Total plot size is: 149978861.08979696</t>
  </si>
  <si>
    <t xml:space="preserve"> plot size of gold is: 79998516.88565405</t>
  </si>
  <si>
    <t xml:space="preserve"> plot size of TB is: 34999260.16732974</t>
  </si>
  <si>
    <t xml:space="preserve"> plot size of REIT is: 34981084.03681319
</t>
  </si>
  <si>
    <t xml:space="preserve"> 34981084.03681319
</t>
  </si>
  <si>
    <t xml:space="preserve">collateral ratio is: 1.499733377573828
</t>
  </si>
  <si>
    <t xml:space="preserve"> 1.499733377573828
</t>
  </si>
  <si>
    <t>S_gtbcps_0 is: 1.0000177564434052</t>
  </si>
  <si>
    <t xml:space="preserve">stdev_gtbcps is: 0.009411152144854964
</t>
  </si>
  <si>
    <t xml:space="preserve"> 0.009411152144854964
</t>
  </si>
  <si>
    <t>predicted price of GTBCPS is: 1.0000214926130178</t>
  </si>
  <si>
    <t xml:space="preserve"> actual price is: 1.0000177564434052
</t>
  </si>
  <si>
    <t xml:space="preserve"> 1.0000177564434052
</t>
  </si>
  <si>
    <t>predicted amount of GTBCPS is: 100001533.58197194</t>
  </si>
  <si>
    <t xml:space="preserve"> actual amount is: 100001907.1980288
</t>
  </si>
  <si>
    <t>plot sizes of gold is: 79998516.88565405</t>
  </si>
  <si>
    <t xml:space="preserve"> plot sizes of tb is: 34999260.16732974 </t>
  </si>
  <si>
    <t xml:space="preserve"> plot sizes of reit is: 34981084.03681319</t>
  </si>
  <si>
    <t xml:space="preserve"> plot sizes of total is: 149978861.089797.
</t>
  </si>
  <si>
    <t xml:space="preserve"> 149978861.089797.
</t>
  </si>
  <si>
    <t>predicted stdevs of gold is: 0.011071388579051693</t>
  </si>
  <si>
    <t xml:space="preserve"> predicted stdevs of tb is: 0.0005231835636638487</t>
  </si>
  <si>
    <t xml:space="preserve"> predicted stdevs of reit is: 0.014506931112976804</t>
  </si>
  <si>
    <t xml:space="preserve"> predicted stdevs of GTBCPS is: 0.009411152144854964.
</t>
  </si>
  <si>
    <t xml:space="preserve"> 0.009411152144854964.
</t>
  </si>
  <si>
    <t>total_value_of_collaterals is: 149978989.74318784</t>
  </si>
  <si>
    <t xml:space="preserve"> createdtionValue_gold is: -298.88307275799565</t>
  </si>
  <si>
    <t xml:space="preserve"> createdValue_tb is: -130.76090314713858</t>
  </si>
  <si>
    <t xml:space="preserve"> createdValue_reit is: -130.69301846394026
</t>
  </si>
  <si>
    <t xml:space="preserve"> -130.69301846394026
</t>
  </si>
  <si>
    <t>plotValue_gold_after_creation is: 79998909.99397586</t>
  </si>
  <si>
    <t xml:space="preserve"> plotValue_tb_after_creation  is: 34999405.03512202</t>
  </si>
  <si>
    <t xml:space="preserve"> plotValue_reit_after_creation  is: 34981235.051084325</t>
  </si>
  <si>
    <t xml:space="preserve">total_value_after_creation is: 149979550.0801822
</t>
  </si>
  <si>
    <t xml:space="preserve"> 149979550.0801822
</t>
  </si>
  <si>
    <t>total_amount_gtncps_before_creation is: 100001907.1980288</t>
  </si>
  <si>
    <t>creation_amount_gtbcps is: -373.61605685949326</t>
  </si>
  <si>
    <t xml:space="preserve">total_amount_gtbcps_new is: 100001533.58197194
</t>
  </si>
  <si>
    <t xml:space="preserve"> 100001533.58197194
</t>
  </si>
  <si>
    <t>payout of tranche of gold is: 94.2252490557956</t>
  </si>
  <si>
    <t xml:space="preserve"> payout of tranche of Treausry Bill Option is: 14.106889125016036</t>
  </si>
  <si>
    <t xml:space="preserve"> payout of tranche of Collar of REIT is: 20.32125266751622
</t>
  </si>
  <si>
    <t xml:space="preserve"> 20.32125266751622
</t>
  </si>
  <si>
    <t>Collateral size of tranche of gold is: 79998909.99397586</t>
  </si>
  <si>
    <t xml:space="preserve"> collateral size of tranche of Treausry Bill Option is: 34999405.03512202</t>
  </si>
  <si>
    <t xml:space="preserve"> collateral size of tranche of Collar of REIT is: 34981235.051084325
</t>
  </si>
  <si>
    <t xml:space="preserve"> 34981235.051084325
</t>
  </si>
  <si>
    <t>Collateral ratio of tranche of gold is: 0.7999566496956939</t>
  </si>
  <si>
    <t xml:space="preserve"> collateral ratio of tranche of Treausry Bill Option is: 0.34997985341734206</t>
  </si>
  <si>
    <t xml:space="preserve"> collateral ratio of tranche of Collar of REIT is: 0.3497981609473207
</t>
  </si>
  <si>
    <t xml:space="preserve"> 0.3497981609473207
</t>
  </si>
  <si>
    <t xml:space="preserve"> current price of reit option is: 6.2359575475435065</t>
  </si>
  <si>
    <t xml:space="preserve"> predicted price of reit is: 67.98940215207493
</t>
  </si>
  <si>
    <t xml:space="preserve"> 67.98940215207493
</t>
  </si>
  <si>
    <t>value_ratio_gold_to_total is: 0.5822066352450773</t>
  </si>
  <si>
    <t xml:space="preserve"> risk_ratio_to_gold is: 0.9092483604001417</t>
  </si>
  <si>
    <t xml:space="preserve"> risk_ratio_to_gold_before is: 0.9093476106491748
</t>
  </si>
  <si>
    <t xml:space="preserve"> 0.9093476106491748
</t>
  </si>
  <si>
    <t>value_ratio_tb_to_total is: 0.17216486457899094</t>
  </si>
  <si>
    <t xml:space="preserve"> risk_ratio_tb_to_gold is: 0.05230809301607976</t>
  </si>
  <si>
    <t xml:space="preserve"> risk_ratio_tb_to_gold_before is: 0.052372738515717186
</t>
  </si>
  <si>
    <t xml:space="preserve"> 0.052372738515717186
</t>
  </si>
  <si>
    <t>value_ratio_reit_to_total is: 0.24562850017593174</t>
  </si>
  <si>
    <t xml:space="preserve"> risk_ratio_reit_to_gold is: 0.04750142389074261</t>
  </si>
  <si>
    <t xml:space="preserve"> risk_ratio_reit_to_gold_before is: 0.04731674028118579
</t>
  </si>
  <si>
    <t xml:space="preserve"> 0.04731674028118579
</t>
  </si>
  <si>
    <t xml:space="preserve"> delta_reit is: 0.9998759800317711
</t>
  </si>
  <si>
    <t xml:space="preserve"> 0.9998759800317711
</t>
  </si>
  <si>
    <t>delta_gold_risk is: 0.9999480187638544</t>
  </si>
  <si>
    <t xml:space="preserve"> delta_tb_risk is: 0.9999385716702158</t>
  </si>
  <si>
    <t xml:space="preserve"> delta_reit_risk is: 1.0001763397857149
</t>
  </si>
  <si>
    <t xml:space="preserve"> 1.0001763397857149
</t>
  </si>
  <si>
    <t xml:space="preserve">collateral_ratio_tranche_gold is: 0.7999982345928424
</t>
  </si>
  <si>
    <t xml:space="preserve"> 0.7999982345928424
</t>
  </si>
  <si>
    <t xml:space="preserve">collateral_ratio_tranche_tb is: 0.3500013534159046
</t>
  </si>
  <si>
    <t xml:space="preserve"> 0.3500013534159046
</t>
  </si>
  <si>
    <t xml:space="preserve">collateral_ratio_tranche_reit is: 0.34969311418169274
</t>
  </si>
  <si>
    <t xml:space="preserve"> 0.34969311418169274
</t>
  </si>
  <si>
    <t>Total plot size is: 149975211.70852256</t>
  </si>
  <si>
    <t xml:space="preserve"> plot size of gold is: 79998909.99397586</t>
  </si>
  <si>
    <t xml:space="preserve"> plot size of TB is: 34999405.03512202</t>
  </si>
  <si>
    <t xml:space="preserve"> plot size of REIT is: 34976896.67942468
</t>
  </si>
  <si>
    <t xml:space="preserve"> 34976896.67942468
</t>
  </si>
  <si>
    <t xml:space="preserve">collateral ratio is: 1.499696885105056
</t>
  </si>
  <si>
    <t xml:space="preserve"> 1.499696885105056
</t>
  </si>
  <si>
    <t>S_gtbcps_0 is: 1.0000214926130178</t>
  </si>
  <si>
    <t xml:space="preserve">stdev_gtbcps is: 0.0094474225501998
</t>
  </si>
  <si>
    <t xml:space="preserve"> 0.0094474225501998
</t>
  </si>
  <si>
    <t>predicted price of GTBCPS is: 1.0000007830023085</t>
  </si>
  <si>
    <t xml:space="preserve"> actual price is: 1.0000214926130178
</t>
  </si>
  <si>
    <t xml:space="preserve"> 1.0000214926130178
</t>
  </si>
  <si>
    <t>predicted amount of GTBCPS is: 100003604.57318115</t>
  </si>
  <si>
    <t xml:space="preserve"> actual amount is: 100001533.58197194
</t>
  </si>
  <si>
    <t>plot sizes of gold is: 79998909.99397586</t>
  </si>
  <si>
    <t xml:space="preserve"> plot sizes of tb is: 34999405.03512202 </t>
  </si>
  <si>
    <t xml:space="preserve"> plot sizes of reit is: 34976896.67942468</t>
  </si>
  <si>
    <t xml:space="preserve"> plot sizes of total is: 149975211.70852256.
</t>
  </si>
  <si>
    <t xml:space="preserve"> 149975211.70852256.
</t>
  </si>
  <si>
    <t>predicted stdevs of gold is: 0.011109147773445469</t>
  </si>
  <si>
    <t xml:space="preserve"> predicted stdevs of tb is: 0.0005260712822372687</t>
  </si>
  <si>
    <t xml:space="preserve"> predicted stdevs of reit is: 0.014573828748047187</t>
  </si>
  <si>
    <t xml:space="preserve"> predicted stdevs of GTBCPS is: 0.0094474225501998.
</t>
  </si>
  <si>
    <t xml:space="preserve"> 0.0094474225501998.
</t>
  </si>
  <si>
    <t>total_value_of_collaterals is: 149974498.54660589</t>
  </si>
  <si>
    <t xml:space="preserve"> createdtionValue_gold is: 1656.699237175878</t>
  </si>
  <si>
    <t xml:space="preserve"> createdValue_tb is: 724.8067623840199</t>
  </si>
  <si>
    <t xml:space="preserve"> createdValue_reit is: 724.3407288773161
</t>
  </si>
  <si>
    <t xml:space="preserve"> 724.3407288773161
</t>
  </si>
  <si>
    <t>plotValue_gold_after_creation is: 79996700.93479103</t>
  </si>
  <si>
    <t xml:space="preserve"> plotValue_tb_after_creation  is: 34998597.515375756</t>
  </si>
  <si>
    <t xml:space="preserve"> plotValue_reit_after_creation  is: 34976094.249710634</t>
  </si>
  <si>
    <t xml:space="preserve">total_value_after_creation is: 149971392.69987744
</t>
  </si>
  <si>
    <t xml:space="preserve"> 149971392.69987744
</t>
  </si>
  <si>
    <t>total_amount_gtncps_before_creation is: 100001533.58197194</t>
  </si>
  <si>
    <t>creation_amount_gtbcps is: 2070.9912092089653</t>
  </si>
  <si>
    <t xml:space="preserve">total_amount_gtbcps_new is: 100003604.57318115
</t>
  </si>
  <si>
    <t xml:space="preserve"> 100003604.57318115
</t>
  </si>
  <si>
    <t>payout of tranche of gold is: -552.359947652158</t>
  </si>
  <si>
    <t xml:space="preserve"> payout of tranche of Treausry Bill Option is: -82.71298388606813</t>
  </si>
  <si>
    <t xml:space="preserve"> payout of tranche of Collar of REIT is: -78.08898516912626
</t>
  </si>
  <si>
    <t xml:space="preserve"> -78.08898516912626
</t>
  </si>
  <si>
    <t>Collateral size of tranche of gold is: 79996700.93479103</t>
  </si>
  <si>
    <t xml:space="preserve"> collateral size of tranche of Treausry Bill Option is: 34998597.515375756</t>
  </si>
  <si>
    <t xml:space="preserve"> collateral size of tranche of Collar of REIT is: 34976094.249710634
</t>
  </si>
  <si>
    <t xml:space="preserve"> 34976094.249710634
</t>
  </si>
  <si>
    <t>Collateral ratio of tranche of gold is: 0.7999541150202939</t>
  </si>
  <si>
    <t xml:space="preserve"> collateral ratio of tranche of Treausry Bill Option is: 0.34998033387883987</t>
  </si>
  <si>
    <t xml:space="preserve"> collateral ratio of tranche of Collar of REIT is: 0.34975530484939427
</t>
  </si>
  <si>
    <t xml:space="preserve"> 0.34975530484939427
</t>
  </si>
  <si>
    <t xml:space="preserve"> current price of reit option is: 6.225972125981869</t>
  </si>
  <si>
    <t xml:space="preserve"> predicted price of reit is: 68.28200474032478
</t>
  </si>
  <si>
    <t xml:space="preserve"> 68.28200474032478
</t>
  </si>
  <si>
    <t>value_ratio_gold_to_total is: 0.5759837742652114</t>
  </si>
  <si>
    <t xml:space="preserve"> risk_ratio_to_gold is: 0.9094625100242429</t>
  </si>
  <si>
    <t xml:space="preserve"> risk_ratio_to_gold_before is: 0.9092483604001417
</t>
  </si>
  <si>
    <t xml:space="preserve"> 0.9092483604001417
</t>
  </si>
  <si>
    <t>value_ratio_tb_to_total is: 0.17032469658186478</t>
  </si>
  <si>
    <t xml:space="preserve"> risk_ratio_tb_to_gold is: 0.0524566308688202</t>
  </si>
  <si>
    <t xml:space="preserve"> risk_ratio_tb_to_gold_before is: 0.05230809301607976
</t>
  </si>
  <si>
    <t xml:space="preserve"> 0.05230809301607976
</t>
  </si>
  <si>
    <t>value_ratio_reit_to_total is: 0.25369152915292376</t>
  </si>
  <si>
    <t xml:space="preserve"> risk_ratio_reit_to_gold is: 0.04709391572088345</t>
  </si>
  <si>
    <t xml:space="preserve"> risk_ratio_reit_to_gold_before is: 0.04750142389074261
</t>
  </si>
  <si>
    <t xml:space="preserve"> 0.04750142389074261
</t>
  </si>
  <si>
    <t xml:space="preserve"> delta_reit is: 0.9998651274071085
</t>
  </si>
  <si>
    <t xml:space="preserve"> 0.9998651274071085
</t>
  </si>
  <si>
    <t>delta_gold_risk is: 1.0001121643619253</t>
  </si>
  <si>
    <t xml:space="preserve"> delta_tb_risk is: 1.000141154338474</t>
  </si>
  <si>
    <t xml:space="preserve"> delta_reit_risk is: 0.9996109712497139
</t>
  </si>
  <si>
    <t xml:space="preserve"> 0.9996109712497139
</t>
  </si>
  <si>
    <t xml:space="preserve">collateral_ratio_tranche_gold is: 0.7998643987403825
</t>
  </si>
  <si>
    <t xml:space="preserve"> 0.7998643987403825
</t>
  </si>
  <si>
    <t xml:space="preserve">collateral_ratio_tranche_tb is: 0.3499309396085479
</t>
  </si>
  <si>
    <t xml:space="preserve"> 0.3499309396085479
</t>
  </si>
  <si>
    <t xml:space="preserve">collateral_ratio_tranche_reit is: 0.34984423190888597
</t>
  </si>
  <si>
    <t xml:space="preserve"> 0.34984423190888597
</t>
  </si>
  <si>
    <t>Total plot size is: 149966675.38335675</t>
  </si>
  <si>
    <t xml:space="preserve"> plot size of gold is: 79996700.93479103</t>
  </si>
  <si>
    <t xml:space="preserve"> plot size of TB is: 34998597.515375756</t>
  </si>
  <si>
    <t xml:space="preserve"> plot size of REIT is: 34971376.93318996
</t>
  </si>
  <si>
    <t xml:space="preserve"> 34971376.93318996
</t>
  </si>
  <si>
    <t xml:space="preserve">collateral ratio is: 1.4996115249971051
</t>
  </si>
  <si>
    <t xml:space="preserve"> 1.4996115249971051
</t>
  </si>
  <si>
    <t>S_gtbcps_0 is: 1.0000007830023085</t>
  </si>
  <si>
    <t xml:space="preserve">stdev_gtbcps is: 0.00949431367632777
</t>
  </si>
  <si>
    <t xml:space="preserve"> 0.00949431367632777
</t>
  </si>
  <si>
    <t>predicted price of GTBCPS is: 1.0000381641423195</t>
  </si>
  <si>
    <t xml:space="preserve"> actual price is: 1.0000007830023085
</t>
  </si>
  <si>
    <t xml:space="preserve"> 1.0000007830023085
</t>
  </si>
  <si>
    <t>predicted amount of GTBCPS is: 99999866.46709862</t>
  </si>
  <si>
    <t xml:space="preserve"> actual amount is: 100003604.57318115
</t>
  </si>
  <si>
    <t>plot sizes of gold is: 79996700.93479103</t>
  </si>
  <si>
    <t xml:space="preserve"> plot sizes of tb is: 34998597.515375756 </t>
  </si>
  <si>
    <t xml:space="preserve"> plot sizes of reit is: 34971376.93318996</t>
  </si>
  <si>
    <t xml:space="preserve"> plot sizes of total is: 149966675.38335675.
</t>
  </si>
  <si>
    <t xml:space="preserve"> 149966675.38335675.
</t>
  </si>
  <si>
    <t>predicted stdevs of gold is: 0.011164279076748492</t>
  </si>
  <si>
    <t xml:space="preserve"> predicted stdevs of tb is: 0.0005290111535985418</t>
  </si>
  <si>
    <t xml:space="preserve"> predicted stdevs of reit is: 0.014646564107641938</t>
  </si>
  <si>
    <t xml:space="preserve"> predicted stdevs of GTBCPS is: 0.00949431367632777.
</t>
  </si>
  <si>
    <t xml:space="preserve"> 0.00949431367632777.
</t>
  </si>
  <si>
    <t>total_value_of_collaterals is: 149967962.66175556</t>
  </si>
  <si>
    <t xml:space="preserve"> createdtionValue_gold is: -2990.4007784255123</t>
  </si>
  <si>
    <t xml:space="preserve"> createdValue_tb is: -1308.291725886886</t>
  </si>
  <si>
    <t xml:space="preserve"> createdValue_reit is: -1307.2765156043336
</t>
  </si>
  <si>
    <t xml:space="preserve"> -1307.2765156043336
</t>
  </si>
  <si>
    <t>plotValue_gold_after_creation is: 80000634.106855</t>
  </si>
  <si>
    <t xml:space="preserve"> plotValue_tb_after_creation  is: 35000046.957856186</t>
  </si>
  <si>
    <t xml:space="preserve"> plotValue_reit_after_creation  is: 34972887.566064306</t>
  </si>
  <si>
    <t xml:space="preserve">total_value_after_creation is: 149973568.63077548
</t>
  </si>
  <si>
    <t xml:space="preserve"> 149973568.63077548
</t>
  </si>
  <si>
    <t>total_amount_gtncps_before_creation is: 100003604.57318115</t>
  </si>
  <si>
    <t>creation_amount_gtbcps is: -3738.1060825288296</t>
  </si>
  <si>
    <t xml:space="preserve">total_amount_gtbcps_new is: 99999866.46709862
</t>
  </si>
  <si>
    <t xml:space="preserve"> 99999866.46709862
</t>
  </si>
  <si>
    <t>payout of tranche of gold is: 942.7712855434686</t>
  </si>
  <si>
    <t xml:space="preserve"> payout of tranche of Treausry Bill Option is: 141.15075454413272</t>
  </si>
  <si>
    <t xml:space="preserve"> payout of tranche of Collar of REIT is: 203.3563587431082
</t>
  </si>
  <si>
    <t xml:space="preserve"> 203.3563587431082
</t>
  </si>
  <si>
    <t>Collateral size of tranche of gold is: 80000634.106855</t>
  </si>
  <si>
    <t xml:space="preserve"> collateral size of tranche of Treausry Bill Option is: 35000046.957856186</t>
  </si>
  <si>
    <t xml:space="preserve"> collateral size of tranche of Collar of REIT is: 34972887.566064306
</t>
  </si>
  <si>
    <t xml:space="preserve"> 34972887.566064306
</t>
  </si>
  <si>
    <t>Collateral ratio of tranche of gold is: 0.7999469760036988</t>
  </si>
  <si>
    <t xml:space="preserve"> collateral ratio of tranche of Treausry Bill Option is: 0.34997449753370685</t>
  </si>
  <si>
    <t xml:space="preserve"> collateral ratio of tranche of Collar of REIT is: 0.34970292376961654
</t>
  </si>
  <si>
    <t xml:space="preserve"> 0.34970292376961654
</t>
  </si>
  <si>
    <t xml:space="preserve"> current price of reit option is: 6.233951158966519</t>
  </si>
  <si>
    <t xml:space="preserve"> predicted price of reit is: 68.23656891939183
</t>
  </si>
  <si>
    <t xml:space="preserve"> 68.23656891939183
</t>
  </si>
  <si>
    <t>value_ratio_gold_to_total is: 0.5768008660540348</t>
  </si>
  <si>
    <t xml:space="preserve"> risk_ratio_to_gold is: 0.9082199626487565</t>
  </si>
  <si>
    <t xml:space="preserve"> risk_ratio_to_gold_before is: 0.9094625100242429
</t>
  </si>
  <si>
    <t xml:space="preserve"> 0.9094625100242429
</t>
  </si>
  <si>
    <t>value_ratio_tb_to_total is: 0.17056631955325563</t>
  </si>
  <si>
    <t xml:space="preserve"> risk_ratio_tb_to_gold is: 0.05323410685521862</t>
  </si>
  <si>
    <t xml:space="preserve"> risk_ratio_tb_to_gold_before is: 0.0524566308688202
</t>
  </si>
  <si>
    <t xml:space="preserve"> 0.0524566308688202
</t>
  </si>
  <si>
    <t>value_ratio_reit_to_total is: 0.25263281439270957</t>
  </si>
  <si>
    <t xml:space="preserve"> risk_ratio_reit_to_gold is: 0.04782074893497316</t>
  </si>
  <si>
    <t xml:space="preserve"> risk_ratio_reit_to_gold_before is: 0.04709391572088345
</t>
  </si>
  <si>
    <t xml:space="preserve"> 0.04709391572088345
</t>
  </si>
  <si>
    <t xml:space="preserve"> delta_reit is: 1.0001077869395767
</t>
  </si>
  <si>
    <t xml:space="preserve"> 1.0001077869395767
</t>
  </si>
  <si>
    <t>delta_gold_risk is: 0.9993492685145882</t>
  </si>
  <si>
    <t xml:space="preserve"> delta_tb_risk is: 1.000738724963666</t>
  </si>
  <si>
    <t xml:space="preserve"> delta_reit_risk is: 1.00069414328856
</t>
  </si>
  <si>
    <t xml:space="preserve"> 1.00069414328856
</t>
  </si>
  <si>
    <t xml:space="preserve">collateral_ratio_tranche_gold is: 0.8004678656469356
</t>
  </si>
  <si>
    <t xml:space="preserve"> 0.8004678656469356
</t>
  </si>
  <si>
    <t xml:space="preserve">collateral_ratio_tranche_tb is: 0.34971615348093327
</t>
  </si>
  <si>
    <t xml:space="preserve"> 0.34971615348093327
</t>
  </si>
  <si>
    <t xml:space="preserve">collateral_ratio_tranche_reit is: 0.3494980154757231
</t>
  </si>
  <si>
    <t xml:space="preserve"> 0.3494980154757231
</t>
  </si>
  <si>
    <t>Total plot size is: 149977338.2512944</t>
  </si>
  <si>
    <t xml:space="preserve"> plot size of gold is: 80000634.106855</t>
  </si>
  <si>
    <t xml:space="preserve"> plot size of TB is: 35000046.957856186</t>
  </si>
  <si>
    <t xml:space="preserve"> plot size of REIT is: 34976657.18658321
</t>
  </si>
  <si>
    <t xml:space="preserve"> 34976657.18658321
</t>
  </si>
  <si>
    <t xml:space="preserve">collateral ratio is: 1.499718149749624
</t>
  </si>
  <si>
    <t xml:space="preserve"> 1.499718149749624
</t>
  </si>
  <si>
    <t>S_gtbcps_0 is: 1.0000381641423195</t>
  </si>
  <si>
    <t xml:space="preserve">stdev_gtbcps is: 0.009414972630284943
</t>
  </si>
  <si>
    <t xml:space="preserve"> 0.009414972630284943
</t>
  </si>
  <si>
    <t>predicted price of GTBCPS is: 1.0000300207853239</t>
  </si>
  <si>
    <t xml:space="preserve"> actual price is: 1.0000381641423195
</t>
  </si>
  <si>
    <t xml:space="preserve"> 1.0000381641423195
</t>
  </si>
  <si>
    <t>predicted amount of GTBCPS is: 100000680.77726454</t>
  </si>
  <si>
    <t xml:space="preserve"> actual amount is: 99999866.46709862
</t>
  </si>
  <si>
    <t>plot sizes of gold is: 80000634.106855</t>
  </si>
  <si>
    <t xml:space="preserve"> plot sizes of tb is: 35000046.957856186 </t>
  </si>
  <si>
    <t xml:space="preserve"> plot sizes of reit is: 34976657.18658321</t>
  </si>
  <si>
    <t xml:space="preserve"> plot sizes of total is: 149977338.2512944.
</t>
  </si>
  <si>
    <t xml:space="preserve"> 149977338.2512944.
</t>
  </si>
  <si>
    <t>predicted stdevs of gold is: 0.01103938999985256</t>
  </si>
  <si>
    <t xml:space="preserve"> predicted stdevs of tb is: 0.0005319799414909352</t>
  </si>
  <si>
    <t xml:space="preserve"> predicted stdevs of reit is: 0.014588444201601826</t>
  </si>
  <si>
    <t xml:space="preserve"> predicted stdevs of GTBCPS is: 0.009414972630284943.
</t>
  </si>
  <si>
    <t xml:space="preserve"> 0.009414972630284943.
</t>
  </si>
  <si>
    <t>total_value_of_collaterals is: 149977057.87342656</t>
  </si>
  <si>
    <t xml:space="preserve"> createdtionValue_gold is: 651.4471889276979</t>
  </si>
  <si>
    <t xml:space="preserve"> createdValue_tb is: 285.00674994723266</t>
  </si>
  <si>
    <t xml:space="preserve"> createdValue_reit is: 284.81617579469565
</t>
  </si>
  <si>
    <t xml:space="preserve"> 284.81617579469565
</t>
  </si>
  <si>
    <t>plotValue_gold_after_creation is: 79999777.27182582</t>
  </si>
  <si>
    <t xml:space="preserve"> plotValue_tb_after_creation  is: 34999731.220386185</t>
  </si>
  <si>
    <t xml:space="preserve"> plotValue_reit_after_creation  is: 34976328.11109989</t>
  </si>
  <si>
    <t xml:space="preserve">total_value_after_creation is: 149975836.6033119
</t>
  </si>
  <si>
    <t xml:space="preserve"> 149975836.6033119
</t>
  </si>
  <si>
    <t>total_amount_gtncps_before_creation is: 99999866.46709862</t>
  </si>
  <si>
    <t>creation_amount_gtbcps is: 814.3101659119129</t>
  </si>
  <si>
    <t xml:space="preserve">total_amount_gtbcps_new is: 100000680.77726454
</t>
  </si>
  <si>
    <t xml:space="preserve"> 100000680.77726454
</t>
  </si>
  <si>
    <t>payout of tranche of gold is: -205.3878402571827</t>
  </si>
  <si>
    <t xml:space="preserve"> payout of tranche of Treausry Bill Option is: -30.730720047294067</t>
  </si>
  <si>
    <t xml:space="preserve"> payout of tranche of Collar of REIT is: -44.25930752794701
</t>
  </si>
  <si>
    <t xml:space="preserve"> -44.25930752794701
</t>
  </si>
  <si>
    <t>Collateral size of tranche of gold is: 79999777.27182582</t>
  </si>
  <si>
    <t xml:space="preserve"> collateral size of tranche of Treausry Bill Option is: 34999731.220386185</t>
  </si>
  <si>
    <t xml:space="preserve"> collateral size of tranche of Collar of REIT is: 34976328.11109989
</t>
  </si>
  <si>
    <t xml:space="preserve"> 34976328.11109989
</t>
  </si>
  <si>
    <t>Collateral ratio of tranche of gold is: 0.7999748251074325</t>
  </si>
  <si>
    <t xml:space="preserve"> collateral ratio of tranche of Treausry Bill Option is: 0.3499872726732727</t>
  </si>
  <si>
    <t xml:space="preserve"> collateral ratio of tranche of Collar of REIT is: 0.34975324829349647
</t>
  </si>
  <si>
    <t xml:space="preserve"> 0.34975324829349647
</t>
  </si>
  <si>
    <t xml:space="preserve"> current price of reit option is: 6.228986393490658</t>
  </si>
  <si>
    <t xml:space="preserve"> predicted price of reit is: 68.15313107844561
</t>
  </si>
  <si>
    <t xml:space="preserve"> 68.15313107844561
</t>
  </si>
  <si>
    <t>value_ratio_gold_to_total is: 0.5787385258486423</t>
  </si>
  <si>
    <t xml:space="preserve"> risk_ratio_to_gold is: 0.9081621202215397</t>
  </si>
  <si>
    <t xml:space="preserve"> risk_ratio_to_gold_before is: 0.9082199626487565
</t>
  </si>
  <si>
    <t xml:space="preserve"> 0.9082199626487565
</t>
  </si>
  <si>
    <t>value_ratio_tb_to_total is: 0.17113930672987604</t>
  </si>
  <si>
    <t xml:space="preserve"> risk_ratio_tb_to_gold is: 0.053155373862185704</t>
  </si>
  <si>
    <t xml:space="preserve"> risk_ratio_tb_to_gold_before is: 0.05323410685521862
</t>
  </si>
  <si>
    <t xml:space="preserve"> 0.05323410685521862
</t>
  </si>
  <si>
    <t>value_ratio_reit_to_total is: 0.2501221674214817</t>
  </si>
  <si>
    <t xml:space="preserve"> risk_ratio_reit_to_gold is: 0.04796961002951976</t>
  </si>
  <si>
    <t xml:space="preserve"> risk_ratio_reit_to_gold_before is: 0.04782074893497316
</t>
  </si>
  <si>
    <t xml:space="preserve"> 0.04782074893497316
</t>
  </si>
  <si>
    <t xml:space="preserve"> delta_reit is: 0.9999329393420432
</t>
  </si>
  <si>
    <t xml:space="preserve"> 0.9999329393420432
</t>
  </si>
  <si>
    <t>delta_gold_risk is: 0.9999696877569939</t>
  </si>
  <si>
    <t xml:space="preserve"> delta_tb_risk is: 0.9999252464456663</t>
  </si>
  <si>
    <t xml:space="preserve"> delta_reit_risk is: 1.0001420673284986
</t>
  </si>
  <si>
    <t xml:space="preserve"> 1.0001420673284986
</t>
  </si>
  <si>
    <t xml:space="preserve">collateral_ratio_tranche_gold is: 0.7999990748737946
</t>
  </si>
  <si>
    <t xml:space="preserve"> 0.7999990748737946
</t>
  </si>
  <si>
    <t xml:space="preserve">collateral_ratio_tranche_tb is: 0.35001343742178453
</t>
  </si>
  <si>
    <t xml:space="preserve"> 0.35001343742178453
</t>
  </si>
  <si>
    <t xml:space="preserve">collateral_ratio_tranche_reit is: 0.3496801154907065
</t>
  </si>
  <si>
    <t xml:space="preserve"> 0.3496801154907065
</t>
  </si>
  <si>
    <t>Total plot size is: 149973491.06773585</t>
  </si>
  <si>
    <t xml:space="preserve"> plot size of gold is: 79999777.27182582</t>
  </si>
  <si>
    <t xml:space="preserve"> plot size of TB is: 34999731.220386185</t>
  </si>
  <si>
    <t xml:space="preserve"> plot size of REIT is: 34973982.575523846
</t>
  </si>
  <si>
    <t xml:space="preserve"> 34973982.575523846
</t>
  </si>
  <si>
    <t xml:space="preserve">collateral ratio is: 1.4996796793308564
</t>
  </si>
  <si>
    <t xml:space="preserve"> 1.4996796793308564
</t>
  </si>
  <si>
    <t>S_gtbcps_0 is: 1.0000300207853239</t>
  </si>
  <si>
    <t xml:space="preserve">stdev_gtbcps is: 0.009447950611912522
</t>
  </si>
  <si>
    <t xml:space="preserve"> 0.009447950611912522
</t>
  </si>
  <si>
    <t>predicted price of GTBCPS is: 1.0000115836313301</t>
  </si>
  <si>
    <t xml:space="preserve"> actual price is: 1.0000300207853239
</t>
  </si>
  <si>
    <t xml:space="preserve"> 1.0000300207853239
</t>
  </si>
  <si>
    <t>predicted amount of GTBCPS is: 100002524.48385869</t>
  </si>
  <si>
    <t xml:space="preserve"> actual amount is: 100000680.77726454
</t>
  </si>
  <si>
    <t>plot sizes of gold is: 79999777.27182582</t>
  </si>
  <si>
    <t xml:space="preserve"> plot sizes of tb is: 34999731.220386185 </t>
  </si>
  <si>
    <t xml:space="preserve"> plot sizes of reit is: 34973982.575523846</t>
  </si>
  <si>
    <t xml:space="preserve"> plot sizes of total is: 149973491.06773585.
</t>
  </si>
  <si>
    <t xml:space="preserve"> 149973491.06773585.
</t>
  </si>
  <si>
    <t>predicted stdevs of gold is: 0.011084229341733105</t>
  </si>
  <si>
    <t xml:space="preserve"> predicted stdevs of tb is: 0.0005350171032629321</t>
  </si>
  <si>
    <t xml:space="preserve"> predicted stdevs of reit is: 0.014624608513444772</t>
  </si>
  <si>
    <t xml:space="preserve"> predicted stdevs of GTBCPS is: 0.009447950611912522.
</t>
  </si>
  <si>
    <t xml:space="preserve"> 0.009447950611912522.
</t>
  </si>
  <si>
    <t>total_value_of_collaterals is: 149972856.16153672</t>
  </si>
  <si>
    <t xml:space="preserve"> createdtionValue_gold is: 1474.9148683550438</t>
  </si>
  <si>
    <t xml:space="preserve"> createdValue_tb is: 645.2747048924467</t>
  </si>
  <si>
    <t xml:space="preserve"> createdValue_reit is: 644.8000635271381
</t>
  </si>
  <si>
    <t xml:space="preserve"> 644.8000635271381
</t>
  </si>
  <si>
    <t>plotValue_gold_after_creation is: 79997810.60156861</t>
  </si>
  <si>
    <t xml:space="preserve"> plotValue_tb_after_creation  is: 34999012.30607355</t>
  </si>
  <si>
    <t xml:space="preserve"> plotValue_reit_after_creation  is: 34973268.26425778</t>
  </si>
  <si>
    <t xml:space="preserve">total_value_after_creation is: 149970091.17189994
</t>
  </si>
  <si>
    <t xml:space="preserve"> 149970091.17189994
</t>
  </si>
  <si>
    <t>total_amount_gtncps_before_creation is: 100000680.77726454</t>
  </si>
  <si>
    <t>creation_amount_gtbcps is: 1843.7065941542387</t>
  </si>
  <si>
    <t xml:space="preserve">total_amount_gtbcps_new is: 100002524.48385869
</t>
  </si>
  <si>
    <t xml:space="preserve"> 100002524.48385869
</t>
  </si>
  <si>
    <t>payout of tranche of gold is: -491.75538885541437</t>
  </si>
  <si>
    <t xml:space="preserve"> payout of tranche of Treausry Bill Option is: -73.63960774576708</t>
  </si>
  <si>
    <t xml:space="preserve"> payout of tranche of Collar of REIT is: -69.5112025340185
</t>
  </si>
  <si>
    <t xml:space="preserve"> -69.5112025340185
</t>
  </si>
  <si>
    <t>Collateral size of tranche of gold is: 79997810.60156861</t>
  </si>
  <si>
    <t xml:space="preserve"> collateral size of tranche of Treausry Bill Option is: 34999012.30607355</t>
  </si>
  <si>
    <t xml:space="preserve"> collateral size of tranche of Collar of REIT is: 34973268.26425778
</t>
  </si>
  <si>
    <t xml:space="preserve"> 34973268.26425778
</t>
  </si>
  <si>
    <t>Collateral ratio of tranche of gold is: 0.7999633935026664</t>
  </si>
  <si>
    <t xml:space="preserve"> collateral ratio of tranche of Treausry Bill Option is: 0.3499836863417759</t>
  </si>
  <si>
    <t xml:space="preserve"> collateral ratio of tranche of Collar of REIT is: 0.34972625065824214
</t>
  </si>
  <si>
    <t xml:space="preserve"> 0.34972625065824214
</t>
  </si>
  <si>
    <t xml:space="preserve"> current price of reit option is: 6.217931463598447</t>
  </si>
  <si>
    <t xml:space="preserve"> predicted price of reit is: 68.37412545226593
</t>
  </si>
  <si>
    <t xml:space="preserve"> 68.37412545226593
</t>
  </si>
  <si>
    <t>value_ratio_gold_to_total is: 0.5741580347480514</t>
  </si>
  <si>
    <t xml:space="preserve"> risk_ratio_to_gold is: 0.9072006491127521</t>
  </si>
  <si>
    <t xml:space="preserve"> risk_ratio_to_gold_before is: 0.9081621202215397
</t>
  </si>
  <si>
    <t xml:space="preserve"> 0.9081621202215397
</t>
  </si>
  <si>
    <t>value_ratio_tb_to_total is: 0.1697848054543855</t>
  </si>
  <si>
    <t xml:space="preserve"> risk_ratio_tb_to_gold is: 0.05396724083483735</t>
  </si>
  <si>
    <t xml:space="preserve"> risk_ratio_tb_to_gold_before is: 0.053155373862185704
</t>
  </si>
  <si>
    <t xml:space="preserve"> 0.053155373862185704
</t>
  </si>
  <si>
    <t>value_ratio_reit_to_total is: 0.2560571597975631</t>
  </si>
  <si>
    <t xml:space="preserve"> risk_ratio_reit_to_gold is: 0.048324739421136235</t>
  </si>
  <si>
    <t xml:space="preserve"> risk_ratio_reit_to_gold_before is: 0.04796961002951976
</t>
  </si>
  <si>
    <t xml:space="preserve"> 0.04796961002951976
</t>
  </si>
  <si>
    <t xml:space="preserve"> delta_reit is: 0.9998506675502289
</t>
  </si>
  <si>
    <t xml:space="preserve"> 0.9998506675502289
</t>
  </si>
  <si>
    <t>delta_gold_risk is: 0.9994961271379414</t>
  </si>
  <si>
    <t xml:space="preserve"> delta_tb_risk is: 1.0007708900251577</t>
  </si>
  <si>
    <t xml:space="preserve"> delta_reit_risk is: 1.0003388737499805
</t>
  </si>
  <si>
    <t xml:space="preserve"> 1.0003388737499805
</t>
  </si>
  <si>
    <t xml:space="preserve">collateral_ratio_tranche_gold is: 0.8003666765506763
</t>
  </si>
  <si>
    <t xml:space="preserve"> 0.8003666765506763
</t>
  </si>
  <si>
    <t xml:space="preserve">collateral_ratio_tranche_tb is: 0.3497140952341029
</t>
  </si>
  <si>
    <t xml:space="preserve"> 0.3497140952341029
</t>
  </si>
  <si>
    <t xml:space="preserve">collateral_ratio_tranche_reit is: 0.34955556997365855
</t>
  </si>
  <si>
    <t xml:space="preserve"> 0.34955556997365855
</t>
  </si>
  <si>
    <t>Total plot size is: 149964868.52807355</t>
  </si>
  <si>
    <t xml:space="preserve"> plot size of gold is: 79997810.60156861</t>
  </si>
  <si>
    <t xml:space="preserve"> plot size of TB is: 34999012.30607355</t>
  </si>
  <si>
    <t xml:space="preserve"> plot size of REIT is: 34968045.62043138
</t>
  </si>
  <si>
    <t xml:space="preserve"> 34968045.62043138
</t>
  </si>
  <si>
    <t xml:space="preserve">collateral ratio is: 1.499593457109691
</t>
  </si>
  <si>
    <t xml:space="preserve"> 1.499593457109691
</t>
  </si>
  <si>
    <t>S_gtbcps_0 is: 1.0000115836313301</t>
  </si>
  <si>
    <t xml:space="preserve">stdev_gtbcps is: 0.009397653452666632
</t>
  </si>
  <si>
    <t xml:space="preserve"> 0.009397653452666632
</t>
  </si>
  <si>
    <t>predicted price of GTBCPS is: 0.9999927802923302</t>
  </si>
  <si>
    <t xml:space="preserve"> actual price is: 1.0000115836313301
</t>
  </si>
  <si>
    <t xml:space="preserve"> 1.0000115836313301
</t>
  </si>
  <si>
    <t>predicted amount of GTBCPS is: 100004404.87880331</t>
  </si>
  <si>
    <t xml:space="preserve"> actual amount is: 100002524.48385869
</t>
  </si>
  <si>
    <t>plot sizes of gold is: 79997810.60156861</t>
  </si>
  <si>
    <t xml:space="preserve"> plot sizes of tb is: 34999012.30607355 </t>
  </si>
  <si>
    <t xml:space="preserve"> plot sizes of reit is: 34968045.62043138</t>
  </si>
  <si>
    <t xml:space="preserve"> plot sizes of total is: 149964868.52807355.
</t>
  </si>
  <si>
    <t xml:space="preserve"> 149964868.52807355.
</t>
  </si>
  <si>
    <t>predicted stdevs of gold is: 0.010953746029088371</t>
  </si>
  <si>
    <t xml:space="preserve"> predicted stdevs of tb is: 0.0005380887920486959</t>
  </si>
  <si>
    <t xml:space="preserve"> predicted stdevs of reit is: 0.014705128036487509</t>
  </si>
  <si>
    <t xml:space="preserve"> predicted stdevs of GTBCPS is: 0.009397653452666632.
</t>
  </si>
  <si>
    <t xml:space="preserve"> 0.009397653452666632.
</t>
  </si>
  <si>
    <t>total_value_of_collaterals is: 149964221.07090592</t>
  </si>
  <si>
    <t xml:space="preserve"> createdtionValue_gold is: 1504.1990971267956</t>
  </si>
  <si>
    <t xml:space="preserve"> createdValue_tb is: 658.0892589125326</t>
  </si>
  <si>
    <t xml:space="preserve"> createdValue_reit is: 657.5070671505229
</t>
  </si>
  <si>
    <t xml:space="preserve"> 657.5070671505229
</t>
  </si>
  <si>
    <t>plotValue_gold_after_creation is: 79995804.85426687</t>
  </si>
  <si>
    <t xml:space="preserve"> plotValue_tb_after_creation  is: 34998279.1727593</t>
  </si>
  <si>
    <t xml:space="preserve"> plotValue_reit_after_creation  is: 34967317.24845655</t>
  </si>
  <si>
    <t xml:space="preserve">total_value_after_creation is: 149961401.2754827
</t>
  </si>
  <si>
    <t xml:space="preserve"> 149961401.2754827
</t>
  </si>
  <si>
    <t>total_amount_gtncps_before_creation is: 100002524.48385869</t>
  </si>
  <si>
    <t>creation_amount_gtbcps is: 1880.3949446231127</t>
  </si>
  <si>
    <t xml:space="preserve">total_amount_gtbcps_new is: 100004404.87880331
</t>
  </si>
  <si>
    <t xml:space="preserve"> 100004404.87880331
</t>
  </si>
  <si>
    <t>payout of tranche of gold is: -501.5482046195604</t>
  </si>
  <si>
    <t xml:space="preserve"> payout of tranche of Treausry Bill Option is: -75.04405533514544</t>
  </si>
  <si>
    <t xml:space="preserve"> payout of tranche of Collar of REIT is: -70.86490767750013
</t>
  </si>
  <si>
    <t xml:space="preserve"> -70.86490767750013
</t>
  </si>
  <si>
    <t>Collateral size of tranche of gold is: 79995804.85426687</t>
  </si>
  <si>
    <t xml:space="preserve"> collateral size of tranche of Treausry Bill Option is: 34998279.1727593</t>
  </si>
  <si>
    <t xml:space="preserve"> collateral size of tranche of Collar of REIT is: 34967317.24845655
</t>
  </si>
  <si>
    <t xml:space="preserve"> 34967317.24845655
</t>
  </si>
  <si>
    <t>Collateral ratio of tranche of gold is: 0.7999436295998168</t>
  </si>
  <si>
    <t xml:space="preserve"> collateral ratio of tranche of Treausry Bill Option is: 0.34997648341944826</t>
  </si>
  <si>
    <t xml:space="preserve"> collateral ratio of tranche of Collar of REIT is: 0.3496668697571912
</t>
  </si>
  <si>
    <t xml:space="preserve"> 0.3496668697571912
</t>
  </si>
  <si>
    <t>current price of gold is: 1076.418</t>
  </si>
  <si>
    <t xml:space="preserve"> predicted price of gold is: 1085.5559144886072
</t>
  </si>
  <si>
    <t xml:space="preserve"> 1085.5559144886072
</t>
  </si>
  <si>
    <t>current price of reit is: 13.56</t>
  </si>
  <si>
    <t xml:space="preserve"> current price of reit option is: 8.441681298294837</t>
  </si>
  <si>
    <t xml:space="preserve"> predicted price of reit is: 13.616394656631202
</t>
  </si>
  <si>
    <t xml:space="preserve"> 13.616394656631202
</t>
  </si>
  <si>
    <t>value_ratio_gold_to_total is: 0.41274024218021305</t>
  </si>
  <si>
    <t xml:space="preserve"> risk_ratio_to_gold is: 0.9405846689275869</t>
  </si>
  <si>
    <t xml:space="preserve"> risk_ratio_to_gold_before is: 0.9072006491127521
</t>
  </si>
  <si>
    <t xml:space="preserve"> 0.9072006491127521
</t>
  </si>
  <si>
    <t>value_ratio_tb_to_total is: 0.20341966694620794</t>
  </si>
  <si>
    <t xml:space="preserve"> risk_ratio_tb_to_gold is: 0.05411212433987153</t>
  </si>
  <si>
    <t xml:space="preserve"> risk_ratio_tb_to_gold_before is: 0.05396724083483735
</t>
  </si>
  <si>
    <t xml:space="preserve"> 0.05396724083483735
</t>
  </si>
  <si>
    <t>value_ratio_reit_to_total is: 0.38384009087357907</t>
  </si>
  <si>
    <t xml:space="preserve"> risk_ratio_reit_to_gold is: 0.009056384604842638</t>
  </si>
  <si>
    <t xml:space="preserve"> risk_ratio_reit_to_gold_before is: 0.048324739421136235
</t>
  </si>
  <si>
    <t xml:space="preserve"> 0.048324739421136235
</t>
  </si>
  <si>
    <t>delta_gold is: 0.6</t>
  </si>
  <si>
    <t xml:space="preserve"> delta_reit is: 0.29724798928101803
</t>
  </si>
  <si>
    <t xml:space="preserve"> 0.29724798928101803
</t>
  </si>
  <si>
    <t>delta_gold_risk is: 1.0175041990628335</t>
  </si>
  <si>
    <t xml:space="preserve"> delta_tb_risk is: 1.0001374649034815</t>
  </si>
  <si>
    <t xml:space="preserve"> delta_reit_risk is: 0.9625418028024629
</t>
  </si>
  <si>
    <t xml:space="preserve"> 0.9625418028024629
</t>
  </si>
  <si>
    <t xml:space="preserve">collateral_ratio_tranche_gold is: 0.4717092845434546
</t>
  </si>
  <si>
    <t xml:space="preserve"> 0.4717092845434546
</t>
  </si>
  <si>
    <t xml:space="preserve">collateral_ratio_tranche_tb is: 0.5832139675806511
</t>
  </si>
  <si>
    <t xml:space="preserve"> 0.5832139675806511
</t>
  </si>
  <si>
    <t xml:space="preserve">collateral_ratio_tranche_reit is: 0.17997101294872847
</t>
  </si>
  <si>
    <t xml:space="preserve"> 0.17997101294872847
</t>
  </si>
  <si>
    <t>Total plot size is: 93389726.82797459</t>
  </si>
  <si>
    <t xml:space="preserve"> plot size of gold is: 47997482.91256012</t>
  </si>
  <si>
    <t xml:space="preserve"> plot size of TB is: 34998279.1727593</t>
  </si>
  <si>
    <t xml:space="preserve"> plot size of REIT is: 10393964.742655171
</t>
  </si>
  <si>
    <t xml:space="preserve"> 10393964.742655171
</t>
  </si>
  <si>
    <t xml:space="preserve">collateral ratio is: 0.9338628752658509
</t>
  </si>
  <si>
    <t xml:space="preserve"> 0.9338628752658509
</t>
  </si>
  <si>
    <t>S_gtbcps_0 is: 0.9999927802923302</t>
  </si>
  <si>
    <t xml:space="preserve">stdev_gtbcps is: 0.0075082388106867196
</t>
  </si>
  <si>
    <t xml:space="preserve"> 0.0075082388106867196
</t>
  </si>
  <si>
    <t>predicted price of GTBCPS is: 0.9999846868519671</t>
  </si>
  <si>
    <t xml:space="preserve"> actual price is: 0.9999927802923302
</t>
  </si>
  <si>
    <t xml:space="preserve"> 0.9999927802923302
</t>
  </si>
  <si>
    <t>predicted amount of GTBCPS is: 100005214.2708846</t>
  </si>
  <si>
    <t xml:space="preserve"> actual amount is: 100004404.87880331
</t>
  </si>
  <si>
    <t>plot sizes of gold is: 47997482.91256012</t>
  </si>
  <si>
    <t xml:space="preserve"> plot sizes of tb is: 34998279.1727593 </t>
  </si>
  <si>
    <t xml:space="preserve"> plot sizes of reit is: 10393964.742655171</t>
  </si>
  <si>
    <t xml:space="preserve"> plot sizes of total is: 93389726.8279746.
</t>
  </si>
  <si>
    <t xml:space="preserve"> 93389726.8279746.
</t>
  </si>
  <si>
    <t>predicted stdevs of gold is: 0.011014872488502643</t>
  </si>
  <si>
    <t xml:space="preserve"> predicted stdevs of tb is: 0.0005411872169193524</t>
  </si>
  <si>
    <t xml:space="preserve"> predicted stdevs of reit is: 0.014774496540825728</t>
  </si>
  <si>
    <t xml:space="preserve"> predicted stdevs of GTBCPS is: 0.0075082388106867196.
</t>
  </si>
  <si>
    <t xml:space="preserve"> 0.0075082388106867196.
</t>
  </si>
  <si>
    <t>total_value_of_collaterals is: 93389444.11683781</t>
  </si>
  <si>
    <t xml:space="preserve"> createdtionValue_gold is: 388.46651173222443</t>
  </si>
  <si>
    <t xml:space="preserve"> createdValue_tb is: 283.25737093301467</t>
  </si>
  <si>
    <t xml:space="preserve"> createdValue_reit is: 84.12347084916112
</t>
  </si>
  <si>
    <t xml:space="preserve"> 84.12347084916112
</t>
  </si>
  <si>
    <t>plotValue_gold_after_creation is: 47996963.67079163</t>
  </si>
  <si>
    <t xml:space="preserve"> plotValue_tb_after_creation  is: 34997852.66310787</t>
  </si>
  <si>
    <t xml:space="preserve"> plotValue_reit_after_creation  is: 10393871.93558479</t>
  </si>
  <si>
    <t xml:space="preserve">total_value_after_creation is: 93388688.26948428
</t>
  </si>
  <si>
    <t xml:space="preserve"> 93388688.26948428
</t>
  </si>
  <si>
    <t>total_amount_gtncps_before_creation is: 100004404.87880331</t>
  </si>
  <si>
    <t>creation_amount_gtbcps is: 809.3920812904835</t>
  </si>
  <si>
    <t xml:space="preserve">total_amount_gtbcps_new is: 100005214.2708846
</t>
  </si>
  <si>
    <t xml:space="preserve"> 100005214.2708846
</t>
  </si>
  <si>
    <t>payout of tranche of gold is: -130.7752567560365</t>
  </si>
  <si>
    <t xml:space="preserve"> payout of tranche of Treausry Bill Option is: -143.25228049934623</t>
  </si>
  <si>
    <t xml:space="preserve"> payout of tranche of Collar of REIT is: -8.683599533230117
</t>
  </si>
  <si>
    <t xml:space="preserve"> -8.683599533230117
</t>
  </si>
  <si>
    <t>Collateral size of tranche of gold is: 47996963.67079163</t>
  </si>
  <si>
    <t xml:space="preserve"> collateral size of tranche of Treausry Bill Option is: 34997852.66310787</t>
  </si>
  <si>
    <t xml:space="preserve"> collateral size of tranche of Collar of REIT is: 10393871.93558479
</t>
  </si>
  <si>
    <t xml:space="preserve"> 10393871.93558479
</t>
  </si>
  <si>
    <t>Collateral ratio of tranche of gold is: 0.4799558451932754</t>
  </si>
  <si>
    <t xml:space="preserve"> collateral ratio of tranche of Treausry Bill Option is: 0.3499684702991675</t>
  </si>
  <si>
    <t xml:space="preserve"> collateral ratio of tranche of Collar of REIT is: 0.10393573276615527
</t>
  </si>
  <si>
    <t xml:space="preserve"> 0.10393573276615527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</si>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</sst>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72AF-158C-48EB-94E1-59E14A4D8647}">
  <sheetPr filterMode="1"/>
  <dimension ref="A1:D1028"/>
  <sheetViews>
    <sheetView workbookViewId="0">
      <selection activeCell="D112" sqref="D112:D1009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1794.03</v>
      </c>
    </row>
    <row r="4" spans="1:4" hidden="1" x14ac:dyDescent="0.3">
      <c r="A4">
        <v>2</v>
      </c>
      <c r="B4" t="s">
        <v>8</v>
      </c>
      <c r="C4" t="s">
        <v>9</v>
      </c>
      <c r="D4">
        <v>1809.2598574810099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99.65234375</v>
      </c>
    </row>
    <row r="7" spans="1:4" hidden="1" x14ac:dyDescent="0.3">
      <c r="A7">
        <v>5</v>
      </c>
      <c r="B7" t="s">
        <v>15</v>
      </c>
      <c r="C7" t="s">
        <v>16</v>
      </c>
      <c r="D7">
        <v>4.4080893559260401</v>
      </c>
    </row>
    <row r="8" spans="1:4" hidden="1" x14ac:dyDescent="0.3">
      <c r="A8">
        <v>6</v>
      </c>
      <c r="B8" t="s">
        <v>17</v>
      </c>
      <c r="C8" t="s">
        <v>18</v>
      </c>
      <c r="D8">
        <v>99.747889687876494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67.8</v>
      </c>
    </row>
    <row r="11" spans="1:4" hidden="1" x14ac:dyDescent="0.3">
      <c r="A11">
        <v>9</v>
      </c>
      <c r="B11" t="s">
        <v>23</v>
      </c>
      <c r="C11" t="s">
        <v>24</v>
      </c>
      <c r="D11">
        <v>6.2837894209981897</v>
      </c>
    </row>
    <row r="12" spans="1:4" hidden="1" x14ac:dyDescent="0.3">
      <c r="A12">
        <v>10</v>
      </c>
      <c r="B12" t="s">
        <v>25</v>
      </c>
      <c r="C12" t="s">
        <v>26</v>
      </c>
      <c r="D12">
        <v>68.149065986194501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0.17080997575826101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0.57762483359015204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0.251565190651585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9.7263294564338201E-3</v>
      </c>
    </row>
    <row r="21" spans="1:4" hidden="1" x14ac:dyDescent="0.3">
      <c r="A21">
        <v>19</v>
      </c>
      <c r="B21" t="s">
        <v>46</v>
      </c>
      <c r="C21" t="s">
        <v>47</v>
      </c>
      <c r="D21">
        <v>1.5670839317804399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0.17080997575826101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0.57762483359015204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0.251565190651585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53</v>
      </c>
    </row>
    <row r="32" spans="1:4" hidden="1" x14ac:dyDescent="0.3">
      <c r="A32">
        <v>30</v>
      </c>
      <c r="B32" t="s">
        <v>59</v>
      </c>
      <c r="C32" t="s">
        <v>60</v>
      </c>
      <c r="D32">
        <v>150000000</v>
      </c>
    </row>
    <row r="33" spans="1:4" hidden="1" x14ac:dyDescent="0.3">
      <c r="A33">
        <v>31</v>
      </c>
      <c r="B33" t="s">
        <v>61</v>
      </c>
      <c r="C33" t="s">
        <v>62</v>
      </c>
      <c r="D33">
        <v>80000000</v>
      </c>
    </row>
    <row r="34" spans="1:4" hidden="1" x14ac:dyDescent="0.3">
      <c r="A34">
        <v>32</v>
      </c>
      <c r="B34" t="s">
        <v>63</v>
      </c>
      <c r="C34" t="s">
        <v>64</v>
      </c>
      <c r="D34">
        <v>35000000</v>
      </c>
    </row>
    <row r="35" spans="1:4" hidden="1" x14ac:dyDescent="0.3">
      <c r="A35">
        <v>33</v>
      </c>
      <c r="B35" s="1" t="s">
        <v>65</v>
      </c>
      <c r="C35" t="s">
        <v>66</v>
      </c>
      <c r="D35" s="1" t="s">
        <v>67</v>
      </c>
    </row>
    <row r="36" spans="1:4" hidden="1" x14ac:dyDescent="0.3">
      <c r="A36">
        <v>34</v>
      </c>
      <c r="B36" s="1" t="s">
        <v>68</v>
      </c>
      <c r="C36" t="s">
        <v>69</v>
      </c>
      <c r="D36" s="1" t="s">
        <v>70</v>
      </c>
    </row>
    <row r="37" spans="1:4" hidden="1" x14ac:dyDescent="0.3">
      <c r="A37">
        <v>35</v>
      </c>
      <c r="B37" t="s">
        <v>71</v>
      </c>
      <c r="C37" t="s">
        <v>72</v>
      </c>
      <c r="D37">
        <v>1</v>
      </c>
    </row>
    <row r="38" spans="1:4" hidden="1" x14ac:dyDescent="0.3">
      <c r="A38">
        <v>36</v>
      </c>
      <c r="B38" t="s">
        <v>73</v>
      </c>
      <c r="C38" t="s">
        <v>74</v>
      </c>
      <c r="D38">
        <v>2.7397260273972599E-3</v>
      </c>
    </row>
    <row r="39" spans="1:4" hidden="1" x14ac:dyDescent="0.3">
      <c r="A39">
        <v>37</v>
      </c>
      <c r="B39" t="s">
        <v>75</v>
      </c>
      <c r="C39" t="s">
        <v>76</v>
      </c>
      <c r="D39">
        <v>0</v>
      </c>
    </row>
    <row r="40" spans="1:4" hidden="1" x14ac:dyDescent="0.3">
      <c r="A40">
        <v>38</v>
      </c>
      <c r="B40" t="s">
        <v>77</v>
      </c>
      <c r="C40" t="s">
        <v>78</v>
      </c>
      <c r="D40">
        <v>0</v>
      </c>
    </row>
    <row r="41" spans="1:4" hidden="1" x14ac:dyDescent="0.3">
      <c r="A41">
        <v>39</v>
      </c>
      <c r="B41" s="1" t="s">
        <v>79</v>
      </c>
      <c r="C41" t="s">
        <v>80</v>
      </c>
      <c r="D41" s="1" t="s">
        <v>81</v>
      </c>
    </row>
    <row r="42" spans="1:4" hidden="1" x14ac:dyDescent="0.3">
      <c r="A42">
        <v>40</v>
      </c>
      <c r="B42" t="s">
        <v>82</v>
      </c>
      <c r="C42" t="s">
        <v>83</v>
      </c>
      <c r="D42">
        <v>1.0000034194238101</v>
      </c>
    </row>
    <row r="43" spans="1:4" hidden="1" x14ac:dyDescent="0.3">
      <c r="A43">
        <v>41</v>
      </c>
      <c r="B43" s="1" t="s">
        <v>84</v>
      </c>
      <c r="C43" t="s">
        <v>85</v>
      </c>
      <c r="D43" s="1" t="s">
        <v>86</v>
      </c>
    </row>
    <row r="44" spans="1:4" hidden="1" x14ac:dyDescent="0.3">
      <c r="A44">
        <v>42</v>
      </c>
      <c r="B44" t="s">
        <v>87</v>
      </c>
      <c r="C44" t="s">
        <v>88</v>
      </c>
      <c r="D44">
        <v>99999658.058787793</v>
      </c>
    </row>
    <row r="45" spans="1:4" hidden="1" x14ac:dyDescent="0.3">
      <c r="A45">
        <v>43</v>
      </c>
      <c r="B45" s="1" t="s">
        <v>89</v>
      </c>
      <c r="C45" t="s">
        <v>90</v>
      </c>
      <c r="D45" s="1" t="s">
        <v>91</v>
      </c>
    </row>
    <row r="46" spans="1:4" hidden="1" x14ac:dyDescent="0.3">
      <c r="A46">
        <v>44</v>
      </c>
      <c r="B46" t="s">
        <v>92</v>
      </c>
      <c r="C46" t="s">
        <v>93</v>
      </c>
      <c r="D46">
        <v>80000000</v>
      </c>
    </row>
    <row r="47" spans="1:4" hidden="1" x14ac:dyDescent="0.3">
      <c r="A47">
        <v>45</v>
      </c>
      <c r="B47" t="s">
        <v>94</v>
      </c>
      <c r="C47" t="s">
        <v>95</v>
      </c>
      <c r="D47">
        <v>35000000</v>
      </c>
    </row>
    <row r="48" spans="1:4" hidden="1" x14ac:dyDescent="0.3">
      <c r="A48">
        <v>46</v>
      </c>
      <c r="B48" t="s">
        <v>96</v>
      </c>
      <c r="C48" t="s">
        <v>97</v>
      </c>
      <c r="D48">
        <v>35000000</v>
      </c>
    </row>
    <row r="49" spans="1:4" hidden="1" x14ac:dyDescent="0.3">
      <c r="A49">
        <v>47</v>
      </c>
      <c r="B49" s="1" t="s">
        <v>98</v>
      </c>
      <c r="C49" t="s">
        <v>99</v>
      </c>
      <c r="D49" s="1" t="s">
        <v>100</v>
      </c>
    </row>
    <row r="50" spans="1:4" hidden="1" x14ac:dyDescent="0.3">
      <c r="A50">
        <v>48</v>
      </c>
      <c r="B50" t="s">
        <v>101</v>
      </c>
      <c r="C50" t="s">
        <v>102</v>
      </c>
      <c r="D50">
        <v>1.06908602047432E-2</v>
      </c>
    </row>
    <row r="51" spans="1:4" hidden="1" x14ac:dyDescent="0.3">
      <c r="A51">
        <v>49</v>
      </c>
      <c r="B51" t="s">
        <v>103</v>
      </c>
      <c r="C51" t="s">
        <v>104</v>
      </c>
      <c r="D51">
        <v>5.0184150643609504E-4</v>
      </c>
    </row>
    <row r="52" spans="1:4" hidden="1" x14ac:dyDescent="0.3">
      <c r="A52">
        <v>50</v>
      </c>
      <c r="B52" t="s">
        <v>105</v>
      </c>
      <c r="C52" t="s">
        <v>106</v>
      </c>
      <c r="D52">
        <v>1.4225308896814601E-2</v>
      </c>
    </row>
    <row r="53" spans="1:4" hidden="1" x14ac:dyDescent="0.3">
      <c r="A53">
        <v>51</v>
      </c>
      <c r="B53" s="1" t="s">
        <v>107</v>
      </c>
      <c r="C53" t="s">
        <v>108</v>
      </c>
      <c r="D53" s="1" t="s">
        <v>109</v>
      </c>
    </row>
    <row r="54" spans="1:4" hidden="1" x14ac:dyDescent="0.3">
      <c r="A54">
        <v>52</v>
      </c>
      <c r="B54" t="s">
        <v>110</v>
      </c>
      <c r="C54" t="s">
        <v>111</v>
      </c>
      <c r="D54">
        <v>91.184323250726194</v>
      </c>
    </row>
    <row r="55" spans="1:4" hidden="1" x14ac:dyDescent="0.3">
      <c r="A55">
        <v>53</v>
      </c>
      <c r="B55" t="s">
        <v>112</v>
      </c>
      <c r="C55" t="s">
        <v>113</v>
      </c>
      <c r="D55">
        <v>13.6523195089281</v>
      </c>
    </row>
    <row r="56" spans="1:4" hidden="1" x14ac:dyDescent="0.3">
      <c r="A56">
        <v>54</v>
      </c>
      <c r="B56" s="1" t="s">
        <v>114</v>
      </c>
      <c r="C56" t="s">
        <v>115</v>
      </c>
      <c r="D56" s="1" t="s">
        <v>116</v>
      </c>
    </row>
    <row r="57" spans="1:4" hidden="1" x14ac:dyDescent="0.3">
      <c r="A57">
        <v>55</v>
      </c>
      <c r="B57" t="s">
        <v>117</v>
      </c>
      <c r="C57" t="s">
        <v>118</v>
      </c>
      <c r="D57">
        <v>80000091.184323207</v>
      </c>
    </row>
    <row r="58" spans="1:4" hidden="1" x14ac:dyDescent="0.3">
      <c r="A58">
        <v>56</v>
      </c>
      <c r="B58" t="s">
        <v>119</v>
      </c>
      <c r="C58" t="s">
        <v>120</v>
      </c>
      <c r="D58">
        <v>35000013.652319498</v>
      </c>
    </row>
    <row r="59" spans="1:4" hidden="1" x14ac:dyDescent="0.3">
      <c r="A59">
        <v>57</v>
      </c>
      <c r="B59" s="1" t="s">
        <v>121</v>
      </c>
      <c r="C59" t="s">
        <v>122</v>
      </c>
      <c r="D59" s="1" t="s">
        <v>123</v>
      </c>
    </row>
    <row r="60" spans="1:4" hidden="1" x14ac:dyDescent="0.3">
      <c r="A60">
        <v>58</v>
      </c>
      <c r="B60" t="s">
        <v>124</v>
      </c>
      <c r="C60" t="s">
        <v>125</v>
      </c>
      <c r="D60">
        <v>0.80000091184323197</v>
      </c>
    </row>
    <row r="61" spans="1:4" hidden="1" x14ac:dyDescent="0.3">
      <c r="A61">
        <v>59</v>
      </c>
      <c r="B61" t="s">
        <v>126</v>
      </c>
      <c r="C61" t="s">
        <v>127</v>
      </c>
      <c r="D61">
        <v>0.350000136523195</v>
      </c>
    </row>
    <row r="62" spans="1:4" hidden="1" x14ac:dyDescent="0.3">
      <c r="A62">
        <v>60</v>
      </c>
      <c r="B62" s="1" t="s">
        <v>128</v>
      </c>
      <c r="C62" t="s">
        <v>129</v>
      </c>
      <c r="D62" s="1" t="s">
        <v>130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1794.03</v>
      </c>
    </row>
    <row r="65" spans="1:4" hidden="1" x14ac:dyDescent="0.3">
      <c r="A65">
        <v>63</v>
      </c>
      <c r="B65" s="1" t="s">
        <v>131</v>
      </c>
      <c r="C65" t="s">
        <v>9</v>
      </c>
      <c r="D65" s="1" t="s">
        <v>132</v>
      </c>
    </row>
    <row r="66" spans="1:4" hidden="1" x14ac:dyDescent="0.3">
      <c r="A66">
        <v>64</v>
      </c>
      <c r="B66" t="s">
        <v>13</v>
      </c>
      <c r="C66" t="s">
        <v>14</v>
      </c>
      <c r="D66">
        <v>99.65234375</v>
      </c>
    </row>
    <row r="67" spans="1:4" hidden="1" x14ac:dyDescent="0.3">
      <c r="A67">
        <v>65</v>
      </c>
      <c r="B67" t="s">
        <v>15</v>
      </c>
      <c r="C67" t="s">
        <v>16</v>
      </c>
      <c r="D67">
        <v>4.4080893559260401</v>
      </c>
    </row>
    <row r="68" spans="1:4" hidden="1" x14ac:dyDescent="0.3">
      <c r="A68">
        <v>66</v>
      </c>
      <c r="B68" s="1" t="s">
        <v>133</v>
      </c>
      <c r="C68" t="s">
        <v>134</v>
      </c>
      <c r="D68" s="1" t="s">
        <v>135</v>
      </c>
    </row>
    <row r="69" spans="1:4" hidden="1" x14ac:dyDescent="0.3">
      <c r="A69">
        <v>67</v>
      </c>
      <c r="B69" t="s">
        <v>21</v>
      </c>
      <c r="C69" t="s">
        <v>22</v>
      </c>
      <c r="D69">
        <v>67.8</v>
      </c>
    </row>
    <row r="70" spans="1:4" hidden="1" x14ac:dyDescent="0.3">
      <c r="A70">
        <v>68</v>
      </c>
      <c r="B70" t="s">
        <v>136</v>
      </c>
      <c r="C70" t="s">
        <v>24</v>
      </c>
      <c r="D70">
        <v>6.2954826250300897</v>
      </c>
    </row>
    <row r="71" spans="1:4" hidden="1" x14ac:dyDescent="0.3">
      <c r="A71">
        <v>69</v>
      </c>
      <c r="B71" s="1" t="s">
        <v>137</v>
      </c>
      <c r="C71" t="s">
        <v>138</v>
      </c>
      <c r="D71" s="1" t="s">
        <v>139</v>
      </c>
    </row>
    <row r="72" spans="1:4" hidden="1" x14ac:dyDescent="0.3">
      <c r="A72">
        <v>70</v>
      </c>
      <c r="B72" t="s">
        <v>140</v>
      </c>
      <c r="C72" t="s">
        <v>35</v>
      </c>
      <c r="D72">
        <v>0.57172899868509797</v>
      </c>
    </row>
    <row r="73" spans="1:4" hidden="1" x14ac:dyDescent="0.3">
      <c r="A73">
        <v>71</v>
      </c>
      <c r="B73" t="s">
        <v>141</v>
      </c>
      <c r="C73" t="s">
        <v>142</v>
      </c>
      <c r="D73">
        <v>0.91130456066639298</v>
      </c>
    </row>
    <row r="74" spans="1:4" hidden="1" x14ac:dyDescent="0.3">
      <c r="A74">
        <v>72</v>
      </c>
      <c r="B74" s="1" t="s">
        <v>143</v>
      </c>
      <c r="C74" t="s">
        <v>144</v>
      </c>
      <c r="D74" s="1" t="s">
        <v>38</v>
      </c>
    </row>
    <row r="75" spans="1:4" hidden="1" x14ac:dyDescent="0.3">
      <c r="A75">
        <v>73</v>
      </c>
      <c r="B75" t="s">
        <v>145</v>
      </c>
      <c r="C75" t="s">
        <v>30</v>
      </c>
      <c r="D75">
        <v>0.16906651294530101</v>
      </c>
    </row>
    <row r="76" spans="1:4" hidden="1" x14ac:dyDescent="0.3">
      <c r="A76">
        <v>74</v>
      </c>
      <c r="B76" t="s">
        <v>146</v>
      </c>
      <c r="C76" t="s">
        <v>32</v>
      </c>
      <c r="D76">
        <v>5.1715576390957703E-2</v>
      </c>
    </row>
    <row r="77" spans="1:4" hidden="1" x14ac:dyDescent="0.3">
      <c r="A77">
        <v>75</v>
      </c>
      <c r="B77" s="1" t="s">
        <v>147</v>
      </c>
      <c r="C77" t="s">
        <v>148</v>
      </c>
      <c r="D77" s="1" t="s">
        <v>33</v>
      </c>
    </row>
    <row r="78" spans="1:4" hidden="1" x14ac:dyDescent="0.3">
      <c r="A78">
        <v>76</v>
      </c>
      <c r="B78" t="s">
        <v>149</v>
      </c>
      <c r="C78" t="s">
        <v>40</v>
      </c>
      <c r="D78">
        <v>0.25920448836959997</v>
      </c>
    </row>
    <row r="79" spans="1:4" hidden="1" x14ac:dyDescent="0.3">
      <c r="A79">
        <v>77</v>
      </c>
      <c r="B79" t="s">
        <v>150</v>
      </c>
      <c r="C79" t="s">
        <v>42</v>
      </c>
      <c r="D79">
        <v>4.5612411596666597E-2</v>
      </c>
    </row>
    <row r="80" spans="1:4" hidden="1" x14ac:dyDescent="0.3">
      <c r="A80">
        <v>78</v>
      </c>
      <c r="B80" s="1" t="s">
        <v>151</v>
      </c>
      <c r="C80" t="s">
        <v>152</v>
      </c>
      <c r="D80" s="1" t="s">
        <v>43</v>
      </c>
    </row>
    <row r="81" spans="1:4" hidden="1" x14ac:dyDescent="0.3">
      <c r="A81">
        <v>79</v>
      </c>
      <c r="B81" t="s">
        <v>153</v>
      </c>
      <c r="C81" t="s">
        <v>154</v>
      </c>
      <c r="D81">
        <v>1</v>
      </c>
    </row>
    <row r="82" spans="1:4" hidden="1" x14ac:dyDescent="0.3">
      <c r="A82">
        <v>80</v>
      </c>
      <c r="B82" t="s">
        <v>155</v>
      </c>
      <c r="C82" t="s">
        <v>156</v>
      </c>
      <c r="D82">
        <v>1</v>
      </c>
    </row>
    <row r="83" spans="1:4" hidden="1" x14ac:dyDescent="0.3">
      <c r="A83">
        <v>81</v>
      </c>
      <c r="B83" s="1" t="s">
        <v>157</v>
      </c>
      <c r="C83" t="s">
        <v>158</v>
      </c>
      <c r="D83" s="1" t="s">
        <v>159</v>
      </c>
    </row>
    <row r="84" spans="1:4" hidden="1" x14ac:dyDescent="0.3">
      <c r="A84">
        <v>82</v>
      </c>
      <c r="B84" t="s">
        <v>160</v>
      </c>
      <c r="C84" t="s">
        <v>161</v>
      </c>
      <c r="D84">
        <v>1.00016822900199</v>
      </c>
    </row>
    <row r="85" spans="1:4" hidden="1" x14ac:dyDescent="0.3">
      <c r="A85">
        <v>83</v>
      </c>
      <c r="B85" t="s">
        <v>162</v>
      </c>
      <c r="C85" t="s">
        <v>163</v>
      </c>
      <c r="D85">
        <v>1.0001135322801999</v>
      </c>
    </row>
    <row r="86" spans="1:4" hidden="1" x14ac:dyDescent="0.3">
      <c r="A86">
        <v>84</v>
      </c>
      <c r="B86" s="1" t="s">
        <v>164</v>
      </c>
      <c r="C86" t="s">
        <v>165</v>
      </c>
      <c r="D86" s="1" t="s">
        <v>166</v>
      </c>
    </row>
    <row r="87" spans="1:4" hidden="1" x14ac:dyDescent="0.3">
      <c r="A87">
        <v>85</v>
      </c>
      <c r="B87" s="1" t="s">
        <v>167</v>
      </c>
      <c r="C87" t="s">
        <v>55</v>
      </c>
      <c r="D87" s="1" t="s">
        <v>168</v>
      </c>
    </row>
    <row r="88" spans="1:4" hidden="1" x14ac:dyDescent="0.3">
      <c r="A88">
        <v>86</v>
      </c>
      <c r="B88" s="1" t="s">
        <v>169</v>
      </c>
      <c r="C88" t="s">
        <v>52</v>
      </c>
      <c r="D88" s="1" t="s">
        <v>170</v>
      </c>
    </row>
    <row r="89" spans="1:4" hidden="1" x14ac:dyDescent="0.3">
      <c r="A89">
        <v>87</v>
      </c>
      <c r="B89" s="1" t="s">
        <v>171</v>
      </c>
      <c r="C89" t="s">
        <v>58</v>
      </c>
      <c r="D89" s="1" t="s">
        <v>172</v>
      </c>
    </row>
    <row r="90" spans="1:4" hidden="1" x14ac:dyDescent="0.3">
      <c r="A90">
        <v>88</v>
      </c>
      <c r="B90" t="s">
        <v>173</v>
      </c>
      <c r="C90" t="s">
        <v>60</v>
      </c>
      <c r="D90">
        <v>150005524.31435099</v>
      </c>
    </row>
    <row r="91" spans="1:4" hidden="1" x14ac:dyDescent="0.3">
      <c r="A91">
        <v>89</v>
      </c>
      <c r="B91" t="s">
        <v>61</v>
      </c>
      <c r="C91" t="s">
        <v>62</v>
      </c>
      <c r="D91">
        <v>80000000</v>
      </c>
    </row>
    <row r="92" spans="1:4" hidden="1" x14ac:dyDescent="0.3">
      <c r="A92">
        <v>90</v>
      </c>
      <c r="B92" t="s">
        <v>63</v>
      </c>
      <c r="C92" t="s">
        <v>64</v>
      </c>
      <c r="D92">
        <v>35000000</v>
      </c>
    </row>
    <row r="93" spans="1:4" hidden="1" x14ac:dyDescent="0.3">
      <c r="A93">
        <v>91</v>
      </c>
      <c r="B93" s="1" t="s">
        <v>174</v>
      </c>
      <c r="C93" t="s">
        <v>66</v>
      </c>
      <c r="D93" s="1" t="s">
        <v>175</v>
      </c>
    </row>
    <row r="94" spans="1:4" hidden="1" x14ac:dyDescent="0.3">
      <c r="A94">
        <v>92</v>
      </c>
      <c r="B94" s="1" t="s">
        <v>176</v>
      </c>
      <c r="C94" t="s">
        <v>69</v>
      </c>
      <c r="D94" s="1" t="s">
        <v>177</v>
      </c>
    </row>
    <row r="95" spans="1:4" hidden="1" x14ac:dyDescent="0.3">
      <c r="A95">
        <v>93</v>
      </c>
      <c r="B95" t="s">
        <v>178</v>
      </c>
      <c r="C95" t="s">
        <v>72</v>
      </c>
      <c r="D95">
        <v>1.0000034194238101</v>
      </c>
    </row>
    <row r="96" spans="1:4" hidden="1" x14ac:dyDescent="0.3">
      <c r="A96">
        <v>94</v>
      </c>
      <c r="B96" t="s">
        <v>73</v>
      </c>
      <c r="C96" t="s">
        <v>74</v>
      </c>
      <c r="D96">
        <v>2.7397260273972599E-3</v>
      </c>
    </row>
    <row r="97" spans="1:4" hidden="1" x14ac:dyDescent="0.3">
      <c r="A97">
        <v>95</v>
      </c>
      <c r="B97" t="s">
        <v>75</v>
      </c>
      <c r="C97" t="s">
        <v>76</v>
      </c>
      <c r="D97">
        <v>0</v>
      </c>
    </row>
    <row r="98" spans="1:4" hidden="1" x14ac:dyDescent="0.3">
      <c r="A98">
        <v>96</v>
      </c>
      <c r="B98" t="s">
        <v>77</v>
      </c>
      <c r="C98" t="s">
        <v>78</v>
      </c>
      <c r="D98">
        <v>0</v>
      </c>
    </row>
    <row r="99" spans="1:4" hidden="1" x14ac:dyDescent="0.3">
      <c r="A99">
        <v>97</v>
      </c>
      <c r="B99" s="1" t="s">
        <v>179</v>
      </c>
      <c r="C99" t="s">
        <v>80</v>
      </c>
      <c r="D99" s="1" t="s">
        <v>180</v>
      </c>
    </row>
    <row r="100" spans="1:4" hidden="1" x14ac:dyDescent="0.3">
      <c r="A100">
        <v>98</v>
      </c>
      <c r="B100" t="s">
        <v>181</v>
      </c>
      <c r="C100" t="s">
        <v>83</v>
      </c>
      <c r="D100">
        <v>1.0000187415323301</v>
      </c>
    </row>
    <row r="101" spans="1:4" hidden="1" x14ac:dyDescent="0.3">
      <c r="A101">
        <v>99</v>
      </c>
      <c r="B101" s="1" t="s">
        <v>182</v>
      </c>
      <c r="C101" t="s">
        <v>85</v>
      </c>
      <c r="D101" s="1" t="s">
        <v>183</v>
      </c>
    </row>
    <row r="102" spans="1:4" hidden="1" x14ac:dyDescent="0.3">
      <c r="A102">
        <v>100</v>
      </c>
      <c r="B102" t="s">
        <v>184</v>
      </c>
      <c r="C102" t="s">
        <v>88</v>
      </c>
      <c r="D102">
        <v>100001808.68910301</v>
      </c>
    </row>
    <row r="103" spans="1:4" hidden="1" x14ac:dyDescent="0.3">
      <c r="A103">
        <v>101</v>
      </c>
      <c r="B103" s="1" t="s">
        <v>185</v>
      </c>
      <c r="C103" t="s">
        <v>90</v>
      </c>
      <c r="D103" s="1" t="s">
        <v>186</v>
      </c>
    </row>
    <row r="104" spans="1:4" hidden="1" x14ac:dyDescent="0.3">
      <c r="A104">
        <v>102</v>
      </c>
      <c r="B104" t="s">
        <v>92</v>
      </c>
      <c r="C104" t="s">
        <v>93</v>
      </c>
      <c r="D104">
        <v>80000000</v>
      </c>
    </row>
    <row r="105" spans="1:4" hidden="1" x14ac:dyDescent="0.3">
      <c r="A105">
        <v>103</v>
      </c>
      <c r="B105" t="s">
        <v>94</v>
      </c>
      <c r="C105" t="s">
        <v>95</v>
      </c>
      <c r="D105">
        <v>35000000</v>
      </c>
    </row>
    <row r="106" spans="1:4" hidden="1" x14ac:dyDescent="0.3">
      <c r="A106">
        <v>104</v>
      </c>
      <c r="B106" t="s">
        <v>187</v>
      </c>
      <c r="C106" t="s">
        <v>97</v>
      </c>
      <c r="D106">
        <v>35005524.314351499</v>
      </c>
    </row>
    <row r="107" spans="1:4" hidden="1" x14ac:dyDescent="0.3">
      <c r="A107">
        <v>105</v>
      </c>
      <c r="B107" s="1" t="s">
        <v>188</v>
      </c>
      <c r="C107" t="s">
        <v>99</v>
      </c>
      <c r="D107" s="1" t="s">
        <v>189</v>
      </c>
    </row>
    <row r="108" spans="1:4" hidden="1" x14ac:dyDescent="0.3">
      <c r="A108">
        <v>106</v>
      </c>
      <c r="B108" t="s">
        <v>190</v>
      </c>
      <c r="C108" t="s">
        <v>102</v>
      </c>
      <c r="D108">
        <v>1.07438158490301E-2</v>
      </c>
    </row>
    <row r="109" spans="1:4" hidden="1" x14ac:dyDescent="0.3">
      <c r="A109">
        <v>107</v>
      </c>
      <c r="B109" t="s">
        <v>191</v>
      </c>
      <c r="C109" t="s">
        <v>104</v>
      </c>
      <c r="D109">
        <v>5.0437204984154897E-4</v>
      </c>
    </row>
    <row r="110" spans="1:4" hidden="1" x14ac:dyDescent="0.3">
      <c r="A110">
        <v>108</v>
      </c>
      <c r="B110" t="s">
        <v>192</v>
      </c>
      <c r="C110" t="s">
        <v>106</v>
      </c>
      <c r="D110">
        <v>1.4140081639886601E-2</v>
      </c>
    </row>
    <row r="111" spans="1:4" hidden="1" x14ac:dyDescent="0.3">
      <c r="A111">
        <v>109</v>
      </c>
      <c r="B111" s="1" t="s">
        <v>193</v>
      </c>
      <c r="C111" t="s">
        <v>108</v>
      </c>
      <c r="D111" s="1" t="s">
        <v>194</v>
      </c>
    </row>
    <row r="112" spans="1:4" x14ac:dyDescent="0.3">
      <c r="A112">
        <v>110</v>
      </c>
      <c r="B112" t="s">
        <v>195</v>
      </c>
      <c r="C112" t="s">
        <v>196</v>
      </c>
      <c r="D112">
        <v>150006051.950762</v>
      </c>
    </row>
    <row r="113" spans="1:4" hidden="1" x14ac:dyDescent="0.3">
      <c r="A113">
        <v>111</v>
      </c>
      <c r="B113" t="s">
        <v>197</v>
      </c>
      <c r="C113" t="s">
        <v>198</v>
      </c>
      <c r="D113">
        <v>1720.4819213390899</v>
      </c>
    </row>
    <row r="114" spans="1:4" hidden="1" x14ac:dyDescent="0.3">
      <c r="A114">
        <v>112</v>
      </c>
      <c r="B114" t="s">
        <v>199</v>
      </c>
      <c r="C114" t="s">
        <v>200</v>
      </c>
      <c r="D114">
        <v>752.70831172683597</v>
      </c>
    </row>
    <row r="115" spans="1:4" hidden="1" x14ac:dyDescent="0.3">
      <c r="A115">
        <v>113</v>
      </c>
      <c r="B115" s="1" t="s">
        <v>201</v>
      </c>
      <c r="C115" t="s">
        <v>202</v>
      </c>
      <c r="D115" s="1" t="s">
        <v>203</v>
      </c>
    </row>
    <row r="116" spans="1:4" hidden="1" x14ac:dyDescent="0.3">
      <c r="A116">
        <v>114</v>
      </c>
      <c r="B116" t="s">
        <v>204</v>
      </c>
      <c r="C116" t="s">
        <v>205</v>
      </c>
      <c r="D116">
        <v>79998688.099981695</v>
      </c>
    </row>
    <row r="117" spans="1:4" hidden="1" x14ac:dyDescent="0.3">
      <c r="A117">
        <v>115</v>
      </c>
      <c r="B117" t="s">
        <v>206</v>
      </c>
      <c r="C117" t="s">
        <v>207</v>
      </c>
      <c r="D117">
        <v>34999308.457267404</v>
      </c>
    </row>
    <row r="118" spans="1:4" hidden="1" x14ac:dyDescent="0.3">
      <c r="A118">
        <v>116</v>
      </c>
      <c r="B118" t="s">
        <v>208</v>
      </c>
      <c r="C118" t="s">
        <v>209</v>
      </c>
      <c r="D118">
        <v>35004829.376233697</v>
      </c>
    </row>
    <row r="119" spans="1:4" hidden="1" x14ac:dyDescent="0.3">
      <c r="A119">
        <v>117</v>
      </c>
      <c r="B119" s="1" t="s">
        <v>210</v>
      </c>
      <c r="C119" t="s">
        <v>211</v>
      </c>
      <c r="D119" s="1" t="s">
        <v>212</v>
      </c>
    </row>
    <row r="120" spans="1:4" hidden="1" x14ac:dyDescent="0.3">
      <c r="A120">
        <v>118</v>
      </c>
      <c r="B120" t="s">
        <v>213</v>
      </c>
      <c r="C120" t="s">
        <v>214</v>
      </c>
      <c r="D120">
        <v>99999658.058787793</v>
      </c>
    </row>
    <row r="121" spans="1:4" hidden="1" x14ac:dyDescent="0.3">
      <c r="A121">
        <v>119</v>
      </c>
      <c r="B121" t="s">
        <v>215</v>
      </c>
      <c r="C121" t="s">
        <v>216</v>
      </c>
      <c r="D121">
        <v>2150.6303155273199</v>
      </c>
    </row>
    <row r="122" spans="1:4" hidden="1" x14ac:dyDescent="0.3">
      <c r="A122">
        <v>120</v>
      </c>
      <c r="B122" s="1" t="s">
        <v>217</v>
      </c>
      <c r="C122" t="s">
        <v>218</v>
      </c>
      <c r="D122" s="1" t="s">
        <v>219</v>
      </c>
    </row>
    <row r="123" spans="1:4" hidden="1" x14ac:dyDescent="0.3">
      <c r="A123">
        <v>121</v>
      </c>
      <c r="B123" t="s">
        <v>220</v>
      </c>
      <c r="C123" t="s">
        <v>111</v>
      </c>
      <c r="D123">
        <v>408.58190308118702</v>
      </c>
    </row>
    <row r="124" spans="1:4" hidden="1" x14ac:dyDescent="0.3">
      <c r="A124">
        <v>122</v>
      </c>
      <c r="B124" t="s">
        <v>221</v>
      </c>
      <c r="C124" t="s">
        <v>113</v>
      </c>
      <c r="D124">
        <v>61.165579210038501</v>
      </c>
    </row>
    <row r="125" spans="1:4" hidden="1" x14ac:dyDescent="0.3">
      <c r="A125">
        <v>123</v>
      </c>
      <c r="B125" s="1" t="s">
        <v>222</v>
      </c>
      <c r="C125" t="s">
        <v>115</v>
      </c>
      <c r="D125" s="1" t="s">
        <v>223</v>
      </c>
    </row>
    <row r="126" spans="1:4" hidden="1" x14ac:dyDescent="0.3">
      <c r="A126">
        <v>124</v>
      </c>
      <c r="B126" t="s">
        <v>224</v>
      </c>
      <c r="C126" t="s">
        <v>118</v>
      </c>
      <c r="D126">
        <v>79998688.099981695</v>
      </c>
    </row>
    <row r="127" spans="1:4" hidden="1" x14ac:dyDescent="0.3">
      <c r="A127">
        <v>125</v>
      </c>
      <c r="B127" t="s">
        <v>225</v>
      </c>
      <c r="C127" t="s">
        <v>120</v>
      </c>
      <c r="D127">
        <v>34999308.457267404</v>
      </c>
    </row>
    <row r="128" spans="1:4" hidden="1" x14ac:dyDescent="0.3">
      <c r="A128">
        <v>126</v>
      </c>
      <c r="B128" s="1" t="s">
        <v>226</v>
      </c>
      <c r="C128" t="s">
        <v>122</v>
      </c>
      <c r="D128" s="1" t="s">
        <v>227</v>
      </c>
    </row>
    <row r="129" spans="1:4" hidden="1" x14ac:dyDescent="0.3">
      <c r="A129">
        <v>127</v>
      </c>
      <c r="B129" t="s">
        <v>228</v>
      </c>
      <c r="C129" t="s">
        <v>125</v>
      </c>
      <c r="D129">
        <v>0.79997462374373196</v>
      </c>
    </row>
    <row r="130" spans="1:4" hidden="1" x14ac:dyDescent="0.3">
      <c r="A130">
        <v>128</v>
      </c>
      <c r="B130" t="s">
        <v>229</v>
      </c>
      <c r="C130" t="s">
        <v>127</v>
      </c>
      <c r="D130">
        <v>0.34998772204115303</v>
      </c>
    </row>
    <row r="131" spans="1:4" hidden="1" x14ac:dyDescent="0.3">
      <c r="A131">
        <v>129</v>
      </c>
      <c r="B131" s="1" t="s">
        <v>230</v>
      </c>
      <c r="C131" t="s">
        <v>129</v>
      </c>
      <c r="D131" s="1" t="s">
        <v>231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1794.03</v>
      </c>
    </row>
    <row r="134" spans="1:4" hidden="1" x14ac:dyDescent="0.3">
      <c r="A134">
        <v>132</v>
      </c>
      <c r="B134" s="1" t="s">
        <v>131</v>
      </c>
      <c r="C134" t="s">
        <v>9</v>
      </c>
      <c r="D134" s="1" t="s">
        <v>132</v>
      </c>
    </row>
    <row r="135" spans="1:4" hidden="1" x14ac:dyDescent="0.3">
      <c r="A135">
        <v>133</v>
      </c>
      <c r="B135" t="s">
        <v>13</v>
      </c>
      <c r="C135" t="s">
        <v>14</v>
      </c>
      <c r="D135">
        <v>99.65234375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4.4080893559260401</v>
      </c>
    </row>
    <row r="137" spans="1:4" hidden="1" x14ac:dyDescent="0.3">
      <c r="A137">
        <v>135</v>
      </c>
      <c r="B137" s="1" t="s">
        <v>133</v>
      </c>
      <c r="C137" t="s">
        <v>134</v>
      </c>
      <c r="D137" s="1" t="s">
        <v>135</v>
      </c>
    </row>
    <row r="138" spans="1:4" hidden="1" x14ac:dyDescent="0.3">
      <c r="A138">
        <v>136</v>
      </c>
      <c r="B138" t="s">
        <v>21</v>
      </c>
      <c r="C138" t="s">
        <v>22</v>
      </c>
      <c r="D138">
        <v>67.8</v>
      </c>
    </row>
    <row r="139" spans="1:4" hidden="1" x14ac:dyDescent="0.3">
      <c r="A139">
        <v>137</v>
      </c>
      <c r="B139" t="s">
        <v>232</v>
      </c>
      <c r="C139" t="s">
        <v>24</v>
      </c>
      <c r="D139">
        <v>6.2870909506526598</v>
      </c>
    </row>
    <row r="140" spans="1:4" hidden="1" x14ac:dyDescent="0.3">
      <c r="A140">
        <v>138</v>
      </c>
      <c r="B140" s="1" t="s">
        <v>233</v>
      </c>
      <c r="C140" t="s">
        <v>138</v>
      </c>
      <c r="D140" s="1" t="s">
        <v>234</v>
      </c>
    </row>
    <row r="141" spans="1:4" hidden="1" x14ac:dyDescent="0.3">
      <c r="A141">
        <v>139</v>
      </c>
      <c r="B141" t="s">
        <v>235</v>
      </c>
      <c r="C141" t="s">
        <v>35</v>
      </c>
      <c r="D141">
        <v>0.576932565855789</v>
      </c>
    </row>
    <row r="142" spans="1:4" hidden="1" x14ac:dyDescent="0.3">
      <c r="A142">
        <v>140</v>
      </c>
      <c r="B142" t="s">
        <v>236</v>
      </c>
      <c r="C142" t="s">
        <v>142</v>
      </c>
      <c r="D142">
        <v>0.91081687459165495</v>
      </c>
    </row>
    <row r="143" spans="1:4" hidden="1" x14ac:dyDescent="0.3">
      <c r="A143">
        <v>141</v>
      </c>
      <c r="B143" s="1" t="s">
        <v>237</v>
      </c>
      <c r="C143" t="s">
        <v>144</v>
      </c>
      <c r="D143" s="1" t="s">
        <v>238</v>
      </c>
    </row>
    <row r="144" spans="1:4" hidden="1" x14ac:dyDescent="0.3">
      <c r="A144">
        <v>142</v>
      </c>
      <c r="B144" t="s">
        <v>239</v>
      </c>
      <c r="C144" t="s">
        <v>30</v>
      </c>
      <c r="D144">
        <v>0.170605264623891</v>
      </c>
    </row>
    <row r="145" spans="1:4" hidden="1" x14ac:dyDescent="0.3">
      <c r="A145">
        <v>143</v>
      </c>
      <c r="B145" t="s">
        <v>240</v>
      </c>
      <c r="C145" t="s">
        <v>32</v>
      </c>
      <c r="D145">
        <v>5.1747532063663698E-2</v>
      </c>
    </row>
    <row r="146" spans="1:4" hidden="1" x14ac:dyDescent="0.3">
      <c r="A146">
        <v>144</v>
      </c>
      <c r="B146" s="1" t="s">
        <v>241</v>
      </c>
      <c r="C146" t="s">
        <v>148</v>
      </c>
      <c r="D146" s="1" t="s">
        <v>242</v>
      </c>
    </row>
    <row r="147" spans="1:4" hidden="1" x14ac:dyDescent="0.3">
      <c r="A147">
        <v>145</v>
      </c>
      <c r="B147" t="s">
        <v>243</v>
      </c>
      <c r="C147" t="s">
        <v>40</v>
      </c>
      <c r="D147">
        <v>0.25246216952031902</v>
      </c>
    </row>
    <row r="148" spans="1:4" hidden="1" x14ac:dyDescent="0.3">
      <c r="A148">
        <v>146</v>
      </c>
      <c r="B148" t="s">
        <v>244</v>
      </c>
      <c r="C148" t="s">
        <v>42</v>
      </c>
      <c r="D148">
        <v>4.61680071585618E-2</v>
      </c>
    </row>
    <row r="149" spans="1:4" hidden="1" x14ac:dyDescent="0.3">
      <c r="A149">
        <v>147</v>
      </c>
      <c r="B149" s="1" t="s">
        <v>245</v>
      </c>
      <c r="C149" t="s">
        <v>152</v>
      </c>
      <c r="D149" s="1" t="s">
        <v>246</v>
      </c>
    </row>
    <row r="150" spans="1:4" hidden="1" x14ac:dyDescent="0.3">
      <c r="A150">
        <v>148</v>
      </c>
      <c r="B150" t="s">
        <v>153</v>
      </c>
      <c r="C150" t="s">
        <v>154</v>
      </c>
      <c r="D150">
        <v>1</v>
      </c>
    </row>
    <row r="151" spans="1:4" hidden="1" x14ac:dyDescent="0.3">
      <c r="A151">
        <v>149</v>
      </c>
      <c r="B151" t="s">
        <v>155</v>
      </c>
      <c r="C151" t="s">
        <v>156</v>
      </c>
      <c r="D151">
        <v>1</v>
      </c>
    </row>
    <row r="152" spans="1:4" hidden="1" x14ac:dyDescent="0.3">
      <c r="A152">
        <v>150</v>
      </c>
      <c r="B152" s="1" t="s">
        <v>247</v>
      </c>
      <c r="C152" t="s">
        <v>158</v>
      </c>
      <c r="D152" s="1" t="s">
        <v>248</v>
      </c>
    </row>
    <row r="153" spans="1:4" hidden="1" x14ac:dyDescent="0.3">
      <c r="A153">
        <v>151</v>
      </c>
      <c r="B153" t="s">
        <v>249</v>
      </c>
      <c r="C153" t="s">
        <v>161</v>
      </c>
      <c r="D153">
        <v>0.99974484125409702</v>
      </c>
    </row>
    <row r="154" spans="1:4" hidden="1" x14ac:dyDescent="0.3">
      <c r="A154">
        <v>152</v>
      </c>
      <c r="B154" t="s">
        <v>250</v>
      </c>
      <c r="C154" t="s">
        <v>163</v>
      </c>
      <c r="D154">
        <v>1.0000303843295799</v>
      </c>
    </row>
    <row r="155" spans="1:4" hidden="1" x14ac:dyDescent="0.3">
      <c r="A155">
        <v>153</v>
      </c>
      <c r="B155" s="1" t="s">
        <v>251</v>
      </c>
      <c r="C155" t="s">
        <v>165</v>
      </c>
      <c r="D155" s="1" t="s">
        <v>252</v>
      </c>
    </row>
    <row r="156" spans="1:4" hidden="1" x14ac:dyDescent="0.3">
      <c r="A156">
        <v>154</v>
      </c>
      <c r="B156" s="1" t="s">
        <v>253</v>
      </c>
      <c r="C156" t="s">
        <v>55</v>
      </c>
      <c r="D156" s="1" t="s">
        <v>254</v>
      </c>
    </row>
    <row r="157" spans="1:4" hidden="1" x14ac:dyDescent="0.3">
      <c r="A157">
        <v>155</v>
      </c>
      <c r="B157" s="1" t="s">
        <v>255</v>
      </c>
      <c r="C157" t="s">
        <v>52</v>
      </c>
      <c r="D157" s="1" t="s">
        <v>256</v>
      </c>
    </row>
    <row r="158" spans="1:4" hidden="1" x14ac:dyDescent="0.3">
      <c r="A158">
        <v>156</v>
      </c>
      <c r="B158" s="1" t="s">
        <v>257</v>
      </c>
      <c r="C158" t="s">
        <v>58</v>
      </c>
      <c r="D158" s="1" t="s">
        <v>258</v>
      </c>
    </row>
    <row r="159" spans="1:4" hidden="1" x14ac:dyDescent="0.3">
      <c r="A159">
        <v>157</v>
      </c>
      <c r="B159" t="s">
        <v>259</v>
      </c>
      <c r="C159" t="s">
        <v>60</v>
      </c>
      <c r="D159">
        <v>149998861.466023</v>
      </c>
    </row>
    <row r="160" spans="1:4" hidden="1" x14ac:dyDescent="0.3">
      <c r="A160">
        <v>158</v>
      </c>
      <c r="B160" t="s">
        <v>260</v>
      </c>
      <c r="C160" t="s">
        <v>62</v>
      </c>
      <c r="D160">
        <v>79998688.099981695</v>
      </c>
    </row>
    <row r="161" spans="1:4" hidden="1" x14ac:dyDescent="0.3">
      <c r="A161">
        <v>159</v>
      </c>
      <c r="B161" t="s">
        <v>261</v>
      </c>
      <c r="C161" t="s">
        <v>64</v>
      </c>
      <c r="D161">
        <v>34999308.457267404</v>
      </c>
    </row>
    <row r="162" spans="1:4" hidden="1" x14ac:dyDescent="0.3">
      <c r="A162">
        <v>160</v>
      </c>
      <c r="B162" s="1" t="s">
        <v>262</v>
      </c>
      <c r="C162" t="s">
        <v>66</v>
      </c>
      <c r="D162" s="1" t="s">
        <v>263</v>
      </c>
    </row>
    <row r="163" spans="1:4" hidden="1" x14ac:dyDescent="0.3">
      <c r="A163">
        <v>161</v>
      </c>
      <c r="B163" s="1" t="s">
        <v>264</v>
      </c>
      <c r="C163" t="s">
        <v>69</v>
      </c>
      <c r="D163" s="1" t="s">
        <v>265</v>
      </c>
    </row>
    <row r="164" spans="1:4" hidden="1" x14ac:dyDescent="0.3">
      <c r="A164">
        <v>162</v>
      </c>
      <c r="B164" t="s">
        <v>266</v>
      </c>
      <c r="C164" t="s">
        <v>72</v>
      </c>
      <c r="D164">
        <v>1.0000187415323301</v>
      </c>
    </row>
    <row r="165" spans="1:4" hidden="1" x14ac:dyDescent="0.3">
      <c r="A165">
        <v>163</v>
      </c>
      <c r="B165" t="s">
        <v>73</v>
      </c>
      <c r="C165" t="s">
        <v>74</v>
      </c>
      <c r="D165">
        <v>2.7397260273972599E-3</v>
      </c>
    </row>
    <row r="166" spans="1:4" hidden="1" x14ac:dyDescent="0.3">
      <c r="A166">
        <v>164</v>
      </c>
      <c r="B166" t="s">
        <v>75</v>
      </c>
      <c r="C166" t="s">
        <v>76</v>
      </c>
      <c r="D166">
        <v>0</v>
      </c>
    </row>
    <row r="167" spans="1:4" hidden="1" x14ac:dyDescent="0.3">
      <c r="A167">
        <v>165</v>
      </c>
      <c r="B167" t="s">
        <v>267</v>
      </c>
      <c r="C167" t="s">
        <v>78</v>
      </c>
      <c r="D167" s="2">
        <v>2.2204460492503101E-16</v>
      </c>
    </row>
    <row r="168" spans="1:4" hidden="1" x14ac:dyDescent="0.3">
      <c r="A168">
        <v>166</v>
      </c>
      <c r="B168" s="1" t="s">
        <v>268</v>
      </c>
      <c r="C168" t="s">
        <v>80</v>
      </c>
      <c r="D168" s="1" t="s">
        <v>269</v>
      </c>
    </row>
    <row r="169" spans="1:4" hidden="1" x14ac:dyDescent="0.3">
      <c r="A169">
        <v>167</v>
      </c>
      <c r="B169" t="s">
        <v>270</v>
      </c>
      <c r="C169" t="s">
        <v>83</v>
      </c>
      <c r="D169">
        <v>1.0000325995821799</v>
      </c>
    </row>
    <row r="170" spans="1:4" hidden="1" x14ac:dyDescent="0.3">
      <c r="A170">
        <v>168</v>
      </c>
      <c r="B170" s="1" t="s">
        <v>271</v>
      </c>
      <c r="C170" t="s">
        <v>85</v>
      </c>
      <c r="D170" s="1" t="s">
        <v>272</v>
      </c>
    </row>
    <row r="171" spans="1:4" hidden="1" x14ac:dyDescent="0.3">
      <c r="A171">
        <v>169</v>
      </c>
      <c r="B171" t="s">
        <v>273</v>
      </c>
      <c r="C171" t="s">
        <v>88</v>
      </c>
      <c r="D171">
        <v>100000422.904229</v>
      </c>
    </row>
    <row r="172" spans="1:4" hidden="1" x14ac:dyDescent="0.3">
      <c r="A172">
        <v>170</v>
      </c>
      <c r="B172" s="1" t="s">
        <v>274</v>
      </c>
      <c r="C172" t="s">
        <v>90</v>
      </c>
      <c r="D172" s="1" t="s">
        <v>219</v>
      </c>
    </row>
    <row r="173" spans="1:4" hidden="1" x14ac:dyDescent="0.3">
      <c r="A173">
        <v>171</v>
      </c>
      <c r="B173" t="s">
        <v>275</v>
      </c>
      <c r="C173" t="s">
        <v>93</v>
      </c>
      <c r="D173">
        <v>79998688.099981695</v>
      </c>
    </row>
    <row r="174" spans="1:4" hidden="1" x14ac:dyDescent="0.3">
      <c r="A174">
        <v>172</v>
      </c>
      <c r="B174" t="s">
        <v>276</v>
      </c>
      <c r="C174" t="s">
        <v>95</v>
      </c>
      <c r="D174">
        <v>34999308.457267404</v>
      </c>
    </row>
    <row r="175" spans="1:4" hidden="1" x14ac:dyDescent="0.3">
      <c r="A175">
        <v>173</v>
      </c>
      <c r="B175" t="s">
        <v>277</v>
      </c>
      <c r="C175" t="s">
        <v>97</v>
      </c>
      <c r="D175">
        <v>35000864.908774197</v>
      </c>
    </row>
    <row r="176" spans="1:4" hidden="1" x14ac:dyDescent="0.3">
      <c r="A176">
        <v>174</v>
      </c>
      <c r="B176" s="1" t="s">
        <v>278</v>
      </c>
      <c r="C176" t="s">
        <v>99</v>
      </c>
      <c r="D176" s="1" t="s">
        <v>279</v>
      </c>
    </row>
    <row r="177" spans="1:4" hidden="1" x14ac:dyDescent="0.3">
      <c r="A177">
        <v>175</v>
      </c>
      <c r="B177" t="s">
        <v>280</v>
      </c>
      <c r="C177" t="s">
        <v>102</v>
      </c>
      <c r="D177">
        <v>1.0799506869296399E-2</v>
      </c>
    </row>
    <row r="178" spans="1:4" hidden="1" x14ac:dyDescent="0.3">
      <c r="A178">
        <v>176</v>
      </c>
      <c r="B178" t="s">
        <v>281</v>
      </c>
      <c r="C178" t="s">
        <v>104</v>
      </c>
      <c r="D178">
        <v>5.0695636470131096E-4</v>
      </c>
    </row>
    <row r="179" spans="1:4" hidden="1" x14ac:dyDescent="0.3">
      <c r="A179">
        <v>177</v>
      </c>
      <c r="B179" t="s">
        <v>282</v>
      </c>
      <c r="C179" t="s">
        <v>106</v>
      </c>
      <c r="D179">
        <v>1.42012463734889E-2</v>
      </c>
    </row>
    <row r="180" spans="1:4" hidden="1" x14ac:dyDescent="0.3">
      <c r="A180">
        <v>178</v>
      </c>
      <c r="B180" s="1" t="s">
        <v>283</v>
      </c>
      <c r="C180" t="s">
        <v>108</v>
      </c>
      <c r="D180" s="1" t="s">
        <v>284</v>
      </c>
    </row>
    <row r="181" spans="1:4" x14ac:dyDescent="0.3">
      <c r="A181">
        <v>179</v>
      </c>
      <c r="B181" t="s">
        <v>285</v>
      </c>
      <c r="C181" t="s">
        <v>196</v>
      </c>
      <c r="D181">
        <v>149999338.63203099</v>
      </c>
    </row>
    <row r="182" spans="1:4" hidden="1" x14ac:dyDescent="0.3">
      <c r="A182">
        <v>180</v>
      </c>
      <c r="B182" t="s">
        <v>286</v>
      </c>
      <c r="C182" t="s">
        <v>198</v>
      </c>
      <c r="D182">
        <v>-1108.60987292912</v>
      </c>
    </row>
    <row r="183" spans="1:4" hidden="1" x14ac:dyDescent="0.3">
      <c r="A183">
        <v>181</v>
      </c>
      <c r="B183" t="s">
        <v>287</v>
      </c>
      <c r="C183" t="s">
        <v>200</v>
      </c>
      <c r="D183">
        <v>-485.01379634473699</v>
      </c>
    </row>
    <row r="184" spans="1:4" hidden="1" x14ac:dyDescent="0.3">
      <c r="A184">
        <v>182</v>
      </c>
      <c r="B184" s="1" t="s">
        <v>288</v>
      </c>
      <c r="C184" t="s">
        <v>202</v>
      </c>
      <c r="D184" s="1" t="s">
        <v>289</v>
      </c>
    </row>
    <row r="185" spans="1:4" hidden="1" x14ac:dyDescent="0.3">
      <c r="A185">
        <v>183</v>
      </c>
      <c r="B185" t="s">
        <v>290</v>
      </c>
      <c r="C185" t="s">
        <v>205</v>
      </c>
      <c r="D185">
        <v>80000146.145903707</v>
      </c>
    </row>
    <row r="186" spans="1:4" hidden="1" x14ac:dyDescent="0.3">
      <c r="A186">
        <v>184</v>
      </c>
      <c r="B186" t="s">
        <v>291</v>
      </c>
      <c r="C186" t="s">
        <v>207</v>
      </c>
      <c r="D186">
        <v>34999845.786904</v>
      </c>
    </row>
    <row r="187" spans="1:4" hidden="1" x14ac:dyDescent="0.3">
      <c r="A187">
        <v>185</v>
      </c>
      <c r="B187" t="s">
        <v>292</v>
      </c>
      <c r="C187" t="s">
        <v>209</v>
      </c>
      <c r="D187">
        <v>35001425.358578302</v>
      </c>
    </row>
    <row r="188" spans="1:4" hidden="1" x14ac:dyDescent="0.3">
      <c r="A188">
        <v>186</v>
      </c>
      <c r="B188" s="1" t="s">
        <v>293</v>
      </c>
      <c r="C188" t="s">
        <v>211</v>
      </c>
      <c r="D188" s="1" t="s">
        <v>294</v>
      </c>
    </row>
    <row r="189" spans="1:4" hidden="1" x14ac:dyDescent="0.3">
      <c r="A189">
        <v>187</v>
      </c>
      <c r="B189" t="s">
        <v>295</v>
      </c>
      <c r="C189" t="s">
        <v>214</v>
      </c>
      <c r="D189">
        <v>100001808.68910301</v>
      </c>
    </row>
    <row r="190" spans="1:4" hidden="1" x14ac:dyDescent="0.3">
      <c r="A190">
        <v>188</v>
      </c>
      <c r="B190" t="s">
        <v>296</v>
      </c>
      <c r="C190" t="s">
        <v>216</v>
      </c>
      <c r="D190">
        <v>-1385.7848737090801</v>
      </c>
    </row>
    <row r="191" spans="1:4" hidden="1" x14ac:dyDescent="0.3">
      <c r="A191">
        <v>189</v>
      </c>
      <c r="B191" s="1" t="s">
        <v>297</v>
      </c>
      <c r="C191" t="s">
        <v>218</v>
      </c>
      <c r="D191" s="1" t="s">
        <v>298</v>
      </c>
    </row>
    <row r="192" spans="1:4" hidden="1" x14ac:dyDescent="0.3">
      <c r="A192">
        <v>190</v>
      </c>
      <c r="B192" t="s">
        <v>299</v>
      </c>
      <c r="C192" t="s">
        <v>111</v>
      </c>
      <c r="D192">
        <v>349.436049061152</v>
      </c>
    </row>
    <row r="193" spans="1:4" hidden="1" x14ac:dyDescent="0.3">
      <c r="A193">
        <v>191</v>
      </c>
      <c r="B193" t="s">
        <v>300</v>
      </c>
      <c r="C193" t="s">
        <v>113</v>
      </c>
      <c r="D193">
        <v>52.315840216228999</v>
      </c>
    </row>
    <row r="194" spans="1:4" hidden="1" x14ac:dyDescent="0.3">
      <c r="A194">
        <v>192</v>
      </c>
      <c r="B194" s="1" t="s">
        <v>301</v>
      </c>
      <c r="C194" t="s">
        <v>115</v>
      </c>
      <c r="D194" s="1" t="s">
        <v>302</v>
      </c>
    </row>
    <row r="195" spans="1:4" hidden="1" x14ac:dyDescent="0.3">
      <c r="A195">
        <v>193</v>
      </c>
      <c r="B195" t="s">
        <v>303</v>
      </c>
      <c r="C195" t="s">
        <v>118</v>
      </c>
      <c r="D195">
        <v>80000146.145903707</v>
      </c>
    </row>
    <row r="196" spans="1:4" hidden="1" x14ac:dyDescent="0.3">
      <c r="A196">
        <v>194</v>
      </c>
      <c r="B196" t="s">
        <v>304</v>
      </c>
      <c r="C196" t="s">
        <v>120</v>
      </c>
      <c r="D196">
        <v>34999845.786904</v>
      </c>
    </row>
    <row r="197" spans="1:4" hidden="1" x14ac:dyDescent="0.3">
      <c r="A197">
        <v>195</v>
      </c>
      <c r="B197" s="1" t="s">
        <v>305</v>
      </c>
      <c r="C197" t="s">
        <v>122</v>
      </c>
      <c r="D197" s="1" t="s">
        <v>306</v>
      </c>
    </row>
    <row r="198" spans="1:4" hidden="1" x14ac:dyDescent="0.3">
      <c r="A198">
        <v>196</v>
      </c>
      <c r="B198" t="s">
        <v>307</v>
      </c>
      <c r="C198" t="s">
        <v>125</v>
      </c>
      <c r="D198">
        <v>0.79996091378992895</v>
      </c>
    </row>
    <row r="199" spans="1:4" hidden="1" x14ac:dyDescent="0.3">
      <c r="A199">
        <v>197</v>
      </c>
      <c r="B199" t="s">
        <v>308</v>
      </c>
      <c r="C199" t="s">
        <v>127</v>
      </c>
      <c r="D199">
        <v>0.349980718374375</v>
      </c>
    </row>
    <row r="200" spans="1:4" hidden="1" x14ac:dyDescent="0.3">
      <c r="A200">
        <v>198</v>
      </c>
      <c r="B200" s="1" t="s">
        <v>309</v>
      </c>
      <c r="C200" t="s">
        <v>129</v>
      </c>
      <c r="D200" s="1" t="s">
        <v>310</v>
      </c>
    </row>
    <row r="201" spans="1:4" hidden="1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1794.03</v>
      </c>
    </row>
    <row r="203" spans="1:4" hidden="1" x14ac:dyDescent="0.3">
      <c r="A203">
        <v>201</v>
      </c>
      <c r="B203" s="1" t="s">
        <v>131</v>
      </c>
      <c r="C203" t="s">
        <v>9</v>
      </c>
      <c r="D203" s="1" t="s">
        <v>132</v>
      </c>
    </row>
    <row r="204" spans="1:4" hidden="1" x14ac:dyDescent="0.3">
      <c r="A204">
        <v>202</v>
      </c>
      <c r="B204" t="s">
        <v>13</v>
      </c>
      <c r="C204" t="s">
        <v>14</v>
      </c>
      <c r="D204">
        <v>99.65234375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4.4080893559260401</v>
      </c>
    </row>
    <row r="206" spans="1:4" hidden="1" x14ac:dyDescent="0.3">
      <c r="A206">
        <v>204</v>
      </c>
      <c r="B206" s="1" t="s">
        <v>133</v>
      </c>
      <c r="C206" t="s">
        <v>134</v>
      </c>
      <c r="D206" s="1" t="s">
        <v>135</v>
      </c>
    </row>
    <row r="207" spans="1:4" hidden="1" x14ac:dyDescent="0.3">
      <c r="A207">
        <v>205</v>
      </c>
      <c r="B207" t="s">
        <v>21</v>
      </c>
      <c r="C207" t="s">
        <v>22</v>
      </c>
      <c r="D207">
        <v>67.8</v>
      </c>
    </row>
    <row r="208" spans="1:4" hidden="1" x14ac:dyDescent="0.3">
      <c r="A208">
        <v>206</v>
      </c>
      <c r="B208" t="s">
        <v>311</v>
      </c>
      <c r="C208" t="s">
        <v>24</v>
      </c>
      <c r="D208">
        <v>6.2777297604509901</v>
      </c>
    </row>
    <row r="209" spans="1:4" hidden="1" x14ac:dyDescent="0.3">
      <c r="A209">
        <v>207</v>
      </c>
      <c r="B209" s="1" t="s">
        <v>312</v>
      </c>
      <c r="C209" t="s">
        <v>138</v>
      </c>
      <c r="D209" s="1" t="s">
        <v>313</v>
      </c>
    </row>
    <row r="210" spans="1:4" hidden="1" x14ac:dyDescent="0.3">
      <c r="A210">
        <v>208</v>
      </c>
      <c r="B210" t="s">
        <v>314</v>
      </c>
      <c r="C210" t="s">
        <v>35</v>
      </c>
      <c r="D210">
        <v>0.57499655360424995</v>
      </c>
    </row>
    <row r="211" spans="1:4" hidden="1" x14ac:dyDescent="0.3">
      <c r="A211">
        <v>209</v>
      </c>
      <c r="B211" t="s">
        <v>315</v>
      </c>
      <c r="C211" t="s">
        <v>142</v>
      </c>
      <c r="D211">
        <v>0.91059808642690898</v>
      </c>
    </row>
    <row r="212" spans="1:4" hidden="1" x14ac:dyDescent="0.3">
      <c r="A212">
        <v>210</v>
      </c>
      <c r="B212" s="1" t="s">
        <v>316</v>
      </c>
      <c r="C212" t="s">
        <v>144</v>
      </c>
      <c r="D212" s="1" t="s">
        <v>317</v>
      </c>
    </row>
    <row r="213" spans="1:4" hidden="1" x14ac:dyDescent="0.3">
      <c r="A213">
        <v>211</v>
      </c>
      <c r="B213" t="s">
        <v>318</v>
      </c>
      <c r="C213" t="s">
        <v>30</v>
      </c>
      <c r="D213">
        <v>0.17003276464375999</v>
      </c>
    </row>
    <row r="214" spans="1:4" hidden="1" x14ac:dyDescent="0.3">
      <c r="A214">
        <v>212</v>
      </c>
      <c r="B214" t="s">
        <v>319</v>
      </c>
      <c r="C214" t="s">
        <v>32</v>
      </c>
      <c r="D214">
        <v>5.19514956338036E-2</v>
      </c>
    </row>
    <row r="215" spans="1:4" hidden="1" x14ac:dyDescent="0.3">
      <c r="A215">
        <v>213</v>
      </c>
      <c r="B215" s="1" t="s">
        <v>320</v>
      </c>
      <c r="C215" t="s">
        <v>148</v>
      </c>
      <c r="D215" s="1" t="s">
        <v>321</v>
      </c>
    </row>
    <row r="216" spans="1:4" hidden="1" x14ac:dyDescent="0.3">
      <c r="A216">
        <v>214</v>
      </c>
      <c r="B216" t="s">
        <v>322</v>
      </c>
      <c r="C216" t="s">
        <v>40</v>
      </c>
      <c r="D216">
        <v>0.254970681751989</v>
      </c>
    </row>
    <row r="217" spans="1:4" hidden="1" x14ac:dyDescent="0.3">
      <c r="A217">
        <v>215</v>
      </c>
      <c r="B217" t="s">
        <v>323</v>
      </c>
      <c r="C217" t="s">
        <v>42</v>
      </c>
      <c r="D217">
        <v>4.6227838262991303E-2</v>
      </c>
    </row>
    <row r="218" spans="1:4" hidden="1" x14ac:dyDescent="0.3">
      <c r="A218">
        <v>216</v>
      </c>
      <c r="B218" s="1" t="s">
        <v>324</v>
      </c>
      <c r="C218" t="s">
        <v>152</v>
      </c>
      <c r="D218" s="1" t="s">
        <v>325</v>
      </c>
    </row>
    <row r="219" spans="1:4" hidden="1" x14ac:dyDescent="0.3">
      <c r="A219">
        <v>217</v>
      </c>
      <c r="B219" t="s">
        <v>153</v>
      </c>
      <c r="C219" t="s">
        <v>154</v>
      </c>
      <c r="D219">
        <v>1</v>
      </c>
    </row>
    <row r="220" spans="1:4" hidden="1" x14ac:dyDescent="0.3">
      <c r="A220">
        <v>218</v>
      </c>
      <c r="B220" t="s">
        <v>155</v>
      </c>
      <c r="C220" t="s">
        <v>156</v>
      </c>
      <c r="D220">
        <v>1</v>
      </c>
    </row>
    <row r="221" spans="1:4" hidden="1" x14ac:dyDescent="0.3">
      <c r="A221">
        <v>219</v>
      </c>
      <c r="B221" s="1" t="s">
        <v>326</v>
      </c>
      <c r="C221" t="s">
        <v>158</v>
      </c>
      <c r="D221" s="1" t="s">
        <v>327</v>
      </c>
    </row>
    <row r="222" spans="1:4" hidden="1" x14ac:dyDescent="0.3">
      <c r="A222">
        <v>220</v>
      </c>
      <c r="B222" t="s">
        <v>328</v>
      </c>
      <c r="C222" t="s">
        <v>161</v>
      </c>
      <c r="D222">
        <v>0.99988550019227096</v>
      </c>
    </row>
    <row r="223" spans="1:4" hidden="1" x14ac:dyDescent="0.3">
      <c r="A223">
        <v>221</v>
      </c>
      <c r="B223" t="s">
        <v>329</v>
      </c>
      <c r="C223" t="s">
        <v>163</v>
      </c>
      <c r="D223">
        <v>1.00019392826122</v>
      </c>
    </row>
    <row r="224" spans="1:4" hidden="1" x14ac:dyDescent="0.3">
      <c r="A224">
        <v>222</v>
      </c>
      <c r="B224" s="1" t="s">
        <v>330</v>
      </c>
      <c r="C224" t="s">
        <v>165</v>
      </c>
      <c r="D224" s="1" t="s">
        <v>331</v>
      </c>
    </row>
    <row r="225" spans="1:4" hidden="1" x14ac:dyDescent="0.3">
      <c r="A225">
        <v>223</v>
      </c>
      <c r="B225" s="1" t="s">
        <v>332</v>
      </c>
      <c r="C225" t="s">
        <v>55</v>
      </c>
      <c r="D225" s="1" t="s">
        <v>333</v>
      </c>
    </row>
    <row r="226" spans="1:4" hidden="1" x14ac:dyDescent="0.3">
      <c r="A226">
        <v>224</v>
      </c>
      <c r="B226" s="1" t="s">
        <v>334</v>
      </c>
      <c r="C226" t="s">
        <v>52</v>
      </c>
      <c r="D226" s="1" t="s">
        <v>335</v>
      </c>
    </row>
    <row r="227" spans="1:4" hidden="1" x14ac:dyDescent="0.3">
      <c r="A227">
        <v>225</v>
      </c>
      <c r="B227" s="1" t="s">
        <v>336</v>
      </c>
      <c r="C227" t="s">
        <v>58</v>
      </c>
      <c r="D227" s="1" t="s">
        <v>337</v>
      </c>
    </row>
    <row r="228" spans="1:4" hidden="1" x14ac:dyDescent="0.3">
      <c r="A228">
        <v>226</v>
      </c>
      <c r="B228" t="s">
        <v>338</v>
      </c>
      <c r="C228" t="s">
        <v>60</v>
      </c>
      <c r="D228">
        <v>149996994.72605199</v>
      </c>
    </row>
    <row r="229" spans="1:4" hidden="1" x14ac:dyDescent="0.3">
      <c r="A229">
        <v>227</v>
      </c>
      <c r="B229" t="s">
        <v>339</v>
      </c>
      <c r="C229" t="s">
        <v>62</v>
      </c>
      <c r="D229">
        <v>80000146.145903707</v>
      </c>
    </row>
    <row r="230" spans="1:4" hidden="1" x14ac:dyDescent="0.3">
      <c r="A230">
        <v>228</v>
      </c>
      <c r="B230" t="s">
        <v>340</v>
      </c>
      <c r="C230" t="s">
        <v>64</v>
      </c>
      <c r="D230">
        <v>34999845.786904</v>
      </c>
    </row>
    <row r="231" spans="1:4" hidden="1" x14ac:dyDescent="0.3">
      <c r="A231">
        <v>229</v>
      </c>
      <c r="B231" s="1" t="s">
        <v>341</v>
      </c>
      <c r="C231" t="s">
        <v>66</v>
      </c>
      <c r="D231" s="1" t="s">
        <v>342</v>
      </c>
    </row>
    <row r="232" spans="1:4" hidden="1" x14ac:dyDescent="0.3">
      <c r="A232">
        <v>230</v>
      </c>
      <c r="B232" s="1" t="s">
        <v>343</v>
      </c>
      <c r="C232" t="s">
        <v>69</v>
      </c>
      <c r="D232" s="1" t="s">
        <v>344</v>
      </c>
    </row>
    <row r="233" spans="1:4" hidden="1" x14ac:dyDescent="0.3">
      <c r="A233">
        <v>231</v>
      </c>
      <c r="B233" t="s">
        <v>345</v>
      </c>
      <c r="C233" t="s">
        <v>72</v>
      </c>
      <c r="D233">
        <v>1.0000325995821799</v>
      </c>
    </row>
    <row r="234" spans="1:4" hidden="1" x14ac:dyDescent="0.3">
      <c r="A234">
        <v>232</v>
      </c>
      <c r="B234" t="s">
        <v>73</v>
      </c>
      <c r="C234" t="s">
        <v>74</v>
      </c>
      <c r="D234">
        <v>2.7397260273972599E-3</v>
      </c>
    </row>
    <row r="235" spans="1:4" hidden="1" x14ac:dyDescent="0.3">
      <c r="A235">
        <v>233</v>
      </c>
      <c r="B235" t="s">
        <v>75</v>
      </c>
      <c r="C235" t="s">
        <v>76</v>
      </c>
      <c r="D235">
        <v>0</v>
      </c>
    </row>
    <row r="236" spans="1:4" hidden="1" x14ac:dyDescent="0.3">
      <c r="A236">
        <v>234</v>
      </c>
      <c r="B236" t="s">
        <v>77</v>
      </c>
      <c r="C236" t="s">
        <v>78</v>
      </c>
      <c r="D236">
        <v>0</v>
      </c>
    </row>
    <row r="237" spans="1:4" hidden="1" x14ac:dyDescent="0.3">
      <c r="A237">
        <v>235</v>
      </c>
      <c r="B237" s="1" t="s">
        <v>346</v>
      </c>
      <c r="C237" t="s">
        <v>80</v>
      </c>
      <c r="D237" s="1" t="s">
        <v>347</v>
      </c>
    </row>
    <row r="238" spans="1:4" hidden="1" x14ac:dyDescent="0.3">
      <c r="A238">
        <v>236</v>
      </c>
      <c r="B238" t="s">
        <v>348</v>
      </c>
      <c r="C238" t="s">
        <v>83</v>
      </c>
      <c r="D238">
        <v>1.0000376850496999</v>
      </c>
    </row>
    <row r="239" spans="1:4" hidden="1" x14ac:dyDescent="0.3">
      <c r="A239">
        <v>237</v>
      </c>
      <c r="B239" s="1" t="s">
        <v>349</v>
      </c>
      <c r="C239" t="s">
        <v>85</v>
      </c>
      <c r="D239" s="1" t="s">
        <v>350</v>
      </c>
    </row>
    <row r="240" spans="1:4" hidden="1" x14ac:dyDescent="0.3">
      <c r="A240">
        <v>238</v>
      </c>
      <c r="B240" t="s">
        <v>351</v>
      </c>
      <c r="C240" t="s">
        <v>88</v>
      </c>
      <c r="D240">
        <v>99999914.374490306</v>
      </c>
    </row>
    <row r="241" spans="1:4" hidden="1" x14ac:dyDescent="0.3">
      <c r="A241">
        <v>239</v>
      </c>
      <c r="B241" s="1" t="s">
        <v>352</v>
      </c>
      <c r="C241" t="s">
        <v>90</v>
      </c>
      <c r="D241" s="1" t="s">
        <v>298</v>
      </c>
    </row>
    <row r="242" spans="1:4" hidden="1" x14ac:dyDescent="0.3">
      <c r="A242">
        <v>240</v>
      </c>
      <c r="B242" t="s">
        <v>353</v>
      </c>
      <c r="C242" t="s">
        <v>93</v>
      </c>
      <c r="D242">
        <v>80000146.145903707</v>
      </c>
    </row>
    <row r="243" spans="1:4" hidden="1" x14ac:dyDescent="0.3">
      <c r="A243">
        <v>241</v>
      </c>
      <c r="B243" t="s">
        <v>354</v>
      </c>
      <c r="C243" t="s">
        <v>95</v>
      </c>
      <c r="D243">
        <v>34999845.786904</v>
      </c>
    </row>
    <row r="244" spans="1:4" hidden="1" x14ac:dyDescent="0.3">
      <c r="A244">
        <v>242</v>
      </c>
      <c r="B244" t="s">
        <v>355</v>
      </c>
      <c r="C244" t="s">
        <v>97</v>
      </c>
      <c r="D244">
        <v>34997002.793244697</v>
      </c>
    </row>
    <row r="245" spans="1:4" hidden="1" x14ac:dyDescent="0.3">
      <c r="A245">
        <v>243</v>
      </c>
      <c r="B245" s="1" t="s">
        <v>356</v>
      </c>
      <c r="C245" t="s">
        <v>99</v>
      </c>
      <c r="D245" s="1" t="s">
        <v>357</v>
      </c>
    </row>
    <row r="246" spans="1:4" hidden="1" x14ac:dyDescent="0.3">
      <c r="A246">
        <v>244</v>
      </c>
      <c r="B246" t="s">
        <v>358</v>
      </c>
      <c r="C246" t="s">
        <v>102</v>
      </c>
      <c r="D246">
        <v>1.08236169517659E-2</v>
      </c>
    </row>
    <row r="247" spans="1:4" hidden="1" x14ac:dyDescent="0.3">
      <c r="A247">
        <v>245</v>
      </c>
      <c r="B247" t="s">
        <v>359</v>
      </c>
      <c r="C247" t="s">
        <v>104</v>
      </c>
      <c r="D247">
        <v>5.09580817223261E-4</v>
      </c>
    </row>
    <row r="248" spans="1:4" hidden="1" x14ac:dyDescent="0.3">
      <c r="A248">
        <v>246</v>
      </c>
      <c r="B248" t="s">
        <v>360</v>
      </c>
      <c r="C248" t="s">
        <v>106</v>
      </c>
      <c r="D248">
        <v>1.4269471335682101E-2</v>
      </c>
    </row>
    <row r="249" spans="1:4" hidden="1" x14ac:dyDescent="0.3">
      <c r="A249">
        <v>247</v>
      </c>
      <c r="B249" s="1" t="s">
        <v>361</v>
      </c>
      <c r="C249" t="s">
        <v>108</v>
      </c>
      <c r="D249" s="1" t="s">
        <v>362</v>
      </c>
    </row>
    <row r="250" spans="1:4" x14ac:dyDescent="0.3">
      <c r="A250">
        <v>248</v>
      </c>
      <c r="B250" t="s">
        <v>363</v>
      </c>
      <c r="C250" t="s">
        <v>196</v>
      </c>
      <c r="D250">
        <v>149997169.83713499</v>
      </c>
    </row>
    <row r="251" spans="1:4" hidden="1" x14ac:dyDescent="0.3">
      <c r="A251">
        <v>249</v>
      </c>
      <c r="B251" t="s">
        <v>364</v>
      </c>
      <c r="C251" t="s">
        <v>198</v>
      </c>
      <c r="D251">
        <v>-406.82553510212699</v>
      </c>
    </row>
    <row r="252" spans="1:4" hidden="1" x14ac:dyDescent="0.3">
      <c r="A252">
        <v>250</v>
      </c>
      <c r="B252" t="s">
        <v>365</v>
      </c>
      <c r="C252" t="s">
        <v>200</v>
      </c>
      <c r="D252">
        <v>-177.984874558538</v>
      </c>
    </row>
    <row r="253" spans="1:4" hidden="1" x14ac:dyDescent="0.3">
      <c r="A253">
        <v>251</v>
      </c>
      <c r="B253" s="1" t="s">
        <v>366</v>
      </c>
      <c r="C253" t="s">
        <v>202</v>
      </c>
      <c r="D253" s="1" t="s">
        <v>367</v>
      </c>
    </row>
    <row r="254" spans="1:4" hidden="1" x14ac:dyDescent="0.3">
      <c r="A254">
        <v>252</v>
      </c>
      <c r="B254" t="s">
        <v>368</v>
      </c>
      <c r="C254" t="s">
        <v>205</v>
      </c>
      <c r="D254">
        <v>80000681.204663604</v>
      </c>
    </row>
    <row r="255" spans="1:4" hidden="1" x14ac:dyDescent="0.3">
      <c r="A255">
        <v>253</v>
      </c>
      <c r="B255" t="s">
        <v>369</v>
      </c>
      <c r="C255" t="s">
        <v>207</v>
      </c>
      <c r="D255">
        <v>35000042.967399299</v>
      </c>
    </row>
    <row r="256" spans="1:4" hidden="1" x14ac:dyDescent="0.3">
      <c r="A256">
        <v>254</v>
      </c>
      <c r="B256" t="s">
        <v>370</v>
      </c>
      <c r="C256" t="s">
        <v>209</v>
      </c>
      <c r="D256">
        <v>34997208.445942</v>
      </c>
    </row>
    <row r="257" spans="1:4" hidden="1" x14ac:dyDescent="0.3">
      <c r="A257">
        <v>255</v>
      </c>
      <c r="B257" s="1" t="s">
        <v>371</v>
      </c>
      <c r="C257" t="s">
        <v>211</v>
      </c>
      <c r="D257" s="1" t="s">
        <v>372</v>
      </c>
    </row>
    <row r="258" spans="1:4" hidden="1" x14ac:dyDescent="0.3">
      <c r="A258">
        <v>256</v>
      </c>
      <c r="B258" t="s">
        <v>373</v>
      </c>
      <c r="C258" t="s">
        <v>214</v>
      </c>
      <c r="D258">
        <v>100000422.904229</v>
      </c>
    </row>
    <row r="259" spans="1:4" hidden="1" x14ac:dyDescent="0.3">
      <c r="A259">
        <v>257</v>
      </c>
      <c r="B259" t="s">
        <v>374</v>
      </c>
      <c r="C259" t="s">
        <v>216</v>
      </c>
      <c r="D259">
        <v>-508.529739320278</v>
      </c>
    </row>
    <row r="260" spans="1:4" hidden="1" x14ac:dyDescent="0.3">
      <c r="A260">
        <v>258</v>
      </c>
      <c r="B260" s="1" t="s">
        <v>375</v>
      </c>
      <c r="C260" t="s">
        <v>218</v>
      </c>
      <c r="D260" s="1" t="s">
        <v>376</v>
      </c>
    </row>
    <row r="261" spans="1:4" hidden="1" x14ac:dyDescent="0.3">
      <c r="A261">
        <v>259</v>
      </c>
      <c r="B261" t="s">
        <v>377</v>
      </c>
      <c r="C261" t="s">
        <v>111</v>
      </c>
      <c r="D261">
        <v>128.23322478344099</v>
      </c>
    </row>
    <row r="262" spans="1:4" hidden="1" x14ac:dyDescent="0.3">
      <c r="A262">
        <v>260</v>
      </c>
      <c r="B262" t="s">
        <v>378</v>
      </c>
      <c r="C262" t="s">
        <v>113</v>
      </c>
      <c r="D262">
        <v>19.1956207631635</v>
      </c>
    </row>
    <row r="263" spans="1:4" hidden="1" x14ac:dyDescent="0.3">
      <c r="A263">
        <v>261</v>
      </c>
      <c r="B263" s="1" t="s">
        <v>379</v>
      </c>
      <c r="C263" t="s">
        <v>115</v>
      </c>
      <c r="D263" s="1" t="s">
        <v>380</v>
      </c>
    </row>
    <row r="264" spans="1:4" hidden="1" x14ac:dyDescent="0.3">
      <c r="A264">
        <v>262</v>
      </c>
      <c r="B264" t="s">
        <v>381</v>
      </c>
      <c r="C264" t="s">
        <v>118</v>
      </c>
      <c r="D264">
        <v>80000681.204663604</v>
      </c>
    </row>
    <row r="265" spans="1:4" hidden="1" x14ac:dyDescent="0.3">
      <c r="A265">
        <v>263</v>
      </c>
      <c r="B265" t="s">
        <v>382</v>
      </c>
      <c r="C265" t="s">
        <v>120</v>
      </c>
      <c r="D265">
        <v>35000042.967399299</v>
      </c>
    </row>
    <row r="266" spans="1:4" hidden="1" x14ac:dyDescent="0.3">
      <c r="A266">
        <v>264</v>
      </c>
      <c r="B266" s="1" t="s">
        <v>383</v>
      </c>
      <c r="C266" t="s">
        <v>122</v>
      </c>
      <c r="D266" s="1" t="s">
        <v>384</v>
      </c>
    </row>
    <row r="267" spans="1:4" hidden="1" x14ac:dyDescent="0.3">
      <c r="A267">
        <v>265</v>
      </c>
      <c r="B267" t="s">
        <v>385</v>
      </c>
      <c r="C267" t="s">
        <v>125</v>
      </c>
      <c r="D267">
        <v>0.79997328176540905</v>
      </c>
    </row>
    <row r="268" spans="1:4" hidden="1" x14ac:dyDescent="0.3">
      <c r="A268">
        <v>266</v>
      </c>
      <c r="B268" t="s">
        <v>386</v>
      </c>
      <c r="C268" t="s">
        <v>127</v>
      </c>
      <c r="D268">
        <v>0.34998576028285799</v>
      </c>
    </row>
    <row r="269" spans="1:4" hidden="1" x14ac:dyDescent="0.3">
      <c r="A269">
        <v>267</v>
      </c>
      <c r="B269" s="1" t="s">
        <v>387</v>
      </c>
      <c r="C269" t="s">
        <v>129</v>
      </c>
      <c r="D269" s="1" t="s">
        <v>388</v>
      </c>
    </row>
    <row r="270" spans="1:4" hidden="1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1794.03</v>
      </c>
    </row>
    <row r="272" spans="1:4" hidden="1" x14ac:dyDescent="0.3">
      <c r="A272">
        <v>270</v>
      </c>
      <c r="B272" s="1" t="s">
        <v>131</v>
      </c>
      <c r="C272" t="s">
        <v>9</v>
      </c>
      <c r="D272" s="1" t="s">
        <v>132</v>
      </c>
    </row>
    <row r="273" spans="1:4" hidden="1" x14ac:dyDescent="0.3">
      <c r="A273">
        <v>271</v>
      </c>
      <c r="B273" t="s">
        <v>13</v>
      </c>
      <c r="C273" t="s">
        <v>14</v>
      </c>
      <c r="D273">
        <v>99.65234375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4.4080893559260401</v>
      </c>
    </row>
    <row r="275" spans="1:4" hidden="1" x14ac:dyDescent="0.3">
      <c r="A275">
        <v>273</v>
      </c>
      <c r="B275" s="1" t="s">
        <v>133</v>
      </c>
      <c r="C275" t="s">
        <v>134</v>
      </c>
      <c r="D275" s="1" t="s">
        <v>135</v>
      </c>
    </row>
    <row r="276" spans="1:4" hidden="1" x14ac:dyDescent="0.3">
      <c r="A276">
        <v>274</v>
      </c>
      <c r="B276" t="s">
        <v>21</v>
      </c>
      <c r="C276" t="s">
        <v>22</v>
      </c>
      <c r="D276">
        <v>67.8</v>
      </c>
    </row>
    <row r="277" spans="1:4" hidden="1" x14ac:dyDescent="0.3">
      <c r="A277">
        <v>275</v>
      </c>
      <c r="B277" t="s">
        <v>389</v>
      </c>
      <c r="C277" t="s">
        <v>24</v>
      </c>
      <c r="D277">
        <v>6.2677569043989703</v>
      </c>
    </row>
    <row r="278" spans="1:4" hidden="1" x14ac:dyDescent="0.3">
      <c r="A278">
        <v>276</v>
      </c>
      <c r="B278" s="1" t="s">
        <v>390</v>
      </c>
      <c r="C278" t="s">
        <v>138</v>
      </c>
      <c r="D278" s="1" t="s">
        <v>391</v>
      </c>
    </row>
    <row r="279" spans="1:4" hidden="1" x14ac:dyDescent="0.3">
      <c r="A279">
        <v>277</v>
      </c>
      <c r="B279" t="s">
        <v>392</v>
      </c>
      <c r="C279" t="s">
        <v>35</v>
      </c>
      <c r="D279">
        <v>0.57832436190093295</v>
      </c>
    </row>
    <row r="280" spans="1:4" hidden="1" x14ac:dyDescent="0.3">
      <c r="A280">
        <v>278</v>
      </c>
      <c r="B280" t="s">
        <v>393</v>
      </c>
      <c r="C280" t="s">
        <v>142</v>
      </c>
      <c r="D280">
        <v>0.91018228812386603</v>
      </c>
    </row>
    <row r="281" spans="1:4" hidden="1" x14ac:dyDescent="0.3">
      <c r="A281">
        <v>279</v>
      </c>
      <c r="B281" s="1" t="s">
        <v>394</v>
      </c>
      <c r="C281" t="s">
        <v>144</v>
      </c>
      <c r="D281" s="1" t="s">
        <v>395</v>
      </c>
    </row>
    <row r="282" spans="1:4" hidden="1" x14ac:dyDescent="0.3">
      <c r="A282">
        <v>280</v>
      </c>
      <c r="B282" t="s">
        <v>396</v>
      </c>
      <c r="C282" t="s">
        <v>30</v>
      </c>
      <c r="D282">
        <v>0.17101683392442399</v>
      </c>
    </row>
    <row r="283" spans="1:4" hidden="1" x14ac:dyDescent="0.3">
      <c r="A283">
        <v>281</v>
      </c>
      <c r="B283" t="s">
        <v>397</v>
      </c>
      <c r="C283" t="s">
        <v>32</v>
      </c>
      <c r="D283">
        <v>5.2017421557540799E-2</v>
      </c>
    </row>
    <row r="284" spans="1:4" hidden="1" x14ac:dyDescent="0.3">
      <c r="A284">
        <v>282</v>
      </c>
      <c r="B284" s="1" t="s">
        <v>398</v>
      </c>
      <c r="C284" t="s">
        <v>148</v>
      </c>
      <c r="D284" s="1" t="s">
        <v>399</v>
      </c>
    </row>
    <row r="285" spans="1:4" hidden="1" x14ac:dyDescent="0.3">
      <c r="A285">
        <v>283</v>
      </c>
      <c r="B285" t="s">
        <v>400</v>
      </c>
      <c r="C285" t="s">
        <v>40</v>
      </c>
      <c r="D285">
        <v>0.25065880417464098</v>
      </c>
    </row>
    <row r="286" spans="1:4" hidden="1" x14ac:dyDescent="0.3">
      <c r="A286">
        <v>284</v>
      </c>
      <c r="B286" t="s">
        <v>401</v>
      </c>
      <c r="C286" t="s">
        <v>42</v>
      </c>
      <c r="D286">
        <v>4.6663593276611501E-2</v>
      </c>
    </row>
    <row r="287" spans="1:4" hidden="1" x14ac:dyDescent="0.3">
      <c r="A287">
        <v>285</v>
      </c>
      <c r="B287" s="1" t="s">
        <v>402</v>
      </c>
      <c r="C287" t="s">
        <v>152</v>
      </c>
      <c r="D287" s="1" t="s">
        <v>403</v>
      </c>
    </row>
    <row r="288" spans="1:4" hidden="1" x14ac:dyDescent="0.3">
      <c r="A288">
        <v>286</v>
      </c>
      <c r="B288" t="s">
        <v>153</v>
      </c>
      <c r="C288" t="s">
        <v>154</v>
      </c>
      <c r="D288">
        <v>1</v>
      </c>
    </row>
    <row r="289" spans="1:4" hidden="1" x14ac:dyDescent="0.3">
      <c r="A289">
        <v>287</v>
      </c>
      <c r="B289" t="s">
        <v>155</v>
      </c>
      <c r="C289" t="s">
        <v>156</v>
      </c>
      <c r="D289">
        <v>1</v>
      </c>
    </row>
    <row r="290" spans="1:4" hidden="1" x14ac:dyDescent="0.3">
      <c r="A290">
        <v>288</v>
      </c>
      <c r="B290" s="1" t="s">
        <v>404</v>
      </c>
      <c r="C290" t="s">
        <v>158</v>
      </c>
      <c r="D290" s="1" t="s">
        <v>405</v>
      </c>
    </row>
    <row r="291" spans="1:4" hidden="1" x14ac:dyDescent="0.3">
      <c r="A291">
        <v>289</v>
      </c>
      <c r="B291" t="s">
        <v>406</v>
      </c>
      <c r="C291" t="s">
        <v>161</v>
      </c>
      <c r="D291">
        <v>0.99978237269994197</v>
      </c>
    </row>
    <row r="292" spans="1:4" hidden="1" x14ac:dyDescent="0.3">
      <c r="A292">
        <v>290</v>
      </c>
      <c r="B292" t="s">
        <v>407</v>
      </c>
      <c r="C292" t="s">
        <v>163</v>
      </c>
      <c r="D292">
        <v>1.0000626701174</v>
      </c>
    </row>
    <row r="293" spans="1:4" hidden="1" x14ac:dyDescent="0.3">
      <c r="A293">
        <v>291</v>
      </c>
      <c r="B293" s="1" t="s">
        <v>408</v>
      </c>
      <c r="C293" t="s">
        <v>165</v>
      </c>
      <c r="D293" s="1" t="s">
        <v>409</v>
      </c>
    </row>
    <row r="294" spans="1:4" hidden="1" x14ac:dyDescent="0.3">
      <c r="A294">
        <v>292</v>
      </c>
      <c r="B294" s="1" t="s">
        <v>410</v>
      </c>
      <c r="C294" t="s">
        <v>55</v>
      </c>
      <c r="D294" s="1" t="s">
        <v>411</v>
      </c>
    </row>
    <row r="295" spans="1:4" hidden="1" x14ac:dyDescent="0.3">
      <c r="A295">
        <v>293</v>
      </c>
      <c r="B295" s="1" t="s">
        <v>412</v>
      </c>
      <c r="C295" t="s">
        <v>52</v>
      </c>
      <c r="D295" s="1" t="s">
        <v>413</v>
      </c>
    </row>
    <row r="296" spans="1:4" hidden="1" x14ac:dyDescent="0.3">
      <c r="A296">
        <v>294</v>
      </c>
      <c r="B296" s="1" t="s">
        <v>414</v>
      </c>
      <c r="C296" t="s">
        <v>58</v>
      </c>
      <c r="D296" s="1" t="s">
        <v>415</v>
      </c>
    </row>
    <row r="297" spans="1:4" hidden="1" x14ac:dyDescent="0.3">
      <c r="A297">
        <v>295</v>
      </c>
      <c r="B297" t="s">
        <v>416</v>
      </c>
      <c r="C297" t="s">
        <v>60</v>
      </c>
      <c r="D297">
        <v>149993221.05188099</v>
      </c>
    </row>
    <row r="298" spans="1:4" hidden="1" x14ac:dyDescent="0.3">
      <c r="A298">
        <v>296</v>
      </c>
      <c r="B298" t="s">
        <v>417</v>
      </c>
      <c r="C298" t="s">
        <v>62</v>
      </c>
      <c r="D298">
        <v>80000681.204663604</v>
      </c>
    </row>
    <row r="299" spans="1:4" hidden="1" x14ac:dyDescent="0.3">
      <c r="A299">
        <v>297</v>
      </c>
      <c r="B299" t="s">
        <v>418</v>
      </c>
      <c r="C299" t="s">
        <v>64</v>
      </c>
      <c r="D299">
        <v>35000042.967399299</v>
      </c>
    </row>
    <row r="300" spans="1:4" hidden="1" x14ac:dyDescent="0.3">
      <c r="A300">
        <v>298</v>
      </c>
      <c r="B300" s="1" t="s">
        <v>419</v>
      </c>
      <c r="C300" t="s">
        <v>66</v>
      </c>
      <c r="D300" s="1" t="s">
        <v>420</v>
      </c>
    </row>
    <row r="301" spans="1:4" hidden="1" x14ac:dyDescent="0.3">
      <c r="A301">
        <v>299</v>
      </c>
      <c r="B301" s="1" t="s">
        <v>421</v>
      </c>
      <c r="C301" t="s">
        <v>69</v>
      </c>
      <c r="D301" s="1" t="s">
        <v>422</v>
      </c>
    </row>
    <row r="302" spans="1:4" hidden="1" x14ac:dyDescent="0.3">
      <c r="A302">
        <v>300</v>
      </c>
      <c r="B302" t="s">
        <v>423</v>
      </c>
      <c r="C302" t="s">
        <v>72</v>
      </c>
      <c r="D302">
        <v>1.0000376850496999</v>
      </c>
    </row>
    <row r="303" spans="1:4" hidden="1" x14ac:dyDescent="0.3">
      <c r="A303">
        <v>301</v>
      </c>
      <c r="B303" t="s">
        <v>73</v>
      </c>
      <c r="C303" t="s">
        <v>74</v>
      </c>
      <c r="D303">
        <v>2.7397260273972599E-3</v>
      </c>
    </row>
    <row r="304" spans="1:4" hidden="1" x14ac:dyDescent="0.3">
      <c r="A304">
        <v>302</v>
      </c>
      <c r="B304" t="s">
        <v>75</v>
      </c>
      <c r="C304" t="s">
        <v>76</v>
      </c>
      <c r="D304">
        <v>0</v>
      </c>
    </row>
    <row r="305" spans="1:4" hidden="1" x14ac:dyDescent="0.3">
      <c r="A305">
        <v>303</v>
      </c>
      <c r="B305" t="s">
        <v>77</v>
      </c>
      <c r="C305" t="s">
        <v>78</v>
      </c>
      <c r="D305">
        <v>0</v>
      </c>
    </row>
    <row r="306" spans="1:4" hidden="1" x14ac:dyDescent="0.3">
      <c r="A306">
        <v>304</v>
      </c>
      <c r="B306" s="1" t="s">
        <v>424</v>
      </c>
      <c r="C306" t="s">
        <v>80</v>
      </c>
      <c r="D306" s="1" t="s">
        <v>425</v>
      </c>
    </row>
    <row r="307" spans="1:4" hidden="1" x14ac:dyDescent="0.3">
      <c r="A307">
        <v>305</v>
      </c>
      <c r="B307" t="s">
        <v>426</v>
      </c>
      <c r="C307" t="s">
        <v>83</v>
      </c>
      <c r="D307">
        <v>1.00005625699164</v>
      </c>
    </row>
    <row r="308" spans="1:4" hidden="1" x14ac:dyDescent="0.3">
      <c r="A308">
        <v>306</v>
      </c>
      <c r="B308" s="1" t="s">
        <v>427</v>
      </c>
      <c r="C308" t="s">
        <v>85</v>
      </c>
      <c r="D308" s="1" t="s">
        <v>428</v>
      </c>
    </row>
    <row r="309" spans="1:4" hidden="1" x14ac:dyDescent="0.3">
      <c r="A309">
        <v>307</v>
      </c>
      <c r="B309" t="s">
        <v>429</v>
      </c>
      <c r="C309" t="s">
        <v>88</v>
      </c>
      <c r="D309">
        <v>99998057.2863608</v>
      </c>
    </row>
    <row r="310" spans="1:4" hidden="1" x14ac:dyDescent="0.3">
      <c r="A310">
        <v>308</v>
      </c>
      <c r="B310" s="1" t="s">
        <v>430</v>
      </c>
      <c r="C310" t="s">
        <v>90</v>
      </c>
      <c r="D310" s="1" t="s">
        <v>376</v>
      </c>
    </row>
    <row r="311" spans="1:4" hidden="1" x14ac:dyDescent="0.3">
      <c r="A311">
        <v>309</v>
      </c>
      <c r="B311" t="s">
        <v>431</v>
      </c>
      <c r="C311" t="s">
        <v>93</v>
      </c>
      <c r="D311">
        <v>80000681.204663604</v>
      </c>
    </row>
    <row r="312" spans="1:4" hidden="1" x14ac:dyDescent="0.3">
      <c r="A312">
        <v>310</v>
      </c>
      <c r="B312" t="s">
        <v>432</v>
      </c>
      <c r="C312" t="s">
        <v>95</v>
      </c>
      <c r="D312">
        <v>35000042.967399299</v>
      </c>
    </row>
    <row r="313" spans="1:4" hidden="1" x14ac:dyDescent="0.3">
      <c r="A313">
        <v>311</v>
      </c>
      <c r="B313" t="s">
        <v>433</v>
      </c>
      <c r="C313" t="s">
        <v>97</v>
      </c>
      <c r="D313">
        <v>34992496.879818402</v>
      </c>
    </row>
    <row r="314" spans="1:4" hidden="1" x14ac:dyDescent="0.3">
      <c r="A314">
        <v>312</v>
      </c>
      <c r="B314" s="1" t="s">
        <v>434</v>
      </c>
      <c r="C314" t="s">
        <v>99</v>
      </c>
      <c r="D314" s="1" t="s">
        <v>435</v>
      </c>
    </row>
    <row r="315" spans="1:4" hidden="1" x14ac:dyDescent="0.3">
      <c r="A315">
        <v>313</v>
      </c>
      <c r="B315" t="s">
        <v>436</v>
      </c>
      <c r="C315" t="s">
        <v>102</v>
      </c>
      <c r="D315">
        <v>1.0881020372269999E-2</v>
      </c>
    </row>
    <row r="316" spans="1:4" hidden="1" x14ac:dyDescent="0.3">
      <c r="A316">
        <v>314</v>
      </c>
      <c r="B316" t="s">
        <v>437</v>
      </c>
      <c r="C316" t="s">
        <v>104</v>
      </c>
      <c r="D316">
        <v>5.1224645661552995E-4</v>
      </c>
    </row>
    <row r="317" spans="1:4" hidden="1" x14ac:dyDescent="0.3">
      <c r="A317">
        <v>315</v>
      </c>
      <c r="B317" t="s">
        <v>438</v>
      </c>
      <c r="C317" t="s">
        <v>106</v>
      </c>
      <c r="D317">
        <v>1.4342146827210901E-2</v>
      </c>
    </row>
    <row r="318" spans="1:4" hidden="1" x14ac:dyDescent="0.3">
      <c r="A318">
        <v>316</v>
      </c>
      <c r="B318" s="1" t="s">
        <v>439</v>
      </c>
      <c r="C318" t="s">
        <v>108</v>
      </c>
      <c r="D318" s="1" t="s">
        <v>440</v>
      </c>
    </row>
    <row r="319" spans="1:4" x14ac:dyDescent="0.3">
      <c r="A319">
        <v>317</v>
      </c>
      <c r="B319" t="s">
        <v>441</v>
      </c>
      <c r="C319" t="s">
        <v>196</v>
      </c>
      <c r="D319">
        <v>149993860.526959</v>
      </c>
    </row>
    <row r="320" spans="1:4" hidden="1" x14ac:dyDescent="0.3">
      <c r="A320">
        <v>318</v>
      </c>
      <c r="B320" t="s">
        <v>442</v>
      </c>
      <c r="C320" t="s">
        <v>198</v>
      </c>
      <c r="D320">
        <v>-1485.7207146747601</v>
      </c>
    </row>
    <row r="321" spans="1:4" hidden="1" x14ac:dyDescent="0.3">
      <c r="A321">
        <v>319</v>
      </c>
      <c r="B321" t="s">
        <v>443</v>
      </c>
      <c r="C321" t="s">
        <v>200</v>
      </c>
      <c r="D321">
        <v>-649.99557292448799</v>
      </c>
    </row>
    <row r="322" spans="1:4" hidden="1" x14ac:dyDescent="0.3">
      <c r="A322">
        <v>320</v>
      </c>
      <c r="B322" s="1" t="s">
        <v>444</v>
      </c>
      <c r="C322" t="s">
        <v>202</v>
      </c>
      <c r="D322" s="1" t="s">
        <v>445</v>
      </c>
    </row>
    <row r="323" spans="1:4" hidden="1" x14ac:dyDescent="0.3">
      <c r="A323">
        <v>321</v>
      </c>
      <c r="B323" t="s">
        <v>446</v>
      </c>
      <c r="C323" t="s">
        <v>205</v>
      </c>
      <c r="D323">
        <v>80002635.249972001</v>
      </c>
    </row>
    <row r="324" spans="1:4" hidden="1" x14ac:dyDescent="0.3">
      <c r="A324">
        <v>322</v>
      </c>
      <c r="B324" t="s">
        <v>447</v>
      </c>
      <c r="C324" t="s">
        <v>207</v>
      </c>
      <c r="D324">
        <v>35000763.078246497</v>
      </c>
    </row>
    <row r="325" spans="1:4" hidden="1" x14ac:dyDescent="0.3">
      <c r="A325">
        <v>323</v>
      </c>
      <c r="B325" t="s">
        <v>448</v>
      </c>
      <c r="C325" t="s">
        <v>209</v>
      </c>
      <c r="D325">
        <v>34993247.771034896</v>
      </c>
    </row>
    <row r="326" spans="1:4" hidden="1" x14ac:dyDescent="0.3">
      <c r="A326">
        <v>324</v>
      </c>
      <c r="B326" s="1" t="s">
        <v>449</v>
      </c>
      <c r="C326" t="s">
        <v>211</v>
      </c>
      <c r="D326" s="1" t="s">
        <v>450</v>
      </c>
    </row>
    <row r="327" spans="1:4" hidden="1" x14ac:dyDescent="0.3">
      <c r="A327">
        <v>325</v>
      </c>
      <c r="B327" t="s">
        <v>451</v>
      </c>
      <c r="C327" t="s">
        <v>214</v>
      </c>
      <c r="D327">
        <v>99999914.374490306</v>
      </c>
    </row>
    <row r="328" spans="1:4" hidden="1" x14ac:dyDescent="0.3">
      <c r="A328">
        <v>326</v>
      </c>
      <c r="B328" t="s">
        <v>452</v>
      </c>
      <c r="C328" t="s">
        <v>216</v>
      </c>
      <c r="D328">
        <v>-1857.0881295055101</v>
      </c>
    </row>
    <row r="329" spans="1:4" hidden="1" x14ac:dyDescent="0.3">
      <c r="A329">
        <v>327</v>
      </c>
      <c r="B329" s="1" t="s">
        <v>453</v>
      </c>
      <c r="C329" t="s">
        <v>218</v>
      </c>
      <c r="D329" s="1" t="s">
        <v>454</v>
      </c>
    </row>
    <row r="330" spans="1:4" hidden="1" x14ac:dyDescent="0.3">
      <c r="A330">
        <v>328</v>
      </c>
      <c r="B330" t="s">
        <v>455</v>
      </c>
      <c r="C330" t="s">
        <v>111</v>
      </c>
      <c r="D330">
        <v>468.324593761904</v>
      </c>
    </row>
    <row r="331" spans="1:4" hidden="1" x14ac:dyDescent="0.3">
      <c r="A331">
        <v>329</v>
      </c>
      <c r="B331" t="s">
        <v>456</v>
      </c>
      <c r="C331" t="s">
        <v>113</v>
      </c>
      <c r="D331">
        <v>70.115274300040696</v>
      </c>
    </row>
    <row r="332" spans="1:4" hidden="1" x14ac:dyDescent="0.3">
      <c r="A332">
        <v>330</v>
      </c>
      <c r="B332" s="1" t="s">
        <v>457</v>
      </c>
      <c r="C332" t="s">
        <v>115</v>
      </c>
      <c r="D332" s="1" t="s">
        <v>458</v>
      </c>
    </row>
    <row r="333" spans="1:4" hidden="1" x14ac:dyDescent="0.3">
      <c r="A333">
        <v>331</v>
      </c>
      <c r="B333" t="s">
        <v>459</v>
      </c>
      <c r="C333" t="s">
        <v>118</v>
      </c>
      <c r="D333">
        <v>80002635.249972001</v>
      </c>
    </row>
    <row r="334" spans="1:4" hidden="1" x14ac:dyDescent="0.3">
      <c r="A334">
        <v>332</v>
      </c>
      <c r="B334" t="s">
        <v>460</v>
      </c>
      <c r="C334" t="s">
        <v>120</v>
      </c>
      <c r="D334">
        <v>35000763.078246497</v>
      </c>
    </row>
    <row r="335" spans="1:4" hidden="1" x14ac:dyDescent="0.3">
      <c r="A335">
        <v>333</v>
      </c>
      <c r="B335" s="1" t="s">
        <v>461</v>
      </c>
      <c r="C335" t="s">
        <v>122</v>
      </c>
      <c r="D335" s="1" t="s">
        <v>462</v>
      </c>
    </row>
    <row r="336" spans="1:4" hidden="1" x14ac:dyDescent="0.3">
      <c r="A336">
        <v>334</v>
      </c>
      <c r="B336" t="s">
        <v>463</v>
      </c>
      <c r="C336" t="s">
        <v>125</v>
      </c>
      <c r="D336">
        <v>0.79998203294440295</v>
      </c>
    </row>
    <row r="337" spans="1:4" hidden="1" x14ac:dyDescent="0.3">
      <c r="A337">
        <v>335</v>
      </c>
      <c r="B337" t="s">
        <v>464</v>
      </c>
      <c r="C337" t="s">
        <v>127</v>
      </c>
      <c r="D337">
        <v>0.349988241192978</v>
      </c>
    </row>
    <row r="338" spans="1:4" hidden="1" x14ac:dyDescent="0.3">
      <c r="A338">
        <v>336</v>
      </c>
      <c r="B338" s="1" t="s">
        <v>465</v>
      </c>
      <c r="C338" t="s">
        <v>129</v>
      </c>
      <c r="D338" s="1" t="s">
        <v>466</v>
      </c>
    </row>
    <row r="339" spans="1:4" hidden="1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1794.03</v>
      </c>
    </row>
    <row r="341" spans="1:4" hidden="1" x14ac:dyDescent="0.3">
      <c r="A341">
        <v>339</v>
      </c>
      <c r="B341" s="1" t="s">
        <v>131</v>
      </c>
      <c r="C341" t="s">
        <v>9</v>
      </c>
      <c r="D341" s="1" t="s">
        <v>132</v>
      </c>
    </row>
    <row r="342" spans="1:4" hidden="1" x14ac:dyDescent="0.3">
      <c r="A342">
        <v>340</v>
      </c>
      <c r="B342" t="s">
        <v>13</v>
      </c>
      <c r="C342" t="s">
        <v>14</v>
      </c>
      <c r="D342">
        <v>99.65234375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4.4080893559260401</v>
      </c>
    </row>
    <row r="344" spans="1:4" hidden="1" x14ac:dyDescent="0.3">
      <c r="A344">
        <v>342</v>
      </c>
      <c r="B344" s="1" t="s">
        <v>133</v>
      </c>
      <c r="C344" t="s">
        <v>134</v>
      </c>
      <c r="D344" s="1" t="s">
        <v>135</v>
      </c>
    </row>
    <row r="345" spans="1:4" hidden="1" x14ac:dyDescent="0.3">
      <c r="A345">
        <v>343</v>
      </c>
      <c r="B345" t="s">
        <v>21</v>
      </c>
      <c r="C345" t="s">
        <v>22</v>
      </c>
      <c r="D345">
        <v>67.8</v>
      </c>
    </row>
    <row r="346" spans="1:4" hidden="1" x14ac:dyDescent="0.3">
      <c r="A346">
        <v>344</v>
      </c>
      <c r="B346" t="s">
        <v>467</v>
      </c>
      <c r="C346" t="s">
        <v>24</v>
      </c>
      <c r="D346">
        <v>6.2574603645664899</v>
      </c>
    </row>
    <row r="347" spans="1:4" hidden="1" x14ac:dyDescent="0.3">
      <c r="A347">
        <v>345</v>
      </c>
      <c r="B347" s="1" t="s">
        <v>468</v>
      </c>
      <c r="C347" t="s">
        <v>138</v>
      </c>
      <c r="D347" s="1" t="s">
        <v>469</v>
      </c>
    </row>
    <row r="348" spans="1:4" hidden="1" x14ac:dyDescent="0.3">
      <c r="A348">
        <v>346</v>
      </c>
      <c r="B348" t="s">
        <v>470</v>
      </c>
      <c r="C348" t="s">
        <v>35</v>
      </c>
      <c r="D348">
        <v>0.57969418521673899</v>
      </c>
    </row>
    <row r="349" spans="1:4" hidden="1" x14ac:dyDescent="0.3">
      <c r="A349">
        <v>347</v>
      </c>
      <c r="B349" t="s">
        <v>471</v>
      </c>
      <c r="C349" t="s">
        <v>142</v>
      </c>
      <c r="D349">
        <v>0.910061148888061</v>
      </c>
    </row>
    <row r="350" spans="1:4" hidden="1" x14ac:dyDescent="0.3">
      <c r="A350">
        <v>348</v>
      </c>
      <c r="B350" s="1" t="s">
        <v>472</v>
      </c>
      <c r="C350" t="s">
        <v>144</v>
      </c>
      <c r="D350" s="1" t="s">
        <v>473</v>
      </c>
    </row>
    <row r="351" spans="1:4" hidden="1" x14ac:dyDescent="0.3">
      <c r="A351">
        <v>349</v>
      </c>
      <c r="B351" t="s">
        <v>474</v>
      </c>
      <c r="C351" t="s">
        <v>30</v>
      </c>
      <c r="D351">
        <v>0.171421905648768</v>
      </c>
    </row>
    <row r="352" spans="1:4" hidden="1" x14ac:dyDescent="0.3">
      <c r="A352">
        <v>350</v>
      </c>
      <c r="B352" t="s">
        <v>475</v>
      </c>
      <c r="C352" t="s">
        <v>32</v>
      </c>
      <c r="D352">
        <v>5.1990942373040298E-2</v>
      </c>
    </row>
    <row r="353" spans="1:4" hidden="1" x14ac:dyDescent="0.3">
      <c r="A353">
        <v>351</v>
      </c>
      <c r="B353" s="1" t="s">
        <v>476</v>
      </c>
      <c r="C353" t="s">
        <v>148</v>
      </c>
      <c r="D353" s="1" t="s">
        <v>477</v>
      </c>
    </row>
    <row r="354" spans="1:4" hidden="1" x14ac:dyDescent="0.3">
      <c r="A354">
        <v>352</v>
      </c>
      <c r="B354" t="s">
        <v>478</v>
      </c>
      <c r="C354" t="s">
        <v>40</v>
      </c>
      <c r="D354">
        <v>0.24888390913449199</v>
      </c>
    </row>
    <row r="355" spans="1:4" hidden="1" x14ac:dyDescent="0.3">
      <c r="A355">
        <v>353</v>
      </c>
      <c r="B355" t="s">
        <v>479</v>
      </c>
      <c r="C355" t="s">
        <v>42</v>
      </c>
      <c r="D355">
        <v>4.68363190937615E-2</v>
      </c>
    </row>
    <row r="356" spans="1:4" hidden="1" x14ac:dyDescent="0.3">
      <c r="A356">
        <v>354</v>
      </c>
      <c r="B356" s="1" t="s">
        <v>480</v>
      </c>
      <c r="C356" t="s">
        <v>152</v>
      </c>
      <c r="D356" s="1" t="s">
        <v>481</v>
      </c>
    </row>
    <row r="357" spans="1:4" hidden="1" x14ac:dyDescent="0.3">
      <c r="A357">
        <v>355</v>
      </c>
      <c r="B357" t="s">
        <v>153</v>
      </c>
      <c r="C357" t="s">
        <v>154</v>
      </c>
      <c r="D357">
        <v>1</v>
      </c>
    </row>
    <row r="358" spans="1:4" hidden="1" x14ac:dyDescent="0.3">
      <c r="A358">
        <v>356</v>
      </c>
      <c r="B358" t="s">
        <v>155</v>
      </c>
      <c r="C358" t="s">
        <v>156</v>
      </c>
      <c r="D358">
        <v>1</v>
      </c>
    </row>
    <row r="359" spans="1:4" hidden="1" x14ac:dyDescent="0.3">
      <c r="A359">
        <v>357</v>
      </c>
      <c r="B359" s="1" t="s">
        <v>482</v>
      </c>
      <c r="C359" t="s">
        <v>158</v>
      </c>
      <c r="D359" s="1" t="s">
        <v>483</v>
      </c>
    </row>
    <row r="360" spans="1:4" hidden="1" x14ac:dyDescent="0.3">
      <c r="A360">
        <v>358</v>
      </c>
      <c r="B360" t="s">
        <v>484</v>
      </c>
      <c r="C360" t="s">
        <v>161</v>
      </c>
      <c r="D360">
        <v>0.99993658236883598</v>
      </c>
    </row>
    <row r="361" spans="1:4" hidden="1" x14ac:dyDescent="0.3">
      <c r="A361">
        <v>359</v>
      </c>
      <c r="B361" t="s">
        <v>485</v>
      </c>
      <c r="C361" t="s">
        <v>163</v>
      </c>
      <c r="D361">
        <v>0.99997483008935195</v>
      </c>
    </row>
    <row r="362" spans="1:4" hidden="1" x14ac:dyDescent="0.3">
      <c r="A362">
        <v>360</v>
      </c>
      <c r="B362" s="1" t="s">
        <v>486</v>
      </c>
      <c r="C362" t="s">
        <v>165</v>
      </c>
      <c r="D362" s="1" t="s">
        <v>487</v>
      </c>
    </row>
    <row r="363" spans="1:4" hidden="1" x14ac:dyDescent="0.3">
      <c r="A363">
        <v>361</v>
      </c>
      <c r="B363" s="1" t="s">
        <v>488</v>
      </c>
      <c r="C363" t="s">
        <v>55</v>
      </c>
      <c r="D363" s="1" t="s">
        <v>489</v>
      </c>
    </row>
    <row r="364" spans="1:4" hidden="1" x14ac:dyDescent="0.3">
      <c r="A364">
        <v>362</v>
      </c>
      <c r="B364" s="1" t="s">
        <v>490</v>
      </c>
      <c r="C364" t="s">
        <v>52</v>
      </c>
      <c r="D364" s="1" t="s">
        <v>491</v>
      </c>
    </row>
    <row r="365" spans="1:4" hidden="1" x14ac:dyDescent="0.3">
      <c r="A365">
        <v>363</v>
      </c>
      <c r="B365" s="1" t="s">
        <v>492</v>
      </c>
      <c r="C365" t="s">
        <v>58</v>
      </c>
      <c r="D365" s="1" t="s">
        <v>493</v>
      </c>
    </row>
    <row r="366" spans="1:4" hidden="1" x14ac:dyDescent="0.3">
      <c r="A366">
        <v>364</v>
      </c>
      <c r="B366" t="s">
        <v>494</v>
      </c>
      <c r="C366" t="s">
        <v>60</v>
      </c>
      <c r="D366">
        <v>149991781.50790301</v>
      </c>
    </row>
    <row r="367" spans="1:4" hidden="1" x14ac:dyDescent="0.3">
      <c r="A367">
        <v>365</v>
      </c>
      <c r="B367" t="s">
        <v>495</v>
      </c>
      <c r="C367" t="s">
        <v>62</v>
      </c>
      <c r="D367">
        <v>80002635.249972001</v>
      </c>
    </row>
    <row r="368" spans="1:4" hidden="1" x14ac:dyDescent="0.3">
      <c r="A368">
        <v>366</v>
      </c>
      <c r="B368" t="s">
        <v>496</v>
      </c>
      <c r="C368" t="s">
        <v>64</v>
      </c>
      <c r="D368">
        <v>35000763.078246497</v>
      </c>
    </row>
    <row r="369" spans="1:4" hidden="1" x14ac:dyDescent="0.3">
      <c r="A369">
        <v>367</v>
      </c>
      <c r="B369" s="1" t="s">
        <v>497</v>
      </c>
      <c r="C369" t="s">
        <v>66</v>
      </c>
      <c r="D369" s="1" t="s">
        <v>498</v>
      </c>
    </row>
    <row r="370" spans="1:4" hidden="1" x14ac:dyDescent="0.3">
      <c r="A370">
        <v>368</v>
      </c>
      <c r="B370" s="1" t="s">
        <v>499</v>
      </c>
      <c r="C370" t="s">
        <v>69</v>
      </c>
      <c r="D370" s="1" t="s">
        <v>500</v>
      </c>
    </row>
    <row r="371" spans="1:4" hidden="1" x14ac:dyDescent="0.3">
      <c r="A371">
        <v>369</v>
      </c>
      <c r="B371" t="s">
        <v>501</v>
      </c>
      <c r="C371" t="s">
        <v>72</v>
      </c>
      <c r="D371">
        <v>1.00005625699164</v>
      </c>
    </row>
    <row r="372" spans="1:4" hidden="1" x14ac:dyDescent="0.3">
      <c r="A372">
        <v>370</v>
      </c>
      <c r="B372" t="s">
        <v>73</v>
      </c>
      <c r="C372" t="s">
        <v>74</v>
      </c>
      <c r="D372">
        <v>2.7397260273972599E-3</v>
      </c>
    </row>
    <row r="373" spans="1:4" hidden="1" x14ac:dyDescent="0.3">
      <c r="A373">
        <v>371</v>
      </c>
      <c r="B373" t="s">
        <v>75</v>
      </c>
      <c r="C373" t="s">
        <v>76</v>
      </c>
      <c r="D373">
        <v>0</v>
      </c>
    </row>
    <row r="374" spans="1:4" hidden="1" x14ac:dyDescent="0.3">
      <c r="A374">
        <v>372</v>
      </c>
      <c r="B374" t="s">
        <v>77</v>
      </c>
      <c r="C374" t="s">
        <v>78</v>
      </c>
      <c r="D374">
        <v>0</v>
      </c>
    </row>
    <row r="375" spans="1:4" hidden="1" x14ac:dyDescent="0.3">
      <c r="A375">
        <v>373</v>
      </c>
      <c r="B375" s="1" t="s">
        <v>502</v>
      </c>
      <c r="C375" t="s">
        <v>80</v>
      </c>
      <c r="D375" s="1" t="s">
        <v>503</v>
      </c>
    </row>
    <row r="376" spans="1:4" hidden="1" x14ac:dyDescent="0.3">
      <c r="A376">
        <v>374</v>
      </c>
      <c r="B376" t="s">
        <v>504</v>
      </c>
      <c r="C376" t="s">
        <v>83</v>
      </c>
      <c r="D376">
        <v>1.0000642678298901</v>
      </c>
    </row>
    <row r="377" spans="1:4" hidden="1" x14ac:dyDescent="0.3">
      <c r="A377">
        <v>375</v>
      </c>
      <c r="B377" s="1" t="s">
        <v>505</v>
      </c>
      <c r="C377" t="s">
        <v>85</v>
      </c>
      <c r="D377" s="1" t="s">
        <v>506</v>
      </c>
    </row>
    <row r="378" spans="1:4" hidden="1" x14ac:dyDescent="0.3">
      <c r="A378">
        <v>376</v>
      </c>
      <c r="B378" t="s">
        <v>507</v>
      </c>
      <c r="C378" t="s">
        <v>88</v>
      </c>
      <c r="D378">
        <v>99997256.269578502</v>
      </c>
    </row>
    <row r="379" spans="1:4" hidden="1" x14ac:dyDescent="0.3">
      <c r="A379">
        <v>377</v>
      </c>
      <c r="B379" s="1" t="s">
        <v>508</v>
      </c>
      <c r="C379" t="s">
        <v>90</v>
      </c>
      <c r="D379" s="1" t="s">
        <v>454</v>
      </c>
    </row>
    <row r="380" spans="1:4" hidden="1" x14ac:dyDescent="0.3">
      <c r="A380">
        <v>378</v>
      </c>
      <c r="B380" t="s">
        <v>509</v>
      </c>
      <c r="C380" t="s">
        <v>93</v>
      </c>
      <c r="D380">
        <v>80002635.249972001</v>
      </c>
    </row>
    <row r="381" spans="1:4" hidden="1" x14ac:dyDescent="0.3">
      <c r="A381">
        <v>379</v>
      </c>
      <c r="B381" t="s">
        <v>510</v>
      </c>
      <c r="C381" t="s">
        <v>95</v>
      </c>
      <c r="D381">
        <v>35000763.078246497</v>
      </c>
    </row>
    <row r="382" spans="1:4" hidden="1" x14ac:dyDescent="0.3">
      <c r="A382">
        <v>380</v>
      </c>
      <c r="B382" t="s">
        <v>511</v>
      </c>
      <c r="C382" t="s">
        <v>97</v>
      </c>
      <c r="D382">
        <v>34988383.179684997</v>
      </c>
    </row>
    <row r="383" spans="1:4" hidden="1" x14ac:dyDescent="0.3">
      <c r="A383">
        <v>381</v>
      </c>
      <c r="B383" s="1" t="s">
        <v>512</v>
      </c>
      <c r="C383" t="s">
        <v>99</v>
      </c>
      <c r="D383" s="1" t="s">
        <v>513</v>
      </c>
    </row>
    <row r="384" spans="1:4" hidden="1" x14ac:dyDescent="0.3">
      <c r="A384">
        <v>382</v>
      </c>
      <c r="B384" t="s">
        <v>514</v>
      </c>
      <c r="C384" t="s">
        <v>102</v>
      </c>
      <c r="D384">
        <v>1.0936791224366299E-2</v>
      </c>
    </row>
    <row r="385" spans="1:4" hidden="1" x14ac:dyDescent="0.3">
      <c r="A385">
        <v>383</v>
      </c>
      <c r="B385" t="s">
        <v>515</v>
      </c>
      <c r="C385" t="s">
        <v>104</v>
      </c>
      <c r="D385">
        <v>5.1494048040827596E-4</v>
      </c>
    </row>
    <row r="386" spans="1:4" hidden="1" x14ac:dyDescent="0.3">
      <c r="A386">
        <v>384</v>
      </c>
      <c r="B386" t="s">
        <v>516</v>
      </c>
      <c r="C386" t="s">
        <v>106</v>
      </c>
      <c r="D386">
        <v>1.4417173176123199E-2</v>
      </c>
    </row>
    <row r="387" spans="1:4" hidden="1" x14ac:dyDescent="0.3">
      <c r="A387">
        <v>385</v>
      </c>
      <c r="B387" s="1" t="s">
        <v>517</v>
      </c>
      <c r="C387" t="s">
        <v>108</v>
      </c>
      <c r="D387" s="1" t="s">
        <v>518</v>
      </c>
    </row>
    <row r="388" spans="1:4" x14ac:dyDescent="0.3">
      <c r="A388">
        <v>386</v>
      </c>
      <c r="B388" t="s">
        <v>519</v>
      </c>
      <c r="C388" t="s">
        <v>196</v>
      </c>
      <c r="D388">
        <v>149992057.34969401</v>
      </c>
    </row>
    <row r="389" spans="1:4" hidden="1" x14ac:dyDescent="0.3">
      <c r="A389">
        <v>387</v>
      </c>
      <c r="B389" t="s">
        <v>520</v>
      </c>
      <c r="C389" t="s">
        <v>198</v>
      </c>
      <c r="D389">
        <v>-640.85373606145697</v>
      </c>
    </row>
    <row r="390" spans="1:4" hidden="1" x14ac:dyDescent="0.3">
      <c r="A390">
        <v>388</v>
      </c>
      <c r="B390" t="s">
        <v>521</v>
      </c>
      <c r="C390" t="s">
        <v>200</v>
      </c>
      <c r="D390">
        <v>-280.36992106112399</v>
      </c>
    </row>
    <row r="391" spans="1:4" hidden="1" x14ac:dyDescent="0.3">
      <c r="A391">
        <v>389</v>
      </c>
      <c r="B391" s="1" t="s">
        <v>522</v>
      </c>
      <c r="C391" t="s">
        <v>202</v>
      </c>
      <c r="D391" s="1" t="s">
        <v>523</v>
      </c>
    </row>
    <row r="392" spans="1:4" hidden="1" x14ac:dyDescent="0.3">
      <c r="A392">
        <v>390</v>
      </c>
      <c r="B392" t="s">
        <v>524</v>
      </c>
      <c r="C392" t="s">
        <v>205</v>
      </c>
      <c r="D392">
        <v>80003478.116068304</v>
      </c>
    </row>
    <row r="393" spans="1:4" hidden="1" x14ac:dyDescent="0.3">
      <c r="A393">
        <v>391</v>
      </c>
      <c r="B393" t="s">
        <v>525</v>
      </c>
      <c r="C393" t="s">
        <v>207</v>
      </c>
      <c r="D393">
        <v>35001073.695646502</v>
      </c>
    </row>
    <row r="394" spans="1:4" hidden="1" x14ac:dyDescent="0.3">
      <c r="A394">
        <v>392</v>
      </c>
      <c r="B394" t="s">
        <v>526</v>
      </c>
      <c r="C394" t="s">
        <v>209</v>
      </c>
      <c r="D394">
        <v>34988707.032497004</v>
      </c>
    </row>
    <row r="395" spans="1:4" hidden="1" x14ac:dyDescent="0.3">
      <c r="A395">
        <v>393</v>
      </c>
      <c r="B395" s="1" t="s">
        <v>527</v>
      </c>
      <c r="C395" t="s">
        <v>211</v>
      </c>
      <c r="D395" s="1" t="s">
        <v>528</v>
      </c>
    </row>
    <row r="396" spans="1:4" hidden="1" x14ac:dyDescent="0.3">
      <c r="A396">
        <v>394</v>
      </c>
      <c r="B396" t="s">
        <v>529</v>
      </c>
      <c r="C396" t="s">
        <v>214</v>
      </c>
      <c r="D396">
        <v>99998057.2863608</v>
      </c>
    </row>
    <row r="397" spans="1:4" hidden="1" x14ac:dyDescent="0.3">
      <c r="A397">
        <v>395</v>
      </c>
      <c r="B397" t="s">
        <v>530</v>
      </c>
      <c r="C397" t="s">
        <v>216</v>
      </c>
      <c r="D397">
        <v>-801.016782268881</v>
      </c>
    </row>
    <row r="398" spans="1:4" hidden="1" x14ac:dyDescent="0.3">
      <c r="A398">
        <v>396</v>
      </c>
      <c r="B398" s="1" t="s">
        <v>531</v>
      </c>
      <c r="C398" t="s">
        <v>218</v>
      </c>
      <c r="D398" s="1" t="s">
        <v>532</v>
      </c>
    </row>
    <row r="399" spans="1:4" hidden="1" x14ac:dyDescent="0.3">
      <c r="A399">
        <v>397</v>
      </c>
      <c r="B399" t="s">
        <v>533</v>
      </c>
      <c r="C399" t="s">
        <v>111</v>
      </c>
      <c r="D399">
        <v>202.01236023703501</v>
      </c>
    </row>
    <row r="400" spans="1:4" hidden="1" x14ac:dyDescent="0.3">
      <c r="A400">
        <v>398</v>
      </c>
      <c r="B400" t="s">
        <v>534</v>
      </c>
      <c r="C400" t="s">
        <v>113</v>
      </c>
      <c r="D400">
        <v>30.247478935021999</v>
      </c>
    </row>
    <row r="401" spans="1:4" hidden="1" x14ac:dyDescent="0.3">
      <c r="A401">
        <v>399</v>
      </c>
      <c r="B401" s="1" t="s">
        <v>535</v>
      </c>
      <c r="C401" t="s">
        <v>115</v>
      </c>
      <c r="D401" s="1" t="s">
        <v>536</v>
      </c>
    </row>
    <row r="402" spans="1:4" hidden="1" x14ac:dyDescent="0.3">
      <c r="A402">
        <v>400</v>
      </c>
      <c r="B402" t="s">
        <v>537</v>
      </c>
      <c r="C402" t="s">
        <v>118</v>
      </c>
      <c r="D402">
        <v>80003478.116068304</v>
      </c>
    </row>
    <row r="403" spans="1:4" hidden="1" x14ac:dyDescent="0.3">
      <c r="A403">
        <v>401</v>
      </c>
      <c r="B403" t="s">
        <v>538</v>
      </c>
      <c r="C403" t="s">
        <v>120</v>
      </c>
      <c r="D403">
        <v>35001073.695646502</v>
      </c>
    </row>
    <row r="404" spans="1:4" hidden="1" x14ac:dyDescent="0.3">
      <c r="A404">
        <v>402</v>
      </c>
      <c r="B404" s="1" t="s">
        <v>539</v>
      </c>
      <c r="C404" t="s">
        <v>122</v>
      </c>
      <c r="D404" s="1" t="s">
        <v>540</v>
      </c>
    </row>
    <row r="405" spans="1:4" hidden="1" x14ac:dyDescent="0.3">
      <c r="A405">
        <v>403</v>
      </c>
      <c r="B405" t="s">
        <v>541</v>
      </c>
      <c r="C405" t="s">
        <v>125</v>
      </c>
      <c r="D405">
        <v>0.79999890965360299</v>
      </c>
    </row>
    <row r="406" spans="1:4" hidden="1" x14ac:dyDescent="0.3">
      <c r="A406">
        <v>404</v>
      </c>
      <c r="B406" t="s">
        <v>542</v>
      </c>
      <c r="C406" t="s">
        <v>127</v>
      </c>
      <c r="D406">
        <v>0.34999504337298099</v>
      </c>
    </row>
    <row r="407" spans="1:4" hidden="1" x14ac:dyDescent="0.3">
      <c r="A407">
        <v>405</v>
      </c>
      <c r="B407" s="1" t="s">
        <v>543</v>
      </c>
      <c r="C407" t="s">
        <v>129</v>
      </c>
      <c r="D407" s="1" t="s">
        <v>544</v>
      </c>
    </row>
    <row r="408" spans="1:4" hidden="1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1794.03</v>
      </c>
    </row>
    <row r="410" spans="1:4" hidden="1" x14ac:dyDescent="0.3">
      <c r="A410">
        <v>408</v>
      </c>
      <c r="B410" s="1" t="s">
        <v>131</v>
      </c>
      <c r="C410" t="s">
        <v>9</v>
      </c>
      <c r="D410" s="1" t="s">
        <v>132</v>
      </c>
    </row>
    <row r="411" spans="1:4" hidden="1" x14ac:dyDescent="0.3">
      <c r="A411">
        <v>409</v>
      </c>
      <c r="B411" t="s">
        <v>13</v>
      </c>
      <c r="C411" t="s">
        <v>14</v>
      </c>
      <c r="D411">
        <v>99.65234375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4.4080893559260401</v>
      </c>
    </row>
    <row r="413" spans="1:4" hidden="1" x14ac:dyDescent="0.3">
      <c r="A413">
        <v>411</v>
      </c>
      <c r="B413" s="1" t="s">
        <v>133</v>
      </c>
      <c r="C413" t="s">
        <v>134</v>
      </c>
      <c r="D413" s="1" t="s">
        <v>135</v>
      </c>
    </row>
    <row r="414" spans="1:4" hidden="1" x14ac:dyDescent="0.3">
      <c r="A414">
        <v>412</v>
      </c>
      <c r="B414" t="s">
        <v>21</v>
      </c>
      <c r="C414" t="s">
        <v>22</v>
      </c>
      <c r="D414">
        <v>67.8</v>
      </c>
    </row>
    <row r="415" spans="1:4" hidden="1" x14ac:dyDescent="0.3">
      <c r="A415">
        <v>413</v>
      </c>
      <c r="B415" t="s">
        <v>545</v>
      </c>
      <c r="C415" t="s">
        <v>24</v>
      </c>
      <c r="D415">
        <v>6.2531138692050598</v>
      </c>
    </row>
    <row r="416" spans="1:4" hidden="1" x14ac:dyDescent="0.3">
      <c r="A416">
        <v>414</v>
      </c>
      <c r="B416" s="1" t="s">
        <v>546</v>
      </c>
      <c r="C416" t="s">
        <v>138</v>
      </c>
      <c r="D416" s="1" t="s">
        <v>547</v>
      </c>
    </row>
    <row r="417" spans="1:4" hidden="1" x14ac:dyDescent="0.3">
      <c r="A417">
        <v>415</v>
      </c>
      <c r="B417" t="s">
        <v>548</v>
      </c>
      <c r="C417" t="s">
        <v>35</v>
      </c>
      <c r="D417">
        <v>0.57405947978416005</v>
      </c>
    </row>
    <row r="418" spans="1:4" hidden="1" x14ac:dyDescent="0.3">
      <c r="A418">
        <v>416</v>
      </c>
      <c r="B418" t="s">
        <v>549</v>
      </c>
      <c r="C418" t="s">
        <v>142</v>
      </c>
      <c r="D418">
        <v>0.91013069394318302</v>
      </c>
    </row>
    <row r="419" spans="1:4" hidden="1" x14ac:dyDescent="0.3">
      <c r="A419">
        <v>417</v>
      </c>
      <c r="B419" s="1" t="s">
        <v>550</v>
      </c>
      <c r="C419" t="s">
        <v>144</v>
      </c>
      <c r="D419" s="1" t="s">
        <v>551</v>
      </c>
    </row>
    <row r="420" spans="1:4" hidden="1" x14ac:dyDescent="0.3">
      <c r="A420">
        <v>418</v>
      </c>
      <c r="B420" t="s">
        <v>552</v>
      </c>
      <c r="C420" t="s">
        <v>30</v>
      </c>
      <c r="D420">
        <v>0.169755661674523</v>
      </c>
    </row>
    <row r="421" spans="1:4" hidden="1" x14ac:dyDescent="0.3">
      <c r="A421">
        <v>419</v>
      </c>
      <c r="B421" t="s">
        <v>553</v>
      </c>
      <c r="C421" t="s">
        <v>32</v>
      </c>
      <c r="D421">
        <v>5.2214182950873302E-2</v>
      </c>
    </row>
    <row r="422" spans="1:4" hidden="1" x14ac:dyDescent="0.3">
      <c r="A422">
        <v>420</v>
      </c>
      <c r="B422" s="1" t="s">
        <v>554</v>
      </c>
      <c r="C422" t="s">
        <v>148</v>
      </c>
      <c r="D422" s="1" t="s">
        <v>555</v>
      </c>
    </row>
    <row r="423" spans="1:4" hidden="1" x14ac:dyDescent="0.3">
      <c r="A423">
        <v>421</v>
      </c>
      <c r="B423" t="s">
        <v>556</v>
      </c>
      <c r="C423" t="s">
        <v>40</v>
      </c>
      <c r="D423">
        <v>0.25618485854131601</v>
      </c>
    </row>
    <row r="424" spans="1:4" hidden="1" x14ac:dyDescent="0.3">
      <c r="A424">
        <v>422</v>
      </c>
      <c r="B424" t="s">
        <v>557</v>
      </c>
      <c r="C424" t="s">
        <v>42</v>
      </c>
      <c r="D424">
        <v>4.6529114747893098E-2</v>
      </c>
    </row>
    <row r="425" spans="1:4" hidden="1" x14ac:dyDescent="0.3">
      <c r="A425">
        <v>423</v>
      </c>
      <c r="B425" s="1" t="s">
        <v>558</v>
      </c>
      <c r="C425" t="s">
        <v>152</v>
      </c>
      <c r="D425" s="1" t="s">
        <v>559</v>
      </c>
    </row>
    <row r="426" spans="1:4" hidden="1" x14ac:dyDescent="0.3">
      <c r="A426">
        <v>424</v>
      </c>
      <c r="B426" t="s">
        <v>153</v>
      </c>
      <c r="C426" t="s">
        <v>154</v>
      </c>
      <c r="D426">
        <v>1</v>
      </c>
    </row>
    <row r="427" spans="1:4" hidden="1" x14ac:dyDescent="0.3">
      <c r="A427">
        <v>425</v>
      </c>
      <c r="B427" t="s">
        <v>155</v>
      </c>
      <c r="C427" t="s">
        <v>156</v>
      </c>
      <c r="D427">
        <v>1</v>
      </c>
    </row>
    <row r="428" spans="1:4" hidden="1" x14ac:dyDescent="0.3">
      <c r="A428">
        <v>426</v>
      </c>
      <c r="B428" s="1" t="s">
        <v>560</v>
      </c>
      <c r="C428" t="s">
        <v>158</v>
      </c>
      <c r="D428" s="1" t="s">
        <v>561</v>
      </c>
    </row>
    <row r="429" spans="1:4" hidden="1" x14ac:dyDescent="0.3">
      <c r="A429">
        <v>427</v>
      </c>
      <c r="B429" t="s">
        <v>562</v>
      </c>
      <c r="C429" t="s">
        <v>161</v>
      </c>
      <c r="D429">
        <v>1.0000364098579499</v>
      </c>
    </row>
    <row r="430" spans="1:4" hidden="1" x14ac:dyDescent="0.3">
      <c r="A430">
        <v>428</v>
      </c>
      <c r="B430" t="s">
        <v>563</v>
      </c>
      <c r="C430" t="s">
        <v>163</v>
      </c>
      <c r="D430">
        <v>1.0002122076995501</v>
      </c>
    </row>
    <row r="431" spans="1:4" hidden="1" x14ac:dyDescent="0.3">
      <c r="A431">
        <v>429</v>
      </c>
      <c r="B431" s="1" t="s">
        <v>564</v>
      </c>
      <c r="C431" t="s">
        <v>165</v>
      </c>
      <c r="D431" s="1" t="s">
        <v>565</v>
      </c>
    </row>
    <row r="432" spans="1:4" hidden="1" x14ac:dyDescent="0.3">
      <c r="A432">
        <v>430</v>
      </c>
      <c r="B432" s="1" t="s">
        <v>566</v>
      </c>
      <c r="C432" t="s">
        <v>55</v>
      </c>
      <c r="D432" s="1" t="s">
        <v>567</v>
      </c>
    </row>
    <row r="433" spans="1:4" hidden="1" x14ac:dyDescent="0.3">
      <c r="A433">
        <v>431</v>
      </c>
      <c r="B433" s="1" t="s">
        <v>568</v>
      </c>
      <c r="C433" t="s">
        <v>52</v>
      </c>
      <c r="D433" s="1" t="s">
        <v>569</v>
      </c>
    </row>
    <row r="434" spans="1:4" hidden="1" x14ac:dyDescent="0.3">
      <c r="A434">
        <v>432</v>
      </c>
      <c r="B434" s="1" t="s">
        <v>570</v>
      </c>
      <c r="C434" t="s">
        <v>58</v>
      </c>
      <c r="D434" s="1" t="s">
        <v>571</v>
      </c>
    </row>
    <row r="435" spans="1:4" hidden="1" x14ac:dyDescent="0.3">
      <c r="A435">
        <v>433</v>
      </c>
      <c r="B435" t="s">
        <v>572</v>
      </c>
      <c r="C435" t="s">
        <v>60</v>
      </c>
      <c r="D435">
        <v>149991205.327225</v>
      </c>
    </row>
    <row r="436" spans="1:4" hidden="1" x14ac:dyDescent="0.3">
      <c r="A436">
        <v>434</v>
      </c>
      <c r="B436" t="s">
        <v>573</v>
      </c>
      <c r="C436" t="s">
        <v>62</v>
      </c>
      <c r="D436">
        <v>80003478.116068304</v>
      </c>
    </row>
    <row r="437" spans="1:4" hidden="1" x14ac:dyDescent="0.3">
      <c r="A437">
        <v>435</v>
      </c>
      <c r="B437" t="s">
        <v>574</v>
      </c>
      <c r="C437" t="s">
        <v>64</v>
      </c>
      <c r="D437">
        <v>35001073.695646502</v>
      </c>
    </row>
    <row r="438" spans="1:4" hidden="1" x14ac:dyDescent="0.3">
      <c r="A438">
        <v>436</v>
      </c>
      <c r="B438" s="1" t="s">
        <v>575</v>
      </c>
      <c r="C438" t="s">
        <v>66</v>
      </c>
      <c r="D438" s="1" t="s">
        <v>576</v>
      </c>
    </row>
    <row r="439" spans="1:4" hidden="1" x14ac:dyDescent="0.3">
      <c r="A439">
        <v>437</v>
      </c>
      <c r="B439" s="1" t="s">
        <v>577</v>
      </c>
      <c r="C439" t="s">
        <v>69</v>
      </c>
      <c r="D439" s="1" t="s">
        <v>578</v>
      </c>
    </row>
    <row r="440" spans="1:4" hidden="1" x14ac:dyDescent="0.3">
      <c r="A440">
        <v>438</v>
      </c>
      <c r="B440" t="s">
        <v>579</v>
      </c>
      <c r="C440" t="s">
        <v>72</v>
      </c>
      <c r="D440">
        <v>1.0000642678298901</v>
      </c>
    </row>
    <row r="441" spans="1:4" hidden="1" x14ac:dyDescent="0.3">
      <c r="A441">
        <v>439</v>
      </c>
      <c r="B441" t="s">
        <v>73</v>
      </c>
      <c r="C441" t="s">
        <v>74</v>
      </c>
      <c r="D441">
        <v>2.7397260273972599E-3</v>
      </c>
    </row>
    <row r="442" spans="1:4" hidden="1" x14ac:dyDescent="0.3">
      <c r="A442">
        <v>440</v>
      </c>
      <c r="B442" t="s">
        <v>75</v>
      </c>
      <c r="C442" t="s">
        <v>76</v>
      </c>
      <c r="D442">
        <v>0</v>
      </c>
    </row>
    <row r="443" spans="1:4" hidden="1" x14ac:dyDescent="0.3">
      <c r="A443">
        <v>441</v>
      </c>
      <c r="B443" t="s">
        <v>77</v>
      </c>
      <c r="C443" t="s">
        <v>78</v>
      </c>
      <c r="D443">
        <v>0</v>
      </c>
    </row>
    <row r="444" spans="1:4" hidden="1" x14ac:dyDescent="0.3">
      <c r="A444">
        <v>442</v>
      </c>
      <c r="B444" s="1" t="s">
        <v>580</v>
      </c>
      <c r="C444" t="s">
        <v>80</v>
      </c>
      <c r="D444" s="1" t="s">
        <v>581</v>
      </c>
    </row>
    <row r="445" spans="1:4" hidden="1" x14ac:dyDescent="0.3">
      <c r="A445">
        <v>443</v>
      </c>
      <c r="B445" t="s">
        <v>582</v>
      </c>
      <c r="C445" t="s">
        <v>83</v>
      </c>
      <c r="D445">
        <v>1.0000195964033101</v>
      </c>
    </row>
    <row r="446" spans="1:4" hidden="1" x14ac:dyDescent="0.3">
      <c r="A446">
        <v>444</v>
      </c>
      <c r="B446" s="1" t="s">
        <v>583</v>
      </c>
      <c r="C446" t="s">
        <v>85</v>
      </c>
      <c r="D446" s="1" t="s">
        <v>584</v>
      </c>
    </row>
    <row r="447" spans="1:4" hidden="1" x14ac:dyDescent="0.3">
      <c r="A447">
        <v>445</v>
      </c>
      <c r="B447" t="s">
        <v>585</v>
      </c>
      <c r="C447" t="s">
        <v>88</v>
      </c>
      <c r="D447">
        <v>100001723.202134</v>
      </c>
    </row>
    <row r="448" spans="1:4" hidden="1" x14ac:dyDescent="0.3">
      <c r="A448">
        <v>446</v>
      </c>
      <c r="B448" s="1" t="s">
        <v>586</v>
      </c>
      <c r="C448" t="s">
        <v>90</v>
      </c>
      <c r="D448" s="1" t="s">
        <v>532</v>
      </c>
    </row>
    <row r="449" spans="1:4" hidden="1" x14ac:dyDescent="0.3">
      <c r="A449">
        <v>447</v>
      </c>
      <c r="B449" t="s">
        <v>587</v>
      </c>
      <c r="C449" t="s">
        <v>93</v>
      </c>
      <c r="D449">
        <v>80003478.116068304</v>
      </c>
    </row>
    <row r="450" spans="1:4" hidden="1" x14ac:dyDescent="0.3">
      <c r="A450">
        <v>448</v>
      </c>
      <c r="B450" t="s">
        <v>588</v>
      </c>
      <c r="C450" t="s">
        <v>95</v>
      </c>
      <c r="D450">
        <v>35001073.695646502</v>
      </c>
    </row>
    <row r="451" spans="1:4" hidden="1" x14ac:dyDescent="0.3">
      <c r="A451">
        <v>449</v>
      </c>
      <c r="B451" t="s">
        <v>589</v>
      </c>
      <c r="C451" t="s">
        <v>97</v>
      </c>
      <c r="D451">
        <v>34986653.515510701</v>
      </c>
    </row>
    <row r="452" spans="1:4" hidden="1" x14ac:dyDescent="0.3">
      <c r="A452">
        <v>450</v>
      </c>
      <c r="B452" s="1" t="s">
        <v>590</v>
      </c>
      <c r="C452" t="s">
        <v>99</v>
      </c>
      <c r="D452" s="1" t="s">
        <v>591</v>
      </c>
    </row>
    <row r="453" spans="1:4" hidden="1" x14ac:dyDescent="0.3">
      <c r="A453">
        <v>451</v>
      </c>
      <c r="B453" t="s">
        <v>592</v>
      </c>
      <c r="C453" t="s">
        <v>102</v>
      </c>
      <c r="D453">
        <v>1.0955963009278201E-2</v>
      </c>
    </row>
    <row r="454" spans="1:4" hidden="1" x14ac:dyDescent="0.3">
      <c r="A454">
        <v>452</v>
      </c>
      <c r="B454" t="s">
        <v>593</v>
      </c>
      <c r="C454" t="s">
        <v>104</v>
      </c>
      <c r="D454">
        <v>5.1765206990154002E-4</v>
      </c>
    </row>
    <row r="455" spans="1:4" hidden="1" x14ac:dyDescent="0.3">
      <c r="A455">
        <v>453</v>
      </c>
      <c r="B455" t="s">
        <v>594</v>
      </c>
      <c r="C455" t="s">
        <v>106</v>
      </c>
      <c r="D455">
        <v>1.4448841753967901E-2</v>
      </c>
    </row>
    <row r="456" spans="1:4" hidden="1" x14ac:dyDescent="0.3">
      <c r="A456">
        <v>454</v>
      </c>
      <c r="B456" s="1" t="s">
        <v>595</v>
      </c>
      <c r="C456" t="s">
        <v>108</v>
      </c>
      <c r="D456" s="1" t="s">
        <v>596</v>
      </c>
    </row>
    <row r="457" spans="1:4" x14ac:dyDescent="0.3">
      <c r="A457">
        <v>455</v>
      </c>
      <c r="B457" t="s">
        <v>597</v>
      </c>
      <c r="C457" t="s">
        <v>196</v>
      </c>
      <c r="D457">
        <v>149989667.019595</v>
      </c>
    </row>
    <row r="458" spans="1:4" hidden="1" x14ac:dyDescent="0.3">
      <c r="A458">
        <v>456</v>
      </c>
      <c r="B458" t="s">
        <v>598</v>
      </c>
      <c r="C458" t="s">
        <v>198</v>
      </c>
      <c r="D458">
        <v>3573.5866116898701</v>
      </c>
    </row>
    <row r="459" spans="1:4" hidden="1" x14ac:dyDescent="0.3">
      <c r="A459">
        <v>457</v>
      </c>
      <c r="B459" t="s">
        <v>599</v>
      </c>
      <c r="C459" t="s">
        <v>200</v>
      </c>
      <c r="D459">
        <v>1563.43944809907</v>
      </c>
    </row>
    <row r="460" spans="1:4" hidden="1" x14ac:dyDescent="0.3">
      <c r="A460">
        <v>458</v>
      </c>
      <c r="B460" s="1" t="s">
        <v>600</v>
      </c>
      <c r="C460" t="s">
        <v>202</v>
      </c>
      <c r="D460" s="1" t="s">
        <v>601</v>
      </c>
    </row>
    <row r="461" spans="1:4" hidden="1" x14ac:dyDescent="0.3">
      <c r="A461">
        <v>459</v>
      </c>
      <c r="B461" t="s">
        <v>602</v>
      </c>
      <c r="C461" t="s">
        <v>205</v>
      </c>
      <c r="D461">
        <v>79998713.149243295</v>
      </c>
    </row>
    <row r="462" spans="1:4" hidden="1" x14ac:dyDescent="0.3">
      <c r="A462">
        <v>460</v>
      </c>
      <c r="B462" t="s">
        <v>603</v>
      </c>
      <c r="C462" t="s">
        <v>207</v>
      </c>
      <c r="D462">
        <v>34999331.910846002</v>
      </c>
    </row>
    <row r="463" spans="1:4" hidden="1" x14ac:dyDescent="0.3">
      <c r="A463">
        <v>461</v>
      </c>
      <c r="B463" t="s">
        <v>604</v>
      </c>
      <c r="C463" t="s">
        <v>209</v>
      </c>
      <c r="D463">
        <v>34984922.1376912</v>
      </c>
    </row>
    <row r="464" spans="1:4" hidden="1" x14ac:dyDescent="0.3">
      <c r="A464">
        <v>462</v>
      </c>
      <c r="B464" s="1" t="s">
        <v>605</v>
      </c>
      <c r="C464" t="s">
        <v>211</v>
      </c>
      <c r="D464" s="1" t="s">
        <v>606</v>
      </c>
    </row>
    <row r="465" spans="1:4" hidden="1" x14ac:dyDescent="0.3">
      <c r="A465">
        <v>463</v>
      </c>
      <c r="B465" t="s">
        <v>607</v>
      </c>
      <c r="C465" t="s">
        <v>214</v>
      </c>
      <c r="D465">
        <v>99997256.269578502</v>
      </c>
    </row>
    <row r="466" spans="1:4" hidden="1" x14ac:dyDescent="0.3">
      <c r="A466">
        <v>464</v>
      </c>
      <c r="B466" t="s">
        <v>608</v>
      </c>
      <c r="C466" t="s">
        <v>216</v>
      </c>
      <c r="D466">
        <v>4466.9325560778298</v>
      </c>
    </row>
    <row r="467" spans="1:4" hidden="1" x14ac:dyDescent="0.3">
      <c r="A467">
        <v>465</v>
      </c>
      <c r="B467" s="1" t="s">
        <v>609</v>
      </c>
      <c r="C467" t="s">
        <v>218</v>
      </c>
      <c r="D467" s="1" t="s">
        <v>610</v>
      </c>
    </row>
    <row r="468" spans="1:4" hidden="1" x14ac:dyDescent="0.3">
      <c r="A468">
        <v>466</v>
      </c>
      <c r="B468" t="s">
        <v>611</v>
      </c>
      <c r="C468" t="s">
        <v>111</v>
      </c>
      <c r="D468">
        <v>-1191.38021332787</v>
      </c>
    </row>
    <row r="469" spans="1:4" hidden="1" x14ac:dyDescent="0.3">
      <c r="A469">
        <v>467</v>
      </c>
      <c r="B469" t="s">
        <v>612</v>
      </c>
      <c r="C469" t="s">
        <v>113</v>
      </c>
      <c r="D469">
        <v>-178.345352462932</v>
      </c>
    </row>
    <row r="470" spans="1:4" hidden="1" x14ac:dyDescent="0.3">
      <c r="A470">
        <v>468</v>
      </c>
      <c r="B470" s="1" t="s">
        <v>613</v>
      </c>
      <c r="C470" t="s">
        <v>115</v>
      </c>
      <c r="D470" s="1" t="s">
        <v>614</v>
      </c>
    </row>
    <row r="471" spans="1:4" hidden="1" x14ac:dyDescent="0.3">
      <c r="A471">
        <v>469</v>
      </c>
      <c r="B471" t="s">
        <v>615</v>
      </c>
      <c r="C471" t="s">
        <v>118</v>
      </c>
      <c r="D471">
        <v>79998713.149243295</v>
      </c>
    </row>
    <row r="472" spans="1:4" hidden="1" x14ac:dyDescent="0.3">
      <c r="A472">
        <v>470</v>
      </c>
      <c r="B472" t="s">
        <v>616</v>
      </c>
      <c r="C472" t="s">
        <v>120</v>
      </c>
      <c r="D472">
        <v>34999331.910846002</v>
      </c>
    </row>
    <row r="473" spans="1:4" hidden="1" x14ac:dyDescent="0.3">
      <c r="A473">
        <v>471</v>
      </c>
      <c r="B473" s="1" t="s">
        <v>617</v>
      </c>
      <c r="C473" t="s">
        <v>122</v>
      </c>
      <c r="D473" s="1" t="s">
        <v>618</v>
      </c>
    </row>
    <row r="474" spans="1:4" hidden="1" x14ac:dyDescent="0.3">
      <c r="A474">
        <v>472</v>
      </c>
      <c r="B474" t="s">
        <v>619</v>
      </c>
      <c r="C474" t="s">
        <v>125</v>
      </c>
      <c r="D474">
        <v>0.79999340459157497</v>
      </c>
    </row>
    <row r="475" spans="1:4" hidden="1" x14ac:dyDescent="0.3">
      <c r="A475">
        <v>473</v>
      </c>
      <c r="B475" t="s">
        <v>620</v>
      </c>
      <c r="C475" t="s">
        <v>127</v>
      </c>
      <c r="D475">
        <v>0.34999606358109397</v>
      </c>
    </row>
    <row r="476" spans="1:4" hidden="1" x14ac:dyDescent="0.3">
      <c r="A476">
        <v>474</v>
      </c>
      <c r="B476" s="1" t="s">
        <v>621</v>
      </c>
      <c r="C476" t="s">
        <v>129</v>
      </c>
      <c r="D476" s="1" t="s">
        <v>622</v>
      </c>
    </row>
    <row r="477" spans="1:4" hidden="1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1794.03</v>
      </c>
    </row>
    <row r="479" spans="1:4" hidden="1" x14ac:dyDescent="0.3">
      <c r="A479">
        <v>477</v>
      </c>
      <c r="B479" s="1" t="s">
        <v>131</v>
      </c>
      <c r="C479" t="s">
        <v>9</v>
      </c>
      <c r="D479" s="1" t="s">
        <v>132</v>
      </c>
    </row>
    <row r="480" spans="1:4" hidden="1" x14ac:dyDescent="0.3">
      <c r="A480">
        <v>478</v>
      </c>
      <c r="B480" t="s">
        <v>13</v>
      </c>
      <c r="C480" t="s">
        <v>14</v>
      </c>
      <c r="D480">
        <v>99.65234375</v>
      </c>
    </row>
    <row r="481" spans="1:4" hidden="1" x14ac:dyDescent="0.3">
      <c r="A481">
        <v>479</v>
      </c>
      <c r="B481" t="s">
        <v>15</v>
      </c>
      <c r="C481" t="s">
        <v>16</v>
      </c>
      <c r="D481">
        <v>4.4080893559260401</v>
      </c>
    </row>
    <row r="482" spans="1:4" hidden="1" x14ac:dyDescent="0.3">
      <c r="A482">
        <v>480</v>
      </c>
      <c r="B482" s="1" t="s">
        <v>133</v>
      </c>
      <c r="C482" t="s">
        <v>134</v>
      </c>
      <c r="D482" s="1" t="s">
        <v>135</v>
      </c>
    </row>
    <row r="483" spans="1:4" hidden="1" x14ac:dyDescent="0.3">
      <c r="A483">
        <v>481</v>
      </c>
      <c r="B483" t="s">
        <v>21</v>
      </c>
      <c r="C483" t="s">
        <v>22</v>
      </c>
      <c r="D483">
        <v>67.8</v>
      </c>
    </row>
    <row r="484" spans="1:4" hidden="1" x14ac:dyDescent="0.3">
      <c r="A484">
        <v>482</v>
      </c>
      <c r="B484" t="s">
        <v>623</v>
      </c>
      <c r="C484" t="s">
        <v>24</v>
      </c>
      <c r="D484">
        <v>6.24778936644939</v>
      </c>
    </row>
    <row r="485" spans="1:4" hidden="1" x14ac:dyDescent="0.3">
      <c r="A485">
        <v>483</v>
      </c>
      <c r="B485" s="1" t="s">
        <v>624</v>
      </c>
      <c r="C485" t="s">
        <v>138</v>
      </c>
      <c r="D485" s="1" t="s">
        <v>625</v>
      </c>
    </row>
    <row r="486" spans="1:4" hidden="1" x14ac:dyDescent="0.3">
      <c r="A486">
        <v>484</v>
      </c>
      <c r="B486" t="s">
        <v>626</v>
      </c>
      <c r="C486" t="s">
        <v>35</v>
      </c>
      <c r="D486">
        <v>0.57948142585537898</v>
      </c>
    </row>
    <row r="487" spans="1:4" hidden="1" x14ac:dyDescent="0.3">
      <c r="A487">
        <v>485</v>
      </c>
      <c r="B487" t="s">
        <v>627</v>
      </c>
      <c r="C487" t="s">
        <v>142</v>
      </c>
      <c r="D487">
        <v>0.90962833741106797</v>
      </c>
    </row>
    <row r="488" spans="1:4" hidden="1" x14ac:dyDescent="0.3">
      <c r="A488">
        <v>486</v>
      </c>
      <c r="B488" s="1" t="s">
        <v>628</v>
      </c>
      <c r="C488" t="s">
        <v>144</v>
      </c>
      <c r="D488" s="1" t="s">
        <v>629</v>
      </c>
    </row>
    <row r="489" spans="1:4" hidden="1" x14ac:dyDescent="0.3">
      <c r="A489">
        <v>487</v>
      </c>
      <c r="B489" t="s">
        <v>630</v>
      </c>
      <c r="C489" t="s">
        <v>30</v>
      </c>
      <c r="D489">
        <v>0.171358990380512</v>
      </c>
    </row>
    <row r="490" spans="1:4" hidden="1" x14ac:dyDescent="0.3">
      <c r="A490">
        <v>488</v>
      </c>
      <c r="B490" t="s">
        <v>631</v>
      </c>
      <c r="C490" t="s">
        <v>32</v>
      </c>
      <c r="D490">
        <v>5.2245322185533898E-2</v>
      </c>
    </row>
    <row r="491" spans="1:4" hidden="1" x14ac:dyDescent="0.3">
      <c r="A491">
        <v>489</v>
      </c>
      <c r="B491" s="1" t="s">
        <v>632</v>
      </c>
      <c r="C491" t="s">
        <v>148</v>
      </c>
      <c r="D491" s="1" t="s">
        <v>633</v>
      </c>
    </row>
    <row r="492" spans="1:4" hidden="1" x14ac:dyDescent="0.3">
      <c r="A492">
        <v>490</v>
      </c>
      <c r="B492" t="s">
        <v>634</v>
      </c>
      <c r="C492" t="s">
        <v>40</v>
      </c>
      <c r="D492">
        <v>0.24915958376410699</v>
      </c>
    </row>
    <row r="493" spans="1:4" hidden="1" x14ac:dyDescent="0.3">
      <c r="A493">
        <v>491</v>
      </c>
      <c r="B493" t="s">
        <v>635</v>
      </c>
      <c r="C493" t="s">
        <v>42</v>
      </c>
      <c r="D493">
        <v>4.7104773751606897E-2</v>
      </c>
    </row>
    <row r="494" spans="1:4" hidden="1" x14ac:dyDescent="0.3">
      <c r="A494">
        <v>492</v>
      </c>
      <c r="B494" s="1" t="s">
        <v>636</v>
      </c>
      <c r="C494" t="s">
        <v>152</v>
      </c>
      <c r="D494" s="1" t="s">
        <v>637</v>
      </c>
    </row>
    <row r="495" spans="1:4" hidden="1" x14ac:dyDescent="0.3">
      <c r="A495">
        <v>493</v>
      </c>
      <c r="B495" t="s">
        <v>153</v>
      </c>
      <c r="C495" t="s">
        <v>154</v>
      </c>
      <c r="D495">
        <v>1</v>
      </c>
    </row>
    <row r="496" spans="1:4" hidden="1" x14ac:dyDescent="0.3">
      <c r="A496">
        <v>494</v>
      </c>
      <c r="B496" t="s">
        <v>155</v>
      </c>
      <c r="C496" t="s">
        <v>156</v>
      </c>
      <c r="D496">
        <v>1</v>
      </c>
    </row>
    <row r="497" spans="1:4" hidden="1" x14ac:dyDescent="0.3">
      <c r="A497">
        <v>495</v>
      </c>
      <c r="B497" s="1" t="s">
        <v>638</v>
      </c>
      <c r="C497" t="s">
        <v>158</v>
      </c>
      <c r="D497" s="1" t="s">
        <v>639</v>
      </c>
    </row>
    <row r="498" spans="1:4" hidden="1" x14ac:dyDescent="0.3">
      <c r="A498">
        <v>496</v>
      </c>
      <c r="B498" t="s">
        <v>640</v>
      </c>
      <c r="C498" t="s">
        <v>161</v>
      </c>
      <c r="D498">
        <v>0.99973700410463595</v>
      </c>
    </row>
    <row r="499" spans="1:4" hidden="1" x14ac:dyDescent="0.3">
      <c r="A499">
        <v>497</v>
      </c>
      <c r="B499" t="s">
        <v>641</v>
      </c>
      <c r="C499" t="s">
        <v>163</v>
      </c>
      <c r="D499">
        <v>1.00002959400772</v>
      </c>
    </row>
    <row r="500" spans="1:4" hidden="1" x14ac:dyDescent="0.3">
      <c r="A500">
        <v>498</v>
      </c>
      <c r="B500" s="1" t="s">
        <v>642</v>
      </c>
      <c r="C500" t="s">
        <v>165</v>
      </c>
      <c r="D500" s="1" t="s">
        <v>643</v>
      </c>
    </row>
    <row r="501" spans="1:4" hidden="1" x14ac:dyDescent="0.3">
      <c r="A501">
        <v>499</v>
      </c>
      <c r="B501" s="1" t="s">
        <v>644</v>
      </c>
      <c r="C501" t="s">
        <v>55</v>
      </c>
      <c r="D501" s="1" t="s">
        <v>645</v>
      </c>
    </row>
    <row r="502" spans="1:4" hidden="1" x14ac:dyDescent="0.3">
      <c r="A502">
        <v>500</v>
      </c>
      <c r="B502" s="1" t="s">
        <v>646</v>
      </c>
      <c r="C502" t="s">
        <v>52</v>
      </c>
      <c r="D502" s="1" t="s">
        <v>647</v>
      </c>
    </row>
    <row r="503" spans="1:4" hidden="1" x14ac:dyDescent="0.3">
      <c r="A503">
        <v>501</v>
      </c>
      <c r="B503" s="1" t="s">
        <v>648</v>
      </c>
      <c r="C503" t="s">
        <v>58</v>
      </c>
      <c r="D503" s="1" t="s">
        <v>649</v>
      </c>
    </row>
    <row r="504" spans="1:4" hidden="1" x14ac:dyDescent="0.3">
      <c r="A504">
        <v>502</v>
      </c>
      <c r="B504" t="s">
        <v>650</v>
      </c>
      <c r="C504" t="s">
        <v>60</v>
      </c>
      <c r="D504">
        <v>149980451.74225599</v>
      </c>
    </row>
    <row r="505" spans="1:4" hidden="1" x14ac:dyDescent="0.3">
      <c r="A505">
        <v>503</v>
      </c>
      <c r="B505" t="s">
        <v>651</v>
      </c>
      <c r="C505" t="s">
        <v>62</v>
      </c>
      <c r="D505">
        <v>79998713.149243295</v>
      </c>
    </row>
    <row r="506" spans="1:4" hidden="1" x14ac:dyDescent="0.3">
      <c r="A506">
        <v>504</v>
      </c>
      <c r="B506" t="s">
        <v>652</v>
      </c>
      <c r="C506" t="s">
        <v>64</v>
      </c>
      <c r="D506">
        <v>34999331.910846002</v>
      </c>
    </row>
    <row r="507" spans="1:4" hidden="1" x14ac:dyDescent="0.3">
      <c r="A507">
        <v>505</v>
      </c>
      <c r="B507" s="1" t="s">
        <v>653</v>
      </c>
      <c r="C507" t="s">
        <v>66</v>
      </c>
      <c r="D507" s="1" t="s">
        <v>654</v>
      </c>
    </row>
    <row r="508" spans="1:4" hidden="1" x14ac:dyDescent="0.3">
      <c r="A508">
        <v>506</v>
      </c>
      <c r="B508" s="1" t="s">
        <v>655</v>
      </c>
      <c r="C508" t="s">
        <v>69</v>
      </c>
      <c r="D508" s="1" t="s">
        <v>656</v>
      </c>
    </row>
    <row r="509" spans="1:4" hidden="1" x14ac:dyDescent="0.3">
      <c r="A509">
        <v>507</v>
      </c>
      <c r="B509" t="s">
        <v>657</v>
      </c>
      <c r="C509" t="s">
        <v>72</v>
      </c>
      <c r="D509">
        <v>1.0000195964033101</v>
      </c>
    </row>
    <row r="510" spans="1:4" hidden="1" x14ac:dyDescent="0.3">
      <c r="A510">
        <v>508</v>
      </c>
      <c r="B510" t="s">
        <v>73</v>
      </c>
      <c r="C510" t="s">
        <v>74</v>
      </c>
      <c r="D510">
        <v>2.7397260273972599E-3</v>
      </c>
    </row>
    <row r="511" spans="1:4" hidden="1" x14ac:dyDescent="0.3">
      <c r="A511">
        <v>509</v>
      </c>
      <c r="B511" t="s">
        <v>75</v>
      </c>
      <c r="C511" t="s">
        <v>76</v>
      </c>
      <c r="D511">
        <v>0</v>
      </c>
    </row>
    <row r="512" spans="1:4" hidden="1" x14ac:dyDescent="0.3">
      <c r="A512">
        <v>510</v>
      </c>
      <c r="B512" t="s">
        <v>658</v>
      </c>
      <c r="C512" t="s">
        <v>78</v>
      </c>
      <c r="D512" s="2">
        <v>-2.2204460492503101E-16</v>
      </c>
    </row>
    <row r="513" spans="1:4" hidden="1" x14ac:dyDescent="0.3">
      <c r="A513">
        <v>511</v>
      </c>
      <c r="B513" s="1" t="s">
        <v>659</v>
      </c>
      <c r="C513" t="s">
        <v>80</v>
      </c>
      <c r="D513" s="1" t="s">
        <v>660</v>
      </c>
    </row>
    <row r="514" spans="1:4" hidden="1" x14ac:dyDescent="0.3">
      <c r="A514">
        <v>512</v>
      </c>
      <c r="B514" t="s">
        <v>661</v>
      </c>
      <c r="C514" t="s">
        <v>83</v>
      </c>
      <c r="D514">
        <v>1.0000177564434001</v>
      </c>
    </row>
    <row r="515" spans="1:4" hidden="1" x14ac:dyDescent="0.3">
      <c r="A515">
        <v>513</v>
      </c>
      <c r="B515" s="1" t="s">
        <v>662</v>
      </c>
      <c r="C515" t="s">
        <v>85</v>
      </c>
      <c r="D515" s="1" t="s">
        <v>663</v>
      </c>
    </row>
    <row r="516" spans="1:4" hidden="1" x14ac:dyDescent="0.3">
      <c r="A516">
        <v>514</v>
      </c>
      <c r="B516" t="s">
        <v>664</v>
      </c>
      <c r="C516" t="s">
        <v>88</v>
      </c>
      <c r="D516">
        <v>100001907.198028</v>
      </c>
    </row>
    <row r="517" spans="1:4" hidden="1" x14ac:dyDescent="0.3">
      <c r="A517">
        <v>515</v>
      </c>
      <c r="B517" s="1" t="s">
        <v>665</v>
      </c>
      <c r="C517" t="s">
        <v>90</v>
      </c>
      <c r="D517" s="1" t="s">
        <v>610</v>
      </c>
    </row>
    <row r="518" spans="1:4" hidden="1" x14ac:dyDescent="0.3">
      <c r="A518">
        <v>516</v>
      </c>
      <c r="B518" t="s">
        <v>666</v>
      </c>
      <c r="C518" t="s">
        <v>93</v>
      </c>
      <c r="D518">
        <v>79998713.149243295</v>
      </c>
    </row>
    <row r="519" spans="1:4" hidden="1" x14ac:dyDescent="0.3">
      <c r="A519">
        <v>517</v>
      </c>
      <c r="B519" t="s">
        <v>667</v>
      </c>
      <c r="C519" t="s">
        <v>95</v>
      </c>
      <c r="D519">
        <v>34999331.910846002</v>
      </c>
    </row>
    <row r="520" spans="1:4" hidden="1" x14ac:dyDescent="0.3">
      <c r="A520">
        <v>518</v>
      </c>
      <c r="B520" t="s">
        <v>668</v>
      </c>
      <c r="C520" t="s">
        <v>97</v>
      </c>
      <c r="D520">
        <v>34982406.6821675</v>
      </c>
    </row>
    <row r="521" spans="1:4" hidden="1" x14ac:dyDescent="0.3">
      <c r="A521">
        <v>519</v>
      </c>
      <c r="B521" s="1" t="s">
        <v>669</v>
      </c>
      <c r="C521" t="s">
        <v>99</v>
      </c>
      <c r="D521" s="1" t="s">
        <v>670</v>
      </c>
    </row>
    <row r="522" spans="1:4" hidden="1" x14ac:dyDescent="0.3">
      <c r="A522">
        <v>520</v>
      </c>
      <c r="B522" t="s">
        <v>671</v>
      </c>
      <c r="C522" t="s">
        <v>102</v>
      </c>
      <c r="D522">
        <v>1.1015719260940001E-2</v>
      </c>
    </row>
    <row r="523" spans="1:4" hidden="1" x14ac:dyDescent="0.3">
      <c r="A523">
        <v>521</v>
      </c>
      <c r="B523" t="s">
        <v>672</v>
      </c>
      <c r="C523" t="s">
        <v>104</v>
      </c>
      <c r="D523">
        <v>5.2045649268147697E-4</v>
      </c>
    </row>
    <row r="524" spans="1:4" hidden="1" x14ac:dyDescent="0.3">
      <c r="A524">
        <v>522</v>
      </c>
      <c r="B524" t="s">
        <v>673</v>
      </c>
      <c r="C524" t="s">
        <v>106</v>
      </c>
      <c r="D524">
        <v>1.44876341400109E-2</v>
      </c>
    </row>
    <row r="525" spans="1:4" hidden="1" x14ac:dyDescent="0.3">
      <c r="A525">
        <v>523</v>
      </c>
      <c r="B525" s="1" t="s">
        <v>674</v>
      </c>
      <c r="C525" t="s">
        <v>108</v>
      </c>
      <c r="D525" s="1" t="s">
        <v>675</v>
      </c>
    </row>
    <row r="526" spans="1:4" x14ac:dyDescent="0.3">
      <c r="A526">
        <v>524</v>
      </c>
      <c r="B526" t="s">
        <v>676</v>
      </c>
      <c r="C526" t="s">
        <v>196</v>
      </c>
      <c r="D526">
        <v>149980388.38569799</v>
      </c>
    </row>
    <row r="527" spans="1:4" hidden="1" x14ac:dyDescent="0.3">
      <c r="A527">
        <v>525</v>
      </c>
      <c r="B527" t="s">
        <v>677</v>
      </c>
      <c r="C527" t="s">
        <v>198</v>
      </c>
      <c r="D527">
        <v>147.19145007920699</v>
      </c>
    </row>
    <row r="528" spans="1:4" hidden="1" x14ac:dyDescent="0.3">
      <c r="A528">
        <v>526</v>
      </c>
      <c r="B528" t="s">
        <v>678</v>
      </c>
      <c r="C528" t="s">
        <v>200</v>
      </c>
      <c r="D528">
        <v>64.396092031207601</v>
      </c>
    </row>
    <row r="529" spans="1:4" hidden="1" x14ac:dyDescent="0.3">
      <c r="A529">
        <v>527</v>
      </c>
      <c r="B529" s="1" t="s">
        <v>679</v>
      </c>
      <c r="C529" t="s">
        <v>202</v>
      </c>
      <c r="D529" s="1" t="s">
        <v>680</v>
      </c>
    </row>
    <row r="530" spans="1:4" hidden="1" x14ac:dyDescent="0.3">
      <c r="A530">
        <v>528</v>
      </c>
      <c r="B530" t="s">
        <v>681</v>
      </c>
      <c r="C530" t="s">
        <v>205</v>
      </c>
      <c r="D530">
        <v>79998516.885654002</v>
      </c>
    </row>
    <row r="531" spans="1:4" hidden="1" x14ac:dyDescent="0.3">
      <c r="A531">
        <v>529</v>
      </c>
      <c r="B531" t="s">
        <v>682</v>
      </c>
      <c r="C531" t="s">
        <v>207</v>
      </c>
      <c r="D531">
        <v>34999260.167329699</v>
      </c>
    </row>
    <row r="532" spans="1:4" hidden="1" x14ac:dyDescent="0.3">
      <c r="A532">
        <v>530</v>
      </c>
      <c r="B532" t="s">
        <v>683</v>
      </c>
      <c r="C532" t="s">
        <v>209</v>
      </c>
      <c r="D532">
        <v>34982335.380221203</v>
      </c>
    </row>
    <row r="533" spans="1:4" hidden="1" x14ac:dyDescent="0.3">
      <c r="A533">
        <v>531</v>
      </c>
      <c r="B533" s="1" t="s">
        <v>684</v>
      </c>
      <c r="C533" t="s">
        <v>211</v>
      </c>
      <c r="D533" s="1" t="s">
        <v>685</v>
      </c>
    </row>
    <row r="534" spans="1:4" hidden="1" x14ac:dyDescent="0.3">
      <c r="A534">
        <v>532</v>
      </c>
      <c r="B534" t="s">
        <v>686</v>
      </c>
      <c r="C534" t="s">
        <v>214</v>
      </c>
      <c r="D534">
        <v>100001723.202134</v>
      </c>
    </row>
    <row r="535" spans="1:4" hidden="1" x14ac:dyDescent="0.3">
      <c r="A535">
        <v>533</v>
      </c>
      <c r="B535" t="s">
        <v>687</v>
      </c>
      <c r="C535" t="s">
        <v>216</v>
      </c>
      <c r="D535">
        <v>183.99589419364901</v>
      </c>
    </row>
    <row r="536" spans="1:4" hidden="1" x14ac:dyDescent="0.3">
      <c r="A536">
        <v>534</v>
      </c>
      <c r="B536" s="1" t="s">
        <v>688</v>
      </c>
      <c r="C536" t="s">
        <v>218</v>
      </c>
      <c r="D536" s="1" t="s">
        <v>689</v>
      </c>
    </row>
    <row r="537" spans="1:4" hidden="1" x14ac:dyDescent="0.3">
      <c r="A537">
        <v>535</v>
      </c>
      <c r="B537" t="s">
        <v>690</v>
      </c>
      <c r="C537" t="s">
        <v>111</v>
      </c>
      <c r="D537">
        <v>-49.072139194081302</v>
      </c>
    </row>
    <row r="538" spans="1:4" hidden="1" x14ac:dyDescent="0.3">
      <c r="A538">
        <v>536</v>
      </c>
      <c r="B538" t="s">
        <v>691</v>
      </c>
      <c r="C538" t="s">
        <v>113</v>
      </c>
      <c r="D538">
        <v>-7.3474242366198901</v>
      </c>
    </row>
    <row r="539" spans="1:4" hidden="1" x14ac:dyDescent="0.3">
      <c r="A539">
        <v>537</v>
      </c>
      <c r="B539" s="1" t="s">
        <v>692</v>
      </c>
      <c r="C539" t="s">
        <v>115</v>
      </c>
      <c r="D539" s="1" t="s">
        <v>693</v>
      </c>
    </row>
    <row r="540" spans="1:4" hidden="1" x14ac:dyDescent="0.3">
      <c r="A540">
        <v>538</v>
      </c>
      <c r="B540" t="s">
        <v>694</v>
      </c>
      <c r="C540" t="s">
        <v>118</v>
      </c>
      <c r="D540">
        <v>79998516.885654002</v>
      </c>
    </row>
    <row r="541" spans="1:4" hidden="1" x14ac:dyDescent="0.3">
      <c r="A541">
        <v>539</v>
      </c>
      <c r="B541" t="s">
        <v>695</v>
      </c>
      <c r="C541" t="s">
        <v>120</v>
      </c>
      <c r="D541">
        <v>34999260.167329699</v>
      </c>
    </row>
    <row r="542" spans="1:4" hidden="1" x14ac:dyDescent="0.3">
      <c r="A542">
        <v>540</v>
      </c>
      <c r="B542" s="1" t="s">
        <v>696</v>
      </c>
      <c r="C542" t="s">
        <v>122</v>
      </c>
      <c r="D542" s="1" t="s">
        <v>697</v>
      </c>
    </row>
    <row r="543" spans="1:4" hidden="1" x14ac:dyDescent="0.3">
      <c r="A543">
        <v>541</v>
      </c>
      <c r="B543" t="s">
        <v>698</v>
      </c>
      <c r="C543" t="s">
        <v>125</v>
      </c>
      <c r="D543">
        <v>0.79995717933819799</v>
      </c>
    </row>
    <row r="544" spans="1:4" hidden="1" x14ac:dyDescent="0.3">
      <c r="A544">
        <v>542</v>
      </c>
      <c r="B544" t="s">
        <v>699</v>
      </c>
      <c r="C544" t="s">
        <v>127</v>
      </c>
      <c r="D544">
        <v>0.349980356290851</v>
      </c>
    </row>
    <row r="545" spans="1:4" hidden="1" x14ac:dyDescent="0.3">
      <c r="A545">
        <v>543</v>
      </c>
      <c r="B545" s="1" t="s">
        <v>700</v>
      </c>
      <c r="C545" t="s">
        <v>129</v>
      </c>
      <c r="D545" s="1" t="s">
        <v>701</v>
      </c>
    </row>
    <row r="546" spans="1:4" hidden="1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1794.03</v>
      </c>
    </row>
    <row r="548" spans="1:4" hidden="1" x14ac:dyDescent="0.3">
      <c r="A548">
        <v>546</v>
      </c>
      <c r="B548" s="1" t="s">
        <v>131</v>
      </c>
      <c r="C548" t="s">
        <v>9</v>
      </c>
      <c r="D548" s="1" t="s">
        <v>132</v>
      </c>
    </row>
    <row r="549" spans="1:4" hidden="1" x14ac:dyDescent="0.3">
      <c r="A549">
        <v>547</v>
      </c>
      <c r="B549" t="s">
        <v>13</v>
      </c>
      <c r="C549" t="s">
        <v>14</v>
      </c>
      <c r="D549">
        <v>99.65234375</v>
      </c>
    </row>
    <row r="550" spans="1:4" hidden="1" x14ac:dyDescent="0.3">
      <c r="A550">
        <v>548</v>
      </c>
      <c r="B550" t="s">
        <v>15</v>
      </c>
      <c r="C550" t="s">
        <v>16</v>
      </c>
      <c r="D550">
        <v>4.4080893559260401</v>
      </c>
    </row>
    <row r="551" spans="1:4" hidden="1" x14ac:dyDescent="0.3">
      <c r="A551">
        <v>549</v>
      </c>
      <c r="B551" s="1" t="s">
        <v>133</v>
      </c>
      <c r="C551" t="s">
        <v>134</v>
      </c>
      <c r="D551" s="1" t="s">
        <v>135</v>
      </c>
    </row>
    <row r="552" spans="1:4" hidden="1" x14ac:dyDescent="0.3">
      <c r="A552">
        <v>550</v>
      </c>
      <c r="B552" t="s">
        <v>21</v>
      </c>
      <c r="C552" t="s">
        <v>22</v>
      </c>
      <c r="D552">
        <v>67.8</v>
      </c>
    </row>
    <row r="553" spans="1:4" hidden="1" x14ac:dyDescent="0.3">
      <c r="A553">
        <v>551</v>
      </c>
      <c r="B553" t="s">
        <v>702</v>
      </c>
      <c r="C553" t="s">
        <v>24</v>
      </c>
      <c r="D553">
        <v>6.2451406235311397</v>
      </c>
    </row>
    <row r="554" spans="1:4" hidden="1" x14ac:dyDescent="0.3">
      <c r="A554">
        <v>552</v>
      </c>
      <c r="B554" s="1" t="s">
        <v>703</v>
      </c>
      <c r="C554" t="s">
        <v>138</v>
      </c>
      <c r="D554" s="1" t="s">
        <v>704</v>
      </c>
    </row>
    <row r="555" spans="1:4" hidden="1" x14ac:dyDescent="0.3">
      <c r="A555">
        <v>553</v>
      </c>
      <c r="B555" t="s">
        <v>705</v>
      </c>
      <c r="C555" t="s">
        <v>35</v>
      </c>
      <c r="D555">
        <v>0.58030690838460797</v>
      </c>
    </row>
    <row r="556" spans="1:4" hidden="1" x14ac:dyDescent="0.3">
      <c r="A556">
        <v>554</v>
      </c>
      <c r="B556" t="s">
        <v>706</v>
      </c>
      <c r="C556" t="s">
        <v>142</v>
      </c>
      <c r="D556">
        <v>0.90934761064917402</v>
      </c>
    </row>
    <row r="557" spans="1:4" hidden="1" x14ac:dyDescent="0.3">
      <c r="A557">
        <v>555</v>
      </c>
      <c r="B557" s="1" t="s">
        <v>707</v>
      </c>
      <c r="C557" t="s">
        <v>144</v>
      </c>
      <c r="D557" s="1" t="s">
        <v>708</v>
      </c>
    </row>
    <row r="558" spans="1:4" hidden="1" x14ac:dyDescent="0.3">
      <c r="A558">
        <v>556</v>
      </c>
      <c r="B558" t="s">
        <v>709</v>
      </c>
      <c r="C558" t="s">
        <v>30</v>
      </c>
      <c r="D558">
        <v>0.17160309458553799</v>
      </c>
    </row>
    <row r="559" spans="1:4" hidden="1" x14ac:dyDescent="0.3">
      <c r="A559">
        <v>557</v>
      </c>
      <c r="B559" t="s">
        <v>710</v>
      </c>
      <c r="C559" t="s">
        <v>32</v>
      </c>
      <c r="D559">
        <v>5.2372738515717103E-2</v>
      </c>
    </row>
    <row r="560" spans="1:4" hidden="1" x14ac:dyDescent="0.3">
      <c r="A560">
        <v>558</v>
      </c>
      <c r="B560" s="1" t="s">
        <v>711</v>
      </c>
      <c r="C560" t="s">
        <v>148</v>
      </c>
      <c r="D560" s="1" t="s">
        <v>712</v>
      </c>
    </row>
    <row r="561" spans="1:4" hidden="1" x14ac:dyDescent="0.3">
      <c r="A561">
        <v>559</v>
      </c>
      <c r="B561" t="s">
        <v>713</v>
      </c>
      <c r="C561" t="s">
        <v>40</v>
      </c>
      <c r="D561">
        <v>0.24808999702985299</v>
      </c>
    </row>
    <row r="562" spans="1:4" hidden="1" x14ac:dyDescent="0.3">
      <c r="A562">
        <v>560</v>
      </c>
      <c r="B562" t="s">
        <v>714</v>
      </c>
      <c r="C562" t="s">
        <v>42</v>
      </c>
      <c r="D562">
        <v>4.7316740281185703E-2</v>
      </c>
    </row>
    <row r="563" spans="1:4" hidden="1" x14ac:dyDescent="0.3">
      <c r="A563">
        <v>561</v>
      </c>
      <c r="B563" s="1" t="s">
        <v>715</v>
      </c>
      <c r="C563" t="s">
        <v>152</v>
      </c>
      <c r="D563" s="1" t="s">
        <v>716</v>
      </c>
    </row>
    <row r="564" spans="1:4" hidden="1" x14ac:dyDescent="0.3">
      <c r="A564">
        <v>562</v>
      </c>
      <c r="B564" t="s">
        <v>153</v>
      </c>
      <c r="C564" t="s">
        <v>154</v>
      </c>
      <c r="D564">
        <v>1</v>
      </c>
    </row>
    <row r="565" spans="1:4" hidden="1" x14ac:dyDescent="0.3">
      <c r="A565">
        <v>563</v>
      </c>
      <c r="B565" t="s">
        <v>155</v>
      </c>
      <c r="C565" t="s">
        <v>156</v>
      </c>
      <c r="D565">
        <v>1</v>
      </c>
    </row>
    <row r="566" spans="1:4" hidden="1" x14ac:dyDescent="0.3">
      <c r="A566">
        <v>564</v>
      </c>
      <c r="B566" s="1" t="s">
        <v>717</v>
      </c>
      <c r="C566" t="s">
        <v>158</v>
      </c>
      <c r="D566" s="1" t="s">
        <v>718</v>
      </c>
    </row>
    <row r="567" spans="1:4" hidden="1" x14ac:dyDescent="0.3">
      <c r="A567">
        <v>565</v>
      </c>
      <c r="B567" t="s">
        <v>719</v>
      </c>
      <c r="C567" t="s">
        <v>161</v>
      </c>
      <c r="D567">
        <v>0.99985299403219197</v>
      </c>
    </row>
    <row r="568" spans="1:4" hidden="1" x14ac:dyDescent="0.3">
      <c r="A568">
        <v>566</v>
      </c>
      <c r="B568" t="s">
        <v>720</v>
      </c>
      <c r="C568" t="s">
        <v>163</v>
      </c>
      <c r="D568">
        <v>1.00012108994689</v>
      </c>
    </row>
    <row r="569" spans="1:4" hidden="1" x14ac:dyDescent="0.3">
      <c r="A569">
        <v>567</v>
      </c>
      <c r="B569" s="1" t="s">
        <v>721</v>
      </c>
      <c r="C569" t="s">
        <v>165</v>
      </c>
      <c r="D569" s="1" t="s">
        <v>722</v>
      </c>
    </row>
    <row r="570" spans="1:4" hidden="1" x14ac:dyDescent="0.3">
      <c r="A570">
        <v>568</v>
      </c>
      <c r="B570" s="1" t="s">
        <v>723</v>
      </c>
      <c r="C570" t="s">
        <v>55</v>
      </c>
      <c r="D570" s="1" t="s">
        <v>724</v>
      </c>
    </row>
    <row r="571" spans="1:4" hidden="1" x14ac:dyDescent="0.3">
      <c r="A571">
        <v>569</v>
      </c>
      <c r="B571" s="1" t="s">
        <v>725</v>
      </c>
      <c r="C571" t="s">
        <v>52</v>
      </c>
      <c r="D571" s="1" t="s">
        <v>726</v>
      </c>
    </row>
    <row r="572" spans="1:4" hidden="1" x14ac:dyDescent="0.3">
      <c r="A572">
        <v>570</v>
      </c>
      <c r="B572" s="1" t="s">
        <v>727</v>
      </c>
      <c r="C572" t="s">
        <v>58</v>
      </c>
      <c r="D572" s="1" t="s">
        <v>728</v>
      </c>
    </row>
    <row r="573" spans="1:4" hidden="1" x14ac:dyDescent="0.3">
      <c r="A573">
        <v>571</v>
      </c>
      <c r="B573" t="s">
        <v>729</v>
      </c>
      <c r="C573" t="s">
        <v>60</v>
      </c>
      <c r="D573">
        <v>149978861.08979601</v>
      </c>
    </row>
    <row r="574" spans="1:4" hidden="1" x14ac:dyDescent="0.3">
      <c r="A574">
        <v>572</v>
      </c>
      <c r="B574" t="s">
        <v>730</v>
      </c>
      <c r="C574" t="s">
        <v>62</v>
      </c>
      <c r="D574">
        <v>79998516.885654002</v>
      </c>
    </row>
    <row r="575" spans="1:4" hidden="1" x14ac:dyDescent="0.3">
      <c r="A575">
        <v>573</v>
      </c>
      <c r="B575" t="s">
        <v>731</v>
      </c>
      <c r="C575" t="s">
        <v>64</v>
      </c>
      <c r="D575">
        <v>34999260.167329699</v>
      </c>
    </row>
    <row r="576" spans="1:4" hidden="1" x14ac:dyDescent="0.3">
      <c r="A576">
        <v>574</v>
      </c>
      <c r="B576" s="1" t="s">
        <v>732</v>
      </c>
      <c r="C576" t="s">
        <v>66</v>
      </c>
      <c r="D576" s="1" t="s">
        <v>733</v>
      </c>
    </row>
    <row r="577" spans="1:4" hidden="1" x14ac:dyDescent="0.3">
      <c r="A577">
        <v>575</v>
      </c>
      <c r="B577" s="1" t="s">
        <v>734</v>
      </c>
      <c r="C577" t="s">
        <v>69</v>
      </c>
      <c r="D577" s="1" t="s">
        <v>735</v>
      </c>
    </row>
    <row r="578" spans="1:4" hidden="1" x14ac:dyDescent="0.3">
      <c r="A578">
        <v>576</v>
      </c>
      <c r="B578" t="s">
        <v>736</v>
      </c>
      <c r="C578" t="s">
        <v>72</v>
      </c>
      <c r="D578">
        <v>1.0000177564434001</v>
      </c>
    </row>
    <row r="579" spans="1:4" hidden="1" x14ac:dyDescent="0.3">
      <c r="A579">
        <v>577</v>
      </c>
      <c r="B579" t="s">
        <v>73</v>
      </c>
      <c r="C579" t="s">
        <v>74</v>
      </c>
      <c r="D579">
        <v>2.7397260273972599E-3</v>
      </c>
    </row>
    <row r="580" spans="1:4" hidden="1" x14ac:dyDescent="0.3">
      <c r="A580">
        <v>578</v>
      </c>
      <c r="B580" t="s">
        <v>75</v>
      </c>
      <c r="C580" t="s">
        <v>76</v>
      </c>
      <c r="D580">
        <v>0</v>
      </c>
    </row>
    <row r="581" spans="1:4" hidden="1" x14ac:dyDescent="0.3">
      <c r="A581">
        <v>579</v>
      </c>
      <c r="B581" t="s">
        <v>267</v>
      </c>
      <c r="C581" t="s">
        <v>78</v>
      </c>
      <c r="D581" s="2">
        <v>2.2204460492503101E-16</v>
      </c>
    </row>
    <row r="582" spans="1:4" hidden="1" x14ac:dyDescent="0.3">
      <c r="A582">
        <v>580</v>
      </c>
      <c r="B582" s="1" t="s">
        <v>737</v>
      </c>
      <c r="C582" t="s">
        <v>80</v>
      </c>
      <c r="D582" s="1" t="s">
        <v>738</v>
      </c>
    </row>
    <row r="583" spans="1:4" hidden="1" x14ac:dyDescent="0.3">
      <c r="A583">
        <v>581</v>
      </c>
      <c r="B583" t="s">
        <v>739</v>
      </c>
      <c r="C583" t="s">
        <v>83</v>
      </c>
      <c r="D583">
        <v>1.00002149261301</v>
      </c>
    </row>
    <row r="584" spans="1:4" hidden="1" x14ac:dyDescent="0.3">
      <c r="A584">
        <v>582</v>
      </c>
      <c r="B584" s="1" t="s">
        <v>740</v>
      </c>
      <c r="C584" t="s">
        <v>85</v>
      </c>
      <c r="D584" s="1" t="s">
        <v>741</v>
      </c>
    </row>
    <row r="585" spans="1:4" hidden="1" x14ac:dyDescent="0.3">
      <c r="A585">
        <v>583</v>
      </c>
      <c r="B585" t="s">
        <v>742</v>
      </c>
      <c r="C585" t="s">
        <v>88</v>
      </c>
      <c r="D585">
        <v>100001533.581971</v>
      </c>
    </row>
    <row r="586" spans="1:4" hidden="1" x14ac:dyDescent="0.3">
      <c r="A586">
        <v>584</v>
      </c>
      <c r="B586" s="1" t="s">
        <v>743</v>
      </c>
      <c r="C586" t="s">
        <v>90</v>
      </c>
      <c r="D586" s="1" t="s">
        <v>689</v>
      </c>
    </row>
    <row r="587" spans="1:4" hidden="1" x14ac:dyDescent="0.3">
      <c r="A587">
        <v>585</v>
      </c>
      <c r="B587" t="s">
        <v>744</v>
      </c>
      <c r="C587" t="s">
        <v>93</v>
      </c>
      <c r="D587">
        <v>79998516.885654002</v>
      </c>
    </row>
    <row r="588" spans="1:4" hidden="1" x14ac:dyDescent="0.3">
      <c r="A588">
        <v>586</v>
      </c>
      <c r="B588" t="s">
        <v>745</v>
      </c>
      <c r="C588" t="s">
        <v>95</v>
      </c>
      <c r="D588">
        <v>34999260.167329699</v>
      </c>
    </row>
    <row r="589" spans="1:4" hidden="1" x14ac:dyDescent="0.3">
      <c r="A589">
        <v>587</v>
      </c>
      <c r="B589" t="s">
        <v>746</v>
      </c>
      <c r="C589" t="s">
        <v>97</v>
      </c>
      <c r="D589">
        <v>34981084.036813103</v>
      </c>
    </row>
    <row r="590" spans="1:4" hidden="1" x14ac:dyDescent="0.3">
      <c r="A590">
        <v>588</v>
      </c>
      <c r="B590" s="1" t="s">
        <v>747</v>
      </c>
      <c r="C590" t="s">
        <v>99</v>
      </c>
      <c r="D590" s="1" t="s">
        <v>748</v>
      </c>
    </row>
    <row r="591" spans="1:4" hidden="1" x14ac:dyDescent="0.3">
      <c r="A591">
        <v>589</v>
      </c>
      <c r="B591" t="s">
        <v>749</v>
      </c>
      <c r="C591" t="s">
        <v>102</v>
      </c>
      <c r="D591">
        <v>1.10713885790516E-2</v>
      </c>
    </row>
    <row r="592" spans="1:4" hidden="1" x14ac:dyDescent="0.3">
      <c r="A592">
        <v>590</v>
      </c>
      <c r="B592" t="s">
        <v>750</v>
      </c>
      <c r="C592" t="s">
        <v>104</v>
      </c>
      <c r="D592">
        <v>5.23183563663848E-4</v>
      </c>
    </row>
    <row r="593" spans="1:4" hidden="1" x14ac:dyDescent="0.3">
      <c r="A593">
        <v>591</v>
      </c>
      <c r="B593" t="s">
        <v>751</v>
      </c>
      <c r="C593" t="s">
        <v>106</v>
      </c>
      <c r="D593">
        <v>1.45069311129768E-2</v>
      </c>
    </row>
    <row r="594" spans="1:4" hidden="1" x14ac:dyDescent="0.3">
      <c r="A594">
        <v>592</v>
      </c>
      <c r="B594" s="1" t="s">
        <v>752</v>
      </c>
      <c r="C594" t="s">
        <v>108</v>
      </c>
      <c r="D594" s="1" t="s">
        <v>753</v>
      </c>
    </row>
    <row r="595" spans="1:4" x14ac:dyDescent="0.3">
      <c r="A595">
        <v>593</v>
      </c>
      <c r="B595" t="s">
        <v>754</v>
      </c>
      <c r="C595" t="s">
        <v>196</v>
      </c>
      <c r="D595">
        <v>149978989.74318701</v>
      </c>
    </row>
    <row r="596" spans="1:4" hidden="1" x14ac:dyDescent="0.3">
      <c r="A596">
        <v>594</v>
      </c>
      <c r="B596" t="s">
        <v>755</v>
      </c>
      <c r="C596" t="s">
        <v>198</v>
      </c>
      <c r="D596">
        <v>-298.88307275799502</v>
      </c>
    </row>
    <row r="597" spans="1:4" hidden="1" x14ac:dyDescent="0.3">
      <c r="A597">
        <v>595</v>
      </c>
      <c r="B597" t="s">
        <v>756</v>
      </c>
      <c r="C597" t="s">
        <v>200</v>
      </c>
      <c r="D597">
        <v>-130.76090314713801</v>
      </c>
    </row>
    <row r="598" spans="1:4" hidden="1" x14ac:dyDescent="0.3">
      <c r="A598">
        <v>596</v>
      </c>
      <c r="B598" s="1" t="s">
        <v>757</v>
      </c>
      <c r="C598" t="s">
        <v>202</v>
      </c>
      <c r="D598" s="1" t="s">
        <v>758</v>
      </c>
    </row>
    <row r="599" spans="1:4" hidden="1" x14ac:dyDescent="0.3">
      <c r="A599">
        <v>597</v>
      </c>
      <c r="B599" t="s">
        <v>759</v>
      </c>
      <c r="C599" t="s">
        <v>205</v>
      </c>
      <c r="D599">
        <v>79998909.993975803</v>
      </c>
    </row>
    <row r="600" spans="1:4" hidden="1" x14ac:dyDescent="0.3">
      <c r="A600">
        <v>598</v>
      </c>
      <c r="B600" t="s">
        <v>760</v>
      </c>
      <c r="C600" t="s">
        <v>207</v>
      </c>
      <c r="D600">
        <v>34999405.035122</v>
      </c>
    </row>
    <row r="601" spans="1:4" hidden="1" x14ac:dyDescent="0.3">
      <c r="A601">
        <v>599</v>
      </c>
      <c r="B601" t="s">
        <v>761</v>
      </c>
      <c r="C601" t="s">
        <v>209</v>
      </c>
      <c r="D601">
        <v>34981235.051084302</v>
      </c>
    </row>
    <row r="602" spans="1:4" hidden="1" x14ac:dyDescent="0.3">
      <c r="A602">
        <v>600</v>
      </c>
      <c r="B602" s="1" t="s">
        <v>762</v>
      </c>
      <c r="C602" t="s">
        <v>211</v>
      </c>
      <c r="D602" s="1" t="s">
        <v>763</v>
      </c>
    </row>
    <row r="603" spans="1:4" hidden="1" x14ac:dyDescent="0.3">
      <c r="A603">
        <v>601</v>
      </c>
      <c r="B603" t="s">
        <v>764</v>
      </c>
      <c r="C603" t="s">
        <v>214</v>
      </c>
      <c r="D603">
        <v>100001907.198028</v>
      </c>
    </row>
    <row r="604" spans="1:4" hidden="1" x14ac:dyDescent="0.3">
      <c r="A604">
        <v>602</v>
      </c>
      <c r="B604" t="s">
        <v>765</v>
      </c>
      <c r="C604" t="s">
        <v>216</v>
      </c>
      <c r="D604">
        <v>-373.61605685949303</v>
      </c>
    </row>
    <row r="605" spans="1:4" hidden="1" x14ac:dyDescent="0.3">
      <c r="A605">
        <v>603</v>
      </c>
      <c r="B605" s="1" t="s">
        <v>766</v>
      </c>
      <c r="C605" t="s">
        <v>218</v>
      </c>
      <c r="D605" s="1" t="s">
        <v>767</v>
      </c>
    </row>
    <row r="606" spans="1:4" hidden="1" x14ac:dyDescent="0.3">
      <c r="A606">
        <v>604</v>
      </c>
      <c r="B606" t="s">
        <v>768</v>
      </c>
      <c r="C606" t="s">
        <v>111</v>
      </c>
      <c r="D606">
        <v>94.225249055795601</v>
      </c>
    </row>
    <row r="607" spans="1:4" hidden="1" x14ac:dyDescent="0.3">
      <c r="A607">
        <v>605</v>
      </c>
      <c r="B607" t="s">
        <v>769</v>
      </c>
      <c r="C607" t="s">
        <v>113</v>
      </c>
      <c r="D607">
        <v>14.106889125016</v>
      </c>
    </row>
    <row r="608" spans="1:4" hidden="1" x14ac:dyDescent="0.3">
      <c r="A608">
        <v>606</v>
      </c>
      <c r="B608" s="1" t="s">
        <v>770</v>
      </c>
      <c r="C608" t="s">
        <v>115</v>
      </c>
      <c r="D608" s="1" t="s">
        <v>771</v>
      </c>
    </row>
    <row r="609" spans="1:4" hidden="1" x14ac:dyDescent="0.3">
      <c r="A609">
        <v>607</v>
      </c>
      <c r="B609" t="s">
        <v>772</v>
      </c>
      <c r="C609" t="s">
        <v>118</v>
      </c>
      <c r="D609">
        <v>79998909.993975803</v>
      </c>
    </row>
    <row r="610" spans="1:4" hidden="1" x14ac:dyDescent="0.3">
      <c r="A610">
        <v>608</v>
      </c>
      <c r="B610" t="s">
        <v>773</v>
      </c>
      <c r="C610" t="s">
        <v>120</v>
      </c>
      <c r="D610">
        <v>34999405.035122</v>
      </c>
    </row>
    <row r="611" spans="1:4" hidden="1" x14ac:dyDescent="0.3">
      <c r="A611">
        <v>609</v>
      </c>
      <c r="B611" s="1" t="s">
        <v>774</v>
      </c>
      <c r="C611" t="s">
        <v>122</v>
      </c>
      <c r="D611" s="1" t="s">
        <v>775</v>
      </c>
    </row>
    <row r="612" spans="1:4" hidden="1" x14ac:dyDescent="0.3">
      <c r="A612">
        <v>610</v>
      </c>
      <c r="B612" t="s">
        <v>776</v>
      </c>
      <c r="C612" t="s">
        <v>125</v>
      </c>
      <c r="D612">
        <v>0.79995664969569302</v>
      </c>
    </row>
    <row r="613" spans="1:4" hidden="1" x14ac:dyDescent="0.3">
      <c r="A613">
        <v>611</v>
      </c>
      <c r="B613" t="s">
        <v>777</v>
      </c>
      <c r="C613" t="s">
        <v>127</v>
      </c>
      <c r="D613">
        <v>0.349979853417342</v>
      </c>
    </row>
    <row r="614" spans="1:4" hidden="1" x14ac:dyDescent="0.3">
      <c r="A614">
        <v>612</v>
      </c>
      <c r="B614" s="1" t="s">
        <v>778</v>
      </c>
      <c r="C614" t="s">
        <v>129</v>
      </c>
      <c r="D614" s="1" t="s">
        <v>779</v>
      </c>
    </row>
    <row r="615" spans="1:4" hidden="1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1794.03</v>
      </c>
    </row>
    <row r="617" spans="1:4" hidden="1" x14ac:dyDescent="0.3">
      <c r="A617">
        <v>615</v>
      </c>
      <c r="B617" s="1" t="s">
        <v>131</v>
      </c>
      <c r="C617" t="s">
        <v>9</v>
      </c>
      <c r="D617" s="1" t="s">
        <v>132</v>
      </c>
    </row>
    <row r="618" spans="1:4" hidden="1" x14ac:dyDescent="0.3">
      <c r="A618">
        <v>616</v>
      </c>
      <c r="B618" t="s">
        <v>13</v>
      </c>
      <c r="C618" t="s">
        <v>14</v>
      </c>
      <c r="D618">
        <v>99.65234375</v>
      </c>
    </row>
    <row r="619" spans="1:4" hidden="1" x14ac:dyDescent="0.3">
      <c r="A619">
        <v>617</v>
      </c>
      <c r="B619" t="s">
        <v>15</v>
      </c>
      <c r="C619" t="s">
        <v>16</v>
      </c>
      <c r="D619">
        <v>4.4080893559260401</v>
      </c>
    </row>
    <row r="620" spans="1:4" hidden="1" x14ac:dyDescent="0.3">
      <c r="A620">
        <v>618</v>
      </c>
      <c r="B620" s="1" t="s">
        <v>133</v>
      </c>
      <c r="C620" t="s">
        <v>134</v>
      </c>
      <c r="D620" s="1" t="s">
        <v>135</v>
      </c>
    </row>
    <row r="621" spans="1:4" hidden="1" x14ac:dyDescent="0.3">
      <c r="A621">
        <v>619</v>
      </c>
      <c r="B621" t="s">
        <v>21</v>
      </c>
      <c r="C621" t="s">
        <v>22</v>
      </c>
      <c r="D621">
        <v>67.8</v>
      </c>
    </row>
    <row r="622" spans="1:4" hidden="1" x14ac:dyDescent="0.3">
      <c r="A622">
        <v>620</v>
      </c>
      <c r="B622" t="s">
        <v>780</v>
      </c>
      <c r="C622" t="s">
        <v>24</v>
      </c>
      <c r="D622">
        <v>6.2359575475435003</v>
      </c>
    </row>
    <row r="623" spans="1:4" hidden="1" x14ac:dyDescent="0.3">
      <c r="A623">
        <v>621</v>
      </c>
      <c r="B623" s="1" t="s">
        <v>781</v>
      </c>
      <c r="C623" t="s">
        <v>138</v>
      </c>
      <c r="D623" s="1" t="s">
        <v>782</v>
      </c>
    </row>
    <row r="624" spans="1:4" hidden="1" x14ac:dyDescent="0.3">
      <c r="A624">
        <v>622</v>
      </c>
      <c r="B624" t="s">
        <v>783</v>
      </c>
      <c r="C624" t="s">
        <v>35</v>
      </c>
      <c r="D624">
        <v>0.58220663524507699</v>
      </c>
    </row>
    <row r="625" spans="1:4" hidden="1" x14ac:dyDescent="0.3">
      <c r="A625">
        <v>623</v>
      </c>
      <c r="B625" t="s">
        <v>784</v>
      </c>
      <c r="C625" t="s">
        <v>142</v>
      </c>
      <c r="D625">
        <v>0.90924836040014101</v>
      </c>
    </row>
    <row r="626" spans="1:4" hidden="1" x14ac:dyDescent="0.3">
      <c r="A626">
        <v>624</v>
      </c>
      <c r="B626" s="1" t="s">
        <v>785</v>
      </c>
      <c r="C626" t="s">
        <v>144</v>
      </c>
      <c r="D626" s="1" t="s">
        <v>786</v>
      </c>
    </row>
    <row r="627" spans="1:4" hidden="1" x14ac:dyDescent="0.3">
      <c r="A627">
        <v>625</v>
      </c>
      <c r="B627" t="s">
        <v>787</v>
      </c>
      <c r="C627" t="s">
        <v>30</v>
      </c>
      <c r="D627">
        <v>0.17216486457899</v>
      </c>
    </row>
    <row r="628" spans="1:4" hidden="1" x14ac:dyDescent="0.3">
      <c r="A628">
        <v>626</v>
      </c>
      <c r="B628" t="s">
        <v>788</v>
      </c>
      <c r="C628" t="s">
        <v>32</v>
      </c>
      <c r="D628">
        <v>5.23080930160797E-2</v>
      </c>
    </row>
    <row r="629" spans="1:4" hidden="1" x14ac:dyDescent="0.3">
      <c r="A629">
        <v>627</v>
      </c>
      <c r="B629" s="1" t="s">
        <v>789</v>
      </c>
      <c r="C629" t="s">
        <v>148</v>
      </c>
      <c r="D629" s="1" t="s">
        <v>790</v>
      </c>
    </row>
    <row r="630" spans="1:4" hidden="1" x14ac:dyDescent="0.3">
      <c r="A630">
        <v>628</v>
      </c>
      <c r="B630" t="s">
        <v>791</v>
      </c>
      <c r="C630" t="s">
        <v>40</v>
      </c>
      <c r="D630">
        <v>0.24562850017593099</v>
      </c>
    </row>
    <row r="631" spans="1:4" hidden="1" x14ac:dyDescent="0.3">
      <c r="A631">
        <v>629</v>
      </c>
      <c r="B631" t="s">
        <v>792</v>
      </c>
      <c r="C631" t="s">
        <v>42</v>
      </c>
      <c r="D631">
        <v>4.7501423890742599E-2</v>
      </c>
    </row>
    <row r="632" spans="1:4" hidden="1" x14ac:dyDescent="0.3">
      <c r="A632">
        <v>630</v>
      </c>
      <c r="B632" s="1" t="s">
        <v>793</v>
      </c>
      <c r="C632" t="s">
        <v>152</v>
      </c>
      <c r="D632" s="1" t="s">
        <v>794</v>
      </c>
    </row>
    <row r="633" spans="1:4" hidden="1" x14ac:dyDescent="0.3">
      <c r="A633">
        <v>631</v>
      </c>
      <c r="B633" t="s">
        <v>153</v>
      </c>
      <c r="C633" t="s">
        <v>154</v>
      </c>
      <c r="D633">
        <v>1</v>
      </c>
    </row>
    <row r="634" spans="1:4" hidden="1" x14ac:dyDescent="0.3">
      <c r="A634">
        <v>632</v>
      </c>
      <c r="B634" t="s">
        <v>155</v>
      </c>
      <c r="C634" t="s">
        <v>156</v>
      </c>
      <c r="D634">
        <v>1</v>
      </c>
    </row>
    <row r="635" spans="1:4" hidden="1" x14ac:dyDescent="0.3">
      <c r="A635">
        <v>633</v>
      </c>
      <c r="B635" s="1" t="s">
        <v>795</v>
      </c>
      <c r="C635" t="s">
        <v>158</v>
      </c>
      <c r="D635" s="1" t="s">
        <v>796</v>
      </c>
    </row>
    <row r="636" spans="1:4" hidden="1" x14ac:dyDescent="0.3">
      <c r="A636">
        <v>634</v>
      </c>
      <c r="B636" t="s">
        <v>797</v>
      </c>
      <c r="C636" t="s">
        <v>161</v>
      </c>
      <c r="D636">
        <v>0.99994801876385397</v>
      </c>
    </row>
    <row r="637" spans="1:4" hidden="1" x14ac:dyDescent="0.3">
      <c r="A637">
        <v>635</v>
      </c>
      <c r="B637" t="s">
        <v>798</v>
      </c>
      <c r="C637" t="s">
        <v>163</v>
      </c>
      <c r="D637">
        <v>0.99993857167021505</v>
      </c>
    </row>
    <row r="638" spans="1:4" hidden="1" x14ac:dyDescent="0.3">
      <c r="A638">
        <v>636</v>
      </c>
      <c r="B638" s="1" t="s">
        <v>799</v>
      </c>
      <c r="C638" t="s">
        <v>165</v>
      </c>
      <c r="D638" s="1" t="s">
        <v>800</v>
      </c>
    </row>
    <row r="639" spans="1:4" hidden="1" x14ac:dyDescent="0.3">
      <c r="A639">
        <v>637</v>
      </c>
      <c r="B639" s="1" t="s">
        <v>801</v>
      </c>
      <c r="C639" t="s">
        <v>55</v>
      </c>
      <c r="D639" s="1" t="s">
        <v>802</v>
      </c>
    </row>
    <row r="640" spans="1:4" hidden="1" x14ac:dyDescent="0.3">
      <c r="A640">
        <v>638</v>
      </c>
      <c r="B640" s="1" t="s">
        <v>803</v>
      </c>
      <c r="C640" t="s">
        <v>52</v>
      </c>
      <c r="D640" s="1" t="s">
        <v>804</v>
      </c>
    </row>
    <row r="641" spans="1:4" hidden="1" x14ac:dyDescent="0.3">
      <c r="A641">
        <v>639</v>
      </c>
      <c r="B641" s="1" t="s">
        <v>805</v>
      </c>
      <c r="C641" t="s">
        <v>58</v>
      </c>
      <c r="D641" s="1" t="s">
        <v>806</v>
      </c>
    </row>
    <row r="642" spans="1:4" hidden="1" x14ac:dyDescent="0.3">
      <c r="A642">
        <v>640</v>
      </c>
      <c r="B642" t="s">
        <v>807</v>
      </c>
      <c r="C642" t="s">
        <v>60</v>
      </c>
      <c r="D642">
        <v>149975211.70852199</v>
      </c>
    </row>
    <row r="643" spans="1:4" hidden="1" x14ac:dyDescent="0.3">
      <c r="A643">
        <v>641</v>
      </c>
      <c r="B643" t="s">
        <v>808</v>
      </c>
      <c r="C643" t="s">
        <v>62</v>
      </c>
      <c r="D643">
        <v>79998909.993975803</v>
      </c>
    </row>
    <row r="644" spans="1:4" hidden="1" x14ac:dyDescent="0.3">
      <c r="A644">
        <v>642</v>
      </c>
      <c r="B644" t="s">
        <v>809</v>
      </c>
      <c r="C644" t="s">
        <v>64</v>
      </c>
      <c r="D644">
        <v>34999405.035122</v>
      </c>
    </row>
    <row r="645" spans="1:4" hidden="1" x14ac:dyDescent="0.3">
      <c r="A645">
        <v>643</v>
      </c>
      <c r="B645" s="1" t="s">
        <v>810</v>
      </c>
      <c r="C645" t="s">
        <v>66</v>
      </c>
      <c r="D645" s="1" t="s">
        <v>811</v>
      </c>
    </row>
    <row r="646" spans="1:4" hidden="1" x14ac:dyDescent="0.3">
      <c r="A646">
        <v>644</v>
      </c>
      <c r="B646" s="1" t="s">
        <v>812</v>
      </c>
      <c r="C646" t="s">
        <v>69</v>
      </c>
      <c r="D646" s="1" t="s">
        <v>813</v>
      </c>
    </row>
    <row r="647" spans="1:4" hidden="1" x14ac:dyDescent="0.3">
      <c r="A647">
        <v>645</v>
      </c>
      <c r="B647" t="s">
        <v>814</v>
      </c>
      <c r="C647" t="s">
        <v>72</v>
      </c>
      <c r="D647">
        <v>1.00002149261301</v>
      </c>
    </row>
    <row r="648" spans="1:4" hidden="1" x14ac:dyDescent="0.3">
      <c r="A648">
        <v>646</v>
      </c>
      <c r="B648" t="s">
        <v>73</v>
      </c>
      <c r="C648" t="s">
        <v>74</v>
      </c>
      <c r="D648">
        <v>2.7397260273972599E-3</v>
      </c>
    </row>
    <row r="649" spans="1:4" hidden="1" x14ac:dyDescent="0.3">
      <c r="A649">
        <v>647</v>
      </c>
      <c r="B649" t="s">
        <v>75</v>
      </c>
      <c r="C649" t="s">
        <v>76</v>
      </c>
      <c r="D649">
        <v>0</v>
      </c>
    </row>
    <row r="650" spans="1:4" hidden="1" x14ac:dyDescent="0.3">
      <c r="A650">
        <v>648</v>
      </c>
      <c r="B650" t="s">
        <v>77</v>
      </c>
      <c r="C650" t="s">
        <v>78</v>
      </c>
      <c r="D650">
        <v>0</v>
      </c>
    </row>
    <row r="651" spans="1:4" hidden="1" x14ac:dyDescent="0.3">
      <c r="A651">
        <v>649</v>
      </c>
      <c r="B651" s="1" t="s">
        <v>815</v>
      </c>
      <c r="C651" t="s">
        <v>80</v>
      </c>
      <c r="D651" s="1" t="s">
        <v>816</v>
      </c>
    </row>
    <row r="652" spans="1:4" hidden="1" x14ac:dyDescent="0.3">
      <c r="A652">
        <v>650</v>
      </c>
      <c r="B652" t="s">
        <v>817</v>
      </c>
      <c r="C652" t="s">
        <v>83</v>
      </c>
      <c r="D652">
        <v>1.0000007830023001</v>
      </c>
    </row>
    <row r="653" spans="1:4" hidden="1" x14ac:dyDescent="0.3">
      <c r="A653">
        <v>651</v>
      </c>
      <c r="B653" s="1" t="s">
        <v>818</v>
      </c>
      <c r="C653" t="s">
        <v>85</v>
      </c>
      <c r="D653" s="1" t="s">
        <v>819</v>
      </c>
    </row>
    <row r="654" spans="1:4" hidden="1" x14ac:dyDescent="0.3">
      <c r="A654">
        <v>652</v>
      </c>
      <c r="B654" t="s">
        <v>820</v>
      </c>
      <c r="C654" t="s">
        <v>88</v>
      </c>
      <c r="D654">
        <v>100003604.573181</v>
      </c>
    </row>
    <row r="655" spans="1:4" hidden="1" x14ac:dyDescent="0.3">
      <c r="A655">
        <v>653</v>
      </c>
      <c r="B655" s="1" t="s">
        <v>821</v>
      </c>
      <c r="C655" t="s">
        <v>90</v>
      </c>
      <c r="D655" s="1" t="s">
        <v>767</v>
      </c>
    </row>
    <row r="656" spans="1:4" hidden="1" x14ac:dyDescent="0.3">
      <c r="A656">
        <v>654</v>
      </c>
      <c r="B656" t="s">
        <v>822</v>
      </c>
      <c r="C656" t="s">
        <v>93</v>
      </c>
      <c r="D656">
        <v>79998909.993975803</v>
      </c>
    </row>
    <row r="657" spans="1:4" hidden="1" x14ac:dyDescent="0.3">
      <c r="A657">
        <v>655</v>
      </c>
      <c r="B657" t="s">
        <v>823</v>
      </c>
      <c r="C657" t="s">
        <v>95</v>
      </c>
      <c r="D657">
        <v>34999405.035122</v>
      </c>
    </row>
    <row r="658" spans="1:4" hidden="1" x14ac:dyDescent="0.3">
      <c r="A658">
        <v>656</v>
      </c>
      <c r="B658" t="s">
        <v>824</v>
      </c>
      <c r="C658" t="s">
        <v>97</v>
      </c>
      <c r="D658">
        <v>34976896.679424599</v>
      </c>
    </row>
    <row r="659" spans="1:4" hidden="1" x14ac:dyDescent="0.3">
      <c r="A659">
        <v>657</v>
      </c>
      <c r="B659" s="1" t="s">
        <v>825</v>
      </c>
      <c r="C659" t="s">
        <v>99</v>
      </c>
      <c r="D659" s="1" t="s">
        <v>826</v>
      </c>
    </row>
    <row r="660" spans="1:4" hidden="1" x14ac:dyDescent="0.3">
      <c r="A660">
        <v>658</v>
      </c>
      <c r="B660" t="s">
        <v>827</v>
      </c>
      <c r="C660" t="s">
        <v>102</v>
      </c>
      <c r="D660">
        <v>1.11091477734454E-2</v>
      </c>
    </row>
    <row r="661" spans="1:4" hidden="1" x14ac:dyDescent="0.3">
      <c r="A661">
        <v>659</v>
      </c>
      <c r="B661" t="s">
        <v>828</v>
      </c>
      <c r="C661" t="s">
        <v>104</v>
      </c>
      <c r="D661">
        <v>5.2607128223726798E-4</v>
      </c>
    </row>
    <row r="662" spans="1:4" hidden="1" x14ac:dyDescent="0.3">
      <c r="A662">
        <v>660</v>
      </c>
      <c r="B662" t="s">
        <v>829</v>
      </c>
      <c r="C662" t="s">
        <v>106</v>
      </c>
      <c r="D662">
        <v>1.45738287480471E-2</v>
      </c>
    </row>
    <row r="663" spans="1:4" hidden="1" x14ac:dyDescent="0.3">
      <c r="A663">
        <v>661</v>
      </c>
      <c r="B663" s="1" t="s">
        <v>830</v>
      </c>
      <c r="C663" t="s">
        <v>108</v>
      </c>
      <c r="D663" s="1" t="s">
        <v>831</v>
      </c>
    </row>
    <row r="664" spans="1:4" x14ac:dyDescent="0.3">
      <c r="A664">
        <v>662</v>
      </c>
      <c r="B664" t="s">
        <v>832</v>
      </c>
      <c r="C664" t="s">
        <v>196</v>
      </c>
      <c r="D664">
        <v>149974498.54660499</v>
      </c>
    </row>
    <row r="665" spans="1:4" hidden="1" x14ac:dyDescent="0.3">
      <c r="A665">
        <v>663</v>
      </c>
      <c r="B665" t="s">
        <v>833</v>
      </c>
      <c r="C665" t="s">
        <v>198</v>
      </c>
      <c r="D665">
        <v>1656.6992371758699</v>
      </c>
    </row>
    <row r="666" spans="1:4" hidden="1" x14ac:dyDescent="0.3">
      <c r="A666">
        <v>664</v>
      </c>
      <c r="B666" t="s">
        <v>834</v>
      </c>
      <c r="C666" t="s">
        <v>200</v>
      </c>
      <c r="D666">
        <v>724.80676238401895</v>
      </c>
    </row>
    <row r="667" spans="1:4" hidden="1" x14ac:dyDescent="0.3">
      <c r="A667">
        <v>665</v>
      </c>
      <c r="B667" s="1" t="s">
        <v>835</v>
      </c>
      <c r="C667" t="s">
        <v>202</v>
      </c>
      <c r="D667" s="1" t="s">
        <v>836</v>
      </c>
    </row>
    <row r="668" spans="1:4" hidden="1" x14ac:dyDescent="0.3">
      <c r="A668">
        <v>666</v>
      </c>
      <c r="B668" t="s">
        <v>837</v>
      </c>
      <c r="C668" t="s">
        <v>205</v>
      </c>
      <c r="D668">
        <v>79996700.934790999</v>
      </c>
    </row>
    <row r="669" spans="1:4" hidden="1" x14ac:dyDescent="0.3">
      <c r="A669">
        <v>667</v>
      </c>
      <c r="B669" t="s">
        <v>838</v>
      </c>
      <c r="C669" t="s">
        <v>207</v>
      </c>
      <c r="D669">
        <v>34998597.515375704</v>
      </c>
    </row>
    <row r="670" spans="1:4" hidden="1" x14ac:dyDescent="0.3">
      <c r="A670">
        <v>668</v>
      </c>
      <c r="B670" t="s">
        <v>839</v>
      </c>
      <c r="C670" t="s">
        <v>209</v>
      </c>
      <c r="D670">
        <v>34976094.249710597</v>
      </c>
    </row>
    <row r="671" spans="1:4" hidden="1" x14ac:dyDescent="0.3">
      <c r="A671">
        <v>669</v>
      </c>
      <c r="B671" s="1" t="s">
        <v>840</v>
      </c>
      <c r="C671" t="s">
        <v>211</v>
      </c>
      <c r="D671" s="1" t="s">
        <v>841</v>
      </c>
    </row>
    <row r="672" spans="1:4" hidden="1" x14ac:dyDescent="0.3">
      <c r="A672">
        <v>670</v>
      </c>
      <c r="B672" t="s">
        <v>842</v>
      </c>
      <c r="C672" t="s">
        <v>214</v>
      </c>
      <c r="D672">
        <v>100001533.581971</v>
      </c>
    </row>
    <row r="673" spans="1:4" hidden="1" x14ac:dyDescent="0.3">
      <c r="A673">
        <v>671</v>
      </c>
      <c r="B673" t="s">
        <v>843</v>
      </c>
      <c r="C673" t="s">
        <v>216</v>
      </c>
      <c r="D673">
        <v>2070.9912092089598</v>
      </c>
    </row>
    <row r="674" spans="1:4" hidden="1" x14ac:dyDescent="0.3">
      <c r="A674">
        <v>672</v>
      </c>
      <c r="B674" s="1" t="s">
        <v>844</v>
      </c>
      <c r="C674" t="s">
        <v>218</v>
      </c>
      <c r="D674" s="1" t="s">
        <v>845</v>
      </c>
    </row>
    <row r="675" spans="1:4" hidden="1" x14ac:dyDescent="0.3">
      <c r="A675">
        <v>673</v>
      </c>
      <c r="B675" t="s">
        <v>846</v>
      </c>
      <c r="C675" t="s">
        <v>111</v>
      </c>
      <c r="D675">
        <v>-552.35994765215798</v>
      </c>
    </row>
    <row r="676" spans="1:4" hidden="1" x14ac:dyDescent="0.3">
      <c r="A676">
        <v>674</v>
      </c>
      <c r="B676" t="s">
        <v>847</v>
      </c>
      <c r="C676" t="s">
        <v>113</v>
      </c>
      <c r="D676">
        <v>-82.712983886068102</v>
      </c>
    </row>
    <row r="677" spans="1:4" hidden="1" x14ac:dyDescent="0.3">
      <c r="A677">
        <v>675</v>
      </c>
      <c r="B677" s="1" t="s">
        <v>848</v>
      </c>
      <c r="C677" t="s">
        <v>115</v>
      </c>
      <c r="D677" s="1" t="s">
        <v>849</v>
      </c>
    </row>
    <row r="678" spans="1:4" hidden="1" x14ac:dyDescent="0.3">
      <c r="A678">
        <v>676</v>
      </c>
      <c r="B678" t="s">
        <v>850</v>
      </c>
      <c r="C678" t="s">
        <v>118</v>
      </c>
      <c r="D678">
        <v>79996700.934790999</v>
      </c>
    </row>
    <row r="679" spans="1:4" hidden="1" x14ac:dyDescent="0.3">
      <c r="A679">
        <v>677</v>
      </c>
      <c r="B679" t="s">
        <v>851</v>
      </c>
      <c r="C679" t="s">
        <v>120</v>
      </c>
      <c r="D679">
        <v>34998597.515375704</v>
      </c>
    </row>
    <row r="680" spans="1:4" hidden="1" x14ac:dyDescent="0.3">
      <c r="A680">
        <v>678</v>
      </c>
      <c r="B680" s="1" t="s">
        <v>852</v>
      </c>
      <c r="C680" t="s">
        <v>122</v>
      </c>
      <c r="D680" s="1" t="s">
        <v>853</v>
      </c>
    </row>
    <row r="681" spans="1:4" hidden="1" x14ac:dyDescent="0.3">
      <c r="A681">
        <v>679</v>
      </c>
      <c r="B681" t="s">
        <v>854</v>
      </c>
      <c r="C681" t="s">
        <v>125</v>
      </c>
      <c r="D681">
        <v>0.79995411502029301</v>
      </c>
    </row>
    <row r="682" spans="1:4" hidden="1" x14ac:dyDescent="0.3">
      <c r="A682">
        <v>680</v>
      </c>
      <c r="B682" t="s">
        <v>855</v>
      </c>
      <c r="C682" t="s">
        <v>127</v>
      </c>
      <c r="D682">
        <v>0.34998033387883898</v>
      </c>
    </row>
    <row r="683" spans="1:4" hidden="1" x14ac:dyDescent="0.3">
      <c r="A683">
        <v>681</v>
      </c>
      <c r="B683" s="1" t="s">
        <v>856</v>
      </c>
      <c r="C683" t="s">
        <v>129</v>
      </c>
      <c r="D683" s="1" t="s">
        <v>857</v>
      </c>
    </row>
    <row r="684" spans="1:4" hidden="1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1794.03</v>
      </c>
    </row>
    <row r="686" spans="1:4" hidden="1" x14ac:dyDescent="0.3">
      <c r="A686">
        <v>684</v>
      </c>
      <c r="B686" s="1" t="s">
        <v>131</v>
      </c>
      <c r="C686" t="s">
        <v>9</v>
      </c>
      <c r="D686" s="1" t="s">
        <v>132</v>
      </c>
    </row>
    <row r="687" spans="1:4" hidden="1" x14ac:dyDescent="0.3">
      <c r="A687">
        <v>685</v>
      </c>
      <c r="B687" t="s">
        <v>13</v>
      </c>
      <c r="C687" t="s">
        <v>14</v>
      </c>
      <c r="D687">
        <v>99.65234375</v>
      </c>
    </row>
    <row r="688" spans="1:4" hidden="1" x14ac:dyDescent="0.3">
      <c r="A688">
        <v>686</v>
      </c>
      <c r="B688" t="s">
        <v>15</v>
      </c>
      <c r="C688" t="s">
        <v>16</v>
      </c>
      <c r="D688">
        <v>4.4080893559260401</v>
      </c>
    </row>
    <row r="689" spans="1:4" hidden="1" x14ac:dyDescent="0.3">
      <c r="A689">
        <v>687</v>
      </c>
      <c r="B689" s="1" t="s">
        <v>133</v>
      </c>
      <c r="C689" t="s">
        <v>134</v>
      </c>
      <c r="D689" s="1" t="s">
        <v>135</v>
      </c>
    </row>
    <row r="690" spans="1:4" hidden="1" x14ac:dyDescent="0.3">
      <c r="A690">
        <v>688</v>
      </c>
      <c r="B690" t="s">
        <v>21</v>
      </c>
      <c r="C690" t="s">
        <v>22</v>
      </c>
      <c r="D690">
        <v>67.8</v>
      </c>
    </row>
    <row r="691" spans="1:4" hidden="1" x14ac:dyDescent="0.3">
      <c r="A691">
        <v>689</v>
      </c>
      <c r="B691" t="s">
        <v>858</v>
      </c>
      <c r="C691" t="s">
        <v>24</v>
      </c>
      <c r="D691">
        <v>6.2259721259818601</v>
      </c>
    </row>
    <row r="692" spans="1:4" hidden="1" x14ac:dyDescent="0.3">
      <c r="A692">
        <v>690</v>
      </c>
      <c r="B692" s="1" t="s">
        <v>859</v>
      </c>
      <c r="C692" t="s">
        <v>138</v>
      </c>
      <c r="D692" s="1" t="s">
        <v>860</v>
      </c>
    </row>
    <row r="693" spans="1:4" hidden="1" x14ac:dyDescent="0.3">
      <c r="A693">
        <v>691</v>
      </c>
      <c r="B693" t="s">
        <v>861</v>
      </c>
      <c r="C693" t="s">
        <v>35</v>
      </c>
      <c r="D693">
        <v>0.57598377426521097</v>
      </c>
    </row>
    <row r="694" spans="1:4" hidden="1" x14ac:dyDescent="0.3">
      <c r="A694">
        <v>692</v>
      </c>
      <c r="B694" t="s">
        <v>862</v>
      </c>
      <c r="C694" t="s">
        <v>142</v>
      </c>
      <c r="D694">
        <v>0.90946251002424205</v>
      </c>
    </row>
    <row r="695" spans="1:4" hidden="1" x14ac:dyDescent="0.3">
      <c r="A695">
        <v>693</v>
      </c>
      <c r="B695" s="1" t="s">
        <v>863</v>
      </c>
      <c r="C695" t="s">
        <v>144</v>
      </c>
      <c r="D695" s="1" t="s">
        <v>864</v>
      </c>
    </row>
    <row r="696" spans="1:4" hidden="1" x14ac:dyDescent="0.3">
      <c r="A696">
        <v>694</v>
      </c>
      <c r="B696" t="s">
        <v>865</v>
      </c>
      <c r="C696" t="s">
        <v>30</v>
      </c>
      <c r="D696">
        <v>0.170324696581864</v>
      </c>
    </row>
    <row r="697" spans="1:4" hidden="1" x14ac:dyDescent="0.3">
      <c r="A697">
        <v>695</v>
      </c>
      <c r="B697" t="s">
        <v>866</v>
      </c>
      <c r="C697" t="s">
        <v>32</v>
      </c>
      <c r="D697">
        <v>5.24566308688202E-2</v>
      </c>
    </row>
    <row r="698" spans="1:4" hidden="1" x14ac:dyDescent="0.3">
      <c r="A698">
        <v>696</v>
      </c>
      <c r="B698" s="1" t="s">
        <v>867</v>
      </c>
      <c r="C698" t="s">
        <v>148</v>
      </c>
      <c r="D698" s="1" t="s">
        <v>868</v>
      </c>
    </row>
    <row r="699" spans="1:4" hidden="1" x14ac:dyDescent="0.3">
      <c r="A699">
        <v>697</v>
      </c>
      <c r="B699" t="s">
        <v>869</v>
      </c>
      <c r="C699" t="s">
        <v>40</v>
      </c>
      <c r="D699">
        <v>0.25369152915292298</v>
      </c>
    </row>
    <row r="700" spans="1:4" hidden="1" x14ac:dyDescent="0.3">
      <c r="A700">
        <v>698</v>
      </c>
      <c r="B700" t="s">
        <v>870</v>
      </c>
      <c r="C700" t="s">
        <v>42</v>
      </c>
      <c r="D700">
        <v>4.7093915720883402E-2</v>
      </c>
    </row>
    <row r="701" spans="1:4" hidden="1" x14ac:dyDescent="0.3">
      <c r="A701">
        <v>699</v>
      </c>
      <c r="B701" s="1" t="s">
        <v>871</v>
      </c>
      <c r="C701" t="s">
        <v>152</v>
      </c>
      <c r="D701" s="1" t="s">
        <v>872</v>
      </c>
    </row>
    <row r="702" spans="1:4" hidden="1" x14ac:dyDescent="0.3">
      <c r="A702">
        <v>700</v>
      </c>
      <c r="B702" t="s">
        <v>153</v>
      </c>
      <c r="C702" t="s">
        <v>154</v>
      </c>
      <c r="D702">
        <v>1</v>
      </c>
    </row>
    <row r="703" spans="1:4" hidden="1" x14ac:dyDescent="0.3">
      <c r="A703">
        <v>701</v>
      </c>
      <c r="B703" t="s">
        <v>155</v>
      </c>
      <c r="C703" t="s">
        <v>156</v>
      </c>
      <c r="D703">
        <v>1</v>
      </c>
    </row>
    <row r="704" spans="1:4" hidden="1" x14ac:dyDescent="0.3">
      <c r="A704">
        <v>702</v>
      </c>
      <c r="B704" s="1" t="s">
        <v>873</v>
      </c>
      <c r="C704" t="s">
        <v>158</v>
      </c>
      <c r="D704" s="1" t="s">
        <v>874</v>
      </c>
    </row>
    <row r="705" spans="1:4" hidden="1" x14ac:dyDescent="0.3">
      <c r="A705">
        <v>703</v>
      </c>
      <c r="B705" t="s">
        <v>875</v>
      </c>
      <c r="C705" t="s">
        <v>161</v>
      </c>
      <c r="D705">
        <v>1.00011216436192</v>
      </c>
    </row>
    <row r="706" spans="1:4" hidden="1" x14ac:dyDescent="0.3">
      <c r="A706">
        <v>704</v>
      </c>
      <c r="B706" t="s">
        <v>876</v>
      </c>
      <c r="C706" t="s">
        <v>163</v>
      </c>
      <c r="D706">
        <v>1.00014115433847</v>
      </c>
    </row>
    <row r="707" spans="1:4" hidden="1" x14ac:dyDescent="0.3">
      <c r="A707">
        <v>705</v>
      </c>
      <c r="B707" s="1" t="s">
        <v>877</v>
      </c>
      <c r="C707" t="s">
        <v>165</v>
      </c>
      <c r="D707" s="1" t="s">
        <v>878</v>
      </c>
    </row>
    <row r="708" spans="1:4" hidden="1" x14ac:dyDescent="0.3">
      <c r="A708">
        <v>706</v>
      </c>
      <c r="B708" s="1" t="s">
        <v>879</v>
      </c>
      <c r="C708" t="s">
        <v>55</v>
      </c>
      <c r="D708" s="1" t="s">
        <v>880</v>
      </c>
    </row>
    <row r="709" spans="1:4" hidden="1" x14ac:dyDescent="0.3">
      <c r="A709">
        <v>707</v>
      </c>
      <c r="B709" s="1" t="s">
        <v>881</v>
      </c>
      <c r="C709" t="s">
        <v>52</v>
      </c>
      <c r="D709" s="1" t="s">
        <v>882</v>
      </c>
    </row>
    <row r="710" spans="1:4" hidden="1" x14ac:dyDescent="0.3">
      <c r="A710">
        <v>708</v>
      </c>
      <c r="B710" s="1" t="s">
        <v>883</v>
      </c>
      <c r="C710" t="s">
        <v>58</v>
      </c>
      <c r="D710" s="1" t="s">
        <v>884</v>
      </c>
    </row>
    <row r="711" spans="1:4" hidden="1" x14ac:dyDescent="0.3">
      <c r="A711">
        <v>709</v>
      </c>
      <c r="B711" t="s">
        <v>885</v>
      </c>
      <c r="C711" t="s">
        <v>60</v>
      </c>
      <c r="D711">
        <v>149966675.383356</v>
      </c>
    </row>
    <row r="712" spans="1:4" hidden="1" x14ac:dyDescent="0.3">
      <c r="A712">
        <v>710</v>
      </c>
      <c r="B712" t="s">
        <v>886</v>
      </c>
      <c r="C712" t="s">
        <v>62</v>
      </c>
      <c r="D712">
        <v>79996700.934790999</v>
      </c>
    </row>
    <row r="713" spans="1:4" hidden="1" x14ac:dyDescent="0.3">
      <c r="A713">
        <v>711</v>
      </c>
      <c r="B713" t="s">
        <v>887</v>
      </c>
      <c r="C713" t="s">
        <v>64</v>
      </c>
      <c r="D713">
        <v>34998597.515375704</v>
      </c>
    </row>
    <row r="714" spans="1:4" hidden="1" x14ac:dyDescent="0.3">
      <c r="A714">
        <v>712</v>
      </c>
      <c r="B714" s="1" t="s">
        <v>888</v>
      </c>
      <c r="C714" t="s">
        <v>66</v>
      </c>
      <c r="D714" s="1" t="s">
        <v>889</v>
      </c>
    </row>
    <row r="715" spans="1:4" hidden="1" x14ac:dyDescent="0.3">
      <c r="A715">
        <v>713</v>
      </c>
      <c r="B715" s="1" t="s">
        <v>890</v>
      </c>
      <c r="C715" t="s">
        <v>69</v>
      </c>
      <c r="D715" s="1" t="s">
        <v>891</v>
      </c>
    </row>
    <row r="716" spans="1:4" hidden="1" x14ac:dyDescent="0.3">
      <c r="A716">
        <v>714</v>
      </c>
      <c r="B716" t="s">
        <v>892</v>
      </c>
      <c r="C716" t="s">
        <v>72</v>
      </c>
      <c r="D716">
        <v>1.0000007830023001</v>
      </c>
    </row>
    <row r="717" spans="1:4" hidden="1" x14ac:dyDescent="0.3">
      <c r="A717">
        <v>715</v>
      </c>
      <c r="B717" t="s">
        <v>73</v>
      </c>
      <c r="C717" t="s">
        <v>74</v>
      </c>
      <c r="D717">
        <v>2.7397260273972599E-3</v>
      </c>
    </row>
    <row r="718" spans="1:4" hidden="1" x14ac:dyDescent="0.3">
      <c r="A718">
        <v>716</v>
      </c>
      <c r="B718" t="s">
        <v>75</v>
      </c>
      <c r="C718" t="s">
        <v>76</v>
      </c>
      <c r="D718">
        <v>0</v>
      </c>
    </row>
    <row r="719" spans="1:4" hidden="1" x14ac:dyDescent="0.3">
      <c r="A719">
        <v>717</v>
      </c>
      <c r="B719" t="s">
        <v>77</v>
      </c>
      <c r="C719" t="s">
        <v>78</v>
      </c>
      <c r="D719">
        <v>0</v>
      </c>
    </row>
    <row r="720" spans="1:4" hidden="1" x14ac:dyDescent="0.3">
      <c r="A720">
        <v>718</v>
      </c>
      <c r="B720" s="1" t="s">
        <v>893</v>
      </c>
      <c r="C720" t="s">
        <v>80</v>
      </c>
      <c r="D720" s="1" t="s">
        <v>894</v>
      </c>
    </row>
    <row r="721" spans="1:4" hidden="1" x14ac:dyDescent="0.3">
      <c r="A721">
        <v>719</v>
      </c>
      <c r="B721" t="s">
        <v>895</v>
      </c>
      <c r="C721" t="s">
        <v>83</v>
      </c>
      <c r="D721">
        <v>1.0000381641423099</v>
      </c>
    </row>
    <row r="722" spans="1:4" hidden="1" x14ac:dyDescent="0.3">
      <c r="A722">
        <v>720</v>
      </c>
      <c r="B722" s="1" t="s">
        <v>896</v>
      </c>
      <c r="C722" t="s">
        <v>85</v>
      </c>
      <c r="D722" s="1" t="s">
        <v>897</v>
      </c>
    </row>
    <row r="723" spans="1:4" hidden="1" x14ac:dyDescent="0.3">
      <c r="A723">
        <v>721</v>
      </c>
      <c r="B723" t="s">
        <v>898</v>
      </c>
      <c r="C723" t="s">
        <v>88</v>
      </c>
      <c r="D723">
        <v>99999866.467098594</v>
      </c>
    </row>
    <row r="724" spans="1:4" hidden="1" x14ac:dyDescent="0.3">
      <c r="A724">
        <v>722</v>
      </c>
      <c r="B724" s="1" t="s">
        <v>899</v>
      </c>
      <c r="C724" t="s">
        <v>90</v>
      </c>
      <c r="D724" s="1" t="s">
        <v>845</v>
      </c>
    </row>
    <row r="725" spans="1:4" hidden="1" x14ac:dyDescent="0.3">
      <c r="A725">
        <v>723</v>
      </c>
      <c r="B725" t="s">
        <v>900</v>
      </c>
      <c r="C725" t="s">
        <v>93</v>
      </c>
      <c r="D725">
        <v>79996700.934790999</v>
      </c>
    </row>
    <row r="726" spans="1:4" hidden="1" x14ac:dyDescent="0.3">
      <c r="A726">
        <v>724</v>
      </c>
      <c r="B726" t="s">
        <v>901</v>
      </c>
      <c r="C726" t="s">
        <v>95</v>
      </c>
      <c r="D726">
        <v>34998597.515375704</v>
      </c>
    </row>
    <row r="727" spans="1:4" hidden="1" x14ac:dyDescent="0.3">
      <c r="A727">
        <v>725</v>
      </c>
      <c r="B727" t="s">
        <v>902</v>
      </c>
      <c r="C727" t="s">
        <v>97</v>
      </c>
      <c r="D727">
        <v>34971376.933189899</v>
      </c>
    </row>
    <row r="728" spans="1:4" hidden="1" x14ac:dyDescent="0.3">
      <c r="A728">
        <v>726</v>
      </c>
      <c r="B728" s="1" t="s">
        <v>903</v>
      </c>
      <c r="C728" t="s">
        <v>99</v>
      </c>
      <c r="D728" s="1" t="s">
        <v>904</v>
      </c>
    </row>
    <row r="729" spans="1:4" hidden="1" x14ac:dyDescent="0.3">
      <c r="A729">
        <v>727</v>
      </c>
      <c r="B729" t="s">
        <v>905</v>
      </c>
      <c r="C729" t="s">
        <v>102</v>
      </c>
      <c r="D729">
        <v>1.11642790767484E-2</v>
      </c>
    </row>
    <row r="730" spans="1:4" hidden="1" x14ac:dyDescent="0.3">
      <c r="A730">
        <v>728</v>
      </c>
      <c r="B730" t="s">
        <v>906</v>
      </c>
      <c r="C730" t="s">
        <v>104</v>
      </c>
      <c r="D730">
        <v>5.2901115359854103E-4</v>
      </c>
    </row>
    <row r="731" spans="1:4" hidden="1" x14ac:dyDescent="0.3">
      <c r="A731">
        <v>729</v>
      </c>
      <c r="B731" t="s">
        <v>907</v>
      </c>
      <c r="C731" t="s">
        <v>106</v>
      </c>
      <c r="D731">
        <v>1.46465641076419E-2</v>
      </c>
    </row>
    <row r="732" spans="1:4" hidden="1" x14ac:dyDescent="0.3">
      <c r="A732">
        <v>730</v>
      </c>
      <c r="B732" s="1" t="s">
        <v>908</v>
      </c>
      <c r="C732" t="s">
        <v>108</v>
      </c>
      <c r="D732" s="1" t="s">
        <v>909</v>
      </c>
    </row>
    <row r="733" spans="1:4" x14ac:dyDescent="0.3">
      <c r="A733">
        <v>731</v>
      </c>
      <c r="B733" t="s">
        <v>910</v>
      </c>
      <c r="C733" t="s">
        <v>196</v>
      </c>
      <c r="D733">
        <v>149967962.661755</v>
      </c>
    </row>
    <row r="734" spans="1:4" hidden="1" x14ac:dyDescent="0.3">
      <c r="A734">
        <v>732</v>
      </c>
      <c r="B734" t="s">
        <v>911</v>
      </c>
      <c r="C734" t="s">
        <v>198</v>
      </c>
      <c r="D734">
        <v>-2990.40077842551</v>
      </c>
    </row>
    <row r="735" spans="1:4" hidden="1" x14ac:dyDescent="0.3">
      <c r="A735">
        <v>733</v>
      </c>
      <c r="B735" t="s">
        <v>912</v>
      </c>
      <c r="C735" t="s">
        <v>200</v>
      </c>
      <c r="D735">
        <v>-1308.2917258868799</v>
      </c>
    </row>
    <row r="736" spans="1:4" hidden="1" x14ac:dyDescent="0.3">
      <c r="A736">
        <v>734</v>
      </c>
      <c r="B736" s="1" t="s">
        <v>913</v>
      </c>
      <c r="C736" t="s">
        <v>202</v>
      </c>
      <c r="D736" s="1" t="s">
        <v>914</v>
      </c>
    </row>
    <row r="737" spans="1:4" hidden="1" x14ac:dyDescent="0.3">
      <c r="A737">
        <v>735</v>
      </c>
      <c r="B737" t="s">
        <v>915</v>
      </c>
      <c r="C737" t="s">
        <v>205</v>
      </c>
      <c r="D737">
        <v>80000634.106855005</v>
      </c>
    </row>
    <row r="738" spans="1:4" hidden="1" x14ac:dyDescent="0.3">
      <c r="A738">
        <v>736</v>
      </c>
      <c r="B738" t="s">
        <v>916</v>
      </c>
      <c r="C738" t="s">
        <v>207</v>
      </c>
      <c r="D738">
        <v>35000046.957856096</v>
      </c>
    </row>
    <row r="739" spans="1:4" hidden="1" x14ac:dyDescent="0.3">
      <c r="A739">
        <v>737</v>
      </c>
      <c r="B739" t="s">
        <v>917</v>
      </c>
      <c r="C739" t="s">
        <v>209</v>
      </c>
      <c r="D739">
        <v>34972887.566064298</v>
      </c>
    </row>
    <row r="740" spans="1:4" hidden="1" x14ac:dyDescent="0.3">
      <c r="A740">
        <v>738</v>
      </c>
      <c r="B740" s="1" t="s">
        <v>918</v>
      </c>
      <c r="C740" t="s">
        <v>211</v>
      </c>
      <c r="D740" s="1" t="s">
        <v>919</v>
      </c>
    </row>
    <row r="741" spans="1:4" hidden="1" x14ac:dyDescent="0.3">
      <c r="A741">
        <v>739</v>
      </c>
      <c r="B741" t="s">
        <v>920</v>
      </c>
      <c r="C741" t="s">
        <v>214</v>
      </c>
      <c r="D741">
        <v>100003604.573181</v>
      </c>
    </row>
    <row r="742" spans="1:4" hidden="1" x14ac:dyDescent="0.3">
      <c r="A742">
        <v>740</v>
      </c>
      <c r="B742" t="s">
        <v>921</v>
      </c>
      <c r="C742" t="s">
        <v>216</v>
      </c>
      <c r="D742">
        <v>-3738.10608252882</v>
      </c>
    </row>
    <row r="743" spans="1:4" hidden="1" x14ac:dyDescent="0.3">
      <c r="A743">
        <v>741</v>
      </c>
      <c r="B743" s="1" t="s">
        <v>922</v>
      </c>
      <c r="C743" t="s">
        <v>218</v>
      </c>
      <c r="D743" s="1" t="s">
        <v>923</v>
      </c>
    </row>
    <row r="744" spans="1:4" hidden="1" x14ac:dyDescent="0.3">
      <c r="A744">
        <v>742</v>
      </c>
      <c r="B744" t="s">
        <v>924</v>
      </c>
      <c r="C744" t="s">
        <v>111</v>
      </c>
      <c r="D744">
        <v>942.77128554346803</v>
      </c>
    </row>
    <row r="745" spans="1:4" hidden="1" x14ac:dyDescent="0.3">
      <c r="A745">
        <v>743</v>
      </c>
      <c r="B745" t="s">
        <v>925</v>
      </c>
      <c r="C745" t="s">
        <v>113</v>
      </c>
      <c r="D745">
        <v>141.15075454413201</v>
      </c>
    </row>
    <row r="746" spans="1:4" hidden="1" x14ac:dyDescent="0.3">
      <c r="A746">
        <v>744</v>
      </c>
      <c r="B746" s="1" t="s">
        <v>926</v>
      </c>
      <c r="C746" t="s">
        <v>115</v>
      </c>
      <c r="D746" s="1" t="s">
        <v>927</v>
      </c>
    </row>
    <row r="747" spans="1:4" hidden="1" x14ac:dyDescent="0.3">
      <c r="A747">
        <v>745</v>
      </c>
      <c r="B747" t="s">
        <v>928</v>
      </c>
      <c r="C747" t="s">
        <v>118</v>
      </c>
      <c r="D747">
        <v>80000634.106855005</v>
      </c>
    </row>
    <row r="748" spans="1:4" hidden="1" x14ac:dyDescent="0.3">
      <c r="A748">
        <v>746</v>
      </c>
      <c r="B748" t="s">
        <v>929</v>
      </c>
      <c r="C748" t="s">
        <v>120</v>
      </c>
      <c r="D748">
        <v>35000046.957856096</v>
      </c>
    </row>
    <row r="749" spans="1:4" hidden="1" x14ac:dyDescent="0.3">
      <c r="A749">
        <v>747</v>
      </c>
      <c r="B749" s="1" t="s">
        <v>930</v>
      </c>
      <c r="C749" t="s">
        <v>122</v>
      </c>
      <c r="D749" s="1" t="s">
        <v>931</v>
      </c>
    </row>
    <row r="750" spans="1:4" hidden="1" x14ac:dyDescent="0.3">
      <c r="A750">
        <v>748</v>
      </c>
      <c r="B750" t="s">
        <v>932</v>
      </c>
      <c r="C750" t="s">
        <v>125</v>
      </c>
      <c r="D750">
        <v>0.79994697600369802</v>
      </c>
    </row>
    <row r="751" spans="1:4" hidden="1" x14ac:dyDescent="0.3">
      <c r="A751">
        <v>749</v>
      </c>
      <c r="B751" t="s">
        <v>933</v>
      </c>
      <c r="C751" t="s">
        <v>127</v>
      </c>
      <c r="D751">
        <v>0.34997449753370602</v>
      </c>
    </row>
    <row r="752" spans="1:4" hidden="1" x14ac:dyDescent="0.3">
      <c r="A752">
        <v>750</v>
      </c>
      <c r="B752" s="1" t="s">
        <v>934</v>
      </c>
      <c r="C752" t="s">
        <v>129</v>
      </c>
      <c r="D752" s="1" t="s">
        <v>935</v>
      </c>
    </row>
    <row r="753" spans="1:4" hidden="1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1794.03</v>
      </c>
    </row>
    <row r="755" spans="1:4" hidden="1" x14ac:dyDescent="0.3">
      <c r="A755">
        <v>753</v>
      </c>
      <c r="B755" s="1" t="s">
        <v>131</v>
      </c>
      <c r="C755" t="s">
        <v>9</v>
      </c>
      <c r="D755" s="1" t="s">
        <v>132</v>
      </c>
    </row>
    <row r="756" spans="1:4" hidden="1" x14ac:dyDescent="0.3">
      <c r="A756">
        <v>754</v>
      </c>
      <c r="B756" t="s">
        <v>13</v>
      </c>
      <c r="C756" t="s">
        <v>14</v>
      </c>
      <c r="D756">
        <v>99.65234375</v>
      </c>
    </row>
    <row r="757" spans="1:4" hidden="1" x14ac:dyDescent="0.3">
      <c r="A757">
        <v>755</v>
      </c>
      <c r="B757" t="s">
        <v>15</v>
      </c>
      <c r="C757" t="s">
        <v>16</v>
      </c>
      <c r="D757">
        <v>4.4080893559260401</v>
      </c>
    </row>
    <row r="758" spans="1:4" hidden="1" x14ac:dyDescent="0.3">
      <c r="A758">
        <v>756</v>
      </c>
      <c r="B758" s="1" t="s">
        <v>133</v>
      </c>
      <c r="C758" t="s">
        <v>134</v>
      </c>
      <c r="D758" s="1" t="s">
        <v>135</v>
      </c>
    </row>
    <row r="759" spans="1:4" hidden="1" x14ac:dyDescent="0.3">
      <c r="A759">
        <v>757</v>
      </c>
      <c r="B759" t="s">
        <v>21</v>
      </c>
      <c r="C759" t="s">
        <v>22</v>
      </c>
      <c r="D759">
        <v>67.8</v>
      </c>
    </row>
    <row r="760" spans="1:4" hidden="1" x14ac:dyDescent="0.3">
      <c r="A760">
        <v>758</v>
      </c>
      <c r="B760" t="s">
        <v>936</v>
      </c>
      <c r="C760" t="s">
        <v>24</v>
      </c>
      <c r="D760">
        <v>6.2339511589665104</v>
      </c>
    </row>
    <row r="761" spans="1:4" hidden="1" x14ac:dyDescent="0.3">
      <c r="A761">
        <v>759</v>
      </c>
      <c r="B761" s="1" t="s">
        <v>937</v>
      </c>
      <c r="C761" t="s">
        <v>138</v>
      </c>
      <c r="D761" s="1" t="s">
        <v>938</v>
      </c>
    </row>
    <row r="762" spans="1:4" hidden="1" x14ac:dyDescent="0.3">
      <c r="A762">
        <v>760</v>
      </c>
      <c r="B762" t="s">
        <v>939</v>
      </c>
      <c r="C762" t="s">
        <v>35</v>
      </c>
      <c r="D762">
        <v>0.57680086605403402</v>
      </c>
    </row>
    <row r="763" spans="1:4" hidden="1" x14ac:dyDescent="0.3">
      <c r="A763">
        <v>761</v>
      </c>
      <c r="B763" t="s">
        <v>940</v>
      </c>
      <c r="C763" t="s">
        <v>142</v>
      </c>
      <c r="D763">
        <v>0.90821996264875604</v>
      </c>
    </row>
    <row r="764" spans="1:4" hidden="1" x14ac:dyDescent="0.3">
      <c r="A764">
        <v>762</v>
      </c>
      <c r="B764" s="1" t="s">
        <v>941</v>
      </c>
      <c r="C764" t="s">
        <v>144</v>
      </c>
      <c r="D764" s="1" t="s">
        <v>942</v>
      </c>
    </row>
    <row r="765" spans="1:4" hidden="1" x14ac:dyDescent="0.3">
      <c r="A765">
        <v>763</v>
      </c>
      <c r="B765" t="s">
        <v>943</v>
      </c>
      <c r="C765" t="s">
        <v>30</v>
      </c>
      <c r="D765">
        <v>0.17056631955325499</v>
      </c>
    </row>
    <row r="766" spans="1:4" hidden="1" x14ac:dyDescent="0.3">
      <c r="A766">
        <v>764</v>
      </c>
      <c r="B766" t="s">
        <v>944</v>
      </c>
      <c r="C766" t="s">
        <v>32</v>
      </c>
      <c r="D766">
        <v>5.3234106855218601E-2</v>
      </c>
    </row>
    <row r="767" spans="1:4" hidden="1" x14ac:dyDescent="0.3">
      <c r="A767">
        <v>765</v>
      </c>
      <c r="B767" s="1" t="s">
        <v>945</v>
      </c>
      <c r="C767" t="s">
        <v>148</v>
      </c>
      <c r="D767" s="1" t="s">
        <v>946</v>
      </c>
    </row>
    <row r="768" spans="1:4" hidden="1" x14ac:dyDescent="0.3">
      <c r="A768">
        <v>766</v>
      </c>
      <c r="B768" t="s">
        <v>947</v>
      </c>
      <c r="C768" t="s">
        <v>40</v>
      </c>
      <c r="D768">
        <v>0.25263281439270902</v>
      </c>
    </row>
    <row r="769" spans="1:4" hidden="1" x14ac:dyDescent="0.3">
      <c r="A769">
        <v>767</v>
      </c>
      <c r="B769" t="s">
        <v>948</v>
      </c>
      <c r="C769" t="s">
        <v>42</v>
      </c>
      <c r="D769">
        <v>4.7820748934973102E-2</v>
      </c>
    </row>
    <row r="770" spans="1:4" hidden="1" x14ac:dyDescent="0.3">
      <c r="A770">
        <v>768</v>
      </c>
      <c r="B770" s="1" t="s">
        <v>949</v>
      </c>
      <c r="C770" t="s">
        <v>152</v>
      </c>
      <c r="D770" s="1" t="s">
        <v>950</v>
      </c>
    </row>
    <row r="771" spans="1:4" hidden="1" x14ac:dyDescent="0.3">
      <c r="A771">
        <v>769</v>
      </c>
      <c r="B771" t="s">
        <v>153</v>
      </c>
      <c r="C771" t="s">
        <v>154</v>
      </c>
      <c r="D771">
        <v>1</v>
      </c>
    </row>
    <row r="772" spans="1:4" hidden="1" x14ac:dyDescent="0.3">
      <c r="A772">
        <v>770</v>
      </c>
      <c r="B772" t="s">
        <v>155</v>
      </c>
      <c r="C772" t="s">
        <v>156</v>
      </c>
      <c r="D772">
        <v>1</v>
      </c>
    </row>
    <row r="773" spans="1:4" hidden="1" x14ac:dyDescent="0.3">
      <c r="A773">
        <v>771</v>
      </c>
      <c r="B773" s="1" t="s">
        <v>951</v>
      </c>
      <c r="C773" t="s">
        <v>158</v>
      </c>
      <c r="D773" s="1" t="s">
        <v>952</v>
      </c>
    </row>
    <row r="774" spans="1:4" hidden="1" x14ac:dyDescent="0.3">
      <c r="A774">
        <v>772</v>
      </c>
      <c r="B774" t="s">
        <v>953</v>
      </c>
      <c r="C774" t="s">
        <v>161</v>
      </c>
      <c r="D774">
        <v>0.99934926851458805</v>
      </c>
    </row>
    <row r="775" spans="1:4" hidden="1" x14ac:dyDescent="0.3">
      <c r="A775">
        <v>773</v>
      </c>
      <c r="B775" t="s">
        <v>954</v>
      </c>
      <c r="C775" t="s">
        <v>163</v>
      </c>
      <c r="D775">
        <v>1.0007387249636599</v>
      </c>
    </row>
    <row r="776" spans="1:4" hidden="1" x14ac:dyDescent="0.3">
      <c r="A776">
        <v>774</v>
      </c>
      <c r="B776" s="1" t="s">
        <v>955</v>
      </c>
      <c r="C776" t="s">
        <v>165</v>
      </c>
      <c r="D776" s="1" t="s">
        <v>956</v>
      </c>
    </row>
    <row r="777" spans="1:4" hidden="1" x14ac:dyDescent="0.3">
      <c r="A777">
        <v>775</v>
      </c>
      <c r="B777" s="1" t="s">
        <v>957</v>
      </c>
      <c r="C777" t="s">
        <v>55</v>
      </c>
      <c r="D777" s="1" t="s">
        <v>958</v>
      </c>
    </row>
    <row r="778" spans="1:4" hidden="1" x14ac:dyDescent="0.3">
      <c r="A778">
        <v>776</v>
      </c>
      <c r="B778" s="1" t="s">
        <v>959</v>
      </c>
      <c r="C778" t="s">
        <v>52</v>
      </c>
      <c r="D778" s="1" t="s">
        <v>960</v>
      </c>
    </row>
    <row r="779" spans="1:4" hidden="1" x14ac:dyDescent="0.3">
      <c r="A779">
        <v>777</v>
      </c>
      <c r="B779" s="1" t="s">
        <v>961</v>
      </c>
      <c r="C779" t="s">
        <v>58</v>
      </c>
      <c r="D779" s="1" t="s">
        <v>962</v>
      </c>
    </row>
    <row r="780" spans="1:4" hidden="1" x14ac:dyDescent="0.3">
      <c r="A780">
        <v>778</v>
      </c>
      <c r="B780" t="s">
        <v>963</v>
      </c>
      <c r="C780" t="s">
        <v>60</v>
      </c>
      <c r="D780">
        <v>149977338.25129399</v>
      </c>
    </row>
    <row r="781" spans="1:4" hidden="1" x14ac:dyDescent="0.3">
      <c r="A781">
        <v>779</v>
      </c>
      <c r="B781" t="s">
        <v>964</v>
      </c>
      <c r="C781" t="s">
        <v>62</v>
      </c>
      <c r="D781">
        <v>80000634.106855005</v>
      </c>
    </row>
    <row r="782" spans="1:4" hidden="1" x14ac:dyDescent="0.3">
      <c r="A782">
        <v>780</v>
      </c>
      <c r="B782" t="s">
        <v>965</v>
      </c>
      <c r="C782" t="s">
        <v>64</v>
      </c>
      <c r="D782">
        <v>35000046.957856096</v>
      </c>
    </row>
    <row r="783" spans="1:4" hidden="1" x14ac:dyDescent="0.3">
      <c r="A783">
        <v>781</v>
      </c>
      <c r="B783" s="1" t="s">
        <v>966</v>
      </c>
      <c r="C783" t="s">
        <v>66</v>
      </c>
      <c r="D783" s="1" t="s">
        <v>967</v>
      </c>
    </row>
    <row r="784" spans="1:4" hidden="1" x14ac:dyDescent="0.3">
      <c r="A784">
        <v>782</v>
      </c>
      <c r="B784" s="1" t="s">
        <v>968</v>
      </c>
      <c r="C784" t="s">
        <v>69</v>
      </c>
      <c r="D784" s="1" t="s">
        <v>969</v>
      </c>
    </row>
    <row r="785" spans="1:4" hidden="1" x14ac:dyDescent="0.3">
      <c r="A785">
        <v>783</v>
      </c>
      <c r="B785" t="s">
        <v>970</v>
      </c>
      <c r="C785" t="s">
        <v>72</v>
      </c>
      <c r="D785">
        <v>1.0000381641423099</v>
      </c>
    </row>
    <row r="786" spans="1:4" hidden="1" x14ac:dyDescent="0.3">
      <c r="A786">
        <v>784</v>
      </c>
      <c r="B786" t="s">
        <v>73</v>
      </c>
      <c r="C786" t="s">
        <v>74</v>
      </c>
      <c r="D786">
        <v>2.7397260273972599E-3</v>
      </c>
    </row>
    <row r="787" spans="1:4" hidden="1" x14ac:dyDescent="0.3">
      <c r="A787">
        <v>785</v>
      </c>
      <c r="B787" t="s">
        <v>75</v>
      </c>
      <c r="C787" t="s">
        <v>76</v>
      </c>
      <c r="D787">
        <v>0</v>
      </c>
    </row>
    <row r="788" spans="1:4" hidden="1" x14ac:dyDescent="0.3">
      <c r="A788">
        <v>786</v>
      </c>
      <c r="B788" t="s">
        <v>77</v>
      </c>
      <c r="C788" t="s">
        <v>78</v>
      </c>
      <c r="D788">
        <v>0</v>
      </c>
    </row>
    <row r="789" spans="1:4" hidden="1" x14ac:dyDescent="0.3">
      <c r="A789">
        <v>787</v>
      </c>
      <c r="B789" s="1" t="s">
        <v>971</v>
      </c>
      <c r="C789" t="s">
        <v>80</v>
      </c>
      <c r="D789" s="1" t="s">
        <v>972</v>
      </c>
    </row>
    <row r="790" spans="1:4" hidden="1" x14ac:dyDescent="0.3">
      <c r="A790">
        <v>788</v>
      </c>
      <c r="B790" t="s">
        <v>973</v>
      </c>
      <c r="C790" t="s">
        <v>83</v>
      </c>
      <c r="D790">
        <v>1.0000300207853201</v>
      </c>
    </row>
    <row r="791" spans="1:4" hidden="1" x14ac:dyDescent="0.3">
      <c r="A791">
        <v>789</v>
      </c>
      <c r="B791" s="1" t="s">
        <v>974</v>
      </c>
      <c r="C791" t="s">
        <v>85</v>
      </c>
      <c r="D791" s="1" t="s">
        <v>975</v>
      </c>
    </row>
    <row r="792" spans="1:4" hidden="1" x14ac:dyDescent="0.3">
      <c r="A792">
        <v>790</v>
      </c>
      <c r="B792" t="s">
        <v>976</v>
      </c>
      <c r="C792" t="s">
        <v>88</v>
      </c>
      <c r="D792">
        <v>100000680.777264</v>
      </c>
    </row>
    <row r="793" spans="1:4" hidden="1" x14ac:dyDescent="0.3">
      <c r="A793">
        <v>791</v>
      </c>
      <c r="B793" s="1" t="s">
        <v>977</v>
      </c>
      <c r="C793" t="s">
        <v>90</v>
      </c>
      <c r="D793" s="1" t="s">
        <v>923</v>
      </c>
    </row>
    <row r="794" spans="1:4" hidden="1" x14ac:dyDescent="0.3">
      <c r="A794">
        <v>792</v>
      </c>
      <c r="B794" t="s">
        <v>978</v>
      </c>
      <c r="C794" t="s">
        <v>93</v>
      </c>
      <c r="D794">
        <v>80000634.106855005</v>
      </c>
    </row>
    <row r="795" spans="1:4" hidden="1" x14ac:dyDescent="0.3">
      <c r="A795">
        <v>793</v>
      </c>
      <c r="B795" t="s">
        <v>979</v>
      </c>
      <c r="C795" t="s">
        <v>95</v>
      </c>
      <c r="D795">
        <v>35000046.957856096</v>
      </c>
    </row>
    <row r="796" spans="1:4" hidden="1" x14ac:dyDescent="0.3">
      <c r="A796">
        <v>794</v>
      </c>
      <c r="B796" t="s">
        <v>980</v>
      </c>
      <c r="C796" t="s">
        <v>97</v>
      </c>
      <c r="D796">
        <v>34976657.186583199</v>
      </c>
    </row>
    <row r="797" spans="1:4" hidden="1" x14ac:dyDescent="0.3">
      <c r="A797">
        <v>795</v>
      </c>
      <c r="B797" s="1" t="s">
        <v>981</v>
      </c>
      <c r="C797" t="s">
        <v>99</v>
      </c>
      <c r="D797" s="1" t="s">
        <v>982</v>
      </c>
    </row>
    <row r="798" spans="1:4" hidden="1" x14ac:dyDescent="0.3">
      <c r="A798">
        <v>796</v>
      </c>
      <c r="B798" t="s">
        <v>983</v>
      </c>
      <c r="C798" t="s">
        <v>102</v>
      </c>
      <c r="D798">
        <v>1.10393899998525E-2</v>
      </c>
    </row>
    <row r="799" spans="1:4" hidden="1" x14ac:dyDescent="0.3">
      <c r="A799">
        <v>797</v>
      </c>
      <c r="B799" t="s">
        <v>984</v>
      </c>
      <c r="C799" t="s">
        <v>104</v>
      </c>
      <c r="D799">
        <v>5.3197994149093504E-4</v>
      </c>
    </row>
    <row r="800" spans="1:4" hidden="1" x14ac:dyDescent="0.3">
      <c r="A800">
        <v>798</v>
      </c>
      <c r="B800" t="s">
        <v>985</v>
      </c>
      <c r="C800" t="s">
        <v>106</v>
      </c>
      <c r="D800">
        <v>1.45884442016018E-2</v>
      </c>
    </row>
    <row r="801" spans="1:4" hidden="1" x14ac:dyDescent="0.3">
      <c r="A801">
        <v>799</v>
      </c>
      <c r="B801" s="1" t="s">
        <v>986</v>
      </c>
      <c r="C801" t="s">
        <v>108</v>
      </c>
      <c r="D801" s="1" t="s">
        <v>987</v>
      </c>
    </row>
    <row r="802" spans="1:4" x14ac:dyDescent="0.3">
      <c r="A802">
        <v>800</v>
      </c>
      <c r="B802" t="s">
        <v>988</v>
      </c>
      <c r="C802" t="s">
        <v>196</v>
      </c>
      <c r="D802">
        <v>149977057.87342599</v>
      </c>
    </row>
    <row r="803" spans="1:4" hidden="1" x14ac:dyDescent="0.3">
      <c r="A803">
        <v>801</v>
      </c>
      <c r="B803" t="s">
        <v>989</v>
      </c>
      <c r="C803" t="s">
        <v>198</v>
      </c>
      <c r="D803">
        <v>651.44718892769697</v>
      </c>
    </row>
    <row r="804" spans="1:4" hidden="1" x14ac:dyDescent="0.3">
      <c r="A804">
        <v>802</v>
      </c>
      <c r="B804" t="s">
        <v>990</v>
      </c>
      <c r="C804" t="s">
        <v>200</v>
      </c>
      <c r="D804">
        <v>285.00674994723198</v>
      </c>
    </row>
    <row r="805" spans="1:4" hidden="1" x14ac:dyDescent="0.3">
      <c r="A805">
        <v>803</v>
      </c>
      <c r="B805" s="1" t="s">
        <v>991</v>
      </c>
      <c r="C805" t="s">
        <v>202</v>
      </c>
      <c r="D805" s="1" t="s">
        <v>992</v>
      </c>
    </row>
    <row r="806" spans="1:4" hidden="1" x14ac:dyDescent="0.3">
      <c r="A806">
        <v>804</v>
      </c>
      <c r="B806" t="s">
        <v>993</v>
      </c>
      <c r="C806" t="s">
        <v>205</v>
      </c>
      <c r="D806">
        <v>79999777.271825805</v>
      </c>
    </row>
    <row r="807" spans="1:4" hidden="1" x14ac:dyDescent="0.3">
      <c r="A807">
        <v>805</v>
      </c>
      <c r="B807" t="s">
        <v>994</v>
      </c>
      <c r="C807" t="s">
        <v>207</v>
      </c>
      <c r="D807">
        <v>34999731.220386103</v>
      </c>
    </row>
    <row r="808" spans="1:4" hidden="1" x14ac:dyDescent="0.3">
      <c r="A808">
        <v>806</v>
      </c>
      <c r="B808" t="s">
        <v>995</v>
      </c>
      <c r="C808" t="s">
        <v>209</v>
      </c>
      <c r="D808">
        <v>34976328.111099802</v>
      </c>
    </row>
    <row r="809" spans="1:4" hidden="1" x14ac:dyDescent="0.3">
      <c r="A809">
        <v>807</v>
      </c>
      <c r="B809" s="1" t="s">
        <v>996</v>
      </c>
      <c r="C809" t="s">
        <v>211</v>
      </c>
      <c r="D809" s="1" t="s">
        <v>997</v>
      </c>
    </row>
    <row r="810" spans="1:4" hidden="1" x14ac:dyDescent="0.3">
      <c r="A810">
        <v>808</v>
      </c>
      <c r="B810" t="s">
        <v>998</v>
      </c>
      <c r="C810" t="s">
        <v>214</v>
      </c>
      <c r="D810">
        <v>99999866.467098594</v>
      </c>
    </row>
    <row r="811" spans="1:4" hidden="1" x14ac:dyDescent="0.3">
      <c r="A811">
        <v>809</v>
      </c>
      <c r="B811" t="s">
        <v>999</v>
      </c>
      <c r="C811" t="s">
        <v>216</v>
      </c>
      <c r="D811">
        <v>814.31016591191201</v>
      </c>
    </row>
    <row r="812" spans="1:4" hidden="1" x14ac:dyDescent="0.3">
      <c r="A812">
        <v>810</v>
      </c>
      <c r="B812" s="1" t="s">
        <v>1000</v>
      </c>
      <c r="C812" t="s">
        <v>218</v>
      </c>
      <c r="D812" s="1" t="s">
        <v>1001</v>
      </c>
    </row>
    <row r="813" spans="1:4" hidden="1" x14ac:dyDescent="0.3">
      <c r="A813">
        <v>811</v>
      </c>
      <c r="B813" t="s">
        <v>1002</v>
      </c>
      <c r="C813" t="s">
        <v>111</v>
      </c>
      <c r="D813">
        <v>-205.38784025718201</v>
      </c>
    </row>
    <row r="814" spans="1:4" hidden="1" x14ac:dyDescent="0.3">
      <c r="A814">
        <v>812</v>
      </c>
      <c r="B814" t="s">
        <v>1003</v>
      </c>
      <c r="C814" t="s">
        <v>113</v>
      </c>
      <c r="D814">
        <v>-30.730720047294</v>
      </c>
    </row>
    <row r="815" spans="1:4" hidden="1" x14ac:dyDescent="0.3">
      <c r="A815">
        <v>813</v>
      </c>
      <c r="B815" s="1" t="s">
        <v>1004</v>
      </c>
      <c r="C815" t="s">
        <v>115</v>
      </c>
      <c r="D815" s="1" t="s">
        <v>1005</v>
      </c>
    </row>
    <row r="816" spans="1:4" hidden="1" x14ac:dyDescent="0.3">
      <c r="A816">
        <v>814</v>
      </c>
      <c r="B816" t="s">
        <v>1006</v>
      </c>
      <c r="C816" t="s">
        <v>118</v>
      </c>
      <c r="D816">
        <v>79999777.271825805</v>
      </c>
    </row>
    <row r="817" spans="1:4" hidden="1" x14ac:dyDescent="0.3">
      <c r="A817">
        <v>815</v>
      </c>
      <c r="B817" t="s">
        <v>1007</v>
      </c>
      <c r="C817" t="s">
        <v>120</v>
      </c>
      <c r="D817">
        <v>34999731.220386103</v>
      </c>
    </row>
    <row r="818" spans="1:4" hidden="1" x14ac:dyDescent="0.3">
      <c r="A818">
        <v>816</v>
      </c>
      <c r="B818" s="1" t="s">
        <v>1008</v>
      </c>
      <c r="C818" t="s">
        <v>122</v>
      </c>
      <c r="D818" s="1" t="s">
        <v>1009</v>
      </c>
    </row>
    <row r="819" spans="1:4" hidden="1" x14ac:dyDescent="0.3">
      <c r="A819">
        <v>817</v>
      </c>
      <c r="B819" t="s">
        <v>1010</v>
      </c>
      <c r="C819" t="s">
        <v>125</v>
      </c>
      <c r="D819">
        <v>0.79997482510743201</v>
      </c>
    </row>
    <row r="820" spans="1:4" hidden="1" x14ac:dyDescent="0.3">
      <c r="A820">
        <v>818</v>
      </c>
      <c r="B820" t="s">
        <v>1011</v>
      </c>
      <c r="C820" t="s">
        <v>127</v>
      </c>
      <c r="D820">
        <v>0.34998727267327201</v>
      </c>
    </row>
    <row r="821" spans="1:4" hidden="1" x14ac:dyDescent="0.3">
      <c r="A821">
        <v>819</v>
      </c>
      <c r="B821" s="1" t="s">
        <v>1012</v>
      </c>
      <c r="C821" t="s">
        <v>129</v>
      </c>
      <c r="D821" s="1" t="s">
        <v>1013</v>
      </c>
    </row>
    <row r="822" spans="1:4" hidden="1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1794.03</v>
      </c>
    </row>
    <row r="824" spans="1:4" hidden="1" x14ac:dyDescent="0.3">
      <c r="A824">
        <v>822</v>
      </c>
      <c r="B824" s="1" t="s">
        <v>131</v>
      </c>
      <c r="C824" t="s">
        <v>9</v>
      </c>
      <c r="D824" s="1" t="s">
        <v>132</v>
      </c>
    </row>
    <row r="825" spans="1:4" hidden="1" x14ac:dyDescent="0.3">
      <c r="A825">
        <v>823</v>
      </c>
      <c r="B825" t="s">
        <v>13</v>
      </c>
      <c r="C825" t="s">
        <v>14</v>
      </c>
      <c r="D825">
        <v>99.65234375</v>
      </c>
    </row>
    <row r="826" spans="1:4" hidden="1" x14ac:dyDescent="0.3">
      <c r="A826">
        <v>824</v>
      </c>
      <c r="B826" t="s">
        <v>15</v>
      </c>
      <c r="C826" t="s">
        <v>16</v>
      </c>
      <c r="D826">
        <v>4.4080893559260401</v>
      </c>
    </row>
    <row r="827" spans="1:4" hidden="1" x14ac:dyDescent="0.3">
      <c r="A827">
        <v>825</v>
      </c>
      <c r="B827" s="1" t="s">
        <v>133</v>
      </c>
      <c r="C827" t="s">
        <v>134</v>
      </c>
      <c r="D827" s="1" t="s">
        <v>135</v>
      </c>
    </row>
    <row r="828" spans="1:4" hidden="1" x14ac:dyDescent="0.3">
      <c r="A828">
        <v>826</v>
      </c>
      <c r="B828" t="s">
        <v>21</v>
      </c>
      <c r="C828" t="s">
        <v>22</v>
      </c>
      <c r="D828">
        <v>67.8</v>
      </c>
    </row>
    <row r="829" spans="1:4" hidden="1" x14ac:dyDescent="0.3">
      <c r="A829">
        <v>827</v>
      </c>
      <c r="B829" t="s">
        <v>1014</v>
      </c>
      <c r="C829" t="s">
        <v>24</v>
      </c>
      <c r="D829">
        <v>6.2289863934906498</v>
      </c>
    </row>
    <row r="830" spans="1:4" hidden="1" x14ac:dyDescent="0.3">
      <c r="A830">
        <v>828</v>
      </c>
      <c r="B830" s="1" t="s">
        <v>1015</v>
      </c>
      <c r="C830" t="s">
        <v>138</v>
      </c>
      <c r="D830" s="1" t="s">
        <v>1016</v>
      </c>
    </row>
    <row r="831" spans="1:4" hidden="1" x14ac:dyDescent="0.3">
      <c r="A831">
        <v>829</v>
      </c>
      <c r="B831" t="s">
        <v>1017</v>
      </c>
      <c r="C831" t="s">
        <v>35</v>
      </c>
      <c r="D831">
        <v>0.57873852584864205</v>
      </c>
    </row>
    <row r="832" spans="1:4" hidden="1" x14ac:dyDescent="0.3">
      <c r="A832">
        <v>830</v>
      </c>
      <c r="B832" t="s">
        <v>1018</v>
      </c>
      <c r="C832" t="s">
        <v>142</v>
      </c>
      <c r="D832">
        <v>0.90816212022153897</v>
      </c>
    </row>
    <row r="833" spans="1:4" hidden="1" x14ac:dyDescent="0.3">
      <c r="A833">
        <v>831</v>
      </c>
      <c r="B833" s="1" t="s">
        <v>1019</v>
      </c>
      <c r="C833" t="s">
        <v>144</v>
      </c>
      <c r="D833" s="1" t="s">
        <v>1020</v>
      </c>
    </row>
    <row r="834" spans="1:4" hidden="1" x14ac:dyDescent="0.3">
      <c r="A834">
        <v>832</v>
      </c>
      <c r="B834" t="s">
        <v>1021</v>
      </c>
      <c r="C834" t="s">
        <v>30</v>
      </c>
      <c r="D834">
        <v>0.17113930672987601</v>
      </c>
    </row>
    <row r="835" spans="1:4" hidden="1" x14ac:dyDescent="0.3">
      <c r="A835">
        <v>833</v>
      </c>
      <c r="B835" t="s">
        <v>1022</v>
      </c>
      <c r="C835" t="s">
        <v>32</v>
      </c>
      <c r="D835">
        <v>5.3155373862185697E-2</v>
      </c>
    </row>
    <row r="836" spans="1:4" hidden="1" x14ac:dyDescent="0.3">
      <c r="A836">
        <v>834</v>
      </c>
      <c r="B836" s="1" t="s">
        <v>1023</v>
      </c>
      <c r="C836" t="s">
        <v>148</v>
      </c>
      <c r="D836" s="1" t="s">
        <v>1024</v>
      </c>
    </row>
    <row r="837" spans="1:4" hidden="1" x14ac:dyDescent="0.3">
      <c r="A837">
        <v>835</v>
      </c>
      <c r="B837" t="s">
        <v>1025</v>
      </c>
      <c r="C837" t="s">
        <v>40</v>
      </c>
      <c r="D837">
        <v>0.25012216742148102</v>
      </c>
    </row>
    <row r="838" spans="1:4" hidden="1" x14ac:dyDescent="0.3">
      <c r="A838">
        <v>836</v>
      </c>
      <c r="B838" t="s">
        <v>1026</v>
      </c>
      <c r="C838" t="s">
        <v>42</v>
      </c>
      <c r="D838">
        <v>4.7969610029519702E-2</v>
      </c>
    </row>
    <row r="839" spans="1:4" hidden="1" x14ac:dyDescent="0.3">
      <c r="A839">
        <v>837</v>
      </c>
      <c r="B839" s="1" t="s">
        <v>1027</v>
      </c>
      <c r="C839" t="s">
        <v>152</v>
      </c>
      <c r="D839" s="1" t="s">
        <v>1028</v>
      </c>
    </row>
    <row r="840" spans="1:4" hidden="1" x14ac:dyDescent="0.3">
      <c r="A840">
        <v>838</v>
      </c>
      <c r="B840" t="s">
        <v>153</v>
      </c>
      <c r="C840" t="s">
        <v>154</v>
      </c>
      <c r="D840">
        <v>1</v>
      </c>
    </row>
    <row r="841" spans="1:4" hidden="1" x14ac:dyDescent="0.3">
      <c r="A841">
        <v>839</v>
      </c>
      <c r="B841" t="s">
        <v>155</v>
      </c>
      <c r="C841" t="s">
        <v>156</v>
      </c>
      <c r="D841">
        <v>1</v>
      </c>
    </row>
    <row r="842" spans="1:4" hidden="1" x14ac:dyDescent="0.3">
      <c r="A842">
        <v>840</v>
      </c>
      <c r="B842" s="1" t="s">
        <v>1029</v>
      </c>
      <c r="C842" t="s">
        <v>158</v>
      </c>
      <c r="D842" s="1" t="s">
        <v>1030</v>
      </c>
    </row>
    <row r="843" spans="1:4" hidden="1" x14ac:dyDescent="0.3">
      <c r="A843">
        <v>841</v>
      </c>
      <c r="B843" t="s">
        <v>1031</v>
      </c>
      <c r="C843" t="s">
        <v>161</v>
      </c>
      <c r="D843">
        <v>0.99996968775699302</v>
      </c>
    </row>
    <row r="844" spans="1:4" hidden="1" x14ac:dyDescent="0.3">
      <c r="A844">
        <v>842</v>
      </c>
      <c r="B844" t="s">
        <v>1032</v>
      </c>
      <c r="C844" t="s">
        <v>163</v>
      </c>
      <c r="D844">
        <v>0.99992524644566605</v>
      </c>
    </row>
    <row r="845" spans="1:4" hidden="1" x14ac:dyDescent="0.3">
      <c r="A845">
        <v>843</v>
      </c>
      <c r="B845" s="1" t="s">
        <v>1033</v>
      </c>
      <c r="C845" t="s">
        <v>165</v>
      </c>
      <c r="D845" s="1" t="s">
        <v>1034</v>
      </c>
    </row>
    <row r="846" spans="1:4" hidden="1" x14ac:dyDescent="0.3">
      <c r="A846">
        <v>844</v>
      </c>
      <c r="B846" s="1" t="s">
        <v>1035</v>
      </c>
      <c r="C846" t="s">
        <v>55</v>
      </c>
      <c r="D846" s="1" t="s">
        <v>1036</v>
      </c>
    </row>
    <row r="847" spans="1:4" hidden="1" x14ac:dyDescent="0.3">
      <c r="A847">
        <v>845</v>
      </c>
      <c r="B847" s="1" t="s">
        <v>1037</v>
      </c>
      <c r="C847" t="s">
        <v>52</v>
      </c>
      <c r="D847" s="1" t="s">
        <v>1038</v>
      </c>
    </row>
    <row r="848" spans="1:4" hidden="1" x14ac:dyDescent="0.3">
      <c r="A848">
        <v>846</v>
      </c>
      <c r="B848" s="1" t="s">
        <v>1039</v>
      </c>
      <c r="C848" t="s">
        <v>58</v>
      </c>
      <c r="D848" s="1" t="s">
        <v>1040</v>
      </c>
    </row>
    <row r="849" spans="1:4" hidden="1" x14ac:dyDescent="0.3">
      <c r="A849">
        <v>847</v>
      </c>
      <c r="B849" t="s">
        <v>1041</v>
      </c>
      <c r="C849" t="s">
        <v>60</v>
      </c>
      <c r="D849">
        <v>149973491.06773499</v>
      </c>
    </row>
    <row r="850" spans="1:4" hidden="1" x14ac:dyDescent="0.3">
      <c r="A850">
        <v>848</v>
      </c>
      <c r="B850" t="s">
        <v>1042</v>
      </c>
      <c r="C850" t="s">
        <v>62</v>
      </c>
      <c r="D850">
        <v>79999777.271825805</v>
      </c>
    </row>
    <row r="851" spans="1:4" hidden="1" x14ac:dyDescent="0.3">
      <c r="A851">
        <v>849</v>
      </c>
      <c r="B851" t="s">
        <v>1043</v>
      </c>
      <c r="C851" t="s">
        <v>64</v>
      </c>
      <c r="D851">
        <v>34999731.220386103</v>
      </c>
    </row>
    <row r="852" spans="1:4" hidden="1" x14ac:dyDescent="0.3">
      <c r="A852">
        <v>850</v>
      </c>
      <c r="B852" s="1" t="s">
        <v>1044</v>
      </c>
      <c r="C852" t="s">
        <v>66</v>
      </c>
      <c r="D852" s="1" t="s">
        <v>1045</v>
      </c>
    </row>
    <row r="853" spans="1:4" hidden="1" x14ac:dyDescent="0.3">
      <c r="A853">
        <v>851</v>
      </c>
      <c r="B853" s="1" t="s">
        <v>1046</v>
      </c>
      <c r="C853" t="s">
        <v>69</v>
      </c>
      <c r="D853" s="1" t="s">
        <v>1047</v>
      </c>
    </row>
    <row r="854" spans="1:4" hidden="1" x14ac:dyDescent="0.3">
      <c r="A854">
        <v>852</v>
      </c>
      <c r="B854" t="s">
        <v>1048</v>
      </c>
      <c r="C854" t="s">
        <v>72</v>
      </c>
      <c r="D854">
        <v>1.0000300207853201</v>
      </c>
    </row>
    <row r="855" spans="1:4" hidden="1" x14ac:dyDescent="0.3">
      <c r="A855">
        <v>853</v>
      </c>
      <c r="B855" t="s">
        <v>73</v>
      </c>
      <c r="C855" t="s">
        <v>74</v>
      </c>
      <c r="D855">
        <v>2.7397260273972599E-3</v>
      </c>
    </row>
    <row r="856" spans="1:4" hidden="1" x14ac:dyDescent="0.3">
      <c r="A856">
        <v>854</v>
      </c>
      <c r="B856" t="s">
        <v>75</v>
      </c>
      <c r="C856" t="s">
        <v>76</v>
      </c>
      <c r="D856">
        <v>0</v>
      </c>
    </row>
    <row r="857" spans="1:4" hidden="1" x14ac:dyDescent="0.3">
      <c r="A857">
        <v>855</v>
      </c>
      <c r="B857" t="s">
        <v>77</v>
      </c>
      <c r="C857" t="s">
        <v>78</v>
      </c>
      <c r="D857">
        <v>0</v>
      </c>
    </row>
    <row r="858" spans="1:4" hidden="1" x14ac:dyDescent="0.3">
      <c r="A858">
        <v>856</v>
      </c>
      <c r="B858" s="1" t="s">
        <v>1049</v>
      </c>
      <c r="C858" t="s">
        <v>80</v>
      </c>
      <c r="D858" s="1" t="s">
        <v>1050</v>
      </c>
    </row>
    <row r="859" spans="1:4" hidden="1" x14ac:dyDescent="0.3">
      <c r="A859">
        <v>857</v>
      </c>
      <c r="B859" t="s">
        <v>1051</v>
      </c>
      <c r="C859" t="s">
        <v>83</v>
      </c>
      <c r="D859">
        <v>1.0000115836313299</v>
      </c>
    </row>
    <row r="860" spans="1:4" hidden="1" x14ac:dyDescent="0.3">
      <c r="A860">
        <v>858</v>
      </c>
      <c r="B860" s="1" t="s">
        <v>1052</v>
      </c>
      <c r="C860" t="s">
        <v>85</v>
      </c>
      <c r="D860" s="1" t="s">
        <v>1053</v>
      </c>
    </row>
    <row r="861" spans="1:4" hidden="1" x14ac:dyDescent="0.3">
      <c r="A861">
        <v>859</v>
      </c>
      <c r="B861" t="s">
        <v>1054</v>
      </c>
      <c r="C861" t="s">
        <v>88</v>
      </c>
      <c r="D861">
        <v>100002524.483858</v>
      </c>
    </row>
    <row r="862" spans="1:4" hidden="1" x14ac:dyDescent="0.3">
      <c r="A862">
        <v>860</v>
      </c>
      <c r="B862" s="1" t="s">
        <v>1055</v>
      </c>
      <c r="C862" t="s">
        <v>90</v>
      </c>
      <c r="D862" s="1" t="s">
        <v>1001</v>
      </c>
    </row>
    <row r="863" spans="1:4" hidden="1" x14ac:dyDescent="0.3">
      <c r="A863">
        <v>861</v>
      </c>
      <c r="B863" t="s">
        <v>1056</v>
      </c>
      <c r="C863" t="s">
        <v>93</v>
      </c>
      <c r="D863">
        <v>79999777.271825805</v>
      </c>
    </row>
    <row r="864" spans="1:4" hidden="1" x14ac:dyDescent="0.3">
      <c r="A864">
        <v>862</v>
      </c>
      <c r="B864" t="s">
        <v>1057</v>
      </c>
      <c r="C864" t="s">
        <v>95</v>
      </c>
      <c r="D864">
        <v>34999731.220386103</v>
      </c>
    </row>
    <row r="865" spans="1:4" hidden="1" x14ac:dyDescent="0.3">
      <c r="A865">
        <v>863</v>
      </c>
      <c r="B865" t="s">
        <v>1058</v>
      </c>
      <c r="C865" t="s">
        <v>97</v>
      </c>
      <c r="D865">
        <v>34973982.575523801</v>
      </c>
    </row>
    <row r="866" spans="1:4" hidden="1" x14ac:dyDescent="0.3">
      <c r="A866">
        <v>864</v>
      </c>
      <c r="B866" s="1" t="s">
        <v>1059</v>
      </c>
      <c r="C866" t="s">
        <v>99</v>
      </c>
      <c r="D866" s="1" t="s">
        <v>1060</v>
      </c>
    </row>
    <row r="867" spans="1:4" hidden="1" x14ac:dyDescent="0.3">
      <c r="A867">
        <v>865</v>
      </c>
      <c r="B867" t="s">
        <v>1061</v>
      </c>
      <c r="C867" t="s">
        <v>102</v>
      </c>
      <c r="D867">
        <v>1.1084229341733099E-2</v>
      </c>
    </row>
    <row r="868" spans="1:4" hidden="1" x14ac:dyDescent="0.3">
      <c r="A868">
        <v>866</v>
      </c>
      <c r="B868" t="s">
        <v>1062</v>
      </c>
      <c r="C868" t="s">
        <v>104</v>
      </c>
      <c r="D868">
        <v>5.35017103262932E-4</v>
      </c>
    </row>
    <row r="869" spans="1:4" hidden="1" x14ac:dyDescent="0.3">
      <c r="A869">
        <v>867</v>
      </c>
      <c r="B869" t="s">
        <v>1063</v>
      </c>
      <c r="C869" t="s">
        <v>106</v>
      </c>
      <c r="D869">
        <v>1.4624608513444701E-2</v>
      </c>
    </row>
    <row r="870" spans="1:4" hidden="1" x14ac:dyDescent="0.3">
      <c r="A870">
        <v>868</v>
      </c>
      <c r="B870" s="1" t="s">
        <v>1064</v>
      </c>
      <c r="C870" t="s">
        <v>108</v>
      </c>
      <c r="D870" s="1" t="s">
        <v>1065</v>
      </c>
    </row>
    <row r="871" spans="1:4" x14ac:dyDescent="0.3">
      <c r="A871">
        <v>869</v>
      </c>
      <c r="B871" t="s">
        <v>1066</v>
      </c>
      <c r="C871" t="s">
        <v>196</v>
      </c>
      <c r="D871">
        <v>149972856.16153601</v>
      </c>
    </row>
    <row r="872" spans="1:4" hidden="1" x14ac:dyDescent="0.3">
      <c r="A872">
        <v>870</v>
      </c>
      <c r="B872" t="s">
        <v>1067</v>
      </c>
      <c r="C872" t="s">
        <v>198</v>
      </c>
      <c r="D872">
        <v>1474.91486835504</v>
      </c>
    </row>
    <row r="873" spans="1:4" hidden="1" x14ac:dyDescent="0.3">
      <c r="A873">
        <v>871</v>
      </c>
      <c r="B873" t="s">
        <v>1068</v>
      </c>
      <c r="C873" t="s">
        <v>200</v>
      </c>
      <c r="D873">
        <v>645.27470489244604</v>
      </c>
    </row>
    <row r="874" spans="1:4" hidden="1" x14ac:dyDescent="0.3">
      <c r="A874">
        <v>872</v>
      </c>
      <c r="B874" s="1" t="s">
        <v>1069</v>
      </c>
      <c r="C874" t="s">
        <v>202</v>
      </c>
      <c r="D874" s="1" t="s">
        <v>1070</v>
      </c>
    </row>
    <row r="875" spans="1:4" hidden="1" x14ac:dyDescent="0.3">
      <c r="A875">
        <v>873</v>
      </c>
      <c r="B875" t="s">
        <v>1071</v>
      </c>
      <c r="C875" t="s">
        <v>205</v>
      </c>
      <c r="D875">
        <v>79997810.601568595</v>
      </c>
    </row>
    <row r="876" spans="1:4" hidden="1" x14ac:dyDescent="0.3">
      <c r="A876">
        <v>874</v>
      </c>
      <c r="B876" t="s">
        <v>1072</v>
      </c>
      <c r="C876" t="s">
        <v>207</v>
      </c>
      <c r="D876">
        <v>34999012.306073502</v>
      </c>
    </row>
    <row r="877" spans="1:4" hidden="1" x14ac:dyDescent="0.3">
      <c r="A877">
        <v>875</v>
      </c>
      <c r="B877" t="s">
        <v>1073</v>
      </c>
      <c r="C877" t="s">
        <v>209</v>
      </c>
      <c r="D877">
        <v>34973268.264257699</v>
      </c>
    </row>
    <row r="878" spans="1:4" hidden="1" x14ac:dyDescent="0.3">
      <c r="A878">
        <v>876</v>
      </c>
      <c r="B878" s="1" t="s">
        <v>1074</v>
      </c>
      <c r="C878" t="s">
        <v>211</v>
      </c>
      <c r="D878" s="1" t="s">
        <v>1075</v>
      </c>
    </row>
    <row r="879" spans="1:4" hidden="1" x14ac:dyDescent="0.3">
      <c r="A879">
        <v>877</v>
      </c>
      <c r="B879" t="s">
        <v>1076</v>
      </c>
      <c r="C879" t="s">
        <v>214</v>
      </c>
      <c r="D879">
        <v>100000680.777264</v>
      </c>
    </row>
    <row r="880" spans="1:4" hidden="1" x14ac:dyDescent="0.3">
      <c r="A880">
        <v>878</v>
      </c>
      <c r="B880" t="s">
        <v>1077</v>
      </c>
      <c r="C880" t="s">
        <v>216</v>
      </c>
      <c r="D880">
        <v>1843.7065941542301</v>
      </c>
    </row>
    <row r="881" spans="1:4" hidden="1" x14ac:dyDescent="0.3">
      <c r="A881">
        <v>879</v>
      </c>
      <c r="B881" s="1" t="s">
        <v>1078</v>
      </c>
      <c r="C881" t="s">
        <v>218</v>
      </c>
      <c r="D881" s="1" t="s">
        <v>1079</v>
      </c>
    </row>
    <row r="882" spans="1:4" hidden="1" x14ac:dyDescent="0.3">
      <c r="A882">
        <v>880</v>
      </c>
      <c r="B882" t="s">
        <v>1080</v>
      </c>
      <c r="C882" t="s">
        <v>111</v>
      </c>
      <c r="D882">
        <v>-491.75538885541403</v>
      </c>
    </row>
    <row r="883" spans="1:4" hidden="1" x14ac:dyDescent="0.3">
      <c r="A883">
        <v>881</v>
      </c>
      <c r="B883" t="s">
        <v>1081</v>
      </c>
      <c r="C883" t="s">
        <v>113</v>
      </c>
      <c r="D883">
        <v>-73.639607745766995</v>
      </c>
    </row>
    <row r="884" spans="1:4" hidden="1" x14ac:dyDescent="0.3">
      <c r="A884">
        <v>882</v>
      </c>
      <c r="B884" s="1" t="s">
        <v>1082</v>
      </c>
      <c r="C884" t="s">
        <v>115</v>
      </c>
      <c r="D884" s="1" t="s">
        <v>1083</v>
      </c>
    </row>
    <row r="885" spans="1:4" hidden="1" x14ac:dyDescent="0.3">
      <c r="A885">
        <v>883</v>
      </c>
      <c r="B885" t="s">
        <v>1084</v>
      </c>
      <c r="C885" t="s">
        <v>118</v>
      </c>
      <c r="D885">
        <v>79997810.601568595</v>
      </c>
    </row>
    <row r="886" spans="1:4" hidden="1" x14ac:dyDescent="0.3">
      <c r="A886">
        <v>884</v>
      </c>
      <c r="B886" t="s">
        <v>1085</v>
      </c>
      <c r="C886" t="s">
        <v>120</v>
      </c>
      <c r="D886">
        <v>34999012.306073502</v>
      </c>
    </row>
    <row r="887" spans="1:4" hidden="1" x14ac:dyDescent="0.3">
      <c r="A887">
        <v>885</v>
      </c>
      <c r="B887" s="1" t="s">
        <v>1086</v>
      </c>
      <c r="C887" t="s">
        <v>122</v>
      </c>
      <c r="D887" s="1" t="s">
        <v>1087</v>
      </c>
    </row>
    <row r="888" spans="1:4" hidden="1" x14ac:dyDescent="0.3">
      <c r="A888">
        <v>886</v>
      </c>
      <c r="B888" t="s">
        <v>1088</v>
      </c>
      <c r="C888" t="s">
        <v>125</v>
      </c>
      <c r="D888">
        <v>0.79996339350266599</v>
      </c>
    </row>
    <row r="889" spans="1:4" hidden="1" x14ac:dyDescent="0.3">
      <c r="A889">
        <v>887</v>
      </c>
      <c r="B889" t="s">
        <v>1089</v>
      </c>
      <c r="C889" t="s">
        <v>127</v>
      </c>
      <c r="D889">
        <v>0.34998368634177501</v>
      </c>
    </row>
    <row r="890" spans="1:4" hidden="1" x14ac:dyDescent="0.3">
      <c r="A890">
        <v>888</v>
      </c>
      <c r="B890" s="1" t="s">
        <v>1090</v>
      </c>
      <c r="C890" t="s">
        <v>129</v>
      </c>
      <c r="D890" s="1" t="s">
        <v>1091</v>
      </c>
    </row>
    <row r="891" spans="1:4" hidden="1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1794.03</v>
      </c>
    </row>
    <row r="893" spans="1:4" hidden="1" x14ac:dyDescent="0.3">
      <c r="A893">
        <v>891</v>
      </c>
      <c r="B893" s="1" t="s">
        <v>131</v>
      </c>
      <c r="C893" t="s">
        <v>9</v>
      </c>
      <c r="D893" s="1" t="s">
        <v>132</v>
      </c>
    </row>
    <row r="894" spans="1:4" hidden="1" x14ac:dyDescent="0.3">
      <c r="A894">
        <v>892</v>
      </c>
      <c r="B894" t="s">
        <v>13</v>
      </c>
      <c r="C894" t="s">
        <v>14</v>
      </c>
      <c r="D894">
        <v>99.65234375</v>
      </c>
    </row>
    <row r="895" spans="1:4" hidden="1" x14ac:dyDescent="0.3">
      <c r="A895">
        <v>893</v>
      </c>
      <c r="B895" t="s">
        <v>15</v>
      </c>
      <c r="C895" t="s">
        <v>16</v>
      </c>
      <c r="D895">
        <v>4.4080893559260401</v>
      </c>
    </row>
    <row r="896" spans="1:4" hidden="1" x14ac:dyDescent="0.3">
      <c r="A896">
        <v>894</v>
      </c>
      <c r="B896" s="1" t="s">
        <v>133</v>
      </c>
      <c r="C896" t="s">
        <v>134</v>
      </c>
      <c r="D896" s="1" t="s">
        <v>135</v>
      </c>
    </row>
    <row r="897" spans="1:4" hidden="1" x14ac:dyDescent="0.3">
      <c r="A897">
        <v>895</v>
      </c>
      <c r="B897" t="s">
        <v>21</v>
      </c>
      <c r="C897" t="s">
        <v>22</v>
      </c>
      <c r="D897">
        <v>67.8</v>
      </c>
    </row>
    <row r="898" spans="1:4" hidden="1" x14ac:dyDescent="0.3">
      <c r="A898">
        <v>896</v>
      </c>
      <c r="B898" t="s">
        <v>1092</v>
      </c>
      <c r="C898" t="s">
        <v>24</v>
      </c>
      <c r="D898">
        <v>6.2179314635984397</v>
      </c>
    </row>
    <row r="899" spans="1:4" hidden="1" x14ac:dyDescent="0.3">
      <c r="A899">
        <v>897</v>
      </c>
      <c r="B899" s="1" t="s">
        <v>1093</v>
      </c>
      <c r="C899" t="s">
        <v>138</v>
      </c>
      <c r="D899" s="1" t="s">
        <v>1094</v>
      </c>
    </row>
    <row r="900" spans="1:4" hidden="1" x14ac:dyDescent="0.3">
      <c r="A900">
        <v>898</v>
      </c>
      <c r="B900" t="s">
        <v>1095</v>
      </c>
      <c r="C900" t="s">
        <v>35</v>
      </c>
      <c r="D900">
        <v>0.57415803474805105</v>
      </c>
    </row>
    <row r="901" spans="1:4" hidden="1" x14ac:dyDescent="0.3">
      <c r="A901">
        <v>899</v>
      </c>
      <c r="B901" t="s">
        <v>1096</v>
      </c>
      <c r="C901" t="s">
        <v>142</v>
      </c>
      <c r="D901">
        <v>0.907200649112752</v>
      </c>
    </row>
    <row r="902" spans="1:4" hidden="1" x14ac:dyDescent="0.3">
      <c r="A902">
        <v>900</v>
      </c>
      <c r="B902" s="1" t="s">
        <v>1097</v>
      </c>
      <c r="C902" t="s">
        <v>144</v>
      </c>
      <c r="D902" s="1" t="s">
        <v>1098</v>
      </c>
    </row>
    <row r="903" spans="1:4" hidden="1" x14ac:dyDescent="0.3">
      <c r="A903">
        <v>901</v>
      </c>
      <c r="B903" t="s">
        <v>1099</v>
      </c>
      <c r="C903" t="s">
        <v>30</v>
      </c>
      <c r="D903">
        <v>0.16978480545438501</v>
      </c>
    </row>
    <row r="904" spans="1:4" hidden="1" x14ac:dyDescent="0.3">
      <c r="A904">
        <v>902</v>
      </c>
      <c r="B904" t="s">
        <v>1100</v>
      </c>
      <c r="C904" t="s">
        <v>32</v>
      </c>
      <c r="D904">
        <v>5.3967240834837303E-2</v>
      </c>
    </row>
    <row r="905" spans="1:4" hidden="1" x14ac:dyDescent="0.3">
      <c r="A905">
        <v>903</v>
      </c>
      <c r="B905" s="1" t="s">
        <v>1101</v>
      </c>
      <c r="C905" t="s">
        <v>148</v>
      </c>
      <c r="D905" s="1" t="s">
        <v>1102</v>
      </c>
    </row>
    <row r="906" spans="1:4" hidden="1" x14ac:dyDescent="0.3">
      <c r="A906">
        <v>904</v>
      </c>
      <c r="B906" t="s">
        <v>1103</v>
      </c>
      <c r="C906" t="s">
        <v>40</v>
      </c>
      <c r="D906">
        <v>0.25605715979756299</v>
      </c>
    </row>
    <row r="907" spans="1:4" hidden="1" x14ac:dyDescent="0.3">
      <c r="A907">
        <v>905</v>
      </c>
      <c r="B907" t="s">
        <v>1104</v>
      </c>
      <c r="C907" t="s">
        <v>42</v>
      </c>
      <c r="D907">
        <v>4.8324739421136201E-2</v>
      </c>
    </row>
    <row r="908" spans="1:4" hidden="1" x14ac:dyDescent="0.3">
      <c r="A908">
        <v>906</v>
      </c>
      <c r="B908" s="1" t="s">
        <v>1105</v>
      </c>
      <c r="C908" t="s">
        <v>152</v>
      </c>
      <c r="D908" s="1" t="s">
        <v>1106</v>
      </c>
    </row>
    <row r="909" spans="1:4" hidden="1" x14ac:dyDescent="0.3">
      <c r="A909">
        <v>907</v>
      </c>
      <c r="B909" t="s">
        <v>153</v>
      </c>
      <c r="C909" t="s">
        <v>154</v>
      </c>
      <c r="D909">
        <v>1</v>
      </c>
    </row>
    <row r="910" spans="1:4" hidden="1" x14ac:dyDescent="0.3">
      <c r="A910">
        <v>908</v>
      </c>
      <c r="B910" t="s">
        <v>155</v>
      </c>
      <c r="C910" t="s">
        <v>156</v>
      </c>
      <c r="D910">
        <v>1</v>
      </c>
    </row>
    <row r="911" spans="1:4" hidden="1" x14ac:dyDescent="0.3">
      <c r="A911">
        <v>909</v>
      </c>
      <c r="B911" s="1" t="s">
        <v>1107</v>
      </c>
      <c r="C911" t="s">
        <v>158</v>
      </c>
      <c r="D911" s="1" t="s">
        <v>1108</v>
      </c>
    </row>
    <row r="912" spans="1:4" hidden="1" x14ac:dyDescent="0.3">
      <c r="A912">
        <v>910</v>
      </c>
      <c r="B912" t="s">
        <v>1109</v>
      </c>
      <c r="C912" t="s">
        <v>161</v>
      </c>
      <c r="D912">
        <v>0.999496127137941</v>
      </c>
    </row>
    <row r="913" spans="1:4" hidden="1" x14ac:dyDescent="0.3">
      <c r="A913">
        <v>911</v>
      </c>
      <c r="B913" t="s">
        <v>1110</v>
      </c>
      <c r="C913" t="s">
        <v>163</v>
      </c>
      <c r="D913">
        <v>1.00077089002515</v>
      </c>
    </row>
    <row r="914" spans="1:4" hidden="1" x14ac:dyDescent="0.3">
      <c r="A914">
        <v>912</v>
      </c>
      <c r="B914" s="1" t="s">
        <v>1111</v>
      </c>
      <c r="C914" t="s">
        <v>165</v>
      </c>
      <c r="D914" s="1" t="s">
        <v>1112</v>
      </c>
    </row>
    <row r="915" spans="1:4" hidden="1" x14ac:dyDescent="0.3">
      <c r="A915">
        <v>913</v>
      </c>
      <c r="B915" s="1" t="s">
        <v>1113</v>
      </c>
      <c r="C915" t="s">
        <v>55</v>
      </c>
      <c r="D915" s="1" t="s">
        <v>1114</v>
      </c>
    </row>
    <row r="916" spans="1:4" hidden="1" x14ac:dyDescent="0.3">
      <c r="A916">
        <v>914</v>
      </c>
      <c r="B916" s="1" t="s">
        <v>1115</v>
      </c>
      <c r="C916" t="s">
        <v>52</v>
      </c>
      <c r="D916" s="1" t="s">
        <v>1116</v>
      </c>
    </row>
    <row r="917" spans="1:4" hidden="1" x14ac:dyDescent="0.3">
      <c r="A917">
        <v>915</v>
      </c>
      <c r="B917" s="1" t="s">
        <v>1117</v>
      </c>
      <c r="C917" t="s">
        <v>58</v>
      </c>
      <c r="D917" s="1" t="s">
        <v>1118</v>
      </c>
    </row>
    <row r="918" spans="1:4" hidden="1" x14ac:dyDescent="0.3">
      <c r="A918">
        <v>916</v>
      </c>
      <c r="B918" t="s">
        <v>1119</v>
      </c>
      <c r="C918" t="s">
        <v>60</v>
      </c>
      <c r="D918">
        <v>149964868.52807301</v>
      </c>
    </row>
    <row r="919" spans="1:4" hidden="1" x14ac:dyDescent="0.3">
      <c r="A919">
        <v>917</v>
      </c>
      <c r="B919" t="s">
        <v>1120</v>
      </c>
      <c r="C919" t="s">
        <v>62</v>
      </c>
      <c r="D919">
        <v>79997810.601568595</v>
      </c>
    </row>
    <row r="920" spans="1:4" hidden="1" x14ac:dyDescent="0.3">
      <c r="A920">
        <v>918</v>
      </c>
      <c r="B920" t="s">
        <v>1121</v>
      </c>
      <c r="C920" t="s">
        <v>64</v>
      </c>
      <c r="D920">
        <v>34999012.306073502</v>
      </c>
    </row>
    <row r="921" spans="1:4" hidden="1" x14ac:dyDescent="0.3">
      <c r="A921">
        <v>919</v>
      </c>
      <c r="B921" s="1" t="s">
        <v>1122</v>
      </c>
      <c r="C921" t="s">
        <v>66</v>
      </c>
      <c r="D921" s="1" t="s">
        <v>1123</v>
      </c>
    </row>
    <row r="922" spans="1:4" hidden="1" x14ac:dyDescent="0.3">
      <c r="A922">
        <v>920</v>
      </c>
      <c r="B922" s="1" t="s">
        <v>1124</v>
      </c>
      <c r="C922" t="s">
        <v>69</v>
      </c>
      <c r="D922" s="1" t="s">
        <v>1125</v>
      </c>
    </row>
    <row r="923" spans="1:4" hidden="1" x14ac:dyDescent="0.3">
      <c r="A923">
        <v>921</v>
      </c>
      <c r="B923" t="s">
        <v>1126</v>
      </c>
      <c r="C923" t="s">
        <v>72</v>
      </c>
      <c r="D923">
        <v>1.0000115836313299</v>
      </c>
    </row>
    <row r="924" spans="1:4" hidden="1" x14ac:dyDescent="0.3">
      <c r="A924">
        <v>922</v>
      </c>
      <c r="B924" t="s">
        <v>73</v>
      </c>
      <c r="C924" t="s">
        <v>74</v>
      </c>
      <c r="D924">
        <v>2.7397260273972599E-3</v>
      </c>
    </row>
    <row r="925" spans="1:4" hidden="1" x14ac:dyDescent="0.3">
      <c r="A925">
        <v>923</v>
      </c>
      <c r="B925" t="s">
        <v>75</v>
      </c>
      <c r="C925" t="s">
        <v>76</v>
      </c>
      <c r="D925">
        <v>0</v>
      </c>
    </row>
    <row r="926" spans="1:4" hidden="1" x14ac:dyDescent="0.3">
      <c r="A926">
        <v>924</v>
      </c>
      <c r="B926" t="s">
        <v>77</v>
      </c>
      <c r="C926" t="s">
        <v>78</v>
      </c>
      <c r="D926">
        <v>0</v>
      </c>
    </row>
    <row r="927" spans="1:4" hidden="1" x14ac:dyDescent="0.3">
      <c r="A927">
        <v>925</v>
      </c>
      <c r="B927" s="1" t="s">
        <v>1127</v>
      </c>
      <c r="C927" t="s">
        <v>80</v>
      </c>
      <c r="D927" s="1" t="s">
        <v>1128</v>
      </c>
    </row>
    <row r="928" spans="1:4" hidden="1" x14ac:dyDescent="0.3">
      <c r="A928">
        <v>926</v>
      </c>
      <c r="B928" t="s">
        <v>1129</v>
      </c>
      <c r="C928" t="s">
        <v>83</v>
      </c>
      <c r="D928">
        <v>0.99999278029232996</v>
      </c>
    </row>
    <row r="929" spans="1:4" hidden="1" x14ac:dyDescent="0.3">
      <c r="A929">
        <v>927</v>
      </c>
      <c r="B929" s="1" t="s">
        <v>1130</v>
      </c>
      <c r="C929" t="s">
        <v>85</v>
      </c>
      <c r="D929" s="1" t="s">
        <v>1131</v>
      </c>
    </row>
    <row r="930" spans="1:4" hidden="1" x14ac:dyDescent="0.3">
      <c r="A930">
        <v>928</v>
      </c>
      <c r="B930" t="s">
        <v>1132</v>
      </c>
      <c r="C930" t="s">
        <v>88</v>
      </c>
      <c r="D930">
        <v>100004404.878803</v>
      </c>
    </row>
    <row r="931" spans="1:4" hidden="1" x14ac:dyDescent="0.3">
      <c r="A931">
        <v>929</v>
      </c>
      <c r="B931" s="1" t="s">
        <v>1133</v>
      </c>
      <c r="C931" t="s">
        <v>90</v>
      </c>
      <c r="D931" s="1" t="s">
        <v>1079</v>
      </c>
    </row>
    <row r="932" spans="1:4" hidden="1" x14ac:dyDescent="0.3">
      <c r="A932">
        <v>930</v>
      </c>
      <c r="B932" t="s">
        <v>1134</v>
      </c>
      <c r="C932" t="s">
        <v>93</v>
      </c>
      <c r="D932">
        <v>79997810.601568595</v>
      </c>
    </row>
    <row r="933" spans="1:4" hidden="1" x14ac:dyDescent="0.3">
      <c r="A933">
        <v>931</v>
      </c>
      <c r="B933" t="s">
        <v>1135</v>
      </c>
      <c r="C933" t="s">
        <v>95</v>
      </c>
      <c r="D933">
        <v>34999012.306073502</v>
      </c>
    </row>
    <row r="934" spans="1:4" hidden="1" x14ac:dyDescent="0.3">
      <c r="A934">
        <v>932</v>
      </c>
      <c r="B934" t="s">
        <v>1136</v>
      </c>
      <c r="C934" t="s">
        <v>97</v>
      </c>
      <c r="D934">
        <v>34968045.620431297</v>
      </c>
    </row>
    <row r="935" spans="1:4" hidden="1" x14ac:dyDescent="0.3">
      <c r="A935">
        <v>933</v>
      </c>
      <c r="B935" s="1" t="s">
        <v>1137</v>
      </c>
      <c r="C935" t="s">
        <v>99</v>
      </c>
      <c r="D935" s="1" t="s">
        <v>1138</v>
      </c>
    </row>
    <row r="936" spans="1:4" hidden="1" x14ac:dyDescent="0.3">
      <c r="A936">
        <v>934</v>
      </c>
      <c r="B936" t="s">
        <v>1139</v>
      </c>
      <c r="C936" t="s">
        <v>102</v>
      </c>
      <c r="D936">
        <v>1.09537460290883E-2</v>
      </c>
    </row>
    <row r="937" spans="1:4" hidden="1" x14ac:dyDescent="0.3">
      <c r="A937">
        <v>935</v>
      </c>
      <c r="B937" t="s">
        <v>1140</v>
      </c>
      <c r="C937" t="s">
        <v>104</v>
      </c>
      <c r="D937">
        <v>5.3808879204869501E-4</v>
      </c>
    </row>
    <row r="938" spans="1:4" hidden="1" x14ac:dyDescent="0.3">
      <c r="A938">
        <v>936</v>
      </c>
      <c r="B938" t="s">
        <v>1141</v>
      </c>
      <c r="C938" t="s">
        <v>106</v>
      </c>
      <c r="D938">
        <v>1.47051280364875E-2</v>
      </c>
    </row>
    <row r="939" spans="1:4" hidden="1" x14ac:dyDescent="0.3">
      <c r="A939">
        <v>937</v>
      </c>
      <c r="B939" s="1" t="s">
        <v>1142</v>
      </c>
      <c r="C939" t="s">
        <v>108</v>
      </c>
      <c r="D939" s="1" t="s">
        <v>1143</v>
      </c>
    </row>
    <row r="940" spans="1:4" x14ac:dyDescent="0.3">
      <c r="A940">
        <v>938</v>
      </c>
      <c r="B940" t="s">
        <v>1144</v>
      </c>
      <c r="C940" t="s">
        <v>196</v>
      </c>
      <c r="D940">
        <v>149964221.070905</v>
      </c>
    </row>
    <row r="941" spans="1:4" hidden="1" x14ac:dyDescent="0.3">
      <c r="A941">
        <v>939</v>
      </c>
      <c r="B941" t="s">
        <v>1145</v>
      </c>
      <c r="C941" t="s">
        <v>198</v>
      </c>
      <c r="D941">
        <v>1504.1990971267901</v>
      </c>
    </row>
    <row r="942" spans="1:4" hidden="1" x14ac:dyDescent="0.3">
      <c r="A942">
        <v>940</v>
      </c>
      <c r="B942" t="s">
        <v>1146</v>
      </c>
      <c r="C942" t="s">
        <v>200</v>
      </c>
      <c r="D942">
        <v>658.08925891253205</v>
      </c>
    </row>
    <row r="943" spans="1:4" hidden="1" x14ac:dyDescent="0.3">
      <c r="A943">
        <v>941</v>
      </c>
      <c r="B943" s="1" t="s">
        <v>1147</v>
      </c>
      <c r="C943" t="s">
        <v>202</v>
      </c>
      <c r="D943" s="1" t="s">
        <v>1148</v>
      </c>
    </row>
    <row r="944" spans="1:4" hidden="1" x14ac:dyDescent="0.3">
      <c r="A944">
        <v>942</v>
      </c>
      <c r="B944" t="s">
        <v>1149</v>
      </c>
      <c r="C944" t="s">
        <v>205</v>
      </c>
      <c r="D944">
        <v>79995804.854266807</v>
      </c>
    </row>
    <row r="945" spans="1:4" hidden="1" x14ac:dyDescent="0.3">
      <c r="A945">
        <v>943</v>
      </c>
      <c r="B945" t="s">
        <v>1150</v>
      </c>
      <c r="C945" t="s">
        <v>207</v>
      </c>
      <c r="D945">
        <v>34998279.172759302</v>
      </c>
    </row>
    <row r="946" spans="1:4" hidden="1" x14ac:dyDescent="0.3">
      <c r="A946">
        <v>944</v>
      </c>
      <c r="B946" t="s">
        <v>1151</v>
      </c>
      <c r="C946" t="s">
        <v>209</v>
      </c>
      <c r="D946">
        <v>34967317.2484565</v>
      </c>
    </row>
    <row r="947" spans="1:4" hidden="1" x14ac:dyDescent="0.3">
      <c r="A947">
        <v>945</v>
      </c>
      <c r="B947" s="1" t="s">
        <v>1152</v>
      </c>
      <c r="C947" t="s">
        <v>211</v>
      </c>
      <c r="D947" s="1" t="s">
        <v>1153</v>
      </c>
    </row>
    <row r="948" spans="1:4" hidden="1" x14ac:dyDescent="0.3">
      <c r="A948">
        <v>946</v>
      </c>
      <c r="B948" t="s">
        <v>1154</v>
      </c>
      <c r="C948" t="s">
        <v>214</v>
      </c>
      <c r="D948">
        <v>100002524.483858</v>
      </c>
    </row>
    <row r="949" spans="1:4" hidden="1" x14ac:dyDescent="0.3">
      <c r="A949">
        <v>947</v>
      </c>
      <c r="B949" t="s">
        <v>1155</v>
      </c>
      <c r="C949" t="s">
        <v>216</v>
      </c>
      <c r="D949">
        <v>1880.39494462311</v>
      </c>
    </row>
    <row r="950" spans="1:4" hidden="1" x14ac:dyDescent="0.3">
      <c r="A950">
        <v>948</v>
      </c>
      <c r="B950" s="1" t="s">
        <v>1156</v>
      </c>
      <c r="C950" t="s">
        <v>218</v>
      </c>
      <c r="D950" s="1" t="s">
        <v>1157</v>
      </c>
    </row>
    <row r="951" spans="1:4" hidden="1" x14ac:dyDescent="0.3">
      <c r="A951">
        <v>949</v>
      </c>
      <c r="B951" t="s">
        <v>1158</v>
      </c>
      <c r="C951" t="s">
        <v>111</v>
      </c>
      <c r="D951">
        <v>-501.54820461956001</v>
      </c>
    </row>
    <row r="952" spans="1:4" hidden="1" x14ac:dyDescent="0.3">
      <c r="A952">
        <v>950</v>
      </c>
      <c r="B952" t="s">
        <v>1159</v>
      </c>
      <c r="C952" t="s">
        <v>113</v>
      </c>
      <c r="D952">
        <v>-75.044055335145401</v>
      </c>
    </row>
    <row r="953" spans="1:4" hidden="1" x14ac:dyDescent="0.3">
      <c r="A953">
        <v>951</v>
      </c>
      <c r="B953" s="1" t="s">
        <v>1160</v>
      </c>
      <c r="C953" t="s">
        <v>115</v>
      </c>
      <c r="D953" s="1" t="s">
        <v>1161</v>
      </c>
    </row>
    <row r="954" spans="1:4" hidden="1" x14ac:dyDescent="0.3">
      <c r="A954">
        <v>952</v>
      </c>
      <c r="B954" t="s">
        <v>1162</v>
      </c>
      <c r="C954" t="s">
        <v>118</v>
      </c>
      <c r="D954">
        <v>79995804.854266807</v>
      </c>
    </row>
    <row r="955" spans="1:4" hidden="1" x14ac:dyDescent="0.3">
      <c r="A955">
        <v>953</v>
      </c>
      <c r="B955" t="s">
        <v>1163</v>
      </c>
      <c r="C955" t="s">
        <v>120</v>
      </c>
      <c r="D955">
        <v>34998279.172759302</v>
      </c>
    </row>
    <row r="956" spans="1:4" hidden="1" x14ac:dyDescent="0.3">
      <c r="A956">
        <v>954</v>
      </c>
      <c r="B956" s="1" t="s">
        <v>1164</v>
      </c>
      <c r="C956" t="s">
        <v>122</v>
      </c>
      <c r="D956" s="1" t="s">
        <v>1165</v>
      </c>
    </row>
    <row r="957" spans="1:4" hidden="1" x14ac:dyDescent="0.3">
      <c r="A957">
        <v>955</v>
      </c>
      <c r="B957" t="s">
        <v>1166</v>
      </c>
      <c r="C957" t="s">
        <v>125</v>
      </c>
      <c r="D957">
        <v>0.79994362959981602</v>
      </c>
    </row>
    <row r="958" spans="1:4" hidden="1" x14ac:dyDescent="0.3">
      <c r="A958">
        <v>956</v>
      </c>
      <c r="B958" t="s">
        <v>1167</v>
      </c>
      <c r="C958" t="s">
        <v>127</v>
      </c>
      <c r="D958">
        <v>0.34997648341944798</v>
      </c>
    </row>
    <row r="959" spans="1:4" hidden="1" x14ac:dyDescent="0.3">
      <c r="A959">
        <v>957</v>
      </c>
      <c r="B959" s="1" t="s">
        <v>1168</v>
      </c>
      <c r="C959" t="s">
        <v>129</v>
      </c>
      <c r="D959" s="1" t="s">
        <v>1169</v>
      </c>
    </row>
    <row r="960" spans="1:4" hidden="1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1170</v>
      </c>
      <c r="C961" t="s">
        <v>7</v>
      </c>
      <c r="D961">
        <v>1076.4179999999999</v>
      </c>
    </row>
    <row r="962" spans="1:4" hidden="1" x14ac:dyDescent="0.3">
      <c r="A962">
        <v>960</v>
      </c>
      <c r="B962" s="1" t="s">
        <v>1171</v>
      </c>
      <c r="C962" t="s">
        <v>9</v>
      </c>
      <c r="D962" s="1" t="s">
        <v>1172</v>
      </c>
    </row>
    <row r="963" spans="1:4" hidden="1" x14ac:dyDescent="0.3">
      <c r="A963">
        <v>961</v>
      </c>
      <c r="B963" t="s">
        <v>13</v>
      </c>
      <c r="C963" t="s">
        <v>14</v>
      </c>
      <c r="D963">
        <v>99.65234375</v>
      </c>
    </row>
    <row r="964" spans="1:4" hidden="1" x14ac:dyDescent="0.3">
      <c r="A964">
        <v>962</v>
      </c>
      <c r="B964" t="s">
        <v>15</v>
      </c>
      <c r="C964" t="s">
        <v>16</v>
      </c>
      <c r="D964">
        <v>4.4080893559260401</v>
      </c>
    </row>
    <row r="965" spans="1:4" hidden="1" x14ac:dyDescent="0.3">
      <c r="A965">
        <v>963</v>
      </c>
      <c r="B965" s="1" t="s">
        <v>133</v>
      </c>
      <c r="C965" t="s">
        <v>134</v>
      </c>
      <c r="D965" s="1" t="s">
        <v>135</v>
      </c>
    </row>
    <row r="966" spans="1:4" hidden="1" x14ac:dyDescent="0.3">
      <c r="A966">
        <v>964</v>
      </c>
      <c r="B966" t="s">
        <v>1173</v>
      </c>
      <c r="C966" t="s">
        <v>22</v>
      </c>
      <c r="D966">
        <v>13.56</v>
      </c>
    </row>
    <row r="967" spans="1:4" hidden="1" x14ac:dyDescent="0.3">
      <c r="A967">
        <v>965</v>
      </c>
      <c r="B967" t="s">
        <v>1174</v>
      </c>
      <c r="C967" t="s">
        <v>24</v>
      </c>
      <c r="D967">
        <v>8.4416812982948297</v>
      </c>
    </row>
    <row r="968" spans="1:4" hidden="1" x14ac:dyDescent="0.3">
      <c r="A968">
        <v>966</v>
      </c>
      <c r="B968" s="1" t="s">
        <v>1175</v>
      </c>
      <c r="C968" t="s">
        <v>138</v>
      </c>
      <c r="D968" s="1" t="s">
        <v>1176</v>
      </c>
    </row>
    <row r="969" spans="1:4" hidden="1" x14ac:dyDescent="0.3">
      <c r="A969">
        <v>967</v>
      </c>
      <c r="B969" t="s">
        <v>1177</v>
      </c>
      <c r="C969" t="s">
        <v>35</v>
      </c>
      <c r="D969">
        <v>0.41274024218021299</v>
      </c>
    </row>
    <row r="970" spans="1:4" hidden="1" x14ac:dyDescent="0.3">
      <c r="A970">
        <v>968</v>
      </c>
      <c r="B970" t="s">
        <v>1178</v>
      </c>
      <c r="C970" t="s">
        <v>142</v>
      </c>
      <c r="D970">
        <v>0.94058466892758597</v>
      </c>
    </row>
    <row r="971" spans="1:4" hidden="1" x14ac:dyDescent="0.3">
      <c r="A971">
        <v>969</v>
      </c>
      <c r="B971" s="1" t="s">
        <v>1179</v>
      </c>
      <c r="C971" t="s">
        <v>144</v>
      </c>
      <c r="D971" s="1" t="s">
        <v>1180</v>
      </c>
    </row>
    <row r="972" spans="1:4" hidden="1" x14ac:dyDescent="0.3">
      <c r="A972">
        <v>970</v>
      </c>
      <c r="B972" t="s">
        <v>1181</v>
      </c>
      <c r="C972" t="s">
        <v>30</v>
      </c>
      <c r="D972">
        <v>0.203419666946207</v>
      </c>
    </row>
    <row r="973" spans="1:4" hidden="1" x14ac:dyDescent="0.3">
      <c r="A973">
        <v>971</v>
      </c>
      <c r="B973" t="s">
        <v>1182</v>
      </c>
      <c r="C973" t="s">
        <v>32</v>
      </c>
      <c r="D973">
        <v>5.4112124339871497E-2</v>
      </c>
    </row>
    <row r="974" spans="1:4" hidden="1" x14ac:dyDescent="0.3">
      <c r="A974">
        <v>972</v>
      </c>
      <c r="B974" s="1" t="s">
        <v>1183</v>
      </c>
      <c r="C974" t="s">
        <v>148</v>
      </c>
      <c r="D974" s="1" t="s">
        <v>1184</v>
      </c>
    </row>
    <row r="975" spans="1:4" hidden="1" x14ac:dyDescent="0.3">
      <c r="A975">
        <v>973</v>
      </c>
      <c r="B975" t="s">
        <v>1185</v>
      </c>
      <c r="C975" t="s">
        <v>40</v>
      </c>
      <c r="D975">
        <v>0.38384009087357901</v>
      </c>
    </row>
    <row r="976" spans="1:4" hidden="1" x14ac:dyDescent="0.3">
      <c r="A976">
        <v>974</v>
      </c>
      <c r="B976" t="s">
        <v>1186</v>
      </c>
      <c r="C976" t="s">
        <v>42</v>
      </c>
      <c r="D976">
        <v>9.0563846048426298E-3</v>
      </c>
    </row>
    <row r="977" spans="1:4" hidden="1" x14ac:dyDescent="0.3">
      <c r="A977">
        <v>975</v>
      </c>
      <c r="B977" s="1" t="s">
        <v>1187</v>
      </c>
      <c r="C977" t="s">
        <v>152</v>
      </c>
      <c r="D977" s="1" t="s">
        <v>1188</v>
      </c>
    </row>
    <row r="978" spans="1:4" hidden="1" x14ac:dyDescent="0.3">
      <c r="A978">
        <v>976</v>
      </c>
      <c r="B978" t="s">
        <v>1189</v>
      </c>
      <c r="C978" t="s">
        <v>154</v>
      </c>
      <c r="D978">
        <v>0.6</v>
      </c>
    </row>
    <row r="979" spans="1:4" hidden="1" x14ac:dyDescent="0.3">
      <c r="A979">
        <v>977</v>
      </c>
      <c r="B979" t="s">
        <v>155</v>
      </c>
      <c r="C979" t="s">
        <v>156</v>
      </c>
      <c r="D979">
        <v>1</v>
      </c>
    </row>
    <row r="980" spans="1:4" hidden="1" x14ac:dyDescent="0.3">
      <c r="A980">
        <v>978</v>
      </c>
      <c r="B980" s="1" t="s">
        <v>1190</v>
      </c>
      <c r="C980" t="s">
        <v>158</v>
      </c>
      <c r="D980" s="1" t="s">
        <v>1191</v>
      </c>
    </row>
    <row r="981" spans="1:4" hidden="1" x14ac:dyDescent="0.3">
      <c r="A981">
        <v>979</v>
      </c>
      <c r="B981" t="s">
        <v>1192</v>
      </c>
      <c r="C981" t="s">
        <v>161</v>
      </c>
      <c r="D981">
        <v>1.01750419906283</v>
      </c>
    </row>
    <row r="982" spans="1:4" hidden="1" x14ac:dyDescent="0.3">
      <c r="A982">
        <v>980</v>
      </c>
      <c r="B982" t="s">
        <v>1193</v>
      </c>
      <c r="C982" t="s">
        <v>163</v>
      </c>
      <c r="D982">
        <v>1.00013746490348</v>
      </c>
    </row>
    <row r="983" spans="1:4" hidden="1" x14ac:dyDescent="0.3">
      <c r="A983">
        <v>981</v>
      </c>
      <c r="B983" s="1" t="s">
        <v>1194</v>
      </c>
      <c r="C983" t="s">
        <v>165</v>
      </c>
      <c r="D983" s="1" t="s">
        <v>1195</v>
      </c>
    </row>
    <row r="984" spans="1:4" hidden="1" x14ac:dyDescent="0.3">
      <c r="A984">
        <v>982</v>
      </c>
      <c r="B984" s="1" t="s">
        <v>1196</v>
      </c>
      <c r="C984" t="s">
        <v>55</v>
      </c>
      <c r="D984" s="1" t="s">
        <v>1197</v>
      </c>
    </row>
    <row r="985" spans="1:4" hidden="1" x14ac:dyDescent="0.3">
      <c r="A985">
        <v>983</v>
      </c>
      <c r="B985" s="1" t="s">
        <v>1198</v>
      </c>
      <c r="C985" t="s">
        <v>52</v>
      </c>
      <c r="D985" s="1" t="s">
        <v>1199</v>
      </c>
    </row>
    <row r="986" spans="1:4" hidden="1" x14ac:dyDescent="0.3">
      <c r="A986">
        <v>984</v>
      </c>
      <c r="B986" s="1" t="s">
        <v>1200</v>
      </c>
      <c r="C986" t="s">
        <v>58</v>
      </c>
      <c r="D986" s="1" t="s">
        <v>1201</v>
      </c>
    </row>
    <row r="987" spans="1:4" hidden="1" x14ac:dyDescent="0.3">
      <c r="A987">
        <v>985</v>
      </c>
      <c r="B987" t="s">
        <v>1202</v>
      </c>
      <c r="C987" t="s">
        <v>60</v>
      </c>
      <c r="D987">
        <v>93389726.827974498</v>
      </c>
    </row>
    <row r="988" spans="1:4" hidden="1" x14ac:dyDescent="0.3">
      <c r="A988">
        <v>986</v>
      </c>
      <c r="B988" t="s">
        <v>1203</v>
      </c>
      <c r="C988" t="s">
        <v>62</v>
      </c>
      <c r="D988">
        <v>47997482.912560098</v>
      </c>
    </row>
    <row r="989" spans="1:4" hidden="1" x14ac:dyDescent="0.3">
      <c r="A989">
        <v>987</v>
      </c>
      <c r="B989" t="s">
        <v>1204</v>
      </c>
      <c r="C989" t="s">
        <v>64</v>
      </c>
      <c r="D989">
        <v>34998279.172759302</v>
      </c>
    </row>
    <row r="990" spans="1:4" hidden="1" x14ac:dyDescent="0.3">
      <c r="A990">
        <v>988</v>
      </c>
      <c r="B990" s="1" t="s">
        <v>1205</v>
      </c>
      <c r="C990" t="s">
        <v>66</v>
      </c>
      <c r="D990" s="1" t="s">
        <v>1206</v>
      </c>
    </row>
    <row r="991" spans="1:4" hidden="1" x14ac:dyDescent="0.3">
      <c r="A991">
        <v>989</v>
      </c>
      <c r="B991" s="1" t="s">
        <v>1207</v>
      </c>
      <c r="C991" t="s">
        <v>69</v>
      </c>
      <c r="D991" s="1" t="s">
        <v>1208</v>
      </c>
    </row>
    <row r="992" spans="1:4" hidden="1" x14ac:dyDescent="0.3">
      <c r="A992">
        <v>990</v>
      </c>
      <c r="B992" t="s">
        <v>1209</v>
      </c>
      <c r="C992" t="s">
        <v>72</v>
      </c>
      <c r="D992">
        <v>0.99999278029232996</v>
      </c>
    </row>
    <row r="993" spans="1:4" hidden="1" x14ac:dyDescent="0.3">
      <c r="A993">
        <v>991</v>
      </c>
      <c r="B993" t="s">
        <v>73</v>
      </c>
      <c r="C993" t="s">
        <v>74</v>
      </c>
      <c r="D993">
        <v>2.7397260273972599E-3</v>
      </c>
    </row>
    <row r="994" spans="1:4" hidden="1" x14ac:dyDescent="0.3">
      <c r="A994">
        <v>992</v>
      </c>
      <c r="B994" t="s">
        <v>75</v>
      </c>
      <c r="C994" t="s">
        <v>76</v>
      </c>
      <c r="D994">
        <v>0</v>
      </c>
    </row>
    <row r="995" spans="1:4" hidden="1" x14ac:dyDescent="0.3">
      <c r="A995">
        <v>993</v>
      </c>
      <c r="B995" t="s">
        <v>267</v>
      </c>
      <c r="C995" t="s">
        <v>78</v>
      </c>
      <c r="D995" s="2">
        <v>2.2204460492503101E-16</v>
      </c>
    </row>
    <row r="996" spans="1:4" hidden="1" x14ac:dyDescent="0.3">
      <c r="A996">
        <v>994</v>
      </c>
      <c r="B996" s="1" t="s">
        <v>1210</v>
      </c>
      <c r="C996" t="s">
        <v>80</v>
      </c>
      <c r="D996" s="1" t="s">
        <v>1211</v>
      </c>
    </row>
    <row r="997" spans="1:4" hidden="1" x14ac:dyDescent="0.3">
      <c r="A997">
        <v>995</v>
      </c>
      <c r="B997" t="s">
        <v>1212</v>
      </c>
      <c r="C997" t="s">
        <v>83</v>
      </c>
      <c r="D997">
        <v>0.99998468685196695</v>
      </c>
    </row>
    <row r="998" spans="1:4" hidden="1" x14ac:dyDescent="0.3">
      <c r="A998">
        <v>996</v>
      </c>
      <c r="B998" s="1" t="s">
        <v>1213</v>
      </c>
      <c r="C998" t="s">
        <v>85</v>
      </c>
      <c r="D998" s="1" t="s">
        <v>1214</v>
      </c>
    </row>
    <row r="999" spans="1:4" hidden="1" x14ac:dyDescent="0.3">
      <c r="A999">
        <v>997</v>
      </c>
      <c r="B999" t="s">
        <v>1215</v>
      </c>
      <c r="C999" t="s">
        <v>88</v>
      </c>
      <c r="D999">
        <v>100005214.27088401</v>
      </c>
    </row>
    <row r="1000" spans="1:4" hidden="1" x14ac:dyDescent="0.3">
      <c r="A1000">
        <v>998</v>
      </c>
      <c r="B1000" s="1" t="s">
        <v>1216</v>
      </c>
      <c r="C1000" t="s">
        <v>90</v>
      </c>
      <c r="D1000" s="1" t="s">
        <v>1157</v>
      </c>
    </row>
    <row r="1001" spans="1:4" hidden="1" x14ac:dyDescent="0.3">
      <c r="A1001">
        <v>999</v>
      </c>
      <c r="B1001" t="s">
        <v>1217</v>
      </c>
      <c r="C1001" t="s">
        <v>93</v>
      </c>
      <c r="D1001">
        <v>47997482.912560098</v>
      </c>
    </row>
    <row r="1002" spans="1:4" hidden="1" x14ac:dyDescent="0.3">
      <c r="A1002">
        <v>1000</v>
      </c>
      <c r="B1002" t="s">
        <v>1218</v>
      </c>
      <c r="C1002" t="s">
        <v>95</v>
      </c>
      <c r="D1002">
        <v>34998279.172759302</v>
      </c>
    </row>
    <row r="1003" spans="1:4" hidden="1" x14ac:dyDescent="0.3">
      <c r="A1003">
        <v>1001</v>
      </c>
      <c r="B1003" t="s">
        <v>1219</v>
      </c>
      <c r="C1003" t="s">
        <v>97</v>
      </c>
      <c r="D1003">
        <v>10393964.7426551</v>
      </c>
    </row>
    <row r="1004" spans="1:4" hidden="1" x14ac:dyDescent="0.3">
      <c r="A1004">
        <v>1002</v>
      </c>
      <c r="B1004" s="1" t="s">
        <v>1220</v>
      </c>
      <c r="C1004" t="s">
        <v>99</v>
      </c>
      <c r="D1004" s="1" t="s">
        <v>1221</v>
      </c>
    </row>
    <row r="1005" spans="1:4" hidden="1" x14ac:dyDescent="0.3">
      <c r="A1005">
        <v>1003</v>
      </c>
      <c r="B1005" t="s">
        <v>1222</v>
      </c>
      <c r="C1005" t="s">
        <v>102</v>
      </c>
      <c r="D1005">
        <v>1.10148724885026E-2</v>
      </c>
    </row>
    <row r="1006" spans="1:4" hidden="1" x14ac:dyDescent="0.3">
      <c r="A1006">
        <v>1004</v>
      </c>
      <c r="B1006" t="s">
        <v>1223</v>
      </c>
      <c r="C1006" t="s">
        <v>104</v>
      </c>
      <c r="D1006">
        <v>5.41187216919352E-4</v>
      </c>
    </row>
    <row r="1007" spans="1:4" hidden="1" x14ac:dyDescent="0.3">
      <c r="A1007">
        <v>1005</v>
      </c>
      <c r="B1007" t="s">
        <v>1224</v>
      </c>
      <c r="C1007" t="s">
        <v>106</v>
      </c>
      <c r="D1007">
        <v>1.47744965408257E-2</v>
      </c>
    </row>
    <row r="1008" spans="1:4" hidden="1" x14ac:dyDescent="0.3">
      <c r="A1008">
        <v>1006</v>
      </c>
      <c r="B1008" s="1" t="s">
        <v>1225</v>
      </c>
      <c r="C1008" t="s">
        <v>108</v>
      </c>
      <c r="D1008" s="1" t="s">
        <v>1226</v>
      </c>
    </row>
    <row r="1009" spans="1:4" x14ac:dyDescent="0.3">
      <c r="A1009">
        <v>1007</v>
      </c>
      <c r="B1009" t="s">
        <v>1227</v>
      </c>
      <c r="C1009" t="s">
        <v>196</v>
      </c>
      <c r="D1009">
        <v>93389444.1168378</v>
      </c>
    </row>
    <row r="1010" spans="1:4" hidden="1" x14ac:dyDescent="0.3">
      <c r="A1010">
        <v>1008</v>
      </c>
      <c r="B1010" t="s">
        <v>1228</v>
      </c>
      <c r="C1010" t="s">
        <v>198</v>
      </c>
      <c r="D1010">
        <v>388.46651173222398</v>
      </c>
    </row>
    <row r="1011" spans="1:4" hidden="1" x14ac:dyDescent="0.3">
      <c r="A1011">
        <v>1009</v>
      </c>
      <c r="B1011" t="s">
        <v>1229</v>
      </c>
      <c r="C1011" t="s">
        <v>200</v>
      </c>
      <c r="D1011">
        <v>283.25737093301399</v>
      </c>
    </row>
    <row r="1012" spans="1:4" hidden="1" x14ac:dyDescent="0.3">
      <c r="A1012">
        <v>1010</v>
      </c>
      <c r="B1012" s="1" t="s">
        <v>1230</v>
      </c>
      <c r="C1012" t="s">
        <v>202</v>
      </c>
      <c r="D1012" s="1" t="s">
        <v>1231</v>
      </c>
    </row>
    <row r="1013" spans="1:4" hidden="1" x14ac:dyDescent="0.3">
      <c r="A1013">
        <v>1011</v>
      </c>
      <c r="B1013" t="s">
        <v>1232</v>
      </c>
      <c r="C1013" t="s">
        <v>205</v>
      </c>
      <c r="D1013">
        <v>47996963.670791604</v>
      </c>
    </row>
    <row r="1014" spans="1:4" hidden="1" x14ac:dyDescent="0.3">
      <c r="A1014">
        <v>1012</v>
      </c>
      <c r="B1014" t="s">
        <v>1233</v>
      </c>
      <c r="C1014" t="s">
        <v>207</v>
      </c>
      <c r="D1014">
        <v>34997852.663107798</v>
      </c>
    </row>
    <row r="1015" spans="1:4" hidden="1" x14ac:dyDescent="0.3">
      <c r="A1015">
        <v>1013</v>
      </c>
      <c r="B1015" t="s">
        <v>1234</v>
      </c>
      <c r="C1015" t="s">
        <v>209</v>
      </c>
      <c r="D1015">
        <v>10393871.9355847</v>
      </c>
    </row>
    <row r="1016" spans="1:4" hidden="1" x14ac:dyDescent="0.3">
      <c r="A1016">
        <v>1014</v>
      </c>
      <c r="B1016" s="1" t="s">
        <v>1235</v>
      </c>
      <c r="C1016" t="s">
        <v>211</v>
      </c>
      <c r="D1016" s="1" t="s">
        <v>1236</v>
      </c>
    </row>
    <row r="1017" spans="1:4" hidden="1" x14ac:dyDescent="0.3">
      <c r="A1017">
        <v>1015</v>
      </c>
      <c r="B1017" t="s">
        <v>1237</v>
      </c>
      <c r="C1017" t="s">
        <v>214</v>
      </c>
      <c r="D1017">
        <v>100004404.878803</v>
      </c>
    </row>
    <row r="1018" spans="1:4" hidden="1" x14ac:dyDescent="0.3">
      <c r="A1018">
        <v>1016</v>
      </c>
      <c r="B1018" t="s">
        <v>1238</v>
      </c>
      <c r="C1018" t="s">
        <v>216</v>
      </c>
      <c r="D1018">
        <v>809.39208129048302</v>
      </c>
    </row>
    <row r="1019" spans="1:4" hidden="1" x14ac:dyDescent="0.3">
      <c r="A1019">
        <v>1017</v>
      </c>
      <c r="B1019" s="1" t="s">
        <v>1239</v>
      </c>
      <c r="C1019" t="s">
        <v>218</v>
      </c>
      <c r="D1019" s="1" t="s">
        <v>1240</v>
      </c>
    </row>
    <row r="1020" spans="1:4" hidden="1" x14ac:dyDescent="0.3">
      <c r="A1020">
        <v>1018</v>
      </c>
      <c r="B1020" t="s">
        <v>1241</v>
      </c>
      <c r="C1020" t="s">
        <v>111</v>
      </c>
      <c r="D1020">
        <v>-130.77525675603599</v>
      </c>
    </row>
    <row r="1021" spans="1:4" hidden="1" x14ac:dyDescent="0.3">
      <c r="A1021">
        <v>1019</v>
      </c>
      <c r="B1021" t="s">
        <v>1242</v>
      </c>
      <c r="C1021" t="s">
        <v>113</v>
      </c>
      <c r="D1021">
        <v>-143.252280499346</v>
      </c>
    </row>
    <row r="1022" spans="1:4" hidden="1" x14ac:dyDescent="0.3">
      <c r="A1022">
        <v>1020</v>
      </c>
      <c r="B1022" s="1" t="s">
        <v>1243</v>
      </c>
      <c r="C1022" t="s">
        <v>115</v>
      </c>
      <c r="D1022" s="1" t="s">
        <v>1244</v>
      </c>
    </row>
    <row r="1023" spans="1:4" hidden="1" x14ac:dyDescent="0.3">
      <c r="A1023">
        <v>1021</v>
      </c>
      <c r="B1023" t="s">
        <v>1245</v>
      </c>
      <c r="C1023" t="s">
        <v>118</v>
      </c>
      <c r="D1023">
        <v>47996963.670791604</v>
      </c>
    </row>
    <row r="1024" spans="1:4" hidden="1" x14ac:dyDescent="0.3">
      <c r="A1024">
        <v>1022</v>
      </c>
      <c r="B1024" t="s">
        <v>1246</v>
      </c>
      <c r="C1024" t="s">
        <v>120</v>
      </c>
      <c r="D1024">
        <v>34997852.663107798</v>
      </c>
    </row>
    <row r="1025" spans="1:4" hidden="1" x14ac:dyDescent="0.3">
      <c r="A1025">
        <v>1023</v>
      </c>
      <c r="B1025" s="1" t="s">
        <v>1247</v>
      </c>
      <c r="C1025" t="s">
        <v>122</v>
      </c>
      <c r="D1025" s="1" t="s">
        <v>1248</v>
      </c>
    </row>
    <row r="1026" spans="1:4" hidden="1" x14ac:dyDescent="0.3">
      <c r="A1026">
        <v>1024</v>
      </c>
      <c r="B1026" t="s">
        <v>1249</v>
      </c>
      <c r="C1026" t="s">
        <v>125</v>
      </c>
      <c r="D1026">
        <v>0.479955845193275</v>
      </c>
    </row>
    <row r="1027" spans="1:4" hidden="1" x14ac:dyDescent="0.3">
      <c r="A1027">
        <v>1025</v>
      </c>
      <c r="B1027" t="s">
        <v>1250</v>
      </c>
      <c r="C1027" t="s">
        <v>127</v>
      </c>
      <c r="D1027">
        <v>0.349968470299167</v>
      </c>
    </row>
    <row r="1028" spans="1:4" hidden="1" x14ac:dyDescent="0.3">
      <c r="A1028">
        <v>1026</v>
      </c>
      <c r="B1028" s="1" t="s">
        <v>1251</v>
      </c>
      <c r="C1028" t="s">
        <v>129</v>
      </c>
      <c r="D1028" s="1" t="s">
        <v>1252</v>
      </c>
    </row>
  </sheetData>
  <autoFilter ref="A1:D1028" xr:uid="{695972AF-158C-48EB-94E1-59E14A4D8647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D367-0235-4DC0-897E-800FA2FB5C3C}">
  <dimension ref="A1:E22"/>
  <sheetViews>
    <sheetView tabSelected="1" topLeftCell="A16" workbookViewId="0">
      <selection activeCell="B21" sqref="B21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4</v>
      </c>
      <c r="B1" t="s">
        <v>69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5</v>
      </c>
      <c r="B3">
        <v>1.5000552431435099</v>
      </c>
      <c r="C3">
        <v>150006051.950762</v>
      </c>
      <c r="D3">
        <f>STDEV(B2:B3)</f>
        <v>3.906280138991811E-5</v>
      </c>
      <c r="E3">
        <f>STDEV(C2:C3)</f>
        <v>4279.3754232198817</v>
      </c>
    </row>
    <row r="4" spans="1:5" x14ac:dyDescent="0.3">
      <c r="A4" t="s">
        <v>5</v>
      </c>
      <c r="B4">
        <v>1.4999333739704701</v>
      </c>
      <c r="C4">
        <v>149999338.63203099</v>
      </c>
      <c r="D4">
        <f t="shared" ref="D4:D16" si="0">STDEV(B3:B4)</f>
        <v>8.6174518674040328E-5</v>
      </c>
      <c r="E4">
        <f t="shared" ref="E4:E16" si="1">STDEV(C3:C4)</f>
        <v>4747.0331989638107</v>
      </c>
    </row>
    <row r="5" spans="1:5" x14ac:dyDescent="0.3">
      <c r="A5" t="s">
        <v>5</v>
      </c>
      <c r="B5">
        <v>1.49991470725823</v>
      </c>
      <c r="C5">
        <v>149997169.83713499</v>
      </c>
      <c r="D5">
        <f t="shared" si="0"/>
        <v>1.3199358807472419E-5</v>
      </c>
      <c r="E5">
        <f t="shared" si="1"/>
        <v>1533.5695779690288</v>
      </c>
    </row>
    <row r="6" spans="1:5" x14ac:dyDescent="0.3">
      <c r="A6" t="s">
        <v>5</v>
      </c>
      <c r="B6">
        <v>1.4998769719062699</v>
      </c>
      <c r="C6">
        <v>149993860.526959</v>
      </c>
      <c r="D6">
        <f t="shared" si="0"/>
        <v>2.6682923261416249E-5</v>
      </c>
      <c r="E6">
        <f t="shared" si="1"/>
        <v>2340.0356664887099</v>
      </c>
    </row>
    <row r="7" spans="1:5" x14ac:dyDescent="0.3">
      <c r="A7" t="s">
        <v>5</v>
      </c>
      <c r="B7">
        <v>1.4998625769966301</v>
      </c>
      <c r="C7">
        <v>149992057.34969401</v>
      </c>
      <c r="D7">
        <f t="shared" si="0"/>
        <v>1.0178738220896051E-5</v>
      </c>
      <c r="E7">
        <f t="shared" si="1"/>
        <v>1275.0388717547257</v>
      </c>
    </row>
    <row r="8" spans="1:5" x14ac:dyDescent="0.3">
      <c r="A8" t="s">
        <v>5</v>
      </c>
      <c r="B8">
        <v>1.49985681540205</v>
      </c>
      <c r="C8">
        <v>149989667.019595</v>
      </c>
      <c r="D8">
        <f t="shared" si="0"/>
        <v>4.0740625980366466E-6</v>
      </c>
      <c r="E8">
        <f t="shared" si="1"/>
        <v>1690.2186222888279</v>
      </c>
    </row>
    <row r="9" spans="1:5" x14ac:dyDescent="0.3">
      <c r="A9" t="s">
        <v>5</v>
      </c>
      <c r="B9">
        <v>1.49974928351263</v>
      </c>
      <c r="C9">
        <v>149980388.38569799</v>
      </c>
      <c r="D9">
        <f t="shared" si="0"/>
        <v>7.6036528202627851E-5</v>
      </c>
      <c r="E9">
        <f t="shared" si="1"/>
        <v>6560.9849487206666</v>
      </c>
    </row>
    <row r="10" spans="1:5" x14ac:dyDescent="0.3">
      <c r="A10" t="s">
        <v>5</v>
      </c>
      <c r="B10">
        <v>1.49973337757382</v>
      </c>
      <c r="C10">
        <v>149978989.74318701</v>
      </c>
      <c r="D10">
        <f t="shared" si="0"/>
        <v>1.1247197193737343E-5</v>
      </c>
      <c r="E10">
        <f t="shared" si="1"/>
        <v>988.98960396999814</v>
      </c>
    </row>
    <row r="11" spans="1:5" x14ac:dyDescent="0.3">
      <c r="A11" t="s">
        <v>5</v>
      </c>
      <c r="B11">
        <v>1.4996968851050501</v>
      </c>
      <c r="C11">
        <v>149974498.54660499</v>
      </c>
      <c r="D11">
        <f t="shared" si="0"/>
        <v>2.5804072129442277E-5</v>
      </c>
      <c r="E11">
        <f t="shared" si="1"/>
        <v>3175.7555587877118</v>
      </c>
    </row>
    <row r="12" spans="1:5" x14ac:dyDescent="0.3">
      <c r="A12" t="s">
        <v>5</v>
      </c>
      <c r="B12">
        <v>1.4996115249971</v>
      </c>
      <c r="C12">
        <v>149967962.661755</v>
      </c>
      <c r="D12">
        <f t="shared" si="0"/>
        <v>6.0358711174272454E-5</v>
      </c>
      <c r="E12">
        <f t="shared" si="1"/>
        <v>4621.56849848615</v>
      </c>
    </row>
    <row r="13" spans="1:5" x14ac:dyDescent="0.3">
      <c r="A13" t="s">
        <v>5</v>
      </c>
      <c r="B13">
        <v>1.4997181497496199</v>
      </c>
      <c r="C13">
        <v>149977057.87342599</v>
      </c>
      <c r="D13">
        <f t="shared" si="0"/>
        <v>7.5395085549144109E-5</v>
      </c>
      <c r="E13">
        <f t="shared" si="1"/>
        <v>6431.2858488874235</v>
      </c>
    </row>
    <row r="14" spans="1:5" x14ac:dyDescent="0.3">
      <c r="A14" t="s">
        <v>5</v>
      </c>
      <c r="B14">
        <v>1.49967967933085</v>
      </c>
      <c r="C14">
        <v>149972856.16153601</v>
      </c>
      <c r="D14">
        <f t="shared" si="0"/>
        <v>2.7202693987296884E-5</v>
      </c>
      <c r="E14">
        <f t="shared" si="1"/>
        <v>2971.0589699985753</v>
      </c>
    </row>
    <row r="15" spans="1:5" x14ac:dyDescent="0.3">
      <c r="A15" t="s">
        <v>5</v>
      </c>
      <c r="B15">
        <v>1.4995934571096901</v>
      </c>
      <c r="C15">
        <v>149964221.070905</v>
      </c>
      <c r="D15">
        <f t="shared" si="0"/>
        <v>6.0968317271165723E-5</v>
      </c>
      <c r="E15">
        <f t="shared" si="1"/>
        <v>6105.9311413462856</v>
      </c>
    </row>
    <row r="16" spans="1:5" x14ac:dyDescent="0.3">
      <c r="A16" t="s">
        <v>5</v>
      </c>
      <c r="B16">
        <v>0.93386287526584999</v>
      </c>
      <c r="C16">
        <v>93389444.1168378</v>
      </c>
      <c r="D16">
        <f t="shared" si="0"/>
        <v>0.40003193074639087</v>
      </c>
      <c r="E16">
        <f t="shared" si="1"/>
        <v>40004408.428337343</v>
      </c>
    </row>
    <row r="17" spans="1:3" x14ac:dyDescent="0.3">
      <c r="A17" s="3" t="s">
        <v>1253</v>
      </c>
      <c r="B17" s="4">
        <f>MIN($B$2:B16)</f>
        <v>0.93386287526584999</v>
      </c>
      <c r="C17" s="3">
        <f>MIN($C$2:C16)</f>
        <v>93389444.1168378</v>
      </c>
    </row>
    <row r="18" spans="1:3" x14ac:dyDescent="0.3">
      <c r="A18" s="3" t="s">
        <v>1254</v>
      </c>
      <c r="B18" s="4">
        <f>MAX($B$2:B16)</f>
        <v>1.5000552431435099</v>
      </c>
      <c r="C18" s="3">
        <f>MAX($C$2:C16)</f>
        <v>150006051.950762</v>
      </c>
    </row>
    <row r="19" spans="1:3" x14ac:dyDescent="0.3">
      <c r="A19" s="3" t="s">
        <v>1255</v>
      </c>
      <c r="B19" s="4">
        <f>AVERAGE($B$2:B16)</f>
        <v>1.4620763280881177</v>
      </c>
      <c r="C19" s="3">
        <f>AVERAGE($C$2:C16)</f>
        <v>146212237.59174171</v>
      </c>
    </row>
    <row r="20" spans="1:3" x14ac:dyDescent="0.3">
      <c r="A20" s="3" t="s">
        <v>1256</v>
      </c>
      <c r="B20" s="4">
        <f>AVERAGE($D$2:D16)</f>
        <v>2.8610593982489309E-2</v>
      </c>
      <c r="C20" s="3">
        <f>AVERAGE($E$2:E16)</f>
        <v>2860794.948162016</v>
      </c>
    </row>
    <row r="21" spans="1:3" x14ac:dyDescent="0.3">
      <c r="A21" s="3" t="s">
        <v>1257</v>
      </c>
      <c r="B21" s="4">
        <f>-1.96*B20</f>
        <v>-5.6076764205679044E-2</v>
      </c>
      <c r="C21" s="3">
        <f>-1.96*C20</f>
        <v>-5607158.0983975511</v>
      </c>
    </row>
    <row r="22" spans="1:3" x14ac:dyDescent="0.3">
      <c r="A22" s="3"/>
      <c r="B22" s="4">
        <f>B21/B19</f>
        <v>-3.8354197471350729E-2</v>
      </c>
      <c r="C22" s="3">
        <f>C21/C19</f>
        <v>-3.8349444552336513E-2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2026-02-21T06:11:28Z</dcterms:created>
  <dcterms:modified xsi:type="dcterms:W3CDTF">2026-02-21T14:33:35Z</dcterms:modified>
</cp:coreProperties>
</file>