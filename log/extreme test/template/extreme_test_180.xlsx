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e\Documents\DApps Upgrade\dapp_web3\log\extreme test\template\"/>
    </mc:Choice>
  </mc:AlternateContent>
  <xr:revisionPtr revIDLastSave="0" documentId="13_ncr:1_{1342AE8B-08A1-4E57-A391-520A1A7F4525}" xr6:coauthVersionLast="47" xr6:coauthVersionMax="47" xr10:uidLastSave="{00000000-0000-0000-0000-000000000000}"/>
  <bookViews>
    <workbookView xWindow="1776" yWindow="2928" windowWidth="17280" windowHeight="8880" activeTab="1" xr2:uid="{6207659E-0496-4480-906A-921B12CF7FEA}"/>
  </bookViews>
  <sheets>
    <sheet name="extreme_test_180" sheetId="1" r:id="rId1"/>
    <sheet name="Sheet1" sheetId="2" r:id="rId2"/>
  </sheets>
  <definedNames>
    <definedName name="_xlnm._FilterDatabase" localSheetId="0" hidden="1">extreme_test_180!$A$1:$D$12413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4" i="2" l="1"/>
  <c r="B184" i="2"/>
  <c r="C183" i="2"/>
  <c r="B183" i="2"/>
  <c r="C182" i="2"/>
  <c r="B182" i="2"/>
  <c r="D4" i="2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D114" i="2"/>
  <c r="E114" i="2"/>
  <c r="D115" i="2"/>
  <c r="E115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D142" i="2"/>
  <c r="E142" i="2"/>
  <c r="D143" i="2"/>
  <c r="E143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D176" i="2"/>
  <c r="E176" i="2"/>
  <c r="D177" i="2"/>
  <c r="E177" i="2"/>
  <c r="D178" i="2"/>
  <c r="E178" i="2"/>
  <c r="D179" i="2"/>
  <c r="E179" i="2"/>
  <c r="D180" i="2"/>
  <c r="E180" i="2"/>
  <c r="D181" i="2"/>
  <c r="E181" i="2"/>
  <c r="E3" i="2"/>
  <c r="C185" i="2" s="1"/>
  <c r="C186" i="2" s="1"/>
  <c r="C187" i="2" s="1"/>
  <c r="D3" i="2"/>
  <c r="B185" i="2" s="1"/>
  <c r="B186" i="2" s="1"/>
  <c r="B187" i="2" s="1"/>
</calcChain>
</file>

<file path=xl/sharedStrings.xml><?xml version="1.0" encoding="utf-8"?>
<sst xmlns="http://schemas.openxmlformats.org/spreadsheetml/2006/main" count="29513" uniqueCount="16185">
  <si>
    <t>string</t>
  </si>
  <si>
    <t>name</t>
  </si>
  <si>
    <t>value</t>
  </si>
  <si>
    <t xml:space="preserve">date is: 2021-05-10 00:00:00
</t>
  </si>
  <si>
    <t>date is</t>
  </si>
  <si>
    <t xml:space="preserve"> 2021-05-10 00</t>
  </si>
  <si>
    <t>current price of gold is: 1836.07</t>
  </si>
  <si>
    <t>current price of gold is</t>
  </si>
  <si>
    <t xml:space="preserve"> predicted price of gold is: 1832.2524936551254</t>
  </si>
  <si>
    <t xml:space="preserve"> predicted price of gold is</t>
  </si>
  <si>
    <t xml:space="preserve">profit is: -3.817506344874573
</t>
  </si>
  <si>
    <t>profit is</t>
  </si>
  <si>
    <t xml:space="preserve"> -3.817506344874573
</t>
  </si>
  <si>
    <t>current price of tb is: 98.4375</t>
  </si>
  <si>
    <t>current price of tb is</t>
  </si>
  <si>
    <t xml:space="preserve"> current price of tb option is: 4.37066555382673</t>
  </si>
  <si>
    <t xml:space="preserve"> current price of tb option is</t>
  </si>
  <si>
    <t>predicted price of tb is: 98.57130179064335</t>
  </si>
  <si>
    <t>predicted price of tb is</t>
  </si>
  <si>
    <t xml:space="preserve">profit is: 4.504467344470072
</t>
  </si>
  <si>
    <t xml:space="preserve"> 4.504467344470072
</t>
  </si>
  <si>
    <t>current price of reit is: 75.15</t>
  </si>
  <si>
    <t>current price of reit is</t>
  </si>
  <si>
    <t xml:space="preserve"> current price of reit option is: 6.132263309817816</t>
  </si>
  <si>
    <t xml:space="preserve"> current price of reit option is</t>
  </si>
  <si>
    <t>predicted price of reit is: 75.71081335394739</t>
  </si>
  <si>
    <t>predicted price of reit is</t>
  </si>
  <si>
    <t xml:space="preserve">profit is: 6.693076663765197
</t>
  </si>
  <si>
    <t xml:space="preserve"> 6.693076663765197
</t>
  </si>
  <si>
    <t>value_ratio_tb_to_total is: 0.6103583138651414</t>
  </si>
  <si>
    <t>value_ratio_tb_to_total is</t>
  </si>
  <si>
    <t xml:space="preserve"> risk_ratio_tb_to_gold is: 0.20550990211531864
</t>
  </si>
  <si>
    <t xml:space="preserve"> risk_ratio_tb_to_gold is</t>
  </si>
  <si>
    <t xml:space="preserve"> 0.20550990211531864
</t>
  </si>
  <si>
    <t>value_ratio_gold_to_total is: -0.5172746426250853</t>
  </si>
  <si>
    <t>value_ratio_gold_to_total is</t>
  </si>
  <si>
    <t xml:space="preserve"> risk_ratio_gold_to_total is: 0.7085340489772621
</t>
  </si>
  <si>
    <t xml:space="preserve"> risk_ratio_gold_to_total is</t>
  </si>
  <si>
    <t xml:space="preserve"> 0.7085340489772621
</t>
  </si>
  <si>
    <t>value_ratio_reit_to_total is: 0.9069163287599439</t>
  </si>
  <si>
    <t>value_ratio_reit_to_total is</t>
  </si>
  <si>
    <t xml:space="preserve"> risk_ratio_reit_to_gold is: 0.2058548748399402
</t>
  </si>
  <si>
    <t xml:space="preserve"> risk_ratio_reit_to_gold is</t>
  </si>
  <si>
    <t xml:space="preserve"> 0.2058548748399402
</t>
  </si>
  <si>
    <t>average_risk_gold is: 0.00813126332185271</t>
  </si>
  <si>
    <t>average_risk_gold is</t>
  </si>
  <si>
    <t xml:space="preserve"> average_risk_tb is: 1.4594706426186748</t>
  </si>
  <si>
    <t xml:space="preserve"> average_risk_tb is</t>
  </si>
  <si>
    <t xml:space="preserve"> average_risk_reit is: 1.461920537046666
</t>
  </si>
  <si>
    <t xml:space="preserve"> average_risk_reit is</t>
  </si>
  <si>
    <t xml:space="preserve"> 1.461920537046666
</t>
  </si>
  <si>
    <t xml:space="preserve">collateral_ratio_tranche_tb is: 0.4
</t>
  </si>
  <si>
    <t>collateral_ratio_tranche_tb is</t>
  </si>
  <si>
    <t xml:space="preserve"> 0.4
</t>
  </si>
  <si>
    <t xml:space="preserve">collateral_ratio_tranche_gold is: 0.8
</t>
  </si>
  <si>
    <t>collateral_ratio_tranche_gold is</t>
  </si>
  <si>
    <t xml:space="preserve"> 0.8
</t>
  </si>
  <si>
    <t xml:space="preserve">collateral_ratio_tranche_reit is: 0.3
</t>
  </si>
  <si>
    <t>collateral_ratio_tranche_reit is</t>
  </si>
  <si>
    <t xml:space="preserve"> 0.3
</t>
  </si>
  <si>
    <t>Total plot size is: 150000000.0</t>
  </si>
  <si>
    <t>Total plot size is</t>
  </si>
  <si>
    <t xml:space="preserve"> plot size of gold is: 80000000.0</t>
  </si>
  <si>
    <t xml:space="preserve"> plot size of gold is</t>
  </si>
  <si>
    <t xml:space="preserve"> plot size of TB is: 40000000.0</t>
  </si>
  <si>
    <t xml:space="preserve"> plot size of TB is</t>
  </si>
  <si>
    <t xml:space="preserve"> plot size of REIT is: 30000000.0
</t>
  </si>
  <si>
    <t xml:space="preserve"> plot size of REIT is</t>
  </si>
  <si>
    <t xml:space="preserve"> 30000000.0
</t>
  </si>
  <si>
    <t xml:space="preserve">collateral ratio is: 1.5
</t>
  </si>
  <si>
    <t>collateral ratio is</t>
  </si>
  <si>
    <t xml:space="preserve"> 1.5
</t>
  </si>
  <si>
    <t>S_gtbcps_0 is: 1.0</t>
  </si>
  <si>
    <t>S_gtbcps_0 is</t>
  </si>
  <si>
    <t>T is: 0.0027397260273972603</t>
  </si>
  <si>
    <t>T is</t>
  </si>
  <si>
    <t>t is: 0.0</t>
  </si>
  <si>
    <t>t is</t>
  </si>
  <si>
    <t>change_of_collaterals is: 0.0</t>
  </si>
  <si>
    <t>change_of_collaterals is</t>
  </si>
  <si>
    <t xml:space="preserve">stdev_gtbcps is: 0.007692877344503338
</t>
  </si>
  <si>
    <t>stdev_gtbcps is</t>
  </si>
  <si>
    <t xml:space="preserve"> 0.007692877344503338
</t>
  </si>
  <si>
    <t>predicted price of GTBCPS is: 1.0000019609400428</t>
  </si>
  <si>
    <t>predicted price of GTBCPS is</t>
  </si>
  <si>
    <t xml:space="preserve"> actual price is: 1.0
</t>
  </si>
  <si>
    <t xml:space="preserve"> actual price is</t>
  </si>
  <si>
    <t xml:space="preserve"> 1.0
</t>
  </si>
  <si>
    <t>predicted amount of GTBCPS is: 99999803.90638025</t>
  </si>
  <si>
    <t>predicted amount of GTBCPS is</t>
  </si>
  <si>
    <t xml:space="preserve"> actual amount is: 100000000
</t>
  </si>
  <si>
    <t xml:space="preserve"> actual amount is</t>
  </si>
  <si>
    <t xml:space="preserve"> 100000000
</t>
  </si>
  <si>
    <t>plot sizes of gold is: 80000000.0</t>
  </si>
  <si>
    <t>plot sizes of gold is</t>
  </si>
  <si>
    <t xml:space="preserve"> plot sizes of tb is: 40000000.0 </t>
  </si>
  <si>
    <t xml:space="preserve"> plot sizes of tb is</t>
  </si>
  <si>
    <t xml:space="preserve"> plot sizes of reit is: 30000000.0</t>
  </si>
  <si>
    <t xml:space="preserve"> plot sizes of reit is</t>
  </si>
  <si>
    <t xml:space="preserve"> plot sizes of total is: 150000000.0.
</t>
  </si>
  <si>
    <t xml:space="preserve"> plot sizes of total is</t>
  </si>
  <si>
    <t xml:space="preserve"> 150000000.0.
</t>
  </si>
  <si>
    <t>predicted stdevs of gold is: 0.00953084536016328</t>
  </si>
  <si>
    <t>predicted stdevs of gold is</t>
  </si>
  <si>
    <t xml:space="preserve"> predicted stdevs of tb is: 0.0016710551293478313</t>
  </si>
  <si>
    <t xml:space="preserve"> predicted stdevs of tb is</t>
  </si>
  <si>
    <t xml:space="preserve"> predicted stdevs of reit is: 0.0108207255896175</t>
  </si>
  <si>
    <t xml:space="preserve"> predicted stdevs of reit is</t>
  </si>
  <si>
    <t xml:space="preserve"> predicted stdevs of GTBCPS is: 0.007692877344503338.
</t>
  </si>
  <si>
    <t xml:space="preserve"> predicted stdevs of GTBCPS is</t>
  </si>
  <si>
    <t xml:space="preserve"> 0.007692877344503338.
</t>
  </si>
  <si>
    <t>payout of tranche of gold is: 52.291631933615854</t>
  </si>
  <si>
    <t>payout of tranche of gold is</t>
  </si>
  <si>
    <t xml:space="preserve"> payout of tranche of Treausry Bill Option is: 10.225919133684878</t>
  </si>
  <si>
    <t xml:space="preserve"> payout of tranche of Treausry Bill Option is</t>
  </si>
  <si>
    <t xml:space="preserve"> payout of tranche of Collar of REIT is: 5.343042747350349
</t>
  </si>
  <si>
    <t xml:space="preserve"> payout of tranche of Collar of REIT is</t>
  </si>
  <si>
    <t xml:space="preserve"> 5.343042747350349
</t>
  </si>
  <si>
    <t>Collateral size of tranche of gold is: 80000052.29163194</t>
  </si>
  <si>
    <t>Collateral size of tranche of gold is</t>
  </si>
  <si>
    <t xml:space="preserve"> collateral size of tranche of Treausry Bill Option is: 40000010.225919135</t>
  </si>
  <si>
    <t xml:space="preserve"> collateral size of tranche of Treausry Bill Option is</t>
  </si>
  <si>
    <t xml:space="preserve"> collateral size of tranche of Collar of REIT is: 30000005.343042746
</t>
  </si>
  <si>
    <t xml:space="preserve"> collateral size of tranche of Collar of REIT is</t>
  </si>
  <si>
    <t xml:space="preserve"> 30000005.343042746
</t>
  </si>
  <si>
    <t>Collateral ratio of tranche of gold is: 0.8000005229163194</t>
  </si>
  <si>
    <t>Collateral ratio of tranche of gold is</t>
  </si>
  <si>
    <t xml:space="preserve"> collateral ratio of tranche of Treausry Bill Option is: 0.40000010225919136</t>
  </si>
  <si>
    <t xml:space="preserve"> collateral ratio of tranche of Treausry Bill Option is</t>
  </si>
  <si>
    <t xml:space="preserve"> collateral ratio of tranche of Collar of REIT is: 0.30000005343042746
</t>
  </si>
  <si>
    <t xml:space="preserve"> collateral ratio of tranche of Collar of REIT is</t>
  </si>
  <si>
    <t xml:space="preserve"> 0.30000005343042746
</t>
  </si>
  <si>
    <t xml:space="preserve">date is: 2021-05-11 00:00:00
</t>
  </si>
  <si>
    <t xml:space="preserve"> 2021-05-11 00</t>
  </si>
  <si>
    <t>current price of gold is: 1837.47</t>
  </si>
  <si>
    <t xml:space="preserve"> predicted price of gold is: 1839.2854106419948
</t>
  </si>
  <si>
    <t xml:space="preserve"> 1839.2854106419948
</t>
  </si>
  <si>
    <t>current price of tb is: 98.37109375</t>
  </si>
  <si>
    <t xml:space="preserve"> current price of tb option is: 4.369959208509688</t>
  </si>
  <si>
    <t xml:space="preserve"> predicted price of tb is: 98.50562615432824
</t>
  </si>
  <si>
    <t xml:space="preserve"> predicted price of tb is</t>
  </si>
  <si>
    <t xml:space="preserve"> 98.50562615432824
</t>
  </si>
  <si>
    <t>current price of reit is: 74.55</t>
  </si>
  <si>
    <t xml:space="preserve"> current price of reit option is: 6.142003880838288</t>
  </si>
  <si>
    <t xml:space="preserve"> predicted price of reit is: 75.19392772765468
</t>
  </si>
  <si>
    <t xml:space="preserve"> predicted price of reit is</t>
  </si>
  <si>
    <t xml:space="preserve"> 75.19392772765468
</t>
  </si>
  <si>
    <t>value_ratio_gold_to_total is: 0.13851927782137072</t>
  </si>
  <si>
    <t xml:space="preserve"> risk_ratio_to_gold is: 0.7098880801702425</t>
  </si>
  <si>
    <t xml:space="preserve"> risk_ratio_to_gold is</t>
  </si>
  <si>
    <t xml:space="preserve"> risk_ratio_to_gold_before is: 0.7085340489772621
</t>
  </si>
  <si>
    <t xml:space="preserve"> risk_ratio_to_gold_before is</t>
  </si>
  <si>
    <t>value_ratio_tb_to_total is: 0.34370126005053003</t>
  </si>
  <si>
    <t xml:space="preserve"> risk_ratio_tb_to_gold is: 0.20534345171740692</t>
  </si>
  <si>
    <t xml:space="preserve"> risk_ratio_tb_to_gold_before is: 0.20550990211531864
</t>
  </si>
  <si>
    <t xml:space="preserve"> risk_ratio_tb_to_gold_before is</t>
  </si>
  <si>
    <t>value_ratio_reit_to_total is: 0.5177794621280992</t>
  </si>
  <si>
    <t xml:space="preserve"> risk_ratio_reit_to_gold is: 0.2033293066139966</t>
  </si>
  <si>
    <t xml:space="preserve"> risk_ratio_reit_to_gold_before is: 0.2058548748399402
</t>
  </si>
  <si>
    <t xml:space="preserve"> risk_ratio_reit_to_gold_before is</t>
  </si>
  <si>
    <t>delta_gold is: 1.0007624981618348</t>
  </si>
  <si>
    <t>delta_gold is</t>
  </si>
  <si>
    <t xml:space="preserve"> delta_tb is: 0.9993472055944632</t>
  </si>
  <si>
    <t xml:space="preserve"> delta_tb is</t>
  </si>
  <si>
    <t xml:space="preserve"> delta_reit is: 0.9927381521509842
</t>
  </si>
  <si>
    <t xml:space="preserve"> delta_reit is</t>
  </si>
  <si>
    <t xml:space="preserve"> 0.9927381521509842
</t>
  </si>
  <si>
    <t>delta_gold_risk is: 1.0007925105114475</t>
  </si>
  <si>
    <t>delta_gold_risk is</t>
  </si>
  <si>
    <t xml:space="preserve"> delta_tb_risk is: 0.9998619253167313</t>
  </si>
  <si>
    <t xml:space="preserve"> delta_tb_risk is</t>
  </si>
  <si>
    <t xml:space="preserve"> delta_reit_risk is: 0.9979055786242279
</t>
  </si>
  <si>
    <t xml:space="preserve"> delta_reit_risk is</t>
  </si>
  <si>
    <t xml:space="preserve"> 0.9979055786242279
</t>
  </si>
  <si>
    <t xml:space="preserve">collateral_ratio_tranche_gold is: 0.7999765320339618
</t>
  </si>
  <si>
    <t xml:space="preserve"> 0.7999765320339618
</t>
  </si>
  <si>
    <t xml:space="preserve">collateral_ratio_tranche_tb is: 0.3994895758185774
</t>
  </si>
  <si>
    <t xml:space="preserve"> 0.3994895758185774
</t>
  </si>
  <si>
    <t xml:space="preserve">collateral_ratio_tranche_reit is: 0.2982191799901679
</t>
  </si>
  <si>
    <t xml:space="preserve"> 0.2982191799901679
</t>
  </si>
  <si>
    <t>Total plot size is: 149817032.64125484</t>
  </si>
  <si>
    <t xml:space="preserve"> plot size of gold is: 80060999.85294679</t>
  </si>
  <si>
    <t xml:space="preserve"> plot size of TB is: 39973888.22377853</t>
  </si>
  <si>
    <t xml:space="preserve"> plot size of REIT is: 29782144.564529523
</t>
  </si>
  <si>
    <t xml:space="preserve"> 29782144.564529523
</t>
  </si>
  <si>
    <t xml:space="preserve">collateral ratio is: 1.4981703264125483
</t>
  </si>
  <si>
    <t xml:space="preserve"> 1.4981703264125483
</t>
  </si>
  <si>
    <t>S_gtbcps_0 is: 1.0000019609400428</t>
  </si>
  <si>
    <t xml:space="preserve">stdev_gtbcps is: 0.007698641074856728
</t>
  </si>
  <si>
    <t xml:space="preserve"> 0.007698641074856728
</t>
  </si>
  <si>
    <t>predicted price of GTBCPS is: 1.0000086486464057</t>
  </si>
  <si>
    <t xml:space="preserve"> actual price is: 1.0000019609400428
</t>
  </si>
  <si>
    <t xml:space="preserve"> 1.0000019609400428
</t>
  </si>
  <si>
    <t>predicted amount of GTBCPS is: 99999135.14283927</t>
  </si>
  <si>
    <t xml:space="preserve"> actual amount is: 99999803.90638025
</t>
  </si>
  <si>
    <t xml:space="preserve"> 99999803.90638025
</t>
  </si>
  <si>
    <t>plot sizes of gold is: 80060999.85294679</t>
  </si>
  <si>
    <t xml:space="preserve"> plot sizes of tb is: 39973888.22377853 </t>
  </si>
  <si>
    <t xml:space="preserve"> plot sizes of reit is: 29782144.564529523</t>
  </si>
  <si>
    <t xml:space="preserve"> plot sizes of total is: 149817032.64125484.
</t>
  </si>
  <si>
    <t xml:space="preserve"> 149817032.64125484.
</t>
  </si>
  <si>
    <t>predicted stdevs of gold is: 0.00953306826847391</t>
  </si>
  <si>
    <t xml:space="preserve"> predicted stdevs of tb is: 0.001671769888387191</t>
  </si>
  <si>
    <t xml:space="preserve"> predicted stdevs of reit is: 0.010856620503263402</t>
  </si>
  <si>
    <t xml:space="preserve"> predicted stdevs of GTBCPS is: 0.007698641074856728.
</t>
  </si>
  <si>
    <t xml:space="preserve"> 0.007698641074856728.
</t>
  </si>
  <si>
    <t>total_value_of_collaterals is: 149817264.2293064</t>
  </si>
  <si>
    <t>total_value_of_collaterals is</t>
  </si>
  <si>
    <t xml:space="preserve"> createdtionValue_gold is: -535.4244742554621</t>
  </si>
  <si>
    <t xml:space="preserve"> createdtionValue_gold is</t>
  </si>
  <si>
    <t xml:space="preserve"> createdValue_tb is: -267.3334081135042</t>
  </si>
  <si>
    <t xml:space="preserve"> createdValue_tb is</t>
  </si>
  <si>
    <t xml:space="preserve"> createdValue_reit is: -199.1740241749395
</t>
  </si>
  <si>
    <t xml:space="preserve"> createdValue_reit is</t>
  </si>
  <si>
    <t xml:space="preserve"> -199.1740241749395
</t>
  </si>
  <si>
    <t>plotValue_gold_after_creation is: 80061694.68136121</t>
  </si>
  <si>
    <t>plotValue_gold_after_creation is</t>
  </si>
  <si>
    <t xml:space="preserve"> plotValue_tb_after_creation  is: 39974201.26951316</t>
  </si>
  <si>
    <t xml:space="preserve"> plotValue_tb_after_creation  is</t>
  </si>
  <si>
    <t xml:space="preserve"> plotValue_reit_after_creation  is: 29782370.21033857</t>
  </si>
  <si>
    <t xml:space="preserve"> plotValue_reit_after_creation  is</t>
  </si>
  <si>
    <t xml:space="preserve">total_value_after_creation is: 149818266.16121295
</t>
  </si>
  <si>
    <t>total_value_after_creation is</t>
  </si>
  <si>
    <t xml:space="preserve"> 149818266.16121295
</t>
  </si>
  <si>
    <t>total_amount_gtncps_before_creation is: 99999803.90638025</t>
  </si>
  <si>
    <t>total_amount_gtncps_before_creation is</t>
  </si>
  <si>
    <t>creation_amount_gtbcps is: -668.7635409832001</t>
  </si>
  <si>
    <t>creation_amount_gtbcps is</t>
  </si>
  <si>
    <t xml:space="preserve">total_amount_gtbcps_new is: 99999135.14283927
</t>
  </si>
  <si>
    <t>total_amount_gtbcps_new is</t>
  </si>
  <si>
    <t xml:space="preserve"> 99999135.14283927
</t>
  </si>
  <si>
    <t>payout of tranche of gold is: 159.4039401759597</t>
  </si>
  <si>
    <t xml:space="preserve"> payout of tranche of Treausry Bill Option is: 45.71232651668241</t>
  </si>
  <si>
    <t xml:space="preserve"> payout of tranche of Collar of REIT is: 26.471784870597197
</t>
  </si>
  <si>
    <t xml:space="preserve"> 26.471784870597197
</t>
  </si>
  <si>
    <t>Collateral size of tranche of gold is: 80061694.68136121</t>
  </si>
  <si>
    <t xml:space="preserve"> collateral size of tranche of Treausry Bill Option is: 39974201.26951316</t>
  </si>
  <si>
    <t xml:space="preserve"> collateral size of tranche of Collar of REIT is: 29782370.21033857
</t>
  </si>
  <si>
    <t xml:space="preserve"> 29782370.21033857
</t>
  </si>
  <si>
    <t>Collateral ratio of tranche of gold is: 0.8006115925688696</t>
  </si>
  <si>
    <t xml:space="preserve"> collateral ratio of tranche of Treausry Bill Option is: 0.3997393393610505</t>
  </si>
  <si>
    <t xml:space="preserve"> collateral ratio of tranche of Collar of REIT is: 0.2978217103631439
</t>
  </si>
  <si>
    <t xml:space="preserve"> 0.2978217103631439
</t>
  </si>
  <si>
    <t xml:space="preserve">date is: 2021-05-12 00:00:00
</t>
  </si>
  <si>
    <t xml:space="preserve"> 2021-05-12 00</t>
  </si>
  <si>
    <t>current price of gold is: 1815.69</t>
  </si>
  <si>
    <t xml:space="preserve"> predicted price of gold is: 1816.1095213523051
</t>
  </si>
  <si>
    <t xml:space="preserve"> 1816.1095213523051
</t>
  </si>
  <si>
    <t>current price of tb is: 98.09765625</t>
  </si>
  <si>
    <t xml:space="preserve"> current price of tb option is: 4.366363740290325</t>
  </si>
  <si>
    <t xml:space="preserve"> predicted price of tb is: 98.23590777848601
</t>
  </si>
  <si>
    <t xml:space="preserve"> 98.23590777848601
</t>
  </si>
  <si>
    <t>current price of reit is: 73.75</t>
  </si>
  <si>
    <t xml:space="preserve"> current price of reit option is: 6.125464877342125</t>
  </si>
  <si>
    <t xml:space="preserve"> predicted price of reit is: 74.3139834057609
</t>
  </si>
  <si>
    <t xml:space="preserve"> 74.3139834057609
</t>
  </si>
  <si>
    <t>value_ratio_gold_to_total is: 0.03612332933941239</t>
  </si>
  <si>
    <t xml:space="preserve"> risk_ratio_to_gold is: 0.7073196905241588</t>
  </si>
  <si>
    <t xml:space="preserve"> risk_ratio_to_gold_before is: 0.7098880801702425
</t>
  </si>
  <si>
    <t xml:space="preserve"> 0.7098880801702425
</t>
  </si>
  <si>
    <t>value_ratio_tb_to_total is: 0.38787465764798407</t>
  </si>
  <si>
    <t xml:space="preserve"> risk_ratio_tb_to_gold is: 0.207838601753479</t>
  </si>
  <si>
    <t xml:space="preserve"> risk_ratio_tb_to_gold_before is: 0.20534345171740692
</t>
  </si>
  <si>
    <t xml:space="preserve"> 0.20534345171740692
</t>
  </si>
  <si>
    <t>value_ratio_reit_to_total is: 0.5760020130126036</t>
  </si>
  <si>
    <t xml:space="preserve"> risk_ratio_reit_to_gold is: 0.20594927011949365</t>
  </si>
  <si>
    <t xml:space="preserve"> risk_ratio_reit_to_gold_before is: 0.2033293066139966
</t>
  </si>
  <si>
    <t xml:space="preserve"> 0.2033293066139966
</t>
  </si>
  <si>
    <t>delta_gold is: 0.9881467452529837</t>
  </si>
  <si>
    <t xml:space="preserve"> delta_tb is: 0.9973035806015027</t>
  </si>
  <si>
    <t xml:space="preserve"> delta_reit is: 0.9898807940784073
</t>
  </si>
  <si>
    <t xml:space="preserve"> 0.9898807940784073
</t>
  </si>
  <si>
    <t>delta_gold_risk is: 0.9984979194393658</t>
  </si>
  <si>
    <t xml:space="preserve"> delta_tb_risk is: 1.002070073913387</t>
  </si>
  <si>
    <t xml:space="preserve"> delta_reit_risk is: 1.0021772622764995
</t>
  </si>
  <si>
    <t xml:space="preserve"> 1.0021772622764995
</t>
  </si>
  <si>
    <t xml:space="preserve">collateral_ratio_tranche_gold is: 0.7923118556450608
</t>
  </si>
  <si>
    <t xml:space="preserve"> 0.7923118556450608
</t>
  </si>
  <si>
    <t xml:space="preserve">collateral_ratio_tranche_tb is: 0.40261016135727123
</t>
  </si>
  <si>
    <t xml:space="preserve"> 0.40261016135727123
</t>
  </si>
  <si>
    <t xml:space="preserve">collateral_ratio_tranche_reit is: 0.29769617998121467
</t>
  </si>
  <si>
    <t xml:space="preserve"> 0.29769617998121467
</t>
  </si>
  <si>
    <t>Total plot size is: 148460113.34994286</t>
  </si>
  <si>
    <t xml:space="preserve"> plot size of gold is: 79112703.0188252</t>
  </si>
  <si>
    <t xml:space="preserve"> plot size of TB is: 39866414.05777061</t>
  </si>
  <si>
    <t xml:space="preserve"> plot size of REIT is: 29480996.273347046
</t>
  </si>
  <si>
    <t xml:space="preserve"> 29480996.273347046
</t>
  </si>
  <si>
    <t xml:space="preserve">collateral ratio is: 1.4846011334994287
</t>
  </si>
  <si>
    <t xml:space="preserve"> 1.4846011334994287
</t>
  </si>
  <si>
    <t>S_gtbcps_0 is: 1.0000086486464057</t>
  </si>
  <si>
    <t xml:space="preserve">stdev_gtbcps is: 0.007701423550933372
</t>
  </si>
  <si>
    <t xml:space="preserve"> 0.007701423550933372
</t>
  </si>
  <si>
    <t>predicted price of GTBCPS is: 1.0000062322533096</t>
  </si>
  <si>
    <t xml:space="preserve"> actual price is: 1.0000086486464057
</t>
  </si>
  <si>
    <t xml:space="preserve"> 1.0000086486464057
</t>
  </si>
  <si>
    <t>predicted amount of GTBCPS is: 99999376.77855311</t>
  </si>
  <si>
    <t xml:space="preserve"> actual amount is: 99999135.14283927
</t>
  </si>
  <si>
    <t>plot sizes of gold is: 79112703.0188252</t>
  </si>
  <si>
    <t xml:space="preserve"> plot sizes of tb is: 39866414.05777061 </t>
  </si>
  <si>
    <t xml:space="preserve"> plot sizes of reit is: 29480996.273347046</t>
  </si>
  <si>
    <t xml:space="preserve"> plot sizes of total is: 148460113.34994286.
</t>
  </si>
  <si>
    <t xml:space="preserve"> 148460113.34994286.
</t>
  </si>
  <si>
    <t>predicted stdevs of gold is: 0.009531713457806765</t>
  </si>
  <si>
    <t xml:space="preserve"> predicted stdevs of tb is: 0.0016919429504323083</t>
  </si>
  <si>
    <t xml:space="preserve"> predicted stdevs of reit is: 0.010916283020814068</t>
  </si>
  <si>
    <t xml:space="preserve"> predicted stdevs of GTBCPS is: 0.007701423550933372.
</t>
  </si>
  <si>
    <t xml:space="preserve"> 0.007701423550933372.
</t>
  </si>
  <si>
    <t>total_value_of_collaterals is: 148460029.6161316</t>
  </si>
  <si>
    <t xml:space="preserve"> createdtionValue_gold is: 191.1655974783814</t>
  </si>
  <si>
    <t xml:space="preserve"> createdValue_tb is: 96.33205226298988</t>
  </si>
  <si>
    <t xml:space="preserve"> createdValue_reit is: 71.23703830830965
</t>
  </si>
  <si>
    <t xml:space="preserve"> 71.23703830830965
</t>
  </si>
  <si>
    <t>plotValue_gold_after_creation is: 79112454.49886528</t>
  </si>
  <si>
    <t xml:space="preserve"> plotValue_tb_after_creation  is: 39866300.22329176</t>
  </si>
  <si>
    <t xml:space="preserve"> plotValue_reit_after_creation  is: 29480916.159286495</t>
  </si>
  <si>
    <t xml:space="preserve">total_value_after_creation is: 148459670.88144353
</t>
  </si>
  <si>
    <t xml:space="preserve"> 148459670.88144353
</t>
  </si>
  <si>
    <t>total_amount_gtncps_before_creation is: 99999135.14283927</t>
  </si>
  <si>
    <t>creation_amount_gtbcps is: 241.6357138454914</t>
  </si>
  <si>
    <t xml:space="preserve">total_amount_gtbcps_new is: 99999376.77855311
</t>
  </si>
  <si>
    <t xml:space="preserve"> 99999376.77855311
</t>
  </si>
  <si>
    <t>payout of tranche of gold is: -57.35436244019943</t>
  </si>
  <si>
    <t xml:space="preserve"> payout of tranche of Treausry Bill Option is: -17.502426585413122</t>
  </si>
  <si>
    <t xml:space="preserve"> payout of tranche of Collar of REIT is: -8.877022242856912
</t>
  </si>
  <si>
    <t xml:space="preserve"> -8.877022242856912
</t>
  </si>
  <si>
    <t>Collateral size of tranche of gold is: 79112454.49886528</t>
  </si>
  <si>
    <t xml:space="preserve"> collateral size of tranche of Treausry Bill Option is: 39866300.22329176</t>
  </si>
  <si>
    <t xml:space="preserve"> collateral size of tranche of Collar of REIT is: 29480916.159286495
</t>
  </si>
  <si>
    <t xml:space="preserve"> 29480916.159286495
</t>
  </si>
  <si>
    <t>Collateral ratio of tranche of gold is: 0.7911264566446276</t>
  </si>
  <si>
    <t xml:space="preserve"> collateral ratio of tranche of Treausry Bill Option is: 0.39866396555344025</t>
  </si>
  <si>
    <t xml:space="preserve"> collateral ratio of tranche of Collar of REIT is: 0.29480987396324804
</t>
  </si>
  <si>
    <t xml:space="preserve"> 0.29480987396324804
</t>
  </si>
  <si>
    <t xml:space="preserve">date is: 2021-05-13 00:00:00
</t>
  </si>
  <si>
    <t xml:space="preserve"> 2021-05-13 00</t>
  </si>
  <si>
    <t>current price of gold is: 1826.72</t>
  </si>
  <si>
    <t xml:space="preserve"> predicted price of gold is: 1832.8490180824358
</t>
  </si>
  <si>
    <t xml:space="preserve"> 1832.8490180824358
</t>
  </si>
  <si>
    <t>current price of tb is: 98.265625</t>
  </si>
  <si>
    <t xml:space="preserve"> current price of tb option is: 4.368513179793754</t>
  </si>
  <si>
    <t xml:space="preserve"> predicted price of tb is: 98.40165317904842
</t>
  </si>
  <si>
    <t xml:space="preserve"> 98.40165317904842
</t>
  </si>
  <si>
    <t>current price of reit is: 72.9</t>
  </si>
  <si>
    <t xml:space="preserve"> current price of reit option is: 6.174684697146958</t>
  </si>
  <si>
    <t xml:space="preserve"> predicted price of reit is: 73.56608129865783
</t>
  </si>
  <si>
    <t xml:space="preserve"> 73.56608129865783
</t>
  </si>
  <si>
    <t>value_ratio_gold_to_total is: 0.35074418778016014</t>
  </si>
  <si>
    <t xml:space="preserve"> risk_ratio_to_gold is: 0.7092228430698038</t>
  </si>
  <si>
    <t xml:space="preserve"> risk_ratio_to_gold_before is: 0.7073196905241588
</t>
  </si>
  <si>
    <t xml:space="preserve"> 0.7073196905241588
</t>
  </si>
  <si>
    <t>value_ratio_tb_to_total is: 0.25778055782817033</t>
  </si>
  <si>
    <t xml:space="preserve"> risk_ratio_tb_to_gold is: 0.20815734618493142</t>
  </si>
  <si>
    <t xml:space="preserve"> risk_ratio_tb_to_gold_before is: 0.207838601753479
</t>
  </si>
  <si>
    <t xml:space="preserve"> 0.207838601753479
</t>
  </si>
  <si>
    <t>value_ratio_reit_to_total is: 0.3914752543916695</t>
  </si>
  <si>
    <t xml:space="preserve"> risk_ratio_reit_to_gold is: 0.2018367195329676</t>
  </si>
  <si>
    <t xml:space="preserve"> risk_ratio_reit_to_gold_before is: 0.20594927011949365
</t>
  </si>
  <si>
    <t xml:space="preserve"> 0.20594927011949365
</t>
  </si>
  <si>
    <t>delta_gold is: 1.006074825548414</t>
  </si>
  <si>
    <t xml:space="preserve"> delta_tb is: 1.0016602724499737</t>
  </si>
  <si>
    <t xml:space="preserve"> delta_reit is: 0.9899746413817453
</t>
  </si>
  <si>
    <t xml:space="preserve"> 0.9899746413817453
</t>
  </si>
  <si>
    <t>delta_gold_risk is: 1.001114701925016</t>
  </si>
  <si>
    <t xml:space="preserve"> delta_tb_risk is: 1.0002638965429567</t>
  </si>
  <si>
    <t xml:space="preserve"> delta_reit_risk is: 0.9965897814373912
</t>
  </si>
  <si>
    <t xml:space="preserve"> 0.9965897814373912
</t>
  </si>
  <si>
    <t xml:space="preserve">collateral_ratio_tranche_gold is: 0.7950461723566761
</t>
  </si>
  <si>
    <t xml:space="preserve"> 0.7950461723566761
</t>
  </si>
  <si>
    <t xml:space="preserve">collateral_ratio_tranche_tb is: 0.3968099522059844
</t>
  </si>
  <si>
    <t xml:space="preserve"> 0.3968099522059844
</t>
  </si>
  <si>
    <t xml:space="preserve">collateral_ratio_tranche_reit is: 0.2910847031702965
</t>
  </si>
  <si>
    <t xml:space="preserve"> 0.2910847031702965
</t>
  </si>
  <si>
    <t>Total plot size is: 148710897.40428254</t>
  </si>
  <si>
    <t xml:space="preserve"> plot size of gold is: 79593048.85865273</t>
  </si>
  <si>
    <t xml:space="preserve"> plot size of TB is: 39932489.14323487</t>
  </si>
  <si>
    <t xml:space="preserve"> plot size of REIT is: 29185359.402394947
</t>
  </si>
  <si>
    <t xml:space="preserve"> 29185359.402394947
</t>
  </si>
  <si>
    <t xml:space="preserve">collateral ratio is: 1.4871089740428254
</t>
  </si>
  <si>
    <t xml:space="preserve"> 1.4871089740428254
</t>
  </si>
  <si>
    <t>S_gtbcps_0 is: 1.0000062322533096</t>
  </si>
  <si>
    <t xml:space="preserve">stdev_gtbcps is: 0.007736947213736037
</t>
  </si>
  <si>
    <t xml:space="preserve"> 0.007736947213736037
</t>
  </si>
  <si>
    <t>predicted price of GTBCPS is: 0.9999947033676136</t>
  </si>
  <si>
    <t xml:space="preserve"> actual price is: 1.0000062322533096
</t>
  </si>
  <si>
    <t xml:space="preserve"> 1.0000062322533096
</t>
  </si>
  <si>
    <t>predicted amount of GTBCPS is: 100000529.66604409</t>
  </si>
  <si>
    <t xml:space="preserve"> actual amount is: 99999376.77855311
</t>
  </si>
  <si>
    <t>plot sizes of gold is: 79593048.85865273</t>
  </si>
  <si>
    <t xml:space="preserve"> plot sizes of tb is: 39932489.14323487 </t>
  </si>
  <si>
    <t xml:space="preserve"> plot sizes of reit is: 29185359.402394947</t>
  </si>
  <si>
    <t xml:space="preserve"> plot sizes of total is: 148710897.40428254.
</t>
  </si>
  <si>
    <t xml:space="preserve"> 148710897.40428254.
</t>
  </si>
  <si>
    <t>predicted stdevs of gold is: 0.009582113431119692</t>
  </si>
  <si>
    <t xml:space="preserve"> predicted stdevs of tb is: 0.001702676853869523</t>
  </si>
  <si>
    <t xml:space="preserve"> predicted stdevs of reit is: 0.010961201862881763</t>
  </si>
  <si>
    <t xml:space="preserve"> predicted stdevs of GTBCPS is: 0.007736947213736037.
</t>
  </si>
  <si>
    <t xml:space="preserve"> 0.007736947213736037.
</t>
  </si>
  <si>
    <t>total_value_of_collaterals is: 148710498.0178215</t>
  </si>
  <si>
    <t xml:space="preserve"> createdtionValue_gold is: 917.6098867479212</t>
  </si>
  <si>
    <t xml:space="preserve"> createdValue_tb is: 460.37353426674684</t>
  </si>
  <si>
    <t xml:space="preserve"> createdValue_reit is: 336.47222750685216
</t>
  </si>
  <si>
    <t xml:space="preserve"> 336.47222750685216
</t>
  </si>
  <si>
    <t>plotValue_gold_after_creation is: 79591822.7226126</t>
  </si>
  <si>
    <t xml:space="preserve"> plotValue_tb_after_creation  is: 39931968.0996501</t>
  </si>
  <si>
    <t xml:space="preserve"> plotValue_reit_after_creation  is: 29184992.739910256</t>
  </si>
  <si>
    <t xml:space="preserve">total_value_after_creation is: 148708783.56217295
</t>
  </si>
  <si>
    <t xml:space="preserve"> 148708783.56217295
</t>
  </si>
  <si>
    <t>total_amount_gtncps_before_creation is: 99999376.77855311</t>
  </si>
  <si>
    <t>creation_amount_gtbcps is: 1152.8874909728765</t>
  </si>
  <si>
    <t xml:space="preserve">total_amount_gtbcps_new is: 100000529.66604409
</t>
  </si>
  <si>
    <t xml:space="preserve"> 100000529.66604409
</t>
  </si>
  <si>
    <t>payout of tranche of gold is: -308.52615336924066</t>
  </si>
  <si>
    <t xml:space="preserve"> payout of tranche of Treausry Bill Option is: -60.670050503617716</t>
  </si>
  <si>
    <t xml:space="preserve"> payout of tranche of Collar of REIT is: -30.190257184465672
</t>
  </si>
  <si>
    <t xml:space="preserve"> -30.190257184465672
</t>
  </si>
  <si>
    <t>Collateral size of tranche of gold is: 79591822.7226126</t>
  </si>
  <si>
    <t xml:space="preserve"> collateral size of tranche of Treausry Bill Option is: 39931968.0996501</t>
  </si>
  <si>
    <t xml:space="preserve"> collateral size of tranche of Collar of REIT is: 29184992.739910256
</t>
  </si>
  <si>
    <t xml:space="preserve"> 29184992.739910256
</t>
  </si>
  <si>
    <t>Collateral ratio of tranche of gold is: 0.7959274033249936</t>
  </si>
  <si>
    <t xml:space="preserve"> collateral ratio of tranche of Treausry Bill Option is: 0.39932428473184367</t>
  </si>
  <si>
    <t xml:space="preserve"> collateral ratio of tranche of Collar of REIT is: 0.2918532921213776
</t>
  </si>
  <si>
    <t xml:space="preserve"> 0.2918532921213776
</t>
  </si>
  <si>
    <t xml:space="preserve">date is: 2021-05-14 00:00:00
</t>
  </si>
  <si>
    <t xml:space="preserve"> 2021-05-14 00</t>
  </si>
  <si>
    <t>current price of gold is: 1843.43</t>
  </si>
  <si>
    <t xml:space="preserve"> predicted price of gold is: 1835.6515687566314
</t>
  </si>
  <si>
    <t xml:space="preserve"> 1835.6515687566314
</t>
  </si>
  <si>
    <t>current price of tb is: 98.328125</t>
  </si>
  <si>
    <t xml:space="preserve"> current price of tb option is: 4.37080902132233</t>
  </si>
  <si>
    <t xml:space="preserve"> predicted price of tb is: 98.46177812198707
</t>
  </si>
  <si>
    <t xml:space="preserve"> 98.46177812198707
</t>
  </si>
  <si>
    <t>current price of reit is: 73.2</t>
  </si>
  <si>
    <t xml:space="preserve"> current price of reit option is: 6.189273037240241</t>
  </si>
  <si>
    <t xml:space="preserve"> predicted price of reit is: 73.52500614217408
</t>
  </si>
  <si>
    <t xml:space="preserve"> 73.52500614217408
</t>
  </si>
  <si>
    <t>value_ratio_gold_to_total is: -2.400520645517036</t>
  </si>
  <si>
    <t xml:space="preserve"> risk_ratio_to_gold is: 0.7057150792024052</t>
  </si>
  <si>
    <t xml:space="preserve"> risk_ratio_to_gold_before is: 0.7092228430698038
</t>
  </si>
  <si>
    <t xml:space="preserve"> 0.7092228430698038
</t>
  </si>
  <si>
    <t>value_ratio_tb_to_total is: 1.3901330530089255</t>
  </si>
  <si>
    <t xml:space="preserve"> risk_ratio_tb_to_gold is: 0.20956382832979978</t>
  </si>
  <si>
    <t xml:space="preserve"> risk_ratio_tb_to_gold_before is: 0.20815734618493142
</t>
  </si>
  <si>
    <t xml:space="preserve"> 0.20815734618493142
</t>
  </si>
  <si>
    <t>value_ratio_reit_to_total is: 2.0103875925081107</t>
  </si>
  <si>
    <t xml:space="preserve"> risk_ratio_reit_to_gold is: 0.20743862700981655</t>
  </si>
  <si>
    <t xml:space="preserve"> risk_ratio_reit_to_gold_before is: 0.2018367195329676
</t>
  </si>
  <si>
    <t xml:space="preserve"> 0.2018367195329676
</t>
  </si>
  <si>
    <t>delta_gold is: 1.0091475431374266</t>
  </si>
  <si>
    <t xml:space="preserve"> delta_tb is: 1.0006313283540713</t>
  </si>
  <si>
    <t xml:space="preserve"> delta_reit is: 1.0039783698322433
</t>
  </si>
  <si>
    <t xml:space="preserve"> 1.0039783698322433
</t>
  </si>
  <si>
    <t>delta_gold_risk is: 0.9979477433959995</t>
  </si>
  <si>
    <t xml:space="preserve"> delta_tb_risk is: 1.0011641547761223</t>
  </si>
  <si>
    <t xml:space="preserve"> delta_reit_risk is: 1.0046611219193118
</t>
  </si>
  <si>
    <t xml:space="preserve"> 1.0046611219193118
</t>
  </si>
  <si>
    <t xml:space="preserve">collateral_ratio_tranche_gold is: 0.8048599627550285
</t>
  </si>
  <si>
    <t xml:space="preserve"> 0.8048599627550285
</t>
  </si>
  <si>
    <t xml:space="preserve">collateral_ratio_tranche_tb is: 0.3954939635198872
</t>
  </si>
  <si>
    <t xml:space="preserve"> 0.3954939635198872
</t>
  </si>
  <si>
    <t xml:space="preserve">collateral_ratio_tranche_reit is: 0.2890112106425952
</t>
  </si>
  <si>
    <t xml:space="preserve"> 0.2890112106425952
</t>
  </si>
  <si>
    <t>Total plot size is: 149578172.07228035</t>
  </si>
  <si>
    <t xml:space="preserve"> plot size of gold is: 80319892.35435411</t>
  </si>
  <si>
    <t xml:space="preserve"> plot size of TB is: 39957178.28334528</t>
  </si>
  <si>
    <t xml:space="preserve"> plot size of REIT is: 29301101.434580956
</t>
  </si>
  <si>
    <t xml:space="preserve"> 29301101.434580956
</t>
  </si>
  <si>
    <t xml:space="preserve">collateral ratio is: 1.4957817207228035
</t>
  </si>
  <si>
    <t xml:space="preserve"> 1.4957817207228035
</t>
  </si>
  <si>
    <t>S_gtbcps_0 is: 0.9999947033676136</t>
  </si>
  <si>
    <t xml:space="preserve">stdev_gtbcps is: 0.007694260968523759
</t>
  </si>
  <si>
    <t xml:space="preserve"> 0.007694260968523759
</t>
  </si>
  <si>
    <t>predicted price of GTBCPS is: 0.9999956580274156</t>
  </si>
  <si>
    <t xml:space="preserve"> actual price is: 0.9999947033676136
</t>
  </si>
  <si>
    <t xml:space="preserve"> 0.9999947033676136
</t>
  </si>
  <si>
    <t>predicted amount of GTBCPS is: 100000434.19914372</t>
  </si>
  <si>
    <t xml:space="preserve"> actual amount is: 100000529.66604409
</t>
  </si>
  <si>
    <t>plot sizes of gold is: 80319892.35435411</t>
  </si>
  <si>
    <t xml:space="preserve"> plot sizes of tb is: 39957178.28334528 </t>
  </si>
  <si>
    <t xml:space="preserve"> plot sizes of reit is: 29301101.434580956</t>
  </si>
  <si>
    <t xml:space="preserve"> plot sizes of total is: 149578172.07228035.
</t>
  </si>
  <si>
    <t xml:space="preserve"> 149578172.07228035.
</t>
  </si>
  <si>
    <t>predicted stdevs of gold is: 0.009490569793110044</t>
  </si>
  <si>
    <t xml:space="preserve"> predicted stdevs of tb is: 0.0017045894207455693</t>
  </si>
  <si>
    <t xml:space="preserve"> predicted stdevs of reit is: 0.010938201906359234</t>
  </si>
  <si>
    <t xml:space="preserve"> predicted stdevs of GTBCPS is: 0.007694260968523759.
</t>
  </si>
  <si>
    <t xml:space="preserve"> 0.007694260968523759.
</t>
  </si>
  <si>
    <t>total_value_of_collaterals is: 149578205.12395474</t>
  </si>
  <si>
    <t xml:space="preserve"> createdtionValue_gold is: -76.67860053795063</t>
  </si>
  <si>
    <t xml:space="preserve"> createdValue_tb is: -38.145720416462844</t>
  </si>
  <si>
    <t xml:space="preserve"> createdValue_reit is: -27.972735073286014
</t>
  </si>
  <si>
    <t xml:space="preserve"> -27.972735073286014
</t>
  </si>
  <si>
    <t>plotValue_gold_after_creation is: 80319991.9411291</t>
  </si>
  <si>
    <t xml:space="preserve"> plotValue_tb_after_creation  is: 39957223.20104757</t>
  </si>
  <si>
    <t xml:space="preserve"> plotValue_reit_after_creation  is: 29301132.77883411</t>
  </si>
  <si>
    <t xml:space="preserve">total_value_after_creation is: 149578347.9210108
</t>
  </si>
  <si>
    <t xml:space="preserve"> 149578347.9210108
</t>
  </si>
  <si>
    <t>total_amount_gtncps_before_creation is: 100000529.66604409</t>
  </si>
  <si>
    <t>creation_amount_gtbcps is: -95.46690036356449</t>
  </si>
  <si>
    <t xml:space="preserve">total_amount_gtbcps_new is: 100000434.19914372
</t>
  </si>
  <si>
    <t xml:space="preserve"> 100000434.19914372
</t>
  </si>
  <si>
    <t>payout of tranche of gold is: 22.9081744592016</t>
  </si>
  <si>
    <t xml:space="preserve"> payout of tranche of Treausry Bill Option is: 6.771981875224025</t>
  </si>
  <si>
    <t xml:space="preserve"> payout of tranche of Collar of REIT is: 3.371518079116847
</t>
  </si>
  <si>
    <t xml:space="preserve"> 3.371518079116847
</t>
  </si>
  <si>
    <t>Collateral size of tranche of gold is: 80319991.9411291</t>
  </si>
  <si>
    <t xml:space="preserve"> collateral size of tranche of Treausry Bill Option is: 39957223.20104757</t>
  </si>
  <si>
    <t xml:space="preserve"> collateral size of tranche of Collar of REIT is: 29301132.77883411
</t>
  </si>
  <si>
    <t xml:space="preserve"> 29301132.77883411
</t>
  </si>
  <si>
    <t>Collateral ratio of tranche of gold is: 0.8031991526252857</t>
  </si>
  <si>
    <t xml:space="preserve"> collateral ratio of tranche of Treausry Bill Option is: 0.39957185055327155</t>
  </si>
  <si>
    <t xml:space="preserve"> collateral ratio of tranche of Collar of REIT is: 0.2930110480609904
</t>
  </si>
  <si>
    <t xml:space="preserve"> 0.2930110480609904
</t>
  </si>
  <si>
    <t xml:space="preserve">date is: 2021-05-17 00:00:00
</t>
  </si>
  <si>
    <t xml:space="preserve"> 2021-05-17 00</t>
  </si>
  <si>
    <t>current price of gold is: 1866.9</t>
  </si>
  <si>
    <t xml:space="preserve"> predicted price of gold is: 1860.1816805085182
</t>
  </si>
  <si>
    <t xml:space="preserve"> 1860.1816805085182
</t>
  </si>
  <si>
    <t>current price of tb is: 98.234375</t>
  </si>
  <si>
    <t xml:space="preserve"> current price of tb option is: 4.370139643815721</t>
  </si>
  <si>
    <t xml:space="preserve"> predicted price of tb is: 98.3687204276316
</t>
  </si>
  <si>
    <t xml:space="preserve"> 98.3687204276316
</t>
  </si>
  <si>
    <t>current price of reit is: 72.35</t>
  </si>
  <si>
    <t xml:space="preserve"> current price of reit option is: 6.214960787654803</t>
  </si>
  <si>
    <t xml:space="preserve"> predicted price of reit is: 72.83648790405461
</t>
  </si>
  <si>
    <t xml:space="preserve"> 72.83648790405461
</t>
  </si>
  <si>
    <t>value_ratio_gold_to_total is: -1.4970804273190248</t>
  </si>
  <si>
    <t xml:space="preserve"> risk_ratio_to_gold is: 0.7080793168122759</t>
  </si>
  <si>
    <t xml:space="preserve"> risk_ratio_to_gold_before is: 0.7057150792024052
</t>
  </si>
  <si>
    <t xml:space="preserve"> 0.7057150792024052
</t>
  </si>
  <si>
    <t>value_ratio_tb_to_total is: 1.0037594139672334</t>
  </si>
  <si>
    <t xml:space="preserve"> risk_ratio_tb_to_gold is: 0.2094423833575259</t>
  </si>
  <si>
    <t xml:space="preserve"> risk_ratio_tb_to_gold_before is: 0.20956382832979978
</t>
  </si>
  <si>
    <t xml:space="preserve"> 0.20956382832979978
</t>
  </si>
  <si>
    <t>value_ratio_reit_to_total is: 1.4933210133517911</t>
  </si>
  <si>
    <t xml:space="preserve"> risk_ratio_reit_to_gold is: 0.2028287792883918</t>
  </si>
  <si>
    <t xml:space="preserve"> risk_ratio_reit_to_gold_before is: 0.20743862700981655
</t>
  </si>
  <si>
    <t xml:space="preserve"> 0.20743862700981655
</t>
  </si>
  <si>
    <t>delta_gold is: 1.0127317012308577</t>
  </si>
  <si>
    <t xml:space="preserve"> delta_tb is: 0.9990806196928295</t>
  </si>
  <si>
    <t xml:space="preserve"> delta_reit is: 0.9896168308632984
</t>
  </si>
  <si>
    <t xml:space="preserve"> 0.9896168308632984
</t>
  </si>
  <si>
    <t>delta_gold_risk is: 1.0013860683057199</t>
  </si>
  <si>
    <t xml:space="preserve"> delta_tb_risk is: 0.9998995960614648</t>
  </si>
  <si>
    <t xml:space="preserve"> delta_reit_risk is: 0.9961821266784873
</t>
  </si>
  <si>
    <t xml:space="preserve"> 0.9961821266784873
</t>
  </si>
  <si>
    <t xml:space="preserve">collateral_ratio_tranche_gold is: 0.8122993418928341
</t>
  </si>
  <si>
    <t xml:space="preserve"> 0.8122993418928341
</t>
  </si>
  <si>
    <t xml:space="preserve">collateral_ratio_tranche_tb is: 0.39422541755668045
</t>
  </si>
  <si>
    <t xml:space="preserve"> 0.39422541755668045
</t>
  </si>
  <si>
    <t xml:space="preserve">collateral_ratio_tranche_reit is: 0.2874206178131153
</t>
  </si>
  <si>
    <t xml:space="preserve"> 0.2874206178131153
</t>
  </si>
  <si>
    <t>Total plot size is: 150259983.55959028</t>
  </si>
  <si>
    <t xml:space="preserve"> plot size of gold is: 81342602.08138846</t>
  </si>
  <si>
    <t xml:space="preserve"> plot size of TB is: 39920487.31690731</t>
  </si>
  <si>
    <t xml:space="preserve"> plot size of REIT is: 28996894.161294524
</t>
  </si>
  <si>
    <t xml:space="preserve"> 28996894.161294524
</t>
  </si>
  <si>
    <t xml:space="preserve">collateral ratio is: 1.5025998355959027
</t>
  </si>
  <si>
    <t xml:space="preserve"> 1.5025998355959027
</t>
  </si>
  <si>
    <t>S_gtbcps_0 is: 0.9999956580274156</t>
  </si>
  <si>
    <t xml:space="preserve">stdev_gtbcps is: 0.007715039625331607
</t>
  </si>
  <si>
    <t xml:space="preserve"> 0.007715039625331607
</t>
  </si>
  <si>
    <t>predicted price of GTBCPS is: 0.999979671958364</t>
  </si>
  <si>
    <t xml:space="preserve"> actual price is: 0.9999956580274156
</t>
  </si>
  <si>
    <t xml:space="preserve"> 0.9999956580274156
</t>
  </si>
  <si>
    <t>predicted amount of GTBCPS is: 100175358.74192359</t>
  </si>
  <si>
    <t xml:space="preserve"> actual amount is: 100000434.19914372
</t>
  </si>
  <si>
    <t>plot sizes of gold is: 81342602.08138846</t>
  </si>
  <si>
    <t xml:space="preserve"> plot sizes of tb is: 39920487.31690731 </t>
  </si>
  <si>
    <t xml:space="preserve"> plot sizes of reit is: 28996894.161294524</t>
  </si>
  <si>
    <t xml:space="preserve"> plot sizes of total is: 150259983.55959028.
</t>
  </si>
  <si>
    <t xml:space="preserve"> 150259983.55959028.
</t>
  </si>
  <si>
    <t>predicted stdevs of gold is: 0.00951632911377238</t>
  </si>
  <si>
    <t xml:space="preserve"> predicted stdevs of tb is: 0.0017062991356965012</t>
  </si>
  <si>
    <t xml:space="preserve"> predicted stdevs of reit is: 0.01093435938751652</t>
  </si>
  <si>
    <t xml:space="preserve"> predicted stdevs of GTBCPS is: 0.007715039625331607.
</t>
  </si>
  <si>
    <t xml:space="preserve"> 0.007715039625331607.
</t>
  </si>
  <si>
    <t>total_value_of_collaterals is: 150259427.89683518</t>
  </si>
  <si>
    <t xml:space="preserve"> createdtionValue_gold is: 142038.33990526272</t>
  </si>
  <si>
    <t xml:space="preserve"> createdValue_tb is: 69708.34700291592</t>
  </si>
  <si>
    <t xml:space="preserve"> createdValue_reit is: 50633.82316248551
</t>
  </si>
  <si>
    <t xml:space="preserve"> 50633.82316248551
</t>
  </si>
  <si>
    <t>plotValue_gold_after_creation is: 81200130.28318727</t>
  </si>
  <si>
    <t xml:space="preserve"> plotValue_tb_after_creation  is: 39850697.08810837</t>
  </si>
  <si>
    <t xml:space="preserve"> plotValue_reit_after_creation  is: 28946220.015468888</t>
  </si>
  <si>
    <t xml:space="preserve">total_value_after_creation is: 149997047.38676453
</t>
  </si>
  <si>
    <t xml:space="preserve"> 149997047.38676453
</t>
  </si>
  <si>
    <t>total_amount_gtncps_before_creation is: 100000434.19914372</t>
  </si>
  <si>
    <t>creation_amount_gtbcps is: 174924.54277986288</t>
  </si>
  <si>
    <t xml:space="preserve">total_amount_gtbcps_new is: 100175358.74192359
</t>
  </si>
  <si>
    <t xml:space="preserve"> 100175358.74192359
</t>
  </si>
  <si>
    <t>payout of tranche of gold is: -433.4582959288263</t>
  </si>
  <si>
    <t xml:space="preserve"> payout of tranche of Treausry Bill Option is: -81.88179602253196</t>
  </si>
  <si>
    <t xml:space="preserve"> payout of tranche of Collar of REIT is: -40.32266315080781
</t>
  </si>
  <si>
    <t xml:space="preserve"> -40.32266315080781
</t>
  </si>
  <si>
    <t>Collateral size of tranche of gold is: 81200130.28318727</t>
  </si>
  <si>
    <t xml:space="preserve"> collateral size of tranche of Treausry Bill Option is: 39850697.08810837</t>
  </si>
  <si>
    <t xml:space="preserve"> collateral size of tranche of Collar of REIT is: 28946220.015468888
</t>
  </si>
  <si>
    <t xml:space="preserve"> 28946220.015468888
</t>
  </si>
  <si>
    <t>Collateral ratio of tranche of gold is: 0.8120142838046475</t>
  </si>
  <si>
    <t xml:space="preserve"> collateral ratio of tranche of Treausry Bill Option is: 0.39851334157054136</t>
  </si>
  <si>
    <t xml:space="preserve"> collateral ratio of tranche of Collar of REIT is: 0.2894668276114755
</t>
  </si>
  <si>
    <t xml:space="preserve"> 0.2894668276114755
</t>
  </si>
  <si>
    <t xml:space="preserve">date is: 2021-05-18 00:00:00
</t>
  </si>
  <si>
    <t xml:space="preserve"> 2021-05-18 00</t>
  </si>
  <si>
    <t>current price of gold is: 1869.44</t>
  </si>
  <si>
    <t xml:space="preserve"> predicted price of gold is: 1862.4525036356322
</t>
  </si>
  <si>
    <t xml:space="preserve"> 1862.4525036356322
</t>
  </si>
  <si>
    <t>current price of tb is: 98.3125</t>
  </si>
  <si>
    <t xml:space="preserve"> current price of tb option is: 4.370036537926561</t>
  </si>
  <si>
    <t xml:space="preserve"> predicted price of tb is: 98.44695227145824
</t>
  </si>
  <si>
    <t xml:space="preserve"> 98.44695227145824
</t>
  </si>
  <si>
    <t>current price of reit is: 74.35</t>
  </si>
  <si>
    <t xml:space="preserve"> current price of reit option is: 6.088401323148503</t>
  </si>
  <si>
    <t xml:space="preserve"> predicted price of reit is: 74.93021887452015
</t>
  </si>
  <si>
    <t xml:space="preserve"> 74.93021887452015
</t>
  </si>
  <si>
    <t>value_ratio_gold_to_total is: -1.6694082708725075</t>
  </si>
  <si>
    <t xml:space="preserve"> risk_ratio_to_gold is: 0.7041044148782656</t>
  </si>
  <si>
    <t xml:space="preserve"> risk_ratio_to_gold_before is: 0.7080793168122759
</t>
  </si>
  <si>
    <t xml:space="preserve"> 0.7080793168122759
</t>
  </si>
  <si>
    <t>value_ratio_tb_to_total is: 1.0761838693450172</t>
  </si>
  <si>
    <t xml:space="preserve"> risk_ratio_tb_to_gold is: 0.20950867337764872</t>
  </si>
  <si>
    <t xml:space="preserve"> risk_ratio_tb_to_gold_before is: 0.2094423833575259
</t>
  </si>
  <si>
    <t xml:space="preserve"> 0.2094423833575259
</t>
  </si>
  <si>
    <t>value_ratio_reit_to_total is: 1.5932244015274903</t>
  </si>
  <si>
    <t xml:space="preserve"> risk_ratio_reit_to_gold is: 0.21073522634692918</t>
  </si>
  <si>
    <t xml:space="preserve"> risk_ratio_reit_to_gold_before is: 0.2028287792883918
</t>
  </si>
  <si>
    <t xml:space="preserve"> 0.2028287792883918
</t>
  </si>
  <si>
    <t>delta_gold is: 1.0013605442176872</t>
  </si>
  <si>
    <t xml:space="preserve"> delta_tb is: 1.0007604138510053</t>
  </si>
  <si>
    <t xml:space="preserve"> delta_reit is: 1.023845751550201
</t>
  </si>
  <si>
    <t xml:space="preserve"> 1.023845751550201
</t>
  </si>
  <si>
    <t>delta_gold_risk is: 0.997672882110985</t>
  </si>
  <si>
    <t xml:space="preserve"> delta_tb_risk is: 1.000054810399433</t>
  </si>
  <si>
    <t xml:space="preserve"> delta_reit_risk is: 1.0065732107467655
</t>
  </si>
  <si>
    <t xml:space="preserve"> 1.0065732107467655
</t>
  </si>
  <si>
    <t xml:space="preserve">collateral_ratio_tranche_gold is: 0.8150157027648894
</t>
  </si>
  <si>
    <t xml:space="preserve"> 0.8150157027648894
</t>
  </si>
  <si>
    <t xml:space="preserve">collateral_ratio_tranche_tb is: 0.3982526781699661
</t>
  </si>
  <si>
    <t xml:space="preserve"> 0.3982526781699661
</t>
  </si>
  <si>
    <t xml:space="preserve">collateral_ratio_tranche_reit is: 0.2940339586971959
</t>
  </si>
  <si>
    <t xml:space="preserve"> 0.2940339586971959
</t>
  </si>
  <si>
    <t>Total plot size is: 150828071.1473411</t>
  </si>
  <si>
    <t xml:space="preserve"> plot size of gold is: 81310606.65091951</t>
  </si>
  <si>
    <t xml:space="preserve"> plot size of TB is: 39881000.11014638</t>
  </si>
  <si>
    <t xml:space="preserve"> plot size of REIT is: 29636464.386275217
</t>
  </si>
  <si>
    <t xml:space="preserve"> 29636464.386275217
</t>
  </si>
  <si>
    <t xml:space="preserve">collateral ratio is: 1.5056710466848169
</t>
  </si>
  <si>
    <t xml:space="preserve"> 1.5056710466848169
</t>
  </si>
  <si>
    <t>S_gtbcps_0 is: 0.999979671958364</t>
  </si>
  <si>
    <t>change_of_collaterals is: 2.220446049250313e-16</t>
  </si>
  <si>
    <t xml:space="preserve">stdev_gtbcps is: 0.007806887210179567
</t>
  </si>
  <si>
    <t xml:space="preserve"> 0.007806887210179567
</t>
  </si>
  <si>
    <t>predicted price of GTBCPS is: 0.9999761714682311</t>
  </si>
  <si>
    <t xml:space="preserve"> actual price is: 0.999979671958364
</t>
  </si>
  <si>
    <t xml:space="preserve"> 0.999979671958364
</t>
  </si>
  <si>
    <t>predicted amount of GTBCPS is: 100554443.49631211</t>
  </si>
  <si>
    <t xml:space="preserve"> actual amount is: 100175358.74192359
</t>
  </si>
  <si>
    <t>plot sizes of gold is: 81310606.65091951</t>
  </si>
  <si>
    <t xml:space="preserve"> plot sizes of tb is: 39881000.11014638 </t>
  </si>
  <si>
    <t xml:space="preserve"> plot sizes of reit is: 29636464.386275217</t>
  </si>
  <si>
    <t xml:space="preserve"> plot sizes of total is: 150828071.14734113.
</t>
  </si>
  <si>
    <t xml:space="preserve"> 150828071.14734113.
</t>
  </si>
  <si>
    <t>predicted stdevs of gold is: 0.009537772517153199</t>
  </si>
  <si>
    <t xml:space="preserve"> predicted stdevs of tb is: 0.001709085481137929</t>
  </si>
  <si>
    <t xml:space="preserve"> predicted stdevs of reit is: 0.0112636793476997</t>
  </si>
  <si>
    <t xml:space="preserve"> predicted stdevs of GTBCPS is: 0.007806887210179567.
</t>
  </si>
  <si>
    <t xml:space="preserve"> 0.007806887210179567.
</t>
  </si>
  <si>
    <t>total_value_of_collaterals is: 150827949.14036593</t>
  </si>
  <si>
    <t xml:space="preserve"> createdtionValue_gold is: 306536.19762132043</t>
  </si>
  <si>
    <t xml:space="preserve"> createdValue_tb is: 150349.12488781672</t>
  </si>
  <si>
    <t xml:space="preserve"> createdValue_reit is: 111727.79956435639
</t>
  </si>
  <si>
    <t xml:space="preserve"> 111727.79956435639
</t>
  </si>
  <si>
    <t>plotValue_gold_after_creation is: 81003979.21207033</t>
  </si>
  <si>
    <t xml:space="preserve"> plotValue_tb_after_creation  is: 39730633.71135976</t>
  </si>
  <si>
    <t xml:space="preserve"> plotValue_reit_after_creation  is: 29524723.09486234</t>
  </si>
  <si>
    <t xml:space="preserve">total_value_after_creation is: 150259336.01829243
</t>
  </si>
  <si>
    <t xml:space="preserve"> 150259336.01829243
</t>
  </si>
  <si>
    <t>total_amount_gtncps_before_creation is: 100175358.74192359</t>
  </si>
  <si>
    <t>creation_amount_gtbcps is: 379084.7543885261</t>
  </si>
  <si>
    <t xml:space="preserve">total_amount_gtbcps_new is: 100554443.49631211
</t>
  </si>
  <si>
    <t xml:space="preserve"> 100554443.49631211
</t>
  </si>
  <si>
    <t>payout of tranche of gold is: -91.241227863789</t>
  </si>
  <si>
    <t xml:space="preserve"> payout of tranche of Treausry Bill Option is: -17.273898801217104</t>
  </si>
  <si>
    <t xml:space="preserve"> payout of tranche of Collar of REIT is: -13.491848521931919
</t>
  </si>
  <si>
    <t xml:space="preserve"> -13.491848521931919
</t>
  </si>
  <si>
    <t>Collateral size of tranche of gold is: 81003979.21207033</t>
  </si>
  <si>
    <t xml:space="preserve"> collateral size of tranche of Treausry Bill Option is: 39730633.71135976</t>
  </si>
  <si>
    <t xml:space="preserve"> collateral size of tranche of Collar of REIT is: 29524723.09486234
</t>
  </si>
  <si>
    <t xml:space="preserve"> 29524723.09486234
</t>
  </si>
  <si>
    <t>Collateral ratio of tranche of gold is: 0.8086410718293372</t>
  </si>
  <si>
    <t xml:space="preserve"> collateral ratio of tranche of Treausry Bill Option is: 0.39662029620423167</t>
  </si>
  <si>
    <t xml:space="preserve"> collateral ratio of tranche of Collar of REIT is: 0.2947374185950644
</t>
  </si>
  <si>
    <t xml:space="preserve"> 0.2947374185950644
</t>
  </si>
  <si>
    <t xml:space="preserve">date is: 2021-05-20 00:00:00
</t>
  </si>
  <si>
    <t xml:space="preserve"> 2021-05-20 00</t>
  </si>
  <si>
    <t>current price of gold is: 1877.21</t>
  </si>
  <si>
    <t xml:space="preserve"> predicted price of gold is: 1874.2679143539026
</t>
  </si>
  <si>
    <t xml:space="preserve"> 1874.2679143539026
</t>
  </si>
  <si>
    <t>current price of tb is: 98.33984375</t>
  </si>
  <si>
    <t xml:space="preserve"> current price of tb option is: 4.370793649804941</t>
  </si>
  <si>
    <t xml:space="preserve"> predicted price of tb is: 98.47351280077167
</t>
  </si>
  <si>
    <t xml:space="preserve"> 98.47351280077167
</t>
  </si>
  <si>
    <t>current price of reit is: 74.05</t>
  </si>
  <si>
    <t xml:space="preserve"> current price of reit option is: 6.120184833782901</t>
  </si>
  <si>
    <t xml:space="preserve"> predicted price of reit is: 74.5866856384793
</t>
  </si>
  <si>
    <t xml:space="preserve"> 74.5866856384793
</t>
  </si>
  <si>
    <t>value_ratio_gold_to_total is: -0.35795072925171634</t>
  </si>
  <si>
    <t xml:space="preserve"> risk_ratio_to_gold is: 0.7049893339122009</t>
  </si>
  <si>
    <t xml:space="preserve"> risk_ratio_to_gold_before is: 0.7041044148782656
</t>
  </si>
  <si>
    <t xml:space="preserve"> 0.7041044148782656
</t>
  </si>
  <si>
    <t>value_ratio_tb_to_total is: 0.5480383314800187</t>
  </si>
  <si>
    <t xml:space="preserve"> risk_ratio_tb_to_gold is: 0.20928196428276</t>
  </si>
  <si>
    <t xml:space="preserve"> risk_ratio_tb_to_gold_before is: 0.20950867337764872
</t>
  </si>
  <si>
    <t xml:space="preserve"> 0.20950867337764872
</t>
  </si>
  <si>
    <t>value_ratio_reit_to_total is: 0.8099123977716977</t>
  </si>
  <si>
    <t xml:space="preserve"> risk_ratio_reit_to_gold is: 0.20917921221574812</t>
  </si>
  <si>
    <t xml:space="preserve"> risk_ratio_reit_to_gold_before is: 0.21073522634692918
</t>
  </si>
  <si>
    <t xml:space="preserve"> 0.21073522634692918
</t>
  </si>
  <si>
    <t>delta_gold is: 1.0041563248887366</t>
  </si>
  <si>
    <t xml:space="preserve"> delta_tb is: 1.000273667391027</t>
  </si>
  <si>
    <t xml:space="preserve"> delta_reit is: 0.9966655666329309
</t>
  </si>
  <si>
    <t xml:space="preserve"> 0.9966655666329309
</t>
  </si>
  <si>
    <t>delta_gold_risk is: 1.0005192868618902</t>
  </si>
  <si>
    <t xml:space="preserve"> delta_tb_risk is: 0.9998125610011082</t>
  </si>
  <si>
    <t xml:space="preserve"> delta_reit_risk is: 0.9987148188164345
</t>
  </si>
  <si>
    <t xml:space="preserve"> 0.9987148188164345
</t>
  </si>
  <si>
    <t xml:space="preserve">collateral_ratio_tranche_gold is: 0.8115806036973713
</t>
  </si>
  <si>
    <t xml:space="preserve"> 0.8115806036973713
</t>
  </si>
  <si>
    <t xml:space="preserve">collateral_ratio_tranche_tb is: 0.3951607979835201
</t>
  </si>
  <si>
    <t xml:space="preserve"> 0.3951607979835201
</t>
  </si>
  <si>
    <t xml:space="preserve">collateral_ratio_tranche_reit is: 0.29291519932605753
</t>
  </si>
  <si>
    <t xml:space="preserve"> 0.29291519932605753
</t>
  </si>
  <si>
    <t>Total plot size is: 150508439.6302089</t>
  </si>
  <si>
    <t xml:space="preserve"> plot size of gold is: 81340658.06695616</t>
  </si>
  <si>
    <t xml:space="preserve"> plot size of TB is: 39741506.690231405</t>
  </si>
  <si>
    <t xml:space="preserve"> plot size of REIT is: 29426274.873021353
</t>
  </si>
  <si>
    <t xml:space="preserve"> 29426274.873021353
</t>
  </si>
  <si>
    <t xml:space="preserve">collateral ratio is: 1.4968212331295414
</t>
  </si>
  <si>
    <t xml:space="preserve"> 1.4968212331295414
</t>
  </si>
  <si>
    <t>S_gtbcps_0 is: 0.9999761714682311</t>
  </si>
  <si>
    <t xml:space="preserve">stdev_gtbcps is: 0.007791385056246829
</t>
  </si>
  <si>
    <t xml:space="preserve"> 0.007791385056246829
</t>
  </si>
  <si>
    <t>predicted price of GTBCPS is: 0.9999462296813215</t>
  </si>
  <si>
    <t xml:space="preserve"> actual price is: 0.9999761714682311
</t>
  </si>
  <si>
    <t xml:space="preserve"> 0.9999761714682311
</t>
  </si>
  <si>
    <t>predicted amount of GTBCPS is: 100557454.4379314</t>
  </si>
  <si>
    <t xml:space="preserve"> actual amount is: 100554443.49631211
</t>
  </si>
  <si>
    <t>plot sizes of gold is: 81340658.06695616</t>
  </si>
  <si>
    <t xml:space="preserve"> plot sizes of tb is: 39741506.690231405 </t>
  </si>
  <si>
    <t xml:space="preserve"> plot sizes of reit is: 29426274.873021353</t>
  </si>
  <si>
    <t xml:space="preserve"> plot sizes of total is: 150508439.63020894.
</t>
  </si>
  <si>
    <t xml:space="preserve"> 150508439.63020894.
</t>
  </si>
  <si>
    <t>predicted stdevs of gold is: 0.009536409762782262</t>
  </si>
  <si>
    <t xml:space="preserve"> predicted stdevs of tb is: 0.0017096807212110263</t>
  </si>
  <si>
    <t xml:space="preserve"> predicted stdevs of reit is: 0.011181370230265678</t>
  </si>
  <si>
    <t xml:space="preserve"> predicted stdevs of GTBCPS is: 0.007791385056246829.
</t>
  </si>
  <si>
    <t xml:space="preserve"> 0.007791385056246829.
</t>
  </si>
  <si>
    <t>total_value_of_collaterals is: 150507395.08363363</t>
  </si>
  <si>
    <t xml:space="preserve"> createdtionValue_gold is: 2435.5183252517804</t>
  </si>
  <si>
    <t xml:space="preserve"> createdValue_tb is: 1189.9555021963154</t>
  </si>
  <si>
    <t xml:space="preserve"> createdValue_reit is: 881.0939093897347
</t>
  </si>
  <si>
    <t xml:space="preserve"> 881.0939093897347
</t>
  </si>
  <si>
    <t>plotValue_gold_after_creation is: 81337408.95260459</t>
  </si>
  <si>
    <t xml:space="preserve"> plotValue_tb_after_creation  is: 39740163.85507503</t>
  </si>
  <si>
    <t xml:space="preserve"> plotValue_reit_after_creation  is: 29425315.70821717</t>
  </si>
  <si>
    <t xml:space="preserve">total_value_after_creation is: 150502888.5158968
</t>
  </si>
  <si>
    <t xml:space="preserve"> 150502888.5158968
</t>
  </si>
  <si>
    <t>total_amount_gtncps_before_creation is: 100554443.49631211</t>
  </si>
  <si>
    <t>creation_amount_gtbcps is: 3010.9416192919016</t>
  </si>
  <si>
    <t xml:space="preserve">total_amount_gtbcps_new is: 100557454.4379314
</t>
  </si>
  <si>
    <t xml:space="preserve"> 100557454.4379314
</t>
  </si>
  <si>
    <t>payout of tranche of gold is: -813.5960263153802</t>
  </si>
  <si>
    <t xml:space="preserve"> payout of tranche of Treausry Bill Option is: -152.87965417912838</t>
  </si>
  <si>
    <t xml:space="preserve"> payout of tranche of Collar of REIT is: -78.07089479378445
</t>
  </si>
  <si>
    <t xml:space="preserve"> -78.07089479378445
</t>
  </si>
  <si>
    <t>Collateral size of tranche of gold is: 81337408.95260459</t>
  </si>
  <si>
    <t xml:space="preserve"> collateral size of tranche of Treausry Bill Option is: 39740163.85507503</t>
  </si>
  <si>
    <t xml:space="preserve"> collateral size of tranche of Collar of REIT is: 29425315.70821717
</t>
  </si>
  <si>
    <t xml:space="preserve"> 29425315.70821717
</t>
  </si>
  <si>
    <t>Collateral ratio of tranche of gold is: 0.8089327522275722</t>
  </si>
  <si>
    <t xml:space="preserve"> collateral ratio of tranche of Treausry Bill Option is: 0.3952316718128149</t>
  </si>
  <si>
    <t xml:space="preserve"> collateral ratio of tranche of Collar of REIT is: 0.29264642097074206
</t>
  </si>
  <si>
    <t xml:space="preserve"> 0.29264642097074206
</t>
  </si>
  <si>
    <t xml:space="preserve">date is: 2021-05-21 00:00:00
</t>
  </si>
  <si>
    <t xml:space="preserve"> 2021-05-21 00</t>
  </si>
  <si>
    <t>current price of gold is: 1881.25</t>
  </si>
  <si>
    <t xml:space="preserve"> predicted price of gold is: 1879.9647660883281
</t>
  </si>
  <si>
    <t xml:space="preserve"> 1879.9647660883281
</t>
  </si>
  <si>
    <t>current price of tb is: 98.3046875</t>
  </si>
  <si>
    <t xml:space="preserve"> current price of tb option is: 4.3708397643571</t>
  </si>
  <si>
    <t xml:space="preserve"> predicted price of tb is: 98.43830876441787
</t>
  </si>
  <si>
    <t xml:space="preserve"> 98.43830876441787
</t>
  </si>
  <si>
    <t>current price of reit is: 73.7</t>
  </si>
  <si>
    <t xml:space="preserve"> current price of reit option is: 6.131911757600108</t>
  </si>
  <si>
    <t xml:space="preserve"> predicted price of reit is: 74.28965394040226
</t>
  </si>
  <si>
    <t xml:space="preserve"> 74.28965394040226
</t>
  </si>
  <si>
    <t>value_ratio_gold_to_total is: -0.12928887419511428</t>
  </si>
  <si>
    <t xml:space="preserve"> risk_ratio_to_gold is: 0.7062407147510809</t>
  </si>
  <si>
    <t xml:space="preserve"> risk_ratio_to_gold_before is: 0.7049893339122009
</t>
  </si>
  <si>
    <t xml:space="preserve"> 0.7049893339122009
</t>
  </si>
  <si>
    <t>value_ratio_tb_to_total is: 0.4531289518407671</t>
  </si>
  <si>
    <t xml:space="preserve"> risk_ratio_tb_to_gold is: 0.20885925196161598</t>
  </si>
  <si>
    <t xml:space="preserve"> risk_ratio_tb_to_gold_before is: 0.20928196428276
</t>
  </si>
  <si>
    <t xml:space="preserve"> 0.20928196428276
</t>
  </si>
  <si>
    <t>value_ratio_reit_to_total is: 0.6761599223543472</t>
  </si>
  <si>
    <t xml:space="preserve"> risk_ratio_reit_to_gold is: 0.20708856740540615</t>
  </si>
  <si>
    <t xml:space="preserve"> risk_ratio_reit_to_gold_before is: 0.20917921221574812
</t>
  </si>
  <si>
    <t xml:space="preserve"> 0.20917921221574812
</t>
  </si>
  <si>
    <t>delta_gold is: 1.0021521300227465</t>
  </si>
  <si>
    <t xml:space="preserve"> delta_tb is: 0.9996581645646773</t>
  </si>
  <si>
    <t xml:space="preserve"> delta_reit is: 0.9957805626008706
</t>
  </si>
  <si>
    <t xml:space="preserve"> 0.9957805626008706
</t>
  </si>
  <si>
    <t>delta_gold_risk is: 1.0007339522975247</t>
  </si>
  <si>
    <t xml:space="preserve"> delta_tb_risk is: 0.9996504435411846</t>
  </si>
  <si>
    <t xml:space="preserve"> delta_reit_risk is: 0.9982710215415372
</t>
  </si>
  <si>
    <t xml:space="preserve"> 0.9982710215415372
</t>
  </si>
  <si>
    <t xml:space="preserve">collateral_ratio_tranche_gold is: 0.8100791212578001
</t>
  </si>
  <si>
    <t xml:space="preserve"> 0.8100791212578001
</t>
  </si>
  <si>
    <t xml:space="preserve">collateral_ratio_tranche_tb is: 0.394385954619429
</t>
  </si>
  <si>
    <t xml:space="preserve"> 0.394385954619429
</t>
  </si>
  <si>
    <t xml:space="preserve">collateral_ratio_tranche_reit is: 0.29128944201839385
</t>
  </si>
  <si>
    <t xml:space="preserve"> 0.29128944201839385
</t>
  </si>
  <si>
    <t>Total plot size is: 150540194.32188445</t>
  </si>
  <si>
    <t xml:space="preserve"> plot size of gold is: 81512457.6323839</t>
  </si>
  <si>
    <t xml:space="preserve"> plot size of TB is: 39726579.25886384</t>
  </si>
  <si>
    <t xml:space="preserve"> plot size of REIT is: 29301157.430636726
</t>
  </si>
  <si>
    <t xml:space="preserve"> 29301157.430636726
</t>
  </si>
  <si>
    <t xml:space="preserve">collateral ratio is: 1.4971370366610122
</t>
  </si>
  <si>
    <t xml:space="preserve"> 1.4971370366610122
</t>
  </si>
  <si>
    <t>S_gtbcps_0 is: 0.9999462296813215</t>
  </si>
  <si>
    <t xml:space="preserve">stdev_gtbcps is: 0.0077969544071460764
</t>
  </si>
  <si>
    <t xml:space="preserve"> 0.0077969544071460764
</t>
  </si>
  <si>
    <t>predicted price of GTBCPS is: 0.9999324853733603</t>
  </si>
  <si>
    <t xml:space="preserve"> actual price is: 0.9999462296813215
</t>
  </si>
  <si>
    <t xml:space="preserve"> 0.9999462296813215
</t>
  </si>
  <si>
    <t>predicted amount of GTBCPS is: 100558836.62387076</t>
  </si>
  <si>
    <t xml:space="preserve"> actual amount is: 100557454.4379314
</t>
  </si>
  <si>
    <t>plot sizes of gold is: 81512457.6323839</t>
  </si>
  <si>
    <t xml:space="preserve"> plot sizes of tb is: 39726579.25886384 </t>
  </si>
  <si>
    <t xml:space="preserve"> plot sizes of reit is: 29301157.430636726</t>
  </si>
  <si>
    <t xml:space="preserve"> plot sizes of total is: 150540194.32188445.
</t>
  </si>
  <si>
    <t xml:space="preserve"> 150540194.32188445.
</t>
  </si>
  <si>
    <t>predicted stdevs of gold is: 0.00954254477756747</t>
  </si>
  <si>
    <t xml:space="preserve"> predicted stdevs of tb is: 0.0017097264561371306</t>
  </si>
  <si>
    <t xml:space="preserve"> predicted stdevs of reit is: 0.011194000506286944</t>
  </si>
  <si>
    <t xml:space="preserve"> predicted stdevs of GTBCPS is: 0.0077969544071460764.
</t>
  </si>
  <si>
    <t xml:space="preserve"> 0.0077969544071460764.
</t>
  </si>
  <si>
    <t>total_value_of_collaterals is: 150539714.45871115</t>
  </si>
  <si>
    <t xml:space="preserve"> createdtionValue_gold is: 1120.3874210689328</t>
  </si>
  <si>
    <t xml:space="preserve"> createdValue_tb is: 546.0427365479142</t>
  </si>
  <si>
    <t xml:space="preserve"> createdValue_reit is: 402.7452985181333
</t>
  </si>
  <si>
    <t xml:space="preserve"> 402.7452985181333
</t>
  </si>
  <si>
    <t>plotValue_gold_after_creation is: 81510963.06145896</t>
  </si>
  <si>
    <t xml:space="preserve"> plotValue_tb_after_creation  is: 39725963.08361854</t>
  </si>
  <si>
    <t xml:space="preserve"> plotValue_reit_after_creation  is: 29300719.13817751</t>
  </si>
  <si>
    <t xml:space="preserve">total_value_after_creation is: 150537645.283255
</t>
  </si>
  <si>
    <t xml:space="preserve"> 150537645.283255
</t>
  </si>
  <si>
    <t>total_amount_gtncps_before_creation is: 100557454.4379314</t>
  </si>
  <si>
    <t>creation_amount_gtbcps is: 1382.1859393566847</t>
  </si>
  <si>
    <t xml:space="preserve">total_amount_gtbcps_new is: 100558836.62387076
</t>
  </si>
  <si>
    <t xml:space="preserve"> 100558836.62387076
</t>
  </si>
  <si>
    <t>payout of tranche of gold is: -374.183503868647</t>
  </si>
  <si>
    <t xml:space="preserve"> payout of tranche of Treausry Bill Option is: -70.13250875392052</t>
  </si>
  <si>
    <t xml:space="preserve"> payout of tranche of Collar of REIT is: -35.547160695079
</t>
  </si>
  <si>
    <t xml:space="preserve"> -35.547160695079
</t>
  </si>
  <si>
    <t>Collateral size of tranche of gold is: 81510963.06145896</t>
  </si>
  <si>
    <t xml:space="preserve"> collateral size of tranche of Treausry Bill Option is: 39725963.08361854</t>
  </si>
  <si>
    <t xml:space="preserve"> collateral size of tranche of Collar of REIT is: 29300719.13817751
</t>
  </si>
  <si>
    <t xml:space="preserve"> 29300719.13817751
</t>
  </si>
  <si>
    <t>Collateral ratio of tranche of gold is: 0.810645685801276</t>
  </si>
  <si>
    <t xml:space="preserve"> collateral ratio of tranche of Treausry Bill Option is: 0.3950840399683987</t>
  </si>
  <si>
    <t xml:space="preserve"> collateral ratio of tranche of Collar of REIT is: 0.29140253860488907
</t>
  </si>
  <si>
    <t xml:space="preserve"> 0.29140253860488907
</t>
  </si>
  <si>
    <t xml:space="preserve">date is: 2021-05-24 00:00:00
</t>
  </si>
  <si>
    <t xml:space="preserve"> 2021-05-24 00</t>
  </si>
  <si>
    <t>current price of gold is: 1881.02</t>
  </si>
  <si>
    <t xml:space="preserve"> predicted price of gold is: 1880.2694923833444
</t>
  </si>
  <si>
    <t xml:space="preserve"> 1880.2694923833444
</t>
  </si>
  <si>
    <t>current price of tb is: 98.38671875</t>
  </si>
  <si>
    <t xml:space="preserve"> current price of tb option is: 4.3723192974296445</t>
  </si>
  <si>
    <t xml:space="preserve"> predicted price of tb is: 98.51880952206814
</t>
  </si>
  <si>
    <t xml:space="preserve"> 98.51880952206814
</t>
  </si>
  <si>
    <t xml:space="preserve"> current price of reit option is: 6.138784551477983</t>
  </si>
  <si>
    <t xml:space="preserve"> predicted price of reit is: 74.52390790126002
</t>
  </si>
  <si>
    <t xml:space="preserve"> 74.52390790126002
</t>
  </si>
  <si>
    <t>value_ratio_gold_to_total is: -0.07239673426918408</t>
  </si>
  <si>
    <t xml:space="preserve"> risk_ratio_to_gold is: 0.7054267864684536</t>
  </si>
  <si>
    <t xml:space="preserve"> risk_ratio_to_gold_before is: 0.7062407147510809
</t>
  </si>
  <si>
    <t xml:space="preserve"> 0.7062407147510809
</t>
  </si>
  <si>
    <t>value_ratio_tb_to_total is: 0.4345120177381591</t>
  </si>
  <si>
    <t xml:space="preserve"> risk_ratio_tb_to_gold is: 0.20875088143451176</t>
  </si>
  <si>
    <t xml:space="preserve"> risk_ratio_tb_to_gold_before is: 0.20885925196161598
</t>
  </si>
  <si>
    <t xml:space="preserve"> 0.20885925196161598
</t>
  </si>
  <si>
    <t>value_ratio_reit_to_total is: 0.637884716531025</t>
  </si>
  <si>
    <t xml:space="preserve"> risk_ratio_reit_to_gold is: 0.20883067228880942</t>
  </si>
  <si>
    <t xml:space="preserve"> risk_ratio_reit_to_gold_before is: 0.20708856740540615
</t>
  </si>
  <si>
    <t xml:space="preserve"> 0.20708856740540615
</t>
  </si>
  <si>
    <t>delta_gold is: 0.9998777408637873</t>
  </si>
  <si>
    <t xml:space="preserve"> delta_tb is: 1.0008133465227553</t>
  </si>
  <si>
    <t xml:space="preserve"> delta_reit is: 1.0044703024895791
</t>
  </si>
  <si>
    <t xml:space="preserve"> 1.0044703024895791
</t>
  </si>
  <si>
    <t>delta_gold_risk is: 0.9995229698391379</t>
  </si>
  <si>
    <t xml:space="preserve"> delta_tb_risk is: 0.9999103530647359</t>
  </si>
  <si>
    <t xml:space="preserve"> delta_reit_risk is: 1.0014432287161394
</t>
  </si>
  <si>
    <t xml:space="preserve"> 1.0014432287161394
</t>
  </si>
  <si>
    <t xml:space="preserve">collateral_ratio_tranche_gold is: 0.8109334166581524
</t>
  </si>
  <si>
    <t xml:space="preserve"> 0.8109334166581524
</t>
  </si>
  <si>
    <t xml:space="preserve">collateral_ratio_tranche_tb is: 0.39548918242283837
</t>
  </si>
  <si>
    <t xml:space="preserve"> 0.39548918242283837
</t>
  </si>
  <si>
    <t xml:space="preserve">collateral_ratio_tranche_reit is: 0.29231910303503417
</t>
  </si>
  <si>
    <t xml:space="preserve"> 0.29231910303503417
</t>
  </si>
  <si>
    <t>Total plot size is: 150690973.87496626</t>
  </si>
  <si>
    <t xml:space="preserve"> plot size of gold is: 81500997.6015232</t>
  </si>
  <si>
    <t xml:space="preserve"> plot size of TB is: 39758274.057555705</t>
  </si>
  <si>
    <t xml:space="preserve"> plot size of REIT is: 29431702.215887364
</t>
  </si>
  <si>
    <t xml:space="preserve"> 29431702.215887364
</t>
  </si>
  <si>
    <t xml:space="preserve">collateral ratio is: 1.4986365541440791
</t>
  </si>
  <si>
    <t xml:space="preserve"> 1.4986365541440791
</t>
  </si>
  <si>
    <t>S_gtbcps_0 is: 0.9999324853733603</t>
  </si>
  <si>
    <t xml:space="preserve">stdev_gtbcps is: 0.007772126387784595
</t>
  </si>
  <si>
    <t xml:space="preserve"> 0.007772126387784595
</t>
  </si>
  <si>
    <t>predicted price of GTBCPS is: 0.9999585356599096</t>
  </si>
  <si>
    <t xml:space="preserve"> actual price is: 0.9999324853733603
</t>
  </si>
  <si>
    <t xml:space="preserve"> 0.9999324853733603
</t>
  </si>
  <si>
    <t>predicted amount of GTBCPS is: 100556216.92873773</t>
  </si>
  <si>
    <t xml:space="preserve"> actual amount is: 100558836.62387076
</t>
  </si>
  <si>
    <t>plot sizes of gold is: 81500997.6015232</t>
  </si>
  <si>
    <t xml:space="preserve"> plot sizes of tb is: 39758274.057555705 </t>
  </si>
  <si>
    <t xml:space="preserve"> plot sizes of reit is: 29431702.215887364</t>
  </si>
  <si>
    <t xml:space="preserve"> plot sizes of total is: 150690973.87496626.
</t>
  </si>
  <si>
    <t xml:space="preserve"> 150690973.87496626.
</t>
  </si>
  <si>
    <t>predicted stdevs of gold is: 0.00950468052146962</t>
  </si>
  <si>
    <t xml:space="preserve"> predicted stdevs of tb is: 0.0017126732190181281</t>
  </si>
  <si>
    <t xml:space="preserve"> predicted stdevs of reit is: 0.01115991920715289</t>
  </si>
  <si>
    <t xml:space="preserve"> predicted stdevs of GTBCPS is: 0.007772126387784595.
</t>
  </si>
  <si>
    <t xml:space="preserve"> 0.007772126387784595.
</t>
  </si>
  <si>
    <t>total_value_of_collaterals is: 150691883.04844317</t>
  </si>
  <si>
    <t xml:space="preserve"> createdtionValue_gold is: -2123.2861479696107</t>
  </si>
  <si>
    <t xml:space="preserve"> createdValue_tb is: -1035.7878289176397</t>
  </si>
  <si>
    <t xml:space="preserve"> createdValue_reit is: -766.7578082221551
</t>
  </si>
  <si>
    <t xml:space="preserve"> -766.7578082221551
</t>
  </si>
  <si>
    <t>plotValue_gold_after_creation is: 81503829.26902397</t>
  </si>
  <si>
    <t xml:space="preserve"> plotValue_tb_after_creation  is: 39759442.90305074</t>
  </si>
  <si>
    <t xml:space="preserve"> plotValue_reit_after_creation  is: 29432536.708153564</t>
  </si>
  <si>
    <t xml:space="preserve">total_value_after_creation is: 150695808.88022828
</t>
  </si>
  <si>
    <t xml:space="preserve"> 150695808.88022828
</t>
  </si>
  <si>
    <t>total_amount_gtncps_before_creation is: 100558836.62387076</t>
  </si>
  <si>
    <t>creation_amount_gtbcps is: -2619.6951330304146</t>
  </si>
  <si>
    <t xml:space="preserve">total_amount_gtbcps_new is: 100556216.92873773
</t>
  </si>
  <si>
    <t xml:space="preserve"> 100556216.92873773
</t>
  </si>
  <si>
    <t>payout of tranche of gold is: 708.3813528025388</t>
  </si>
  <si>
    <t xml:space="preserve"> payout of tranche of Treausry Bill Option is: 133.05766612562854</t>
  </si>
  <si>
    <t xml:space="preserve"> payout of tranche of Collar of REIT is: 67.73445797537646
</t>
  </si>
  <si>
    <t xml:space="preserve"> 67.73445797537646
</t>
  </si>
  <si>
    <t>Collateral size of tranche of gold is: 81503829.26902397</t>
  </si>
  <si>
    <t xml:space="preserve"> collateral size of tranche of Treausry Bill Option is: 39759442.90305074</t>
  </si>
  <si>
    <t xml:space="preserve"> collateral size of tranche of Collar of REIT is: 29432536.708153564
</t>
  </si>
  <si>
    <t xml:space="preserve"> 29432536.708153564
</t>
  </si>
  <si>
    <t>Collateral ratio of tranche of gold is: 0.8105424808813455</t>
  </si>
  <si>
    <t xml:space="preserve"> collateral ratio of tranche of Treausry Bill Option is: 0.39540126860452823</t>
  </si>
  <si>
    <t xml:space="preserve"> collateral ratio of tranche of Collar of REIT is: 0.2927018464778415
</t>
  </si>
  <si>
    <t xml:space="preserve"> 0.2927018464778415
</t>
  </si>
  <si>
    <t xml:space="preserve">date is: 2021-05-25 00:00:00
</t>
  </si>
  <si>
    <t xml:space="preserve"> 2021-05-25 00</t>
  </si>
  <si>
    <t>current price of gold is: 1899.25</t>
  </si>
  <si>
    <t xml:space="preserve"> predicted price of gold is: 1896.4445892675003
</t>
  </si>
  <si>
    <t xml:space="preserve"> 1896.4445892675003
</t>
  </si>
  <si>
    <t>current price of tb is: 98.5234375</t>
  </si>
  <si>
    <t xml:space="preserve"> current price of tb option is: 4.3761153921142</t>
  </si>
  <si>
    <t xml:space="preserve"> predicted price of tb is: 98.65160125714242
</t>
  </si>
  <si>
    <t xml:space="preserve"> 98.65160125714242
</t>
  </si>
  <si>
    <t>current price of reit is: 74.7</t>
  </si>
  <si>
    <t xml:space="preserve"> current price of reit option is: 6.155179541193135</t>
  </si>
  <si>
    <t xml:space="preserve"> predicted price of reit is: 75.25247872935167
</t>
  </si>
  <si>
    <t xml:space="preserve"> 75.25247872935167
</t>
  </si>
  <si>
    <t>value_ratio_gold_to_total is: -0.33371817361114686</t>
  </si>
  <si>
    <t xml:space="preserve"> risk_ratio_to_gold is: 0.7045436583260037</t>
  </si>
  <si>
    <t xml:space="preserve"> risk_ratio_to_gold_before is: 0.7054267864684536
</t>
  </si>
  <si>
    <t xml:space="preserve"> 0.7054267864684536
</t>
  </si>
  <si>
    <t>value_ratio_tb_to_total is: 0.5358073930890447</t>
  </si>
  <si>
    <t xml:space="preserve"> risk_ratio_tb_to_gold is: 0.2096811400034726</t>
  </si>
  <si>
    <t xml:space="preserve"> risk_ratio_tb_to_gold_before is: 0.20875088143451176
</t>
  </si>
  <si>
    <t xml:space="preserve"> 0.20875088143451176
</t>
  </si>
  <si>
    <t>value_ratio_reit_to_total is: 0.7979107805221021</t>
  </si>
  <si>
    <t xml:space="preserve"> risk_ratio_reit_to_gold is: 0.209677317321941</t>
  </si>
  <si>
    <t xml:space="preserve"> risk_ratio_reit_to_gold_before is: 0.20883067228880942
</t>
  </si>
  <si>
    <t xml:space="preserve"> 0.20883067228880942
</t>
  </si>
  <si>
    <t>delta_gold is: 1.0096915503290769</t>
  </si>
  <si>
    <t xml:space="preserve"> delta_tb is: 1.0013674207870622</t>
  </si>
  <si>
    <t xml:space="preserve"> delta_reit is: 1.008310326605429
</t>
  </si>
  <si>
    <t xml:space="preserve"> 1.008310326605429
</t>
  </si>
  <si>
    <t>delta_gold_risk is: 0.9994821659015461</t>
  </si>
  <si>
    <t xml:space="preserve"> delta_tb_risk is: 1.000769603218702</t>
  </si>
  <si>
    <t xml:space="preserve"> delta_reit_risk is: 1.0007003834801185
</t>
  </si>
  <si>
    <t xml:space="preserve"> 1.0007003834801185
</t>
  </si>
  <si>
    <t xml:space="preserve">collateral_ratio_tranche_gold is: 0.8188219080332025
</t>
  </si>
  <si>
    <t xml:space="preserve"> 0.8188219080332025
</t>
  </si>
  <si>
    <t xml:space="preserve">collateral_ratio_tranche_tb is: 0.391839928266477
</t>
  </si>
  <si>
    <t xml:space="preserve"> 0.391839928266477
</t>
  </si>
  <si>
    <t xml:space="preserve">collateral_ratio_tranche_reit is: 0.2920968604844761
</t>
  </si>
  <si>
    <t xml:space="preserve"> 0.2920968604844761
</t>
  </si>
  <si>
    <t>Total plot size is: 151784669.22518018</t>
  </si>
  <si>
    <t xml:space="preserve"> plot size of gold is: 82293727.7323972</t>
  </si>
  <si>
    <t xml:space="preserve"> plot size of TB is: 39813810.79175839</t>
  </si>
  <si>
    <t xml:space="preserve"> plot size of REIT is: 29677130.7010246
</t>
  </si>
  <si>
    <t xml:space="preserve"> 29677130.7010246
</t>
  </si>
  <si>
    <t xml:space="preserve">collateral ratio is: 1.5095134619560093
</t>
  </si>
  <si>
    <t xml:space="preserve"> 1.5095134619560093
</t>
  </si>
  <si>
    <t>S_gtbcps_0 is: 0.9999585356599096</t>
  </si>
  <si>
    <t xml:space="preserve">stdev_gtbcps is: 0.007771011164004816
</t>
  </si>
  <si>
    <t xml:space="preserve"> 0.007771011164004816
</t>
  </si>
  <si>
    <t>predicted price of GTBCPS is: 0.9999512148901947</t>
  </si>
  <si>
    <t xml:space="preserve"> actual price is: 0.9999585356599096
</t>
  </si>
  <si>
    <t xml:space="preserve"> 0.9999585356599096
</t>
  </si>
  <si>
    <t>predicted amount of GTBCPS is: 101194716.27879883</t>
  </si>
  <si>
    <t xml:space="preserve"> actual amount is: 100556216.92873773
</t>
  </si>
  <si>
    <t>plot sizes of gold is: 82293727.7323972</t>
  </si>
  <si>
    <t xml:space="preserve"> plot sizes of tb is: 39813810.79175839 </t>
  </si>
  <si>
    <t xml:space="preserve"> plot sizes of reit is: 29677130.7010246</t>
  </si>
  <si>
    <t xml:space="preserve"> plot sizes of total is: 151784669.22518018.
</t>
  </si>
  <si>
    <t xml:space="preserve"> 151784669.22518018.
</t>
  </si>
  <si>
    <t>predicted stdevs of gold is: 0.009483025604696427</t>
  </si>
  <si>
    <t xml:space="preserve"> predicted stdevs of tb is: 0.0017197030618608126</t>
  </si>
  <si>
    <t xml:space="preserve"> predicted stdevs of reit is: 0.011141875637831273</t>
  </si>
  <si>
    <t xml:space="preserve"> predicted stdevs of GTBCPS is: 0.007771011164004816.
</t>
  </si>
  <si>
    <t xml:space="preserve"> 0.007771011164004816.
</t>
  </si>
  <si>
    <t>total_value_of_collaterals is: 151784412.34600383</t>
  </si>
  <si>
    <t xml:space="preserve"> createdtionValue_gold is: 519240.18738469254</t>
  </si>
  <si>
    <t xml:space="preserve"> createdValue_tb is: 251209.4560195782</t>
  </si>
  <si>
    <t xml:space="preserve"> createdValue_reit is: 187251.03698821316
</t>
  </si>
  <si>
    <t xml:space="preserve"> 187251.03698821316
</t>
  </si>
  <si>
    <t>plotValue_gold_after_creation is: 81774286.7174052</t>
  </si>
  <si>
    <t xml:space="preserve"> plotValue_tb_after_creation  is: 39562565.806272924</t>
  </si>
  <si>
    <t xml:space="preserve"> plotValue_reit_after_creation  is: 29489859.141933214</t>
  </si>
  <si>
    <t xml:space="preserve">total_value_after_creation is: 150826711.66561133
</t>
  </si>
  <si>
    <t xml:space="preserve"> 150826711.66561133
</t>
  </si>
  <si>
    <t>total_amount_gtncps_before_creation is: 100556216.92873773</t>
  </si>
  <si>
    <t>creation_amount_gtbcps is: 638499.3500611037</t>
  </si>
  <si>
    <t xml:space="preserve">total_amount_gtbcps_new is: 101194716.27879883
</t>
  </si>
  <si>
    <t xml:space="preserve"> 101194716.27879883
</t>
  </si>
  <si>
    <t>payout of tranche of gold is: -200.8276072995194</t>
  </si>
  <si>
    <t xml:space="preserve"> payout of tranche of Treausry Bill Option is: -35.529465887163774</t>
  </si>
  <si>
    <t xml:space="preserve"> payout of tranche of Collar of REIT is: -20.522103172750562
</t>
  </si>
  <si>
    <t xml:space="preserve"> -20.522103172750562
</t>
  </si>
  <si>
    <t>Collateral size of tranche of gold is: 81774286.7174052</t>
  </si>
  <si>
    <t xml:space="preserve"> collateral size of tranche of Treausry Bill Option is: 39562565.806272924</t>
  </si>
  <si>
    <t xml:space="preserve"> collateral size of tranche of Collar of REIT is: 29489859.141933214
</t>
  </si>
  <si>
    <t xml:space="preserve"> 29489859.141933214
</t>
  </si>
  <si>
    <t>Collateral ratio of tranche of gold is: 0.8132592770226021</t>
  </si>
  <si>
    <t xml:space="preserve"> collateral ratio of tranche of Treausry Bill Option is: 0.39345648805176864</t>
  </si>
  <si>
    <t xml:space="preserve"> collateral ratio of tranche of Collar of REIT is: 0.2932816963374668
</t>
  </si>
  <si>
    <t xml:space="preserve"> 0.2932816963374668
</t>
  </si>
  <si>
    <t xml:space="preserve">date is: 2021-05-26 00:00:00
</t>
  </si>
  <si>
    <t xml:space="preserve"> 2021-05-26 00</t>
  </si>
  <si>
    <t>current price of gold is: 1896.67</t>
  </si>
  <si>
    <t xml:space="preserve"> predicted price of gold is: 1889.2200575397221
</t>
  </si>
  <si>
    <t xml:space="preserve"> 1889.2200575397221
</t>
  </si>
  <si>
    <t>current price of tb is: 98.484375</t>
  </si>
  <si>
    <t xml:space="preserve"> current price of tb option is: 4.374575786032705</t>
  </si>
  <si>
    <t xml:space="preserve"> predicted price of tb is: 98.61413149803226
</t>
  </si>
  <si>
    <t xml:space="preserve"> 98.61413149803226
</t>
  </si>
  <si>
    <t>current price of reit is: 75.3</t>
  </si>
  <si>
    <t xml:space="preserve"> current price of reit option is: 6.113580617014392</t>
  </si>
  <si>
    <t xml:space="preserve"> predicted price of reit is: 75.72440810668925
</t>
  </si>
  <si>
    <t xml:space="preserve"> 75.72440810668925
</t>
  </si>
  <si>
    <t>value_ratio_gold_to_total is: -2.073818881220592</t>
  </si>
  <si>
    <t xml:space="preserve"> risk_ratio_to_gold is: 0.7028009039232351</t>
  </si>
  <si>
    <t xml:space="preserve"> risk_ratio_to_gold_before is: 0.7045436583260037
</t>
  </si>
  <si>
    <t xml:space="preserve"> 0.7045436583260037
</t>
  </si>
  <si>
    <t>value_ratio_tb_to_total is: 1.2538579173988549</t>
  </si>
  <si>
    <t xml:space="preserve"> risk_ratio_tb_to_gold is: 0.20928246353674038</t>
  </si>
  <si>
    <t xml:space="preserve"> risk_ratio_tb_to_gold_before is: 0.2096811400034726
</t>
  </si>
  <si>
    <t xml:space="preserve"> 0.2096811400034726
</t>
  </si>
  <si>
    <t>value_ratio_reit_to_total is: 1.819960963821737</t>
  </si>
  <si>
    <t xml:space="preserve"> risk_ratio_reit_to_gold is: 0.21359561532985585</t>
  </si>
  <si>
    <t xml:space="preserve"> risk_ratio_reit_to_gold_before is: 0.209677317321941
</t>
  </si>
  <si>
    <t xml:space="preserve"> 0.209677317321941
</t>
  </si>
  <si>
    <t>delta_gold is: 0.9986415690404107</t>
  </si>
  <si>
    <t xml:space="preserve"> delta_tb is: 0.9996054199951281</t>
  </si>
  <si>
    <t xml:space="preserve"> delta_reit is: 1.0069061880635213
</t>
  </si>
  <si>
    <t xml:space="preserve"> 1.0069061880635213
</t>
  </si>
  <si>
    <t>delta_gold_risk is: 0.9989775830063045</t>
  </si>
  <si>
    <t xml:space="preserve"> delta_tb_risk is: 0.999670428467843</t>
  </si>
  <si>
    <t xml:space="preserve"> delta_reit_risk is: 1.003239126626421
</t>
  </si>
  <si>
    <t xml:space="preserve"> 1.003239126626421
</t>
  </si>
  <si>
    <t xml:space="preserve">collateral_ratio_tranche_gold is: 0.8129857308693943
</t>
  </si>
  <si>
    <t xml:space="preserve"> 0.8129857308693943
</t>
  </si>
  <si>
    <t xml:space="preserve">collateral_ratio_tranche_tb is: 0.3939660773303126
</t>
  </si>
  <si>
    <t xml:space="preserve"> 0.3939660773303126
</t>
  </si>
  <si>
    <t xml:space="preserve">collateral_ratio_tranche_reit is: 0.29475410906862165
</t>
  </si>
  <si>
    <t xml:space="preserve"> 0.29475410906862165
</t>
  </si>
  <si>
    <t>Total plot size is: 150903678.85862845</t>
  </si>
  <si>
    <t xml:space="preserve"> plot size of gold is: 81663201.99462995</t>
  </si>
  <si>
    <t xml:space="preserve"> plot size of TB is: 39546955.20886434</t>
  </si>
  <si>
    <t xml:space="preserve"> plot size of REIT is: 29693521.655134156
</t>
  </si>
  <si>
    <t xml:space="preserve"> 29693521.655134156
</t>
  </si>
  <si>
    <t xml:space="preserve">collateral ratio is: 1.4912936823160505
</t>
  </si>
  <si>
    <t xml:space="preserve"> 1.4912936823160505
</t>
  </si>
  <si>
    <t>S_gtbcps_0 is: 0.9999512148901947</t>
  </si>
  <si>
    <t xml:space="preserve">stdev_gtbcps is: 0.0077967738943133524
</t>
  </si>
  <si>
    <t xml:space="preserve"> 0.0077967738943133524
</t>
  </si>
  <si>
    <t>predicted price of GTBCPS is: 0.9999623134471314</t>
  </si>
  <si>
    <t xml:space="preserve"> actual price is: 0.9999512148901947
</t>
  </si>
  <si>
    <t xml:space="preserve"> 0.9999512148901947
</t>
  </si>
  <si>
    <t>predicted amount of GTBCPS is: 101193593.1211506</t>
  </si>
  <si>
    <t xml:space="preserve"> actual amount is: 101194716.27879883
</t>
  </si>
  <si>
    <t>plot sizes of gold is: 81663201.99462995</t>
  </si>
  <si>
    <t xml:space="preserve"> plot sizes of tb is: 39546955.20886434 </t>
  </si>
  <si>
    <t xml:space="preserve"> plot sizes of reit is: 29693521.655134156</t>
  </si>
  <si>
    <t xml:space="preserve"> plot sizes of total is: 150903678.85862845.
</t>
  </si>
  <si>
    <t xml:space="preserve"> 150903678.85862845.
</t>
  </si>
  <si>
    <t>predicted stdevs of gold is: 0.009515887179979619</t>
  </si>
  <si>
    <t xml:space="preserve"> predicted stdevs of tb is: 0.0017198719864650604</t>
  </si>
  <si>
    <t xml:space="preserve"> predicted stdevs of reit is: 0.01116231177897323</t>
  </si>
  <si>
    <t xml:space="preserve"> predicted stdevs of GTBCPS is: 0.0077967738943133524.
</t>
  </si>
  <si>
    <t xml:space="preserve"> 0.0077967738943133524.
</t>
  </si>
  <si>
    <t>total_value_of_collaterals is: 150904068.535685</t>
  </si>
  <si>
    <t xml:space="preserve"> createdtionValue_gold is: -906.3912880928024</t>
  </si>
  <si>
    <t xml:space="preserve"> createdValue_tb is: -438.9361727025647</t>
  </si>
  <si>
    <t xml:space="preserve"> createdValue_reit is: -329.57164593763156
</t>
  </si>
  <si>
    <t xml:space="preserve"> -329.57164593763156
</t>
  </si>
  <si>
    <t>plotValue_gold_after_creation is: 81664412.2757105</t>
  </si>
  <si>
    <t xml:space="preserve"> plotValue_tb_after_creation  is: 39547450.46781011</t>
  </si>
  <si>
    <t xml:space="preserve"> plotValue_reit_after_creation  is: 29693880.691271126</t>
  </si>
  <si>
    <t xml:space="preserve">total_value_after_creation is: 150905743.43479174
</t>
  </si>
  <si>
    <t xml:space="preserve"> 150905743.43479174
</t>
  </si>
  <si>
    <t>total_amount_gtncps_before_creation is: 101194716.27879883</t>
  </si>
  <si>
    <t>creation_amount_gtbcps is: -1123.1576482355595</t>
  </si>
  <si>
    <t xml:space="preserve">total_amount_gtbcps_new is: 101193593.1211506
</t>
  </si>
  <si>
    <t xml:space="preserve"> 101193593.1211506
</t>
  </si>
  <si>
    <t>payout of tranche of gold is: 303.8897924587351</t>
  </si>
  <si>
    <t xml:space="preserve"> payout of tranche of Treausry Bill Option is: 56.32277306772175</t>
  </si>
  <si>
    <t xml:space="preserve"> payout of tranche of Collar of REIT is: 29.464491033628406
</t>
  </si>
  <si>
    <t xml:space="preserve"> 29.464491033628406
</t>
  </si>
  <si>
    <t>Collateral size of tranche of gold is: 81664412.2757105</t>
  </si>
  <si>
    <t xml:space="preserve"> collateral size of tranche of Treausry Bill Option is: 39547450.46781011</t>
  </si>
  <si>
    <t xml:space="preserve"> collateral size of tranche of Collar of REIT is: 29693880.691271126
</t>
  </si>
  <si>
    <t xml:space="preserve"> 29693880.691271126
</t>
  </si>
  <si>
    <t>Collateral ratio of tranche of gold is: 0.8070331440713931</t>
  </si>
  <si>
    <t xml:space="preserve"> collateral ratio of tranche of Treausry Bill Option is: 0.39082021656252475</t>
  </si>
  <si>
    <t xml:space="preserve"> collateral ratio of tranche of Collar of REIT is: 0.2934441726348526
</t>
  </si>
  <si>
    <t xml:space="preserve"> 0.2934441726348526
</t>
  </si>
  <si>
    <t xml:space="preserve">date is: 2021-05-27 00:00:00
</t>
  </si>
  <si>
    <t xml:space="preserve"> 2021-05-27 00</t>
  </si>
  <si>
    <t>current price of gold is: 1896.54</t>
  </si>
  <si>
    <t xml:space="preserve"> predicted price of gold is: 1900.3487368091091
</t>
  </si>
  <si>
    <t xml:space="preserve"> 1900.3487368091091
</t>
  </si>
  <si>
    <t>current price of tb is: 98.42578125</t>
  </si>
  <si>
    <t xml:space="preserve"> current price of tb option is: 4.372268688137373</t>
  </si>
  <si>
    <t xml:space="preserve"> predicted price of tb is: 98.55792446609563
</t>
  </si>
  <si>
    <t xml:space="preserve"> 98.55792446609563
</t>
  </si>
  <si>
    <t>current price of reit is: 74.85</t>
  </si>
  <si>
    <t xml:space="preserve"> current price of reit option is: 6.120027595792351</t>
  </si>
  <si>
    <t xml:space="preserve"> predicted price of reit is: 75.307153745069
</t>
  </si>
  <si>
    <t xml:space="preserve"> 75.307153745069
</t>
  </si>
  <si>
    <t>value_ratio_gold_to_total is: 0.25578592249095067</t>
  </si>
  <si>
    <t xml:space="preserve"> risk_ratio_to_gold is: 0.7042131889304387</t>
  </si>
  <si>
    <t xml:space="preserve"> risk_ratio_to_gold_before is: 0.7028009039232351
</t>
  </si>
  <si>
    <t xml:space="preserve"> 0.7028009039232351
</t>
  </si>
  <si>
    <t>value_ratio_tb_to_total is: 0.3025058469379866</t>
  </si>
  <si>
    <t xml:space="preserve"> risk_ratio_tb_to_gold is: 0.20884381741558655</t>
  </si>
  <si>
    <t xml:space="preserve"> risk_ratio_tb_to_gold_before is: 0.20928246353674038
</t>
  </si>
  <si>
    <t xml:space="preserve"> 0.20928246353674038
</t>
  </si>
  <si>
    <t>value_ratio_reit_to_total is: 0.44170823057106273</t>
  </si>
  <si>
    <t xml:space="preserve"> risk_ratio_reit_to_gold is: 0.21118070884868748</t>
  </si>
  <si>
    <t xml:space="preserve"> risk_ratio_reit_to_gold_before is: 0.21359561532985585
</t>
  </si>
  <si>
    <t xml:space="preserve"> 0.21359561532985585
</t>
  </si>
  <si>
    <t>delta_gold is: 0.9999314588199317</t>
  </si>
  <si>
    <t xml:space="preserve"> delta_tb is: 0.9994079188303017</t>
  </si>
  <si>
    <t xml:space="preserve"> delta_reit is: 0.9945518546431632
</t>
  </si>
  <si>
    <t xml:space="preserve"> 0.9945518546431632
</t>
  </si>
  <si>
    <t>delta_gold_risk is: 1.0008293893924707</t>
  </si>
  <si>
    <t xml:space="preserve"> delta_tb_risk is: 0.9996372674421568</t>
  </si>
  <si>
    <t xml:space="preserve"> delta_reit_risk is: 0.9980101226053687
</t>
  </si>
  <si>
    <t xml:space="preserve"> 0.9980101226053687
</t>
  </si>
  <si>
    <t xml:space="preserve">collateral_ratio_tranche_gold is: 0.8063090848653042
</t>
  </si>
  <si>
    <t xml:space="preserve"> 0.8063090848653042
</t>
  </si>
  <si>
    <t xml:space="preserve">collateral_ratio_tranche_tb is: 0.39075733293209586
</t>
  </si>
  <si>
    <t xml:space="preserve"> 0.39075733293209586
</t>
  </si>
  <si>
    <t xml:space="preserve">collateral_ratio_tranche_reit is: 0.2924473853719198
</t>
  </si>
  <si>
    <t xml:space="preserve"> 0.2924473853719198
</t>
  </si>
  <si>
    <t>Total plot size is: 150714954.18065858</t>
  </si>
  <si>
    <t xml:space="preserve"> plot size of gold is: 81658814.90052353</t>
  </si>
  <si>
    <t xml:space="preserve"> plot size of TB is: 39524035.16707854</t>
  </si>
  <si>
    <t xml:space="preserve"> plot size of REIT is: 29532104.11305651
</t>
  </si>
  <si>
    <t xml:space="preserve"> 29532104.11305651
</t>
  </si>
  <si>
    <t xml:space="preserve">collateral ratio is: 1.4894286255985314
</t>
  </si>
  <si>
    <t xml:space="preserve"> 1.4894286255985314
</t>
  </si>
  <si>
    <t>S_gtbcps_0 is: 0.9999623134471314</t>
  </si>
  <si>
    <t xml:space="preserve">stdev_gtbcps is: 0.007770323505828765
</t>
  </si>
  <si>
    <t xml:space="preserve"> 0.007770323505828765
</t>
  </si>
  <si>
    <t>predicted price of GTBCPS is: 0.9999535806701245</t>
  </si>
  <si>
    <t xml:space="preserve"> actual price is: 0.9999623134471314
</t>
  </si>
  <si>
    <t xml:space="preserve"> 0.9999623134471314
</t>
  </si>
  <si>
    <t>predicted amount of GTBCPS is: 101194476.86325656</t>
  </si>
  <si>
    <t xml:space="preserve"> actual amount is: 101193593.1211506
</t>
  </si>
  <si>
    <t>plot sizes of gold is: 81658814.90052353</t>
  </si>
  <si>
    <t xml:space="preserve"> plot sizes of tb is: 39524035.16707854 </t>
  </si>
  <si>
    <t xml:space="preserve"> plot sizes of reit is: 29532104.11305651</t>
  </si>
  <si>
    <t xml:space="preserve"> plot sizes of total is: 150714954.18065858.
</t>
  </si>
  <si>
    <t xml:space="preserve"> 150714954.18065858.
</t>
  </si>
  <si>
    <t>predicted stdevs of gold is: 0.009501822877203667</t>
  </si>
  <si>
    <t xml:space="preserve"> predicted stdevs of tb is: 0.001720212148486661</t>
  </si>
  <si>
    <t xml:space="preserve"> predicted stdevs of reit is: 0.011079692422134522</t>
  </si>
  <si>
    <t xml:space="preserve"> predicted stdevs of GTBCPS is: 0.007770323505828765.
</t>
  </si>
  <si>
    <t xml:space="preserve"> 0.007770323505828765.
</t>
  </si>
  <si>
    <t>total_value_of_collaterals is: 150714647.3711354</t>
  </si>
  <si>
    <t xml:space="preserve"> createdtionValue_gold is: 713.1330060557721</t>
  </si>
  <si>
    <t xml:space="preserve"> createdValue_tb is: 345.16720659423635</t>
  </si>
  <si>
    <t xml:space="preserve"> createdValue_reit is: 257.9067978066607
</t>
  </si>
  <si>
    <t xml:space="preserve"> 257.9067978066607
</t>
  </si>
  <si>
    <t>plotValue_gold_after_creation is: 81657862.36654437</t>
  </si>
  <si>
    <t xml:space="preserve"> plotValue_tb_after_creation  is: 39523645.67362686</t>
  </si>
  <si>
    <t xml:space="preserve"> plotValue_reit_after_creation  is: 29531823.123953722</t>
  </si>
  <si>
    <t xml:space="preserve">total_value_after_creation is: 150713331.16412497
</t>
  </si>
  <si>
    <t xml:space="preserve"> 150713331.16412497
</t>
  </si>
  <si>
    <t>total_amount_gtncps_before_creation is: 101193593.1211506</t>
  </si>
  <si>
    <t>creation_amount_gtbcps is: 883.742105960846</t>
  </si>
  <si>
    <t xml:space="preserve">total_amount_gtbcps_new is: 101194476.86325656
</t>
  </si>
  <si>
    <t xml:space="preserve"> 101194476.86325656
</t>
  </si>
  <si>
    <t>payout of tranche of gold is: -239.40097311694672</t>
  </si>
  <si>
    <t xml:space="preserve"> payout of tranche of Treausry Bill Option is: -44.32624508282989</t>
  </si>
  <si>
    <t xml:space="preserve"> payout of tranche of Collar of REIT is: -23.082304980320675
</t>
  </si>
  <si>
    <t xml:space="preserve"> -23.082304980320675
</t>
  </si>
  <si>
    <t>Collateral size of tranche of gold is: 81657862.36654437</t>
  </si>
  <si>
    <t xml:space="preserve"> collateral size of tranche of Treausry Bill Option is: 39523645.67362686</t>
  </si>
  <si>
    <t xml:space="preserve"> collateral size of tranche of Collar of REIT is: 29531823.123953722
</t>
  </si>
  <si>
    <t xml:space="preserve"> 29531823.123953722
</t>
  </si>
  <si>
    <t>Collateral ratio of tranche of gold is: 0.8069844199324815</t>
  </si>
  <si>
    <t xml:space="preserve"> collateral ratio of tranche of Treausry Bill Option is: 0.390592716404688</t>
  </si>
  <si>
    <t xml:space="preserve"> collateral ratio of tranche of Collar of REIT is: 0.29184845724049246
</t>
  </si>
  <si>
    <t xml:space="preserve"> 0.29184845724049246
</t>
  </si>
  <si>
    <t xml:space="preserve">date is: 2021-05-28 00:00:00
</t>
  </si>
  <si>
    <t xml:space="preserve"> 2021-05-28 00</t>
  </si>
  <si>
    <t>current price of gold is: 1903.77</t>
  </si>
  <si>
    <t xml:space="preserve"> predicted price of gold is: 1902.4827150009323
</t>
  </si>
  <si>
    <t xml:space="preserve"> 1902.4827150009323
</t>
  </si>
  <si>
    <t>current price of tb is: 98.48828125</t>
  </si>
  <si>
    <t xml:space="preserve"> current price of tb option is: 4.374570819466425</t>
  </si>
  <si>
    <t xml:space="preserve"> predicted price of tb is: 98.61804289464888
</t>
  </si>
  <si>
    <t xml:space="preserve"> 98.61804289464888
</t>
  </si>
  <si>
    <t xml:space="preserve"> current price of reit option is: 6.153590733951788</t>
  </si>
  <si>
    <t xml:space="preserve"> predicted price of reit is: 75.30595323138834
</t>
  </si>
  <si>
    <t xml:space="preserve"> 75.30595323138834
</t>
  </si>
  <si>
    <t>value_ratio_gold_to_total is: -0.13100015485398586</t>
  </si>
  <si>
    <t xml:space="preserve"> risk_ratio_to_gold is: 0.7046882668892813</t>
  </si>
  <si>
    <t xml:space="preserve"> risk_ratio_to_gold_before is: 0.7042131889304387
</t>
  </si>
  <si>
    <t xml:space="preserve"> 0.7042131889304387
</t>
  </si>
  <si>
    <t>value_ratio_tb_to_total is: 0.45838198280902276</t>
  </si>
  <si>
    <t xml:space="preserve"> risk_ratio_tb_to_gold is: 0.2089521512193342</t>
  </si>
  <si>
    <t xml:space="preserve"> risk_ratio_tb_to_gold_before is: 0.20884381741558655
</t>
  </si>
  <si>
    <t xml:space="preserve"> 0.20884381741558655
</t>
  </si>
  <si>
    <t>value_ratio_reit_to_total is: 0.6726181720449631</t>
  </si>
  <si>
    <t xml:space="preserve"> risk_ratio_reit_to_gold is: 0.21011504059630193</t>
  </si>
  <si>
    <t xml:space="preserve"> risk_ratio_reit_to_gold_before is: 0.21118070884868748
</t>
  </si>
  <si>
    <t xml:space="preserve"> 0.21118070884868748
</t>
  </si>
  <si>
    <t>delta_gold is: 1.0038122053845424</t>
  </si>
  <si>
    <t xml:space="preserve"> delta_tb is: 1.0006303828853569</t>
  </si>
  <si>
    <t xml:space="preserve"> delta_reit is: 1.0004145131125184
</t>
  </si>
  <si>
    <t xml:space="preserve"> 1.0004145131125184
</t>
  </si>
  <si>
    <t>delta_gold_risk is: 1.000278766742288</t>
  </si>
  <si>
    <t xml:space="preserve"> delta_tb_risk is: 1.000089617700969</t>
  </si>
  <si>
    <t xml:space="preserve"> delta_reit_risk is: 0.9991201409958069
</t>
  </si>
  <si>
    <t xml:space="preserve"> 0.9991201409958069
</t>
  </si>
  <si>
    <t xml:space="preserve">collateral_ratio_tranche_gold is: 0.8098350552032602
</t>
  </si>
  <si>
    <t xml:space="preserve"> 0.8098350552032602
</t>
  </si>
  <si>
    <t xml:space="preserve">collateral_ratio_tranche_tb is: 0.38931974957410026
</t>
  </si>
  <si>
    <t xml:space="preserve"> 0.38931974957410026
</t>
  </si>
  <si>
    <t xml:space="preserve">collateral_ratio_tranche_reit is: 0.29111675355908495
</t>
  </si>
  <si>
    <t xml:space="preserve"> 0.29111675355908495
</t>
  </si>
  <si>
    <t>Total plot size is: 151061784.06444994</t>
  </si>
  <si>
    <t xml:space="preserve"> plot size of gold is: 81969158.90914834</t>
  </si>
  <si>
    <t xml:space="preserve"> plot size of TB is: 39548560.70342643</t>
  </si>
  <si>
    <t xml:space="preserve"> plot size of REIT is: 29544064.451875176
</t>
  </si>
  <si>
    <t xml:space="preserve"> 29544064.451875176
</t>
  </si>
  <si>
    <t xml:space="preserve">collateral ratio is: 1.4928561445195316
</t>
  </si>
  <si>
    <t xml:space="preserve"> 1.4928561445195316
</t>
  </si>
  <si>
    <t>S_gtbcps_0 is: 0.9999535806701245</t>
  </si>
  <si>
    <t xml:space="preserve">stdev_gtbcps is: 0.007758902473972767
</t>
  </si>
  <si>
    <t xml:space="preserve"> 0.007758902473972767
</t>
  </si>
  <si>
    <t>predicted price of GTBCPS is: 0.9999912143767247</t>
  </si>
  <si>
    <t xml:space="preserve"> actual price is: 0.9999535806701245
</t>
  </si>
  <si>
    <t xml:space="preserve"> 0.9999535806701245
</t>
  </si>
  <si>
    <t>predicted amount of GTBCPS is: 101190668.50654595</t>
  </si>
  <si>
    <t xml:space="preserve"> actual amount is: 101194476.86325656
</t>
  </si>
  <si>
    <t>plot sizes of gold is: 81969158.90914834</t>
  </si>
  <si>
    <t xml:space="preserve"> plot sizes of tb is: 39548560.70342643 </t>
  </si>
  <si>
    <t xml:space="preserve"> plot sizes of reit is: 29544064.451875176</t>
  </si>
  <si>
    <t xml:space="preserve"> plot sizes of total is: 151061784.06444994.
</t>
  </si>
  <si>
    <t xml:space="preserve"> 151061784.06444994.
</t>
  </si>
  <si>
    <t>predicted stdevs of gold is: 0.009499157469186992</t>
  </si>
  <si>
    <t xml:space="preserve"> predicted stdevs of tb is: 0.0017218271703307317</t>
  </si>
  <si>
    <t xml:space="preserve"> predicted stdevs of reit is: 0.011012022945214816</t>
  </si>
  <si>
    <t xml:space="preserve"> predicted stdevs of GTBCPS is: 0.007758902473972767.
</t>
  </si>
  <si>
    <t xml:space="preserve"> 0.007758902473972767.
</t>
  </si>
  <si>
    <t>total_value_of_collaterals is: 151063105.8202495</t>
  </si>
  <si>
    <t xml:space="preserve"> createdtionValue_gold is: -3084.9813191832723</t>
  </si>
  <si>
    <t xml:space="preserve"> createdValue_tb is: -1488.4374496878017</t>
  </si>
  <si>
    <t xml:space="preserve"> createdValue_reit is: -1111.9097428121831
</t>
  </si>
  <si>
    <t xml:space="preserve"> -1111.9097428121831
</t>
  </si>
  <si>
    <t>plotValue_gold_after_creation is: 81973169.65023461</t>
  </si>
  <si>
    <t xml:space="preserve"> plotValue_tb_after_creation  is: 39550299.64632737</t>
  </si>
  <si>
    <t xml:space="preserve"> plotValue_reit_after_creation  is: 29545321.852199197</t>
  </si>
  <si>
    <t xml:space="preserve">total_value_after_creation is: 151068791.14876118
</t>
  </si>
  <si>
    <t xml:space="preserve"> 151068791.14876118
</t>
  </si>
  <si>
    <t>total_amount_gtncps_before_creation is: 101194476.86325656</t>
  </si>
  <si>
    <t>creation_amount_gtbcps is: -3808.356710612774</t>
  </si>
  <si>
    <t xml:space="preserve">total_amount_gtbcps_new is: 101190668.50654595
</t>
  </si>
  <si>
    <t xml:space="preserve"> 101190668.50654595
</t>
  </si>
  <si>
    <t>payout of tranche of gold is: 925.7597670879553</t>
  </si>
  <si>
    <t xml:space="preserve"> payout of tranche of Treausry Bill Option is: 250.5054512565755</t>
  </si>
  <si>
    <t xml:space="preserve"> payout of tranche of Collar of REIT is: 145.49058120685055
</t>
  </si>
  <si>
    <t xml:space="preserve"> 145.49058120685055
</t>
  </si>
  <si>
    <t>Collateral size of tranche of gold is: 81973169.65023461</t>
  </si>
  <si>
    <t xml:space="preserve"> collateral size of tranche of Treausry Bill Option is: 39550299.64632737</t>
  </si>
  <si>
    <t xml:space="preserve"> collateral size of tranche of Collar of REIT is: 29545321.852199197
</t>
  </si>
  <si>
    <t xml:space="preserve"> 29545321.852199197
</t>
  </si>
  <si>
    <t>Collateral ratio of tranche of gold is: 0.8100628846841114</t>
  </si>
  <si>
    <t xml:space="preserve"> collateral ratio of tranche of Treausry Bill Option is: 0.3908380017306461</t>
  </si>
  <si>
    <t xml:space="preserve"> collateral ratio of tranche of Collar of REIT is: 0.2919683202520216
</t>
  </si>
  <si>
    <t xml:space="preserve"> 0.2919683202520216
</t>
  </si>
  <si>
    <t xml:space="preserve">date is: 2021-06-01 00:00:00
</t>
  </si>
  <si>
    <t xml:space="preserve"> 2021-06-01 00</t>
  </si>
  <si>
    <t>current price of gold is: 1900.44</t>
  </si>
  <si>
    <t xml:space="preserve"> predicted price of gold is: 1897.2578219885772
</t>
  </si>
  <si>
    <t xml:space="preserve"> 1897.2578219885772
</t>
  </si>
  <si>
    <t>current price of tb is: 98.48046875</t>
  </si>
  <si>
    <t xml:space="preserve"> current price of tb option is: 4.37140351655075</t>
  </si>
  <si>
    <t xml:space="preserve"> predicted price of tb is: 98.61350716353643
</t>
  </si>
  <si>
    <t xml:space="preserve"> 98.61350716353643
</t>
  </si>
  <si>
    <t>current price of reit is: 74.3</t>
  </si>
  <si>
    <t xml:space="preserve"> current price of reit option is: 6.149648600329996</t>
  </si>
  <si>
    <t xml:space="preserve"> predicted price of reit is: 74.72233574128815
</t>
  </si>
  <si>
    <t xml:space="preserve"> 74.72233574128815
</t>
  </si>
  <si>
    <t>value_ratio_gold_to_total is: -0.4031008281602916</t>
  </si>
  <si>
    <t xml:space="preserve"> risk_ratio_to_gold is: 0.7053840999939861</t>
  </si>
  <si>
    <t xml:space="preserve"> risk_ratio_to_gold_before is: 0.7046882668892813
</t>
  </si>
  <si>
    <t xml:space="preserve"> 0.7046882668892813
</t>
  </si>
  <si>
    <t>value_ratio_tb_to_total is: 0.5705979570911015</t>
  </si>
  <si>
    <t xml:space="preserve"> risk_ratio_tb_to_gold is: 0.20919994979691364</t>
  </si>
  <si>
    <t xml:space="preserve"> risk_ratio_tb_to_gold_before is: 0.2089521512193342
</t>
  </si>
  <si>
    <t xml:space="preserve"> 0.2089521512193342
</t>
  </si>
  <si>
    <t>value_ratio_reit_to_total is: 0.83250287106919</t>
  </si>
  <si>
    <t xml:space="preserve"> risk_ratio_reit_to_gold is: 0.20846738918694724</t>
  </si>
  <si>
    <t xml:space="preserve"> risk_ratio_reit_to_gold_before is: 0.21011504059630193
</t>
  </si>
  <si>
    <t xml:space="preserve"> 0.21011504059630193
</t>
  </si>
  <si>
    <t>delta_gold is: 0.9982508391244741</t>
  </si>
  <si>
    <t xml:space="preserve"> delta_tb is: 0.9998932578409524</t>
  </si>
  <si>
    <t xml:space="preserve"> delta_reit is: 0.9931615113774258
</t>
  </si>
  <si>
    <t xml:space="preserve"> 0.9931615113774258
</t>
  </si>
  <si>
    <t>delta_gold_risk is: 1.000408187888789</t>
  </si>
  <si>
    <t xml:space="preserve"> delta_tb_risk is: 1.0002049697147481</t>
  </si>
  <si>
    <t xml:space="preserve"> delta_reit_risk is: 0.9986384340710758
</t>
  </si>
  <si>
    <t xml:space="preserve"> 0.9986384340710758
</t>
  </si>
  <si>
    <t xml:space="preserve">collateral_ratio_tranche_gold is: 0.8083160095740839
</t>
  </si>
  <si>
    <t xml:space="preserve"> 0.8083160095740839
</t>
  </si>
  <si>
    <t xml:space="preserve">collateral_ratio_tranche_tb is: 0.39140082085336797
</t>
  </si>
  <si>
    <t xml:space="preserve"> 0.39140082085336797
</t>
  </si>
  <si>
    <t xml:space="preserve">collateral_ratio_tranche_reit is: 0.2908758407411088
</t>
  </si>
  <si>
    <t xml:space="preserve"> 0.2908758407411088
</t>
  </si>
  <si>
    <t>Total plot size is: 150719139.85585436</t>
  </si>
  <si>
    <t xml:space="preserve"> plot size of gold is: 81829785.38903958</t>
  </si>
  <si>
    <t xml:space="preserve"> plot size of TB is: 39546077.96195214</t>
  </si>
  <si>
    <t xml:space="preserve"> plot size of REIT is: 29343276.50486264
</t>
  </si>
  <si>
    <t xml:space="preserve"> 29343276.50486264
</t>
  </si>
  <si>
    <t xml:space="preserve">collateral ratio is: 1.489469990202913
</t>
  </si>
  <si>
    <t xml:space="preserve"> 1.489469990202913
</t>
  </si>
  <si>
    <t>S_gtbcps_0 is: 0.9999912143767247</t>
  </si>
  <si>
    <t xml:space="preserve">stdev_gtbcps is: 0.007727784541265444
</t>
  </si>
  <si>
    <t xml:space="preserve"> 0.007727784541265444
</t>
  </si>
  <si>
    <t>predicted price of GTBCPS is: 1.0000012579936717</t>
  </si>
  <si>
    <t xml:space="preserve"> actual price is: 0.9999912143767247
</t>
  </si>
  <si>
    <t xml:space="preserve"> 0.9999912143767247
</t>
  </si>
  <si>
    <t>predicted amount of GTBCPS is: 101189652.18751137</t>
  </si>
  <si>
    <t xml:space="preserve"> actual amount is: 101190668.50654595
</t>
  </si>
  <si>
    <t>plot sizes of gold is: 81829785.38903958</t>
  </si>
  <si>
    <t xml:space="preserve"> plot sizes of tb is: 39546077.96195214 </t>
  </si>
  <si>
    <t xml:space="preserve"> plot sizes of reit is: 29343276.50486264</t>
  </si>
  <si>
    <t xml:space="preserve"> plot sizes of total is: 150719139.85585436.
</t>
  </si>
  <si>
    <t xml:space="preserve"> 150719139.85585436.
</t>
  </si>
  <si>
    <t>predicted stdevs of gold is: 0.009467523013194541</t>
  </si>
  <si>
    <t xml:space="preserve"> predicted stdevs of tb is: 0.0017205601401746786</t>
  </si>
  <si>
    <t xml:space="preserve"> predicted stdevs of reit is: 0.010972130437460334</t>
  </si>
  <si>
    <t xml:space="preserve"> predicted stdevs of GTBCPS is: 0.007727784541265444.
</t>
  </si>
  <si>
    <t xml:space="preserve"> 0.007727784541265444.
</t>
  </si>
  <si>
    <t>total_value_of_collaterals is: 150719492.95193174</t>
  </si>
  <si>
    <t xml:space="preserve"> createdtionValue_gold is: -821.8769056918512</t>
  </si>
  <si>
    <t xml:space="preserve"> createdValue_tb is: -397.1896412508455</t>
  </si>
  <si>
    <t xml:space="preserve"> createdValue_reit is: -294.71560624528774
</t>
  </si>
  <si>
    <t xml:space="preserve"> -294.71560624528774
</t>
  </si>
  <si>
    <t>plotValue_gold_after_creation is: 81830872.67642498</t>
  </si>
  <si>
    <t xml:space="preserve"> plotValue_tb_after_creation  is: 39546524.225829825</t>
  </si>
  <si>
    <t xml:space="preserve"> plotValue_reit_after_creation  is: 29343609.831830136</t>
  </si>
  <si>
    <t xml:space="preserve">total_value_after_creation is: 150721006.73408493
</t>
  </si>
  <si>
    <t xml:space="preserve"> 150721006.73408493
</t>
  </si>
  <si>
    <t>total_amount_gtncps_before_creation is: 101190668.50654595</t>
  </si>
  <si>
    <t>creation_amount_gtbcps is: -1016.319034576416</t>
  </si>
  <si>
    <t xml:space="preserve">total_amount_gtbcps_new is: 101189652.18751137
</t>
  </si>
  <si>
    <t xml:space="preserve"> 101189652.18751137
</t>
  </si>
  <si>
    <t>payout of tranche of gold is: 265.41047971585454</t>
  </si>
  <si>
    <t xml:space="preserve"> payout of tranche of Treausry Bill Option is: 49.074236427932306</t>
  </si>
  <si>
    <t xml:space="preserve"> payout of tranche of Collar of REIT is: 38.61136125034986
</t>
  </si>
  <si>
    <t xml:space="preserve"> 38.61136125034986
</t>
  </si>
  <si>
    <t>Collateral size of tranche of gold is: 81830872.67642498</t>
  </si>
  <si>
    <t xml:space="preserve"> collateral size of tranche of Treausry Bill Option is: 39546524.225829825</t>
  </si>
  <si>
    <t xml:space="preserve"> collateral size of tranche of Collar of REIT is: 29343609.831830136
</t>
  </si>
  <si>
    <t xml:space="preserve"> 29343609.831830136
</t>
  </si>
  <si>
    <t>Collateral ratio of tranche of gold is: 0.8086790110349051</t>
  </si>
  <si>
    <t xml:space="preserve"> collateral ratio of tranche of Treausry Bill Option is: 0.3908114756061421</t>
  </si>
  <si>
    <t xml:space="preserve"> collateral ratio of tranche of Collar of REIT is: 0.2899829930059498
</t>
  </si>
  <si>
    <t xml:space="preserve"> 0.2899829930059498
</t>
  </si>
  <si>
    <t xml:space="preserve">date is: 2021-06-02 00:00:00
</t>
  </si>
  <si>
    <t xml:space="preserve"> 2021-06-02 00</t>
  </si>
  <si>
    <t>current price of gold is: 1908.38</t>
  </si>
  <si>
    <t xml:space="preserve"> predicted price of gold is: 1910.2107094991934
</t>
  </si>
  <si>
    <t xml:space="preserve"> 1910.2107094991934
</t>
  </si>
  <si>
    <t>current price of tb is: 98.53125</t>
  </si>
  <si>
    <t xml:space="preserve"> current price of tb option is: 4.37372147888784</t>
  </si>
  <si>
    <t xml:space="preserve"> predicted price of tb is: 98.66189043642616
</t>
  </si>
  <si>
    <t xml:space="preserve"> 98.66189043642616
</t>
  </si>
  <si>
    <t>current price of reit is: 74.75</t>
  </si>
  <si>
    <t xml:space="preserve"> current price of reit option is: 6.174312312105002</t>
  </si>
  <si>
    <t xml:space="preserve"> predicted price of reit is: 75.26948224220911
</t>
  </si>
  <si>
    <t xml:space="preserve"> 75.26948224220911
</t>
  </si>
  <si>
    <t>value_ratio_gold_to_total is: 0.14051180690431925</t>
  </si>
  <si>
    <t xml:space="preserve"> risk_ratio_to_gold is: 0.7056071705633866</t>
  </si>
  <si>
    <t xml:space="preserve"> risk_ratio_to_gold_before is: 0.7053840999939861
</t>
  </si>
  <si>
    <t xml:space="preserve"> 0.7053840999939861
</t>
  </si>
  <si>
    <t>value_ratio_tb_to_total is: 0.34572171715428834</t>
  </si>
  <si>
    <t xml:space="preserve"> risk_ratio_tb_to_gold is: 0.2096073677367603</t>
  </si>
  <si>
    <t xml:space="preserve"> risk_ratio_tb_to_gold_before is: 0.20919994979691364
</t>
  </si>
  <si>
    <t xml:space="preserve"> 0.20919994979691364
</t>
  </si>
  <si>
    <t>value_ratio_reit_to_total is: 0.5137664759413925</t>
  </si>
  <si>
    <t xml:space="preserve"> risk_ratio_reit_to_gold is: 0.20761179005830246</t>
  </si>
  <si>
    <t xml:space="preserve"> risk_ratio_reit_to_gold_before is: 0.20846738918694724
</t>
  </si>
  <si>
    <t xml:space="preserve"> 0.20846738918694724
</t>
  </si>
  <si>
    <t>delta_gold is: 1.0041779798362485</t>
  </si>
  <si>
    <t xml:space="preserve"> delta_tb is: 1.000516268796736</t>
  </si>
  <si>
    <t xml:space="preserve"> delta_reit is: 1.0059001340594178
</t>
  </si>
  <si>
    <t xml:space="preserve"> 1.0059001340594178
</t>
  </si>
  <si>
    <t>delta_gold_risk is: 1.0001308037112586</t>
  </si>
  <si>
    <t xml:space="preserve"> delta_tb_risk is: 1.0003369318200146</t>
  </si>
  <si>
    <t xml:space="preserve"> delta_reit_risk is: 0.999291996510373
</t>
  </si>
  <si>
    <t xml:space="preserve"> 0.999291996510373
</t>
  </si>
  <si>
    <t xml:space="preserve">collateral_ratio_tranche_gold is: 0.8119514493740664
</t>
  </si>
  <si>
    <t xml:space="preserve"> 0.8119514493740664
</t>
  </si>
  <si>
    <t xml:space="preserve">collateral_ratio_tranche_tb is: 0.3892552384108414
</t>
  </si>
  <si>
    <t xml:space="preserve"> 0.3892552384108414
</t>
  </si>
  <si>
    <t xml:space="preserve">collateral_ratio_tranche_reit is: 0.2906861174444129
</t>
  </si>
  <si>
    <t xml:space="preserve"> 0.2906861174444129
</t>
  </si>
  <si>
    <t>Total plot size is: 151256442.3383819</t>
  </si>
  <si>
    <t xml:space="preserve"> plot size of gold is: 82172760.4124497</t>
  </si>
  <si>
    <t xml:space="preserve"> plot size of TB is: 39566940.86230698</t>
  </si>
  <si>
    <t xml:space="preserve"> plot size of REIT is: 29516741.063625183
</t>
  </si>
  <si>
    <t xml:space="preserve"> 29516741.063625183
</t>
  </si>
  <si>
    <t xml:space="preserve">collateral ratio is: 1.494779839530289
</t>
  </si>
  <si>
    <t xml:space="preserve"> 1.494779839530289
</t>
  </si>
  <si>
    <t>S_gtbcps_0 is: 1.0000012579936717</t>
  </si>
  <si>
    <t>change_of_collaterals is: -2.220446049250313e-16</t>
  </si>
  <si>
    <t xml:space="preserve">stdev_gtbcps is: 0.007710489680059194
</t>
  </si>
  <si>
    <t xml:space="preserve"> 0.007710489680059194
</t>
  </si>
  <si>
    <t>predicted price of GTBCPS is: 0.9999953444826614</t>
  </si>
  <si>
    <t xml:space="preserve"> actual price is: 1.0000012579936717
</t>
  </si>
  <si>
    <t xml:space="preserve"> 1.0000012579936717
</t>
  </si>
  <si>
    <t>predicted amount of GTBCPS is: 101190250.5764195</t>
  </si>
  <si>
    <t xml:space="preserve"> actual amount is: 101189652.18751137
</t>
  </si>
  <si>
    <t>plot sizes of gold is: 82172760.4124497</t>
  </si>
  <si>
    <t xml:space="preserve"> plot sizes of tb is: 39566940.86230698 </t>
  </si>
  <si>
    <t xml:space="preserve"> plot sizes of reit is: 29516741.063625183</t>
  </si>
  <si>
    <t xml:space="preserve"> plot sizes of total is: 151256442.33838186.
</t>
  </si>
  <si>
    <t xml:space="preserve"> 151256442.33838186.
</t>
  </si>
  <si>
    <t>predicted stdevs of gold is: 0.009467118958628779</t>
  </si>
  <si>
    <t xml:space="preserve"> predicted stdevs of tb is: 0.001721127858375079</t>
  </si>
  <si>
    <t xml:space="preserve"> predicted stdevs of reit is: 0.010848832356862976</t>
  </si>
  <si>
    <t xml:space="preserve"> predicted stdevs of GTBCPS is: 0.007710489680059194.
</t>
  </si>
  <si>
    <t xml:space="preserve"> 0.007710489680059194.
</t>
  </si>
  <si>
    <t>total_value_of_collaterals is: 151256234.6071081</t>
  </si>
  <si>
    <t xml:space="preserve"> createdtionValue_gold is: 485.9279874860438</t>
  </si>
  <si>
    <t xml:space="preserve"> createdValue_tb is: 233.97907685951188</t>
  </si>
  <si>
    <t xml:space="preserve"> createdValue_reit is: 174.5472191379015
</t>
  </si>
  <si>
    <t xml:space="preserve"> 174.5472191379015
</t>
  </si>
  <si>
    <t>plotValue_gold_after_creation is: 82172118.12182954</t>
  </si>
  <si>
    <t xml:space="preserve"> plotValue_tb_after_creation  is: 39566678.26688752</t>
  </si>
  <si>
    <t xml:space="preserve"> plotValue_reit_after_creation  is: 29516543.764107533</t>
  </si>
  <si>
    <t xml:space="preserve">total_value_after_creation is: 151255340.15282458
</t>
  </si>
  <si>
    <t xml:space="preserve"> 151255340.15282458
</t>
  </si>
  <si>
    <t>total_amount_gtncps_before_creation is: 101189652.18751137</t>
  </si>
  <si>
    <t>creation_amount_gtbcps is: 598.3889081329107</t>
  </si>
  <si>
    <t xml:space="preserve">total_amount_gtbcps_new is: 101190250.5764195
</t>
  </si>
  <si>
    <t xml:space="preserve"> 101190250.5764195
</t>
  </si>
  <si>
    <t>payout of tranche of gold is: -156.3626326735938</t>
  </si>
  <si>
    <t xml:space="preserve"> payout of tranche of Treausry Bill Option is: -28.61634259508675</t>
  </si>
  <si>
    <t xml:space="preserve"> payout of tranche of Collar of REIT is: -22.752298510413848
</t>
  </si>
  <si>
    <t xml:space="preserve"> -22.752298510413848
</t>
  </si>
  <si>
    <t>Collateral size of tranche of gold is: 82172118.12182954</t>
  </si>
  <si>
    <t xml:space="preserve"> collateral size of tranche of Treausry Bill Option is: 39566678.26688752</t>
  </si>
  <si>
    <t xml:space="preserve"> collateral size of tranche of Collar of REIT is: 29516543.764107533
</t>
  </si>
  <si>
    <t xml:space="preserve"> 29516543.764107533
</t>
  </si>
  <si>
    <t>Collateral ratio of tranche of gold is: 0.8120642664633329</t>
  </si>
  <si>
    <t xml:space="preserve"> collateral ratio of tranche of Treausry Bill Option is: 0.3910168837993601</t>
  </si>
  <si>
    <t xml:space="preserve"> collateral ratio of tranche of Collar of REIT is: 0.2916966363796973
</t>
  </si>
  <si>
    <t xml:space="preserve"> 0.2916966363796973
</t>
  </si>
  <si>
    <t xml:space="preserve">date is: 2021-06-03 00:00:00
</t>
  </si>
  <si>
    <t xml:space="preserve"> 2021-06-03 00</t>
  </si>
  <si>
    <t>current price of gold is: 1870.76</t>
  </si>
  <si>
    <t xml:space="preserve"> predicted price of gold is: 1879.3498123295092
</t>
  </si>
  <si>
    <t xml:space="preserve"> 1879.3498123295092
</t>
  </si>
  <si>
    <t>current price of tb is: 98.32421875</t>
  </si>
  <si>
    <t xml:space="preserve"> current price of tb option is: 4.37081414516146</t>
  </si>
  <si>
    <t xml:space="preserve"> predicted price of tb is: 98.4578665623922
</t>
  </si>
  <si>
    <t xml:space="preserve"> 98.4578665623922
</t>
  </si>
  <si>
    <t>current price of reit is: 74.4</t>
  </si>
  <si>
    <t xml:space="preserve"> current price of reit option is: 6.172227945428077</t>
  </si>
  <si>
    <t xml:space="preserve"> predicted price of reit is: 74.92614084100289
</t>
  </si>
  <si>
    <t xml:space="preserve"> 74.92614084100289
</t>
  </si>
  <si>
    <t>value_ratio_gold_to_total is: 0.4339901597585324</t>
  </si>
  <si>
    <t xml:space="preserve"> risk_ratio_to_gold is: 0.7011689952482311</t>
  </si>
  <si>
    <t xml:space="preserve"> risk_ratio_to_gold_before is: 0.7056071705633866
</t>
  </si>
  <si>
    <t xml:space="preserve"> 0.7056071705633866
</t>
  </si>
  <si>
    <t>value_ratio_tb_to_total is: 0.22758263971253076</t>
  </si>
  <si>
    <t xml:space="preserve"> risk_ratio_tb_to_gold is: 0.21458126313441456</t>
  </si>
  <si>
    <t xml:space="preserve"> risk_ratio_tb_to_gold_before is: 0.2096073677367603
</t>
  </si>
  <si>
    <t xml:space="preserve"> 0.2096073677367603
</t>
  </si>
  <si>
    <t>value_ratio_reit_to_total is: 0.3384272005289369</t>
  </si>
  <si>
    <t xml:space="preserve"> risk_ratio_reit_to_gold is: 0.2116084383169102</t>
  </si>
  <si>
    <t xml:space="preserve"> risk_ratio_reit_to_gold_before is: 0.20761179005830246
</t>
  </si>
  <si>
    <t xml:space="preserve"> 0.20761179005830246
</t>
  </si>
  <si>
    <t>delta_gold is: 0.9802869449480711</t>
  </si>
  <si>
    <t xml:space="preserve"> delta_tb is: 0.9979598790932132</t>
  </si>
  <si>
    <t xml:space="preserve"> delta_reit is: 0.9956492139801075
</t>
  </si>
  <si>
    <t xml:space="preserve"> 0.9956492139801075
</t>
  </si>
  <si>
    <t>delta_gold_risk is: 0.9973978912660822</t>
  </si>
  <si>
    <t xml:space="preserve"> delta_tb_risk is: 1.0041119916514405</t>
  </si>
  <si>
    <t xml:space="preserve"> delta_reit_risk is: 1.0033095472332334
</t>
  </si>
  <si>
    <t xml:space="preserve"> 1.0033095472332334
</t>
  </si>
  <si>
    <t xml:space="preserve">collateral_ratio_tranche_gold is: 0.7981328272735118
</t>
  </si>
  <si>
    <t xml:space="preserve"> 0.7981328272735118
</t>
  </si>
  <si>
    <t xml:space="preserve">collateral_ratio_tranche_tb is: 0.39643612223655117
</t>
  </si>
  <si>
    <t xml:space="preserve"> 0.39643612223655117
</t>
  </si>
  <si>
    <t xml:space="preserve">collateral_ratio_tranche_reit is: 0.2952905934284749
</t>
  </si>
  <si>
    <t xml:space="preserve"> 0.2952905934284749
</t>
  </si>
  <si>
    <t>Total plot size is: 149426335.69104657</t>
  </si>
  <si>
    <t xml:space="preserve"> plot size of gold is: 80552254.63356031</t>
  </si>
  <si>
    <t xml:space="preserve"> plot size of TB is: 39485957.459343135</t>
  </si>
  <si>
    <t xml:space="preserve"> plot size of REIT is: 29388123.59814311
</t>
  </si>
  <si>
    <t xml:space="preserve"> 29388123.59814311
</t>
  </si>
  <si>
    <t xml:space="preserve">collateral ratio is: 1.4766939551981213
</t>
  </si>
  <si>
    <t xml:space="preserve"> 1.4766939551981213
</t>
  </si>
  <si>
    <t>S_gtbcps_0 is: 0.9999953444826614</t>
  </si>
  <si>
    <t xml:space="preserve">stdev_gtbcps is: 0.007516363382078948
</t>
  </si>
  <si>
    <t xml:space="preserve"> 0.007516363382078948
</t>
  </si>
  <si>
    <t>predicted price of GTBCPS is: 1.0000102168873797</t>
  </si>
  <si>
    <t xml:space="preserve"> actual price is: 0.9999953444826614
</t>
  </si>
  <si>
    <t xml:space="preserve"> 0.9999953444826614
</t>
  </si>
  <si>
    <t>predicted amount of GTBCPS is: 101188745.64943504</t>
  </si>
  <si>
    <t xml:space="preserve"> actual amount is: 101190250.5764195
</t>
  </si>
  <si>
    <t>plot sizes of gold is: 80552254.63356031</t>
  </si>
  <si>
    <t xml:space="preserve"> plot sizes of tb is: 39485957.459343135 </t>
  </si>
  <si>
    <t xml:space="preserve"> plot sizes of reit is: 29388123.59814311</t>
  </si>
  <si>
    <t xml:space="preserve"> plot sizes of total is: 149426335.69104657.
</t>
  </si>
  <si>
    <t xml:space="preserve"> 149426335.69104657.
</t>
  </si>
  <si>
    <t>predicted stdevs of gold is: 0.009174457061691775</t>
  </si>
  <si>
    <t xml:space="preserve"> predicted stdevs of tb is: 0.0017305696247193838</t>
  </si>
  <si>
    <t xml:space="preserve"> predicted stdevs of reit is: 0.010745369193499974</t>
  </si>
  <si>
    <t xml:space="preserve"> predicted stdevs of GTBCPS is: 0.007516363382078948.
</t>
  </si>
  <si>
    <t xml:space="preserve"> 0.007516363382078948.
</t>
  </si>
  <si>
    <t>total_value_of_collaterals is: 149426858.45805416</t>
  </si>
  <si>
    <t xml:space="preserve"> createdtionValue_gold is: -1198.0173420279948</t>
  </si>
  <si>
    <t xml:space="preserve"> createdValue_tb is: -587.2549787636372</t>
  </si>
  <si>
    <t xml:space="preserve"> createdValue_reit is: -437.0747401706853
</t>
  </si>
  <si>
    <t xml:space="preserve"> -437.0747401706853
</t>
  </si>
  <si>
    <t>plotValue_gold_after_creation is: 80553858.28454359</t>
  </si>
  <si>
    <t xml:space="preserve"> plotValue_tb_after_creation  is: 39486618.996800184</t>
  </si>
  <si>
    <t xml:space="preserve"> plotValue_reit_after_creation  is: 29388603.523771334</t>
  </si>
  <si>
    <t xml:space="preserve">total_value_after_creation is: 149429080.8051151
</t>
  </si>
  <si>
    <t xml:space="preserve"> 149429080.8051151
</t>
  </si>
  <si>
    <t>total_amount_gtncps_before_creation is: 101190250.5764195</t>
  </si>
  <si>
    <t>creation_amount_gtbcps is: -1504.9269844591618</t>
  </si>
  <si>
    <t xml:space="preserve">total_amount_gtbcps_new is: 101188745.64943504
</t>
  </si>
  <si>
    <t xml:space="preserve"> 101188745.64943504
</t>
  </si>
  <si>
    <t>payout of tranche of gold is: 405.6336412502058</t>
  </si>
  <si>
    <t xml:space="preserve"> payout of tranche of Treausry Bill Option is: 74.28247828524886</t>
  </si>
  <si>
    <t xml:space="preserve"> payout of tranche of Collar of REIT is: 42.85088805472292
</t>
  </si>
  <si>
    <t xml:space="preserve"> 42.85088805472292
</t>
  </si>
  <si>
    <t>Collateral size of tranche of gold is: 80553858.28454359</t>
  </si>
  <si>
    <t xml:space="preserve"> collateral size of tranche of Treausry Bill Option is: 39486618.996800184</t>
  </si>
  <si>
    <t xml:space="preserve"> collateral size of tranche of Collar of REIT is: 29388603.523771334
</t>
  </si>
  <si>
    <t xml:space="preserve"> 29388603.523771334
</t>
  </si>
  <si>
    <t>Collateral ratio of tranche of gold is: 0.7960553000352525</t>
  </si>
  <si>
    <t xml:space="preserve"> collateral ratio of tranche of Treausry Bill Option is: 0.390217588608128</t>
  </si>
  <si>
    <t xml:space="preserve"> collateral ratio of tranche of Collar of REIT is: 0.29042623275838564
</t>
  </si>
  <si>
    <t xml:space="preserve"> 0.29042623275838564
</t>
  </si>
  <si>
    <t xml:space="preserve">date is: 2021-06-04 00:00:00
</t>
  </si>
  <si>
    <t xml:space="preserve"> 2021-06-04 00</t>
  </si>
  <si>
    <t>current price of gold is: 1891.59</t>
  </si>
  <si>
    <t xml:space="preserve"> predicted price of gold is: 1891.2731469417927
</t>
  </si>
  <si>
    <t xml:space="preserve"> 1891.2731469417927
</t>
  </si>
  <si>
    <t>current price of tb is: 98.58203125</t>
  </si>
  <si>
    <t xml:space="preserve"> current price of tb option is: 4.3760418372306615</t>
  </si>
  <si>
    <t xml:space="preserve"> predicted price of tb is: 98.7102712285506
</t>
  </si>
  <si>
    <t xml:space="preserve"> 98.7102712285506
</t>
  </si>
  <si>
    <t>current price of reit is: 74.1</t>
  </si>
  <si>
    <t xml:space="preserve"> current price of reit option is: 6.260406339172462</t>
  </si>
  <si>
    <t xml:space="preserve"> predicted price of reit is: 74.7667789951604
</t>
  </si>
  <si>
    <t xml:space="preserve"> 74.7667789951604
</t>
  </si>
  <si>
    <t>value_ratio_gold_to_total is: -0.028507787637715706</t>
  </si>
  <si>
    <t xml:space="preserve"> risk_ratio_to_gold is: 0.706045086347328</t>
  </si>
  <si>
    <t xml:space="preserve"> risk_ratio_to_gold_before is: 0.7011689952482311
</t>
  </si>
  <si>
    <t xml:space="preserve"> 0.7011689952482311
</t>
  </si>
  <si>
    <t>value_ratio_tb_to_total is: 0.40525759855765536</t>
  </si>
  <si>
    <t xml:space="preserve"> risk_ratio_tb_to_gold is: 0.21228448200037683</t>
  </si>
  <si>
    <t xml:space="preserve"> risk_ratio_tb_to_gold_before is: 0.21458126313441456
</t>
  </si>
  <si>
    <t xml:space="preserve"> 0.21458126313441456
</t>
  </si>
  <si>
    <t>value_ratio_reit_to_total is: 0.6232501890800604</t>
  </si>
  <si>
    <t xml:space="preserve"> risk_ratio_reit_to_gold is: 0.20405566303685577</t>
  </si>
  <si>
    <t xml:space="preserve"> risk_ratio_reit_to_gold_before is: 0.2116084383169102
</t>
  </si>
  <si>
    <t xml:space="preserve"> 0.2116084383169102
</t>
  </si>
  <si>
    <t>delta_gold is: 1.0111345121768693</t>
  </si>
  <si>
    <t xml:space="preserve"> delta_tb is: 1.0025613721000288</t>
  </si>
  <si>
    <t xml:space="preserve"> delta_reit is: 0.9973710345157751
</t>
  </si>
  <si>
    <t xml:space="preserve"> 0.9973710345157751
</t>
  </si>
  <si>
    <t>delta_gold_risk is: 1.0028663178747774</t>
  </si>
  <si>
    <t xml:space="preserve"> delta_tb_risk is: 0.9981089934418134</t>
  </si>
  <si>
    <t xml:space="preserve"> delta_reit_risk is: 0.9937663233094132
</t>
  </si>
  <si>
    <t xml:space="preserve"> 0.9937663233094132
</t>
  </si>
  <si>
    <t xml:space="preserve">collateral_ratio_tranche_gold is: 0.8026184279203825
</t>
  </si>
  <si>
    <t xml:space="preserve"> 0.8026184279203825
</t>
  </si>
  <si>
    <t xml:space="preserve">collateral_ratio_tranche_tb is: 0.3876420713605201
</t>
  </si>
  <si>
    <t xml:space="preserve"> 0.3876420713605201
</t>
  </si>
  <si>
    <t xml:space="preserve">collateral_ratio_tranche_reit is: 0.28826995709614
</t>
  </si>
  <si>
    <t xml:space="preserve"> 0.28826995709614
</t>
  </si>
  <si>
    <t>Total plot size is: 150349887.02100748</t>
  </si>
  <si>
    <t xml:space="preserve"> plot size of gold is: 81450786.20050664</t>
  </si>
  <si>
    <t xml:space="preserve"> plot size of TB is: 39587758.921023056</t>
  </si>
  <si>
    <t xml:space="preserve"> plot size of REIT is: 29311341.89947777
</t>
  </si>
  <si>
    <t xml:space="preserve"> 29311341.89947777
</t>
  </si>
  <si>
    <t xml:space="preserve">collateral ratio is: 1.4858208782399087
</t>
  </si>
  <si>
    <t xml:space="preserve"> 1.4858208782399087
</t>
  </si>
  <si>
    <t>S_gtbcps_0 is: 1.0000102168873797</t>
  </si>
  <si>
    <t xml:space="preserve">stdev_gtbcps is: 0.0076039224056334235
</t>
  </si>
  <si>
    <t xml:space="preserve"> 0.0076039224056334235
</t>
  </si>
  <si>
    <t>predicted price of GTBCPS is: 1.000030224587301</t>
  </si>
  <si>
    <t xml:space="preserve"> actual price is: 1.0000102168873797
</t>
  </si>
  <si>
    <t xml:space="preserve"> 1.0000102168873797
</t>
  </si>
  <si>
    <t>predicted amount of GTBCPS is: 101186721.15656614</t>
  </si>
  <si>
    <t xml:space="preserve"> actual amount is: 101188745.64943504
</t>
  </si>
  <si>
    <t>plot sizes of gold is: 81450786.20050664</t>
  </si>
  <si>
    <t xml:space="preserve"> plot sizes of tb is: 39587758.921023056 </t>
  </si>
  <si>
    <t xml:space="preserve"> plot sizes of reit is: 29311341.89947777</t>
  </si>
  <si>
    <t xml:space="preserve"> plot sizes of total is: 150349887.02100748.
</t>
  </si>
  <si>
    <t xml:space="preserve"> 150349887.02100748.
</t>
  </si>
  <si>
    <t>predicted stdevs of gold is: 0.009374187758287484</t>
  </si>
  <si>
    <t xml:space="preserve"> predicted stdevs of tb is: 0.001749120920337171</t>
  </si>
  <si>
    <t xml:space="preserve"> predicted stdevs of reit is: 0.010592150146060622</t>
  </si>
  <si>
    <t xml:space="preserve"> predicted stdevs of GTBCPS is: 0.0076039224056334235.
</t>
  </si>
  <si>
    <t xml:space="preserve"> 0.0076039224056334235.
</t>
  </si>
  <si>
    <t>total_value_of_collaterals is: 150350589.5397477</t>
  </si>
  <si>
    <t xml:space="preserve"> createdtionValue_gold is: -1629.6360650189977</t>
  </si>
  <si>
    <t xml:space="preserve"> createdValue_tb is: -792.054598679493</t>
  </si>
  <si>
    <t xml:space="preserve"> createdValue_reit is: -586.4480809812818
</t>
  </si>
  <si>
    <t xml:space="preserve"> -586.4480809812818
</t>
  </si>
  <si>
    <t>plotValue_gold_after_creation is: 81452906.95636158</t>
  </si>
  <si>
    <t xml:space="preserve"> plotValue_tb_after_creation  is: 39588685.42213255</t>
  </si>
  <si>
    <t xml:space="preserve"> plotValue_reit_after_creation  is: 29312005.299998246</t>
  </si>
  <si>
    <t xml:space="preserve">total_value_after_creation is: 150353597.67849237
</t>
  </si>
  <si>
    <t xml:space="preserve"> 150353597.67849237
</t>
  </si>
  <si>
    <t>total_amount_gtncps_before_creation is: 101188745.64943504</t>
  </si>
  <si>
    <t>creation_amount_gtbcps is: -2024.492868900299</t>
  </si>
  <si>
    <t xml:space="preserve">total_amount_gtbcps_new is: 101186721.15656614
</t>
  </si>
  <si>
    <t xml:space="preserve"> 101186721.15656614
</t>
  </si>
  <si>
    <t>payout of tranche of gold is: 491.1197899134227</t>
  </si>
  <si>
    <t xml:space="preserve"> payout of tranche of Treausry Bill Option is: 134.44651081051873</t>
  </si>
  <si>
    <t xml:space="preserve"> payout of tranche of Collar of REIT is: 76.95243949391937
</t>
  </si>
  <si>
    <t xml:space="preserve"> 76.95243949391937
</t>
  </si>
  <si>
    <t>Collateral size of tranche of gold is: 81452906.95636158</t>
  </si>
  <si>
    <t xml:space="preserve"> collateral size of tranche of Treausry Bill Option is: 39588685.42213255</t>
  </si>
  <si>
    <t xml:space="preserve"> collateral size of tranche of Collar of REIT is: 29312005.299998246
</t>
  </si>
  <si>
    <t xml:space="preserve"> 29312005.299998246
</t>
  </si>
  <si>
    <t>Collateral ratio of tranche of gold is: 0.8049358120561522</t>
  </si>
  <si>
    <t xml:space="preserve"> collateral ratio of tranche of Treausry Bill Option is: 0.39122422807539853</t>
  </si>
  <si>
    <t xml:space="preserve"> collateral ratio of tranche of Collar of REIT is: 0.289667780694297
</t>
  </si>
  <si>
    <t xml:space="preserve"> 0.289667780694297
</t>
  </si>
  <si>
    <t xml:space="preserve">date is: 2021-06-07 00:00:00
</t>
  </si>
  <si>
    <t xml:space="preserve"> 2021-06-07 00</t>
  </si>
  <si>
    <t>current price of gold is: 1899.21</t>
  </si>
  <si>
    <t xml:space="preserve"> predicted price of gold is: 1896.9537084815636
</t>
  </si>
  <si>
    <t xml:space="preserve"> 1896.9537084815636
</t>
  </si>
  <si>
    <t xml:space="preserve"> current price of tb option is: 4.3753207594318395</t>
  </si>
  <si>
    <t xml:space="preserve"> predicted price of tb is: 98.65242335724497
</t>
  </si>
  <si>
    <t xml:space="preserve"> 98.65242335724497
</t>
  </si>
  <si>
    <t xml:space="preserve"> current price of reit option is: 6.244554885045304</t>
  </si>
  <si>
    <t xml:space="preserve"> predicted price of reit is: 74.95282144781319
</t>
  </si>
  <si>
    <t xml:space="preserve"> 74.95282144781319
</t>
  </si>
  <si>
    <t>value_ratio_gold_to_total is: -0.24806975439471124</t>
  </si>
  <si>
    <t xml:space="preserve"> risk_ratio_to_gold is: 0.7056523137619252</t>
  </si>
  <si>
    <t xml:space="preserve"> risk_ratio_to_gold_before is: 0.706045086347328
</t>
  </si>
  <si>
    <t xml:space="preserve"> 0.706045086347328
</t>
  </si>
  <si>
    <t>value_ratio_tb_to_total is: 0.49522955122917955</t>
  </si>
  <si>
    <t xml:space="preserve"> risk_ratio_tb_to_gold is: 0.21183491128384196</t>
  </si>
  <si>
    <t xml:space="preserve"> risk_ratio_tb_to_gold_before is: 0.21228448200037683
</t>
  </si>
  <si>
    <t xml:space="preserve"> 0.21228448200037683
</t>
  </si>
  <si>
    <t>value_ratio_reit_to_total is: 0.7528402031655317</t>
  </si>
  <si>
    <t xml:space="preserve"> risk_ratio_reit_to_gold is: 0.2052935817396821</t>
  </si>
  <si>
    <t xml:space="preserve"> risk_ratio_reit_to_gold_before is: 0.20405566303685577
</t>
  </si>
  <si>
    <t xml:space="preserve"> 0.20405566303685577
</t>
  </si>
  <si>
    <t>delta_gold is: 1.004028357096411</t>
  </si>
  <si>
    <t xml:space="preserve"> delta_tb is: 0.9994238933769811</t>
  </si>
  <si>
    <t xml:space="preserve"> delta_reit is: 1.0029137302378062
</t>
  </si>
  <si>
    <t xml:space="preserve"> 1.0029137302378062
</t>
  </si>
  <si>
    <t>delta_gold_risk is: 0.9997697759639848</t>
  </si>
  <si>
    <t xml:space="preserve"> delta_tb_risk is: 0.9996291541109287</t>
  </si>
  <si>
    <t xml:space="preserve"> delta_reit_risk is: 1.0010281241481014
</t>
  </si>
  <si>
    <t xml:space="preserve"> 1.0010281241481014
</t>
  </si>
  <si>
    <t xml:space="preserve">collateral_ratio_tranche_gold is: 0.8083644858813149
</t>
  </si>
  <si>
    <t xml:space="preserve"> 0.8083644858813149
</t>
  </si>
  <si>
    <t xml:space="preserve">collateral_ratio_tranche_tb is: 0.3895745499094219
</t>
  </si>
  <si>
    <t xml:space="preserve"> 0.3895745499094219
</t>
  </si>
  <si>
    <t xml:space="preserve">collateral_ratio_tranche_reit is: 0.28904902634511637
</t>
  </si>
  <si>
    <t xml:space="preserve"> 0.28904902634511637
</t>
  </si>
  <si>
    <t>Total plot size is: 150744319.04655838</t>
  </si>
  <si>
    <t xml:space="preserve"> plot size of gold is: 81781028.35212255</t>
  </si>
  <si>
    <t xml:space="preserve"> plot size of TB is: 39565878.11826425</t>
  </si>
  <si>
    <t xml:space="preserve"> plot size of REIT is: 29397412.576171584
</t>
  </si>
  <si>
    <t xml:space="preserve"> 29397412.576171584
</t>
  </si>
  <si>
    <t xml:space="preserve">collateral ratio is: 1.4897188215654538
</t>
  </si>
  <si>
    <t xml:space="preserve"> 1.4897188215654538
</t>
  </si>
  <si>
    <t>S_gtbcps_0 is: 1.000030224587301</t>
  </si>
  <si>
    <t xml:space="preserve">stdev_gtbcps is: 0.007568879489091185
</t>
  </si>
  <si>
    <t xml:space="preserve"> 0.007568879489091185
</t>
  </si>
  <si>
    <t>predicted price of GTBCPS is: 1.0000236129047808</t>
  </si>
  <si>
    <t xml:space="preserve"> actual price is: 1.000030224587301
</t>
  </si>
  <si>
    <t xml:space="preserve"> 1.000030224587301
</t>
  </si>
  <si>
    <t>predicted amount of GTBCPS is: 101187390.15524468</t>
  </si>
  <si>
    <t xml:space="preserve"> actual amount is: 101186721.15656614
</t>
  </si>
  <si>
    <t>plot sizes of gold is: 81781028.35212255</t>
  </si>
  <si>
    <t xml:space="preserve"> plot sizes of tb is: 39565878.11826425 </t>
  </si>
  <si>
    <t xml:space="preserve"> plot sizes of reit is: 29397412.576171584</t>
  </si>
  <si>
    <t xml:space="preserve"> plot sizes of total is: 150744319.04655838.
</t>
  </si>
  <si>
    <t xml:space="preserve"> 150744319.04655838.
</t>
  </si>
  <si>
    <t>predicted stdevs of gold is: 0.009307425055404587</t>
  </si>
  <si>
    <t xml:space="preserve"> predicted stdevs of tb is: 0.0017345363285967243</t>
  </si>
  <si>
    <t xml:space="preserve"> predicted stdevs of reit is: 0.010584820633856568</t>
  </si>
  <si>
    <t xml:space="preserve"> predicted stdevs of GTBCPS is: 0.007568879489091185.
</t>
  </si>
  <si>
    <t xml:space="preserve"> 0.007568879489091185.
</t>
  </si>
  <si>
    <t>total_value_of_collaterals is: 150744086.83377472</t>
  </si>
  <si>
    <t xml:space="preserve"> createdtionValue_gold is: 540.6926535554742</t>
  </si>
  <si>
    <t xml:space="preserve"> createdValue_tb is: 261.58890507296104</t>
  </si>
  <si>
    <t xml:space="preserve"> createdValue_reit is: 194.36036220844807
</t>
  </si>
  <si>
    <t xml:space="preserve"> 194.36036220844807
</t>
  </si>
  <si>
    <t>plotValue_gold_after_creation is: 81780306.18313253</t>
  </si>
  <si>
    <t xml:space="preserve"> plotValue_tb_after_creation  is: 39565584.27473118</t>
  </si>
  <si>
    <t xml:space="preserve"> plotValue_reit_after_creation  is: 29397199.73399017</t>
  </si>
  <si>
    <t xml:space="preserve">total_value_after_creation is: 150743090.19185388
</t>
  </si>
  <si>
    <t xml:space="preserve"> 150743090.19185388
</t>
  </si>
  <si>
    <t>total_amount_gtncps_before_creation is: 101186721.15656614</t>
  </si>
  <si>
    <t>creation_amount_gtbcps is: 668.998678535223</t>
  </si>
  <si>
    <t xml:space="preserve">total_amount_gtbcps_new is: 101187390.15524468
</t>
  </si>
  <si>
    <t xml:space="preserve"> 101187390.15524468
</t>
  </si>
  <si>
    <t>payout of tranche of gold is: -181.47633646389355</t>
  </si>
  <si>
    <t xml:space="preserve"> payout of tranche of Treausry Bill Option is: -32.2546279985087</t>
  </si>
  <si>
    <t xml:space="preserve"> payout of tranche of Collar of REIT is: -18.481819205433002
</t>
  </si>
  <si>
    <t xml:space="preserve"> -18.481819205433002
</t>
  </si>
  <si>
    <t>Collateral size of tranche of gold is: 81780306.18313253</t>
  </si>
  <si>
    <t xml:space="preserve"> collateral size of tranche of Treausry Bill Option is: 39565584.27473118</t>
  </si>
  <si>
    <t xml:space="preserve"> collateral size of tranche of Collar of REIT is: 29397199.73399017
</t>
  </si>
  <si>
    <t xml:space="preserve"> 29397199.73399017
</t>
  </si>
  <si>
    <t>Collateral ratio of tranche of gold is: 0.8081927571465742</t>
  </si>
  <si>
    <t xml:space="preserve"> collateral ratio of tranche of Treausry Bill Option is: 0.391006345360265</t>
  </si>
  <si>
    <t xml:space="preserve"> collateral ratio of tranche of Collar of REIT is: 0.29051742423412874
</t>
  </si>
  <si>
    <t xml:space="preserve"> 0.29051742423412874
</t>
  </si>
  <si>
    <t xml:space="preserve">date is: 2021-06-08 00:00:00
</t>
  </si>
  <si>
    <t xml:space="preserve"> 2021-06-08 00</t>
  </si>
  <si>
    <t>current price of gold is: 1892.89</t>
  </si>
  <si>
    <t xml:space="preserve"> predicted price of gold is: 1889.680329697413
</t>
  </si>
  <si>
    <t xml:space="preserve"> 1889.680329697413
</t>
  </si>
  <si>
    <t>current price of tb is: 98.59375</t>
  </si>
  <si>
    <t xml:space="preserve"> current price of tb option is: 4.37841268448927</t>
  </si>
  <si>
    <t xml:space="preserve"> predicted price of tb is: 98.71953720355204
</t>
  </si>
  <si>
    <t xml:space="preserve"> 98.71953720355204
</t>
  </si>
  <si>
    <t>current price of reit is: 75.75</t>
  </si>
  <si>
    <t xml:space="preserve"> current price of reit option is: 6.223983133165433</t>
  </si>
  <si>
    <t xml:space="preserve"> predicted price of reit is: 76.39393703348246
</t>
  </si>
  <si>
    <t xml:space="preserve"> 76.39393703348246
</t>
  </si>
  <si>
    <t>value_ratio_gold_to_total is: -0.39322389724486845</t>
  </si>
  <si>
    <t xml:space="preserve"> risk_ratio_to_gold is: 0.7052086455524563</t>
  </si>
  <si>
    <t xml:space="preserve"> risk_ratio_to_gold_before is: 0.7056523137619252
</t>
  </si>
  <si>
    <t xml:space="preserve"> 0.7056523137619252
</t>
  </si>
  <si>
    <t>value_ratio_tb_to_total is: 0.5518196160265846</t>
  </si>
  <si>
    <t xml:space="preserve"> risk_ratio_tb_to_gold is: 0.21067439069183824</t>
  </si>
  <si>
    <t xml:space="preserve"> risk_ratio_tb_to_gold_before is: 0.21183491128384196
</t>
  </si>
  <si>
    <t xml:space="preserve"> 0.21183491128384196
</t>
  </si>
  <si>
    <t>value_ratio_reit_to_total is: 0.8414042812182839</t>
  </si>
  <si>
    <t xml:space="preserve"> risk_ratio_reit_to_gold is: 0.20734566097188745</t>
  </si>
  <si>
    <t xml:space="preserve"> risk_ratio_reit_to_gold_before is: 0.2052935817396821
</t>
  </si>
  <si>
    <t xml:space="preserve"> 0.2052935817396821
</t>
  </si>
  <si>
    <t>delta_gold is: 0.9966723005881393</t>
  </si>
  <si>
    <t xml:space="preserve"> delta_tb is: 1.0007133655089633</t>
  </si>
  <si>
    <t xml:space="preserve"> delta_reit is: 1.0171156506799703
</t>
  </si>
  <si>
    <t xml:space="preserve"> 1.0171156506799703
</t>
  </si>
  <si>
    <t>delta_gold_risk is: 0.9997398835589826</t>
  </si>
  <si>
    <t xml:space="preserve"> delta_tb_risk is: 0.9990423443150567</t>
  </si>
  <si>
    <t xml:space="preserve"> delta_reit_risk is: 1.0017025555128598
</t>
  </si>
  <si>
    <t xml:space="preserve"> 1.0017025555128598
</t>
  </si>
  <si>
    <t xml:space="preserve">collateral_ratio_tranche_gold is: 0.8057129137595563
</t>
  </si>
  <si>
    <t xml:space="preserve"> 0.8057129137595563
</t>
  </si>
  <si>
    <t xml:space="preserve">collateral_ratio_tranche_tb is: 0.3929680310488735
</t>
  </si>
  <si>
    <t xml:space="preserve"> 0.3929680310488735
</t>
  </si>
  <si>
    <t xml:space="preserve">collateral_ratio_tranche_reit is: 0.2959724937359143
</t>
  </si>
  <si>
    <t xml:space="preserve"> 0.2959724937359143
</t>
  </si>
  <si>
    <t>Total plot size is: 151002326.83984634</t>
  </si>
  <si>
    <t xml:space="preserve"> plot size of gold is: 81508165.90634513</t>
  </si>
  <si>
    <t xml:space="preserve"> plot size of TB is: 39593808.99789476</t>
  </si>
  <si>
    <t xml:space="preserve"> plot size of REIT is: 29900351.93560646
</t>
  </si>
  <si>
    <t xml:space="preserve"> 29900351.93560646
</t>
  </si>
  <si>
    <t xml:space="preserve">collateral ratio is: 1.4922685631955375
</t>
  </si>
  <si>
    <t xml:space="preserve"> 1.4922685631955375
</t>
  </si>
  <si>
    <t>S_gtbcps_0 is: 1.0000236129047808</t>
  </si>
  <si>
    <t xml:space="preserve">stdev_gtbcps is: 0.007576875793362854
</t>
  </si>
  <si>
    <t xml:space="preserve"> 0.007576875793362854
</t>
  </si>
  <si>
    <t>predicted price of GTBCPS is: 1.0000156451260234</t>
  </si>
  <si>
    <t xml:space="preserve"> actual price is: 1.0000236129047808
</t>
  </si>
  <si>
    <t xml:space="preserve"> 1.0000236129047808
</t>
  </si>
  <si>
    <t>predicted amount of GTBCPS is: 101188196.38136898</t>
  </si>
  <si>
    <t xml:space="preserve"> actual amount is: 101187390.15524468
</t>
  </si>
  <si>
    <t>plot sizes of gold is: 81508165.90634513</t>
  </si>
  <si>
    <t xml:space="preserve"> plot sizes of tb is: 39593808.99789476 </t>
  </si>
  <si>
    <t xml:space="preserve"> plot sizes of reit is: 29900351.93560646</t>
  </si>
  <si>
    <t xml:space="preserve"> plot sizes of total is: 151002326.83984634.
</t>
  </si>
  <si>
    <t xml:space="preserve"> 151002326.83984634.
</t>
  </si>
  <si>
    <t>predicted stdevs of gold is: 0.009313568032386529</t>
  </si>
  <si>
    <t xml:space="preserve"> predicted stdevs of tb is: 0.0017296617756553168</t>
  </si>
  <si>
    <t xml:space="preserve"> predicted stdevs of reit is: 0.0105854984354661</t>
  </si>
  <si>
    <t xml:space="preserve"> predicted stdevs of GTBCPS is: 0.007576875793362854.
</t>
  </si>
  <si>
    <t xml:space="preserve"> 0.007576875793362854.
</t>
  </si>
  <si>
    <t>total_value_of_collaterals is: 151002047.17163157</t>
  </si>
  <si>
    <t xml:space="preserve"> createdtionValue_gold is: 649.4221471794043</t>
  </si>
  <si>
    <t xml:space="preserve"> createdValue_tb is: 315.4668356820417</t>
  </si>
  <si>
    <t xml:space="preserve"> createdValue_reit is: 238.23351172232128
</t>
  </si>
  <si>
    <t xml:space="preserve"> 238.23351172232128
</t>
  </si>
  <si>
    <t>plotValue_gold_after_creation is: 81507321.8311149</t>
  </si>
  <si>
    <t xml:space="preserve"> plotValue_tb_after_creation  is: 39593440.12928524</t>
  </si>
  <si>
    <t xml:space="preserve"> plotValue_reit_after_creation  is: 29900082.088736836</t>
  </si>
  <si>
    <t xml:space="preserve">total_value_after_creation is: 151000844.04913697
</t>
  </si>
  <si>
    <t xml:space="preserve"> 151000844.04913697
</t>
  </si>
  <si>
    <t>total_amount_gtncps_before_creation is: 101187390.15524468</t>
  </si>
  <si>
    <t>creation_amount_gtbcps is: 806.2261243015528</t>
  </si>
  <si>
    <t xml:space="preserve">total_amount_gtbcps_new is: 101188196.38136898
</t>
  </si>
  <si>
    <t xml:space="preserve"> 101188196.38136898
</t>
  </si>
  <si>
    <t>payout of tranche of gold is: -194.6530830479011</t>
  </si>
  <si>
    <t xml:space="preserve"> payout of tranche of Treausry Bill Option is: -53.40177383127877</t>
  </si>
  <si>
    <t xml:space="preserve"> payout of tranche of Collar of REIT is: -31.613357902352195
</t>
  </si>
  <si>
    <t xml:space="preserve"> -31.613357902352195
</t>
  </si>
  <si>
    <t>Collateral size of tranche of gold is: 81507321.8311149</t>
  </si>
  <si>
    <t xml:space="preserve"> collateral size of tranche of Treausry Bill Option is: 39593440.12928524</t>
  </si>
  <si>
    <t xml:space="preserve"> collateral size of tranche of Collar of REIT is: 29900082.088736836
</t>
  </si>
  <si>
    <t xml:space="preserve"> 29900082.088736836
</t>
  </si>
  <si>
    <t>Collateral ratio of tranche of gold is: 0.8054960853688813</t>
  </si>
  <si>
    <t xml:space="preserve"> collateral ratio of tranche of Treausry Bill Option is: 0.3912821610861925</t>
  </si>
  <si>
    <t xml:space="preserve"> collateral ratio of tranche of Collar of REIT is: 0.29548755294142987
</t>
  </si>
  <si>
    <t xml:space="preserve"> 0.29548755294142987
</t>
  </si>
  <si>
    <t xml:space="preserve">date is: 2021-06-09 00:00:00
</t>
  </si>
  <si>
    <t xml:space="preserve"> 2021-06-09 00</t>
  </si>
  <si>
    <t>current price of gold is: 1888.57</t>
  </si>
  <si>
    <t xml:space="preserve"> predicted price of gold is: 1888.6025033729318
</t>
  </si>
  <si>
    <t xml:space="preserve"> 1888.6025033729318
</t>
  </si>
  <si>
    <t>current price of tb is: 98.69140625</t>
  </si>
  <si>
    <t xml:space="preserve"> current price of tb option is: 4.380680311698251</t>
  </si>
  <si>
    <t xml:space="preserve"> predicted price of tb is: 98.81484764260979
</t>
  </si>
  <si>
    <t xml:space="preserve"> 98.81484764260979
</t>
  </si>
  <si>
    <t xml:space="preserve"> current price of reit option is: 6.257872410847398</t>
  </si>
  <si>
    <t xml:space="preserve"> predicted price of reit is: 76.34393479610694
</t>
  </si>
  <si>
    <t xml:space="preserve"> 76.34393479610694
</t>
  </si>
  <si>
    <t>value_ratio_gold_to_total is: 0.0028540691221348178</t>
  </si>
  <si>
    <t xml:space="preserve"> risk_ratio_to_gold is: 0.6808963942275209</t>
  </si>
  <si>
    <t xml:space="preserve"> risk_ratio_to_gold_before is: 0.7052086455524563
</t>
  </si>
  <si>
    <t xml:space="preserve"> 0.7052086455524563
</t>
  </si>
  <si>
    <t>value_ratio_tb_to_total is: 0.39549971338541723</t>
  </si>
  <si>
    <t xml:space="preserve"> risk_ratio_tb_to_gold is: 0.23655135884663095</t>
  </si>
  <si>
    <t xml:space="preserve"> risk_ratio_tb_to_gold_before is: 0.21067439069183824
</t>
  </si>
  <si>
    <t xml:space="preserve"> 0.21067439069183824
</t>
  </si>
  <si>
    <t>value_ratio_reit_to_total is: 0.601646217492448</t>
  </si>
  <si>
    <t xml:space="preserve"> risk_ratio_reit_to_gold is: 0.2321008597254809</t>
  </si>
  <si>
    <t xml:space="preserve"> risk_ratio_reit_to_gold_before is: 0.20734566097188745
</t>
  </si>
  <si>
    <t xml:space="preserve"> 0.20734566097188745
</t>
  </si>
  <si>
    <t>delta_gold is: 0.9977177754650296</t>
  </si>
  <si>
    <t xml:space="preserve"> delta_tb is: 1.0009703969947215</t>
  </si>
  <si>
    <t xml:space="preserve"> delta_reit is: 1.0004134150420252
</t>
  </si>
  <si>
    <t xml:space="preserve"> 1.0004134150420252
</t>
  </si>
  <si>
    <t>delta_gold_risk is: 0.9857423598054428</t>
  </si>
  <si>
    <t xml:space="preserve"> delta_tb_risk is: 1.0213740113392549</t>
  </si>
  <si>
    <t xml:space="preserve"> delta_reit_risk is: 1.020503820532776
</t>
  </si>
  <si>
    <t xml:space="preserve"> 1.020503820532776
</t>
  </si>
  <si>
    <t xml:space="preserve">collateral_ratio_tranche_gold is: 0.8152817563796779
</t>
  </si>
  <si>
    <t xml:space="preserve"> 0.8152817563796779
</t>
  </si>
  <si>
    <t xml:space="preserve">collateral_ratio_tranche_tb is: 0.3843428173461449
</t>
  </si>
  <si>
    <t xml:space="preserve"> 0.3843428173461449
</t>
  </si>
  <si>
    <t xml:space="preserve">collateral_ratio_tranche_reit is: 0.29033296783036355
</t>
  </si>
  <si>
    <t xml:space="preserve"> 0.29033296783036355
</t>
  </si>
  <si>
    <t>Total plot size is: 150865608.5384797</t>
  </si>
  <si>
    <t xml:space="preserve"> plot size of gold is: 81321303.8214522</t>
  </si>
  <si>
    <t xml:space="preserve"> plot size of TB is: 39631861.48459738</t>
  </si>
  <si>
    <t xml:space="preserve"> plot size of REIT is: 29912443.232430108
</t>
  </si>
  <si>
    <t xml:space="preserve"> 29912443.232430108
</t>
  </si>
  <si>
    <t xml:space="preserve">collateral ratio is: 1.4909174553853954
</t>
  </si>
  <si>
    <t xml:space="preserve"> 1.4909174553853954
</t>
  </si>
  <si>
    <t>S_gtbcps_0 is: 1.0000156451260234</t>
  </si>
  <si>
    <t xml:space="preserve">stdev_gtbcps is: 0.007208948503825174
</t>
  </si>
  <si>
    <t xml:space="preserve"> 0.007208948503825174
</t>
  </si>
  <si>
    <t>predicted price of GTBCPS is: 1.0000220620703912</t>
  </si>
  <si>
    <t xml:space="preserve"> actual price is: 1.0000156451260234
</t>
  </si>
  <si>
    <t xml:space="preserve"> 1.0000156451260234
</t>
  </si>
  <si>
    <t>predicted amount of GTBCPS is: 101187547.07666712</t>
  </si>
  <si>
    <t xml:space="preserve"> actual amount is: 101188196.38136898
</t>
  </si>
  <si>
    <t>plot sizes of gold is: 81321303.8214522</t>
  </si>
  <si>
    <t xml:space="preserve"> plot sizes of tb is: 39631861.48459738 </t>
  </si>
  <si>
    <t xml:space="preserve"> plot sizes of reit is: 29912443.232430108</t>
  </si>
  <si>
    <t xml:space="preserve"> plot sizes of total is: 150865608.5384797.
</t>
  </si>
  <si>
    <t xml:space="preserve"> 150865608.5384797.
</t>
  </si>
  <si>
    <t>predicted stdevs of gold is: 0.008662148502251898</t>
  </si>
  <si>
    <t xml:space="preserve"> predicted stdevs of tb is: 0.0017296003222861168</t>
  </si>
  <si>
    <t xml:space="preserve"> predicted stdevs of reit is: 0.010517961037576724</t>
  </si>
  <si>
    <t xml:space="preserve"> predicted stdevs of GTBCPS is: 0.007208948503825174.
</t>
  </si>
  <si>
    <t xml:space="preserve"> 0.007208948503825174.
</t>
  </si>
  <si>
    <t>total_value_of_collaterals is: 150865832.7639497</t>
  </si>
  <si>
    <t xml:space="preserve"> createdtionValue_gold is: -521.8272414659457</t>
  </si>
  <si>
    <t xml:space="preserve"> createdValue_tb is: -254.31166988748367</t>
  </si>
  <si>
    <t xml:space="preserve"> createdValue_reit is: -191.94359874189757
</t>
  </si>
  <si>
    <t xml:space="preserve"> -191.94359874189757
</t>
  </si>
  <si>
    <t>plotValue_gold_after_creation is: 81322000.6492506</t>
  </si>
  <si>
    <t xml:space="preserve"> plotValue_tb_after_creation  is: 39632146.69591294</t>
  </si>
  <si>
    <t xml:space="preserve"> plotValue_reit_after_creation  is: 29912653.50129626</t>
  </si>
  <si>
    <t xml:space="preserve">total_value_after_creation is: 150866800.8464598
</t>
  </si>
  <si>
    <t xml:space="preserve"> 150866800.8464598
</t>
  </si>
  <si>
    <t>total_amount_gtncps_before_creation is: 101188196.38136898</t>
  </si>
  <si>
    <t>creation_amount_gtbcps is: -649.3047018647194</t>
  </si>
  <si>
    <t xml:space="preserve">total_amount_gtbcps_new is: 101187547.07666712
</t>
  </si>
  <si>
    <t xml:space="preserve"> 101187547.07666712
</t>
  </si>
  <si>
    <t>payout of tranche of gold is: 175.00055692868722</t>
  </si>
  <si>
    <t xml:space="preserve"> payout of tranche of Treausry Bill Option is: 30.89964567666092</t>
  </si>
  <si>
    <t xml:space="preserve"> payout of tranche of Collar of REIT is: 18.325267408214778
</t>
  </si>
  <si>
    <t xml:space="preserve"> 18.325267408214778
</t>
  </si>
  <si>
    <t>Collateral size of tranche of gold is: 81322000.6492506</t>
  </si>
  <si>
    <t xml:space="preserve"> collateral size of tranche of Treausry Bill Option is: 39632146.69591294</t>
  </si>
  <si>
    <t xml:space="preserve"> collateral size of tranche of Collar of REIT is: 29912653.50129626
</t>
  </si>
  <si>
    <t xml:space="preserve"> 29912653.50129626
</t>
  </si>
  <si>
    <t>Collateral ratio of tranche of gold is: 0.8036530886531562</t>
  </si>
  <si>
    <t xml:space="preserve"> collateral ratio of tranche of Treausry Bill Option is: 0.3916590448813427</t>
  </si>
  <si>
    <t xml:space="preserve"> collateral ratio of tranche of Collar of REIT is: 0.29560753774138626
</t>
  </si>
  <si>
    <t xml:space="preserve"> 0.29560753774138626
</t>
  </si>
  <si>
    <t xml:space="preserve">date is: 2021-06-10 00:00:00
</t>
  </si>
  <si>
    <t xml:space="preserve"> 2021-06-10 00</t>
  </si>
  <si>
    <t>current price of gold is: 1898.51</t>
  </si>
  <si>
    <t xml:space="preserve"> predicted price of gold is: 1901.6527910525047
</t>
  </si>
  <si>
    <t xml:space="preserve"> 1901.6527910525047
</t>
  </si>
  <si>
    <t>current price of tb is: 98.85546875</t>
  </si>
  <si>
    <t xml:space="preserve"> current price of tb option is: 4.384468527238306</t>
  </si>
  <si>
    <t xml:space="preserve"> predicted price of tb is: 98.97499130507401
</t>
  </si>
  <si>
    <t xml:space="preserve"> 98.97499130507401
</t>
  </si>
  <si>
    <t>current price of reit is: 76.85</t>
  </si>
  <si>
    <t xml:space="preserve"> current price of reit option is: 6.253868341389349</t>
  </si>
  <si>
    <t xml:space="preserve"> predicted price of reit is: 77.33350488223687
</t>
  </si>
  <si>
    <t xml:space="preserve"> 77.33350488223687
</t>
  </si>
  <si>
    <t>value_ratio_gold_to_total is: 0.21848978783866568</t>
  </si>
  <si>
    <t xml:space="preserve"> risk_ratio_to_gold is: 0.6782698299019662</t>
  </si>
  <si>
    <t xml:space="preserve"> risk_ratio_to_gold_before is: 0.6808963942275209
</t>
  </si>
  <si>
    <t xml:space="preserve"> 0.6808963942275209
</t>
  </si>
  <si>
    <t>value_ratio_tb_to_total is: 0.31312169328514466</t>
  </si>
  <si>
    <t xml:space="preserve"> risk_ratio_tb_to_gold is: 0.23721631942939722</t>
  </si>
  <si>
    <t xml:space="preserve"> risk_ratio_tb_to_gold_before is: 0.23655135884663095
</t>
  </si>
  <si>
    <t xml:space="preserve"> 0.23655135884663095
</t>
  </si>
  <si>
    <t>value_ratio_reit_to_total is: 0.46838851887618965</t>
  </si>
  <si>
    <t xml:space="preserve"> risk_ratio_reit_to_gold is: 0.23712317779479036</t>
  </si>
  <si>
    <t xml:space="preserve"> risk_ratio_reit_to_gold_before is: 0.2321008597254809
</t>
  </si>
  <si>
    <t xml:space="preserve"> 0.2321008597254809
</t>
  </si>
  <si>
    <t>delta_gold is: 1.0052632415001828</t>
  </si>
  <si>
    <t xml:space="preserve"> delta_tb is: 1.0016284788747298</t>
  </si>
  <si>
    <t xml:space="preserve"> delta_reit is: 1.0133645209700255
</t>
  </si>
  <si>
    <t xml:space="preserve"> 1.0133645209700255
</t>
  </si>
  <si>
    <t>delta_gold_risk is: 0.9984374026057912</t>
  </si>
  <si>
    <t xml:space="preserve"> delta_tb_risk is: 1.00053775411592</t>
  </si>
  <si>
    <t xml:space="preserve"> delta_reit_risk is: 1.004076223167662
</t>
  </si>
  <si>
    <t xml:space="preserve"> 1.004076223167662
</t>
  </si>
  <si>
    <t xml:space="preserve">collateral_ratio_tranche_gold is: 0.8091472803729474
</t>
  </si>
  <si>
    <t xml:space="preserve"> 0.8091472803729474
</t>
  </si>
  <si>
    <t xml:space="preserve">collateral_ratio_tranche_tb is: 0.390033168737555
</t>
  </si>
  <si>
    <t xml:space="preserve"> 0.390033168737555
</t>
  </si>
  <si>
    <t xml:space="preserve">collateral_ratio_tranche_reit is: 0.29678005686031195
</t>
  </si>
  <si>
    <t xml:space="preserve"> 0.29678005686031195
</t>
  </si>
  <si>
    <t>Total plot size is: 151759126.57379648</t>
  </si>
  <si>
    <t xml:space="preserve"> plot size of gold is: 81750017.97794563</t>
  </si>
  <si>
    <t xml:space="preserve"> plot size of TB is: 39696686.80956743</t>
  </si>
  <si>
    <t xml:space="preserve"> plot size of REIT is: 30312421.78628344
</t>
  </si>
  <si>
    <t xml:space="preserve"> 30312421.78628344
</t>
  </si>
  <si>
    <t xml:space="preserve">collateral ratio is: 1.4997475767660127
</t>
  </si>
  <si>
    <t xml:space="preserve"> 1.4997475767660127
</t>
  </si>
  <si>
    <t>S_gtbcps_0 is: 1.0000220620703912</t>
  </si>
  <si>
    <t xml:space="preserve">stdev_gtbcps is: 0.007225156940712266
</t>
  </si>
  <si>
    <t xml:space="preserve"> 0.007225156940712266
</t>
  </si>
  <si>
    <t>predicted price of GTBCPS is: 1.000025141380866</t>
  </si>
  <si>
    <t xml:space="preserve"> actual price is: 1.0000220620703912
</t>
  </si>
  <si>
    <t xml:space="preserve"> 1.0000220620703912
</t>
  </si>
  <si>
    <t>predicted amount of GTBCPS is: 101187235.49662703</t>
  </si>
  <si>
    <t xml:space="preserve"> actual amount is: 101187547.07666712
</t>
  </si>
  <si>
    <t>plot sizes of gold is: 81750017.97794563</t>
  </si>
  <si>
    <t xml:space="preserve"> plot sizes of tb is: 39696686.80956743 </t>
  </si>
  <si>
    <t xml:space="preserve"> plot sizes of reit is: 30312421.78628344</t>
  </si>
  <si>
    <t xml:space="preserve"> plot sizes of total is: 151759126.57379648.
</t>
  </si>
  <si>
    <t xml:space="preserve"> 151759126.57379648.
</t>
  </si>
  <si>
    <t>predicted stdevs of gold is: 0.008660539695579573</t>
  </si>
  <si>
    <t xml:space="preserve"> predicted stdevs of tb is: 0.0017351527233199647</t>
  </si>
  <si>
    <t xml:space="preserve"> predicted stdevs of reit is: 0.010543678063656968</t>
  </si>
  <si>
    <t xml:space="preserve"> predicted stdevs of GTBCPS is: 0.007225156940712266.
</t>
  </si>
  <si>
    <t xml:space="preserve"> 0.007225156940712266.
</t>
  </si>
  <si>
    <t>total_value_of_collaterals is: 151759234.42972457</t>
  </si>
  <si>
    <t xml:space="preserve"> createdtionValue_gold is: -251.7283738285542</t>
  </si>
  <si>
    <t xml:space="preserve"> createdValue_tb is: -122.23579216932295</t>
  </si>
  <si>
    <t xml:space="preserve"> createdValue_reit is: -93.33932455014092
</t>
  </si>
  <si>
    <t xml:space="preserve"> -93.33932455014092
</t>
  </si>
  <si>
    <t>plotValue_gold_after_creation is: 81750347.9060428</t>
  </si>
  <si>
    <t xml:space="preserve"> plotValue_tb_after_creation  is: 39696830.29541496</t>
  </si>
  <si>
    <t xml:space="preserve"> plotValue_reit_after_creation  is: 30312523.53175736</t>
  </si>
  <si>
    <t xml:space="preserve">total_value_after_creation is: 151759701.73321512
</t>
  </si>
  <si>
    <t xml:space="preserve"> 151759701.73321512
</t>
  </si>
  <si>
    <t>total_amount_gtncps_before_creation is: 101187547.07666712</t>
  </si>
  <si>
    <t>creation_amount_gtbcps is: -311.5800400823355</t>
  </si>
  <si>
    <t xml:space="preserve">total_amount_gtbcps_new is: 101187235.49662703
</t>
  </si>
  <si>
    <t xml:space="preserve"> 101187235.49662703
</t>
  </si>
  <si>
    <t>payout of tranche of gold is: 78.1997233501802</t>
  </si>
  <si>
    <t xml:space="preserve"> payout of tranche of Treausry Bill Option is: 21.25005536775614</t>
  </si>
  <si>
    <t xml:space="preserve"> payout of tranche of Collar of REIT is: 8.406149369659369
</t>
  </si>
  <si>
    <t xml:space="preserve"> 8.406149369659369
</t>
  </si>
  <si>
    <t>Collateral size of tranche of gold is: 81750347.9060428</t>
  </si>
  <si>
    <t xml:space="preserve"> collateral size of tranche of Treausry Bill Option is: 39696830.29541496</t>
  </si>
  <si>
    <t xml:space="preserve"> collateral size of tranche of Collar of REIT is: 30312523.53175736
</t>
  </si>
  <si>
    <t xml:space="preserve"> 30312523.53175736
</t>
  </si>
  <si>
    <t>Collateral ratio of tranche of gold is: 0.8078888658022697</t>
  </si>
  <si>
    <t xml:space="preserve"> collateral ratio of tranche of Treausry Bill Option is: 0.39229958067172194</t>
  </si>
  <si>
    <t xml:space="preserve"> collateral ratio of tranche of Collar of REIT is: 0.299560196169708
</t>
  </si>
  <si>
    <t xml:space="preserve"> 0.299560196169708
</t>
  </si>
  <si>
    <t xml:space="preserve">date is: 2021-06-11 00:00:00
</t>
  </si>
  <si>
    <t xml:space="preserve"> 2021-06-11 00</t>
  </si>
  <si>
    <t>current price of gold is: 1877.53</t>
  </si>
  <si>
    <t xml:space="preserve"> predicted price of gold is: 1877.021972130013
</t>
  </si>
  <si>
    <t xml:space="preserve"> 1877.021972130013
</t>
  </si>
  <si>
    <t>current price of tb is: 98.73828125</t>
  </si>
  <si>
    <t xml:space="preserve"> current price of tb option is: 4.383012666831422</t>
  </si>
  <si>
    <t xml:space="preserve"> predicted price of tb is: 98.85930975935837
</t>
  </si>
  <si>
    <t xml:space="preserve"> 98.85930975935837
</t>
  </si>
  <si>
    <t xml:space="preserve"> current price of reit option is: 6.238369331020081</t>
  </si>
  <si>
    <t xml:space="preserve"> predicted price of reit is: 77.54385496513133
</t>
  </si>
  <si>
    <t xml:space="preserve"> 77.54385496513133
</t>
  </si>
  <si>
    <t>value_ratio_gold_to_total is: -0.04648763034558996</t>
  </si>
  <si>
    <t xml:space="preserve"> risk_ratio_to_gold is: 0.6787986240290309</t>
  </si>
  <si>
    <t xml:space="preserve"> risk_ratio_to_gold_before is: 0.6782698299019662
</t>
  </si>
  <si>
    <t xml:space="preserve"> 0.6782698299019662
</t>
  </si>
  <si>
    <t>value_ratio_tb_to_total is: 0.41214707623299807</t>
  </si>
  <si>
    <t xml:space="preserve"> risk_ratio_tb_to_gold is: 0.23773237469607864</t>
  </si>
  <si>
    <t xml:space="preserve"> risk_ratio_tb_to_gold_before is: 0.23721631942939722
</t>
  </si>
  <si>
    <t xml:space="preserve"> 0.23721631942939722
</t>
  </si>
  <si>
    <t>value_ratio_reit_to_total is: 0.6343405541125919</t>
  </si>
  <si>
    <t xml:space="preserve"> risk_ratio_reit_to_gold is: 0.23545859034222402</t>
  </si>
  <si>
    <t xml:space="preserve"> risk_ratio_reit_to_gold_before is: 0.23712317779479036
</t>
  </si>
  <si>
    <t xml:space="preserve"> 0.23712317779479036
</t>
  </si>
  <si>
    <t>delta_gold is: 0.9889492286055906</t>
  </si>
  <si>
    <t xml:space="preserve"> delta_tb is: 0.998850799762806</t>
  </si>
  <si>
    <t xml:space="preserve"> delta_reit is: 0.9998134983283137
</t>
  </si>
  <si>
    <t xml:space="preserve"> 0.9998134983283137
</t>
  </si>
  <si>
    <t>delta_gold_risk is: 1.0003150829012375</t>
  </si>
  <si>
    <t xml:space="preserve"> delta_tb_risk is: 1.0004171099738803</t>
  </si>
  <si>
    <t xml:space="preserve"> delta_reit_risk is: 0.9986544691082956
</t>
  </si>
  <si>
    <t xml:space="preserve"> 0.9986544691082956
</t>
  </si>
  <si>
    <t xml:space="preserve">collateral_ratio_tranche_gold is: 0.7987094109557505
</t>
  </si>
  <si>
    <t xml:space="preserve"> 0.7987094109557505
</t>
  </si>
  <si>
    <t xml:space="preserve">collateral_ratio_tranche_tb is: 0.3960621664842259
</t>
  </si>
  <si>
    <t xml:space="preserve"> 0.3960621664842259
</t>
  </si>
  <si>
    <t xml:space="preserve">collateral_ratio_tranche_reit is: 0.30325911008549217
</t>
  </si>
  <si>
    <t xml:space="preserve"> 0.30325911008549217
</t>
  </si>
  <si>
    <t>Total plot size is: 150805024.38398898</t>
  </si>
  <si>
    <t xml:space="preserve"> plot size of gold is: 80846943.49991968</t>
  </si>
  <si>
    <t xml:space="preserve"> plot size of TB is: 39651210.68862362</t>
  </si>
  <si>
    <t xml:space="preserve"> plot size of REIT is: 30306870.195445653
</t>
  </si>
  <si>
    <t xml:space="preserve"> 30306870.195445653
</t>
  </si>
  <si>
    <t xml:space="preserve">collateral ratio is: 1.4903187372658384
</t>
  </si>
  <si>
    <t xml:space="preserve"> 1.4903187372658384
</t>
  </si>
  <si>
    <t>S_gtbcps_0 is: 1.000025141380866</t>
  </si>
  <si>
    <t xml:space="preserve">stdev_gtbcps is: 0.007216281136173005
</t>
  </si>
  <si>
    <t xml:space="preserve"> 0.007216281136173005
</t>
  </si>
  <si>
    <t>predicted price of GTBCPS is: 1.0000189459070132</t>
  </si>
  <si>
    <t xml:space="preserve"> actual price is: 1.000025141380866
</t>
  </si>
  <si>
    <t xml:space="preserve"> 1.000025141380866
</t>
  </si>
  <si>
    <t>predicted amount of GTBCPS is: 101187862.38762176</t>
  </si>
  <si>
    <t xml:space="preserve"> actual amount is: 101187235.49662703
</t>
  </si>
  <si>
    <t>plot sizes of gold is: 80846943.49991968</t>
  </si>
  <si>
    <t xml:space="preserve"> plot sizes of tb is: 39651210.68862362 </t>
  </si>
  <si>
    <t xml:space="preserve"> plot sizes of reit is: 30306870.195445653</t>
  </si>
  <si>
    <t xml:space="preserve"> plot sizes of total is: 150805024.38398895.
</t>
  </si>
  <si>
    <t xml:space="preserve"> 150805024.38398895.
</t>
  </si>
  <si>
    <t>predicted stdevs of gold is: 0.008656556484042647</t>
  </si>
  <si>
    <t xml:space="preserve"> predicted stdevs of tb is: 0.00173845401426683</t>
  </si>
  <si>
    <t xml:space="preserve"> predicted stdevs of reit is: 0.01054096022719165</t>
  </si>
  <si>
    <t xml:space="preserve"> predicted stdevs of GTBCPS is: 0.007216281136173005.
</t>
  </si>
  <si>
    <t xml:space="preserve"> 0.007216281136173005.
</t>
  </si>
  <si>
    <t>total_value_of_collaterals is: 150804807.0721586</t>
  </si>
  <si>
    <t xml:space="preserve"> createdtionValue_gold is: 500.8716025985693</t>
  </si>
  <si>
    <t xml:space="preserve"> createdValue_tb is: 245.65160401496829</t>
  </si>
  <si>
    <t xml:space="preserve"> createdValue_reit is: 187.76054327953102
</t>
  </si>
  <si>
    <t xml:space="preserve"> 187.76054327953102
</t>
  </si>
  <si>
    <t>plotValue_gold_after_creation is: 80846292.62817217</t>
  </si>
  <si>
    <t xml:space="preserve"> plotValue_tb_after_creation  is: 39650923.23010194</t>
  </si>
  <si>
    <t xml:space="preserve"> plotValue_reit_after_creation  is: 30306656.93013459</t>
  </si>
  <si>
    <t xml:space="preserve">total_value_after_creation is: 150803872.7884087
</t>
  </si>
  <si>
    <t xml:space="preserve"> 150803872.7884087
</t>
  </si>
  <si>
    <t>total_amount_gtncps_before_creation is: 101187235.49662703</t>
  </si>
  <si>
    <t>creation_amount_gtbcps is: 626.8909947276115</t>
  </si>
  <si>
    <t xml:space="preserve">total_amount_gtbcps_new is: 101187862.38762176
</t>
  </si>
  <si>
    <t xml:space="preserve"> 101187862.38762176
</t>
  </si>
  <si>
    <t>payout of tranche of gold is: -150.00014491567688</t>
  </si>
  <si>
    <t xml:space="preserve"> payout of tranche of Treausry Bill Option is: -41.80691766460716</t>
  </si>
  <si>
    <t xml:space="preserve"> payout of tranche of Collar of REIT is: -25.50476778280416
</t>
  </si>
  <si>
    <t xml:space="preserve"> -25.50476778280416
</t>
  </si>
  <si>
    <t>Collateral size of tranche of gold is: 80846292.62817217</t>
  </si>
  <si>
    <t xml:space="preserve"> collateral size of tranche of Treausry Bill Option is: 39650923.23010194</t>
  </si>
  <si>
    <t xml:space="preserve"> collateral size of tranche of Collar of REIT is: 30306656.93013459
</t>
  </si>
  <si>
    <t xml:space="preserve"> 30306656.93013459
</t>
  </si>
  <si>
    <t>Collateral ratio of tranche of gold is: 0.7989620484645374</t>
  </si>
  <si>
    <t xml:space="preserve"> collateral ratio of tranche of Treausry Bill Option is: 0.39184954334434263</t>
  </si>
  <si>
    <t xml:space="preserve"> collateral ratio of tranche of Collar of REIT is: 0.29950499788996626
</t>
  </si>
  <si>
    <t xml:space="preserve"> 0.29950499788996626
</t>
  </si>
  <si>
    <t xml:space="preserve">date is: 2021-06-15 00:00:00
</t>
  </si>
  <si>
    <t xml:space="preserve"> 2021-06-15 00</t>
  </si>
  <si>
    <t>current price of gold is: 1859.02</t>
  </si>
  <si>
    <t xml:space="preserve"> predicted price of gold is: 1868.501457611889
</t>
  </si>
  <si>
    <t xml:space="preserve"> 1868.501457611889
</t>
  </si>
  <si>
    <t>current price of tb is: 98.5625</t>
  </si>
  <si>
    <t xml:space="preserve"> current price of tb option is: 4.380040995885948</t>
  </si>
  <si>
    <t xml:space="preserve"> predicted price of tb is: 98.68660254397523
</t>
  </si>
  <si>
    <t xml:space="preserve"> 98.68660254397523
</t>
  </si>
  <si>
    <t>current price of reit is: 76.1</t>
  </si>
  <si>
    <t xml:space="preserve"> current price of reit option is: 6.2276735152325955</t>
  </si>
  <si>
    <t xml:space="preserve"> predicted price of reit is: 76.84674362099715
</t>
  </si>
  <si>
    <t xml:space="preserve"> 76.84674362099715
</t>
  </si>
  <si>
    <t>value_ratio_gold_to_total is: 0.4523592241962121</t>
  </si>
  <si>
    <t xml:space="preserve"> risk_ratio_to_gold is: 0.6807469786496019</t>
  </si>
  <si>
    <t xml:space="preserve"> risk_ratio_to_gold_before is: 0.6787986240290309
</t>
  </si>
  <si>
    <t xml:space="preserve"> 0.6787986240290309
</t>
  </si>
  <si>
    <t>value_ratio_tb_to_total is: 0.21489215696172317</t>
  </si>
  <si>
    <t xml:space="preserve"> risk_ratio_tb_to_gold is: 0.23653904770434356</t>
  </si>
  <si>
    <t xml:space="preserve"> risk_ratio_tb_to_gold_before is: 0.23773237469607864
</t>
  </si>
  <si>
    <t xml:space="preserve"> 0.23773237469607864
</t>
  </si>
  <si>
    <t>value_ratio_reit_to_total is: 0.33274861884206475</t>
  </si>
  <si>
    <t xml:space="preserve"> risk_ratio_reit_to_gold is: 0.23243552194222392</t>
  </si>
  <si>
    <t xml:space="preserve"> risk_ratio_reit_to_gold_before is: 0.23545859034222402
</t>
  </si>
  <si>
    <t xml:space="preserve"> 0.23545859034222402
</t>
  </si>
  <si>
    <t>delta_gold is: 0.9901413026689321</t>
  </si>
  <si>
    <t xml:space="preserve"> delta_tb is: 0.9982665760469449</t>
  </si>
  <si>
    <t xml:space="preserve"> delta_reit is: 0.9908447376941902
</t>
  </si>
  <si>
    <t xml:space="preserve"> 0.9908447376941902
</t>
  </si>
  <si>
    <t>delta_gold_risk is: 1.0011605648186053</t>
  </si>
  <si>
    <t xml:space="preserve"> delta_tb_risk is: 0.9990358764009643</t>
  </si>
  <si>
    <t xml:space="preserve"> delta_reit_risk is: 0.9975530799464815
</t>
  </si>
  <si>
    <t xml:space="preserve"> 0.9975530799464815
</t>
  </si>
  <si>
    <t xml:space="preserve">collateral_ratio_tranche_gold is: 0.7901682819409171
</t>
  </si>
  <si>
    <t xml:space="preserve"> 0.7901682819409171
</t>
  </si>
  <si>
    <t xml:space="preserve">collateral_ratio_tranche_tb is: 0.39544638869318527
</t>
  </si>
  <si>
    <t xml:space="preserve"> 0.39544638869318527
</t>
  </si>
  <si>
    <t xml:space="preserve">collateral_ratio_tranche_reit is: 0.3004529623083434
</t>
  </si>
  <si>
    <t xml:space="preserve"> 0.3004529623083434
</t>
  </si>
  <si>
    <t>Total plot size is: 149660636.40515324</t>
  </si>
  <si>
    <t xml:space="preserve"> plot size of gold is: 80049253.49881208</t>
  </si>
  <si>
    <t xml:space="preserve"> plot size of TB is: 39582191.37001414</t>
  </si>
  <si>
    <t xml:space="preserve"> plot size of REIT is: 30029191.536327023
</t>
  </si>
  <si>
    <t xml:space="preserve"> 30029191.536327023
</t>
  </si>
  <si>
    <t xml:space="preserve">collateral ratio is: 1.4790094134914662
</t>
  </si>
  <si>
    <t xml:space="preserve"> 1.4790094134914662
</t>
  </si>
  <si>
    <t>S_gtbcps_0 is: 1.0000189459070132</t>
  </si>
  <si>
    <t xml:space="preserve">stdev_gtbcps is: 0.0072447120376488965
</t>
  </si>
  <si>
    <t xml:space="preserve"> 0.0072447120376488965
</t>
  </si>
  <si>
    <t>predicted price of GTBCPS is: 1.00003596882025</t>
  </si>
  <si>
    <t xml:space="preserve"> actual price is: 1.0000189459070132
</t>
  </si>
  <si>
    <t xml:space="preserve"> 1.0000189459070132
</t>
  </si>
  <si>
    <t>predicted amount of GTBCPS is: 101186139.93737422</t>
  </si>
  <si>
    <t xml:space="preserve"> actual amount is: 101187862.38762176
</t>
  </si>
  <si>
    <t>plot sizes of gold is: 80049253.49881208</t>
  </si>
  <si>
    <t xml:space="preserve"> plot sizes of tb is: 39582191.37001414 </t>
  </si>
  <si>
    <t xml:space="preserve"> plot sizes of reit is: 30029191.536327023</t>
  </si>
  <si>
    <t xml:space="preserve"> plot sizes of total is: 149660636.40515324.
</t>
  </si>
  <si>
    <t xml:space="preserve"> 149660636.40515324.
</t>
  </si>
  <si>
    <t>predicted stdevs of gold is: 0.0087153873275836</t>
  </si>
  <si>
    <t xml:space="preserve"> predicted stdevs of tb is: 0.0017396374148584462</t>
  </si>
  <si>
    <t xml:space="preserve"> predicted stdevs of reit is: 0.010580681239679927</t>
  </si>
  <si>
    <t xml:space="preserve"> predicted stdevs of GTBCPS is: 0.0072447120376488965.
</t>
  </si>
  <si>
    <t xml:space="preserve"> 0.0072447120376488965.
</t>
  </si>
  <si>
    <t>total_value_of_collaterals is: 149661233.45096335</t>
  </si>
  <si>
    <t xml:space="preserve"> createdtionValue_gold is: -1362.653521945014</t>
  </si>
  <si>
    <t xml:space="preserve"> createdValue_tb is: -673.7928942061499</t>
  </si>
  <si>
    <t xml:space="preserve"> createdValue_reit is: -511.1755087929094
</t>
  </si>
  <si>
    <t xml:space="preserve"> -511.1755087929094
</t>
  </si>
  <si>
    <t>plotValue_gold_after_creation is: 80051076.80609073</t>
  </si>
  <si>
    <t xml:space="preserve"> plotValue_tb_after_creation  is: 39582950.36621289</t>
  </si>
  <si>
    <t xml:space="preserve"> plotValue_reit_after_creation  is: 30029753.900584653</t>
  </si>
  <si>
    <t xml:space="preserve">total_value_after_creation is: 149663781.07288826
</t>
  </si>
  <si>
    <t xml:space="preserve"> 149663781.07288826
</t>
  </si>
  <si>
    <t>total_amount_gtncps_before_creation is: 101187862.38762176</t>
  </si>
  <si>
    <t>creation_amount_gtbcps is: -1722.45024754107</t>
  </si>
  <si>
    <t xml:space="preserve">total_amount_gtbcps_new is: 101186139.93737422
</t>
  </si>
  <si>
    <t xml:space="preserve"> 101186139.93737422
</t>
  </si>
  <si>
    <t>payout of tranche of gold is: 460.65375670622416</t>
  </si>
  <si>
    <t xml:space="preserve"> payout of tranche of Treausry Bill Option is: 85.20330454392268</t>
  </si>
  <si>
    <t xml:space="preserve"> payout of tranche of Collar of REIT is: 51.1887488347684
</t>
  </si>
  <si>
    <t xml:space="preserve"> 51.1887488347684
</t>
  </si>
  <si>
    <t>Collateral size of tranche of gold is: 80051076.80609073</t>
  </si>
  <si>
    <t xml:space="preserve"> collateral size of tranche of Treausry Bill Option is: 39582950.36621289</t>
  </si>
  <si>
    <t xml:space="preserve"> collateral size of tranche of Collar of REIT is: 30029753.900584653
</t>
  </si>
  <si>
    <t xml:space="preserve"> 30029753.900584653
</t>
  </si>
  <si>
    <t>Collateral ratio of tranche of gold is: 0.7910849747988485</t>
  </si>
  <si>
    <t xml:space="preserve"> collateral ratio of tranche of Treausry Bill Option is: 0.39116872055039104</t>
  </si>
  <si>
    <t xml:space="preserve"> collateral ratio of tranche of Collar of REIT is: 0.2967616184002679
</t>
  </si>
  <si>
    <t xml:space="preserve"> 0.2967616184002679
</t>
  </si>
  <si>
    <t xml:space="preserve">date is: 2021-06-16 00:00:00
</t>
  </si>
  <si>
    <t xml:space="preserve"> 2021-06-16 00</t>
  </si>
  <si>
    <t>current price of gold is: 1811.47</t>
  </si>
  <si>
    <t xml:space="preserve"> predicted price of gold is: 1813.60372815185
</t>
  </si>
  <si>
    <t xml:space="preserve"> 1813.60372815185
</t>
  </si>
  <si>
    <t>current price of tb is: 98.05859375</t>
  </si>
  <si>
    <t xml:space="preserve"> current price of tb option is: 4.3759080378148125</t>
  </si>
  <si>
    <t xml:space="preserve"> predicted price of tb is: 98.18697103865357
</t>
  </si>
  <si>
    <t xml:space="preserve"> 98.18697103865357
</t>
  </si>
  <si>
    <t>current price of reit is: 76.2</t>
  </si>
  <si>
    <t xml:space="preserve"> current price of reit option is: 6.177256088173166</t>
  </si>
  <si>
    <t xml:space="preserve"> predicted price of reit is: 76.6567588924521
</t>
  </si>
  <si>
    <t xml:space="preserve"> 76.6567588924521
</t>
  </si>
  <si>
    <t>value_ratio_gold_to_total is: 0.16076880474228397</t>
  </si>
  <si>
    <t xml:space="preserve"> risk_ratio_to_gold is: 0.6692932833207867</t>
  </si>
  <si>
    <t xml:space="preserve"> risk_ratio_to_gold_before is: 0.6807469786496019
</t>
  </si>
  <si>
    <t xml:space="preserve"> 0.6807469786496019
</t>
  </si>
  <si>
    <t>value_ratio_tb_to_total is: 0.33938183152652057</t>
  </si>
  <si>
    <t xml:space="preserve"> risk_ratio_tb_to_gold is: 0.2458766316801412</t>
  </si>
  <si>
    <t xml:space="preserve"> risk_ratio_tb_to_gold_before is: 0.23653904770434356
</t>
  </si>
  <si>
    <t xml:space="preserve"> 0.23653904770434356
</t>
  </si>
  <si>
    <t>value_ratio_reit_to_total is: 0.49984936373119543</t>
  </si>
  <si>
    <t xml:space="preserve"> risk_ratio_reit_to_gold is: 0.2482366739821661</t>
  </si>
  <si>
    <t xml:space="preserve"> risk_ratio_reit_to_gold_before is: 0.23243552194222392
</t>
  </si>
  <si>
    <t xml:space="preserve"> 0.23243552194222392
</t>
  </si>
  <si>
    <t>delta_gold is: 0.9744220072941657</t>
  </si>
  <si>
    <t xml:space="preserve"> delta_tb is: 0.9950648273963683</t>
  </si>
  <si>
    <t xml:space="preserve"> delta_reit is: 1.0006022588860282
</t>
  </si>
  <si>
    <t xml:space="preserve"> 1.0006022588860282
</t>
  </si>
  <si>
    <t>delta_gold_risk is: 0.9931853542060105</t>
  </si>
  <si>
    <t xml:space="preserve"> delta_tb_risk is: 1.0075513862608165</t>
  </si>
  <si>
    <t xml:space="preserve"> delta_reit_risk is: 1.0128210780674682
</t>
  </si>
  <si>
    <t xml:space="preserve"> 1.0128210780674682
</t>
  </si>
  <si>
    <t xml:space="preserve">collateral_ratio_tranche_gold is: 0.7761397264058483
</t>
  </si>
  <si>
    <t xml:space="preserve"> 0.7761397264058483
</t>
  </si>
  <si>
    <t xml:space="preserve">collateral_ratio_tranche_tb is: 0.39646167019155465
</t>
  </si>
  <si>
    <t xml:space="preserve"> 0.39646167019155465
</t>
  </si>
  <si>
    <t xml:space="preserve">collateral_ratio_tranche_reit is: 0.3008772804305446
</t>
  </si>
  <si>
    <t xml:space="preserve"> 0.3008772804305446
</t>
  </si>
  <si>
    <t>Total plot size is: 147438972.2081615</t>
  </si>
  <si>
    <t xml:space="preserve"> plot size of gold is: 78003530.94745035</t>
  </si>
  <si>
    <t xml:space="preserve"> plot size of TB is: 39387601.67399464</t>
  </si>
  <si>
    <t xml:space="preserve"> plot size of REIT is: 30047839.586716518
</t>
  </si>
  <si>
    <t xml:space="preserve"> 30047839.586716518
</t>
  </si>
  <si>
    <t xml:space="preserve">collateral ratio is: 1.457053992614647
</t>
  </si>
  <si>
    <t xml:space="preserve"> 1.457053992614647
</t>
  </si>
  <si>
    <t>S_gtbcps_0 is: 1.00003596882025</t>
  </si>
  <si>
    <t xml:space="preserve">stdev_gtbcps is: 0.007280794864612359
</t>
  </si>
  <si>
    <t xml:space="preserve"> 0.007280794864612359
</t>
  </si>
  <si>
    <t>predicted price of GTBCPS is: 1.0000376762695282</t>
  </si>
  <si>
    <t xml:space="preserve"> actual price is: 1.00003596882025
</t>
  </si>
  <si>
    <t xml:space="preserve"> 1.00003596882025
</t>
  </si>
  <si>
    <t>predicted amount of GTBCPS is: 101185967.17368172</t>
  </si>
  <si>
    <t xml:space="preserve"> actual amount is: 101186139.93737422
</t>
  </si>
  <si>
    <t>plot sizes of gold is: 78003530.94745035</t>
  </si>
  <si>
    <t xml:space="preserve"> plot sizes of tb is: 39387601.67399464 </t>
  </si>
  <si>
    <t xml:space="preserve"> plot sizes of reit is: 30047839.586716518</t>
  </si>
  <si>
    <t xml:space="preserve"> plot sizes of total is: 147438972.20816153.
</t>
  </si>
  <si>
    <t xml:space="preserve"> 147438972.20816153.
</t>
  </si>
  <si>
    <t>predicted stdevs of gold is: 0.008773866284712285</t>
  </si>
  <si>
    <t xml:space="preserve"> predicted stdevs of tb is: 0.0018095981450009112</t>
  </si>
  <si>
    <t xml:space="preserve"> predicted stdevs of reit is: 0.010576621643166643</t>
  </si>
  <si>
    <t xml:space="preserve"> predicted stdevs of GTBCPS is: 0.007280794864612359.
</t>
  </si>
  <si>
    <t xml:space="preserve"> 0.007280794864612359.
</t>
  </si>
  <si>
    <t>total_value_of_collaterals is: 147439031.95198393</t>
  </si>
  <si>
    <t xml:space="preserve"> createdtionValue_gold is: -133.18236022770884</t>
  </si>
  <si>
    <t xml:space="preserve"> createdValue_tb is: -67.24992873873882</t>
  </si>
  <si>
    <t xml:space="preserve"> createdValue_reit is: -51.3033250704672
</t>
  </si>
  <si>
    <t xml:space="preserve"> -51.3033250704672
</t>
  </si>
  <si>
    <t>plotValue_gold_after_creation is: 78003709.83232246</t>
  </si>
  <si>
    <t xml:space="preserve"> plotValue_tb_after_creation  is: 39387678.05745462</t>
  </si>
  <si>
    <t xml:space="preserve"> plotValue_reit_after_creation  is: 30047895.79782087</t>
  </si>
  <si>
    <t xml:space="preserve">total_value_after_creation is: 147439283.68759796
</t>
  </si>
  <si>
    <t xml:space="preserve"> 147439283.68759796
</t>
  </si>
  <si>
    <t>total_amount_gtncps_before_creation is: 101186139.93737422</t>
  </si>
  <si>
    <t>creation_amount_gtbcps is: -172.7636924982071</t>
  </si>
  <si>
    <t xml:space="preserve">total_amount_gtbcps_new is: 101185967.17368172
</t>
  </si>
  <si>
    <t xml:space="preserve"> 101185967.17368172
</t>
  </si>
  <si>
    <t>payout of tranche of gold is: 45.702511878207154</t>
  </si>
  <si>
    <t xml:space="preserve"> payout of tranche of Treausry Bill Option is: 9.133531246877707</t>
  </si>
  <si>
    <t xml:space="preserve"> payout of tranche of Collar of REIT is: 4.907779281890412
</t>
  </si>
  <si>
    <t xml:space="preserve"> 4.907779281890412
</t>
  </si>
  <si>
    <t>Collateral size of tranche of gold is: 78003709.83232246</t>
  </si>
  <si>
    <t xml:space="preserve"> collateral size of tranche of Treausry Bill Option is: 39387678.05745462</t>
  </si>
  <si>
    <t xml:space="preserve"> collateral size of tranche of Collar of REIT is: 30047895.79782087
</t>
  </si>
  <si>
    <t xml:space="preserve"> 30047895.79782087
</t>
  </si>
  <si>
    <t>Collateral ratio of tranche of gold is: 0.7708641826096417</t>
  </si>
  <si>
    <t xml:space="preserve"> collateral ratio of tranche of Treausry Bill Option is: 0.38924495150191085</t>
  </si>
  <si>
    <t xml:space="preserve"> collateral ratio of tranche of Collar of REIT is: 0.2969454489166984
</t>
  </si>
  <si>
    <t xml:space="preserve"> 0.2969454489166984
</t>
  </si>
  <si>
    <t xml:space="preserve">date is: 2021-06-17 00:00:00
</t>
  </si>
  <si>
    <t xml:space="preserve"> 2021-06-17 00</t>
  </si>
  <si>
    <t>current price of gold is: 1773.5</t>
  </si>
  <si>
    <t xml:space="preserve"> predicted price of gold is: 1802.3458904074068
</t>
  </si>
  <si>
    <t xml:space="preserve"> 1802.3458904074068
</t>
  </si>
  <si>
    <t>current price of tb is: 98.07421875</t>
  </si>
  <si>
    <t xml:space="preserve"> current price of tb option is: 4.379843311476974</t>
  </si>
  <si>
    <t xml:space="preserve"> predicted price of tb is: 98.19852480429753
</t>
  </si>
  <si>
    <t xml:space="preserve"> 98.19852480429753
</t>
  </si>
  <si>
    <t>current price of reit is: 75.55</t>
  </si>
  <si>
    <t xml:space="preserve"> current price of reit option is: 6.250637987369018</t>
  </si>
  <si>
    <t xml:space="preserve"> predicted price of reit is: 76.11831171700723
</t>
  </si>
  <si>
    <t xml:space="preserve"> 76.11831171700723
</t>
  </si>
  <si>
    <t>value_ratio_gold_to_total is: 0.7181134198937972</t>
  </si>
  <si>
    <t xml:space="preserve"> risk_ratio_to_gold is: 0.6855176658859645</t>
  </si>
  <si>
    <t xml:space="preserve"> risk_ratio_to_gold_before is: 0.6692932833207867
</t>
  </si>
  <si>
    <t xml:space="preserve"> 0.6692932833207867
</t>
  </si>
  <si>
    <t>value_ratio_tb_to_total is: 0.11213001433085529</t>
  </si>
  <si>
    <t xml:space="preserve"> risk_ratio_tb_to_gold is: 0.23094065083827314</t>
  </si>
  <si>
    <t xml:space="preserve"> risk_ratio_tb_to_gold_before is: 0.2458766316801412
</t>
  </si>
  <si>
    <t xml:space="preserve"> 0.2458766316801412
</t>
  </si>
  <si>
    <t>value_ratio_reit_to_total is: 0.16975656577534756</t>
  </si>
  <si>
    <t xml:space="preserve"> risk_ratio_reit_to_gold is: 0.22781096092011632</t>
  </si>
  <si>
    <t xml:space="preserve"> risk_ratio_reit_to_gold_before is: 0.2482366739821661
</t>
  </si>
  <si>
    <t xml:space="preserve"> 0.2482366739821661
</t>
  </si>
  <si>
    <t>delta_gold is: 0.9790391229222676</t>
  </si>
  <si>
    <t xml:space="preserve"> delta_tb is: 1.000190953959074</t>
  </si>
  <si>
    <t xml:space="preserve"> delta_reit is: 0.9930002754621134
</t>
  </si>
  <si>
    <t xml:space="preserve"> 0.9930002754621134
</t>
  </si>
  <si>
    <t>delta_gold_risk is: 1.0097193121947403</t>
  </si>
  <si>
    <t xml:space="preserve"> delta_tb_risk is: 0.9880116694847018</t>
  </si>
  <si>
    <t xml:space="preserve"> delta_reit_risk is: 0.9836363459848628
</t>
  </si>
  <si>
    <t xml:space="preserve"> 0.9836363459848628
</t>
  </si>
  <si>
    <t xml:space="preserve">collateral_ratio_tranche_gold is: 0.7474415752174673
</t>
  </si>
  <si>
    <t xml:space="preserve"> 0.7474415752174673
</t>
  </si>
  <si>
    <t xml:space="preserve">collateral_ratio_tranche_tb is: 0.4024795232931633
</t>
  </si>
  <si>
    <t xml:space="preserve"> 0.4024795232931633
</t>
  </si>
  <si>
    <t xml:space="preserve">collateral_ratio_tranche_reit is: 0.30619029972025213
</t>
  </si>
  <si>
    <t xml:space="preserve"> 0.30619029972025213
</t>
  </si>
  <si>
    <t>Total plot size is: 145601451.7537315</t>
  </si>
  <si>
    <t xml:space="preserve"> plot size of gold is: 76368683.65892005</t>
  </si>
  <si>
    <t xml:space="preserve"> plot size of TB is: 39395199.29051843</t>
  </si>
  <si>
    <t xml:space="preserve"> plot size of REIT is: 29837568.804293007
</t>
  </si>
  <si>
    <t xml:space="preserve"> 29837568.804293007
</t>
  </si>
  <si>
    <t xml:space="preserve">collateral ratio is: 1.4388948419196848
</t>
  </si>
  <si>
    <t xml:space="preserve"> 1.4388948419196848
</t>
  </si>
  <si>
    <t>S_gtbcps_0 is: 1.0000376762695282</t>
  </si>
  <si>
    <t xml:space="preserve">stdev_gtbcps is: 0.007410507533575162
</t>
  </si>
  <si>
    <t xml:space="preserve"> 0.007410507533575162
</t>
  </si>
  <si>
    <t>predicted price of GTBCPS is: 1.0000351235382103</t>
  </si>
  <si>
    <t xml:space="preserve"> actual price is: 1.0000376762695282
</t>
  </si>
  <si>
    <t xml:space="preserve"> 1.0000376762695282
</t>
  </si>
  <si>
    <t>predicted amount of GTBCPS is: 101186225.46519695</t>
  </si>
  <si>
    <t xml:space="preserve"> actual amount is: 101185967.17368172
</t>
  </si>
  <si>
    <t>plot sizes of gold is: 76368683.65892005</t>
  </si>
  <si>
    <t xml:space="preserve"> plot sizes of tb is: 39395199.29051843 </t>
  </si>
  <si>
    <t xml:space="preserve"> plot sizes of reit is: 29837568.804293007</t>
  </si>
  <si>
    <t xml:space="preserve"> plot sizes of total is: 145601451.7537315.
</t>
  </si>
  <si>
    <t xml:space="preserve"> 145601451.7537315.
</t>
  </si>
  <si>
    <t>predicted stdevs of gold is: 0.009093236551666252</t>
  </si>
  <si>
    <t xml:space="preserve"> predicted stdevs of tb is: 0.0018008091593445885</t>
  </si>
  <si>
    <t xml:space="preserve"> predicted stdevs of reit is: 0.010510203288040254</t>
  </si>
  <si>
    <t xml:space="preserve"> predicted stdevs of GTBCPS is: 0.007410507533575162.
</t>
  </si>
  <si>
    <t xml:space="preserve"> 0.007410507533575162.
</t>
  </si>
  <si>
    <t>total_value_of_collaterals is: 145601362.16457742</t>
  </si>
  <si>
    <t xml:space="preserve"> createdtionValue_gold is: 194.9412327338519</t>
  </si>
  <si>
    <t xml:space="preserve"> createdValue_tb is: 100.56152091083543</t>
  </si>
  <si>
    <t xml:space="preserve"> createdValue_reit is: 76.16440045961063
</t>
  </si>
  <si>
    <t xml:space="preserve"> 76.16440045961063
</t>
  </si>
  <si>
    <t>plotValue_gold_after_creation is: 76368428.74437188</t>
  </si>
  <si>
    <t xml:space="preserve"> plotValue_tb_after_creation  is: 39395079.411392264</t>
  </si>
  <si>
    <t xml:space="preserve"> plotValue_reit_after_creation  is: 29837482.341659185</t>
  </si>
  <si>
    <t xml:space="preserve">total_value_after_creation is: 145600990.49742332
</t>
  </si>
  <si>
    <t xml:space="preserve"> 145600990.49742332
</t>
  </si>
  <si>
    <t>total_amount_gtncps_before_creation is: 101185967.17368172</t>
  </si>
  <si>
    <t>creation_amount_gtbcps is: 258.2915152311325</t>
  </si>
  <si>
    <t xml:space="preserve">total_amount_gtbcps_new is: 101186225.46519695
</t>
  </si>
  <si>
    <t xml:space="preserve"> 101186225.46519695
</t>
  </si>
  <si>
    <t>payout of tranche of gold is: -59.97331542860818</t>
  </si>
  <si>
    <t xml:space="preserve"> payout of tranche of Treausry Bill Option is: -19.31760525799484</t>
  </si>
  <si>
    <t xml:space="preserve"> payout of tranche of Collar of REIT is: -10.298233362429055
</t>
  </si>
  <si>
    <t xml:space="preserve"> -10.298233362429055
</t>
  </si>
  <si>
    <t>Collateral size of tranche of gold is: 76368428.74437188</t>
  </si>
  <si>
    <t xml:space="preserve"> collateral size of tranche of Treausry Bill Option is: 39395079.411392264</t>
  </si>
  <si>
    <t xml:space="preserve"> collateral size of tranche of Collar of REIT is: 29837482.341659185
</t>
  </si>
  <si>
    <t xml:space="preserve"> 29837482.341659185
</t>
  </si>
  <si>
    <t>Collateral ratio of tranche of gold is: 0.7547068891289799</t>
  </si>
  <si>
    <t xml:space="preserve"> collateral ratio of tranche of Treausry Bill Option is: 0.38931975318075557</t>
  </si>
  <si>
    <t xml:space="preserve"> collateral ratio of tranche of Collar of REIT is: 0.2948673142522134
</t>
  </si>
  <si>
    <t xml:space="preserve"> 0.2948673142522134
</t>
  </si>
  <si>
    <t xml:space="preserve">date is: 2021-06-18 00:00:00
</t>
  </si>
  <si>
    <t xml:space="preserve"> 2021-06-18 00</t>
  </si>
  <si>
    <t>current price of gold is: 1764.16</t>
  </si>
  <si>
    <t xml:space="preserve"> predicted price of gold is: 1768.4457092167238
</t>
  </si>
  <si>
    <t xml:space="preserve"> 1768.4457092167238
</t>
  </si>
  <si>
    <t xml:space="preserve"> current price of tb option is: 4.3853982952734905</t>
  </si>
  <si>
    <t xml:space="preserve"> predicted price of tb is: 98.17715283246821
</t>
  </si>
  <si>
    <t xml:space="preserve"> 98.17715283246821
</t>
  </si>
  <si>
    <t>current price of reit is: 78.2</t>
  </si>
  <si>
    <t xml:space="preserve"> current price of reit option is: 6.125383734822194</t>
  </si>
  <si>
    <t xml:space="preserve"> predicted price of reit is: 78.72622176528955
</t>
  </si>
  <si>
    <t xml:space="preserve"> 78.72622176528955
</t>
  </si>
  <si>
    <t>value_ratio_gold_to_total is: 0.27754897332771056</t>
  </si>
  <si>
    <t xml:space="preserve"> risk_ratio_to_gold is: 0.6851213765598905</t>
  </si>
  <si>
    <t xml:space="preserve"> risk_ratio_to_gold_before is: 0.6855176658859645
</t>
  </si>
  <si>
    <t xml:space="preserve"> 0.6855176658859645
</t>
  </si>
  <si>
    <t>value_ratio_tb_to_total is: 0.2916830524166108</t>
  </si>
  <si>
    <t xml:space="preserve"> risk_ratio_tb_to_gold is: 0.22467923079777363</t>
  </si>
  <si>
    <t xml:space="preserve"> risk_ratio_tb_to_gold_before is: 0.23094065083827314
</t>
  </si>
  <si>
    <t xml:space="preserve"> 0.23094065083827314
</t>
  </si>
  <si>
    <t>value_ratio_reit_to_total is: 0.43076797425567864</t>
  </si>
  <si>
    <t xml:space="preserve"> risk_ratio_reit_to_gold is: 0.23491615509015173</t>
  </si>
  <si>
    <t xml:space="preserve"> risk_ratio_reit_to_gold_before is: 0.22781096092011632
</t>
  </si>
  <si>
    <t xml:space="preserve"> 0.22781096092011632
</t>
  </si>
  <si>
    <t>delta_gold is: 0.9947335776712716</t>
  </si>
  <si>
    <t xml:space="preserve"> delta_tb is: 0.9999017118892032</t>
  </si>
  <si>
    <t xml:space="preserve"> delta_reit is: 1.0308646217141122
</t>
  </si>
  <si>
    <t xml:space="preserve"> 1.0308646217141122
</t>
  </si>
  <si>
    <t>delta_gold_risk is: 0.9997648856881807</t>
  </si>
  <si>
    <t xml:space="preserve"> delta_tb_risk is: 0.9949133046859444</t>
  </si>
  <si>
    <t xml:space="preserve"> delta_reit_risk is: 1.0057868795736364
</t>
  </si>
  <si>
    <t xml:space="preserve"> 1.0057868795736364
</t>
  </si>
  <si>
    <t xml:space="preserve">collateral_ratio_tranche_gold is: 0.7509088333300132
</t>
  </si>
  <si>
    <t xml:space="preserve"> 0.7509088333300132
</t>
  </si>
  <si>
    <t xml:space="preserve">collateral_ratio_tranche_tb is: 0.39334327977773076
</t>
  </si>
  <si>
    <t xml:space="preserve"> 0.39334327977773076
</t>
  </si>
  <si>
    <t xml:space="preserve">collateral_ratio_tranche_reit is: 0.30381941659261485
</t>
  </si>
  <si>
    <t xml:space="preserve"> 0.30381941659261485
</t>
  </si>
  <si>
    <t>Total plot size is: 146115852.63652083</t>
  </si>
  <si>
    <t xml:space="preserve"> plot size of gold is: 75966240.3460226</t>
  </si>
  <si>
    <t xml:space="preserve"> plot size of TB is: 39391207.34346223</t>
  </si>
  <si>
    <t xml:space="preserve"> plot size of REIT is: 30758404.947035998
</t>
  </si>
  <si>
    <t xml:space="preserve"> 30758404.947035998
</t>
  </si>
  <si>
    <t xml:space="preserve">collateral ratio is: 1.443978367997271
</t>
  </si>
  <si>
    <t xml:space="preserve"> 1.443978367997271
</t>
  </si>
  <si>
    <t>S_gtbcps_0 is: 1.0000351235382103</t>
  </si>
  <si>
    <t xml:space="preserve">stdev_gtbcps is: 0.0076509707779676625
</t>
  </si>
  <si>
    <t xml:space="preserve"> 0.0076509707779676625
</t>
  </si>
  <si>
    <t>predicted price of GTBCPS is: 1.0000623763992789</t>
  </si>
  <si>
    <t xml:space="preserve"> actual price is: 1.0000351235382103
</t>
  </si>
  <si>
    <t xml:space="preserve"> 1.0000351235382103
</t>
  </si>
  <si>
    <t>predicted amount of GTBCPS is: 101183468.0230516</t>
  </si>
  <si>
    <t xml:space="preserve"> actual amount is: 101186225.46519695
</t>
  </si>
  <si>
    <t>plot sizes of gold is: 75966240.3460226</t>
  </si>
  <si>
    <t xml:space="preserve"> plot sizes of tb is: 39391207.34346223 </t>
  </si>
  <si>
    <t xml:space="preserve"> plot sizes of reit is: 30758404.947035998</t>
  </si>
  <si>
    <t xml:space="preserve"> plot sizes of total is: 146115852.63652083.
</t>
  </si>
  <si>
    <t xml:space="preserve"> 146115852.63652083.
</t>
  </si>
  <si>
    <t>predicted stdevs of gold is: 0.009307772059217671</t>
  </si>
  <si>
    <t xml:space="preserve"> predicted stdevs of tb is: 0.0018003726967263248</t>
  </si>
  <si>
    <t xml:space="preserve"> predicted stdevs of reit is: 0.01105170491696219</t>
  </si>
  <si>
    <t xml:space="preserve"> predicted stdevs of GTBCPS is: 0.0076509707779676625.
</t>
  </si>
  <si>
    <t xml:space="preserve"> 0.0076509707779676625.
</t>
  </si>
  <si>
    <t>total_value_of_collaterals is: 146116802.43460068</t>
  </si>
  <si>
    <t xml:space="preserve"> createdtionValue_gold is: -2070.2442153668417</t>
  </si>
  <si>
    <t xml:space="preserve"> createdValue_tb is: -1073.4894689595237</t>
  </si>
  <si>
    <t xml:space="preserve"> createdValue_reit is: -838.2273716517252
</t>
  </si>
  <si>
    <t xml:space="preserve"> -838.2273716517252
</t>
  </si>
  <si>
    <t>plotValue_gold_after_creation is: 75969027.41824256</t>
  </si>
  <si>
    <t xml:space="preserve"> plotValue_tb_after_creation  is: 39392430.27235311</t>
  </si>
  <si>
    <t xml:space="preserve"> plotValue_reit_after_creation  is: 30759326.70506098</t>
  </si>
  <si>
    <t xml:space="preserve">total_value_after_creation is: 146120784.39565665
</t>
  </si>
  <si>
    <t xml:space="preserve"> 146120784.39565665
</t>
  </si>
  <si>
    <t>total_amount_gtncps_before_creation is: 101186225.46519695</t>
  </si>
  <si>
    <t>creation_amount_gtbcps is: -2757.442145347595</t>
  </si>
  <si>
    <t xml:space="preserve">total_amount_gtbcps_new is: 101183468.0230516
</t>
  </si>
  <si>
    <t xml:space="preserve"> 101183468.0230516
</t>
  </si>
  <si>
    <t>payout of tranche of gold is: 716.8280045903687</t>
  </si>
  <si>
    <t xml:space="preserve"> payout of tranche of Treausry Bill Option is: 149.43942192107681</t>
  </si>
  <si>
    <t xml:space="preserve"> payout of tranche of Collar of REIT is: 83.5306533331896
</t>
  </si>
  <si>
    <t xml:space="preserve"> 83.5306533331896
</t>
  </si>
  <si>
    <t>Collateral size of tranche of gold is: 75969027.41824256</t>
  </si>
  <si>
    <t xml:space="preserve"> collateral size of tranche of Treausry Bill Option is: 39392430.27235311</t>
  </si>
  <si>
    <t xml:space="preserve"> collateral size of tranche of Collar of REIT is: 30759326.70506098
</t>
  </si>
  <si>
    <t xml:space="preserve"> 30759326.70506098
</t>
  </si>
  <si>
    <t>Collateral ratio of tranche of gold is: 0.7507374515669274</t>
  </si>
  <si>
    <t xml:space="preserve"> collateral ratio of tranche of Treausry Bill Option is: 0.38928197080739196</t>
  </si>
  <si>
    <t xml:space="preserve"> collateral ratio of tranche of Collar of REIT is: 0.3039683319274252
</t>
  </si>
  <si>
    <t xml:space="preserve"> 0.3039683319274252
</t>
  </si>
  <si>
    <t xml:space="preserve">date is: 2021-06-21 00:00:00
</t>
  </si>
  <si>
    <t xml:space="preserve"> 2021-06-21 00</t>
  </si>
  <si>
    <t>current price of gold is: 1783.27</t>
  </si>
  <si>
    <t xml:space="preserve"> predicted price of gold is: 1784.9987763936313
</t>
  </si>
  <si>
    <t xml:space="preserve"> 1784.9987763936313
</t>
  </si>
  <si>
    <t>current price of tb is: 98.03125</t>
  </si>
  <si>
    <t xml:space="preserve"> current price of tb option is: 4.381477137041617</t>
  </si>
  <si>
    <t xml:space="preserve"> predicted price of tb is: 98.15386568133526
</t>
  </si>
  <si>
    <t xml:space="preserve"> 98.15386568133526
</t>
  </si>
  <si>
    <t>current price of reit is: 77.8</t>
  </si>
  <si>
    <t xml:space="preserve"> current price of reit option is: 6.102870310056829</t>
  </si>
  <si>
    <t xml:space="preserve"> predicted price of reit is: 78.17455095009107
</t>
  </si>
  <si>
    <t xml:space="preserve"> 78.17455095009107
</t>
  </si>
  <si>
    <t>value_ratio_gold_to_total is: 0.13601391702403984</t>
  </si>
  <si>
    <t xml:space="preserve"> risk_ratio_to_gold is: 0.6814304564976238</t>
  </si>
  <si>
    <t xml:space="preserve"> risk_ratio_to_gold_before is: 0.6851213765598905
</t>
  </si>
  <si>
    <t xml:space="preserve"> 0.6851213765598905
</t>
  </si>
  <si>
    <t>value_ratio_tb_to_total is: 0.3543658446078645</t>
  </si>
  <si>
    <t xml:space="preserve"> risk_ratio_tb_to_gold is: 0.2277243526407753</t>
  </si>
  <si>
    <t xml:space="preserve"> risk_ratio_tb_to_gold_before is: 0.22467923079777363
</t>
  </si>
  <si>
    <t xml:space="preserve"> 0.22467923079777363
</t>
  </si>
  <si>
    <t>value_ratio_reit_to_total is: 0.5096202383680957</t>
  </si>
  <si>
    <t xml:space="preserve"> risk_ratio_reit_to_gold is: 0.23977682882936519</t>
  </si>
  <si>
    <t xml:space="preserve"> risk_ratio_reit_to_gold_before is: 0.23491615509015173
</t>
  </si>
  <si>
    <t xml:space="preserve"> 0.23491615509015173
</t>
  </si>
  <si>
    <t>delta_gold is: 1.010832350807183</t>
  </si>
  <si>
    <t xml:space="preserve"> delta_tb is: 0.9996948097432785</t>
  </si>
  <si>
    <t xml:space="preserve"> delta_reit is: 0.994989487079074
</t>
  </si>
  <si>
    <t xml:space="preserve"> 0.994989487079074
</t>
  </si>
  <si>
    <t>delta_gold_risk is: 0.9978097007648188</t>
  </si>
  <si>
    <t xml:space="preserve"> delta_tb_risk is: 1.0024864648361989</t>
  </si>
  <si>
    <t xml:space="preserve"> delta_reit_risk is: 1.0039360354297564
</t>
  </si>
  <si>
    <t xml:space="preserve"> 1.0039360354297564
</t>
  </si>
  <si>
    <t xml:space="preserve">collateral_ratio_tranche_gold is: 0.7605355033376797
</t>
  </si>
  <si>
    <t xml:space="preserve"> 0.7605355033376797
</t>
  </si>
  <si>
    <t xml:space="preserve">collateral_ratio_tranche_tb is: 0.3840378920818774
</t>
  </si>
  <si>
    <t xml:space="preserve"> 0.3840378920818774
</t>
  </si>
  <si>
    <t xml:space="preserve">collateral_ratio_tranche_reit is: 0.29803114855031876
</t>
  </si>
  <si>
    <t xml:space="preserve"> 0.29803114855031876
</t>
  </si>
  <si>
    <t>Total plot size is: 146777565.36132917</t>
  </si>
  <si>
    <t xml:space="preserve"> plot size of gold is: 76791950.57371747</t>
  </si>
  <si>
    <t xml:space="preserve"> plot size of TB is: 39380408.08644541</t>
  </si>
  <si>
    <t xml:space="preserve"> plot size of REIT is: 30605206.701166287
</t>
  </si>
  <si>
    <t xml:space="preserve"> 30605206.701166287
</t>
  </si>
  <si>
    <t xml:space="preserve">collateral ratio is: 1.450517691713423
</t>
  </si>
  <si>
    <t xml:space="preserve"> 1.450517691713423
</t>
  </si>
  <si>
    <t>S_gtbcps_0 is: 1.0000623763992789</t>
  </si>
  <si>
    <t xml:space="preserve">stdev_gtbcps is: 0.007570066152686312
</t>
  </si>
  <si>
    <t xml:space="preserve"> 0.007570066152686312
</t>
  </si>
  <si>
    <t>predicted price of GTBCPS is: 1.0000624967122007</t>
  </si>
  <si>
    <t xml:space="preserve"> actual price is: 1.0000623763992789
</t>
  </si>
  <si>
    <t xml:space="preserve"> 1.0000623763992789
</t>
  </si>
  <si>
    <t>predicted amount of GTBCPS is: 101183455.85013372</t>
  </si>
  <si>
    <t xml:space="preserve"> actual amount is: 101183468.0230516
</t>
  </si>
  <si>
    <t>plot sizes of gold is: 76791950.57371747</t>
  </si>
  <si>
    <t xml:space="preserve"> plot sizes of tb is: 39380408.08644541 </t>
  </si>
  <si>
    <t xml:space="preserve"> plot sizes of reit is: 30605206.701166287</t>
  </si>
  <si>
    <t xml:space="preserve"> plot sizes of total is: 146777565.3613292.
</t>
  </si>
  <si>
    <t xml:space="preserve"> 146777565.3613292.
</t>
  </si>
  <si>
    <t>predicted stdevs of gold is: 0.009149403423974177</t>
  </si>
  <si>
    <t xml:space="preserve"> predicted stdevs of tb is: 0.001799963168880153</t>
  </si>
  <si>
    <t xml:space="preserve"> predicted stdevs of reit is: 0.01103185033737205</t>
  </si>
  <si>
    <t xml:space="preserve"> predicted stdevs of GTBCPS is: 0.007570066152686312.
</t>
  </si>
  <si>
    <t xml:space="preserve"> 0.007570066152686312.
</t>
  </si>
  <si>
    <t>total_value_of_collaterals is: 146777569.54749256</t>
  </si>
  <si>
    <t xml:space="preserve"> createdtionValue_gold is: -9.238488005296393</t>
  </si>
  <si>
    <t xml:space="preserve"> createdValue_tb is: -4.737676531365457</t>
  </si>
  <si>
    <t xml:space="preserve"> createdValue_reit is: -3.6819722291435966
</t>
  </si>
  <si>
    <t xml:space="preserve"> -3.6819722291435966
</t>
  </si>
  <si>
    <t>plotValue_gold_after_creation is: 76791962.64191468</t>
  </si>
  <si>
    <t xml:space="preserve"> plotValue_tb_after_creation  is: 39380413.65616516</t>
  </si>
  <si>
    <t xml:space="preserve"> plotValue_reit_after_creation  is: 30605210.9075495</t>
  </si>
  <si>
    <t xml:space="preserve">total_value_after_creation is: 146777587.20562935
</t>
  </si>
  <si>
    <t xml:space="preserve"> 146777587.20562935
</t>
  </si>
  <si>
    <t>total_amount_gtncps_before_creation is: 101183468.0230516</t>
  </si>
  <si>
    <t>creation_amount_gtbcps is: -12.172917887568474</t>
  </si>
  <si>
    <t xml:space="preserve">total_amount_gtbcps_new is: 101183455.85013372
</t>
  </si>
  <si>
    <t xml:space="preserve"> 101183455.85013372
</t>
  </si>
  <si>
    <t>payout of tranche of gold is: 2.8297092030390174</t>
  </si>
  <si>
    <t xml:space="preserve"> payout of tranche of Treausry Bill Option is: 0.8320432175274597</t>
  </si>
  <si>
    <t xml:space="preserve"> payout of tranche of Collar of REIT is: 0.5244109848241691
</t>
  </si>
  <si>
    <t xml:space="preserve"> 0.5244109848241691
</t>
  </si>
  <si>
    <t>Collateral size of tranche of gold is: 76791962.64191468</t>
  </si>
  <si>
    <t xml:space="preserve"> collateral size of tranche of Treausry Bill Option is: 39380413.65616516</t>
  </si>
  <si>
    <t xml:space="preserve"> collateral size of tranche of Collar of REIT is: 30605210.9075495
</t>
  </si>
  <si>
    <t xml:space="preserve"> 30605210.9075495
</t>
  </si>
  <si>
    <t>Collateral ratio of tranche of gold is: 0.7588904116149763</t>
  </si>
  <si>
    <t xml:space="preserve"> collateral ratio of tranche of Treausry Bill Option is: 0.3891737794025741</t>
  </si>
  <si>
    <t xml:space="preserve"> collateral ratio of tranche of Collar of REIT is: 0.3024535420653015
</t>
  </si>
  <si>
    <t xml:space="preserve"> 0.3024535420653015
</t>
  </si>
  <si>
    <t xml:space="preserve">date is: 2021-06-22 00:00:00
</t>
  </si>
  <si>
    <t xml:space="preserve"> 2021-06-22 00</t>
  </si>
  <si>
    <t>current price of gold is: 1778.74</t>
  </si>
  <si>
    <t xml:space="preserve"> predicted price of gold is: 1779.4677818874645
</t>
  </si>
  <si>
    <t xml:space="preserve"> 1779.4677818874645
</t>
  </si>
  <si>
    <t>current price of tb is: 98.15625</t>
  </si>
  <si>
    <t xml:space="preserve"> current price of tb option is: 4.382909515632784</t>
  </si>
  <si>
    <t xml:space="preserve"> predicted price of tb is: 98.27738405898151
</t>
  </si>
  <si>
    <t xml:space="preserve"> 98.27738405898151
</t>
  </si>
  <si>
    <t>current price of reit is: 77.3</t>
  </si>
  <si>
    <t xml:space="preserve"> current price of reit option is: 6.133334348767434</t>
  </si>
  <si>
    <t xml:space="preserve"> predicted price of reit is: 77.74223679264034
</t>
  </si>
  <si>
    <t xml:space="preserve"> 77.74223679264034
</t>
  </si>
  <si>
    <t>value_ratio_gold_to_total is: 0.06163779467267241</t>
  </si>
  <si>
    <t xml:space="preserve"> risk_ratio_to_gold is: 0.6832786375031094</t>
  </si>
  <si>
    <t xml:space="preserve"> risk_ratio_to_gold_before is: 0.6814304564976238
</t>
  </si>
  <si>
    <t xml:space="preserve"> 0.6814304564976238
</t>
  </si>
  <si>
    <t>value_ratio_tb_to_total is: 0.38145949745469765</t>
  </si>
  <si>
    <t xml:space="preserve"> risk_ratio_tb_to_gold is: 0.2274218194691651</t>
  </si>
  <si>
    <t xml:space="preserve"> risk_ratio_tb_to_gold_before is: 0.2277243526407753
</t>
  </si>
  <si>
    <t xml:space="preserve"> 0.2277243526407753
</t>
  </si>
  <si>
    <t>value_ratio_reit_to_total is: 0.55690270787263</t>
  </si>
  <si>
    <t xml:space="preserve"> risk_ratio_reit_to_gold is: 0.23610995968066878</t>
  </si>
  <si>
    <t xml:space="preserve"> risk_ratio_reit_to_gold_before is: 0.23977682882936519
</t>
  </si>
  <si>
    <t xml:space="preserve"> 0.23977682882936519
</t>
  </si>
  <si>
    <t>delta_gold is: 0.9974597228686627</t>
  </si>
  <si>
    <t xml:space="preserve"> delta_tb is: 1.0012345377583978</t>
  </si>
  <si>
    <t xml:space="preserve"> delta_reit is: 0.994403815274087
</t>
  </si>
  <si>
    <t xml:space="preserve"> 0.994403815274087
</t>
  </si>
  <si>
    <t>delta_gold_risk is: 1.001099171838088</t>
  </si>
  <si>
    <t xml:space="preserve"> delta_tb_risk is: 0.9997535821693531</t>
  </si>
  <si>
    <t xml:space="preserve"> delta_reit_risk is: 0.9970423151462198
</t>
  </si>
  <si>
    <t xml:space="preserve"> 0.9970423151462198
</t>
  </si>
  <si>
    <t xml:space="preserve">collateral_ratio_tranche_gold is: 0.7561315012051437
</t>
  </si>
  <si>
    <t xml:space="preserve"> 0.7561315012051437
</t>
  </si>
  <si>
    <t xml:space="preserve">collateral_ratio_tranche_tb is: 0.39074286570998273
</t>
  </si>
  <si>
    <t xml:space="preserve"> 0.39074286570998273
</t>
  </si>
  <si>
    <t xml:space="preserve">collateral_ratio_tranche_reit is: 0.30242138525808543
</t>
  </si>
  <si>
    <t xml:space="preserve"> 0.30242138525808543
</t>
  </si>
  <si>
    <t>Total plot size is: 146459858.53284526</t>
  </si>
  <si>
    <t xml:space="preserve"> plot size of gold is: 76596889.77534492</t>
  </si>
  <si>
    <t xml:space="preserve"> plot size of TB is: 39429030.26376502</t>
  </si>
  <si>
    <t xml:space="preserve"> plot size of REIT is: 30433938.49373533
</t>
  </si>
  <si>
    <t xml:space="preserve"> 30433938.49373533
</t>
  </si>
  <si>
    <t xml:space="preserve">collateral ratio is: 1.4473779790852728
</t>
  </si>
  <si>
    <t xml:space="preserve"> 1.4473779790852728
</t>
  </si>
  <si>
    <t>S_gtbcps_0 is: 1.0000624967122007</t>
  </si>
  <si>
    <t xml:space="preserve">stdev_gtbcps is: 0.007606374289467404
</t>
  </si>
  <si>
    <t xml:space="preserve"> 0.007606374289467404
</t>
  </si>
  <si>
    <t>predicted price of GTBCPS is: 1.000056157716566</t>
  </si>
  <si>
    <t xml:space="preserve"> actual price is: 1.0000624967122007
</t>
  </si>
  <si>
    <t xml:space="preserve"> 1.0000624967122007
</t>
  </si>
  <si>
    <t>predicted amount of GTBCPS is: 101184097.21560103</t>
  </si>
  <si>
    <t xml:space="preserve"> actual amount is: 101183455.85013372
</t>
  </si>
  <si>
    <t>plot sizes of gold is: 76596889.77534492</t>
  </si>
  <si>
    <t xml:space="preserve"> plot sizes of tb is: 39429030.26376502 </t>
  </si>
  <si>
    <t xml:space="preserve"> plot sizes of reit is: 30433938.49373533</t>
  </si>
  <si>
    <t xml:space="preserve"> plot sizes of total is: 146459858.53284526.
</t>
  </si>
  <si>
    <t xml:space="preserve"> 146459858.53284526.
</t>
  </si>
  <si>
    <t>predicted stdevs of gold is: 0.009220642921131252</t>
  </si>
  <si>
    <t xml:space="preserve"> predicted stdevs of tb is: 0.0018057066199472995</t>
  </si>
  <si>
    <t xml:space="preserve"> predicted stdevs of reit is: 0.01105866307771695</t>
  </si>
  <si>
    <t xml:space="preserve"> predicted stdevs of GTBCPS is: 0.007606374289467404.
</t>
  </si>
  <si>
    <t xml:space="preserve"> 0.007606374289467404.
</t>
  </si>
  <si>
    <t>total_value_of_collaterals is: 146459637.37954873</t>
  </si>
  <si>
    <t xml:space="preserve"> createdtionValue_gold is: 485.51602072459497</t>
  </si>
  <si>
    <t xml:space="preserve"> createdValue_tb is: 249.92453614710325</t>
  </si>
  <si>
    <t xml:space="preserve"> createdValue_reit is: 192.90842636652138
</t>
  </si>
  <si>
    <t xml:space="preserve"> 192.90842636652138
</t>
  </si>
  <si>
    <t>plotValue_gold_after_creation is: 76596248.70912874</t>
  </si>
  <si>
    <t xml:space="preserve"> plotValue_tb_after_creation  is: 39428733.78445329</t>
  </si>
  <si>
    <t xml:space="preserve"> plotValue_reit_after_creation  is: 30433726.53698347</t>
  </si>
  <si>
    <t xml:space="preserve">total_value_after_creation is: 146458709.0305655
</t>
  </si>
  <si>
    <t xml:space="preserve"> 146458709.0305655
</t>
  </si>
  <si>
    <t>total_amount_gtncps_before_creation is: 101183455.85013372</t>
  </si>
  <si>
    <t>creation_amount_gtbcps is: 641.3654673099518</t>
  </si>
  <si>
    <t xml:space="preserve">total_amount_gtbcps_new is: 101184097.21560103
</t>
  </si>
  <si>
    <t xml:space="preserve"> 101184097.21560103
</t>
  </si>
  <si>
    <t>payout of tranche of gold is: -155.5501954548156</t>
  </si>
  <si>
    <t xml:space="preserve"> payout of tranche of Treausry Bill Option is: -46.55477558645095</t>
  </si>
  <si>
    <t xml:space="preserve"> payout of tranche of Collar of REIT is: -19.048325489735266
</t>
  </si>
  <si>
    <t xml:space="preserve"> -19.048325489735266
</t>
  </si>
  <si>
    <t>Collateral size of tranche of gold is: 76596248.70912874</t>
  </si>
  <si>
    <t xml:space="preserve"> collateral size of tranche of Treausry Bill Option is: 39428733.78445329</t>
  </si>
  <si>
    <t xml:space="preserve"> collateral size of tranche of Collar of REIT is: 30433726.53698347
</t>
  </si>
  <si>
    <t xml:space="preserve"> 30433726.53698347
</t>
  </si>
  <si>
    <t>Collateral ratio of tranche of gold is: 0.7569611735113482</t>
  </si>
  <si>
    <t xml:space="preserve"> collateral ratio of tranche of Treausry Bill Option is: 0.3896538159314485</t>
  </si>
  <si>
    <t xml:space="preserve"> collateral ratio of tranche of Collar of REIT is: 0.3007608041124982
</t>
  </si>
  <si>
    <t xml:space="preserve"> 0.3007608041124982
</t>
  </si>
  <si>
    <t xml:space="preserve">date is: 2021-06-23 00:00:00
</t>
  </si>
  <si>
    <t xml:space="preserve"> 2021-06-23 00</t>
  </si>
  <si>
    <t>current price of gold is: 1778.68</t>
  </si>
  <si>
    <t xml:space="preserve"> predicted price of gold is: 1774.2696766706279
</t>
  </si>
  <si>
    <t xml:space="preserve"> 1774.2696766706279
</t>
  </si>
  <si>
    <t>current price of tb is: 98.0546875</t>
  </si>
  <si>
    <t xml:space="preserve"> current price of tb option is: 4.381448847384455</t>
  </si>
  <si>
    <t xml:space="preserve"> predicted price of tb is: 98.17733249652844
</t>
  </si>
  <si>
    <t xml:space="preserve"> 98.17733249652844
</t>
  </si>
  <si>
    <t xml:space="preserve"> current price of reit option is: 6.078892378317761</t>
  </si>
  <si>
    <t xml:space="preserve"> predicted price of reit is: 78.76416027412901
</t>
  </si>
  <si>
    <t xml:space="preserve"> 78.76416027412901
</t>
  </si>
  <si>
    <t>value_ratio_gold_to_total is: -0.6546592095491188</t>
  </si>
  <si>
    <t xml:space="preserve"> risk_ratio_to_gold is: 0.6822977718037927</t>
  </si>
  <si>
    <t xml:space="preserve"> risk_ratio_to_gold_before is: 0.6832786375031094
</t>
  </si>
  <si>
    <t xml:space="preserve"> 0.6832786375031094
</t>
  </si>
  <si>
    <t>value_ratio_tb_to_total is: 0.6685783094299349</t>
  </si>
  <si>
    <t xml:space="preserve"> risk_ratio_tb_to_gold is: 0.2272466103333235</t>
  </si>
  <si>
    <t xml:space="preserve"> risk_ratio_tb_to_gold_before is: 0.2274218194691651
</t>
  </si>
  <si>
    <t xml:space="preserve"> 0.2274218194691651
</t>
  </si>
  <si>
    <t>value_ratio_reit_to_total is: 0.986080900119184</t>
  </si>
  <si>
    <t xml:space="preserve"> risk_ratio_reit_to_gold is: 0.23838913013860705</t>
  </si>
  <si>
    <t xml:space="preserve"> risk_ratio_reit_to_gold_before is: 0.23610995968066878
</t>
  </si>
  <si>
    <t xml:space="preserve"> 0.23610995968066878
</t>
  </si>
  <si>
    <t>delta_gold is: 0.9999662682573057</t>
  </si>
  <si>
    <t xml:space="preserve"> delta_tb is: 0.9989952797669205</t>
  </si>
  <si>
    <t xml:space="preserve"> delta_reit is: 1.0101345347893653
</t>
  </si>
  <si>
    <t xml:space="preserve"> 1.0101345347893653
</t>
  </si>
  <si>
    <t>delta_gold_risk is: 0.999417288571563</t>
  </si>
  <si>
    <t xml:space="preserve"> delta_tb_risk is: 0.9998572543415292</t>
  </si>
  <si>
    <t xml:space="preserve"> delta_reit_risk is: 1.0018438250093276
</t>
  </si>
  <si>
    <t xml:space="preserve"> 1.0018438250093276
</t>
  </si>
  <si>
    <t xml:space="preserve">collateral_ratio_tranche_gold is: 0.7573769721090967
</t>
  </si>
  <si>
    <t xml:space="preserve"> 0.7573769721090967
</t>
  </si>
  <si>
    <t xml:space="preserve">collateral_ratio_tranche_tb is: 0.389331029112244
</t>
  </si>
  <si>
    <t xml:space="preserve"> 0.389331029112244
</t>
  </si>
  <si>
    <t xml:space="preserve">collateral_ratio_tranche_reit is: 0.3032599649857778
</t>
  </si>
  <si>
    <t xml:space="preserve"> 0.3032599649857778
</t>
  </si>
  <si>
    <t>Total plot size is: 146724942.11937383</t>
  </si>
  <si>
    <t xml:space="preserve"> plot size of gold is: 76593664.98417594</t>
  </si>
  <si>
    <t xml:space="preserve"> plot size of TB is: 39389118.93785534</t>
  </si>
  <si>
    <t xml:space="preserve"> plot size of REIT is: 30742158.19734256
</t>
  </si>
  <si>
    <t xml:space="preserve"> 30742158.19734256
</t>
  </si>
  <si>
    <t xml:space="preserve">collateral ratio is: 1.4499976466829467
</t>
  </si>
  <si>
    <t xml:space="preserve"> 1.4499976466829467
</t>
  </si>
  <si>
    <t>S_gtbcps_0 is: 1.000056157716566</t>
  </si>
  <si>
    <t xml:space="preserve">stdev_gtbcps is: 0.007607532269234543
</t>
  </si>
  <si>
    <t xml:space="preserve"> 0.007607532269234543
</t>
  </si>
  <si>
    <t>predicted price of GTBCPS is: 1.0000674736772859</t>
  </si>
  <si>
    <t xml:space="preserve"> actual price is: 1.000056157716566
</t>
  </si>
  <si>
    <t xml:space="preserve"> 1.000056157716566
</t>
  </si>
  <si>
    <t>predicted amount of GTBCPS is: 101182952.29758331</t>
  </si>
  <si>
    <t xml:space="preserve"> actual amount is: 101184097.21560103
</t>
  </si>
  <si>
    <t>plot sizes of gold is: 76593664.98417594</t>
  </si>
  <si>
    <t xml:space="preserve"> plot sizes of tb is: 39389118.93785534 </t>
  </si>
  <si>
    <t xml:space="preserve"> plot sizes of reit is: 30742158.19734256</t>
  </si>
  <si>
    <t xml:space="preserve"> plot sizes of total is: 146724942.11937386.
</t>
  </si>
  <si>
    <t xml:space="preserve"> 146724942.11937386.
</t>
  </si>
  <si>
    <t>predicted stdevs of gold is: 0.009193693497255302</t>
  </si>
  <si>
    <t xml:space="preserve"> predicted stdevs of tb is: 0.0018057516048339097</t>
  </si>
  <si>
    <t xml:space="preserve"> predicted stdevs of reit is: 0.011089302359818731</t>
  </si>
  <si>
    <t xml:space="preserve"> predicted stdevs of GTBCPS is: 0.007607532269234543.
</t>
  </si>
  <si>
    <t xml:space="preserve"> 0.007607532269234543.
</t>
  </si>
  <si>
    <t>total_value_of_collaterals is: 146725336.36986655</t>
  </si>
  <si>
    <t xml:space="preserve"> createdtionValue_gold is: -866.6853713011559</t>
  </si>
  <si>
    <t xml:space="preserve"> createdValue_tb is: -445.70162704534016</t>
  </si>
  <si>
    <t xml:space="preserve"> createdValue_reit is: -347.857909028065
</t>
  </si>
  <si>
    <t xml:space="preserve"> -347.857909028065
</t>
  </si>
  <si>
    <t>plotValue_gold_after_creation is: 76594808.98036529</t>
  </si>
  <si>
    <t xml:space="preserve"> plotValue_tb_after_creation  is: 39389647.17325709</t>
  </si>
  <si>
    <t xml:space="preserve"> plotValue_reit_after_creation  is: 30742540.46115154</t>
  </si>
  <si>
    <t xml:space="preserve">total_value_after_creation is: 146726996.61477393
</t>
  </si>
  <si>
    <t xml:space="preserve"> 146726996.61477393
</t>
  </si>
  <si>
    <t>total_amount_gtncps_before_creation is: 101184097.21560103</t>
  </si>
  <si>
    <t>creation_amount_gtbcps is: -1144.9180177152157</t>
  </si>
  <si>
    <t xml:space="preserve">total_amount_gtbcps_new is: 101182952.29758331
</t>
  </si>
  <si>
    <t xml:space="preserve"> 101182952.29758331
</t>
  </si>
  <si>
    <t>payout of tranche of gold is: 277.31081806734534</t>
  </si>
  <si>
    <t xml:space="preserve"> payout of tranche of Treausry Bill Option is: 82.53377470013154</t>
  </si>
  <si>
    <t xml:space="preserve"> payout of tranche of Collar of REIT is: 34.4058999517633
</t>
  </si>
  <si>
    <t xml:space="preserve"> 34.4058999517633
</t>
  </si>
  <si>
    <t>Collateral size of tranche of gold is: 76594808.98036529</t>
  </si>
  <si>
    <t xml:space="preserve"> collateral size of tranche of Treausry Bill Option is: 39389647.17325709</t>
  </si>
  <si>
    <t xml:space="preserve"> collateral size of tranche of Collar of REIT is: 30742540.46115154
</t>
  </si>
  <si>
    <t xml:space="preserve"> 30742540.46115154
</t>
  </si>
  <si>
    <t>Collateral ratio of tranche of gold is: 0.7569335824821974</t>
  </si>
  <si>
    <t xml:space="preserve"> collateral ratio of tranche of Treausry Bill Option is: 0.3892606711142301</t>
  </si>
  <si>
    <t xml:space="preserve"> collateral ratio of tranche of Collar of REIT is: 0.3038072892358607
</t>
  </si>
  <si>
    <t xml:space="preserve"> 0.3038072892358607
</t>
  </si>
  <si>
    <t xml:space="preserve">date is: 2021-06-24 00:00:00
</t>
  </si>
  <si>
    <t xml:space="preserve"> 2021-06-24 00</t>
  </si>
  <si>
    <t>current price of gold is: 1775.17</t>
  </si>
  <si>
    <t xml:space="preserve"> predicted price of gold is: 1777.2108706471681
</t>
  </si>
  <si>
    <t xml:space="preserve"> 1777.2108706471681
</t>
  </si>
  <si>
    <t>current price of tb is: 98.0078125</t>
  </si>
  <si>
    <t xml:space="preserve"> current price of tb option is: 4.38229586308983</t>
  </si>
  <si>
    <t xml:space="preserve"> predicted price of tb is: 98.1295811162255
</t>
  </si>
  <si>
    <t xml:space="preserve"> 98.1295811162255
</t>
  </si>
  <si>
    <t>current price of reit is: 78.25</t>
  </si>
  <si>
    <t xml:space="preserve"> current price of reit option is: 6.0896527769803015</t>
  </si>
  <si>
    <t xml:space="preserve"> predicted price of reit is: 79.03722699634183
</t>
  </si>
  <si>
    <t xml:space="preserve"> 79.03722699634183
</t>
  </si>
  <si>
    <t>value_ratio_gold_to_total is: 0.15205623549447267</t>
  </si>
  <si>
    <t xml:space="preserve"> risk_ratio_to_gold is: 0.684877064908482</t>
  </si>
  <si>
    <t xml:space="preserve"> risk_ratio_to_gold_before is: 0.6822977718037927
</t>
  </si>
  <si>
    <t xml:space="preserve"> 0.6822977718037927
</t>
  </si>
  <si>
    <t>value_ratio_tb_to_total is: 0.33557790156833395</t>
  </si>
  <si>
    <t xml:space="preserve"> risk_ratio_tb_to_gold is: 0.22615850525518075</t>
  </si>
  <si>
    <t xml:space="preserve"> risk_ratio_tb_to_gold_before is: 0.2272466103333235
</t>
  </si>
  <si>
    <t xml:space="preserve"> 0.2272466103333235
</t>
  </si>
  <si>
    <t>value_ratio_reit_to_total is: 0.5123658629371933</t>
  </si>
  <si>
    <t xml:space="preserve"> risk_ratio_reit_to_gold is: 0.2339575524107698</t>
  </si>
  <si>
    <t xml:space="preserve"> risk_ratio_reit_to_gold_before is: 0.23838913013860705
</t>
  </si>
  <si>
    <t xml:space="preserve"> 0.23838913013860705
</t>
  </si>
  <si>
    <t>delta_gold is: 0.9980266264870579</t>
  </si>
  <si>
    <t xml:space="preserve"> delta_tb is: 0.9995506665329652</t>
  </si>
  <si>
    <t xml:space="preserve"> delta_reit is: 1.0007209444375442
</t>
  </si>
  <si>
    <t xml:space="preserve"> 1.0007209444375442
</t>
  </si>
  <si>
    <t>delta_gold_risk is: 1.0015331965291279</t>
  </si>
  <si>
    <t xml:space="preserve"> delta_tb_risk is: 0.9991133769945004</t>
  </si>
  <si>
    <t xml:space="preserve"> delta_reit_risk is: 0.9964214982027974
</t>
  </si>
  <si>
    <t xml:space="preserve"> 0.9964214982027974
</t>
  </si>
  <si>
    <t xml:space="preserve">collateral_ratio_tranche_gold is: 0.7542834051007914
</t>
  </si>
  <si>
    <t xml:space="preserve"> 0.7542834051007914
</t>
  </si>
  <si>
    <t xml:space="preserve">collateral_ratio_tranche_tb is: 0.3902010542131092
</t>
  </si>
  <si>
    <t xml:space="preserve"> 0.3902010542131092
</t>
  </si>
  <si>
    <t xml:space="preserve">collateral_ratio_tranche_reit is: 0.3057214860616319
</t>
  </si>
  <si>
    <t xml:space="preserve"> 0.3057214860616319
</t>
  </si>
  <si>
    <t>Total plot size is: 146580311.024315</t>
  </si>
  <si>
    <t xml:space="preserve"> plot size of gold is: 76443658.81309457</t>
  </si>
  <si>
    <t xml:space="preserve"> plot size of TB is: 39371948.08652745</t>
  </si>
  <si>
    <t xml:space="preserve"> plot size of REIT is: 30764704.124692984
</t>
  </si>
  <si>
    <t xml:space="preserve"> 30764704.124692984
</t>
  </si>
  <si>
    <t xml:space="preserve">collateral ratio is: 1.4485683413143893
</t>
  </si>
  <si>
    <t xml:space="preserve"> 1.4485683413143893
</t>
  </si>
  <si>
    <t>S_gtbcps_0 is: 1.0000674736772859</t>
  </si>
  <si>
    <t xml:space="preserve">stdev_gtbcps is: 0.00759925214773974
</t>
  </si>
  <si>
    <t xml:space="preserve"> 0.00759925214773974
</t>
  </si>
  <si>
    <t>predicted price of GTBCPS is: 1.0000576099408638</t>
  </si>
  <si>
    <t xml:space="preserve"> actual price is: 1.0000674736772859
</t>
  </si>
  <si>
    <t xml:space="preserve"> 1.0000674736772859
</t>
  </si>
  <si>
    <t>predicted amount of GTBCPS is: 101183950.28206135</t>
  </si>
  <si>
    <t xml:space="preserve"> actual amount is: 101182952.29758331
</t>
  </si>
  <si>
    <t>plot sizes of gold is: 76443658.81309457</t>
  </si>
  <si>
    <t xml:space="preserve"> plot sizes of tb is: 39371948.08652745 </t>
  </si>
  <si>
    <t xml:space="preserve"> plot sizes of reit is: 30764704.124692984</t>
  </si>
  <si>
    <t xml:space="preserve"> plot sizes of total is: 146580311.024315.
</t>
  </si>
  <si>
    <t xml:space="preserve"> 146580311.024315.
</t>
  </si>
  <si>
    <t>predicted stdevs of gold is: 0.009193588315035858</t>
  </si>
  <si>
    <t xml:space="preserve"> predicted stdevs of tb is: 0.0017989332234215397</t>
  </si>
  <si>
    <t xml:space="preserve"> predicted stdevs of reit is: 0.01106078277503812</t>
  </si>
  <si>
    <t xml:space="preserve"> predicted stdevs of GTBCPS is: 0.00759925214773974.
</t>
  </si>
  <si>
    <t xml:space="preserve"> 0.00759925214773974.
</t>
  </si>
  <si>
    <t>total_value_of_collaterals is: 146579967.16744256</t>
  </si>
  <si>
    <t xml:space="preserve"> createdtionValue_gold is: 753.9669526159737</t>
  </si>
  <si>
    <t xml:space="preserve"> createdValue_tb is: 388.3276364517129</t>
  </si>
  <si>
    <t xml:space="preserve"> createdValue_reit is: 303.43402319898763
</t>
  </si>
  <si>
    <t xml:space="preserve"> 303.43402319898763
</t>
  </si>
  <si>
    <t>plotValue_gold_after_creation is: 76442674.08868626</t>
  </si>
  <si>
    <t xml:space="preserve"> plotValue_tb_after_creation  is: 39371490.819210775</t>
  </si>
  <si>
    <t xml:space="preserve"> plotValue_reit_after_creation  is: 30764356.530933257</t>
  </si>
  <si>
    <t xml:space="preserve">total_value_after_creation is: 146578521.4388303
</t>
  </si>
  <si>
    <t xml:space="preserve"> 146578521.4388303
</t>
  </si>
  <si>
    <t>total_amount_gtncps_before_creation is: 101182952.29758331</t>
  </si>
  <si>
    <t>creation_amount_gtbcps is: 997.9844780415297</t>
  </si>
  <si>
    <t xml:space="preserve">total_amount_gtbcps_new is: 101183950.28206135
</t>
  </si>
  <si>
    <t xml:space="preserve"> 101183950.28206135
</t>
  </si>
  <si>
    <t>payout of tranche of gold is: -230.75745569150078</t>
  </si>
  <si>
    <t xml:space="preserve"> payout of tranche of Treausry Bill Option is: -68.93968022800453</t>
  </si>
  <si>
    <t xml:space="preserve"> payout of tranche of Collar of REIT is: -44.159736527537866
</t>
  </si>
  <si>
    <t xml:space="preserve"> -44.159736527537866
</t>
  </si>
  <si>
    <t>Collateral size of tranche of gold is: 76442674.08868626</t>
  </si>
  <si>
    <t xml:space="preserve"> collateral size of tranche of Treausry Bill Option is: 39371490.819210775</t>
  </si>
  <si>
    <t xml:space="preserve"> collateral size of tranche of Collar of REIT is: 30764356.530933257
</t>
  </si>
  <si>
    <t xml:space="preserve"> 30764356.530933257
</t>
  </si>
  <si>
    <t>Collateral ratio of tranche of gold is: 0.7554461374050024</t>
  </si>
  <si>
    <t xml:space="preserve"> collateral ratio of tranche of Treausry Bill Option is: 0.38908948460832754</t>
  </si>
  <si>
    <t xml:space="preserve"> collateral ratio of tranche of Collar of REIT is: 0.30402932116268805
</t>
  </si>
  <si>
    <t xml:space="preserve"> 0.30402932116268805
</t>
  </si>
  <si>
    <t xml:space="preserve">date is: 2021-06-25 00:00:00
</t>
  </si>
  <si>
    <t xml:space="preserve"> 2021-06-25 00</t>
  </si>
  <si>
    <t>current price of gold is: 1781.44</t>
  </si>
  <si>
    <t xml:space="preserve"> predicted price of gold is: 1780.3881922219875
</t>
  </si>
  <si>
    <t xml:space="preserve"> 1780.3881922219875
</t>
  </si>
  <si>
    <t>current price of tb is: 97.97265625</t>
  </si>
  <si>
    <t xml:space="preserve"> current price of tb option is: 4.378387184449218</t>
  </si>
  <si>
    <t xml:space="preserve"> predicted price of tb is: 98.098468537805
</t>
  </si>
  <si>
    <t xml:space="preserve"> 98.098468537805
</t>
  </si>
  <si>
    <t>current price of reit is: 78.0</t>
  </si>
  <si>
    <t xml:space="preserve"> current price of reit option is: 6.057289264659644</t>
  </si>
  <si>
    <t xml:space="preserve"> predicted price of reit is: 78.54932718657439
</t>
  </si>
  <si>
    <t xml:space="preserve"> 78.54932718657439
</t>
  </si>
  <si>
    <t>value_ratio_gold_to_total is: -0.10456376640728639</t>
  </si>
  <si>
    <t xml:space="preserve"> risk_ratio_to_gold is: 0.683332672000977</t>
  </si>
  <si>
    <t xml:space="preserve"> risk_ratio_to_gold_before is: 0.684877064908482
</t>
  </si>
  <si>
    <t xml:space="preserve"> 0.684877064908482
</t>
  </si>
  <si>
    <t>value_ratio_tb_to_total is: 0.44777769409403345</t>
  </si>
  <si>
    <t xml:space="preserve"> risk_ratio_tb_to_gold is: 0.22602951645628774</t>
  </si>
  <si>
    <t xml:space="preserve"> risk_ratio_tb_to_gold_before is: 0.22615850525518075
</t>
  </si>
  <si>
    <t xml:space="preserve"> 0.22615850525518075
</t>
  </si>
  <si>
    <t>value_ratio_reit_to_total is: 0.6567860723132529</t>
  </si>
  <si>
    <t xml:space="preserve"> risk_ratio_reit_to_gold is: 0.23738653398915344</t>
  </si>
  <si>
    <t xml:space="preserve"> risk_ratio_reit_to_gold_before is: 0.2339575524107698
</t>
  </si>
  <si>
    <t xml:space="preserve"> 0.2339575524107698
</t>
  </si>
  <si>
    <t>delta_gold is: 1.0035320560847694</t>
  </si>
  <si>
    <t xml:space="preserve"> delta_tb is: 0.9996184697011739</t>
  </si>
  <si>
    <t xml:space="preserve"> delta_reit is: 0.9966520669338382
</t>
  </si>
  <si>
    <t xml:space="preserve"> 0.9966520669338382
</t>
  </si>
  <si>
    <t>delta_gold_risk is: 0.9990833794704252</t>
  </si>
  <si>
    <t xml:space="preserve"> delta_tb_risk is: 0.9998948025085337</t>
  </si>
  <si>
    <t xml:space="preserve"> delta_reit_risk is: 1.002778848892885
</t>
  </si>
  <si>
    <t xml:space="preserve"> 1.002778848892885
</t>
  </si>
  <si>
    <t xml:space="preserve">collateral_ratio_tranche_gold is: 0.7588099563153436
</t>
  </si>
  <si>
    <t xml:space="preserve"> 0.7588099563153436
</t>
  </si>
  <si>
    <t xml:space="preserve">collateral_ratio_tranche_tb is: 0.38761288465910254
</t>
  </si>
  <si>
    <t xml:space="preserve"> 0.38761288465910254
</t>
  </si>
  <si>
    <t xml:space="preserve">collateral_ratio_tranche_reit is: 0.3011082305220898
</t>
  </si>
  <si>
    <t xml:space="preserve"> 0.3011082305220898
</t>
  </si>
  <si>
    <t>Total plot size is: 146730502.8278347</t>
  </si>
  <si>
    <t xml:space="preserve"> plot size of gold is: 76712673.90083724</t>
  </si>
  <si>
    <t xml:space="preserve"> plot size of TB is: 39356469.40255329</t>
  </si>
  <si>
    <t xml:space="preserve"> plot size of REIT is: 30661359.524444155
</t>
  </si>
  <si>
    <t xml:space="preserve"> 30661359.524444155
</t>
  </si>
  <si>
    <t xml:space="preserve">collateral ratio is: 1.4500525999449188
</t>
  </si>
  <si>
    <t xml:space="preserve"> 1.4500525999449188
</t>
  </si>
  <si>
    <t>S_gtbcps_0 is: 1.0000576099408638</t>
  </si>
  <si>
    <t xml:space="preserve">stdev_gtbcps is: 0.007601129138983068
</t>
  </si>
  <si>
    <t xml:space="preserve"> 0.007601129138983068
</t>
  </si>
  <si>
    <t>predicted price of GTBCPS is: 1.0000350870579908</t>
  </si>
  <si>
    <t xml:space="preserve"> actual price is: 1.0000576099408638
</t>
  </si>
  <si>
    <t xml:space="preserve"> 1.0000576099408638
</t>
  </si>
  <si>
    <t>predicted amount of GTBCPS is: 101186229.15636319</t>
  </si>
  <si>
    <t xml:space="preserve"> actual amount is: 101183950.28206135
</t>
  </si>
  <si>
    <t>plot sizes of gold is: 76712673.90083724</t>
  </si>
  <si>
    <t xml:space="preserve"> plot sizes of tb is: 39356469.40255329 </t>
  </si>
  <si>
    <t xml:space="preserve"> plot sizes of reit is: 30661359.524444155</t>
  </si>
  <si>
    <t xml:space="preserve"> plot sizes of total is: 146730502.8278347.
</t>
  </si>
  <si>
    <t xml:space="preserve"> 146730502.8278347.
</t>
  </si>
  <si>
    <t>predicted stdevs of gold is: 0.00919201766827472</t>
  </si>
  <si>
    <t xml:space="preserve"> predicted stdevs of tb is: 0.0017989712121986444</t>
  </si>
  <si>
    <t xml:space="preserve"> predicted stdevs of reit is: 0.011068396722776465</t>
  </si>
  <si>
    <t xml:space="preserve"> predicted stdevs of GTBCPS is: 0.007601129138983068.
</t>
  </si>
  <si>
    <t xml:space="preserve"> 0.007601129138983068.
</t>
  </si>
  <si>
    <t>total_value_of_collaterals is: 146729718.27105653</t>
  </si>
  <si>
    <t xml:space="preserve"> createdtionValue_gold is: 1727.6776197904815</t>
  </si>
  <si>
    <t xml:space="preserve"> createdValue_tb is: 886.3673641203267</t>
  </si>
  <si>
    <t xml:space="preserve"> createdValue_reit is: 690.5408976997797
</t>
  </si>
  <si>
    <t xml:space="preserve"> 690.5408976997797
</t>
  </si>
  <si>
    <t>plotValue_gold_after_creation is: 76710350.47588104</t>
  </si>
  <si>
    <t xml:space="preserve"> plotValue_tb_after_creation  is: 39355462.137837276</t>
  </si>
  <si>
    <t xml:space="preserve"> plotValue_reit_after_creation  is: 30660601.071456593</t>
  </si>
  <si>
    <t xml:space="preserve">total_value_after_creation is: 146726413.6851749
</t>
  </si>
  <si>
    <t xml:space="preserve"> 146726413.6851749
</t>
  </si>
  <si>
    <t>total_amount_gtncps_before_creation is: 101183950.28206135</t>
  </si>
  <si>
    <t>creation_amount_gtbcps is: 2278.8743018358946</t>
  </si>
  <si>
    <t xml:space="preserve">total_amount_gtbcps_new is: 101186229.15636319
</t>
  </si>
  <si>
    <t xml:space="preserve"> 101186229.15636319
</t>
  </si>
  <si>
    <t>payout of tranche of gold is: -595.747336422608</t>
  </si>
  <si>
    <t xml:space="preserve"> payout of tranche of Treausry Bill Option is: -120.8973518889654</t>
  </si>
  <si>
    <t xml:space="preserve"> payout of tranche of Collar of REIT is: -67.91208986222317
</t>
  </si>
  <si>
    <t xml:space="preserve"> -67.91208986222317
</t>
  </si>
  <si>
    <t>Collateral size of tranche of gold is: 76710350.47588104</t>
  </si>
  <si>
    <t xml:space="preserve"> collateral size of tranche of Treausry Bill Option is: 39355462.137837276</t>
  </si>
  <si>
    <t xml:space="preserve"> collateral size of tranche of Collar of REIT is: 30660601.071456593
</t>
  </si>
  <si>
    <t xml:space="preserve"> 30660601.071456593
</t>
  </si>
  <si>
    <t>Collateral ratio of tranche of gold is: 0.7581010507691122</t>
  </si>
  <si>
    <t xml:space="preserve"> collateral ratio of tranche of Treausry Bill Option is: 0.38893600426945235</t>
  </si>
  <si>
    <t xml:space="preserve"> collateral ratio of tranche of Collar of REIT is: 0.3030077915859874
</t>
  </si>
  <si>
    <t xml:space="preserve"> 0.3030077915859874
</t>
  </si>
  <si>
    <t xml:space="preserve">date is: 2021-06-28 00:00:00
</t>
  </si>
  <si>
    <t xml:space="preserve"> 2021-06-28 00</t>
  </si>
  <si>
    <t>current price of gold is: 1778.48</t>
  </si>
  <si>
    <t xml:space="preserve"> predicted price of gold is: 1781.8082887846642
</t>
  </si>
  <si>
    <t xml:space="preserve"> 1781.8082887846642
</t>
  </si>
  <si>
    <t>current price of tb is: 98.06640625</t>
  </si>
  <si>
    <t xml:space="preserve"> current price of tb option is: 4.382225610723753</t>
  </si>
  <si>
    <t xml:space="preserve"> predicted price of tb is: 98.1882476653185
</t>
  </si>
  <si>
    <t xml:space="preserve"> 98.1882476653185
</t>
  </si>
  <si>
    <t>current price of reit is: 77.85</t>
  </si>
  <si>
    <t xml:space="preserve"> current price of reit option is: 6.103127758285581</t>
  </si>
  <si>
    <t xml:space="preserve"> predicted price of reit is: 78.3598514511948
</t>
  </si>
  <si>
    <t xml:space="preserve"> 78.3598514511948
</t>
  </si>
  <si>
    <t>value_ratio_gold_to_total is: 0.23040578705949316</t>
  </si>
  <si>
    <t xml:space="preserve"> risk_ratio_to_gold is: 0.684260645162351</t>
  </si>
  <si>
    <t xml:space="preserve"> risk_ratio_to_gold_before is: 0.683332672000977
</t>
  </si>
  <si>
    <t xml:space="preserve"> 0.683332672000977
</t>
  </si>
  <si>
    <t>value_ratio_tb_to_total is: 0.31180080072549204</t>
  </si>
  <si>
    <t xml:space="preserve"> risk_ratio_tb_to_gold is: 0.22563520705814097</t>
  </si>
  <si>
    <t xml:space="preserve"> risk_ratio_tb_to_gold_before is: 0.22602951645628774
</t>
  </si>
  <si>
    <t xml:space="preserve"> 0.22602951645628774
</t>
  </si>
  <si>
    <t>value_ratio_reit_to_total is: 0.4577934122150148</t>
  </si>
  <si>
    <t xml:space="preserve"> risk_ratio_reit_to_gold is: 0.2357962037206204</t>
  </si>
  <si>
    <t xml:space="preserve"> risk_ratio_reit_to_gold_before is: 0.23738653398915344
</t>
  </si>
  <si>
    <t xml:space="preserve"> 0.23738653398915344
</t>
  </si>
  <si>
    <t>delta_gold is: 0.9983384228489312</t>
  </si>
  <si>
    <t xml:space="preserve"> delta_tb is: 1.0009534678201597</t>
  </si>
  <si>
    <t xml:space="preserve"> delta_reit is: 0.9987608272014803
</t>
  </si>
  <si>
    <t xml:space="preserve"> 0.9987608272014803
</t>
  </si>
  <si>
    <t>delta_gold_risk is: 1.000551271401553</t>
  </si>
  <si>
    <t xml:space="preserve"> delta_tb_risk is: 0.9996783850691567</t>
  </si>
  <si>
    <t xml:space="preserve"> delta_reit_risk is: 0.9987147667888336
</t>
  </si>
  <si>
    <t xml:space="preserve"> 0.9987147667888336
</t>
  </si>
  <si>
    <t xml:space="preserve">collateral_ratio_tranche_gold is: 0.756424412239049
</t>
  </si>
  <si>
    <t xml:space="preserve"> 0.756424412239049
</t>
  </si>
  <si>
    <t xml:space="preserve">collateral_ratio_tranche_tb is: 0.3900802378183704
</t>
  </si>
  <si>
    <t xml:space="preserve"> 0.3900802378183704
</t>
  </si>
  <si>
    <t xml:space="preserve">collateral_ratio_tranche_reit is: 0.30352609824014354
</t>
  </si>
  <si>
    <t xml:space="preserve"> 0.30352609824014354
</t>
  </si>
  <si>
    <t>Total plot size is: 146598483.90343562</t>
  </si>
  <si>
    <t xml:space="preserve"> plot size of gold is: 76582890.31027983</t>
  </si>
  <si>
    <t xml:space="preserve"> plot size of TB is: 39392986.30453322</t>
  </si>
  <si>
    <t xml:space="preserve"> plot size of REIT is: 30622607.28862258
</t>
  </si>
  <si>
    <t xml:space="preserve"> 30622607.28862258
</t>
  </si>
  <si>
    <t xml:space="preserve">collateral ratio is: 1.4487479333563265
</t>
  </si>
  <si>
    <t xml:space="preserve"> 1.4487479333563265
</t>
  </si>
  <si>
    <t>S_gtbcps_0 is: 1.0000350870579908</t>
  </si>
  <si>
    <t xml:space="preserve">stdev_gtbcps is: 0.007599295377002812
</t>
  </si>
  <si>
    <t xml:space="preserve"> 0.007599295377002812
</t>
  </si>
  <si>
    <t>predicted price of GTBCPS is: 1.000027847697542</t>
  </si>
  <si>
    <t xml:space="preserve"> actual price is: 1.0000350870579908
</t>
  </si>
  <si>
    <t xml:space="preserve"> 1.0000350870579908
</t>
  </si>
  <si>
    <t>predicted amount of GTBCPS is: 101186961.65955001</t>
  </si>
  <si>
    <t xml:space="preserve"> actual amount is: 101186229.15636319
</t>
  </si>
  <si>
    <t>plot sizes of gold is: 76582890.31027983</t>
  </si>
  <si>
    <t xml:space="preserve"> plot sizes of tb is: 39392986.30453322 </t>
  </si>
  <si>
    <t xml:space="preserve"> plot sizes of reit is: 30622607.28862258</t>
  </si>
  <si>
    <t xml:space="preserve"> plot sizes of total is: 146598483.90343565.
</t>
  </si>
  <si>
    <t xml:space="preserve"> 146598483.90343565.
</t>
  </si>
  <si>
    <t>predicted stdevs of gold is: 0.009193941645439125</t>
  </si>
  <si>
    <t xml:space="preserve"> predicted stdevs of tb is: 0.001801429686752887</t>
  </si>
  <si>
    <t xml:space="preserve"> predicted stdevs of reit is: 0.011069692997641318</t>
  </si>
  <si>
    <t xml:space="preserve"> predicted stdevs of GTBCPS is: 0.007599295377002812.
</t>
  </si>
  <si>
    <t xml:space="preserve"> 0.007599295377002812.
</t>
  </si>
  <si>
    <t>total_value_of_collaterals is: 146598231.49240744</t>
  </si>
  <si>
    <t xml:space="preserve"> createdtionValue_gold is: 554.3904664265355</t>
  </si>
  <si>
    <t xml:space="preserve"> createdValue_tb is: 285.1696379155748</t>
  </si>
  <si>
    <t xml:space="preserve"> createdValue_reit is: 221.6800988369096
</t>
  </si>
  <si>
    <t xml:space="preserve"> 221.6800988369096
</t>
  </si>
  <si>
    <t>plotValue_gold_after_creation is: 76582166.1763977</t>
  </si>
  <si>
    <t xml:space="preserve"> plotValue_tb_after_creation  is: 39392648.181852646</t>
  </si>
  <si>
    <t xml:space="preserve"> plotValue_reit_after_creation  is: 30622355.893953905</t>
  </si>
  <si>
    <t xml:space="preserve">total_value_after_creation is: 146597170.25220424
</t>
  </si>
  <si>
    <t xml:space="preserve"> 146597170.25220424
</t>
  </si>
  <si>
    <t>total_amount_gtncps_before_creation is: 101186229.15636319</t>
  </si>
  <si>
    <t>creation_amount_gtbcps is: 732.5031868219376</t>
  </si>
  <si>
    <t xml:space="preserve">total_amount_gtbcps_new is: 101186961.65955001
</t>
  </si>
  <si>
    <t xml:space="preserve"> 101186961.65955001
</t>
  </si>
  <si>
    <t>payout of tranche of gold is: -169.74341571502114</t>
  </si>
  <si>
    <t xml:space="preserve"> payout of tranche of Treausry Bill Option is: -52.95304265309822</t>
  </si>
  <si>
    <t xml:space="preserve"> payout of tranche of Collar of REIT is: -29.714569841047837
</t>
  </si>
  <si>
    <t xml:space="preserve"> -29.714569841047837
</t>
  </si>
  <si>
    <t>Collateral size of tranche of gold is: 76582166.1763977</t>
  </si>
  <si>
    <t xml:space="preserve"> collateral size of tranche of Treausry Bill Option is: 39392648.181852646</t>
  </si>
  <si>
    <t xml:space="preserve"> collateral size of tranche of Collar of REIT is: 30622355.893953905
</t>
  </si>
  <si>
    <t xml:space="preserve"> 30622355.893953905
</t>
  </si>
  <si>
    <t>Collateral ratio of tranche of gold is: 0.7568226846406646</t>
  </si>
  <si>
    <t xml:space="preserve"> collateral ratio of tranche of Treausry Bill Option is: 0.3892975511220684</t>
  </si>
  <si>
    <t xml:space="preserve"> collateral ratio of tranche of Collar of REIT is: 0.3026252031615518
</t>
  </si>
  <si>
    <t xml:space="preserve"> 0.3026252031615518
</t>
  </si>
  <si>
    <t xml:space="preserve">date is: 2021-06-29 00:00:00
</t>
  </si>
  <si>
    <t xml:space="preserve"> 2021-06-29 00</t>
  </si>
  <si>
    <t>current price of gold is: 1761.24</t>
  </si>
  <si>
    <t xml:space="preserve"> predicted price of gold is: 1767.6145371461732
</t>
  </si>
  <si>
    <t xml:space="preserve"> 1767.6145371461732
</t>
  </si>
  <si>
    <t>current price of tb is: 98.09375</t>
  </si>
  <si>
    <t xml:space="preserve"> current price of tb option is: 4.382192826286253</t>
  </si>
  <si>
    <t xml:space="preserve"> predicted price of tb is: 98.21562538822856
</t>
  </si>
  <si>
    <t xml:space="preserve"> 98.21562538822856
</t>
  </si>
  <si>
    <t>current price of reit is: 75.95</t>
  </si>
  <si>
    <t xml:space="preserve"> current price of reit option is: 6.128318876905794</t>
  </si>
  <si>
    <t xml:space="preserve"> predicted price of reit is: 76.4343618632105
</t>
  </si>
  <si>
    <t xml:space="preserve"> 76.4343618632105
</t>
  </si>
  <si>
    <t>value_ratio_gold_to_total is: 0.36444073405671945</t>
  </si>
  <si>
    <t xml:space="preserve"> risk_ratio_to_gold is: 0.6860381029854531</t>
  </si>
  <si>
    <t xml:space="preserve"> risk_ratio_to_gold_before is: 0.684260645162351
</t>
  </si>
  <si>
    <t xml:space="preserve"> 0.684260645162351
</t>
  </si>
  <si>
    <t>value_ratio_tb_to_total is: 0.2575035471123932</t>
  </si>
  <si>
    <t xml:space="preserve"> risk_ratio_tb_to_gold is: 0.22584760546174223</t>
  </si>
  <si>
    <t xml:space="preserve"> risk_ratio_tb_to_gold_before is: 0.22563520705814097
</t>
  </si>
  <si>
    <t xml:space="preserve"> 0.22563520705814097
</t>
  </si>
  <si>
    <t>value_ratio_reit_to_total is: 0.3780557188308873</t>
  </si>
  <si>
    <t xml:space="preserve"> risk_ratio_reit_to_gold is: 0.23179737904898584</t>
  </si>
  <si>
    <t xml:space="preserve"> risk_ratio_reit_to_gold_before is: 0.2357962037206204
</t>
  </si>
  <si>
    <t xml:space="preserve"> 0.2357962037206204
</t>
  </si>
  <si>
    <t>delta_gold is: 0.990306329000045</t>
  </si>
  <si>
    <t xml:space="preserve"> delta_tb is: 1.0002665820427903</t>
  </si>
  <si>
    <t xml:space="preserve"> delta_reit is: 0.9776683855451145
</t>
  </si>
  <si>
    <t xml:space="preserve"> 0.9776683855451145
</t>
  </si>
  <si>
    <t>delta_gold_risk is: 1.0010553341777637</t>
  </si>
  <si>
    <t xml:space="preserve"> delta_tb_risk is: 1.0001732965913332</t>
  </si>
  <si>
    <t xml:space="preserve"> delta_reit_risk is: 0.9967641714227674
</t>
  </si>
  <si>
    <t xml:space="preserve"> 0.9967641714227674
</t>
  </si>
  <si>
    <t xml:space="preserve">collateral_ratio_tranche_gold is: 0.7486961698736269
</t>
  </si>
  <si>
    <t xml:space="preserve"> 0.7486961698736269
</t>
  </si>
  <si>
    <t xml:space="preserve">collateral_ratio_tranche_tb is: 0.393144877727571
</t>
  </si>
  <si>
    <t xml:space="preserve"> 0.393144877727571
</t>
  </si>
  <si>
    <t xml:space="preserve">collateral_ratio_tranche_reit is: 0.29973309092749306
</t>
  </si>
  <si>
    <t xml:space="preserve"> 0.29973309092749306
</t>
  </si>
  <si>
    <t>Total plot size is: 145181462.65592554</t>
  </si>
  <si>
    <t xml:space="preserve"> plot size of gold is: 75839803.85301982</t>
  </si>
  <si>
    <t xml:space="preserve"> plot size of TB is: 39403149.55447588</t>
  </si>
  <si>
    <t xml:space="preserve"> plot size of REIT is: 29938509.248429835
</t>
  </si>
  <si>
    <t xml:space="preserve"> 29938509.248429835
</t>
  </si>
  <si>
    <t xml:space="preserve">collateral ratio is: 1.4347443328470297
</t>
  </si>
  <si>
    <t xml:space="preserve"> 1.4347443328470297
</t>
  </si>
  <si>
    <t>S_gtbcps_0 is: 1.000027847697542</t>
  </si>
  <si>
    <t xml:space="preserve">stdev_gtbcps is: 0.007635770839343617
</t>
  </si>
  <si>
    <t xml:space="preserve"> 0.007635770839343617
</t>
  </si>
  <si>
    <t>predicted price of GTBCPS is: 1.0000366298287353</t>
  </si>
  <si>
    <t xml:space="preserve"> actual price is: 1.000027847697542
</t>
  </si>
  <si>
    <t xml:space="preserve"> 1.000027847697542
</t>
  </si>
  <si>
    <t>predicted amount of GTBCPS is: 101186073.0549271</t>
  </si>
  <si>
    <t xml:space="preserve"> actual amount is: 101186961.65955001
</t>
  </si>
  <si>
    <t>plot sizes of gold is: 75839803.85301982</t>
  </si>
  <si>
    <t xml:space="preserve"> plot sizes of tb is: 39403149.55447588 </t>
  </si>
  <si>
    <t xml:space="preserve"> plot sizes of reit is: 29938509.248429835</t>
  </si>
  <si>
    <t xml:space="preserve"> plot sizes of total is: 145181462.65592554.
</t>
  </si>
  <si>
    <t xml:space="preserve"> 145181462.65592554.
</t>
  </si>
  <si>
    <t>predicted stdevs of gold is: 0.009194938121717147</t>
  </si>
  <si>
    <t xml:space="preserve"> predicted stdevs of tb is: 0.001800550983830529</t>
  </si>
  <si>
    <t xml:space="preserve"> predicted stdevs of reit is: 0.011366053428034373</t>
  </si>
  <si>
    <t xml:space="preserve"> predicted stdevs of GTBCPS is: 0.007635770839343617.
</t>
  </si>
  <si>
    <t xml:space="preserve"> 0.007635770839343617.
</t>
  </si>
  <si>
    <t>total_value_of_collaterals is: 145181769.41738912</t>
  </si>
  <si>
    <t xml:space="preserve"> createdtionValue_gold is: -666.0185109766327</t>
  </si>
  <si>
    <t xml:space="preserve"> createdValue_tb is: -346.0344010242708</t>
  </si>
  <si>
    <t xml:space="preserve"> createdValue_reit is: -262.9169289306382
</t>
  </si>
  <si>
    <t xml:space="preserve"> -262.9169289306382
</t>
  </si>
  <si>
    <t>plotValue_gold_after_creation is: 75840692.02075288</t>
  </si>
  <si>
    <t xml:space="preserve"> plotValue_tb_after_creation  is: 39403542.100030564</t>
  </si>
  <si>
    <t xml:space="preserve"> plotValue_reit_after_creation  is: 29938810.26644663</t>
  </si>
  <si>
    <t xml:space="preserve">total_value_after_creation is: 145183044.38723007
</t>
  </si>
  <si>
    <t xml:space="preserve"> 145183044.38723007
</t>
  </si>
  <si>
    <t>total_amount_gtncps_before_creation is: 101186961.65955001</t>
  </si>
  <si>
    <t>creation_amount_gtbcps is: -888.6046229153872</t>
  </si>
  <si>
    <t xml:space="preserve">total_amount_gtbcps_new is: 101186073.0549271
</t>
  </si>
  <si>
    <t xml:space="preserve"> 101186073.0549271
</t>
  </si>
  <si>
    <t>payout of tranche of gold is: 222.149222068798</t>
  </si>
  <si>
    <t xml:space="preserve"> payout of tranche of Treausry Bill Option is: 46.5111536642893</t>
  </si>
  <si>
    <t xml:space="preserve"> payout of tranche of Collar of REIT is: 38.1010878646178
</t>
  </si>
  <si>
    <t xml:space="preserve"> 38.1010878646178
</t>
  </si>
  <si>
    <t>Collateral size of tranche of gold is: 75840692.02075288</t>
  </si>
  <si>
    <t xml:space="preserve"> collateral size of tranche of Treausry Bill Option is: 39403542.100030564</t>
  </si>
  <si>
    <t xml:space="preserve"> collateral size of tranche of Collar of REIT is: 29938810.26644663
</t>
  </si>
  <si>
    <t xml:space="preserve"> 29938810.26644663
</t>
  </si>
  <si>
    <t>Collateral ratio of tranche of gold is: 0.7494830642915199</t>
  </si>
  <si>
    <t xml:space="preserve"> collateral ratio of tranche of Treausry Bill Option is: 0.38939897158361464</t>
  </si>
  <si>
    <t xml:space="preserve"> collateral ratio of tranche of Collar of REIT is: 0.29586532851781966
</t>
  </si>
  <si>
    <t xml:space="preserve"> 0.29586532851781966
</t>
  </si>
  <si>
    <t xml:space="preserve">date is: 2021-06-30 00:00:00
</t>
  </si>
  <si>
    <t xml:space="preserve"> 2021-06-30 00</t>
  </si>
  <si>
    <t>current price of gold is: 1770.11</t>
  </si>
  <si>
    <t xml:space="preserve"> predicted price of gold is: 1771.0046554861542
</t>
  </si>
  <si>
    <t xml:space="preserve"> 1771.0046554861542
</t>
  </si>
  <si>
    <t>current price of tb is: 98.08203125</t>
  </si>
  <si>
    <t xml:space="preserve"> current price of tb option is: 4.385370949154806</t>
  </si>
  <si>
    <t xml:space="preserve"> predicted price of tb is: 98.20061866989779
</t>
  </si>
  <si>
    <t xml:space="preserve"> 98.20061866989779
</t>
  </si>
  <si>
    <t>current price of reit is: 75.25</t>
  </si>
  <si>
    <t xml:space="preserve"> current price of reit option is: 6.182821110158429</t>
  </si>
  <si>
    <t xml:space="preserve"> predicted price of reit is: 75.80130993175324
</t>
  </si>
  <si>
    <t xml:space="preserve"> 75.80130993175324
</t>
  </si>
  <si>
    <t>value_ratio_gold_to_total is: 0.07373891841794018</t>
  </si>
  <si>
    <t xml:space="preserve"> risk_ratio_to_gold is: 0.6878546389221554</t>
  </si>
  <si>
    <t xml:space="preserve"> risk_ratio_to_gold_before is: 0.6860381029854531
</t>
  </si>
  <si>
    <t xml:space="preserve"> 0.6860381029854531
</t>
  </si>
  <si>
    <t>value_ratio_tb_to_total is: 0.37122336348819557</t>
  </si>
  <si>
    <t xml:space="preserve"> risk_ratio_tb_to_gold is: 0.22596474335396188</t>
  </si>
  <si>
    <t xml:space="preserve"> risk_ratio_tb_to_gold_before is: 0.22584760546174223
</t>
  </si>
  <si>
    <t xml:space="preserve"> 0.22584760546174223
</t>
  </si>
  <si>
    <t>value_ratio_reit_to_total is: 0.5550377180938643</t>
  </si>
  <si>
    <t xml:space="preserve"> risk_ratio_reit_to_gold is: 0.2278307875840366</t>
  </si>
  <si>
    <t xml:space="preserve"> risk_ratio_reit_to_gold_before is: 0.23179737904898584
</t>
  </si>
  <si>
    <t xml:space="preserve"> 0.23179737904898584
</t>
  </si>
  <si>
    <t>delta_gold is: 1.0050362244782085</t>
  </si>
  <si>
    <t xml:space="preserve"> delta_tb is: 0.9999166572475852</t>
  </si>
  <si>
    <t xml:space="preserve"> delta_reit is: 0.992135587380689
</t>
  </si>
  <si>
    <t xml:space="preserve"> 0.992135587380689
</t>
  </si>
  <si>
    <t>delta_gold_risk is: 1.0010773991011745</t>
  </si>
  <si>
    <t xml:space="preserve"> delta_tb_risk is: 1.0000955566513305</t>
  </si>
  <si>
    <t xml:space="preserve"> delta_reit_risk is: 0.996779834465948
</t>
  </si>
  <si>
    <t xml:space="preserve"> 0.996779834465948
</t>
  </si>
  <si>
    <t xml:space="preserve">collateral_ratio_tranche_gold is: 0.7524469435852074
</t>
  </si>
  <si>
    <t xml:space="preserve"> 0.7524469435852074
</t>
  </si>
  <si>
    <t xml:space="preserve">collateral_ratio_tranche_tb is: 0.387378390463548
</t>
  </si>
  <si>
    <t xml:space="preserve"> 0.387378390463548
</t>
  </si>
  <si>
    <t xml:space="preserve">collateral_ratio_tranche_reit is: 0.2930111478801632
</t>
  </si>
  <si>
    <t xml:space="preserve"> 0.2930111478801632
</t>
  </si>
  <si>
    <t>Total plot size is: 145326259.97990915</t>
  </si>
  <si>
    <t xml:space="preserve"> plot size of gold is: 76222642.77035207</t>
  </si>
  <si>
    <t xml:space="preserve"> plot size of TB is: 39400258.10037705</t>
  </si>
  <si>
    <t xml:space="preserve"> plot size of REIT is: 29703359.10918003
</t>
  </si>
  <si>
    <t xml:space="preserve"> 29703359.10918003
</t>
  </si>
  <si>
    <t xml:space="preserve">collateral ratio is: 1.4361752809598012
</t>
  </si>
  <si>
    <t xml:space="preserve"> 1.4361752809598012
</t>
  </si>
  <si>
    <t>S_gtbcps_0 is: 1.0000366298287353</t>
  </si>
  <si>
    <t xml:space="preserve">stdev_gtbcps is: 0.007660841682796729
</t>
  </si>
  <si>
    <t xml:space="preserve"> 0.007660841682796729
</t>
  </si>
  <si>
    <t>predicted price of GTBCPS is: 1.0000671081601484</t>
  </si>
  <si>
    <t xml:space="preserve"> actual price is: 1.0000366298287353
</t>
  </si>
  <si>
    <t xml:space="preserve"> 1.0000366298287353
</t>
  </si>
  <si>
    <t>predicted amount of GTBCPS is: 101182989.27920465</t>
  </si>
  <si>
    <t xml:space="preserve"> actual amount is: 101186073.0549271
</t>
  </si>
  <si>
    <t>plot sizes of gold is: 76222642.77035207</t>
  </si>
  <si>
    <t xml:space="preserve"> plot sizes of tb is: 39400258.10037705 </t>
  </si>
  <si>
    <t xml:space="preserve"> plot sizes of reit is: 29703359.10918003</t>
  </si>
  <si>
    <t xml:space="preserve"> plot sizes of total is: 145326259.97990915.
</t>
  </si>
  <si>
    <t xml:space="preserve"> 145326259.97990915.
</t>
  </si>
  <si>
    <t>predicted stdevs of gold is: 0.009238530894199362</t>
  </si>
  <si>
    <t xml:space="preserve"> predicted stdevs of tb is: 0.0017995330439370637</t>
  </si>
  <si>
    <t xml:space="preserve"> predicted stdevs of reit is: 0.01138706778425649</t>
  </si>
  <si>
    <t xml:space="preserve"> predicted stdevs of GTBCPS is: 0.007660841682796729.
</t>
  </si>
  <si>
    <t xml:space="preserve"> 0.007660841682796729.
</t>
  </si>
  <si>
    <t>total_value_of_collaterals is: 145327323.60876304</t>
  </si>
  <si>
    <t xml:space="preserve"> createdtionValue_gold is: -2323.0757612189736</t>
  </si>
  <si>
    <t xml:space="preserve"> createdValue_tb is: -1200.816739908545</t>
  </si>
  <si>
    <t xml:space="preserve"> createdValue_reit is: -905.2795913852768
</t>
  </si>
  <si>
    <t xml:space="preserve"> -905.2795913852768
</t>
  </si>
  <si>
    <t>plotValue_gold_after_creation is: 76225683.98084848</t>
  </si>
  <si>
    <t xml:space="preserve"> plotValue_tb_after_creation  is: 39401675.51279166</t>
  </si>
  <si>
    <t xml:space="preserve"> plotValue_reit_after_creation  is: 29704393.28721543</t>
  </si>
  <si>
    <t xml:space="preserve">total_value_after_creation is: 145331752.78085557
</t>
  </si>
  <si>
    <t xml:space="preserve"> 145331752.78085557
</t>
  </si>
  <si>
    <t>total_amount_gtncps_before_creation is: 101186073.0549271</t>
  </si>
  <si>
    <t>creation_amount_gtbcps is: -3083.7757224440575</t>
  </si>
  <si>
    <t xml:space="preserve">total_amount_gtbcps_new is: 101182989.27920465
</t>
  </si>
  <si>
    <t xml:space="preserve"> 101182989.27920465
</t>
  </si>
  <si>
    <t>payout of tranche of gold is: 718.134735199776</t>
  </si>
  <si>
    <t xml:space="preserve"> payout of tranche of Treausry Bill Option is: 216.59567470022503</t>
  </si>
  <si>
    <t xml:space="preserve"> payout of tranche of Collar of REIT is: 128.89844401476975
</t>
  </si>
  <si>
    <t xml:space="preserve"> 128.89844401476975
</t>
  </si>
  <si>
    <t>Collateral size of tranche of gold is: 76225683.98084848</t>
  </si>
  <si>
    <t xml:space="preserve"> collateral size of tranche of Treausry Bill Option is: 39401675.51279166</t>
  </si>
  <si>
    <t xml:space="preserve"> collateral size of tranche of Collar of REIT is: 29704393.28721543
</t>
  </si>
  <si>
    <t xml:space="preserve"> 29704393.28721543
</t>
  </si>
  <si>
    <t>Collateral ratio of tranche of gold is: 0.7532713411787924</t>
  </si>
  <si>
    <t xml:space="preserve"> collateral ratio of tranche of Treausry Bill Option is: 0.3893720778637975</t>
  </si>
  <si>
    <t xml:space="preserve"> collateral ratio of tranche of Collar of REIT is: 0.293542373145315
</t>
  </si>
  <si>
    <t xml:space="preserve"> 0.293542373145315
</t>
  </si>
  <si>
    <t xml:space="preserve">date is: 2021-07-02 00:00:00
</t>
  </si>
  <si>
    <t xml:space="preserve"> 2021-07-02 00</t>
  </si>
  <si>
    <t>current price of gold is: 1787.3</t>
  </si>
  <si>
    <t xml:space="preserve"> predicted price of gold is: 1776.6373644233379
</t>
  </si>
  <si>
    <t xml:space="preserve"> 1776.6373644233379
</t>
  </si>
  <si>
    <t>current price of tb is: 98.21875</t>
  </si>
  <si>
    <t xml:space="preserve"> current price of tb option is: 4.386003533120388</t>
  </si>
  <si>
    <t xml:space="preserve"> predicted price of tb is: 98.33668324579548
</t>
  </si>
  <si>
    <t xml:space="preserve"> 98.33668324579548
</t>
  </si>
  <si>
    <t>current price of reit is: 74.65</t>
  </si>
  <si>
    <t xml:space="preserve"> current price of reit option is: 6.208015473763467</t>
  </si>
  <si>
    <t xml:space="preserve"> predicted price of reit is: 75.00186638856444
</t>
  </si>
  <si>
    <t xml:space="preserve"> 75.00186638856444
</t>
  </si>
  <si>
    <t>value_ratio_gold_to_total is: -26.577980273867247</t>
  </si>
  <si>
    <t xml:space="preserve"> risk_ratio_to_gold is: 0.6860521842255696</t>
  </si>
  <si>
    <t xml:space="preserve"> risk_ratio_to_gold_before is: 0.6878546389221554
</t>
  </si>
  <si>
    <t xml:space="preserve"> 0.6878546389221554
</t>
  </si>
  <si>
    <t>value_ratio_tb_to_total is: 11.226637354724728</t>
  </si>
  <si>
    <t xml:space="preserve"> risk_ratio_tb_to_gold is: 0.22703660157368027</t>
  </si>
  <si>
    <t xml:space="preserve"> risk_ratio_tb_to_gold_before is: 0.22596474335396188
</t>
  </si>
  <si>
    <t xml:space="preserve"> 0.22596474335396188
</t>
  </si>
  <si>
    <t>value_ratio_reit_to_total is: 16.351342919142517</t>
  </si>
  <si>
    <t xml:space="preserve"> risk_ratio_reit_to_gold is: 0.23057846473329666</t>
  </si>
  <si>
    <t xml:space="preserve"> risk_ratio_reit_to_gold_before is: 0.2278307875840366
</t>
  </si>
  <si>
    <t xml:space="preserve"> 0.2278307875840366
</t>
  </si>
  <si>
    <t>delta_gold is: 1.0097112608820922</t>
  </si>
  <si>
    <t xml:space="preserve"> delta_tb is: 1.001340439310627</t>
  </si>
  <si>
    <t xml:space="preserve"> delta_reit is: 0.9929413517969937
</t>
  </si>
  <si>
    <t xml:space="preserve"> 0.9929413517969937
</t>
  </si>
  <si>
    <t>delta_gold_risk is: 0.9989321031236809</t>
  </si>
  <si>
    <t xml:space="preserve"> delta_tb_risk is: 1.0008742977524672</t>
  </si>
  <si>
    <t xml:space="preserve"> delta_reit_risk is: 1.0022378304706518
</t>
  </si>
  <si>
    <t xml:space="preserve"> 1.0022378304706518
</t>
  </si>
  <si>
    <t xml:space="preserve">collateral_ratio_tranche_gold is: 0.7613996519979823
</t>
  </si>
  <si>
    <t xml:space="preserve"> 0.7613996519979823
</t>
  </si>
  <si>
    <t xml:space="preserve">collateral_ratio_tranche_tb is: 0.38580675180540674
</t>
  </si>
  <si>
    <t xml:space="preserve"> 0.38580675180540674
</t>
  </si>
  <si>
    <t xml:space="preserve">collateral_ratio_tranche_reit is: 0.2880224943542843
</t>
  </si>
  <si>
    <t xml:space="preserve"> 0.2880224943542843
</t>
  </si>
  <si>
    <t>Total plot size is: 145915142.97637323</t>
  </si>
  <si>
    <t xml:space="preserve"> plot size of gold is: 76965931.48390241</t>
  </si>
  <si>
    <t xml:space="preserve"> plot size of TB is: 39454491.06755358</t>
  </si>
  <si>
    <t xml:space="preserve"> plot size of REIT is: 29494720.424917236
</t>
  </si>
  <si>
    <t xml:space="preserve"> 29494720.424917236
</t>
  </si>
  <si>
    <t xml:space="preserve">collateral ratio is: 1.4419948706404009
</t>
  </si>
  <si>
    <t xml:space="preserve"> 1.4419948706404009
</t>
  </si>
  <si>
    <t>S_gtbcps_0 is: 1.0000671081601484</t>
  </si>
  <si>
    <t xml:space="preserve">stdev_gtbcps is: 0.007662056773269579
</t>
  </si>
  <si>
    <t xml:space="preserve"> 0.007662056773269579
</t>
  </si>
  <si>
    <t>predicted price of GTBCPS is: 1.0000662411519774</t>
  </si>
  <si>
    <t xml:space="preserve"> actual price is: 1.0000671081601484
</t>
  </si>
  <si>
    <t xml:space="preserve"> 1.0000671081601484
</t>
  </si>
  <si>
    <t>predicted amount of GTBCPS is: 101183076.9998724</t>
  </si>
  <si>
    <t xml:space="preserve"> actual amount is: 101182989.27920465
</t>
  </si>
  <si>
    <t>plot sizes of gold is: 76965931.48390241</t>
  </si>
  <si>
    <t xml:space="preserve"> plot sizes of tb is: 39454491.06755358 </t>
  </si>
  <si>
    <t xml:space="preserve"> plot sizes of reit is: 29494720.424917236</t>
  </si>
  <si>
    <t xml:space="preserve"> plot sizes of total is: 145915142.97637323.
</t>
  </si>
  <si>
    <t xml:space="preserve"> 145915142.97637323.
</t>
  </si>
  <si>
    <t>predicted stdevs of gold is: 0.009223593687445315</t>
  </si>
  <si>
    <t xml:space="preserve"> predicted stdevs of tb is: 0.0018063734384793928</t>
  </si>
  <si>
    <t xml:space="preserve"> predicted stdevs of reit is: 0.011420284045267149</t>
  </si>
  <si>
    <t xml:space="preserve"> predicted stdevs of GTBCPS is: 0.007662056773269579.
</t>
  </si>
  <si>
    <t xml:space="preserve"> 0.007662056773269579.
</t>
  </si>
  <si>
    <t>total_value_of_collaterals is: 145915112.7154299</t>
  </si>
  <si>
    <t xml:space="preserve"> createdtionValue_gold is: 66.72559359104204</t>
  </si>
  <si>
    <t xml:space="preserve"> createdValue_tb is: 34.20506662738089</t>
  </si>
  <si>
    <t xml:space="preserve"> createdValue_reit is: 25.57044551666084
</t>
  </si>
  <si>
    <t xml:space="preserve"> 25.57044551666084
</t>
  </si>
  <si>
    <t>plotValue_gold_after_creation is: 76965841.6217246</t>
  </si>
  <si>
    <t xml:space="preserve"> plotValue_tb_after_creation  is: 39454452.16776561</t>
  </si>
  <si>
    <t xml:space="preserve"> plotValue_reit_after_creation  is: 29494692.42483395</t>
  </si>
  <si>
    <t xml:space="preserve">total_value_after_creation is: 145914986.21432418
</t>
  </si>
  <si>
    <t xml:space="preserve"> 145914986.21432418
</t>
  </si>
  <si>
    <t>total_amount_gtncps_before_creation is: 101182989.27920465</t>
  </si>
  <si>
    <t>creation_amount_gtbcps is: 87.72066774964333</t>
  </si>
  <si>
    <t xml:space="preserve">total_amount_gtbcps_new is: 101183076.9998724
</t>
  </si>
  <si>
    <t xml:space="preserve"> 101183076.9998724
</t>
  </si>
  <si>
    <t>payout of tranche of gold is: -23.13658420743075</t>
  </si>
  <si>
    <t xml:space="preserve"> payout of tranche of Treausry Bill Option is: -4.694721337512683</t>
  </si>
  <si>
    <t xml:space="preserve"> payout of tranche of Collar of REIT is: -2.4296377707873296
</t>
  </si>
  <si>
    <t xml:space="preserve"> -2.4296377707873296
</t>
  </si>
  <si>
    <t>Collateral size of tranche of gold is: 76965841.6217246</t>
  </si>
  <si>
    <t xml:space="preserve"> collateral size of tranche of Treausry Bill Option is: 39454452.16776561</t>
  </si>
  <si>
    <t xml:space="preserve"> collateral size of tranche of Collar of REIT is: 29494692.42483395
</t>
  </si>
  <si>
    <t xml:space="preserve"> 29494692.42483395
</t>
  </si>
  <si>
    <t>Collateral ratio of tranche of gold is: 0.7606095076025304</t>
  </si>
  <si>
    <t xml:space="preserve"> collateral ratio of tranche of Treausry Bill Option is: 0.3899058439917227</t>
  </si>
  <si>
    <t xml:space="preserve"> collateral ratio of tranche of Collar of REIT is: 0.2914792199947666
</t>
  </si>
  <si>
    <t xml:space="preserve"> 0.2914792199947666
</t>
  </si>
  <si>
    <t xml:space="preserve">date is: 2021-07-06 00:00:00
</t>
  </si>
  <si>
    <t xml:space="preserve"> 2021-07-06 00</t>
  </si>
  <si>
    <t>current price of gold is: 1797.08</t>
  </si>
  <si>
    <t xml:space="preserve"> predicted price of gold is: 1786.655298235776
</t>
  </si>
  <si>
    <t xml:space="preserve"> 1786.655298235776
</t>
  </si>
  <si>
    <t>current price of tb is: 98.47265625</t>
  </si>
  <si>
    <t xml:space="preserve"> current price of tb option is: 4.391268180199216</t>
  </si>
  <si>
    <t xml:space="preserve"> predicted price of tb is: 98.58514339841464
</t>
  </si>
  <si>
    <t xml:space="preserve"> 98.58514339841464
</t>
  </si>
  <si>
    <t>current price of reit is: 76.25</t>
  </si>
  <si>
    <t xml:space="preserve"> current price of reit option is: 6.1846439340846615</t>
  </si>
  <si>
    <t xml:space="preserve"> predicted price of reit is: 76.89385977335964
</t>
  </si>
  <si>
    <t xml:space="preserve"> 76.89385977335964
</t>
  </si>
  <si>
    <t>value_ratio_gold_to_total is: -11.48654976137825</t>
  </si>
  <si>
    <t xml:space="preserve"> risk_ratio_to_gold is: 0.6834828059147329</t>
  </si>
  <si>
    <t xml:space="preserve"> risk_ratio_to_gold_before is: 0.6860521842255696
</t>
  </si>
  <si>
    <t xml:space="preserve"> 0.6860521842255696
</t>
  </si>
  <si>
    <t>value_ratio_tb_to_total is: 4.962502608250547</t>
  </si>
  <si>
    <t xml:space="preserve"> risk_ratio_tb_to_gold is: 0.22930146535217288</t>
  </si>
  <si>
    <t xml:space="preserve"> risk_ratio_tb_to_gold_before is: 0.22703660157368027
</t>
  </si>
  <si>
    <t xml:space="preserve"> 0.22703660157368027
</t>
  </si>
  <si>
    <t>value_ratio_reit_to_total is: 7.524047153127703</t>
  </si>
  <si>
    <t xml:space="preserve"> risk_ratio_reit_to_gold is: 0.23379313095103532</t>
  </si>
  <si>
    <t xml:space="preserve"> risk_ratio_reit_to_gold_before is: 0.23057846473329666
</t>
  </si>
  <si>
    <t xml:space="preserve"> 0.23057846473329666
</t>
  </si>
  <si>
    <t>delta_gold is: 1.005471940916466</t>
  </si>
  <si>
    <t xml:space="preserve"> delta_tb is: 1.002525915107775</t>
  </si>
  <si>
    <t xml:space="preserve"> delta_reit is: 1.0194987281234076
</t>
  </si>
  <si>
    <t xml:space="preserve"> 1.0194987281234076
</t>
  </si>
  <si>
    <t>delta_gold_risk is: 0.9984760979909902</t>
  </si>
  <si>
    <t xml:space="preserve"> delta_tb_risk is: 1.0018457996897467</t>
  </si>
  <si>
    <t xml:space="preserve"> delta_reit_risk is: 1.0026123212049183
</t>
  </si>
  <si>
    <t xml:space="preserve"> 1.0026123212049183
</t>
  </si>
  <si>
    <t xml:space="preserve">collateral_ratio_tranche_gold is: 0.7659387334633371
</t>
  </si>
  <si>
    <t xml:space="preserve"> 0.7659387334633371
</t>
  </si>
  <si>
    <t xml:space="preserve">collateral_ratio_tranche_tb is: 0.38804716523765564
</t>
  </si>
  <si>
    <t xml:space="preserve"> 0.38804716523765564
</t>
  </si>
  <si>
    <t xml:space="preserve">collateral_ratio_tranche_reit is: 0.29477543848950943
</t>
  </si>
  <si>
    <t xml:space="preserve"> 0.29477543848950943
</t>
  </si>
  <si>
    <t>Total plot size is: 147010906.33773923</t>
  </si>
  <si>
    <t xml:space="preserve"> plot size of gold is: 77386994.15966477</t>
  </si>
  <si>
    <t xml:space="preserve"> plot size of TB is: 39554110.764565155</t>
  </si>
  <si>
    <t xml:space="preserve"> plot size of REIT is: 30069801.413509317
</t>
  </si>
  <si>
    <t xml:space="preserve"> 30069801.413509317
</t>
  </si>
  <si>
    <t xml:space="preserve">collateral ratio is: 1.452823665474816
</t>
  </si>
  <si>
    <t xml:space="preserve"> 1.452823665474816
</t>
  </si>
  <si>
    <t>S_gtbcps_0 is: 1.0000662411519774</t>
  </si>
  <si>
    <t xml:space="preserve">stdev_gtbcps is: 0.007696020111015587
</t>
  </si>
  <si>
    <t xml:space="preserve"> 0.007696020111015587
</t>
  </si>
  <si>
    <t>predicted price of GTBCPS is: 1.0000748270516937</t>
  </si>
  <si>
    <t xml:space="preserve"> actual price is: 1.0000662411519774
</t>
  </si>
  <si>
    <t xml:space="preserve"> 1.0000662411519774
</t>
  </si>
  <si>
    <t>predicted amount of GTBCPS is: 101182208.31712127</t>
  </si>
  <si>
    <t xml:space="preserve"> actual amount is: 101183076.9998724
</t>
  </si>
  <si>
    <t>plot sizes of gold is: 77386994.15966477</t>
  </si>
  <si>
    <t xml:space="preserve"> plot sizes of tb is: 39554110.764565155 </t>
  </si>
  <si>
    <t xml:space="preserve"> plot sizes of reit is: 30069801.413509317</t>
  </si>
  <si>
    <t xml:space="preserve"> plot sizes of total is: 147010906.33773923.
</t>
  </si>
  <si>
    <t xml:space="preserve"> 147010906.33773923.
</t>
  </si>
  <si>
    <t>predicted stdevs of gold is: 0.0092016670080214</t>
  </si>
  <si>
    <t xml:space="preserve"> predicted stdevs of tb is: 0.0018258034156099594</t>
  </si>
  <si>
    <t xml:space="preserve"> predicted stdevs of reit is: 0.011542860074015785</t>
  </si>
  <si>
    <t xml:space="preserve"> predicted stdevs of GTBCPS is: 0.007696020111015587.
</t>
  </si>
  <si>
    <t xml:space="preserve"> 0.007696020111015587.
</t>
  </si>
  <si>
    <t>total_value_of_collaterals is: 147011205.83894643</t>
  </si>
  <si>
    <t xml:space="preserve"> createdtionValue_gold is: -664.3947826404581</t>
  </si>
  <si>
    <t xml:space="preserve"> createdValue_tb is: -339.58567137766494</t>
  </si>
  <si>
    <t xml:space="preserve"> createdValue_reit is: -258.15941088240305
</t>
  </si>
  <si>
    <t xml:space="preserve"> -258.15941088240305
</t>
  </si>
  <si>
    <t>plotValue_gold_after_creation is: 77387870.73009355</t>
  </si>
  <si>
    <t xml:space="preserve"> plotValue_tb_after_creation  is: 39554512.9567766</t>
  </si>
  <si>
    <t xml:space="preserve"> plotValue_reit_after_creation  is: 30070084.291941185</t>
  </si>
  <si>
    <t xml:space="preserve">total_value_after_creation is: 147012467.97881135
</t>
  </si>
  <si>
    <t xml:space="preserve"> 147012467.97881135
</t>
  </si>
  <si>
    <t>total_amount_gtncps_before_creation is: 101183076.9998724</t>
  </si>
  <si>
    <t>creation_amount_gtbcps is: -868.682751134038</t>
  </si>
  <si>
    <t xml:space="preserve">total_amount_gtbcps_new is: 101182208.31712127
</t>
  </si>
  <si>
    <t xml:space="preserve"> 101182208.31712127
</t>
  </si>
  <si>
    <t>payout of tranche of gold is: 212.17564613900257</t>
  </si>
  <si>
    <t xml:space="preserve"> payout of tranche of Treausry Bill Option is: 62.60654006422801</t>
  </si>
  <si>
    <t xml:space="preserve"> payout of tranche of Collar of REIT is: 24.719020985755176
</t>
  </si>
  <si>
    <t xml:space="preserve"> 24.719020985755176
</t>
  </si>
  <si>
    <t>Collateral size of tranche of gold is: 77387870.73009355</t>
  </si>
  <si>
    <t xml:space="preserve"> collateral size of tranche of Treausry Bill Option is: 39554512.9567766</t>
  </si>
  <si>
    <t xml:space="preserve"> collateral size of tranche of Collar of REIT is: 30070084.291941185
</t>
  </si>
  <si>
    <t xml:space="preserve"> 30070084.291941185
</t>
  </si>
  <si>
    <t>Collateral ratio of tranche of gold is: 0.7647729516790303</t>
  </si>
  <si>
    <t xml:space="preserve"> collateral ratio of tranche of Treausry Bill Option is: 0.3908909928751559</t>
  </si>
  <si>
    <t xml:space="preserve"> collateral ratio of tranche of Collar of REIT is: 0.29716268071764407
</t>
  </si>
  <si>
    <t xml:space="preserve"> 0.29716268071764407
</t>
  </si>
  <si>
    <t xml:space="preserve">date is: 2021-07-07 00:00:00
</t>
  </si>
  <si>
    <t xml:space="preserve"> 2021-07-07 00</t>
  </si>
  <si>
    <t>current price of gold is: 1803.63</t>
  </si>
  <si>
    <t xml:space="preserve"> predicted price of gold is: 1805.52687630139
</t>
  </si>
  <si>
    <t xml:space="preserve"> 1805.52687630139
</t>
  </si>
  <si>
    <t xml:space="preserve"> current price of tb option is: 4.3943818225843225</t>
  </si>
  <si>
    <t xml:space="preserve"> predicted price of tb is: 98.64051600914485
</t>
  </si>
  <si>
    <t xml:space="preserve"> 98.64051600914485
</t>
  </si>
  <si>
    <t xml:space="preserve"> current price of reit option is: 6.234940608729815</t>
  </si>
  <si>
    <t xml:space="preserve"> predicted price of reit is: 76.07380057636612
</t>
  </si>
  <si>
    <t xml:space="preserve"> 76.07380057636612
</t>
  </si>
  <si>
    <t>value_ratio_gold_to_total is: 0.14414758389013607</t>
  </si>
  <si>
    <t xml:space="preserve"> risk_ratio_to_gold is: 0.6848343726793841</t>
  </si>
  <si>
    <t xml:space="preserve"> risk_ratio_to_gold_before is: 0.6834828059147329
</t>
  </si>
  <si>
    <t xml:space="preserve"> 0.6834828059147329
</t>
  </si>
  <si>
    <t>value_ratio_tb_to_total is: 0.3422415858957727</t>
  </si>
  <si>
    <t xml:space="preserve"> risk_ratio_tb_to_gold is: 0.22860221972900632</t>
  </si>
  <si>
    <t xml:space="preserve"> risk_ratio_tb_to_gold_before is: 0.22930146535217288
</t>
  </si>
  <si>
    <t xml:space="preserve"> 0.22930146535217288
</t>
  </si>
  <si>
    <t>value_ratio_reit_to_total is: 0.5136108302140912</t>
  </si>
  <si>
    <t xml:space="preserve"> risk_ratio_reit_to_gold is: 0.2316048608349328</t>
  </si>
  <si>
    <t xml:space="preserve"> risk_ratio_reit_to_gold_before is: 0.23379313095103532
</t>
  </si>
  <si>
    <t xml:space="preserve"> 0.23379313095103532
</t>
  </si>
  <si>
    <t>delta_gold is: 1.0036448015669865</t>
  </si>
  <si>
    <t xml:space="preserve"> delta_tb is: 1.000599893429372</t>
  </si>
  <si>
    <t xml:space="preserve"> delta_reit is: 0.9921185645458194
</t>
  </si>
  <si>
    <t xml:space="preserve"> 0.9921185645458194
</t>
  </si>
  <si>
    <t>delta_gold_risk is: 1.000802839660674</t>
  </si>
  <si>
    <t xml:space="preserve"> delta_tb_risk is: 0.9994311845850065</t>
  </si>
  <si>
    <t xml:space="preserve"> delta_reit_risk is: 0.9982263881511354
</t>
  </si>
  <si>
    <t xml:space="preserve"> 0.9982263881511354
</t>
  </si>
  <si>
    <t xml:space="preserve">collateral_ratio_tranche_gold is: 0.7669446637381077
</t>
  </si>
  <si>
    <t xml:space="preserve"> 0.7669446637381077
</t>
  </si>
  <si>
    <t xml:space="preserve">collateral_ratio_tranche_tb is: 0.3899268845202571
</t>
  </si>
  <si>
    <t xml:space="preserve"> 0.3899268845202571
</t>
  </si>
  <si>
    <t xml:space="preserve">collateral_ratio_tranche_reit is: 0.2942718760311417
</t>
  </si>
  <si>
    <t xml:space="preserve"> 0.2942718760311417
</t>
  </si>
  <si>
    <t>Total plot size is: 147081264.47529018</t>
  </si>
  <si>
    <t xml:space="preserve"> plot size of gold is: 77669934.16259634</t>
  </si>
  <si>
    <t xml:space="preserve"> plot size of TB is: 39578241.449201375</t>
  </si>
  <si>
    <t xml:space="preserve"> plot size of REIT is: 29833088.863492478
</t>
  </si>
  <si>
    <t xml:space="preserve"> 29833088.863492478
</t>
  </si>
  <si>
    <t xml:space="preserve">collateral ratio is: 1.4535189742096517
</t>
  </si>
  <si>
    <t xml:space="preserve"> 1.4535189742096517
</t>
  </si>
  <si>
    <t>S_gtbcps_0 is: 1.0000748270516937</t>
  </si>
  <si>
    <t xml:space="preserve">stdev_gtbcps is: 0.007708975852826892
</t>
  </si>
  <si>
    <t xml:space="preserve"> 0.007708975852826892
</t>
  </si>
  <si>
    <t>predicted price of GTBCPS is: 1.0000854082903543</t>
  </si>
  <si>
    <t xml:space="preserve"> actual price is: 1.0000748270516937
</t>
  </si>
  <si>
    <t xml:space="preserve"> 1.0000748270516937
</t>
  </si>
  <si>
    <t>predicted amount of GTBCPS is: 101181137.77546</t>
  </si>
  <si>
    <t xml:space="preserve"> actual amount is: 101182208.31712127
</t>
  </si>
  <si>
    <t>plot sizes of gold is: 77669934.16259634</t>
  </si>
  <si>
    <t xml:space="preserve"> plot sizes of tb is: 39578241.449201375 </t>
  </si>
  <si>
    <t xml:space="preserve"> plot sizes of reit is: 29833088.863492478</t>
  </si>
  <si>
    <t xml:space="preserve"> plot sizes of total is: 147081264.4752902.
</t>
  </si>
  <si>
    <t xml:space="preserve"> 147081264.4752902.
</t>
  </si>
  <si>
    <t>predicted stdevs of gold is: 0.009217372361491115</t>
  </si>
  <si>
    <t xml:space="preserve"> predicted stdevs of tb is: 0.0018249704929155322</t>
  </si>
  <si>
    <t xml:space="preserve"> predicted stdevs of reit is: 0.011587941515197108</t>
  </si>
  <si>
    <t xml:space="preserve"> predicted stdevs of GTBCPS is: 0.007708975852826892.
</t>
  </si>
  <si>
    <t xml:space="preserve"> 0.007708975852826892.
</t>
  </si>
  <si>
    <t>total_value_of_collaterals is: 147081634.19788998</t>
  </si>
  <si>
    <t xml:space="preserve"> createdtionValue_gold is: -821.7852790838443</t>
  </si>
  <si>
    <t xml:space="preserve"> createdValue_tb is: -418.75626966078573</t>
  </si>
  <si>
    <t xml:space="preserve"> createdValue_reit is: -315.6478802064555
</t>
  </si>
  <si>
    <t xml:space="preserve"> -315.6478802064555
</t>
  </si>
  <si>
    <t>plotValue_gold_after_creation is: 77671007.40586275</t>
  </si>
  <si>
    <t xml:space="preserve"> plotValue_tb_after_creation  is: 39578734.433323786</t>
  </si>
  <si>
    <t xml:space="preserve"> plotValue_reit_after_creation  is: 29833448.548132386</t>
  </si>
  <si>
    <t xml:space="preserve">total_value_after_creation is: 147083190.3873189
</t>
  </si>
  <si>
    <t xml:space="preserve"> 147083190.3873189
</t>
  </si>
  <si>
    <t>total_amount_gtncps_before_creation is: 101182208.31712127</t>
  </si>
  <si>
    <t>creation_amount_gtbcps is: -1070.5416612625122</t>
  </si>
  <si>
    <t xml:space="preserve">total_amount_gtbcps_new is: 101181137.77546
</t>
  </si>
  <si>
    <t xml:space="preserve"> 101181137.77546
</t>
  </si>
  <si>
    <t>payout of tranche of gold is: 251.45798731763685</t>
  </si>
  <si>
    <t xml:space="preserve"> payout of tranche of Treausry Bill Option is: 74.2278527468925</t>
  </si>
  <si>
    <t xml:space="preserve"> payout of tranche of Collar of REIT is: 44.036759700967046
</t>
  </si>
  <si>
    <t xml:space="preserve"> 44.036759700967046
</t>
  </si>
  <si>
    <t>Collateral size of tranche of gold is: 77671007.40586275</t>
  </si>
  <si>
    <t xml:space="preserve"> collateral size of tranche of Treausry Bill Option is: 39578734.433323786</t>
  </si>
  <si>
    <t xml:space="preserve"> collateral size of tranche of Collar of REIT is: 29833448.548132386
</t>
  </si>
  <si>
    <t xml:space="preserve"> 29833448.548132386
</t>
  </si>
  <si>
    <t>Collateral ratio of tranche of gold is: 0.7675694721054733</t>
  </si>
  <si>
    <t xml:space="preserve"> collateral ratio of tranche of Treausry Bill Option is: 0.3911295773060356</t>
  </si>
  <si>
    <t xml:space="preserve"> collateral ratio of tranche of Collar of REIT is: 0.29482357855252045
</t>
  </si>
  <si>
    <t xml:space="preserve"> 0.29482357855252045
</t>
  </si>
  <si>
    <t xml:space="preserve">date is: 2021-07-08 00:00:00
</t>
  </si>
  <si>
    <t xml:space="preserve"> 2021-07-08 00</t>
  </si>
  <si>
    <t>current price of gold is: 1802.83</t>
  </si>
  <si>
    <t xml:space="preserve"> predicted price of gold is: 1800.8690394854511
</t>
  </si>
  <si>
    <t xml:space="preserve"> 1800.8690394854511
</t>
  </si>
  <si>
    <t>current price of tb is: 98.703125</t>
  </si>
  <si>
    <t xml:space="preserve"> current price of tb option is: 4.39658564887423</t>
  </si>
  <si>
    <t xml:space="preserve"> predicted price of tb is: 98.81011132587983
</t>
  </si>
  <si>
    <t xml:space="preserve"> 98.81011132587983
</t>
  </si>
  <si>
    <t xml:space="preserve"> current price of reit option is: 6.279170970611858</t>
  </si>
  <si>
    <t xml:space="preserve"> predicted price of reit is: 75.39364647021092
</t>
  </si>
  <si>
    <t xml:space="preserve"> 75.39364647021092
</t>
  </si>
  <si>
    <t>value_ratio_gold_to_total is: -0.20717080388568584</t>
  </si>
  <si>
    <t xml:space="preserve"> risk_ratio_to_gold is: 0.6790071909876177</t>
  </si>
  <si>
    <t xml:space="preserve"> risk_ratio_to_gold_before is: 0.6848343726793841
</t>
  </si>
  <si>
    <t xml:space="preserve"> 0.6848343726793841
</t>
  </si>
  <si>
    <t>value_ratio_tb_to_total is: 0.4757916436586327</t>
  </si>
  <si>
    <t xml:space="preserve"> risk_ratio_tb_to_gold is: 0.23745399573925804</t>
  </si>
  <si>
    <t xml:space="preserve"> risk_ratio_tb_to_gold_before is: 0.22860221972900632
</t>
  </si>
  <si>
    <t xml:space="preserve"> 0.22860221972900632
</t>
  </si>
  <si>
    <t>value_ratio_reit_to_total is: 0.7313791602270532</t>
  </si>
  <si>
    <t xml:space="preserve"> risk_ratio_reit_to_gold is: 0.23528445721511698</t>
  </si>
  <si>
    <t xml:space="preserve"> risk_ratio_reit_to_gold_before is: 0.2316048608349328
</t>
  </si>
  <si>
    <t xml:space="preserve"> 0.2316048608349328
</t>
  </si>
  <si>
    <t>delta_gold is: 0.9995564500479588</t>
  </si>
  <si>
    <t xml:space="preserve"> delta_tb is: 1.001691306851436</t>
  </si>
  <si>
    <t xml:space="preserve"> delta_reit is: 0.9907590611120737
</t>
  </si>
  <si>
    <t xml:space="preserve"> 0.9907590611120737
</t>
  </si>
  <si>
    <t>delta_gold_risk is: 0.9965413919692891</t>
  </si>
  <si>
    <t xml:space="preserve"> delta_tb_risk is: 1.0072047533921957</t>
  </si>
  <si>
    <t xml:space="preserve"> delta_reit_risk is: 1.0029876435999852
</t>
  </si>
  <si>
    <t xml:space="preserve"> 1.0029876435999852
</t>
  </si>
  <si>
    <t xml:space="preserve">collateral_ratio_tranche_gold is: 0.7698917705633814
</t>
  </si>
  <si>
    <t xml:space="preserve"> 0.7698917705633814
</t>
  </si>
  <si>
    <t xml:space="preserve">collateral_ratio_tranche_tb is: 0.389161143408168
</t>
  </si>
  <si>
    <t xml:space="preserve"> 0.389161143408168
</t>
  </si>
  <si>
    <t xml:space="preserve">collateral_ratio_tranche_reit is: 0.29135827524208296
</t>
  </si>
  <si>
    <t xml:space="preserve"> 0.29135827524208296
</t>
  </si>
  <si>
    <t>Total plot size is: 146839990.12557793</t>
  </si>
  <si>
    <t xml:space="preserve"> plot size of gold is: 77636556.43425289</t>
  </si>
  <si>
    <t xml:space="preserve"> plot size of TB is: 39645674.21804203</t>
  </si>
  <si>
    <t xml:space="preserve"> plot size of REIT is: 29557759.473283
</t>
  </si>
  <si>
    <t xml:space="preserve"> 29557759.473283
</t>
  </si>
  <si>
    <t xml:space="preserve">collateral ratio is: 1.4511345995134726
</t>
  </si>
  <si>
    <t xml:space="preserve"> 1.4511345995134726
</t>
  </si>
  <si>
    <t>S_gtbcps_0 is: 1.0000854082903543</t>
  </si>
  <si>
    <t xml:space="preserve">stdev_gtbcps is: 0.007575388534905273
</t>
  </si>
  <si>
    <t xml:space="preserve"> 0.007575388534905273
</t>
  </si>
  <si>
    <t>predicted price of GTBCPS is: 1.0000758361906512</t>
  </si>
  <si>
    <t xml:space="preserve"> actual price is: 1.0000854082903543
</t>
  </si>
  <si>
    <t xml:space="preserve"> 1.0000854082903543
</t>
  </si>
  <si>
    <t>predicted amount of GTBCPS is: 101182106.21795589</t>
  </si>
  <si>
    <t xml:space="preserve"> actual amount is: 101181137.77546
</t>
  </si>
  <si>
    <t>plot sizes of gold is: 77636556.43425289</t>
  </si>
  <si>
    <t xml:space="preserve"> plot sizes of tb is: 39645674.21804203 </t>
  </si>
  <si>
    <t xml:space="preserve"> plot sizes of reit is: 29557759.473283</t>
  </si>
  <si>
    <t xml:space="preserve"> plot sizes of total is: 146839990.12557793.
</t>
  </si>
  <si>
    <t xml:space="preserve"> 146839990.12557793.
</t>
  </si>
  <si>
    <t>predicted stdevs of gold is: 0.008958662191544618</t>
  </si>
  <si>
    <t xml:space="preserve"> predicted stdevs of tb is: 0.001834072563568434</t>
  </si>
  <si>
    <t xml:space="preserve"> predicted stdevs of reit is: 0.011642873399021474</t>
  </si>
  <si>
    <t xml:space="preserve"> predicted stdevs of GTBCPS is: 0.007575388534905273.
</t>
  </si>
  <si>
    <t xml:space="preserve"> 0.007575388534905273.
</t>
  </si>
  <si>
    <t>total_value_of_collaterals is: 146839655.75170597</t>
  </si>
  <si>
    <t xml:space="preserve"> createdtionValue_gold is: 743.0791204154223</t>
  </si>
  <si>
    <t xml:space="preserve"> createdValue_tb is: 379.4592658537062</t>
  </si>
  <si>
    <t xml:space="preserve"> createdValue_reit is: 282.9054024219878
</t>
  </si>
  <si>
    <t xml:space="preserve"> 282.9054024219878
</t>
  </si>
  <si>
    <t>plotValue_gold_after_creation is: 77635575.86587133</t>
  </si>
  <si>
    <t xml:space="preserve"> plotValue_tb_after_creation  is: 39645224.596976615</t>
  </si>
  <si>
    <t xml:space="preserve"> plotValue_reit_after_creation  is: 29557449.84506935</t>
  </si>
  <si>
    <t xml:space="preserve">total_value_after_creation is: 146838250.3079173
</t>
  </si>
  <si>
    <t xml:space="preserve"> 146838250.3079173
</t>
  </si>
  <si>
    <t>total_amount_gtncps_before_creation is: 101181137.77546</t>
  </si>
  <si>
    <t>creation_amount_gtbcps is: 968.4424958825111</t>
  </si>
  <si>
    <t xml:space="preserve">total_amount_gtbcps_new is: 101182106.21795589
</t>
  </si>
  <si>
    <t xml:space="preserve"> 101182106.21795589
</t>
  </si>
  <si>
    <t>payout of tranche of gold is: -237.4892611570994</t>
  </si>
  <si>
    <t xml:space="preserve"> payout of tranche of Treausry Bill Option is: -70.16179956279494</t>
  </si>
  <si>
    <t xml:space="preserve"> payout of tranche of Collar of REIT is: -26.722811229949706
</t>
  </si>
  <si>
    <t xml:space="preserve"> -26.722811229949706
</t>
  </si>
  <si>
    <t>Collateral size of tranche of gold is: 77635575.86587133</t>
  </si>
  <si>
    <t xml:space="preserve"> collateral size of tranche of Treausry Bill Option is: 39645224.596976615</t>
  </si>
  <si>
    <t xml:space="preserve"> collateral size of tranche of Collar of REIT is: 29557449.84506935
</t>
  </si>
  <si>
    <t xml:space="preserve"> 29557449.84506935
</t>
  </si>
  <si>
    <t>Collateral ratio of tranche of gold is: 0.76723478735999</t>
  </si>
  <si>
    <t xml:space="preserve"> collateral ratio of tranche of Treausry Bill Option is: 0.3917945493964169</t>
  </si>
  <si>
    <t xml:space="preserve"> collateral ratio of tranche of Collar of REIT is: 0.2921019583336974
</t>
  </si>
  <si>
    <t xml:space="preserve"> 0.2921019583336974
</t>
  </si>
  <si>
    <t xml:space="preserve">date is: 2021-07-09 00:00:00
</t>
  </si>
  <si>
    <t xml:space="preserve"> 2021-07-09 00</t>
  </si>
  <si>
    <t>current price of gold is: 1808.32</t>
  </si>
  <si>
    <t xml:space="preserve"> predicted price of gold is: 1810.1781331141199
</t>
  </si>
  <si>
    <t xml:space="preserve"> 1810.1781331141199
</t>
  </si>
  <si>
    <t>current price of tb is: 98.53515625</t>
  </si>
  <si>
    <t xml:space="preserve"> current price of tb option is: 4.391199282769815</t>
  </si>
  <si>
    <t xml:space="preserve"> predicted price of tb is: 98.64771479332815
</t>
  </si>
  <si>
    <t xml:space="preserve"> 98.64771479332815
</t>
  </si>
  <si>
    <t>current price of reit is: 74.15</t>
  </si>
  <si>
    <t xml:space="preserve"> current price of reit option is: 6.242088935166834</t>
  </si>
  <si>
    <t xml:space="preserve"> predicted price of reit is: 75.0048038465651
</t>
  </si>
  <si>
    <t xml:space="preserve"> 75.0048038465651
</t>
  </si>
  <si>
    <t>value_ratio_gold_to_total is: 0.1380609981189847</t>
  </si>
  <si>
    <t xml:space="preserve"> risk_ratio_to_gold is: 0.6786658459578649</t>
  </si>
  <si>
    <t xml:space="preserve"> risk_ratio_to_gold_before is: 0.6790071909876177
</t>
  </si>
  <si>
    <t xml:space="preserve"> 0.6790071909876177
</t>
  </si>
  <si>
    <t>value_ratio_tb_to_total is: 0.33463334571257153</t>
  </si>
  <si>
    <t xml:space="preserve"> risk_ratio_tb_to_gold is: 0.23937189419293925</t>
  </si>
  <si>
    <t xml:space="preserve"> risk_ratio_tb_to_gold_before is: 0.23745399573925804
</t>
  </si>
  <si>
    <t xml:space="preserve"> 0.23745399573925804
</t>
  </si>
  <si>
    <t>value_ratio_reit_to_total is: 0.5273056561684437</t>
  </si>
  <si>
    <t xml:space="preserve"> risk_ratio_reit_to_gold is: 0.23410729435913225</t>
  </si>
  <si>
    <t xml:space="preserve"> risk_ratio_reit_to_gold_before is: 0.23528445721511698
</t>
  </si>
  <si>
    <t xml:space="preserve"> 0.23528445721511698
</t>
  </si>
  <si>
    <t>delta_gold is: 1.0030452122496298</t>
  </si>
  <si>
    <t xml:space="preserve"> delta_tb is: 0.9983185683547182</t>
  </si>
  <si>
    <t xml:space="preserve"> delta_reit is: 0.9921376212071072
</t>
  </si>
  <si>
    <t xml:space="preserve"> 0.9921376212071072
</t>
  </si>
  <si>
    <t>delta_gold_risk is: 0.999796698291952</t>
  </si>
  <si>
    <t xml:space="preserve"> delta_tb_risk is: 1.0015498745491023</t>
  </si>
  <si>
    <t xml:space="preserve"> delta_reit_risk is: 0.9990470511880004
</t>
  </si>
  <si>
    <t xml:space="preserve"> 0.9990470511880004
</t>
  </si>
  <si>
    <t xml:space="preserve">collateral_ratio_tranche_gold is: 0.7697276670822505
</t>
  </si>
  <si>
    <t xml:space="preserve"> 0.7697276670822505
</t>
  </si>
  <si>
    <t xml:space="preserve">collateral_ratio_tranche_tb is: 0.38934486261449347
</t>
  </si>
  <si>
    <t xml:space="preserve"> 0.38934486261449347
</t>
  </si>
  <si>
    <t xml:space="preserve">collateral_ratio_tranche_reit is: 0.2892010964526431
</t>
  </si>
  <si>
    <t xml:space="preserve"> 0.2892010964526431
</t>
  </si>
  <si>
    <t>Total plot size is: 146775614.51249558</t>
  </si>
  <si>
    <t xml:space="preserve"> plot size of gold is: 77871992.67250514</t>
  </si>
  <si>
    <t xml:space="preserve"> plot size of TB is: 39578563.861754954</t>
  </si>
  <si>
    <t xml:space="preserve"> plot size of REIT is: 29325057.978235483
</t>
  </si>
  <si>
    <t xml:space="preserve"> 29325057.978235483
</t>
  </si>
  <si>
    <t xml:space="preserve">collateral ratio is: 1.4504984126039746
</t>
  </si>
  <si>
    <t xml:space="preserve"> 1.4504984126039746
</t>
  </si>
  <si>
    <t>S_gtbcps_0 is: 1.0000758361906512</t>
  </si>
  <si>
    <t xml:space="preserve">stdev_gtbcps is: 0.007544783910606142
</t>
  </si>
  <si>
    <t xml:space="preserve"> 0.007544783910606142
</t>
  </si>
  <si>
    <t>predicted price of GTBCPS is: 1.0000605003576806</t>
  </si>
  <si>
    <t xml:space="preserve"> actual price is: 1.0000758361906512
</t>
  </si>
  <si>
    <t xml:space="preserve"> 1.0000758361906512
</t>
  </si>
  <si>
    <t>predicted amount of GTBCPS is: 101183657.83596303</t>
  </si>
  <si>
    <t xml:space="preserve"> actual amount is: 101182106.21795589
</t>
  </si>
  <si>
    <t>plot sizes of gold is: 77871992.67250514</t>
  </si>
  <si>
    <t xml:space="preserve"> plot sizes of tb is: 39578563.861754954 </t>
  </si>
  <si>
    <t xml:space="preserve"> plot sizes of reit is: 29325057.978235483</t>
  </si>
  <si>
    <t xml:space="preserve"> plot sizes of total is: 146775614.51249558.
</t>
  </si>
  <si>
    <t xml:space="preserve"> 146775614.51249558.
</t>
  </si>
  <si>
    <t>predicted stdevs of gold is: 0.008887615078300848</t>
  </si>
  <si>
    <t xml:space="preserve"> predicted stdevs of tb is: 0.0018410546087550802</t>
  </si>
  <si>
    <t xml:space="preserve"> predicted stdevs of reit is: 0.0116769658712446</t>
  </si>
  <si>
    <t xml:space="preserve"> predicted stdevs of GTBCPS is: 0.007544783910606142.
</t>
  </si>
  <si>
    <t xml:space="preserve"> 0.007544783910606142.
</t>
  </si>
  <si>
    <t>total_value_of_collaterals is: 146775078.03834403</t>
  </si>
  <si>
    <t xml:space="preserve"> createdtionValue_gold is: 1194.1350012651221</t>
  </si>
  <si>
    <t xml:space="preserve"> createdValue_tb is: 606.9229504044248</t>
  </si>
  <si>
    <t xml:space="preserve"> createdValue_reit is: 449.68944128041034
</t>
  </si>
  <si>
    <t xml:space="preserve"> 449.68944128041034
</t>
  </si>
  <si>
    <t>plotValue_gold_after_creation is: 77870386.899816</t>
  </si>
  <si>
    <t xml:space="preserve"> plotValue_tb_after_creation  is: 39577874.29084615</t>
  </si>
  <si>
    <t xml:space="preserve"> plotValue_reit_after_creation  is: 29324566.100288905</t>
  </si>
  <si>
    <t xml:space="preserve">total_value_after_creation is: 146772827.29095104
</t>
  </si>
  <si>
    <t xml:space="preserve"> 146772827.29095104
</t>
  </si>
  <si>
    <t>total_amount_gtncps_before_creation is: 101182106.21795589</t>
  </si>
  <si>
    <t>creation_amount_gtbcps is: 1551.6180071383715</t>
  </si>
  <si>
    <t xml:space="preserve">total_amount_gtbcps_new is: 101183657.83596303
</t>
  </si>
  <si>
    <t xml:space="preserve"> 101183657.83596303
</t>
  </si>
  <si>
    <t>payout of tranche of gold is: -411.63768786493847</t>
  </si>
  <si>
    <t xml:space="preserve"> payout of tranche of Treausry Bill Option is: -82.64795840248777</t>
  </si>
  <si>
    <t xml:space="preserve"> payout of tranche of Collar of REIT is: -42.188505297909785
</t>
  </si>
  <si>
    <t xml:space="preserve"> -42.188505297909785
</t>
  </si>
  <si>
    <t>Collateral size of tranche of gold is: 77870386.899816</t>
  </si>
  <si>
    <t xml:space="preserve"> collateral size of tranche of Treausry Bill Option is: 39577874.29084615</t>
  </si>
  <si>
    <t xml:space="preserve"> collateral size of tranche of Collar of REIT is: 29324566.100288905
</t>
  </si>
  <si>
    <t xml:space="preserve"> 29324566.100288905
</t>
  </si>
  <si>
    <t>Collateral ratio of tranche of gold is: 0.7695597463729109</t>
  </si>
  <si>
    <t xml:space="preserve"> collateral ratio of tranche of Treausry Bill Option is: 0.39113121320981226</t>
  </si>
  <si>
    <t xml:space="preserve"> collateral ratio of tranche of Collar of REIT is: 0.2898021513578393
</t>
  </si>
  <si>
    <t xml:space="preserve"> 0.2898021513578393
</t>
  </si>
  <si>
    <t xml:space="preserve">date is: 2021-07-12 00:00:00
</t>
  </si>
  <si>
    <t xml:space="preserve"> 2021-07-12 00</t>
  </si>
  <si>
    <t>current price of gold is: 1806.28</t>
  </si>
  <si>
    <t xml:space="preserve"> predicted price of gold is: 1809.339548480672
</t>
  </si>
  <si>
    <t xml:space="preserve"> 1809.339548480672
</t>
  </si>
  <si>
    <t>current price of tb is: 98.4921875</t>
  </si>
  <si>
    <t xml:space="preserve"> current price of tb option is: 4.3904523898614105</t>
  </si>
  <si>
    <t xml:space="preserve"> predicted price of tb is: 98.60551866855688
</t>
  </si>
  <si>
    <t xml:space="preserve"> 98.60551866855688
</t>
  </si>
  <si>
    <t>current price of reit is: 75.0</t>
  </si>
  <si>
    <t xml:space="preserve"> current price of reit option is: 6.200308725793278</t>
  </si>
  <si>
    <t xml:space="preserve"> predicted price of reit is: 75.73718572249442
</t>
  </si>
  <si>
    <t xml:space="preserve"> 75.73718572249442
</t>
  </si>
  <si>
    <t>value_ratio_gold_to_total is: 0.2109913171732059</t>
  </si>
  <si>
    <t xml:space="preserve"> risk_ratio_to_gold is: 0.6757707910682351</t>
  </si>
  <si>
    <t xml:space="preserve"> risk_ratio_to_gold_before is: 0.6786658459578649
</t>
  </si>
  <si>
    <t xml:space="preserve"> 0.6786658459578649
</t>
  </si>
  <si>
    <t>value_ratio_tb_to_total is: 0.31058805940051354</t>
  </si>
  <si>
    <t xml:space="preserve"> risk_ratio_tb_to_gold is: 0.2399307610533985</t>
  </si>
  <si>
    <t xml:space="preserve"> risk_ratio_tb_to_gold_before is: 0.23937189419293925
</t>
  </si>
  <si>
    <t xml:space="preserve"> 0.23937189419293925
</t>
  </si>
  <si>
    <t>value_ratio_reit_to_total is: 0.47842062342628056</t>
  </si>
  <si>
    <t xml:space="preserve"> risk_ratio_reit_to_gold is: 0.2398609275149023</t>
  </si>
  <si>
    <t xml:space="preserve"> risk_ratio_reit_to_gold_before is: 0.23410729435913225
</t>
  </si>
  <si>
    <t xml:space="preserve"> 0.23410729435913225
</t>
  </si>
  <si>
    <t>delta_gold is: 0.9988718810829942</t>
  </si>
  <si>
    <t xml:space="preserve"> delta_tb is: 0.9995752726045518</t>
  </si>
  <si>
    <t xml:space="preserve"> delta_reit is: 1.0100534741829912
</t>
  </si>
  <si>
    <t xml:space="preserve"> 1.0100534741829912
</t>
  </si>
  <si>
    <t>delta_gold_risk is: 0.9982753834560935</t>
  </si>
  <si>
    <t xml:space="preserve"> delta_tb_risk is: 1.0004509274924482</t>
  </si>
  <si>
    <t xml:space="preserve"> delta_reit_risk is: 1.004662182277075
</t>
  </si>
  <si>
    <t xml:space="preserve"> 1.004662182277075
</t>
  </si>
  <si>
    <t xml:space="preserve">collateral_ratio_tranche_gold is: 0.7700195799720132
</t>
  </si>
  <si>
    <t xml:space="preserve"> 0.7700195799720132
</t>
  </si>
  <si>
    <t xml:space="preserve">collateral_ratio_tranche_tb is: 0.3912302258410655
</t>
  </si>
  <si>
    <t xml:space="preserve"> 0.3912302258410655
</t>
  </si>
  <si>
    <t xml:space="preserve">collateral_ratio_tranche_reit is: 0.2916863658298602
</t>
  </si>
  <si>
    <t xml:space="preserve"> 0.2916863658298602
</t>
  </si>
  <si>
    <t>Total plot size is: 146962984.19516656</t>
  </si>
  <si>
    <t xml:space="preserve"> plot size of gold is: 77782539.84327976</t>
  </si>
  <si>
    <t xml:space="preserve"> plot size of TB is: 39561064.48338122</t>
  </si>
  <si>
    <t xml:space="preserve"> plot size of REIT is: 29619379.86850558
</t>
  </si>
  <si>
    <t xml:space="preserve"> 29619379.86850558
</t>
  </si>
  <si>
    <t xml:space="preserve">collateral ratio is: 1.4523500786875203
</t>
  </si>
  <si>
    <t xml:space="preserve"> 1.4523500786875203
</t>
  </si>
  <si>
    <t>S_gtbcps_0 is: 1.0000605003576806</t>
  </si>
  <si>
    <t xml:space="preserve">stdev_gtbcps is: 0.007532640941782371
</t>
  </si>
  <si>
    <t xml:space="preserve"> 0.007532640941782371
</t>
  </si>
  <si>
    <t>predicted price of GTBCPS is: 1.000080853860789</t>
  </si>
  <si>
    <t xml:space="preserve"> actual price is: 1.0000605003576806
</t>
  </si>
  <si>
    <t xml:space="preserve"> 1.0000605003576806
</t>
  </si>
  <si>
    <t>predicted amount of GTBCPS is: 101181598.5605691</t>
  </si>
  <si>
    <t xml:space="preserve"> actual amount is: 101183657.83596303
</t>
  </si>
  <si>
    <t>plot sizes of gold is: 77782539.84327976</t>
  </si>
  <si>
    <t xml:space="preserve"> plot sizes of tb is: 39561064.48338122 </t>
  </si>
  <si>
    <t xml:space="preserve"> plot sizes of reit is: 29619379.86850558</t>
  </si>
  <si>
    <t xml:space="preserve"> plot sizes of total is: 146962984.19516656.
</t>
  </si>
  <si>
    <t xml:space="preserve"> 146962984.19516656.
</t>
  </si>
  <si>
    <t>predicted stdevs of gold is: 0.008843790313338762</t>
  </si>
  <si>
    <t xml:space="preserve"> predicted stdevs of tb is: 0.001840095505101253</t>
  </si>
  <si>
    <t xml:space="preserve"> predicted stdevs of reit is: 0.011692708755780117</t>
  </si>
  <si>
    <t xml:space="preserve"> predicted stdevs of GTBCPS is: 0.007532640941782371.
</t>
  </si>
  <si>
    <t xml:space="preserve"> 0.007532640941782371.
</t>
  </si>
  <si>
    <t>total_value_of_collaterals is: 146963695.78571326</t>
  </si>
  <si>
    <t xml:space="preserve"> createdtionValue_gold is: -1583.0624830069328</t>
  </si>
  <si>
    <t xml:space="preserve"> createdValue_tb is: -805.1597707260601</t>
  </si>
  <si>
    <t xml:space="preserve"> createdValue_reit is: -602.8228259888679
</t>
  </si>
  <si>
    <t xml:space="preserve"> -602.8228259888679
</t>
  </si>
  <si>
    <t>plotValue_gold_after_creation is: 77784667.89116144</t>
  </si>
  <si>
    <t xml:space="preserve"> plotValue_tb_after_creation  is: 39561979.414918646</t>
  </si>
  <si>
    <t xml:space="preserve"> plotValue_reit_after_creation  is: 29620039.524712898</t>
  </si>
  <si>
    <t xml:space="preserve">total_value_after_creation is: 146966686.830793
</t>
  </si>
  <si>
    <t xml:space="preserve"> 146966686.830793
</t>
  </si>
  <si>
    <t>total_amount_gtncps_before_creation is: 101183657.83596303</t>
  </si>
  <si>
    <t>creation_amount_gtbcps is: -2059.275393933058</t>
  </si>
  <si>
    <t xml:space="preserve">total_amount_gtbcps_new is: 101181598.5605691
</t>
  </si>
  <si>
    <t xml:space="preserve"> 101181598.5605691
</t>
  </si>
  <si>
    <t>payout of tranche of gold is: 544.9853986663346</t>
  </si>
  <si>
    <t xml:space="preserve"> payout of tranche of Treausry Bill Option is: 109.7717666966269</t>
  </si>
  <si>
    <t xml:space="preserve"> payout of tranche of Collar of REIT is: 56.83338132829856
</t>
  </si>
  <si>
    <t xml:space="preserve"> 56.83338132829856
</t>
  </si>
  <si>
    <t>Collateral size of tranche of gold is: 77784667.89116144</t>
  </si>
  <si>
    <t xml:space="preserve"> collateral size of tranche of Treausry Bill Option is: 39561979.414918646</t>
  </si>
  <si>
    <t xml:space="preserve"> collateral size of tranche of Collar of REIT is: 29620039.524712898
</t>
  </si>
  <si>
    <t xml:space="preserve"> 29620039.524712898
</t>
  </si>
  <si>
    <t>Collateral ratio of tranche of gold is: 0.7686851896084768</t>
  </si>
  <si>
    <t xml:space="preserve"> collateral ratio of tranche of Treausry Bill Option is: 0.39096017855851667</t>
  </si>
  <si>
    <t xml:space="preserve"> collateral ratio of tranche of Collar of REIT is: 0.2927117427578766
</t>
  </si>
  <si>
    <t xml:space="preserve"> 0.2927117427578766
</t>
  </si>
  <si>
    <t xml:space="preserve">date is: 2021-07-13 00:00:00
</t>
  </si>
  <si>
    <t xml:space="preserve"> 2021-07-13 00</t>
  </si>
  <si>
    <t>current price of gold is: 1807.76</t>
  </si>
  <si>
    <t xml:space="preserve"> predicted price of gold is: 1802.0270531590259
</t>
  </si>
  <si>
    <t xml:space="preserve"> 1802.0270531590259
</t>
  </si>
  <si>
    <t xml:space="preserve"> current price of tb option is: 4.387534159997885</t>
  </si>
  <si>
    <t xml:space="preserve"> predicted price of tb is: 98.38197481631448
</t>
  </si>
  <si>
    <t xml:space="preserve"> 98.38197481631448
</t>
  </si>
  <si>
    <t>current price of reit is: 75.35</t>
  </si>
  <si>
    <t xml:space="preserve"> current price of reit option is: 6.161035635397894</t>
  </si>
  <si>
    <t xml:space="preserve"> predicted price of reit is: 75.87501605314036
</t>
  </si>
  <si>
    <t xml:space="preserve"> 75.87501605314036
</t>
  </si>
  <si>
    <t>value_ratio_gold_to_total is: -1.0505696504068736</t>
  </si>
  <si>
    <t xml:space="preserve"> risk_ratio_to_gold is: 0.6714721156273235</t>
  </si>
  <si>
    <t xml:space="preserve"> risk_ratio_to_gold_before is: 0.6757707910682351
</t>
  </si>
  <si>
    <t xml:space="preserve"> 0.6757707910682351
</t>
  </si>
  <si>
    <t>value_ratio_tb_to_total is: 0.8253423493568635</t>
  </si>
  <si>
    <t xml:space="preserve"> risk_ratio_tb_to_gold is: 0.24190731460867415</t>
  </si>
  <si>
    <t xml:space="preserve"> risk_ratio_tb_to_gold_before is: 0.2399307610533985
</t>
  </si>
  <si>
    <t xml:space="preserve"> 0.2399307610533985
</t>
  </si>
  <si>
    <t>value_ratio_reit_to_total is: 1.2252273010500103</t>
  </si>
  <si>
    <t xml:space="preserve"> risk_ratio_reit_to_gold is: 0.24735780411594943</t>
  </si>
  <si>
    <t xml:space="preserve"> risk_ratio_reit_to_gold_before is: 0.2398609275149023
</t>
  </si>
  <si>
    <t xml:space="preserve"> 0.2398609275149023
</t>
  </si>
  <si>
    <t>delta_gold is: 1.0008193635538234</t>
  </si>
  <si>
    <t xml:space="preserve"> delta_tb is: 0.9977694902647406</t>
  </si>
  <si>
    <t xml:space="preserve"> delta_reit is: 1.0038266715297095
</t>
  </si>
  <si>
    <t xml:space="preserve"> 1.0038266715297095
</t>
  </si>
  <si>
    <t>delta_gold_risk is: 0.9974348070369626</t>
  </si>
  <si>
    <t xml:space="preserve"> delta_tb_risk is: 1.0015940838128707</t>
  </si>
  <si>
    <t xml:space="preserve"> delta_reit_risk is: 1.00604654637845
</t>
  </si>
  <si>
    <t xml:space="preserve"> 1.00604654637845
</t>
  </si>
  <si>
    <t xml:space="preserve">collateral_ratio_tranche_gold is: 0.7712935389958742
</t>
  </si>
  <si>
    <t xml:space="preserve"> 0.7712935389958742
</t>
  </si>
  <si>
    <t xml:space="preserve">collateral_ratio_tranche_tb is: 0.3891484405150505
</t>
  </si>
  <si>
    <t xml:space="preserve"> 0.3891484405150505
</t>
  </si>
  <si>
    <t xml:space="preserve">collateral_ratio_tranche_reit is: 0.2918267524491192
</t>
  </si>
  <si>
    <t xml:space="preserve"> 0.2918267524491192
</t>
  </si>
  <si>
    <t>Total plot size is: 147055523.53443626</t>
  </si>
  <si>
    <t xml:space="preserve"> plot size of gold is: 77848401.81307772</t>
  </si>
  <si>
    <t xml:space="preserve"> plot size of TB is: 39473736.03468754</t>
  </si>
  <si>
    <t xml:space="preserve"> plot size of REIT is: 29733385.686670985
</t>
  </si>
  <si>
    <t xml:space="preserve"> 29733385.686670985
</t>
  </si>
  <si>
    <t xml:space="preserve">collateral ratio is: 1.4532645913956426
</t>
  </si>
  <si>
    <t xml:space="preserve"> 1.4532645913956426
</t>
  </si>
  <si>
    <t>S_gtbcps_0 is: 1.000080853860789</t>
  </si>
  <si>
    <t xml:space="preserve">stdev_gtbcps is: 0.007531398575993396
</t>
  </si>
  <si>
    <t xml:space="preserve"> 0.007531398575993396
</t>
  </si>
  <si>
    <t>predicted price of GTBCPS is: 1.0000463338544787</t>
  </si>
  <si>
    <t xml:space="preserve"> actual price is: 1.000080853860789
</t>
  </si>
  <si>
    <t xml:space="preserve"> 1.000080853860789
</t>
  </si>
  <si>
    <t>predicted amount of GTBCPS is: 101185091.188163</t>
  </si>
  <si>
    <t xml:space="preserve"> actual amount is: 101181598.5605691
</t>
  </si>
  <si>
    <t>plot sizes of gold is: 77848401.81307772</t>
  </si>
  <si>
    <t xml:space="preserve"> plot sizes of tb is: 39473736.03468754 </t>
  </si>
  <si>
    <t xml:space="preserve"> plot sizes of reit is: 29733385.686670985</t>
  </si>
  <si>
    <t xml:space="preserve"> plot sizes of total is: 147055523.53443626.
</t>
  </si>
  <si>
    <t xml:space="preserve"> 147055523.53443626.
</t>
  </si>
  <si>
    <t>predicted stdevs of gold is: 0.008834126568914217</t>
  </si>
  <si>
    <t xml:space="preserve"> predicted stdevs of tb is: 0.0018527654036075824</t>
  </si>
  <si>
    <t xml:space="preserve"> predicted stdevs of reit is: 0.01165947117196274</t>
  </si>
  <si>
    <t xml:space="preserve"> predicted stdevs of GTBCPS is: 0.007531398575993396.
</t>
  </si>
  <si>
    <t xml:space="preserve"> 0.007531398575993396.
</t>
  </si>
  <si>
    <t>total_value_of_collaterals is: 147054317.4120465</t>
  </si>
  <si>
    <t xml:space="preserve"> createdtionValue_gold is: 2687.0794426562106</t>
  </si>
  <si>
    <t xml:space="preserve"> createdValue_tb is: 1362.5173342166133</t>
  </si>
  <si>
    <t xml:space="preserve"> createdValue_reit is: 1026.3087815956796
</t>
  </si>
  <si>
    <t xml:space="preserve"> 1026.3087815956796
</t>
  </si>
  <si>
    <t>plotValue_gold_after_creation is: 77844827.7570971</t>
  </si>
  <si>
    <t xml:space="preserve"> plotValue_tb_after_creation  is: 39472196.2865768</t>
  </si>
  <si>
    <t xml:space="preserve"> plotValue_reit_after_creation  is: 29732217.462814134</t>
  </si>
  <si>
    <t xml:space="preserve">total_value_after_creation is: 147049241.50648803
</t>
  </si>
  <si>
    <t xml:space="preserve"> 147049241.50648803
</t>
  </si>
  <si>
    <t>total_amount_gtncps_before_creation is: 101181598.5605691</t>
  </si>
  <si>
    <t>creation_amount_gtbcps is: 3492.6275939047337</t>
  </si>
  <si>
    <t xml:space="preserve">total_amount_gtbcps_new is: 101185091.188163
</t>
  </si>
  <si>
    <t xml:space="preserve"> 101185091.188163
</t>
  </si>
  <si>
    <t>payout of tranche of gold is: -886.9765379785218</t>
  </si>
  <si>
    <t xml:space="preserve"> payout of tranche of Treausry Bill Option is: -177.2307765252288</t>
  </si>
  <si>
    <t xml:space="preserve"> payout of tranche of Collar of REIT is: -141.91507525821925
</t>
  </si>
  <si>
    <t xml:space="preserve"> -141.91507525821925
</t>
  </si>
  <si>
    <t>Collateral size of tranche of gold is: 77844827.7570971</t>
  </si>
  <si>
    <t xml:space="preserve"> collateral size of tranche of Treausry Bill Option is: 39472196.2865768</t>
  </si>
  <si>
    <t xml:space="preserve"> collateral size of tranche of Collar of REIT is: 29732217.462814134
</t>
  </si>
  <si>
    <t xml:space="preserve"> 29732217.462814134
</t>
  </si>
  <si>
    <t>Collateral ratio of tranche of gold is: 0.7693219140700797</t>
  </si>
  <si>
    <t xml:space="preserve"> collateral ratio of tranche of Treausry Bill Option is: 0.3900943257848062</t>
  </si>
  <si>
    <t xml:space="preserve"> collateral ratio of tranche of Collar of REIT is: 0.2938364321315443
</t>
  </si>
  <si>
    <t xml:space="preserve"> 0.2938364321315443
</t>
  </si>
  <si>
    <t xml:space="preserve">date is: 2021-07-14 00:00:00
</t>
  </si>
  <si>
    <t xml:space="preserve"> 2021-07-14 00</t>
  </si>
  <si>
    <t>current price of gold is: 1827.53</t>
  </si>
  <si>
    <t xml:space="preserve"> predicted price of gold is: 1824.3477930131412
</t>
  </si>
  <si>
    <t xml:space="preserve"> 1824.3477930131412
</t>
  </si>
  <si>
    <t xml:space="preserve"> current price of tb option is: 4.391255261931207</t>
  </si>
  <si>
    <t xml:space="preserve"> predicted price of tb is: 98.59687553496092
</t>
  </si>
  <si>
    <t xml:space="preserve"> 98.59687553496092
</t>
  </si>
  <si>
    <t xml:space="preserve"> current price of reit option is: 6.223081281759704</t>
  </si>
  <si>
    <t xml:space="preserve"> predicted price of reit is: 74.89850286625898
</t>
  </si>
  <si>
    <t xml:space="preserve"> 74.89850286625898
</t>
  </si>
  <si>
    <t>value_ratio_gold_to_total is: -0.3956427182610537</t>
  </si>
  <si>
    <t xml:space="preserve"> risk_ratio_to_gold is: 0.672105246100524</t>
  </si>
  <si>
    <t xml:space="preserve"> risk_ratio_to_gold_before is: 0.6714721156273235
</t>
  </si>
  <si>
    <t xml:space="preserve"> 0.6714721156273235
</t>
  </si>
  <si>
    <t>value_ratio_tb_to_total is: 0.5599504347846676</t>
  </si>
  <si>
    <t xml:space="preserve"> risk_ratio_tb_to_gold is: 0.24332391656431046</t>
  </si>
  <si>
    <t xml:space="preserve"> risk_ratio_tb_to_gold_before is: 0.24190731460867415
</t>
  </si>
  <si>
    <t xml:space="preserve"> 0.24190731460867415
</t>
  </si>
  <si>
    <t>value_ratio_reit_to_total is: 0.835692283476386</t>
  </si>
  <si>
    <t xml:space="preserve"> risk_ratio_reit_to_gold is: 0.24453829817346007</t>
  </si>
  <si>
    <t xml:space="preserve"> risk_ratio_reit_to_gold_before is: 0.24735780411594943
</t>
  </si>
  <si>
    <t xml:space="preserve"> 0.24735780411594943
</t>
  </si>
  <si>
    <t>delta_gold is: 1.0109361862194097</t>
  </si>
  <si>
    <t xml:space="preserve"> delta_tb is: 1.0021672114502251</t>
  </si>
  <si>
    <t xml:space="preserve"> delta_reit is: 0.9891063296311184
</t>
  </si>
  <si>
    <t xml:space="preserve"> 0.9891063296311184
</t>
  </si>
  <si>
    <t>delta_gold_risk is: 1.0003787861414386</t>
  </si>
  <si>
    <t xml:space="preserve"> delta_tb_risk is: 1.0011406664080102</t>
  </si>
  <si>
    <t xml:space="preserve"> delta_reit_risk is: 0.9977396173470149
</t>
  </si>
  <si>
    <t xml:space="preserve"> 0.9977396173470149
</t>
  </si>
  <si>
    <t xml:space="preserve">collateral_ratio_tranche_gold is: 0.7774408779546657
</t>
  </si>
  <si>
    <t xml:space="preserve"> 0.7774408779546657
</t>
  </si>
  <si>
    <t xml:space="preserve">collateral_ratio_tranche_tb is: 0.3862699982899317
</t>
  </si>
  <si>
    <t xml:space="preserve"> 0.3862699982899317
</t>
  </si>
  <si>
    <t xml:space="preserve">collateral_ratio_tranche_reit is: 0.2881427280680544
</t>
  </si>
  <si>
    <t xml:space="preserve"> 0.2881427280680544
</t>
  </si>
  <si>
    <t>Total plot size is: 147662218.65843952</t>
  </si>
  <si>
    <t xml:space="preserve"> plot size of gold is: 78696153.28966658</t>
  </si>
  <si>
    <t xml:space="preserve"> plot size of TB is: 39557740.882334605</t>
  </si>
  <si>
    <t xml:space="preserve"> plot size of REIT is: 29408324.486438334
</t>
  </si>
  <si>
    <t xml:space="preserve"> 29408324.486438334
</t>
  </si>
  <si>
    <t xml:space="preserve">collateral ratio is: 1.4592602080191817
</t>
  </si>
  <si>
    <t xml:space="preserve"> 1.4592602080191817
</t>
  </si>
  <si>
    <t>S_gtbcps_0 is: 1.0000463338544787</t>
  </si>
  <si>
    <t xml:space="preserve">stdev_gtbcps is: 0.007543849844758999
</t>
  </si>
  <si>
    <t xml:space="preserve"> 0.007543849844758999
</t>
  </si>
  <si>
    <t>predicted price of GTBCPS is: 1.0000642218825588</t>
  </si>
  <si>
    <t xml:space="preserve"> actual price is: 1.0000463338544787
</t>
  </si>
  <si>
    <t xml:space="preserve"> 1.0000463338544787
</t>
  </si>
  <si>
    <t>predicted amount of GTBCPS is: 101183281.30264479</t>
  </si>
  <si>
    <t xml:space="preserve"> actual amount is: 101185091.188163
</t>
  </si>
  <si>
    <t>plot sizes of gold is: 78696153.28966658</t>
  </si>
  <si>
    <t xml:space="preserve"> plot sizes of tb is: 39557740.882334605 </t>
  </si>
  <si>
    <t xml:space="preserve"> plot sizes of reit is: 29408324.486438334</t>
  </si>
  <si>
    <t xml:space="preserve"> plot sizes of total is: 147662218.65843952.
</t>
  </si>
  <si>
    <t xml:space="preserve"> 147662218.65843952.
</t>
  </si>
  <si>
    <t>predicted stdevs of gold is: 0.008830658056450374</t>
  </si>
  <si>
    <t xml:space="preserve"> predicted stdevs of tb is: 0.0018631931560448571</t>
  </si>
  <si>
    <t xml:space="preserve"> predicted stdevs of reit is: 0.011741541865904799</t>
  </si>
  <si>
    <t xml:space="preserve"> predicted stdevs of GTBCPS is: 0.007543849844758999.
</t>
  </si>
  <si>
    <t xml:space="preserve"> 0.007543849844758999.
</t>
  </si>
  <si>
    <t>total_value_of_collaterals is: 147662844.33207154</t>
  </si>
  <si>
    <t xml:space="preserve"> createdtionValue_gold is: -1407.6614733888512</t>
  </si>
  <si>
    <t xml:space="preserve"> createdValue_tb is: -707.5794112144224</t>
  </si>
  <si>
    <t xml:space="preserve"> createdValue_reit is: -526.033840760416
</t>
  </si>
  <si>
    <t xml:space="preserve"> -526.033840760416
</t>
  </si>
  <si>
    <t>plotValue_gold_after_creation is: 78697991.17898358</t>
  </si>
  <si>
    <t xml:space="preserve"> plotValue_tb_after_creation  is: 39558572.36621309</t>
  </si>
  <si>
    <t xml:space="preserve"> plotValue_reit_after_creation  is: 29408922.061600223</t>
  </si>
  <si>
    <t xml:space="preserve">total_value_after_creation is: 147665485.60679692
</t>
  </si>
  <si>
    <t xml:space="preserve"> 147665485.60679692
</t>
  </si>
  <si>
    <t>total_amount_gtncps_before_creation is: 101185091.188163</t>
  </si>
  <si>
    <t>creation_amount_gtbcps is: -1809.885518208146</t>
  </si>
  <si>
    <t xml:space="preserve">total_amount_gtbcps_new is: 101183281.30264479
</t>
  </si>
  <si>
    <t xml:space="preserve"> 101183281.30264479
</t>
  </si>
  <si>
    <t>payout of tranche of gold is: 430.2278436118306</t>
  </si>
  <si>
    <t xml:space="preserve"> payout of tranche of Treausry Bill Option is: 123.90446726811433</t>
  </si>
  <si>
    <t xml:space="preserve"> payout of tranche of Collar of REIT is: 71.54132112792496
</t>
  </si>
  <si>
    <t xml:space="preserve"> 71.54132112792496
</t>
  </si>
  <si>
    <t>Collateral size of tranche of gold is: 78697991.17898358</t>
  </si>
  <si>
    <t xml:space="preserve"> collateral size of tranche of Treausry Bill Option is: 39558572.36621309</t>
  </si>
  <si>
    <t xml:space="preserve"> collateral size of tranche of Collar of REIT is: 29408922.061600223
</t>
  </si>
  <si>
    <t xml:space="preserve"> 29408922.061600223
</t>
  </si>
  <si>
    <t>Collateral ratio of tranche of gold is: 0.7777127682186381</t>
  </si>
  <si>
    <t xml:space="preserve"> collateral ratio of tranche of Treausry Bill Option is: 0.3909274729990922</t>
  </si>
  <si>
    <t xml:space="preserve"> collateral ratio of tranche of Collar of REIT is: 0.2906261499716807
</t>
  </si>
  <si>
    <t xml:space="preserve"> 0.2906261499716807
</t>
  </si>
  <si>
    <t xml:space="preserve">date is: 2021-07-15 00:00:00
</t>
  </si>
  <si>
    <t xml:space="preserve"> 2021-07-15 00</t>
  </si>
  <si>
    <t>current price of gold is: 1829.47</t>
  </si>
  <si>
    <t xml:space="preserve"> predicted price of gold is: 1825.220590486816
</t>
  </si>
  <si>
    <t xml:space="preserve"> 1825.220590486816
</t>
  </si>
  <si>
    <t>current price of tb is: 98.546875</t>
  </si>
  <si>
    <t xml:space="preserve"> current price of tb option is: 4.3959544315654036</t>
  </si>
  <si>
    <t xml:space="preserve"> predicted price of tb is: 98.65451408085019
</t>
  </si>
  <si>
    <t xml:space="preserve"> 98.65451408085019
</t>
  </si>
  <si>
    <t>current price of reit is: 75.1</t>
  </si>
  <si>
    <t xml:space="preserve"> current price of reit option is: 6.243249501296717</t>
  </si>
  <si>
    <t xml:space="preserve"> predicted price of reit is: 75.51642225240566
</t>
  </si>
  <si>
    <t xml:space="preserve"> 75.51642225240566
</t>
  </si>
  <si>
    <t>value_ratio_gold_to_total is: -0.614622240474239</t>
  </si>
  <si>
    <t xml:space="preserve"> risk_ratio_to_gold is: 0.6719114697509048</t>
  </si>
  <si>
    <t xml:space="preserve"> risk_ratio_to_gold_before is: 0.672105246100524
</t>
  </si>
  <si>
    <t xml:space="preserve"> 0.672105246100524
</t>
  </si>
  <si>
    <t>value_ratio_tb_to_total is: 0.6513866753011781</t>
  </si>
  <si>
    <t xml:space="preserve"> risk_ratio_tb_to_gold is: 0.24221889206220726</t>
  </si>
  <si>
    <t xml:space="preserve"> risk_ratio_tb_to_gold_before is: 0.24332391656431046
</t>
  </si>
  <si>
    <t xml:space="preserve"> 0.24332391656431046
</t>
  </si>
  <si>
    <t>value_ratio_reit_to_total is: 0.9632355651730609</t>
  </si>
  <si>
    <t xml:space="preserve"> risk_ratio_reit_to_gold is: 0.24607241567618623</t>
  </si>
  <si>
    <t xml:space="preserve"> risk_ratio_reit_to_gold_before is: 0.24453829817346007
</t>
  </si>
  <si>
    <t xml:space="preserve"> 0.24453829817346007
</t>
  </si>
  <si>
    <t>delta_gold is: 1.0010615420813886</t>
  </si>
  <si>
    <t xml:space="preserve"> delta_tb is: 1.0006532078536297</t>
  </si>
  <si>
    <t xml:space="preserve"> delta_reit is: 1.0089325315788933
</t>
  </si>
  <si>
    <t xml:space="preserve"> 1.0089325315788933
</t>
  </si>
  <si>
    <t>delta_gold_risk is: 0.9998841123487464</t>
  </si>
  <si>
    <t xml:space="preserve"> delta_tb_risk is: 0.9991112336154873</t>
  </si>
  <si>
    <t xml:space="preserve"> delta_reit_risk is: 1.001232680026784
</t>
  </si>
  <si>
    <t xml:space="preserve"> 1.001232680026784
</t>
  </si>
  <si>
    <t xml:space="preserve">collateral_ratio_tranche_gold is: 0.7786285764862634
</t>
  </si>
  <si>
    <t xml:space="preserve"> 0.7786285764862634
</t>
  </si>
  <si>
    <t xml:space="preserve">collateral_ratio_tranche_tb is: 0.39111562362331165
</t>
  </si>
  <si>
    <t xml:space="preserve"> 0.39111562362331165
</t>
  </si>
  <si>
    <t xml:space="preserve">collateral_ratio_tranche_reit is: 0.2925506183229492
</t>
  </si>
  <si>
    <t xml:space="preserve"> 0.2925506183229492
</t>
  </si>
  <si>
    <t>Total plot size is: 148037562.93131858</t>
  </si>
  <si>
    <t xml:space="preserve"> plot size of gold is: 78781532.40834083</t>
  </si>
  <si>
    <t xml:space="preserve"> plot size of TB is: 39584412.33636108</t>
  </si>
  <si>
    <t xml:space="preserve"> plot size of REIT is: 29671618.186616678
</t>
  </si>
  <si>
    <t xml:space="preserve"> 29671618.186616678
</t>
  </si>
  <si>
    <t xml:space="preserve">collateral ratio is: 1.4629695181372104
</t>
  </si>
  <si>
    <t xml:space="preserve"> 1.4629695181372104
</t>
  </si>
  <si>
    <t>S_gtbcps_0 is: 1.0000642218825588</t>
  </si>
  <si>
    <t xml:space="preserve">stdev_gtbcps is: 0.00756190746755969
</t>
  </si>
  <si>
    <t xml:space="preserve"> 0.00756190746755969
</t>
  </si>
  <si>
    <t>predicted price of GTBCPS is: 1.0000788105251768</t>
  </si>
  <si>
    <t xml:space="preserve"> actual price is: 1.0000642218825588
</t>
  </si>
  <si>
    <t xml:space="preserve"> 1.0000642218825588
</t>
  </si>
  <si>
    <t>predicted amount of GTBCPS is: 101181805.29224011</t>
  </si>
  <si>
    <t xml:space="preserve"> actual amount is: 101183281.30264479
</t>
  </si>
  <si>
    <t>plot sizes of gold is: 78781532.40834083</t>
  </si>
  <si>
    <t xml:space="preserve"> plot sizes of tb is: 39584412.33636108 </t>
  </si>
  <si>
    <t xml:space="preserve"> plot sizes of reit is: 29671618.186616678</t>
  </si>
  <si>
    <t xml:space="preserve"> plot sizes of total is: 148037562.93131858.
</t>
  </si>
  <si>
    <t xml:space="preserve"> 148037562.93131858.
</t>
  </si>
  <si>
    <t>predicted stdevs of gold is: 0.00884960720167036</t>
  </si>
  <si>
    <t xml:space="preserve"> predicted stdevs of tb is: 0.0018640052804483062</t>
  </si>
  <si>
    <t xml:space="preserve"> predicted stdevs of reit is: 0.011744394263908215</t>
  </si>
  <si>
    <t xml:space="preserve"> predicted stdevs of GTBCPS is: 0.00756190746755969.
</t>
  </si>
  <si>
    <t xml:space="preserve"> 0.00756190746755969.
</t>
  </si>
  <si>
    <t>total_value_of_collaterals is: 148038073.51575842</t>
  </si>
  <si>
    <t xml:space="preserve"> createdtionValue_gold is: -1149.2471345778079</t>
  </si>
  <si>
    <t xml:space="preserve"> createdValue_tb is: -577.447300182784</t>
  </si>
  <si>
    <t xml:space="preserve"> createdValue_reit is: -432.8414241458237
</t>
  </si>
  <si>
    <t xml:space="preserve"> -432.8414241458237
</t>
  </si>
  <si>
    <t>plotValue_gold_after_creation is: 78783046.33615021</t>
  </si>
  <si>
    <t xml:space="preserve"> plotValue_tb_after_creation  is: 39585095.35348777</t>
  </si>
  <si>
    <t xml:space="preserve"> plotValue_reit_after_creation  is: 29672091.36197933</t>
  </si>
  <si>
    <t xml:space="preserve">total_value_after_creation is: 148040233.05161732
</t>
  </si>
  <si>
    <t xml:space="preserve"> 148040233.05161732
</t>
  </si>
  <si>
    <t>total_amount_gtncps_before_creation is: 101183281.30264479</t>
  </si>
  <si>
    <t>creation_amount_gtbcps is: -1476.010404676199</t>
  </si>
  <si>
    <t xml:space="preserve">total_amount_gtbcps_new is: 101181805.29224011
</t>
  </si>
  <si>
    <t xml:space="preserve"> 101181805.29224011
</t>
  </si>
  <si>
    <t>payout of tranche of gold is: 364.68067481315444</t>
  </si>
  <si>
    <t xml:space="preserve"> payout of tranche of Treausry Bill Option is: 105.56982650964382</t>
  </si>
  <si>
    <t xml:space="preserve"> payout of tranche of Collar of REIT is: 40.3339385081843
</t>
  </si>
  <si>
    <t xml:space="preserve"> 40.3339385081843
</t>
  </si>
  <si>
    <t>Collateral size of tranche of gold is: 78783046.33615021</t>
  </si>
  <si>
    <t xml:space="preserve"> collateral size of tranche of Treausry Bill Option is: 39585095.35348777</t>
  </si>
  <si>
    <t xml:space="preserve"> collateral size of tranche of Collar of REIT is: 29672091.36197933
</t>
  </si>
  <si>
    <t xml:space="preserve"> 29672091.36197933
</t>
  </si>
  <si>
    <t>Collateral ratio of tranche of gold is: 0.7785558728477908</t>
  </si>
  <si>
    <t xml:space="preserve"> collateral ratio of tranche of Treausry Bill Option is: 0.39119087034536343</t>
  </si>
  <si>
    <t xml:space="preserve"> collateral ratio of tranche of Collar of REIT is: 0.2932278207544377
</t>
  </si>
  <si>
    <t xml:space="preserve"> 0.2932278207544377
</t>
  </si>
  <si>
    <t xml:space="preserve">date is: 2021-07-16 00:00:00
</t>
  </si>
  <si>
    <t xml:space="preserve"> 2021-07-16 00</t>
  </si>
  <si>
    <t>current price of gold is: 1812.05</t>
  </si>
  <si>
    <t xml:space="preserve"> predicted price of gold is: 1814.0869094945651
</t>
  </si>
  <si>
    <t xml:space="preserve"> 1814.0869094945651
</t>
  </si>
  <si>
    <t>current price of tb is: 98.5546875</t>
  </si>
  <si>
    <t xml:space="preserve"> current price of tb option is: 4.395946196761147</t>
  </si>
  <si>
    <t xml:space="preserve"> predicted price of tb is: 98.66233511415294
</t>
  </si>
  <si>
    <t xml:space="preserve"> 98.66233511415294
</t>
  </si>
  <si>
    <t>current price of reit is: 75.6</t>
  </si>
  <si>
    <t xml:space="preserve"> current price of reit option is: 6.254706528923876</t>
  </si>
  <si>
    <t xml:space="preserve"> predicted price of reit is: 75.97129193513412
</t>
  </si>
  <si>
    <t xml:space="preserve"> 75.97129193513412
</t>
  </si>
  <si>
    <t>value_ratio_gold_to_total is: 0.15470392441505493</t>
  </si>
  <si>
    <t xml:space="preserve"> risk_ratio_to_gold is: 0.676168762747366</t>
  </si>
  <si>
    <t xml:space="preserve"> risk_ratio_to_gold_before is: 0.6719114697509048
</t>
  </si>
  <si>
    <t xml:space="preserve"> 0.6719114697509048
</t>
  </si>
  <si>
    <t>value_ratio_tb_to_total is: 0.3420493833323171</t>
  </si>
  <si>
    <t xml:space="preserve"> risk_ratio_tb_to_gold is: 0.23706741525374514</t>
  </si>
  <si>
    <t xml:space="preserve"> risk_ratio_tb_to_gold_before is: 0.24221889206220726
</t>
  </si>
  <si>
    <t xml:space="preserve"> 0.24221889206220726
</t>
  </si>
  <si>
    <t>value_ratio_reit_to_total is: 0.503246692252628</t>
  </si>
  <si>
    <t xml:space="preserve"> risk_ratio_reit_to_gold is: 0.24185331444229033</t>
  </si>
  <si>
    <t xml:space="preserve"> risk_ratio_reit_to_gold_before is: 0.24607241567618623
</t>
  </si>
  <si>
    <t xml:space="preserve"> 0.24607241567618623
</t>
  </si>
  <si>
    <t>delta_gold is: 0.9904781166130081</t>
  </si>
  <si>
    <t xml:space="preserve"> delta_tb is: 1.0000758116445685</t>
  </si>
  <si>
    <t xml:space="preserve"> delta_reit is: 1.0062876394877611
</t>
  </si>
  <si>
    <t xml:space="preserve"> 1.0062876394877611
</t>
  </si>
  <si>
    <t>delta_gold_risk is: 1.002546362695326</t>
  </si>
  <si>
    <t xml:space="preserve"> delta_tb_risk is: 0.9958530039742752</t>
  </si>
  <si>
    <t xml:space="preserve"> delta_reit_risk is: 0.9966140802245378
</t>
  </si>
  <si>
    <t xml:space="preserve"> 0.9966140802245378
</t>
  </si>
  <si>
    <t xml:space="preserve">collateral_ratio_tranche_gold is: 0.7691839333425688
</t>
  </si>
  <si>
    <t xml:space="preserve"> 0.7691839333425688
</t>
  </si>
  <si>
    <t xml:space="preserve">collateral_ratio_tranche_tb is: 0.3966263026036665
</t>
  </si>
  <si>
    <t xml:space="preserve"> 0.3966263026036665
</t>
  </si>
  <si>
    <t xml:space="preserve">collateral_ratio_tranche_reit is: 0.29892029866551284
</t>
  </si>
  <si>
    <t xml:space="preserve"> 0.29892029866551284
</t>
  </si>
  <si>
    <t>Total plot size is: 147479638.49604368</t>
  </si>
  <si>
    <t xml:space="preserve"> plot size of gold is: 78032883.3560654</t>
  </si>
  <si>
    <t xml:space="preserve"> plot size of TB is: 39588096.36466692</t>
  </si>
  <si>
    <t xml:space="preserve"> plot size of REIT is: 29858658.77531137
</t>
  </si>
  <si>
    <t xml:space="preserve"> 29858658.77531137
</t>
  </si>
  <si>
    <t xml:space="preserve">collateral ratio is: 1.4574558739913
</t>
  </si>
  <si>
    <t xml:space="preserve"> 1.4574558739913
</t>
  </si>
  <si>
    <t>S_gtbcps_0 is: 1.0000788105251768</t>
  </si>
  <si>
    <t xml:space="preserve">stdev_gtbcps is: 0.007411487552523131
</t>
  </si>
  <si>
    <t xml:space="preserve"> 0.007411487552523131
</t>
  </si>
  <si>
    <t>predicted price of GTBCPS is: 1.0000921254604447</t>
  </si>
  <si>
    <t xml:space="preserve"> actual price is: 1.0000788105251768
</t>
  </si>
  <si>
    <t xml:space="preserve"> 1.0000788105251768
</t>
  </si>
  <si>
    <t>predicted amount of GTBCPS is: 101180458.18715507</t>
  </si>
  <si>
    <t xml:space="preserve"> actual amount is: 101181805.29224011
</t>
  </si>
  <si>
    <t>plot sizes of gold is: 78032883.3560654</t>
  </si>
  <si>
    <t xml:space="preserve"> plot sizes of tb is: 39588096.36466692 </t>
  </si>
  <si>
    <t xml:space="preserve"> plot sizes of reit is: 29858658.77531137</t>
  </si>
  <si>
    <t xml:space="preserve"> plot sizes of total is: 147479638.4960437.
</t>
  </si>
  <si>
    <t xml:space="preserve"> 147479638.4960437.
</t>
  </si>
  <si>
    <t>predicted stdevs of gold is: 0.00867895394720295</t>
  </si>
  <si>
    <t xml:space="preserve"> predicted stdevs of tb is: 0.0017924080925368437</t>
  </si>
  <si>
    <t xml:space="preserve"> predicted stdevs of reit is: 0.01154913495117412</t>
  </si>
  <si>
    <t xml:space="preserve"> predicted stdevs of GTBCPS is: 0.007411487552523131.
</t>
  </si>
  <si>
    <t xml:space="preserve"> 0.007411487552523131.
</t>
  </si>
  <si>
    <t>total_value_of_collaterals is: 147480104.88735566</t>
  </si>
  <si>
    <t xml:space="preserve"> createdtionValue_gold is: -1038.9256579421115</t>
  </si>
  <si>
    <t xml:space="preserve"> createdValue_tb is: -527.0723605299446</t>
  </si>
  <si>
    <t xml:space="preserve"> createdValue_reit is: -397.5352842656735
</t>
  </si>
  <si>
    <t xml:space="preserve"> -397.5352842656735
</t>
  </si>
  <si>
    <t>plotValue_gold_after_creation is: 78034278.69288453</t>
  </si>
  <si>
    <t xml:space="preserve"> plotValue_tb_after_creation  is: 39588695.45524492</t>
  </si>
  <si>
    <t xml:space="preserve"> plotValue_reit_after_creation  is: 29859094.27252892</t>
  </si>
  <si>
    <t xml:space="preserve">total_value_after_creation is: 147482068.42065838
</t>
  </si>
  <si>
    <t xml:space="preserve"> 147482068.42065838
</t>
  </si>
  <si>
    <t>total_amount_gtncps_before_creation is: 101181805.29224011</t>
  </si>
  <si>
    <t>creation_amount_gtbcps is: -1347.1050850450993</t>
  </si>
  <si>
    <t xml:space="preserve">total_amount_gtbcps_new is: 101180458.18715507
</t>
  </si>
  <si>
    <t xml:space="preserve"> 101180458.18715507
</t>
  </si>
  <si>
    <t>payout of tranche of gold is: 356.4111611886179</t>
  </si>
  <si>
    <t xml:space="preserve"> payout of tranche of Treausry Bill Option is: 72.01821747285788</t>
  </si>
  <si>
    <t xml:space="preserve"> payout of tranche of Collar of REIT is: 37.96193328577328
</t>
  </si>
  <si>
    <t xml:space="preserve"> 37.96193328577328
</t>
  </si>
  <si>
    <t>Collateral size of tranche of gold is: 78034278.69288453</t>
  </si>
  <si>
    <t xml:space="preserve"> collateral size of tranche of Treausry Bill Option is: 39588695.45524492</t>
  </si>
  <si>
    <t xml:space="preserve"> collateral size of tranche of Collar of REIT is: 29859094.27252892
</t>
  </si>
  <si>
    <t xml:space="preserve"> 29859094.27252892
</t>
  </si>
  <si>
    <t>Collateral ratio of tranche of gold is: 0.7711573260221058</t>
  </si>
  <si>
    <t xml:space="preserve"> collateral ratio of tranche of Treausry Bill Option is: 0.3912269458928686</t>
  </si>
  <si>
    <t xml:space="preserve"> collateral ratio of tranche of Collar of REIT is: 0.2950762111516126
</t>
  </si>
  <si>
    <t xml:space="preserve"> 0.2950762111516126
</t>
  </si>
  <si>
    <t xml:space="preserve">date is: 2021-07-19 00:00:00
</t>
  </si>
  <si>
    <t xml:space="preserve"> 2021-07-19 00</t>
  </si>
  <si>
    <t>current price of gold is: 1812.64</t>
  </si>
  <si>
    <t xml:space="preserve"> predicted price of gold is: 1818.7410375852264
</t>
  </si>
  <si>
    <t xml:space="preserve"> 1818.7410375852264
</t>
  </si>
  <si>
    <t>current price of tb is: 98.828125</t>
  </si>
  <si>
    <t xml:space="preserve"> current price of tb option is: 4.405220592733739</t>
  </si>
  <si>
    <t xml:space="preserve"> predicted price of tb is: 98.92617816728497
</t>
  </si>
  <si>
    <t xml:space="preserve"> 98.92617816728497
</t>
  </si>
  <si>
    <t xml:space="preserve"> current price of reit option is: 6.371448525574223</t>
  </si>
  <si>
    <t xml:space="preserve"> predicted price of reit is: 75.15897477688581
</t>
  </si>
  <si>
    <t xml:space="preserve"> 75.15897477688581
</t>
  </si>
  <si>
    <t>value_ratio_gold_to_total is: 0.34695079041312393</t>
  </si>
  <si>
    <t xml:space="preserve"> risk_ratio_to_gold is: 0.678358985092701</t>
  </si>
  <si>
    <t xml:space="preserve"> risk_ratio_to_gold_before is: 0.676168762747366
</t>
  </si>
  <si>
    <t xml:space="preserve"> 0.676168762747366
</t>
  </si>
  <si>
    <t>value_ratio_tb_to_total is: 0.2560899467770144</t>
  </si>
  <si>
    <t xml:space="preserve"> risk_ratio_tb_to_gold is: 0.23951350067939137</t>
  </si>
  <si>
    <t xml:space="preserve"> risk_ratio_tb_to_gold_before is: 0.23706741525374514
</t>
  </si>
  <si>
    <t xml:space="preserve"> 0.23706741525374514
</t>
  </si>
  <si>
    <t>value_ratio_reit_to_total is: 0.39695926280986166</t>
  </si>
  <si>
    <t xml:space="preserve"> risk_ratio_reit_to_gold is: 0.23463222743143355</t>
  </si>
  <si>
    <t xml:space="preserve"> risk_ratio_reit_to_gold_before is: 0.24185331444229033
</t>
  </si>
  <si>
    <t xml:space="preserve"> 0.24185331444229033
</t>
  </si>
  <si>
    <t>delta_gold is: 1.0003255980795234</t>
  </si>
  <si>
    <t xml:space="preserve"> delta_tb is: 1.0027460918483058</t>
  </si>
  <si>
    <t xml:space="preserve"> delta_reit is: 0.9885986030257176
</t>
  </si>
  <si>
    <t xml:space="preserve"> 0.9885986030257176
</t>
  </si>
  <si>
    <t>delta_gold_risk is: 1.0013066836669506</t>
  </si>
  <si>
    <t xml:space="preserve"> delta_tb_risk is: 1.0019773258882132</t>
  </si>
  <si>
    <t xml:space="preserve"> delta_reit_risk is: 0.9941852335321103
</t>
  </si>
  <si>
    <t xml:space="preserve"> 0.9941852335321103
</t>
  </si>
  <si>
    <t xml:space="preserve">collateral_ratio_tranche_gold is: 0.7704017419932162
</t>
  </si>
  <si>
    <t xml:space="preserve"> 0.7704017419932162
</t>
  </si>
  <si>
    <t xml:space="preserve">collateral_ratio_tranche_tb is: 0.3913996753381226
</t>
  </si>
  <si>
    <t xml:space="preserve"> 0.3913996753381226
</t>
  </si>
  <si>
    <t xml:space="preserve">collateral_ratio_tranche_reit is: 0.293322582519002
</t>
  </si>
  <si>
    <t xml:space="preserve"> 0.293322582519002
</t>
  </si>
  <si>
    <t>Total plot size is: 147275755.03871888</t>
  </si>
  <si>
    <t xml:space="preserve"> plot size of gold is: 78059686.50416394</t>
  </si>
  <si>
    <t xml:space="preserve"> plot size of TB is: 39697409.64911963</t>
  </si>
  <si>
    <t xml:space="preserve"> plot size of REIT is: 29518658.885435294
</t>
  </si>
  <si>
    <t xml:space="preserve"> 29518658.885435294
</t>
  </si>
  <si>
    <t xml:space="preserve">collateral ratio is: 1.4554410118346117
</t>
  </si>
  <si>
    <t xml:space="preserve"> 1.4554410118346117
</t>
  </si>
  <si>
    <t>S_gtbcps_0 is: 1.0000921254604447</t>
  </si>
  <si>
    <t xml:space="preserve">stdev_gtbcps is: 0.007416791865573403
</t>
  </si>
  <si>
    <t xml:space="preserve"> 0.007416791865573403
</t>
  </si>
  <si>
    <t>predicted price of GTBCPS is: 1.0001331405935419</t>
  </si>
  <si>
    <t xml:space="preserve"> actual price is: 1.0000921254604447
</t>
  </si>
  <si>
    <t xml:space="preserve"> 1.0000921254604447
</t>
  </si>
  <si>
    <t>predicted amount of GTBCPS is: 101176308.80964625</t>
  </si>
  <si>
    <t xml:space="preserve"> actual amount is: 101180458.18715507
</t>
  </si>
  <si>
    <t>plot sizes of gold is: 78059686.50416394</t>
  </si>
  <si>
    <t xml:space="preserve"> plot sizes of tb is: 39697409.64911963 </t>
  </si>
  <si>
    <t xml:space="preserve"> plot sizes of reit is: 29518658.885435294</t>
  </si>
  <si>
    <t xml:space="preserve"> plot sizes of total is: 147275755.03871885.
</t>
  </si>
  <si>
    <t xml:space="preserve"> 147275755.03871885.
</t>
  </si>
  <si>
    <t>predicted stdevs of gold is: 0.008670648686650904</t>
  </si>
  <si>
    <t xml:space="preserve"> predicted stdevs of tb is: 0.0018090401362417534</t>
  </si>
  <si>
    <t xml:space="preserve"> predicted stdevs of reit is: 0.011642510510839041</t>
  </si>
  <si>
    <t xml:space="preserve"> predicted stdevs of GTBCPS is: 0.007416791865573403.
</t>
  </si>
  <si>
    <t xml:space="preserve"> 0.007416791865573403.
</t>
  </si>
  <si>
    <t>total_value_of_collaterals is: 147277190.2033171</t>
  </si>
  <si>
    <t xml:space="preserve"> createdtionValue_gold is: -3201.3767866260537</t>
  </si>
  <si>
    <t xml:space="preserve"> createdValue_tb is: -1628.0532586000388</t>
  </si>
  <si>
    <t xml:space="preserve"> createdValue_reit is: -1210.6070719755326
</t>
  </si>
  <si>
    <t xml:space="preserve"> -1210.6070719755326
</t>
  </si>
  <si>
    <t>plotValue_gold_after_creation is: 78063943.18475297</t>
  </si>
  <si>
    <t xml:space="preserve"> plotValue_tb_after_creation  is: 39699249.90149269</t>
  </si>
  <si>
    <t xml:space="preserve"> plotValue_reit_after_creation  is: 29520037.154188633</t>
  </si>
  <si>
    <t xml:space="preserve">total_value_after_creation is: 147283230.2404343
</t>
  </si>
  <si>
    <t xml:space="preserve"> 147283230.2404343
</t>
  </si>
  <si>
    <t>total_amount_gtncps_before_creation is: 101180458.18715507</t>
  </si>
  <si>
    <t>creation_amount_gtbcps is: -4149.377508819103</t>
  </si>
  <si>
    <t xml:space="preserve">total_amount_gtbcps_new is: 101176308.80964625
</t>
  </si>
  <si>
    <t xml:space="preserve"> 101176308.80964625
</t>
  </si>
  <si>
    <t>payout of tranche of gold is: 1055.3038024171562</t>
  </si>
  <si>
    <t xml:space="preserve"> payout of tranche of Treausry Bill Option is: 212.1991144624695</t>
  </si>
  <si>
    <t xml:space="preserve"> payout of tranche of Collar of REIT is: 167.66168136312393
</t>
  </si>
  <si>
    <t xml:space="preserve"> 167.66168136312393
</t>
  </si>
  <si>
    <t>Collateral size of tranche of gold is: 78063943.18475297</t>
  </si>
  <si>
    <t xml:space="preserve"> collateral size of tranche of Treausry Bill Option is: 39699249.90149269</t>
  </si>
  <si>
    <t xml:space="preserve"> collateral size of tranche of Collar of REIT is: 29520037.154188633
</t>
  </si>
  <si>
    <t xml:space="preserve"> 29520037.154188633
</t>
  </si>
  <si>
    <t>Collateral ratio of tranche of gold is: 0.7714291127665791</t>
  </si>
  <si>
    <t xml:space="preserve"> collateral ratio of tranche of Treausry Bill Option is: 0.39230861111546755</t>
  </si>
  <si>
    <t xml:space="preserve"> collateral ratio of tranche of Collar of REIT is: 0.29171747085330435
</t>
  </si>
  <si>
    <t xml:space="preserve"> 0.29171747085330435
</t>
  </si>
  <si>
    <t xml:space="preserve">date is: 2021-07-20 00:00:00
</t>
  </si>
  <si>
    <t xml:space="preserve"> 2021-07-20 00</t>
  </si>
  <si>
    <t>current price of gold is: 1810.36</t>
  </si>
  <si>
    <t xml:space="preserve"> predicted price of gold is: 1805.9827178226315
</t>
  </si>
  <si>
    <t xml:space="preserve"> 1805.9827178226315
</t>
  </si>
  <si>
    <t>current price of tb is: 98.9296875</t>
  </si>
  <si>
    <t xml:space="preserve"> current price of tb option is: 4.401932645387415</t>
  </si>
  <si>
    <t xml:space="preserve"> predicted price of tb is: 99.03114241644958
</t>
  </si>
  <si>
    <t xml:space="preserve"> 99.03114241644958
</t>
  </si>
  <si>
    <t>current price of reit is: 74.6</t>
  </si>
  <si>
    <t xml:space="preserve"> current price of reit option is: 6.347498414277027</t>
  </si>
  <si>
    <t xml:space="preserve"> predicted price of reit is: 75.05955777645764
</t>
  </si>
  <si>
    <t xml:space="preserve"> 75.05955777645764
</t>
  </si>
  <si>
    <t>value_ratio_gold_to_total is: -0.6313544160032262</t>
  </si>
  <si>
    <t xml:space="preserve"> risk_ratio_to_gold is: 0.6769035464638403</t>
  </si>
  <si>
    <t xml:space="preserve"> risk_ratio_to_gold_before is: 0.678358985092701
</t>
  </si>
  <si>
    <t xml:space="preserve"> 0.678358985092701
</t>
  </si>
  <si>
    <t>value_ratio_tb_to_total is: 0.6495431431951009</t>
  </si>
  <si>
    <t xml:space="preserve"> risk_ratio_tb_to_gold is: 0.23991940169398196</t>
  </si>
  <si>
    <t xml:space="preserve"> risk_ratio_tb_to_gold_before is: 0.23951350067939137
</t>
  </si>
  <si>
    <t xml:space="preserve"> 0.23951350067939137
</t>
  </si>
  <si>
    <t>value_ratio_reit_to_total is: 0.9818112728081254</t>
  </si>
  <si>
    <t xml:space="preserve"> risk_ratio_reit_to_gold is: 0.23739594880761145</t>
  </si>
  <si>
    <t xml:space="preserve"> risk_ratio_reit_to_gold_before is: 0.23463222743143355
</t>
  </si>
  <si>
    <t xml:space="preserve"> 0.23463222743143355
</t>
  </si>
  <si>
    <t>delta_gold is: 0.9987421661223408</t>
  </si>
  <si>
    <t xml:space="preserve"> delta_tb is: 1.000951965201645</t>
  </si>
  <si>
    <t xml:space="preserve"> delta_reit is: 1.000321915748883
</t>
  </si>
  <si>
    <t xml:space="preserve"> 1.000321915748883
</t>
  </si>
  <si>
    <t>delta_gold_risk is: 0.9991328204265071</t>
  </si>
  <si>
    <t xml:space="preserve"> delta_tb_risk is: 1.0003274680060912</t>
  </si>
  <si>
    <t xml:space="preserve"> delta_reit_risk is: 1.0022384976795295
</t>
  </si>
  <si>
    <t xml:space="preserve"> 1.0022384976795295
</t>
  </si>
  <si>
    <t xml:space="preserve">collateral_ratio_tranche_gold is: 0.7711274891014364
</t>
  </si>
  <si>
    <t xml:space="preserve"> 0.7711274891014364
</t>
  </si>
  <si>
    <t xml:space="preserve">collateral_ratio_tranche_tb is: 0.3930479155246249
</t>
  </si>
  <si>
    <t xml:space="preserve"> 0.3930479155246249
</t>
  </si>
  <si>
    <t xml:space="preserve">collateral_ratio_tranche_reit is: 0.2915263108395156
</t>
  </si>
  <si>
    <t xml:space="preserve"> 0.2915263108395156
</t>
  </si>
  <si>
    <t>Total plot size is: 147232334.037378</t>
  </si>
  <si>
    <t xml:space="preserve"> plot size of gold is: 77965751.71239153</t>
  </si>
  <si>
    <t xml:space="preserve"> plot size of TB is: 39737042.20593032</t>
  </si>
  <si>
    <t xml:space="preserve"> plot size of REIT is: 29529540.119056176
</t>
  </si>
  <si>
    <t xml:space="preserve"> 29529540.119056176
</t>
  </si>
  <si>
    <t xml:space="preserve">collateral ratio is: 1.455011907219872
</t>
  </si>
  <si>
    <t xml:space="preserve"> 1.455011907219872
</t>
  </si>
  <si>
    <t>S_gtbcps_0 is: 1.0001331405935419</t>
  </si>
  <si>
    <t xml:space="preserve">stdev_gtbcps is: 0.007403862392833858
</t>
  </si>
  <si>
    <t xml:space="preserve"> 0.007403862392833858
</t>
  </si>
  <si>
    <t>predicted price of GTBCPS is: 1.0001668334868064</t>
  </si>
  <si>
    <t xml:space="preserve"> actual price is: 1.0001331405935419
</t>
  </si>
  <si>
    <t xml:space="preserve"> 1.0001331405935419
</t>
  </si>
  <si>
    <t>predicted amount of GTBCPS is: 101172900.4557002</t>
  </si>
  <si>
    <t xml:space="preserve"> actual amount is: 101176308.80964625
</t>
  </si>
  <si>
    <t>plot sizes of gold is: 77965751.71239153</t>
  </si>
  <si>
    <t xml:space="preserve"> plot sizes of tb is: 39737042.20593032 </t>
  </si>
  <si>
    <t xml:space="preserve"> plot sizes of reit is: 29529540.119056176</t>
  </si>
  <si>
    <t xml:space="preserve"> plot sizes of total is: 147232334.037378.
</t>
  </si>
  <si>
    <t xml:space="preserve"> 147232334.037378.
</t>
  </si>
  <si>
    <t>predicted stdevs of gold is: 0.008670503036589226</t>
  </si>
  <si>
    <t xml:space="preserve"> predicted stdevs of tb is: 0.0018118254406846019</t>
  </si>
  <si>
    <t xml:space="preserve"> predicted stdevs of reit is: 0.011584639267349164</t>
  </si>
  <si>
    <t xml:space="preserve"> predicted stdevs of GTBCPS is: 0.007403862392833858.
</t>
  </si>
  <si>
    <t xml:space="preserve"> 0.007403862392833858.
</t>
  </si>
  <si>
    <t>total_value_of_collaterals is: 147233512.55949855</t>
  </si>
  <si>
    <t xml:space="preserve"> createdtionValue_gold is: -2626.5724569700087</t>
  </si>
  <si>
    <t xml:space="preserve"> createdValue_tb is: -1338.6835949903484</t>
  </si>
  <si>
    <t xml:space="preserve"> createdValue_reit is: -994.8065859786311
</t>
  </si>
  <si>
    <t xml:space="preserve"> -994.8065859786311
</t>
  </si>
  <si>
    <t>plotValue_gold_after_creation is: 77969280.83882667</t>
  </si>
  <si>
    <t xml:space="preserve"> plotValue_tb_after_creation  is: 39738556.191417634</t>
  </si>
  <si>
    <t xml:space="preserve"> plotValue_reit_after_creation  is: 29530635.59189219</t>
  </si>
  <si>
    <t xml:space="preserve">total_value_after_creation is: 147238472.6221365
</t>
  </si>
  <si>
    <t xml:space="preserve"> 147238472.6221365
</t>
  </si>
  <si>
    <t>total_amount_gtncps_before_creation is: 101176308.80964625</t>
  </si>
  <si>
    <t>creation_amount_gtbcps is: -3408.353946045041</t>
  </si>
  <si>
    <t xml:space="preserve">total_amount_gtbcps_new is: 101172900.4557002
</t>
  </si>
  <si>
    <t xml:space="preserve"> 101172900.4557002
</t>
  </si>
  <si>
    <t>payout of tranche of gold is: 902.5539781811306</t>
  </si>
  <si>
    <t xml:space="preserve"> payout of tranche of Treausry Bill Option is: 175.3018923261567</t>
  </si>
  <si>
    <t xml:space="preserve"> payout of tranche of Collar of REIT is: 100.66625003391229
</t>
  </si>
  <si>
    <t xml:space="preserve"> 100.66625003391229
</t>
  </si>
  <si>
    <t>Collateral size of tranche of gold is: 77969280.83882667</t>
  </si>
  <si>
    <t xml:space="preserve"> collateral size of tranche of Treausry Bill Option is: 39738556.191417634</t>
  </si>
  <si>
    <t xml:space="preserve"> collateral size of tranche of Collar of REIT is: 29530635.59189219
</t>
  </si>
  <si>
    <t xml:space="preserve"> 29530635.59189219
</t>
  </si>
  <si>
    <t>Collateral ratio of tranche of gold is: 0.7704993000712956</t>
  </si>
  <si>
    <t xml:space="preserve"> collateral ratio of tranche of Treausry Bill Option is: 0.3926999120926085</t>
  </si>
  <si>
    <t xml:space="preserve"> collateral ratio of tranche of Collar of REIT is: 0.29182434170770055
</t>
  </si>
  <si>
    <t xml:space="preserve"> 0.29182434170770055
</t>
  </si>
  <si>
    <t xml:space="preserve">date is: 2021-07-21 00:00:00
</t>
  </si>
  <si>
    <t xml:space="preserve"> 2021-07-21 00</t>
  </si>
  <si>
    <t>current price of gold is: 1803.66</t>
  </si>
  <si>
    <t xml:space="preserve"> predicted price of gold is: 1810.2107622430485
</t>
  </si>
  <si>
    <t xml:space="preserve"> 1810.2107622430485
</t>
  </si>
  <si>
    <t>current price of tb is: 98.72265625</t>
  </si>
  <si>
    <t xml:space="preserve"> current price of tb option is: 4.3965652190985</t>
  </si>
  <si>
    <t xml:space="preserve"> predicted price of tb is: 98.82966374619919
</t>
  </si>
  <si>
    <t xml:space="preserve"> 98.82966374619919
</t>
  </si>
  <si>
    <t>current price of reit is: 74.95</t>
  </si>
  <si>
    <t xml:space="preserve"> current price of reit option is: 6.283055070159293</t>
  </si>
  <si>
    <t xml:space="preserve"> predicted price of reit is: 75.42181532915846
</t>
  </si>
  <si>
    <t xml:space="preserve"> 75.42181532915846
</t>
  </si>
  <si>
    <t>value_ratio_gold_to_total is: 0.36783012557207845</t>
  </si>
  <si>
    <t xml:space="preserve"> risk_ratio_to_gold is: 0.6741159871675785</t>
  </si>
  <si>
    <t xml:space="preserve"> risk_ratio_to_gold_before is: 0.6769035464638403
</t>
  </si>
  <si>
    <t xml:space="preserve"> 0.6769035464638403
</t>
  </si>
  <si>
    <t>value_ratio_tb_to_total is: 0.2528789255248639</t>
  </si>
  <si>
    <t xml:space="preserve"> risk_ratio_tb_to_gold is: 0.24152229613850265</t>
  </si>
  <si>
    <t xml:space="preserve"> risk_ratio_tb_to_gold_before is: 0.23991940169398196
</t>
  </si>
  <si>
    <t xml:space="preserve"> 0.23991940169398196
</t>
  </si>
  <si>
    <t>value_ratio_reit_to_total is: 0.37929094890305765</t>
  </si>
  <si>
    <t xml:space="preserve"> risk_ratio_reit_to_gold is: 0.2419019498902599</t>
  </si>
  <si>
    <t xml:space="preserve"> risk_ratio_reit_to_gold_before is: 0.23739594880761145
</t>
  </si>
  <si>
    <t xml:space="preserve"> 0.23739594880761145
</t>
  </si>
  <si>
    <t>delta_gold is: 0.9962990786362934</t>
  </si>
  <si>
    <t xml:space="preserve"> delta_tb is: 0.9979444948604302</t>
  </si>
  <si>
    <t xml:space="preserve"> delta_reit is: 1.0035276773399573
</t>
  </si>
  <si>
    <t xml:space="preserve"> 1.0035276773399573
</t>
  </si>
  <si>
    <t>delta_gold_risk is: 0.9983376746371966</t>
  </si>
  <si>
    <t xml:space="preserve"> delta_tb_risk is: 1.0012927408364856</t>
  </si>
  <si>
    <t xml:space="preserve"> delta_reit_risk is: 1.0036415191814638
</t>
  </si>
  <si>
    <t xml:space="preserve"> 1.0036415191814638
</t>
  </si>
  <si>
    <t xml:space="preserve">collateral_ratio_tranche_gold is: 0.7689259478561798
</t>
  </si>
  <si>
    <t xml:space="preserve"> 0.7689259478561798
</t>
  </si>
  <si>
    <t xml:space="preserve">collateral_ratio_tranche_tb is: 0.3928406260309512
</t>
  </si>
  <si>
    <t xml:space="preserve"> 0.3928406260309512
</t>
  </si>
  <si>
    <t xml:space="preserve">collateral_ratio_tranche_reit is: 0.29287514831951006
</t>
  </si>
  <si>
    <t xml:space="preserve"> 0.29287514831951006
</t>
  </si>
  <si>
    <t>Total plot size is: 146972406.19248876</t>
  </si>
  <si>
    <t xml:space="preserve"> plot size of gold is: 77680722.66165742</t>
  </si>
  <si>
    <t xml:space="preserve"> plot size of TB is: 39656873.384927094</t>
  </si>
  <si>
    <t xml:space="preserve"> plot size of REIT is: 29634810.145904243
</t>
  </si>
  <si>
    <t xml:space="preserve"> 29634810.145904243
</t>
  </si>
  <si>
    <t xml:space="preserve">collateral ratio is: 1.4524431908315558
</t>
  </si>
  <si>
    <t xml:space="preserve"> 1.4524431908315558
</t>
  </si>
  <si>
    <t>S_gtbcps_0 is: 1.0001668334868064</t>
  </si>
  <si>
    <t xml:space="preserve">stdev_gtbcps is: 0.007400693386958205
</t>
  </si>
  <si>
    <t xml:space="preserve"> 0.007400693386958205
</t>
  </si>
  <si>
    <t>predicted price of GTBCPS is: 1.0001842463707835</t>
  </si>
  <si>
    <t xml:space="preserve"> actual price is: 1.0001668334868064
</t>
  </si>
  <si>
    <t xml:space="preserve"> 1.0001668334868064
</t>
  </si>
  <si>
    <t>predicted amount of GTBCPS is: 101171139.06825218</t>
  </si>
  <si>
    <t xml:space="preserve"> actual amount is: 101172900.4557002
</t>
  </si>
  <si>
    <t>plot sizes of gold is: 77680722.66165742</t>
  </si>
  <si>
    <t xml:space="preserve"> plot sizes of tb is: 39656873.384927094 </t>
  </si>
  <si>
    <t xml:space="preserve"> plot sizes of reit is: 29634810.145904243</t>
  </si>
  <si>
    <t xml:space="preserve"> plot sizes of total is: 146972406.19248876.
</t>
  </si>
  <si>
    <t xml:space="preserve"> 146972406.19248876.
</t>
  </si>
  <si>
    <t>predicted stdevs of gold is: 0.008659242561384572</t>
  </si>
  <si>
    <t xml:space="preserve"> predicted stdevs of tb is: 0.0018204479336485608</t>
  </si>
  <si>
    <t xml:space="preserve"> predicted stdevs of reit is: 0.01156910470512945</t>
  </si>
  <si>
    <t xml:space="preserve"> predicted stdevs of GTBCPS is: 0.007400693386958205.
</t>
  </si>
  <si>
    <t xml:space="preserve"> 0.007400693386958205.
</t>
  </si>
  <si>
    <t>total_value_of_collaterals is: 146973014.98302364</t>
  </si>
  <si>
    <t xml:space="preserve"> createdtionValue_gold is: -1352.4278874391603</t>
  </si>
  <si>
    <t xml:space="preserve"> createdValue_tb is: -690.426993405533</t>
  </si>
  <si>
    <t xml:space="preserve"> createdValue_reit is: -515.9422837819287
</t>
  </si>
  <si>
    <t xml:space="preserve"> -515.9422837819287
</t>
  </si>
  <si>
    <t>plotValue_gold_after_creation is: 77682540.64862676</t>
  </si>
  <si>
    <t xml:space="preserve"> plotValue_tb_after_creation  is: 39657658.25909682</t>
  </si>
  <si>
    <t xml:space="preserve"> plotValue_reit_after_creation  is: 29635374.872464698</t>
  </si>
  <si>
    <t xml:space="preserve">total_value_after_creation is: 146975573.78018826
</t>
  </si>
  <si>
    <t xml:space="preserve"> 146975573.78018826
</t>
  </si>
  <si>
    <t>total_amount_gtncps_before_creation is: 101172900.4557002</t>
  </si>
  <si>
    <t>creation_amount_gtbcps is: -1761.38744802773</t>
  </si>
  <si>
    <t xml:space="preserve">total_amount_gtbcps_new is: 101171139.06825218
</t>
  </si>
  <si>
    <t xml:space="preserve"> 101171139.06825218
</t>
  </si>
  <si>
    <t>payout of tranche of gold is: 465.55908190009416</t>
  </si>
  <si>
    <t xml:space="preserve"> payout of tranche of Treausry Bill Option is: 94.44717632109439</t>
  </si>
  <si>
    <t xml:space="preserve"> payout of tranche of Collar of REIT is: 48.78427667143652
</t>
  </si>
  <si>
    <t xml:space="preserve"> 48.78427667143652
</t>
  </si>
  <si>
    <t>Collateral size of tranche of gold is: 77682540.64862676</t>
  </si>
  <si>
    <t xml:space="preserve"> collateral size of tranche of Treausry Bill Option is: 39657658.25909682</t>
  </si>
  <si>
    <t xml:space="preserve"> collateral size of tranche of Collar of REIT is: 29635374.872464698
</t>
  </si>
  <si>
    <t xml:space="preserve"> 29635374.872464698
</t>
  </si>
  <si>
    <t>Collateral ratio of tranche of gold is: 0.7676782044321153</t>
  </si>
  <si>
    <t xml:space="preserve"> collateral ratio of tranche of Treausry Bill Option is: 0.39190685101342754</t>
  </si>
  <si>
    <t xml:space="preserve"> collateral ratio of tranche of Collar of REIT is: 0.29286415171036895
</t>
  </si>
  <si>
    <t xml:space="preserve"> 0.29286415171036895
</t>
  </si>
  <si>
    <t xml:space="preserve">date is: 2021-07-22 00:00:00
</t>
  </si>
  <si>
    <t xml:space="preserve"> 2021-07-22 00</t>
  </si>
  <si>
    <t>current price of gold is: 1806.92</t>
  </si>
  <si>
    <t xml:space="preserve"> predicted price of gold is: 1809.3597405638288
</t>
  </si>
  <si>
    <t xml:space="preserve"> 1809.3597405638288
</t>
  </si>
  <si>
    <t>current price of tb is: 98.796875</t>
  </si>
  <si>
    <t xml:space="preserve"> current price of tb option is: 4.398877551940643</t>
  </si>
  <si>
    <t xml:space="preserve"> predicted price of tb is: 98.90149037524637
</t>
  </si>
  <si>
    <t xml:space="preserve"> 98.90149037524637
</t>
  </si>
  <si>
    <t>current price of reit is: 75.8</t>
  </si>
  <si>
    <t xml:space="preserve"> current price of reit option is: 6.270666744721879</t>
  </si>
  <si>
    <t xml:space="preserve"> predicted price of reit is: 76.55318121832634
</t>
  </si>
  <si>
    <t xml:space="preserve"> 76.55318121832634
</t>
  </si>
  <si>
    <t>value_ratio_gold_to_total is: 0.17467790761103297</t>
  </si>
  <si>
    <t xml:space="preserve"> risk_ratio_to_gold is: 0.6724041592926084</t>
  </si>
  <si>
    <t xml:space="preserve"> risk_ratio_to_gold_before is: 0.6741159871675785
</t>
  </si>
  <si>
    <t xml:space="preserve"> 0.6741159871675785
</t>
  </si>
  <si>
    <t>value_ratio_tb_to_total is: 0.3224362184754518</t>
  </si>
  <si>
    <t xml:space="preserve"> risk_ratio_tb_to_gold is: 0.24401127428560396</t>
  </si>
  <si>
    <t xml:space="preserve"> risk_ratio_tb_to_gold_before is: 0.24152229613850265
</t>
  </si>
  <si>
    <t xml:space="preserve"> 0.24152229613850265
</t>
  </si>
  <si>
    <t>value_ratio_reit_to_total is: 0.5028858739135152</t>
  </si>
  <si>
    <t xml:space="preserve"> risk_ratio_reit_to_gold is: 0.24318952032582927</t>
  </si>
  <si>
    <t xml:space="preserve"> risk_ratio_reit_to_gold_before is: 0.2419019498902599
</t>
  </si>
  <si>
    <t xml:space="preserve"> 0.2419019498902599
</t>
  </si>
  <si>
    <t>delta_gold is: 1.001807435991262</t>
  </si>
  <si>
    <t xml:space="preserve"> delta_tb is: 1.0007421611776333</t>
  </si>
  <si>
    <t xml:space="preserve"> delta_reit is: 1.0103112171989488
</t>
  </si>
  <si>
    <t xml:space="preserve"> 1.0103112171989488
</t>
  </si>
  <si>
    <t>delta_gold_risk is: 0.99897747355136</t>
  </si>
  <si>
    <t xml:space="preserve"> delta_tb_risk is: 1.0020047792575637</t>
  </si>
  <si>
    <t xml:space="preserve"> delta_reit_risk is: 1.0010367730203524
</t>
  </si>
  <si>
    <t xml:space="preserve"> 1.0010367730203524
</t>
  </si>
  <si>
    <t xml:space="preserve">collateral_ratio_tranche_gold is: 0.7698529286296001
</t>
  </si>
  <si>
    <t xml:space="preserve"> 0.7698529286296001
</t>
  </si>
  <si>
    <t xml:space="preserve">collateral_ratio_tranche_tb is: 0.3907068347799346
</t>
  </si>
  <si>
    <t xml:space="preserve"> 0.3907068347799346
</t>
  </si>
  <si>
    <t xml:space="preserve">collateral_ratio_tranche_reit is: 0.29504421728320285
</t>
  </si>
  <si>
    <t xml:space="preserve"> 0.29504421728320285
</t>
  </si>
  <si>
    <t>Total plot size is: 147450989.16148728</t>
  </si>
  <si>
    <t xml:space="preserve"> plot size of gold is: 77822946.86848778</t>
  </si>
  <si>
    <t xml:space="preserve"> plot size of TB is: 39687090.63345257</t>
  </si>
  <si>
    <t xml:space="preserve"> plot size of REIT is: 29940951.65954695
</t>
  </si>
  <si>
    <t xml:space="preserve"> 29940951.65954695
</t>
  </si>
  <si>
    <t xml:space="preserve">collateral ratio is: 1.4571727492063398
</t>
  </si>
  <si>
    <t xml:space="preserve"> 1.4571727492063398
</t>
  </si>
  <si>
    <t>S_gtbcps_0 is: 1.0001842463707835</t>
  </si>
  <si>
    <t xml:space="preserve">stdev_gtbcps is: 0.007357769365271589
</t>
  </si>
  <si>
    <t xml:space="preserve"> 0.007357769365271589
</t>
  </si>
  <si>
    <t>predicted price of GTBCPS is: 1.0002053490146463</t>
  </si>
  <si>
    <t xml:space="preserve"> actual price is: 1.0001842463707835
</t>
  </si>
  <si>
    <t xml:space="preserve"> 1.0001842463707835
</t>
  </si>
  <si>
    <t>predicted amount of GTBCPS is: 101169004.52806096</t>
  </si>
  <si>
    <t xml:space="preserve"> actual amount is: 101171139.06825218
</t>
  </si>
  <si>
    <t>plot sizes of gold is: 77822946.86848778</t>
  </si>
  <si>
    <t xml:space="preserve"> plot sizes of tb is: 39687090.63345257 </t>
  </si>
  <si>
    <t xml:space="preserve"> plot sizes of reit is: 29940951.65954695</t>
  </si>
  <si>
    <t xml:space="preserve"> plot sizes of total is: 147450989.16148728.
</t>
  </si>
  <si>
    <t xml:space="preserve"> 147450989.16148728.
</t>
  </si>
  <si>
    <t>predicted stdevs of gold is: 0.008549012759982618</t>
  </si>
  <si>
    <t xml:space="preserve"> predicted stdevs of tb is: 0.001819378431040608</t>
  </si>
  <si>
    <t xml:space="preserve"> predicted stdevs of reit is: 0.011602676240693418</t>
  </si>
  <si>
    <t xml:space="preserve"> predicted stdevs of GTBCPS is: 0.007357769365271589.
</t>
  </si>
  <si>
    <t xml:space="preserve"> 0.007357769365271589.
</t>
  </si>
  <si>
    <t>total_value_of_collaterals is: 147451726.10373706</t>
  </si>
  <si>
    <t xml:space="preserve"> createdtionValue_gold is: -1641.9784337712435</t>
  </si>
  <si>
    <t xml:space="preserve"> createdValue_tb is: -837.3515154544077</t>
  </si>
  <si>
    <t xml:space="preserve"> createdValue_reit is: -631.7181143700907
</t>
  </si>
  <si>
    <t xml:space="preserve"> -631.7181143700907
</t>
  </si>
  <si>
    <t>plotValue_gold_after_creation is: 77825111.5409218</t>
  </si>
  <si>
    <t xml:space="preserve"> plotValue_tb_after_creation  is: 39688082.22378766</t>
  </si>
  <si>
    <t xml:space="preserve"> plotValue_reit_after_creation  is: 29941643.387091182</t>
  </si>
  <si>
    <t xml:space="preserve">total_value_after_creation is: 147454837.15180066
</t>
  </si>
  <si>
    <t xml:space="preserve"> 147454837.15180066
</t>
  </si>
  <si>
    <t>total_amount_gtncps_before_creation is: 101171139.06825218</t>
  </si>
  <si>
    <t>creation_amount_gtbcps is: -2134.540191218257</t>
  </si>
  <si>
    <t xml:space="preserve">total_amount_gtbcps_new is: 101169004.52806096
</t>
  </si>
  <si>
    <t xml:space="preserve"> 101169004.52806096
</t>
  </si>
  <si>
    <t>payout of tranche of gold is: 522.6940002578368</t>
  </si>
  <si>
    <t xml:space="preserve"> payout of tranche of Treausry Bill Option is: 154.23881963128477</t>
  </si>
  <si>
    <t xml:space="preserve"> payout of tranche of Collar of REIT is: 60.009429863019484
</t>
  </si>
  <si>
    <t xml:space="preserve"> 60.009429863019484
</t>
  </si>
  <si>
    <t>Collateral size of tranche of gold is: 77825111.5409218</t>
  </si>
  <si>
    <t xml:space="preserve"> collateral size of tranche of Treausry Bill Option is: 39688082.22378766</t>
  </si>
  <si>
    <t xml:space="preserve"> collateral size of tranche of Collar of REIT is: 29941643.387091182
</t>
  </si>
  <si>
    <t xml:space="preserve"> 29941643.387091182
</t>
  </si>
  <si>
    <t>Collateral ratio of tranche of gold is: 0.7690842885492567</t>
  </si>
  <si>
    <t xml:space="preserve"> collateral ratio of tranche of Treausry Bill Option is: 0.392206061470485</t>
  </si>
  <si>
    <t xml:space="preserve"> collateral ratio of tranche of Collar of REIT is: 0.2958896819601503
</t>
  </si>
  <si>
    <t xml:space="preserve"> 0.2958896819601503
</t>
  </si>
  <si>
    <t xml:space="preserve">date is: 2021-07-23 00:00:00
</t>
  </si>
  <si>
    <t xml:space="preserve"> 2021-07-23 00</t>
  </si>
  <si>
    <t>current price of gold is: 1802.15</t>
  </si>
  <si>
    <t xml:space="preserve"> predicted price of gold is: 1800.8889538092067
</t>
  </si>
  <si>
    <t xml:space="preserve"> 1800.8889538092067
</t>
  </si>
  <si>
    <t>current price of tb is: 98.8359375</t>
  </si>
  <si>
    <t xml:space="preserve"> current price of tb option is: 4.396446726399292</t>
  </si>
  <si>
    <t xml:space="preserve"> predicted price of tb is: 98.94306778405142
</t>
  </si>
  <si>
    <t xml:space="preserve"> 98.94306778405142
</t>
  </si>
  <si>
    <t xml:space="preserve"> current price of reit option is: 6.31679017652732</t>
  </si>
  <si>
    <t xml:space="preserve"> predicted price of reit is: 75.87621695125135
</t>
  </si>
  <si>
    <t xml:space="preserve"> 75.87621695125135
</t>
  </si>
  <si>
    <t>value_ratio_gold_to_total is: -0.12441827925990206</t>
  </si>
  <si>
    <t xml:space="preserve"> risk_ratio_to_gold is: 0.6744451263015945</t>
  </si>
  <si>
    <t xml:space="preserve"> risk_ratio_to_gold_before is: 0.6724041592926084
</t>
  </si>
  <si>
    <t xml:space="preserve"> 0.6724041592926084
</t>
  </si>
  <si>
    <t>value_ratio_tb_to_total is: 0.4443352719714304</t>
  </si>
  <si>
    <t xml:space="preserve"> risk_ratio_tb_to_gold is: 0.2426450815850847</t>
  </si>
  <si>
    <t xml:space="preserve"> risk_ratio_tb_to_gold_before is: 0.24401127428560396
</t>
  </si>
  <si>
    <t xml:space="preserve"> 0.24401127428560396
</t>
  </si>
  <si>
    <t>value_ratio_reit_to_total is: 0.6800830072884717</t>
  </si>
  <si>
    <t xml:space="preserve"> risk_ratio_reit_to_gold is: 0.24005523160959583</t>
  </si>
  <si>
    <t xml:space="preserve"> risk_ratio_reit_to_gold_before is: 0.24318952032582927
</t>
  </si>
  <si>
    <t xml:space="preserve"> 0.24318952032582927
</t>
  </si>
  <si>
    <t>delta_gold is: 0.9973601487614283</t>
  </si>
  <si>
    <t xml:space="preserve"> delta_tb is: 1.0003549726956078</t>
  </si>
  <si>
    <t xml:space="preserve"> delta_reit is: 0.9944696858671037
</t>
  </si>
  <si>
    <t xml:space="preserve"> 0.9944696858671037
</t>
  </si>
  <si>
    <t>delta_gold_risk is: 1.0012203790558911</t>
  </si>
  <si>
    <t xml:space="preserve"> delta_tb_risk is: 0.9989017843095482</t>
  </si>
  <si>
    <t xml:space="preserve"> delta_reit_risk is: 0.9974788327403115
</t>
  </si>
  <si>
    <t xml:space="preserve"> 0.9974788327403115
</t>
  </si>
  <si>
    <t xml:space="preserve">collateral_ratio_tranche_gold is: 0.7661190647765916
</t>
  </si>
  <si>
    <t xml:space="preserve"> 0.7661190647765916
</t>
  </si>
  <si>
    <t xml:space="preserve">collateral_ratio_tranche_tb is: 0.39381625370448314
</t>
  </si>
  <si>
    <t xml:space="preserve"> 0.39381625370448314
</t>
  </si>
  <si>
    <t xml:space="preserve">collateral_ratio_tranche_reit is: 0.2957778655542185
</t>
  </si>
  <si>
    <t xml:space="preserve"> 0.2957778655542185
</t>
  </si>
  <si>
    <t>Total plot size is: 147097891.92665207</t>
  </si>
  <si>
    <t xml:space="preserve"> plot size of gold is: 77619664.82382852</t>
  </si>
  <si>
    <t xml:space="preserve"> plot size of TB is: 39702170.40931814</t>
  </si>
  <si>
    <t xml:space="preserve"> plot size of REIT is: 29776056.69350541
</t>
  </si>
  <si>
    <t xml:space="preserve"> 29776056.69350541
</t>
  </si>
  <si>
    <t xml:space="preserve">collateral ratio is: 1.4536832936838782
</t>
  </si>
  <si>
    <t xml:space="preserve"> 1.4536832936838782
</t>
  </si>
  <si>
    <t>S_gtbcps_0 is: 1.0002053490146463</t>
  </si>
  <si>
    <t xml:space="preserve">stdev_gtbcps is: 0.007279955024296053
</t>
  </si>
  <si>
    <t xml:space="preserve"> 0.007279955024296053
</t>
  </si>
  <si>
    <t>predicted price of GTBCPS is: 1.0002091517537581</t>
  </si>
  <si>
    <t xml:space="preserve"> actual price is: 1.0002053490146463
</t>
  </si>
  <si>
    <t xml:space="preserve"> 1.0002053490146463
</t>
  </si>
  <si>
    <t>predicted amount of GTBCPS is: 101168619.88917843</t>
  </si>
  <si>
    <t xml:space="preserve"> actual amount is: 101169004.52806096
</t>
  </si>
  <si>
    <t>plot sizes of gold is: 77619664.82382852</t>
  </si>
  <si>
    <t xml:space="preserve"> plot sizes of tb is: 39702170.40931814 </t>
  </si>
  <si>
    <t xml:space="preserve"> plot sizes of reit is: 29776056.69350541</t>
  </si>
  <si>
    <t xml:space="preserve"> plot sizes of total is: 147097891.92665207.
</t>
  </si>
  <si>
    <t xml:space="preserve"> 147097891.92665207.
</t>
  </si>
  <si>
    <t>predicted stdevs of gold is: 0.008548023828377722</t>
  </si>
  <si>
    <t xml:space="preserve"> predicted stdevs of tb is: 0.00181307020774095</t>
  </si>
  <si>
    <t xml:space="preserve"> predicted stdevs of reit is: 0.011263696668450205</t>
  </si>
  <si>
    <t xml:space="preserve"> predicted stdevs of GTBCPS is: 0.007279955024296053.
</t>
  </si>
  <si>
    <t xml:space="preserve"> 0.007279955024296053.
</t>
  </si>
  <si>
    <t>total_value_of_collaterals is: 147098024.90685466</t>
  </si>
  <si>
    <t xml:space="preserve"> createdtionValue_gold is: -295.1071054367939</t>
  </si>
  <si>
    <t xml:space="preserve"> createdValue_tb is: -150.94607501931023</t>
  </si>
  <si>
    <t xml:space="preserve"> createdValue_reit is: -113.20738853179259
</t>
  </si>
  <si>
    <t xml:space="preserve"> -113.20738853179259
</t>
  </si>
  <si>
    <t>plotValue_gold_after_creation is: 77620057.25892407</t>
  </si>
  <si>
    <t xml:space="preserve"> plotValue_tb_after_creation  is: 39702341.18445561</t>
  </si>
  <si>
    <t xml:space="preserve"> plotValue_reit_after_creation  is: 29776185.724043977</t>
  </si>
  <si>
    <t xml:space="preserve">total_value_after_creation is: 147098584.16742364
</t>
  </si>
  <si>
    <t xml:space="preserve"> 147098584.16742364
</t>
  </si>
  <si>
    <t>total_amount_gtncps_before_creation is: 101169004.52806096</t>
  </si>
  <si>
    <t>creation_amount_gtbcps is: -384.6388825327158</t>
  </si>
  <si>
    <t xml:space="preserve">total_amount_gtbcps_new is: 101168619.88917843
</t>
  </si>
  <si>
    <t xml:space="preserve"> 101168619.88917843
</t>
  </si>
  <si>
    <t>payout of tranche of gold is: 97.32799011772094</t>
  </si>
  <si>
    <t xml:space="preserve"> payout of tranche of Treausry Bill Option is: 19.829062445566144</t>
  </si>
  <si>
    <t xml:space="preserve"> payout of tranche of Collar of REIT is: 15.823150036799007
</t>
  </si>
  <si>
    <t xml:space="preserve"> 15.823150036799007
</t>
  </si>
  <si>
    <t>Collateral size of tranche of gold is: 77620057.25892407</t>
  </si>
  <si>
    <t xml:space="preserve"> collateral size of tranche of Treausry Bill Option is: 39702341.18445561</t>
  </si>
  <si>
    <t xml:space="preserve"> collateral size of tranche of Collar of REIT is: 29776185.724043977
</t>
  </si>
  <si>
    <t xml:space="preserve"> 29776185.724043977
</t>
  </si>
  <si>
    <t>Collateral ratio of tranche of gold is: 0.76707116615973</t>
  </si>
  <si>
    <t xml:space="preserve"> collateral ratio of tranche of Treausry Bill Option is: 0.39235375787010834</t>
  </si>
  <si>
    <t xml:space="preserve"> collateral ratio of tranche of Collar of REIT is: 0.29425968382038425
</t>
  </si>
  <si>
    <t xml:space="preserve"> 0.29425968382038425
</t>
  </si>
  <si>
    <t xml:space="preserve">date is: 2021-07-26 00:00:00
</t>
  </si>
  <si>
    <t xml:space="preserve"> 2021-07-26 00</t>
  </si>
  <si>
    <t>current price of gold is: 1797.63</t>
  </si>
  <si>
    <t xml:space="preserve"> predicted price of gold is: 1796.3957757795051
</t>
  </si>
  <si>
    <t xml:space="preserve"> 1796.3957757795051
</t>
  </si>
  <si>
    <t>current price of tb is: 98.7890625</t>
  </si>
  <si>
    <t xml:space="preserve"> current price of tb option is: 4.39729235669331</t>
  </si>
  <si>
    <t xml:space="preserve"> predicted price of tb is: 98.89531784420241
</t>
  </si>
  <si>
    <t xml:space="preserve"> 98.89531784420241
</t>
  </si>
  <si>
    <t>current price of reit is: 75.05</t>
  </si>
  <si>
    <t xml:space="preserve"> current price of reit option is: 6.337487425490664</t>
  </si>
  <si>
    <t xml:space="preserve"> predicted price of reit is: 75.47491236844002
</t>
  </si>
  <si>
    <t xml:space="preserve"> 75.47491236844002
</t>
  </si>
  <si>
    <t>value_ratio_gold_to_total is: -0.12303212386779437</t>
  </si>
  <si>
    <t xml:space="preserve"> risk_ratio_to_gold is: 0.6743375470448267</t>
  </si>
  <si>
    <t xml:space="preserve"> risk_ratio_to_gold_before is: 0.6744451263015945
</t>
  </si>
  <si>
    <t xml:space="preserve"> 0.6744451263015945
</t>
  </si>
  <si>
    <t>value_ratio_tb_to_total is: 0.44893061518344823</t>
  </si>
  <si>
    <t xml:space="preserve"> risk_ratio_tb_to_gold is: 0.24231096540820227</t>
  </si>
  <si>
    <t xml:space="preserve"> risk_ratio_tb_to_gold_before is: 0.2426450815850847
</t>
  </si>
  <si>
    <t xml:space="preserve"> 0.2426450815850847
</t>
  </si>
  <si>
    <t>value_ratio_reit_to_total is: 0.6741015086843462</t>
  </si>
  <si>
    <t xml:space="preserve"> risk_ratio_reit_to_gold is: 0.24062588777806224</t>
  </si>
  <si>
    <t xml:space="preserve"> risk_ratio_reit_to_gold_before is: 0.24005523160959583
</t>
  </si>
  <si>
    <t xml:space="preserve"> 0.24005523160959583
</t>
  </si>
  <si>
    <t>delta_gold is: 0.997491884693283</t>
  </si>
  <si>
    <t xml:space="preserve"> delta_tb is: 0.9995541188934954</t>
  </si>
  <si>
    <t xml:space="preserve"> delta_reit is: 0.9971904953559102
</t>
  </si>
  <si>
    <t xml:space="preserve"> 0.9971904953559102
</t>
  </si>
  <si>
    <t>delta_gold_risk is: 0.9999357522948481</t>
  </si>
  <si>
    <t xml:space="preserve"> delta_tb_risk is: 0.999731125015635</t>
  </si>
  <si>
    <t xml:space="preserve"> delta_reit_risk is: 1.0004601860900386
</t>
  </si>
  <si>
    <t xml:space="preserve"> 1.0004601860900386
</t>
  </si>
  <si>
    <t xml:space="preserve">collateral_ratio_tranche_gold is: 0.7651964253408621
</t>
  </si>
  <si>
    <t xml:space="preserve"> 0.7651964253408621
</t>
  </si>
  <si>
    <t xml:space="preserve">collateral_ratio_tranche_tb is: 0.3932706583326422
</t>
  </si>
  <si>
    <t xml:space="preserve"> 0.3932706583326422
</t>
  </si>
  <si>
    <t xml:space="preserve">collateral_ratio_tranche_reit is: 0.29403546306333517
</t>
  </si>
  <si>
    <t xml:space="preserve"> 0.29403546306333517
</t>
  </si>
  <si>
    <t>Total plot size is: 146802545.25781116</t>
  </si>
  <si>
    <t xml:space="preserve"> plot size of gold is: 77425377.20520471</t>
  </si>
  <si>
    <t xml:space="preserve"> plot size of TB is: 39684638.66063746</t>
  </si>
  <si>
    <t xml:space="preserve"> plot size of REIT is: 29692529.391968995
</t>
  </si>
  <si>
    <t xml:space="preserve"> 29692529.391968995
</t>
  </si>
  <si>
    <t xml:space="preserve">collateral ratio is: 1.4507645535665603
</t>
  </si>
  <si>
    <t xml:space="preserve"> 1.4507645535665603
</t>
  </si>
  <si>
    <t>S_gtbcps_0 is: 1.0002091517537581</t>
  </si>
  <si>
    <t xml:space="preserve">stdev_gtbcps is: 0.007271641771236221
</t>
  </si>
  <si>
    <t xml:space="preserve"> 0.007271641771236221
</t>
  </si>
  <si>
    <t>predicted price of GTBCPS is: 1.000249483242163</t>
  </si>
  <si>
    <t xml:space="preserve"> actual price is: 1.0002091517537581
</t>
  </si>
  <si>
    <t xml:space="preserve"> 1.0002091517537581
</t>
  </si>
  <si>
    <t>predicted amount of GTBCPS is: 101164540.62586628</t>
  </si>
  <si>
    <t xml:space="preserve"> actual amount is: 101168619.88917843
</t>
  </si>
  <si>
    <t>plot sizes of gold is: 77425377.20520471</t>
  </si>
  <si>
    <t xml:space="preserve"> plot sizes of tb is: 39684638.66063746 </t>
  </si>
  <si>
    <t xml:space="preserve"> plot sizes of reit is: 29692529.391968995</t>
  </si>
  <si>
    <t xml:space="preserve"> plot sizes of total is: 146802545.25781116.
</t>
  </si>
  <si>
    <t xml:space="preserve"> 146802545.25781116.
</t>
  </si>
  <si>
    <t>predicted stdevs of gold is: 0.008552186218366061</t>
  </si>
  <si>
    <t xml:space="preserve"> predicted stdevs of tb is: 0.0018062194788459902</t>
  </si>
  <si>
    <t xml:space="preserve"> predicted stdevs of reit is: 0.011237173653006055</t>
  </si>
  <si>
    <t xml:space="preserve"> predicted stdevs of GTBCPS is: 0.007271641771236221.
</t>
  </si>
  <si>
    <t xml:space="preserve"> 0.007271641771236221.
</t>
  </si>
  <si>
    <t>total_value_of_collaterals is: 146803955.0905953</t>
  </si>
  <si>
    <t xml:space="preserve"> createdtionValue_gold is: -3122.0693346167027</t>
  </si>
  <si>
    <t xml:space="preserve"> createdValue_tb is: -1600.2143613676938</t>
  </si>
  <si>
    <t xml:space="preserve"> createdValue_reit is: -1197.300225161653
</t>
  </si>
  <si>
    <t xml:space="preserve"> -1197.300225161653
</t>
  </si>
  <si>
    <t>plotValue_gold_after_creation is: 77429531.1707467</t>
  </si>
  <si>
    <t xml:space="preserve"> plotValue_tb_after_creation  is: 39686449.75291943</t>
  </si>
  <si>
    <t xml:space="preserve"> plotValue_reit_after_creation  is: 29693893.750850298</t>
  </si>
  <si>
    <t xml:space="preserve">total_value_after_creation is: 146809874.6745164
</t>
  </si>
  <si>
    <t xml:space="preserve"> 146809874.6745164
</t>
  </si>
  <si>
    <t>total_amount_gtncps_before_creation is: 101168619.88917843</t>
  </si>
  <si>
    <t>creation_amount_gtbcps is: -4079.2633121460676</t>
  </si>
  <si>
    <t xml:space="preserve">total_amount_gtbcps_new is: 101164540.62586628
</t>
  </si>
  <si>
    <t xml:space="preserve"> 101164540.62586628
</t>
  </si>
  <si>
    <t>payout of tranche of gold is: 1031.896207383763</t>
  </si>
  <si>
    <t xml:space="preserve"> payout of tranche of Treausry Bill Option is: 210.87792059537662</t>
  </si>
  <si>
    <t xml:space="preserve"> payout of tranche of Collar of REIT is: 167.05865614254347
</t>
  </si>
  <si>
    <t xml:space="preserve"> 167.05865614254347
</t>
  </si>
  <si>
    <t>Collateral size of tranche of gold is: 77429531.1707467</t>
  </si>
  <si>
    <t xml:space="preserve"> collateral size of tranche of Treausry Bill Option is: 39686449.75291943</t>
  </si>
  <si>
    <t xml:space="preserve"> collateral size of tranche of Collar of REIT is: 29693893.750850298
</t>
  </si>
  <si>
    <t xml:space="preserve"> 29693893.750850298
</t>
  </si>
  <si>
    <t>Collateral ratio of tranche of gold is: 0.7651603699173273</t>
  </si>
  <si>
    <t xml:space="preserve"> collateral ratio of tranche of Treausry Bill Option is: 0.39218238977432784</t>
  </si>
  <si>
    <t xml:space="preserve"> collateral ratio of tranche of Collar of REIT is: 0.2934357264359931
</t>
  </si>
  <si>
    <t xml:space="preserve"> 0.2934357264359931
</t>
  </si>
  <si>
    <t xml:space="preserve">date is: 2021-07-27 00:00:00
</t>
  </si>
  <si>
    <t xml:space="preserve"> 2021-07-27 00</t>
  </si>
  <si>
    <t>current price of gold is: 1799.09</t>
  </si>
  <si>
    <t xml:space="preserve"> predicted price of gold is: 1801.442946462032
</t>
  </si>
  <si>
    <t xml:space="preserve"> 1801.442946462032
</t>
  </si>
  <si>
    <t>current price of tb is: 98.88671875</t>
  </si>
  <si>
    <t xml:space="preserve"> current price of tb option is: 4.400380469969516</t>
  </si>
  <si>
    <t xml:space="preserve"> predicted price of tb is: 98.98977941680955
</t>
  </si>
  <si>
    <t xml:space="preserve"> 98.98977941680955
</t>
  </si>
  <si>
    <t>current price of reit is: 75.4</t>
  </si>
  <si>
    <t xml:space="preserve"> current price of reit option is: 6.394213279058135</t>
  </si>
  <si>
    <t xml:space="preserve"> predicted price of reit is: 75.89522190437842
</t>
  </si>
  <si>
    <t xml:space="preserve"> 75.89522190437842
</t>
  </si>
  <si>
    <t>value_ratio_gold_to_total is: 0.17117538173639887</t>
  </si>
  <si>
    <t xml:space="preserve"> risk_ratio_to_gold is: 0.7064359447642753</t>
  </si>
  <si>
    <t xml:space="preserve"> risk_ratio_to_gold_before is: 0.6743375470448267
</t>
  </si>
  <si>
    <t xml:space="preserve"> 0.6743375470448267
</t>
  </si>
  <si>
    <t>value_ratio_tb_to_total is: 0.3276225227197825</t>
  </si>
  <si>
    <t xml:space="preserve"> risk_ratio_tb_to_gold is: 0.2097221077416764</t>
  </si>
  <si>
    <t xml:space="preserve"> risk_ratio_tb_to_gold_before is: 0.24231096540820227
</t>
  </si>
  <si>
    <t xml:space="preserve"> 0.24231096540820227
</t>
  </si>
  <si>
    <t>value_ratio_reit_to_total is: 0.5012020955438187</t>
  </si>
  <si>
    <t xml:space="preserve"> risk_ratio_reit_to_gold is: 0.20583440153770588</t>
  </si>
  <si>
    <t xml:space="preserve"> risk_ratio_reit_to_gold_before is: 0.24062588777806224
</t>
  </si>
  <si>
    <t xml:space="preserve"> 0.24062588777806224
</t>
  </si>
  <si>
    <t>delta_gold is: 1.000812180482079</t>
  </si>
  <si>
    <t xml:space="preserve"> delta_tb is: 1.0009763341617806</t>
  </si>
  <si>
    <t xml:space="preserve"> delta_reit is: 1.004997400293747
</t>
  </si>
  <si>
    <t xml:space="preserve"> 1.004997400293747
</t>
  </si>
  <si>
    <t>delta_gold_risk is: 1.019170804462996</t>
  </si>
  <si>
    <t xml:space="preserve"> delta_tb_risk is: 0.9737675521073601</t>
  </si>
  <si>
    <t xml:space="preserve"> delta_reit_risk is: 0.9719565047101609
</t>
  </si>
  <si>
    <t xml:space="preserve"> 0.9719565047101609
</t>
  </si>
  <si>
    <t xml:space="preserve">collateral_ratio_tranche_gold is: 0.7513773107334322
</t>
  </si>
  <si>
    <t xml:space="preserve"> 0.7513773107334322
</t>
  </si>
  <si>
    <t xml:space="preserve">collateral_ratio_tranche_tb is: 0.4028134998579269
</t>
  </si>
  <si>
    <t xml:space="preserve"> 0.4028134998579269
</t>
  </si>
  <si>
    <t xml:space="preserve">collateral_ratio_tranche_reit is: 0.3031646183754425
</t>
  </si>
  <si>
    <t xml:space="preserve"> 0.3031646183754425
</t>
  </si>
  <si>
    <t>Total plot size is: 147059900.93847638</t>
  </si>
  <si>
    <t xml:space="preserve"> plot size of gold is: 77492417.92470011</t>
  </si>
  <si>
    <t xml:space="preserve"> plot size of TB is: 39725196.989572994</t>
  </si>
  <si>
    <t xml:space="preserve"> plot size of REIT is: 29842286.02420329
</t>
  </si>
  <si>
    <t xml:space="preserve"> 29842286.02420329
</t>
  </si>
  <si>
    <t xml:space="preserve">collateral ratio is: 1.453307850745178
</t>
  </si>
  <si>
    <t xml:space="preserve"> 1.453307850745178
</t>
  </si>
  <si>
    <t>S_gtbcps_0 is: 1.000249483242163</t>
  </si>
  <si>
    <t xml:space="preserve">stdev_gtbcps is: 0.007030218693968718
</t>
  </si>
  <si>
    <t xml:space="preserve"> 0.007030218693968718
</t>
  </si>
  <si>
    <t>predicted price of GTBCPS is: 1.0002517733460963</t>
  </si>
  <si>
    <t xml:space="preserve"> actual price is: 1.000249483242163
</t>
  </si>
  <si>
    <t xml:space="preserve"> 1.000249483242163
</t>
  </si>
  <si>
    <t>predicted amount of GTBCPS is: 101164309.00686939</t>
  </si>
  <si>
    <t xml:space="preserve"> actual amount is: 101164540.62586628
</t>
  </si>
  <si>
    <t>plot sizes of gold is: 77492417.92470011</t>
  </si>
  <si>
    <t xml:space="preserve"> plot sizes of tb is: 39725196.989572994 </t>
  </si>
  <si>
    <t xml:space="preserve"> plot sizes of reit is: 29842286.02420329</t>
  </si>
  <si>
    <t xml:space="preserve"> plot sizes of total is: 147059900.9384764.
</t>
  </si>
  <si>
    <t xml:space="preserve"> 147059900.9384764.
</t>
  </si>
  <si>
    <t>predicted stdevs of gold is: 0.008333122015297062</t>
  </si>
  <si>
    <t xml:space="preserve"> predicted stdevs of tb is: 0.001515616971311648</t>
  </si>
  <si>
    <t xml:space="preserve"> predicted stdevs of reit is: 0.010987807967255224</t>
  </si>
  <si>
    <t xml:space="preserve"> predicted stdevs of GTBCPS is: 0.007030218693968718.
</t>
  </si>
  <si>
    <t xml:space="preserve"> 0.007030218693968718.
</t>
  </si>
  <si>
    <t>total_value_of_collaterals is: 147059981.38459057</t>
  </si>
  <si>
    <t xml:space="preserve"> createdtionValue_gold is: -177.42156715641642</t>
  </si>
  <si>
    <t xml:space="preserve"> createdValue_tb is: -90.95216800428211</t>
  </si>
  <si>
    <t xml:space="preserve"> createdValue_reit is: -68.32490594218888
</t>
  </si>
  <si>
    <t xml:space="preserve"> -68.32490594218888
</t>
  </si>
  <si>
    <t>plotValue_gold_after_creation is: 77492656.38667971</t>
  </si>
  <si>
    <t xml:space="preserve"> plotValue_tb_after_creation  is: 39725300.68210765</t>
  </si>
  <si>
    <t xml:space="preserve"> plotValue_reit_after_creation  is: 29842361.014444306</t>
  </si>
  <si>
    <t xml:space="preserve">total_value_after_creation is: 147060318.0832317
</t>
  </si>
  <si>
    <t xml:space="preserve"> 147060318.0832317
</t>
  </si>
  <si>
    <t>total_amount_gtncps_before_creation is: 101164540.62586628</t>
  </si>
  <si>
    <t>creation_amount_gtbcps is: -231.61899688839912</t>
  </si>
  <si>
    <t xml:space="preserve">total_amount_gtbcps_new is: 101164309.00686939
</t>
  </si>
  <si>
    <t xml:space="preserve"> 101164309.00686939
</t>
  </si>
  <si>
    <t>payout of tranche of gold is: 61.04041243607205</t>
  </si>
  <si>
    <t xml:space="preserve"> payout of tranche of Treausry Bill Option is: 12.740366655315455</t>
  </si>
  <si>
    <t xml:space="preserve"> payout of tranche of Collar of REIT is: 6.6653350743658
</t>
  </si>
  <si>
    <t xml:space="preserve"> 6.6653350743658
</t>
  </si>
  <si>
    <t>Collateral size of tranche of gold is: 77492656.38667971</t>
  </si>
  <si>
    <t xml:space="preserve"> collateral size of tranche of Treausry Bill Option is: 39725300.68210765</t>
  </si>
  <si>
    <t xml:space="preserve"> collateral size of tranche of Collar of REIT is: 29842361.014444306
</t>
  </si>
  <si>
    <t xml:space="preserve"> 29842361.014444306
</t>
  </si>
  <si>
    <t>Collateral ratio of tranche of gold is: 0.7658133001246833</t>
  </si>
  <si>
    <t xml:space="preserve"> collateral ratio of tranche of Treausry Bill Option is: 0.3925812461765021</t>
  </si>
  <si>
    <t xml:space="preserve"> collateral ratio of tranche of Collar of REIT is: 0.294914099446359
</t>
  </si>
  <si>
    <t xml:space="preserve"> 0.294914099446359
</t>
  </si>
  <si>
    <t xml:space="preserve">date is: 2021-07-28 00:00:00
</t>
  </si>
  <si>
    <t xml:space="preserve"> 2021-07-28 00</t>
  </si>
  <si>
    <t>current price of gold is: 1807.11</t>
  </si>
  <si>
    <t xml:space="preserve"> predicted price of gold is: 1807.4591279958338
</t>
  </si>
  <si>
    <t xml:space="preserve"> 1807.4591279958338
</t>
  </si>
  <si>
    <t>current price of tb is: 98.90625</t>
  </si>
  <si>
    <t xml:space="preserve"> current price of tb option is: 4.399563309726399</t>
  </si>
  <si>
    <t xml:space="preserve"> predicted price of tb is: 99.01015610365805
</t>
  </si>
  <si>
    <t xml:space="preserve"> 99.01015610365805
</t>
  </si>
  <si>
    <t xml:space="preserve"> current price of reit option is: 6.38552648871206</t>
  </si>
  <si>
    <t xml:space="preserve"> predicted price of reit is: 76.26458630864992
</t>
  </si>
  <si>
    <t xml:space="preserve"> 76.26458630864992
</t>
  </si>
  <si>
    <t>value_ratio_gold_to_total is: 0.02983308905979614</t>
  </si>
  <si>
    <t xml:space="preserve"> risk_ratio_to_gold is: 0.7054061896076256</t>
  </si>
  <si>
    <t xml:space="preserve"> risk_ratio_to_gold_before is: 0.7064359447642753
</t>
  </si>
  <si>
    <t xml:space="preserve"> 0.7064359447642753
</t>
  </si>
  <si>
    <t>value_ratio_tb_to_total is: 0.3848227747152269</t>
  </si>
  <si>
    <t xml:space="preserve"> risk_ratio_tb_to_gold is: 0.2101615020999594</t>
  </si>
  <si>
    <t xml:space="preserve"> risk_ratio_tb_to_gold_before is: 0.2097221077416764
</t>
  </si>
  <si>
    <t xml:space="preserve"> 0.2097221077416764
</t>
  </si>
  <si>
    <t>value_ratio_reit_to_total is: 0.5853441362249769</t>
  </si>
  <si>
    <t xml:space="preserve"> risk_ratio_reit_to_gold is: 0.20746144299531813</t>
  </si>
  <si>
    <t xml:space="preserve"> risk_ratio_reit_to_gold_before is: 0.20583440153770588
</t>
  </si>
  <si>
    <t xml:space="preserve"> 0.20583440153770588
</t>
  </si>
  <si>
    <t>delta_gold is: 1.0044578092257752</t>
  </si>
  <si>
    <t xml:space="preserve"> delta_tb is: 1.0001811851615372</t>
  </si>
  <si>
    <t xml:space="preserve"> delta_reit is: 1.0047841185087125
</t>
  </si>
  <si>
    <t xml:space="preserve"> 1.0047841185087125
</t>
  </si>
  <si>
    <t>delta_gold_risk is: 0.9993965462578251</t>
  </si>
  <si>
    <t xml:space="preserve"> delta_tb_risk is: 1.0003632192513232</t>
  </si>
  <si>
    <t xml:space="preserve"> delta_reit_risk is: 1.0013493075463242
</t>
  </si>
  <si>
    <t xml:space="preserve"> 1.0013493075463242
</t>
  </si>
  <si>
    <t xml:space="preserve">collateral_ratio_tranche_gold is: 0.7696916230094261
</t>
  </si>
  <si>
    <t xml:space="preserve"> 0.7696916230094261
</t>
  </si>
  <si>
    <t xml:space="preserve">collateral_ratio_tranche_tb is: 0.3907678404696797
</t>
  </si>
  <si>
    <t xml:space="preserve"> 0.3907678404696797
</t>
  </si>
  <si>
    <t xml:space="preserve">collateral_ratio_tranche_reit is: 0.2946123828578282
</t>
  </si>
  <si>
    <t xml:space="preserve"> 0.2946123828578282
</t>
  </si>
  <si>
    <t>Total plot size is: 147555732.58849612</t>
  </si>
  <si>
    <t xml:space="preserve"> plot size of gold is: 77838103.86525008</t>
  </si>
  <si>
    <t xml:space="preserve"> plot size of TB is: 39732498.31712885</t>
  </si>
  <si>
    <t xml:space="preserve"> plot size of REIT is: 29985130.40611719
</t>
  </si>
  <si>
    <t xml:space="preserve"> 29985130.40611719
</t>
  </si>
  <si>
    <t xml:space="preserve">collateral ratio is: 1.4582078678472092
</t>
  </si>
  <si>
    <t xml:space="preserve"> 1.4582078678472092
</t>
  </si>
  <si>
    <t>S_gtbcps_0 is: 1.0002517733460963</t>
  </si>
  <si>
    <t xml:space="preserve">stdev_gtbcps is: 0.006860420058807202
</t>
  </si>
  <si>
    <t xml:space="preserve"> 0.006860420058807202
</t>
  </si>
  <si>
    <t>predicted price of GTBCPS is: 1.0002256924065098</t>
  </si>
  <si>
    <t xml:space="preserve"> actual price is: 1.0002517733460963
</t>
  </si>
  <si>
    <t xml:space="preserve"> 1.0002517733460963
</t>
  </si>
  <si>
    <t>predicted amount of GTBCPS is: 101166946.87175484</t>
  </si>
  <si>
    <t xml:space="preserve"> actual amount is: 101164309.00686939
</t>
  </si>
  <si>
    <t>plot sizes of gold is: 77838103.86525008</t>
  </si>
  <si>
    <t xml:space="preserve"> plot sizes of tb is: 39732498.31712885 </t>
  </si>
  <si>
    <t xml:space="preserve"> plot sizes of reit is: 29985130.40611719</t>
  </si>
  <si>
    <t xml:space="preserve"> plot sizes of total is: 147555732.58849612.
</t>
  </si>
  <si>
    <t xml:space="preserve"> 147555732.58849612.
</t>
  </si>
  <si>
    <t>predicted stdevs of gold is: 0.008060742874470799</t>
  </si>
  <si>
    <t xml:space="preserve"> predicted stdevs of tb is: 0.0014581709403276553</t>
  </si>
  <si>
    <t xml:space="preserve"> predicted stdevs of reit is: 0.010902890455618227</t>
  </si>
  <si>
    <t xml:space="preserve"> predicted stdevs of GTBCPS is: 0.006860420058807202.
</t>
  </si>
  <si>
    <t xml:space="preserve"> 0.006860420058807202.
</t>
  </si>
  <si>
    <t>total_value_of_collaterals is: 147554822.02910224</t>
  </si>
  <si>
    <t xml:space="preserve"> createdtionValue_gold is: 2029.562490895626</t>
  </si>
  <si>
    <t xml:space="preserve"> createdValue_tb is: 1035.9965388803632</t>
  </si>
  <si>
    <t xml:space="preserve"> createdValue_reit is: 781.8406965666094
</t>
  </si>
  <si>
    <t xml:space="preserve"> 781.8406965666094
</t>
  </si>
  <si>
    <t>plotValue_gold_after_creation is: 77835407.0029393</t>
  </si>
  <si>
    <t xml:space="preserve"> plotValue_tb_after_creation  is: 39731327.6231298</t>
  </si>
  <si>
    <t xml:space="preserve"> plotValue_reit_after_creation  is: 29984240.003306795</t>
  </si>
  <si>
    <t xml:space="preserve">total_value_after_creation is: 147550974.6293759
</t>
  </si>
  <si>
    <t xml:space="preserve"> 147550974.6293759
</t>
  </si>
  <si>
    <t>total_amount_gtncps_before_creation is: 101164309.00686939</t>
  </si>
  <si>
    <t>creation_amount_gtbcps is: 2637.8648854494095</t>
  </si>
  <si>
    <t xml:space="preserve">total_amount_gtbcps_new is: 101166946.87175484
</t>
  </si>
  <si>
    <t xml:space="preserve"> 101166946.87175484
</t>
  </si>
  <si>
    <t>payout of tranche of gold is: -667.2998198837964</t>
  </si>
  <si>
    <t xml:space="preserve"> payout of tranche of Treausry Bill Option is: -134.6974601717199</t>
  </si>
  <si>
    <t xml:space="preserve"> payout of tranche of Collar of REIT is: -108.56211382887467
</t>
  </si>
  <si>
    <t xml:space="preserve"> -108.56211382887467
</t>
  </si>
  <si>
    <t>Collateral size of tranche of gold is: 77835407.0029393</t>
  </si>
  <si>
    <t xml:space="preserve"> collateral size of tranche of Treausry Bill Option is: 39731327.6231298</t>
  </si>
  <si>
    <t xml:space="preserve"> collateral size of tranche of Collar of REIT is: 29984240.003306795
</t>
  </si>
  <si>
    <t xml:space="preserve"> 29984240.003306795
</t>
  </si>
  <si>
    <t>Collateral ratio of tranche of gold is: 0.7692223163521972</t>
  </si>
  <si>
    <t xml:space="preserve"> collateral ratio of tranche of Treausry Bill Option is: 0.392651943926468</t>
  </si>
  <si>
    <t xml:space="preserve"> collateral ratio of tranche of Collar of REIT is: 0.29632460903728397
</t>
  </si>
  <si>
    <t xml:space="preserve"> 0.29632460903728397
</t>
  </si>
  <si>
    <t xml:space="preserve">date is: 2021-07-29 00:00:00
</t>
  </si>
  <si>
    <t xml:space="preserve"> 2021-07-29 00</t>
  </si>
  <si>
    <t>current price of gold is: 1828.17</t>
  </si>
  <si>
    <t xml:space="preserve"> predicted price of gold is: 1816.5857966679487
</t>
  </si>
  <si>
    <t xml:space="preserve"> 1816.5857966679487
</t>
  </si>
  <si>
    <t>current price of tb is: 98.80859375</t>
  </si>
  <si>
    <t xml:space="preserve"> current price of tb option is: 4.398068833820635</t>
  </si>
  <si>
    <t xml:space="preserve"> predicted price of tb is: 98.91404581443595
</t>
  </si>
  <si>
    <t xml:space="preserve"> 98.91404581443595
</t>
  </si>
  <si>
    <t xml:space="preserve"> current price of reit option is: 6.435992272710337</t>
  </si>
  <si>
    <t xml:space="preserve"> predicted price of reit is: 75.46417197420173
</t>
  </si>
  <si>
    <t xml:space="preserve"> 75.46417197420173
</t>
  </si>
  <si>
    <t>value_ratio_gold_to_total is: 64.17194595232414</t>
  </si>
  <si>
    <t xml:space="preserve"> risk_ratio_to_gold is: 0.7089723056822186</t>
  </si>
  <si>
    <t xml:space="preserve"> risk_ratio_to_gold_before is: 0.7054061896076256
</t>
  </si>
  <si>
    <t xml:space="preserve"> 0.7054061896076256
</t>
  </si>
  <si>
    <t>value_ratio_tb_to_total is: -24.947740590712314</t>
  </si>
  <si>
    <t xml:space="preserve"> risk_ratio_tb_to_gold is: 0.2085693283797813</t>
  </si>
  <si>
    <t xml:space="preserve"> risk_ratio_tb_to_gold_before is: 0.2101615020999594
</t>
  </si>
  <si>
    <t xml:space="preserve"> 0.2101615020999594
</t>
  </si>
  <si>
    <t>value_ratio_reit_to_total is: -38.224205361611816</t>
  </si>
  <si>
    <t xml:space="preserve"> risk_ratio_reit_to_gold is: 0.20192300254100945</t>
  </si>
  <si>
    <t xml:space="preserve"> risk_ratio_reit_to_gold_before is: 0.20746144299531813
</t>
  </si>
  <si>
    <t xml:space="preserve"> 0.20746144299531813
</t>
  </si>
  <si>
    <t>delta_gold is: 1.0116539668310176</t>
  </si>
  <si>
    <t xml:space="preserve"> delta_tb is: 0.9990402212350964</t>
  </si>
  <si>
    <t xml:space="preserve"> delta_reit is: 0.9908799730557829
</t>
  </si>
  <si>
    <t xml:space="preserve"> 0.9908799730557829
</t>
  </si>
  <si>
    <t>delta_gold_risk is: 1.002091065516429</t>
  </si>
  <si>
    <t xml:space="preserve"> delta_tb_risk is: 0.998684329556497</t>
  </si>
  <si>
    <t xml:space="preserve"> delta_reit_risk is: 0.9954131533669767
</t>
  </si>
  <si>
    <t xml:space="preserve"> 0.9954131533669767
</t>
  </si>
  <si>
    <t xml:space="preserve">collateral_ratio_tranche_gold is: 0.7765629636779612
</t>
  </si>
  <si>
    <t xml:space="preserve"> 0.7765629636779612
</t>
  </si>
  <si>
    <t xml:space="preserve">collateral_ratio_tranche_tb is: 0.38826701862530905
</t>
  </si>
  <si>
    <t xml:space="preserve"> 0.38826701862530905
</t>
  </si>
  <si>
    <t xml:space="preserve">collateral_ratio_tranche_reit is: 0.2915770964724736
</t>
  </si>
  <si>
    <t xml:space="preserve"> 0.2915770964724736
</t>
  </si>
  <si>
    <t>Total plot size is: 148146475.51958078</t>
  </si>
  <si>
    <t xml:space="preserve"> plot size of gold is: 78742498.25443031</t>
  </si>
  <si>
    <t xml:space="preserve"> plot size of TB is: 39693194.33857569</t>
  </si>
  <si>
    <t xml:space="preserve"> plot size of REIT is: 29710782.926574767
</t>
  </si>
  <si>
    <t xml:space="preserve"> 29710782.926574767
</t>
  </si>
  <si>
    <t xml:space="preserve">collateral ratio is: 1.46404583818473
</t>
  </si>
  <si>
    <t xml:space="preserve"> 1.46404583818473
</t>
  </si>
  <si>
    <t>S_gtbcps_0 is: 1.0002256924065098</t>
  </si>
  <si>
    <t xml:space="preserve">stdev_gtbcps is: 0.006803933916481984
</t>
  </si>
  <si>
    <t xml:space="preserve"> 0.006803933916481984
</t>
  </si>
  <si>
    <t>predicted price of GTBCPS is: 1.0002237245435777</t>
  </si>
  <si>
    <t xml:space="preserve"> actual price is: 1.0002256924065098
</t>
  </si>
  <si>
    <t xml:space="preserve"> 1.0002256924065098
</t>
  </si>
  <si>
    <t>predicted amount of GTBCPS is: 101167145.90990983</t>
  </si>
  <si>
    <t xml:space="preserve"> actual amount is: 101166946.87175484
</t>
  </si>
  <si>
    <t>plot sizes of gold is: 78742498.25443031</t>
  </si>
  <si>
    <t xml:space="preserve"> plot sizes of tb is: 39693194.33857569 </t>
  </si>
  <si>
    <t xml:space="preserve"> plot sizes of reit is: 29710782.926574767</t>
  </si>
  <si>
    <t xml:space="preserve"> plot sizes of total is: 148146475.51958078.
</t>
  </si>
  <si>
    <t xml:space="preserve"> 148146475.51958078.
</t>
  </si>
  <si>
    <t>predicted stdevs of gold is: 0.00805067480591733</t>
  </si>
  <si>
    <t xml:space="preserve"> predicted stdevs of tb is: 0.0014525843465844647</t>
  </si>
  <si>
    <t xml:space="preserve"> predicted stdevs of reit is: 0.010649024987418512</t>
  </si>
  <si>
    <t xml:space="preserve"> predicted stdevs of GTBCPS is: 0.006803933916481984.
</t>
  </si>
  <si>
    <t xml:space="preserve"> 0.006803933916481984.
</t>
  </si>
  <si>
    <t>total_value_of_collaterals is: 148146406.7205799</t>
  </si>
  <si>
    <t xml:space="preserve"> createdtionValue_gold is: 154.91937525893232</t>
  </si>
  <si>
    <t xml:space="preserve"> createdValue_tb is: 78.09312022749913</t>
  </si>
  <si>
    <t xml:space="preserve"> createdValue_reit is: 58.45354516122803
</t>
  </si>
  <si>
    <t xml:space="preserve"> 58.45354516122803
</t>
  </si>
  <si>
    <t>plotValue_gold_after_creation is: 78742290.42694928</t>
  </si>
  <si>
    <t xml:space="preserve"> plotValue_tb_after_creation  is: 39693105.804374546</t>
  </si>
  <si>
    <t xml:space="preserve"> plotValue_reit_after_creation  is: 29710719.023215447</t>
  </si>
  <si>
    <t xml:space="preserve">total_value_after_creation is: 148146115.25453928
</t>
  </si>
  <si>
    <t xml:space="preserve"> 148146115.25453928
</t>
  </si>
  <si>
    <t>total_amount_gtncps_before_creation is: 101166946.87175484</t>
  </si>
  <si>
    <t>creation_amount_gtbcps is: 199.03815498948097</t>
  </si>
  <si>
    <t xml:space="preserve">total_amount_gtbcps_new is: 101167145.90990983
</t>
  </si>
  <si>
    <t xml:space="preserve"> 101167145.90990983
</t>
  </si>
  <si>
    <t>payout of tranche of gold is: -52.908105778570956</t>
  </si>
  <si>
    <t xml:space="preserve"> payout of tranche of Treausry Bill Option is: -10.441080919851137</t>
  </si>
  <si>
    <t xml:space="preserve"> payout of tranche of Collar of REIT is: -5.449814160212945
</t>
  </si>
  <si>
    <t xml:space="preserve"> -5.449814160212945
</t>
  </si>
  <si>
    <t>Collateral size of tranche of gold is: 78742290.42694928</t>
  </si>
  <si>
    <t xml:space="preserve"> collateral size of tranche of Treausry Bill Option is: 39693105.804374546</t>
  </si>
  <si>
    <t xml:space="preserve"> collateral size of tranche of Collar of REIT is: 29710719.023215447
</t>
  </si>
  <si>
    <t xml:space="preserve"> 29710719.023215447
</t>
  </si>
  <si>
    <t>Collateral ratio of tranche of gold is: 0.7781659941180167</t>
  </si>
  <si>
    <t xml:space="preserve"> collateral ratio of tranche of Treausry Bill Option is: 0.3922647534179611</t>
  </si>
  <si>
    <t xml:space="preserve"> collateral ratio of tranche of Collar of REIT is: 0.29361441074806255
</t>
  </si>
  <si>
    <t xml:space="preserve"> 0.29361441074806255
</t>
  </si>
  <si>
    <t xml:space="preserve">date is: 2021-07-30 00:00:00
</t>
  </si>
  <si>
    <t xml:space="preserve"> 2021-07-30 00</t>
  </si>
  <si>
    <t>current price of gold is: 1814.19</t>
  </si>
  <si>
    <t xml:space="preserve"> predicted price of gold is: 1813.057156230253
</t>
  </si>
  <si>
    <t xml:space="preserve"> 1813.057156230253
</t>
  </si>
  <si>
    <t>current price of tb is: 98.9921875</t>
  </si>
  <si>
    <t xml:space="preserve"> current price of tb option is: 4.401072596441499</t>
  </si>
  <si>
    <t xml:space="preserve"> predicted price of tb is: 99.0945322961212
</t>
  </si>
  <si>
    <t xml:space="preserve"> 99.0945322961212
</t>
  </si>
  <si>
    <t xml:space="preserve"> current price of reit option is: 6.484033793892138</t>
  </si>
  <si>
    <t xml:space="preserve"> predicted price of reit is: 74.74559151374328
</t>
  </si>
  <si>
    <t xml:space="preserve"> 74.74559151374328
</t>
  </si>
  <si>
    <t>value_ratio_gold_to_total is: -0.10998270784829024</t>
  </si>
  <si>
    <t xml:space="preserve"> risk_ratio_to_gold is: 0.710724833950345</t>
  </si>
  <si>
    <t xml:space="preserve"> risk_ratio_to_gold_before is: 0.7089723056822186
</t>
  </si>
  <si>
    <t xml:space="preserve"> 0.7089723056822186
</t>
  </si>
  <si>
    <t>value_ratio_tb_to_total is: 0.4372165453279737</t>
  </si>
  <si>
    <t xml:space="preserve"> risk_ratio_tb_to_gold is: 0.20815964320689356</t>
  </si>
  <si>
    <t xml:space="preserve"> risk_ratio_tb_to_gold_before is: 0.2085693283797813
</t>
  </si>
  <si>
    <t xml:space="preserve"> 0.2085693283797813
</t>
  </si>
  <si>
    <t>value_ratio_reit_to_total is: 0.6727661625203165</t>
  </si>
  <si>
    <t xml:space="preserve"> risk_ratio_reit_to_gold is: 0.19885465013334078</t>
  </si>
  <si>
    <t xml:space="preserve"> risk_ratio_reit_to_gold_before is: 0.20192300254100945
</t>
  </si>
  <si>
    <t xml:space="preserve"> 0.20192300254100945
</t>
  </si>
  <si>
    <t>delta_gold is: 0.9923530087464514</t>
  </si>
  <si>
    <t xml:space="preserve"> delta_tb is: 1.0018079987081194</t>
  </si>
  <si>
    <t xml:space="preserve"> delta_reit is: 0.991994221957351
</t>
  </si>
  <si>
    <t xml:space="preserve"> 0.991994221957351
</t>
  </si>
  <si>
    <t>delta_gold_risk is: 1.0010254866403039</t>
  </si>
  <si>
    <t xml:space="preserve"> delta_tb_risk is: 0.9996610164073607</t>
  </si>
  <si>
    <t xml:space="preserve"> delta_reit_risk is: 0.9974471306388331
</t>
  </si>
  <si>
    <t xml:space="preserve"> 0.9974471306388331
</t>
  </si>
  <si>
    <t xml:space="preserve">collateral_ratio_tranche_gold is: 0.7714242802737605
</t>
  </si>
  <si>
    <t xml:space="preserve"> 0.7714242802737605
</t>
  </si>
  <si>
    <t xml:space="preserve">collateral_ratio_tranche_tb is: 0.3961364766568362
</t>
  </si>
  <si>
    <t xml:space="preserve"> 0.3961364766568362
</t>
  </si>
  <si>
    <t xml:space="preserve">collateral_ratio_tranche_reit is: 0.2942594599562028
</t>
  </si>
  <si>
    <t xml:space="preserve"> 0.2942594599562028
</t>
  </si>
  <si>
    <t>Total plot size is: 147377881.31038818</t>
  </si>
  <si>
    <t xml:space="preserve"> plot size of gold is: 78140148.82077001</t>
  </si>
  <si>
    <t xml:space="preserve"> plot size of TB is: 39764870.8883901</t>
  </si>
  <si>
    <t xml:space="preserve"> plot size of REIT is: 29472861.601228073
</t>
  </si>
  <si>
    <t xml:space="preserve"> 29472861.601228073
</t>
  </si>
  <si>
    <t xml:space="preserve">collateral ratio is: 1.456450266644639
</t>
  </si>
  <si>
    <t xml:space="preserve"> 1.456450266644639
</t>
  </si>
  <si>
    <t>S_gtbcps_0 is: 1.0002237245435777</t>
  </si>
  <si>
    <t xml:space="preserve">stdev_gtbcps is: 0.006823518276264401
</t>
  </si>
  <si>
    <t xml:space="preserve"> 0.006823518276264401
</t>
  </si>
  <si>
    <t>predicted price of GTBCPS is: 1.0002327069124075</t>
  </si>
  <si>
    <t xml:space="preserve"> actual price is: 1.0002237245435777
</t>
  </si>
  <si>
    <t xml:space="preserve"> 1.0002237245435777
</t>
  </si>
  <si>
    <t>predicted amount of GTBCPS is: 101166237.40070818</t>
  </si>
  <si>
    <t xml:space="preserve"> actual amount is: 101167145.90990983
</t>
  </si>
  <si>
    <t>plot sizes of gold is: 78140148.82077001</t>
  </si>
  <si>
    <t xml:space="preserve"> plot sizes of tb is: 39764870.8883901 </t>
  </si>
  <si>
    <t xml:space="preserve"> plot sizes of reit is: 29472861.601228073</t>
  </si>
  <si>
    <t xml:space="preserve"> plot sizes of total is: 147377881.3103882.
</t>
  </si>
  <si>
    <t xml:space="preserve"> 147377881.3103882.
</t>
  </si>
  <si>
    <t>predicted stdevs of gold is: 0.00809620597164425</t>
  </si>
  <si>
    <t xml:space="preserve"> predicted stdevs of tb is: 0.0014544699634024434</t>
  </si>
  <si>
    <t xml:space="preserve"> predicted stdevs of reit is: 0.010693230982762779</t>
  </si>
  <si>
    <t xml:space="preserve"> predicted stdevs of GTBCPS is: 0.006823518276264401.
</t>
  </si>
  <si>
    <t xml:space="preserve"> 0.006823518276264401.
</t>
  </si>
  <si>
    <t>total_value_of_collaterals is: 147378195.95718455</t>
  </si>
  <si>
    <t xml:space="preserve"> createdtionValue_gold is: -701.7287199361264</t>
  </si>
  <si>
    <t xml:space="preserve"> createdValue_tb is: -357.1032649607751</t>
  </si>
  <si>
    <t xml:space="preserve"> createdValue_reit is: -264.6772271609371
</t>
  </si>
  <si>
    <t xml:space="preserve"> -264.6772271609371
</t>
  </si>
  <si>
    <t>plotValue_gold_after_creation is: 78141081.7527701</t>
  </si>
  <si>
    <t xml:space="preserve"> plotValue_tb_after_creation  is: 39765274.85439245</t>
  </si>
  <si>
    <t xml:space="preserve"> plotValue_reit_after_creation  is: 29473162.859234042</t>
  </si>
  <si>
    <t xml:space="preserve">total_value_after_creation is: 147379519.46639657
</t>
  </si>
  <si>
    <t xml:space="preserve"> 147379519.46639657
</t>
  </si>
  <si>
    <t>total_amount_gtncps_before_creation is: 101167145.90990983</t>
  </si>
  <si>
    <t>creation_amount_gtbcps is: -908.5092016458511</t>
  </si>
  <si>
    <t xml:space="preserve">total_amount_gtbcps_new is: 101166237.40070818
</t>
  </si>
  <si>
    <t xml:space="preserve"> 101166237.40070818
</t>
  </si>
  <si>
    <t>payout of tranche of gold is: 231.2032801504339</t>
  </si>
  <si>
    <t xml:space="preserve"> payout of tranche of Treausry Bill Option is: 46.86273738865623</t>
  </si>
  <si>
    <t xml:space="preserve"> payout of tranche of Collar of REIT is: 36.58077880906494
</t>
  </si>
  <si>
    <t xml:space="preserve"> 36.58077880906494
</t>
  </si>
  <si>
    <t>Collateral size of tranche of gold is: 78141081.7527701</t>
  </si>
  <si>
    <t xml:space="preserve"> collateral size of tranche of Treausry Bill Option is: 39765274.85439245</t>
  </si>
  <si>
    <t xml:space="preserve"> collateral size of tranche of Collar of REIT is: 29473162.859234042
</t>
  </si>
  <si>
    <t xml:space="preserve"> 29473162.859234042
</t>
  </si>
  <si>
    <t>Collateral ratio of tranche of gold is: 0.7722161311442285</t>
  </si>
  <si>
    <t xml:space="preserve"> collateral ratio of tranche of Treausry Bill Option is: 0.39297365755826946</t>
  </si>
  <si>
    <t xml:space="preserve"> collateral ratio of tranche of Collar of REIT is: 0.29126358741424324
</t>
  </si>
  <si>
    <t xml:space="preserve"> 0.29126358741424324
</t>
  </si>
  <si>
    <t xml:space="preserve">date is: 2021-08-02 00:00:00
</t>
  </si>
  <si>
    <t xml:space="preserve"> 2021-08-02 00</t>
  </si>
  <si>
    <t>current price of gold is: 1813.47</t>
  </si>
  <si>
    <t xml:space="preserve"> predicted price of gold is: 1821.0502318949405
</t>
  </si>
  <si>
    <t xml:space="preserve"> 1821.0502318949405
</t>
  </si>
  <si>
    <t>current price of tb is: 99.13671875</t>
  </si>
  <si>
    <t xml:space="preserve"> current price of tb option is: 4.404125794971329</t>
  </si>
  <si>
    <t xml:space="preserve"> predicted price of tb is: 99.2359050536363
</t>
  </si>
  <si>
    <t xml:space="preserve"> 99.2359050536363
</t>
  </si>
  <si>
    <t xml:space="preserve"> current price of reit option is: 6.488451224997078</t>
  </si>
  <si>
    <t xml:space="preserve"> predicted price of reit is: 75.61005908536745
</t>
  </si>
  <si>
    <t xml:space="preserve"> 75.61005908536745
</t>
  </si>
  <si>
    <t>value_ratio_gold_to_total is: 0.39517310163146985</t>
  </si>
  <si>
    <t xml:space="preserve"> risk_ratio_to_gold is: 0.7129614320178782</t>
  </si>
  <si>
    <t xml:space="preserve"> risk_ratio_to_gold_before is: 0.710724833950345
</t>
  </si>
  <si>
    <t xml:space="preserve"> 0.710724833950345
</t>
  </si>
  <si>
    <t>value_ratio_tb_to_total is: 0.23476693513942817</t>
  </si>
  <si>
    <t xml:space="preserve"> risk_ratio_tb_to_gold is: 0.2076534948731341</t>
  </si>
  <si>
    <t xml:space="preserve"> risk_ratio_tb_to_gold_before is: 0.20815964320689356
</t>
  </si>
  <si>
    <t xml:space="preserve"> 0.20815964320689356
</t>
  </si>
  <si>
    <t>value_ratio_reit_to_total is: 0.37005996322910195</t>
  </si>
  <si>
    <t xml:space="preserve"> risk_ratio_reit_to_gold is: 0.19494691952757628</t>
  </si>
  <si>
    <t xml:space="preserve"> risk_ratio_reit_to_gold_before is: 0.19885465013334078
</t>
  </si>
  <si>
    <t xml:space="preserve"> 0.19885465013334078
</t>
  </si>
  <si>
    <t>delta_gold is: 0.9996031286689928</t>
  </si>
  <si>
    <t xml:space="preserve"> delta_tb is: 1.001427408792335</t>
  </si>
  <si>
    <t xml:space="preserve"> delta_reit is: 1.0087197605519693
</t>
  </si>
  <si>
    <t xml:space="preserve"> 1.0087197605519693
</t>
  </si>
  <si>
    <t>delta_gold_risk is: 1.0013073979071014</t>
  </si>
  <si>
    <t xml:space="preserve"> delta_tb_risk is: 0.9995810584001831</t>
  </si>
  <si>
    <t xml:space="preserve"> delta_reit_risk is: 0.9967404467211018
</t>
  </si>
  <si>
    <t xml:space="preserve"> 0.9967404467211018
</t>
  </si>
  <si>
    <t xml:space="preserve">collateral_ratio_tranche_gold is: 0.7709017853197283
</t>
  </si>
  <si>
    <t xml:space="preserve"> 0.7709017853197283
</t>
  </si>
  <si>
    <t xml:space="preserve">collateral_ratio_tranche_tb is: 0.39385583881360925
</t>
  </si>
  <si>
    <t xml:space="preserve"> 0.39385583881360925
</t>
  </si>
  <si>
    <t xml:space="preserve">collateral_ratio_tranche_reit is: 0.2948811654391813
</t>
  </si>
  <si>
    <t xml:space="preserve"> 0.2948811654391813
</t>
  </si>
  <si>
    <t>Total plot size is: 147662267.7370735</t>
  </si>
  <si>
    <t xml:space="preserve"> plot size of gold is: 78110069.79764853</t>
  </si>
  <si>
    <t xml:space="preserve"> plot size of TB is: 39822036.15734922</t>
  </si>
  <si>
    <t xml:space="preserve"> plot size of REIT is: 29730161.78207576
</t>
  </si>
  <si>
    <t xml:space="preserve"> 29730161.78207576
</t>
  </si>
  <si>
    <t xml:space="preserve">collateral ratio is: 1.4592606930349032
</t>
  </si>
  <si>
    <t xml:space="preserve"> 1.4592606930349032
</t>
  </si>
  <si>
    <t>S_gtbcps_0 is: 1.0002327069124075</t>
  </si>
  <si>
    <t xml:space="preserve">stdev_gtbcps is: 0.006757319598125329
</t>
  </si>
  <si>
    <t xml:space="preserve"> 0.006757319598125329
</t>
  </si>
  <si>
    <t>predicted price of GTBCPS is: 1.000248762873159</t>
  </si>
  <si>
    <t xml:space="preserve"> actual price is: 1.0002327069124075
</t>
  </si>
  <si>
    <t xml:space="preserve"> 1.0002327069124075
</t>
  </si>
  <si>
    <t>predicted amount of GTBCPS is: 101164613.48354141</t>
  </si>
  <si>
    <t xml:space="preserve"> actual amount is: 101166237.40070818
</t>
  </si>
  <si>
    <t>plot sizes of gold is: 78110069.79764853</t>
  </si>
  <si>
    <t xml:space="preserve"> plot sizes of tb is: 39822036.15734922 </t>
  </si>
  <si>
    <t xml:space="preserve"> plot sizes of reit is: 29730161.78207576</t>
  </si>
  <si>
    <t xml:space="preserve"> plot sizes of total is: 147662267.7370735.
</t>
  </si>
  <si>
    <t xml:space="preserve"> 147662267.7370735.
</t>
  </si>
  <si>
    <t>predicted stdevs of gold is: 0.007972729212189321</t>
  </si>
  <si>
    <t xml:space="preserve"> predicted stdevs of tb is: 0.001420590622074613</t>
  </si>
  <si>
    <t xml:space="preserve"> predicted stdevs of reit is: 0.010712349689145024</t>
  </si>
  <si>
    <t xml:space="preserve"> predicted stdevs of GTBCPS is: 0.006757319598125329.
</t>
  </si>
  <si>
    <t xml:space="preserve"> 0.006757319598125329.
</t>
  </si>
  <si>
    <t>total_value_of_collaterals is: 147662829.3391527</t>
  </si>
  <si>
    <t xml:space="preserve"> createdtionValue_gold is: -1253.8473337863936</t>
  </si>
  <si>
    <t xml:space="preserve"> createdValue_tb is: -639.2336913254592</t>
  </si>
  <si>
    <t xml:space="preserve"> createdValue_reit is: -477.23597804279115
</t>
  </si>
  <si>
    <t xml:space="preserve"> -477.23597804279115
</t>
  </si>
  <si>
    <t>plotValue_gold_after_creation is: 78111753.25304241</t>
  </si>
  <si>
    <t xml:space="preserve"> plotValue_tb_after_creation  is: 39822762.32710174</t>
  </si>
  <si>
    <t xml:space="preserve"> plotValue_reit_after_creation  is: 29730684.07601171</t>
  </si>
  <si>
    <t xml:space="preserve">total_value_after_creation is: 147665199.65615585
</t>
  </si>
  <si>
    <t xml:space="preserve"> 147665199.65615585
</t>
  </si>
  <si>
    <t>total_amount_gtncps_before_creation is: 101166237.40070818</t>
  </si>
  <si>
    <t>creation_amount_gtbcps is: -1623.9171667695045</t>
  </si>
  <si>
    <t xml:space="preserve">total_amount_gtbcps_new is: 101164613.48354141
</t>
  </si>
  <si>
    <t xml:space="preserve"> 101164613.48354141
</t>
  </si>
  <si>
    <t>payout of tranche of gold is: 429.60806009518933</t>
  </si>
  <si>
    <t xml:space="preserve"> payout of tranche of Treausry Bill Option is: 86.93606118713</t>
  </si>
  <si>
    <t xml:space="preserve"> payout of tranche of Collar of REIT is: 45.057957904490856
</t>
  </si>
  <si>
    <t xml:space="preserve"> 45.057957904490856
</t>
  </si>
  <si>
    <t>Collateral size of tranche of gold is: 78111753.25304241</t>
  </si>
  <si>
    <t xml:space="preserve"> collateral size of tranche of Treausry Bill Option is: 39822762.32710174</t>
  </si>
  <si>
    <t xml:space="preserve"> collateral size of tranche of Collar of REIT is: 29730684.07601171
</t>
  </si>
  <si>
    <t xml:space="preserve"> 29730684.07601171
</t>
  </si>
  <si>
    <t>Collateral ratio of tranche of gold is: 0.7719208382945547</t>
  </si>
  <si>
    <t xml:space="preserve"> collateral ratio of tranche of Treausry Bill Option is: 0.39353898483316757</t>
  </si>
  <si>
    <t xml:space="preserve"> collateral ratio of tranche of Collar of REIT is: 0.2938064198953523
</t>
  </si>
  <si>
    <t xml:space="preserve"> 0.2938064198953523
</t>
  </si>
  <si>
    <t xml:space="preserve">date is: 2021-08-03 00:00:00
</t>
  </si>
  <si>
    <t xml:space="preserve"> 2021-08-03 00</t>
  </si>
  <si>
    <t>current price of gold is: 1810.44</t>
  </si>
  <si>
    <t xml:space="preserve"> predicted price of gold is: 1809.7125155036024
</t>
  </si>
  <si>
    <t xml:space="preserve"> 1809.7125155036024
</t>
  </si>
  <si>
    <t>current price of tb is: 99.1640625</t>
  </si>
  <si>
    <t xml:space="preserve"> current price of tb option is: 4.404898948001852</t>
  </si>
  <si>
    <t xml:space="preserve"> predicted price of tb is: 99.26244897054136
</t>
  </si>
  <si>
    <t xml:space="preserve"> 99.26244897054136
</t>
  </si>
  <si>
    <t xml:space="preserve"> current price of reit option is: 6.508713233767949</t>
  </si>
  <si>
    <t xml:space="preserve"> predicted price of reit is: 75.06934858703951
</t>
  </si>
  <si>
    <t xml:space="preserve"> 75.06934858703951
</t>
  </si>
  <si>
    <t>value_ratio_gold_to_total is: -0.06764866855627144</t>
  </si>
  <si>
    <t xml:space="preserve"> risk_ratio_to_gold is: 0.7172760094925517</t>
  </si>
  <si>
    <t xml:space="preserve"> risk_ratio_to_gold_before is: 0.7129614320178782
</t>
  </si>
  <si>
    <t xml:space="preserve"> 0.7129614320178782
</t>
  </si>
  <si>
    <t>value_ratio_tb_to_total is: 0.4187598006580665</t>
  </si>
  <si>
    <t xml:space="preserve"> risk_ratio_tb_to_gold is: 0.2033093156298077</t>
  </si>
  <si>
    <t xml:space="preserve"> risk_ratio_tb_to_gold_before is: 0.2076534948731341
</t>
  </si>
  <si>
    <t xml:space="preserve"> 0.2076534948731341
</t>
  </si>
  <si>
    <t>value_ratio_reit_to_total is: 0.6488888678982049</t>
  </si>
  <si>
    <t xml:space="preserve"> risk_ratio_reit_to_gold is: 0.19085413995190897</t>
  </si>
  <si>
    <t xml:space="preserve"> risk_ratio_reit_to_gold_before is: 0.19494691952757628
</t>
  </si>
  <si>
    <t xml:space="preserve"> 0.19494691952757628
</t>
  </si>
  <si>
    <t>delta_gold is: 0.9983291700441694</t>
  </si>
  <si>
    <t xml:space="preserve"> delta_tb is: 1.0002715537347033</t>
  </si>
  <si>
    <t xml:space="preserve"> delta_reit is: 0.9953399778064177
</t>
  </si>
  <si>
    <t xml:space="preserve"> 0.9953399778064177
</t>
  </si>
  <si>
    <t>delta_gold_risk is: 1.0025187826147322</t>
  </si>
  <si>
    <t xml:space="preserve"> delta_tb_risk is: 0.9964027932997594</t>
  </si>
  <si>
    <t xml:space="preserve"> delta_reit_risk is: 0.9965749277153788
</t>
  </si>
  <si>
    <t xml:space="preserve"> 0.9965749277153788
</t>
  </si>
  <si>
    <t xml:space="preserve">collateral_ratio_tranche_gold is: 0.768694914447858
</t>
  </si>
  <si>
    <t xml:space="preserve"> 0.768694914447858
</t>
  </si>
  <si>
    <t xml:space="preserve">collateral_ratio_tranche_tb is: 0.3957281839397853
</t>
  </si>
  <si>
    <t xml:space="preserve"> 0.3957281839397853
</t>
  </si>
  <si>
    <t xml:space="preserve">collateral_ratio_tranche_reit is: 0.2939334494849144
</t>
  </si>
  <si>
    <t xml:space="preserve"> 0.2939334494849144
</t>
  </si>
  <si>
    <t>Total plot size is: 147406956.57112977</t>
  </si>
  <si>
    <t xml:space="preserve"> plot size of gold is: 77981241.79580478</t>
  </si>
  <si>
    <t xml:space="preserve"> plot size of TB is: 39833576.346937865</t>
  </si>
  <si>
    <t xml:space="preserve"> plot size of REIT is: 29592138.428387113
</t>
  </si>
  <si>
    <t xml:space="preserve"> 29592138.428387113
</t>
  </si>
  <si>
    <t xml:space="preserve">collateral ratio is: 1.4567376006114683
</t>
  </si>
  <si>
    <t xml:space="preserve"> 1.4567376006114683
</t>
  </si>
  <si>
    <t>S_gtbcps_0 is: 1.000248762873159</t>
  </si>
  <si>
    <t xml:space="preserve">stdev_gtbcps is: 0.006720126112518059
</t>
  </si>
  <si>
    <t xml:space="preserve"> 0.006720126112518059
</t>
  </si>
  <si>
    <t>predicted price of GTBCPS is: 1.0002702400450862</t>
  </si>
  <si>
    <t xml:space="preserve"> actual price is: 1.000248762873159
</t>
  </si>
  <si>
    <t xml:space="preserve"> 1.000248762873159
</t>
  </si>
  <si>
    <t>predicted amount of GTBCPS is: 101162441.34074463</t>
  </si>
  <si>
    <t xml:space="preserve"> actual amount is: 101164613.48354141
</t>
  </si>
  <si>
    <t>plot sizes of gold is: 77981241.79580478</t>
  </si>
  <si>
    <t xml:space="preserve"> plot sizes of tb is: 39833576.346937865 </t>
  </si>
  <si>
    <t xml:space="preserve"> plot sizes of reit is: 29592138.428387113</t>
  </si>
  <si>
    <t xml:space="preserve"> plot sizes of total is: 147406956.57112977.
</t>
  </si>
  <si>
    <t xml:space="preserve"> 147406956.57112977.
</t>
  </si>
  <si>
    <t>predicted stdevs of gold is: 0.007925109852828198</t>
  </si>
  <si>
    <t xml:space="preserve"> predicted stdevs of tb is: 0.0013911936158647327</t>
  </si>
  <si>
    <t xml:space="preserve"> predicted stdevs of reit is: 0.010717955175337444</t>
  </si>
  <si>
    <t xml:space="preserve"> predicted stdevs of GTBCPS is: 0.006720126112518059.
</t>
  </si>
  <si>
    <t xml:space="preserve"> 0.006720126112518059.
</t>
  </si>
  <si>
    <t>total_value_of_collaterals is: 147407708.359457</t>
  </si>
  <si>
    <t xml:space="preserve"> createdtionValue_gold is: -1674.4118490994395</t>
  </si>
  <si>
    <t xml:space="preserve"> createdValue_tb is: -855.3022150264709</t>
  </si>
  <si>
    <t xml:space="preserve"> createdValue_reit is: -635.3992690431662
</t>
  </si>
  <si>
    <t xml:space="preserve"> -635.3992690431662
</t>
  </si>
  <si>
    <t>plotValue_gold_after_creation is: 77983467.65099956</t>
  </si>
  <si>
    <t xml:space="preserve"> plotValue_tb_after_creation  is: 39834544.08377394</t>
  </si>
  <si>
    <t xml:space="preserve"> plotValue_reit_after_creation  is: 29592861.73801666</t>
  </si>
  <si>
    <t xml:space="preserve">total_value_after_creation is: 147410873.47279015
</t>
  </si>
  <si>
    <t xml:space="preserve"> 147410873.47279015
</t>
  </si>
  <si>
    <t>total_amount_gtncps_before_creation is: 101164613.48354141</t>
  </si>
  <si>
    <t>creation_amount_gtbcps is: -2172.1427967846394</t>
  </si>
  <si>
    <t xml:space="preserve">total_amount_gtbcps_new is: 101162441.34074463
</t>
  </si>
  <si>
    <t xml:space="preserve"> 101162441.34074463
</t>
  </si>
  <si>
    <t>payout of tranche of gold is: 551.4433456859379</t>
  </si>
  <si>
    <t xml:space="preserve"> payout of tranche of Treausry Bill Option is: 112.43462105397766</t>
  </si>
  <si>
    <t xml:space="preserve"> payout of tranche of Collar of REIT is: 87.91036050277329
</t>
  </si>
  <si>
    <t xml:space="preserve"> 87.91036050277329
</t>
  </si>
  <si>
    <t>Collateral size of tranche of gold is: 77983467.65099956</t>
  </si>
  <si>
    <t xml:space="preserve"> collateral size of tranche of Treausry Bill Option is: 39834544.08377394</t>
  </si>
  <si>
    <t xml:space="preserve"> collateral size of tranche of Collar of REIT is: 29592861.73801666
</t>
  </si>
  <si>
    <t xml:space="preserve"> 29592861.73801666
</t>
  </si>
  <si>
    <t>Collateral ratio of tranche of gold is: 0.77064890977356</t>
  </si>
  <si>
    <t xml:space="preserve"> collateral ratio of tranche of Treausry Bill Option is: 0.3936532818324055</t>
  </si>
  <si>
    <t xml:space="preserve"> collateral ratio of tranche of Collar of REIT is: 0.29244283849424235
</t>
  </si>
  <si>
    <t xml:space="preserve"> 0.29244283849424235
</t>
  </si>
  <si>
    <t xml:space="preserve">date is: 2021-08-04 00:00:00
</t>
  </si>
  <si>
    <t xml:space="preserve"> 2021-08-04 00</t>
  </si>
  <si>
    <t>current price of gold is: 1811.74</t>
  </si>
  <si>
    <t xml:space="preserve"> predicted price of gold is: 1807.5804862601374
</t>
  </si>
  <si>
    <t xml:space="preserve"> 1807.5804862601374
</t>
  </si>
  <si>
    <t>current price of tb is: 99.02734375</t>
  </si>
  <si>
    <t xml:space="preserve"> current price of tb option is: 4.405029849927622</t>
  </si>
  <si>
    <t xml:space="preserve"> predicted price of tb is: 99.12559457386725
</t>
  </si>
  <si>
    <t xml:space="preserve"> 99.12559457386725
</t>
  </si>
  <si>
    <t>current price of reit is: 74.25</t>
  </si>
  <si>
    <t xml:space="preserve"> current price of reit option is: 6.518484639815199</t>
  </si>
  <si>
    <t xml:space="preserve"> predicted price of reit is: 74.6834296622866
</t>
  </si>
  <si>
    <t xml:space="preserve"> 74.6834296622866
</t>
  </si>
  <si>
    <t>value_ratio_gold_to_total is: -0.5701337003758347</t>
  </si>
  <si>
    <t xml:space="preserve"> risk_ratio_to_gold is: 0.7160217982556133</t>
  </si>
  <si>
    <t xml:space="preserve"> risk_ratio_to_gold_before is: 0.7172760094925517
</t>
  </si>
  <si>
    <t xml:space="preserve"> 0.7172760094925517
</t>
  </si>
  <si>
    <t>value_ratio_tb_to_total is: 0.6172529374711107</t>
  </si>
  <si>
    <t xml:space="preserve"> risk_ratio_tb_to_gold is: 0.20475127387648503</t>
  </si>
  <si>
    <t xml:space="preserve"> risk_ratio_tb_to_gold_before is: 0.2033093156298077
</t>
  </si>
  <si>
    <t xml:space="preserve"> 0.2033093156298077
</t>
  </si>
  <si>
    <t>value_ratio_reit_to_total is: 0.952880762904724</t>
  </si>
  <si>
    <t xml:space="preserve"> risk_ratio_reit_to_gold is: 0.1918542518717817</t>
  </si>
  <si>
    <t xml:space="preserve"> risk_ratio_reit_to_gold_before is: 0.19085413995190897
</t>
  </si>
  <si>
    <t xml:space="preserve"> 0.19085413995190897
</t>
  </si>
  <si>
    <t>delta_gold is: 1.0007180574887873</t>
  </si>
  <si>
    <t xml:space="preserve"> delta_tb is: 0.9986811893624827</t>
  </si>
  <si>
    <t xml:space="preserve"> delta_reit is: 0.9958052768884132
</t>
  </si>
  <si>
    <t xml:space="preserve"> 0.9958052768884132
</t>
  </si>
  <si>
    <t>delta_gold_risk is: 0.9992696507550297</t>
  </si>
  <si>
    <t xml:space="preserve"> delta_tb_risk is: 1.0011983271698703</t>
  </si>
  <si>
    <t xml:space="preserve"> delta_reit_risk is: 1.000839827386344
</t>
  </si>
  <si>
    <t xml:space="preserve"> 1.000839827386344
</t>
  </si>
  <si>
    <t xml:space="preserve">collateral_ratio_tranche_gold is: 0.7717659386650465
</t>
  </si>
  <si>
    <t xml:space="preserve"> 0.7717659386650465
</t>
  </si>
  <si>
    <t xml:space="preserve">collateral_ratio_tranche_tb is: 0.3923818355349421
</t>
  </si>
  <si>
    <t xml:space="preserve"> 0.3923818355349421
</t>
  </si>
  <si>
    <t xml:space="preserve">collateral_ratio_tranche_reit is: 0.29076297118277344
</t>
  </si>
  <si>
    <t xml:space="preserve"> 0.29076297118277344
</t>
  </si>
  <si>
    <t>Total plot size is: 147290202.0041898</t>
  </si>
  <si>
    <t xml:space="preserve"> plot size of gold is: 78039464.26394796</t>
  </si>
  <si>
    <t xml:space="preserve"> plot size of TB is: 39782009.86329561</t>
  </si>
  <si>
    <t xml:space="preserve"> plot size of REIT is: 29468727.87694621
</t>
  </si>
  <si>
    <t xml:space="preserve"> 29468727.87694621
</t>
  </si>
  <si>
    <t xml:space="preserve">collateral ratio is: 1.455583782829317
</t>
  </si>
  <si>
    <t xml:space="preserve"> 1.455583782829317
</t>
  </si>
  <si>
    <t>S_gtbcps_0 is: 1.0002702400450862</t>
  </si>
  <si>
    <t xml:space="preserve">stdev_gtbcps is: 0.006725023797429317
</t>
  </si>
  <si>
    <t xml:space="preserve"> 0.006725023797429317
</t>
  </si>
  <si>
    <t>predicted price of GTBCPS is: 1.0002912593787618</t>
  </si>
  <si>
    <t xml:space="preserve"> actual price is: 1.0002702400450862
</t>
  </si>
  <si>
    <t xml:space="preserve"> 1.0002702400450862
</t>
  </si>
  <si>
    <t>predicted amount of GTBCPS is: 101160315.59277868</t>
  </si>
  <si>
    <t xml:space="preserve"> actual amount is: 101162441.34074463
</t>
  </si>
  <si>
    <t>plot sizes of gold is: 78039464.26394796</t>
  </si>
  <si>
    <t xml:space="preserve"> plot sizes of tb is: 39782009.86329561 </t>
  </si>
  <si>
    <t xml:space="preserve"> plot sizes of reit is: 29468727.87694621</t>
  </si>
  <si>
    <t xml:space="preserve"> plot sizes of total is: 147290202.0041898.
</t>
  </si>
  <si>
    <t xml:space="preserve"> 147290202.0041898.
</t>
  </si>
  <si>
    <t>predicted stdevs of gold is: 0.007927840133569244</t>
  </si>
  <si>
    <t xml:space="preserve"> predicted stdevs of tb is: 0.0013982081207863305</t>
  </si>
  <si>
    <t xml:space="preserve"> predicted stdevs of reit is: 0.010730771578630009</t>
  </si>
  <si>
    <t xml:space="preserve"> predicted stdevs of GTBCPS is: 0.006725023797429317.
</t>
  </si>
  <si>
    <t xml:space="preserve"> 0.006725023797429317.
</t>
  </si>
  <si>
    <t>total_value_of_collaterals is: 147290937.1026266</t>
  </si>
  <si>
    <t xml:space="preserve"> createdtionValue_gold is: -1639.9049100298637</t>
  </si>
  <si>
    <t xml:space="preserve"> createdValue_tb is: -835.9685528673147</t>
  </si>
  <si>
    <t xml:space="preserve"> createdValue_reit is: -619.2474658344482
</t>
  </si>
  <si>
    <t xml:space="preserve"> -619.2474658344482
</t>
  </si>
  <si>
    <t>plotValue_gold_after_creation is: 78041605.55383897</t>
  </si>
  <si>
    <t xml:space="preserve"> plotValue_tb_after_creation  is: 39782994.52563776</t>
  </si>
  <si>
    <t xml:space="preserve"> plotValue_reit_after_creation  is: 29469432.1440786</t>
  </si>
  <si>
    <t xml:space="preserve">total_value_after_creation is: 147294032.22355533
</t>
  </si>
  <si>
    <t xml:space="preserve"> 147294032.22355533
</t>
  </si>
  <si>
    <t>total_amount_gtncps_before_creation is: 101162441.34074463</t>
  </si>
  <si>
    <t>creation_amount_gtbcps is: -2125.7479659467936</t>
  </si>
  <si>
    <t xml:space="preserve">total_amount_gtbcps_new is: 101160315.59277868
</t>
  </si>
  <si>
    <t xml:space="preserve"> 101160315.59277868
</t>
  </si>
  <si>
    <t>payout of tranche of gold is: 501.38498098266547</t>
  </si>
  <si>
    <t xml:space="preserve"> payout of tranche of Treausry Bill Option is: 148.69378929022938</t>
  </si>
  <si>
    <t xml:space="preserve"> payout of tranche of Collar of REIT is: 85.01966655534098
</t>
  </si>
  <si>
    <t xml:space="preserve"> 85.01966655534098
</t>
  </si>
  <si>
    <t>Collateral size of tranche of gold is: 78041605.55383897</t>
  </si>
  <si>
    <t xml:space="preserve"> collateral size of tranche of Treausry Bill Option is: 39782994.52563776</t>
  </si>
  <si>
    <t xml:space="preserve"> collateral size of tranche of Collar of REIT is: 29469432.1440786
</t>
  </si>
  <si>
    <t xml:space="preserve"> 29469432.1440786
</t>
  </si>
  <si>
    <t>Collateral ratio of tranche of gold is: 0.7712237940165679</t>
  </si>
  <si>
    <t xml:space="preserve"> collateral ratio of tranche of Treausry Bill Option is: 0.39314403846082124</t>
  </si>
  <si>
    <t xml:space="preserve"> collateral ratio of tranche of Collar of REIT is: 0.2912232149041442
</t>
  </si>
  <si>
    <t xml:space="preserve"> 0.2912232149041442
</t>
  </si>
  <si>
    <t xml:space="preserve">date is: 2021-08-05 00:00:00
</t>
  </si>
  <si>
    <t xml:space="preserve"> 2021-08-05 00</t>
  </si>
  <si>
    <t>current price of gold is: 1804.41</t>
  </si>
  <si>
    <t xml:space="preserve"> predicted price of gold is: 1810.805817142278
</t>
  </si>
  <si>
    <t xml:space="preserve"> 1810.805817142278
</t>
  </si>
  <si>
    <t xml:space="preserve"> current price of tb option is: 4.402033157054379</t>
  </si>
  <si>
    <t xml:space="preserve"> predicted price of tb is: 98.9294757615168
</t>
  </si>
  <si>
    <t xml:space="preserve"> 98.9294757615168
</t>
  </si>
  <si>
    <t>current price of reit is: 73.95</t>
  </si>
  <si>
    <t xml:space="preserve"> current price of reit option is: 6.500214702439521</t>
  </si>
  <si>
    <t xml:space="preserve"> predicted price of reit is: 74.45388292461355
</t>
  </si>
  <si>
    <t xml:space="preserve"> 74.45388292461355
</t>
  </si>
  <si>
    <t>value_ratio_gold_to_total is: 0.3572423860972528</t>
  </si>
  <si>
    <t xml:space="preserve"> risk_ratio_to_gold is: 0.7171085312999564</t>
  </si>
  <si>
    <t xml:space="preserve"> risk_ratio_to_gold_before is: 0.7160217982556133
</t>
  </si>
  <si>
    <t xml:space="preserve"> 0.7160217982556133
</t>
  </si>
  <si>
    <t>value_ratio_tb_to_total is: 0.251539339038913</t>
  </si>
  <si>
    <t xml:space="preserve"> risk_ratio_tb_to_gold is: 0.20400647597670177</t>
  </si>
  <si>
    <t xml:space="preserve"> risk_ratio_tb_to_gold_before is: 0.20475127387648503
</t>
  </si>
  <si>
    <t xml:space="preserve"> 0.20475127387648503
</t>
  </si>
  <si>
    <t>value_ratio_reit_to_total is: 0.3912182748638342</t>
  </si>
  <si>
    <t xml:space="preserve"> risk_ratio_reit_to_gold is: 0.19048258161019524</t>
  </si>
  <si>
    <t xml:space="preserve"> risk_ratio_reit_to_gold_before is: 0.1918542518717817
</t>
  </si>
  <si>
    <t xml:space="preserve"> 0.1918542518717817
</t>
  </si>
  <si>
    <t>delta_gold is: 0.9959541656087518</t>
  </si>
  <si>
    <t xml:space="preserve"> delta_tb is: 0.9980449501849836</t>
  </si>
  <si>
    <t xml:space="preserve"> delta_reit is: 0.9960594786593435
</t>
  </si>
  <si>
    <t xml:space="preserve"> 0.9960594786593435
</t>
  </si>
  <si>
    <t>delta_gold_risk is: 1.000633286270284</t>
  </si>
  <si>
    <t xml:space="preserve"> delta_tb_risk is: 0.9993817828493455</t>
  </si>
  <si>
    <t xml:space="preserve"> delta_reit_risk is: 0.998849129195594
</t>
  </si>
  <si>
    <t xml:space="preserve"> 0.998849129195594
</t>
  </si>
  <si>
    <t xml:space="preserve">collateral_ratio_tranche_gold is: 0.7676174286889673
</t>
  </si>
  <si>
    <t xml:space="preserve"> 0.7676174286889673
</t>
  </si>
  <si>
    <t xml:space="preserve">collateral_ratio_tranche_tb is: 0.39421306633364434
</t>
  </si>
  <si>
    <t xml:space="preserve"> 0.39421306633364434
</t>
  </si>
  <si>
    <t xml:space="preserve">collateral_ratio_tranche_reit is: 0.29158959104471754
</t>
  </si>
  <si>
    <t xml:space="preserve"> 0.29158959104471754
</t>
  </si>
  <si>
    <t>Total plot size is: 146784386.14950848</t>
  </si>
  <si>
    <t xml:space="preserve"> plot size of gold is: 77725862.14214103</t>
  </si>
  <si>
    <t xml:space="preserve"> plot size of TB is: 39705216.78954961</t>
  </si>
  <si>
    <t xml:space="preserve"> plot size of REIT is: 29353307.21781783
</t>
  </si>
  <si>
    <t xml:space="preserve"> 29353307.21781783
</t>
  </si>
  <si>
    <t xml:space="preserve">collateral ratio is: 1.4505850976136425
</t>
  </si>
  <si>
    <t xml:space="preserve"> 1.4505850976136425
</t>
  </si>
  <si>
    <t>S_gtbcps_0 is: 1.0002912593787618</t>
  </si>
  <si>
    <t xml:space="preserve">stdev_gtbcps is: 0.00667653476276291
</t>
  </si>
  <si>
    <t xml:space="preserve"> 0.00667653476276291
</t>
  </si>
  <si>
    <t>predicted price of GTBCPS is: 1.0002657975591032</t>
  </si>
  <si>
    <t xml:space="preserve"> actual price is: 1.0002912593787618
</t>
  </si>
  <si>
    <t xml:space="preserve"> 1.0002912593787618
</t>
  </si>
  <si>
    <t>predicted amount of GTBCPS is: 101162890.63405123</t>
  </si>
  <si>
    <t xml:space="preserve"> actual amount is: 101160315.59277868
</t>
  </si>
  <si>
    <t>plot sizes of gold is: 77725862.14214103</t>
  </si>
  <si>
    <t xml:space="preserve"> plot sizes of tb is: 39705216.78954961 </t>
  </si>
  <si>
    <t xml:space="preserve"> plot sizes of reit is: 29353307.21781783</t>
  </si>
  <si>
    <t xml:space="preserve"> plot sizes of total is: 146784386.14950848.
</t>
  </si>
  <si>
    <t xml:space="preserve"> 146784386.14950848.
</t>
  </si>
  <si>
    <t>predicted stdevs of gold is: 0.00785269535910115</t>
  </si>
  <si>
    <t xml:space="preserve"> predicted stdevs of tb is: 0.0013881977252027243</t>
  </si>
  <si>
    <t xml:space="preserve"> predicted stdevs of reit is: 0.010715482445379128</t>
  </si>
  <si>
    <t xml:space="preserve"> predicted stdevs of GTBCPS is: 0.00667653476276291.
</t>
  </si>
  <si>
    <t xml:space="preserve"> 0.00667653476276291.
</t>
  </si>
  <si>
    <t>total_value_of_collaterals is: 146783494.82670215</t>
  </si>
  <si>
    <t xml:space="preserve"> createdtionValue_gold is: 1978.4501977793218</t>
  </si>
  <si>
    <t xml:space="preserve"> createdValue_tb is: 1010.6678910999234</t>
  </si>
  <si>
    <t xml:space="preserve"> createdValue_reit is: 747.1685567376485
</t>
  </si>
  <si>
    <t xml:space="preserve"> 747.1685567376485
</t>
  </si>
  <si>
    <t>plotValue_gold_after_creation is: 77723277.10836783</t>
  </si>
  <si>
    <t xml:space="preserve"> plotValue_tb_after_creation  is: 39704017.1406179</t>
  </si>
  <si>
    <t xml:space="preserve"> plotValue_reit_after_creation  is: 29352464.291070797</t>
  </si>
  <si>
    <t xml:space="preserve">total_value_after_creation is: 146779758.54005653
</t>
  </si>
  <si>
    <t xml:space="preserve"> 146779758.54005653
</t>
  </si>
  <si>
    <t>total_amount_gtncps_before_creation is: 101160315.59277868</t>
  </si>
  <si>
    <t>creation_amount_gtbcps is: 2575.0412725508213</t>
  </si>
  <si>
    <t xml:space="preserve">total_amount_gtbcps_new is: 101162890.63405123
</t>
  </si>
  <si>
    <t xml:space="preserve"> 101162890.63405123
</t>
  </si>
  <si>
    <t>payout of tranche of gold is: -606.5835754170927</t>
  </si>
  <si>
    <t xml:space="preserve"> payout of tranche of Treausry Bill Option is: -188.9810406102194</t>
  </si>
  <si>
    <t xml:space="preserve"> payout of tranche of Collar of REIT is: -95.75819029753177
</t>
  </si>
  <si>
    <t xml:space="preserve"> -95.75819029753177
</t>
  </si>
  <si>
    <t>Collateral size of tranche of gold is: 77723277.10836783</t>
  </si>
  <si>
    <t xml:space="preserve"> collateral size of tranche of Treausry Bill Option is: 39704017.1406179</t>
  </si>
  <si>
    <t xml:space="preserve"> collateral size of tranche of Collar of REIT is: 29352464.291070797
</t>
  </si>
  <si>
    <t xml:space="preserve"> 29352464.291070797
</t>
  </si>
  <si>
    <t>Collateral ratio of tranche of gold is: 0.7681136964161004</t>
  </si>
  <si>
    <t xml:space="preserve"> collateral ratio of tranche of Treausry Bill Option is: 0.392381799932685</t>
  </si>
  <si>
    <t xml:space="preserve"> collateral ratio of tranche of Collar of REIT is: 0.2900807928376534
</t>
  </si>
  <si>
    <t xml:space="preserve"> 0.2900807928376534
</t>
  </si>
  <si>
    <t xml:space="preserve">date is: 2021-08-06 00:00:00
</t>
  </si>
  <si>
    <t xml:space="preserve"> 2021-08-06 00</t>
  </si>
  <si>
    <t>current price of gold is: 1763.03</t>
  </si>
  <si>
    <t xml:space="preserve"> predicted price of gold is: 1773.6172476570528
</t>
  </si>
  <si>
    <t xml:space="preserve"> 1773.6172476570528
</t>
  </si>
  <si>
    <t>current price of tb is: 98.640625</t>
  </si>
  <si>
    <t xml:space="preserve"> current price of tb option is: 4.395855613914318</t>
  </si>
  <si>
    <t xml:space="preserve"> predicted price of tb is: 98.74836648048316
</t>
  </si>
  <si>
    <t xml:space="preserve"> 98.74836648048316
</t>
  </si>
  <si>
    <t>current price of reit is: 73.8</t>
  </si>
  <si>
    <t xml:space="preserve"> current price of reit option is: 6.4647516350264596</t>
  </si>
  <si>
    <t xml:space="preserve"> predicted price of reit is: 74.21385417743335
</t>
  </si>
  <si>
    <t xml:space="preserve"> 74.21385417743335
</t>
  </si>
  <si>
    <t>value_ratio_gold_to_total is: 0.4819077120865644</t>
  </si>
  <si>
    <t xml:space="preserve"> risk_ratio_to_gold is: 0.7128262699922988</t>
  </si>
  <si>
    <t xml:space="preserve"> risk_ratio_to_gold_before is: 0.7171085312999564
</t>
  </si>
  <si>
    <t xml:space="preserve"> 0.7171085312999564
</t>
  </si>
  <si>
    <t>value_ratio_tb_to_total is: 0.20499361517013456</t>
  </si>
  <si>
    <t xml:space="preserve"> risk_ratio_tb_to_gold is: 0.20778250511935725</t>
  </si>
  <si>
    <t xml:space="preserve"> risk_ratio_tb_to_gold_before is: 0.20400647597670177
</t>
  </si>
  <si>
    <t xml:space="preserve"> 0.20400647597670177
</t>
  </si>
  <si>
    <t>value_ratio_reit_to_total is: 0.313098672743301</t>
  </si>
  <si>
    <t xml:space="preserve"> risk_ratio_reit_to_gold is: 0.19508386232078156</t>
  </si>
  <si>
    <t xml:space="preserve"> risk_ratio_reit_to_gold_before is: 0.19048258161019524
</t>
  </si>
  <si>
    <t xml:space="preserve"> 0.19048258161019524
</t>
  </si>
  <si>
    <t>delta_gold is: 0.9770672962353345</t>
  </si>
  <si>
    <t xml:space="preserve"> delta_tb is: 0.998123827894893</t>
  </si>
  <si>
    <t xml:space="preserve"> delta_reit is: 0.9976946852398214
</t>
  </si>
  <si>
    <t xml:space="preserve"> 0.9976946852398214
</t>
  </si>
  <si>
    <t>delta_gold_risk is: 0.9975061207666264</t>
  </si>
  <si>
    <t xml:space="preserve"> delta_tb_risk is: 1.0031362199606049</t>
  </si>
  <si>
    <t xml:space="preserve"> delta_reit_risk is: 1.0038650550471413
</t>
  </si>
  <si>
    <t xml:space="preserve"> 1.0038650550471413
</t>
  </si>
  <si>
    <t xml:space="preserve">collateral_ratio_tranche_gold is: 0.7523751052091963
</t>
  </si>
  <si>
    <t xml:space="preserve"> 0.7523751052091963
</t>
  </si>
  <si>
    <t xml:space="preserve">collateral_ratio_tranche_tb is: 0.3995847358310162
</t>
  </si>
  <si>
    <t xml:space="preserve"> 0.3995847358310162
</t>
  </si>
  <si>
    <t xml:space="preserve">collateral_ratio_tranche_reit is: 0.29506440306737275
</t>
  </si>
  <si>
    <t xml:space="preserve"> 0.29506440306737275
</t>
  </si>
  <si>
    <t>Total plot size is: 144855195.41191357</t>
  </si>
  <si>
    <t xml:space="preserve"> plot size of gold is: 75940872.21882263</t>
  </si>
  <si>
    <t xml:space="preserve"> plot size of TB is: 39629525.57119798</t>
  </si>
  <si>
    <t xml:space="preserve"> plot size of REIT is: 29284797.621892978
</t>
  </si>
  <si>
    <t xml:space="preserve"> 29284797.621892978
</t>
  </si>
  <si>
    <t xml:space="preserve">collateral ratio is: 1.4315200225888436
</t>
  </si>
  <si>
    <t xml:space="preserve"> 1.4315200225888436
</t>
  </si>
  <si>
    <t>S_gtbcps_0 is: 1.0002657975591032</t>
  </si>
  <si>
    <t xml:space="preserve">stdev_gtbcps is: 0.006521420606521361
</t>
  </si>
  <si>
    <t xml:space="preserve"> 0.006521420606521361
</t>
  </si>
  <si>
    <t>predicted price of GTBCPS is: 1.0002180621029424</t>
  </si>
  <si>
    <t xml:space="preserve"> actual price is: 1.0002657975591032
</t>
  </si>
  <si>
    <t xml:space="preserve"> 1.0002657975591032
</t>
  </si>
  <si>
    <t>predicted amount of GTBCPS is: 101167718.63797753</t>
  </si>
  <si>
    <t xml:space="preserve"> actual amount is: 101162890.63405123
</t>
  </si>
  <si>
    <t>plot sizes of gold is: 75940872.21882263</t>
  </si>
  <si>
    <t xml:space="preserve"> plot sizes of tb is: 39629525.57119798 </t>
  </si>
  <si>
    <t xml:space="preserve"> plot sizes of reit is: 29284797.621892978</t>
  </si>
  <si>
    <t xml:space="preserve"> plot sizes of total is: 144855195.4119136.
</t>
  </si>
  <si>
    <t xml:space="preserve"> 144855195.4119136.
</t>
  </si>
  <si>
    <t>predicted stdevs of gold is: 0.007637435805989763</t>
  </si>
  <si>
    <t xml:space="preserve"> predicted stdevs of tb is: 0.0013854943384064477</t>
  </si>
  <si>
    <t xml:space="preserve"> predicted stdevs of reit is: 0.010577557693436133</t>
  </si>
  <si>
    <t xml:space="preserve"> predicted stdevs of GTBCPS is: 0.006521420606521361.
</t>
  </si>
  <si>
    <t xml:space="preserve"> 0.006521420606521361.
</t>
  </si>
  <si>
    <t>total_value_of_collaterals is: 144853524.52172184</t>
  </si>
  <si>
    <t xml:space="preserve"> createdtionValue_gold is: 3624.0553519290147</t>
  </si>
  <si>
    <t xml:space="preserve"> createdValue_tb is: 1891.213384941176</t>
  </si>
  <si>
    <t xml:space="preserve"> createdValue_reit is: 1397.5429242359535
</t>
  </si>
  <si>
    <t xml:space="preserve"> 1397.5429242359535
</t>
  </si>
  <si>
    <t>plotValue_gold_after_creation is: 75936126.15400448</t>
  </si>
  <si>
    <t xml:space="preserve"> plotValue_tb_after_creation  is: 39627269.51910196</t>
  </si>
  <si>
    <t xml:space="preserve"> plotValue_reit_after_creation  is: 29283216.036954273</t>
  </si>
  <si>
    <t xml:space="preserve">total_value_after_creation is: 144846611.71006072
</t>
  </si>
  <si>
    <t xml:space="preserve"> 144846611.71006072
</t>
  </si>
  <si>
    <t>total_amount_gtncps_before_creation is: 101162890.63405123</t>
  </si>
  <si>
    <t>creation_amount_gtbcps is: 4828.003926292062</t>
  </si>
  <si>
    <t xml:space="preserve">total_amount_gtbcps_new is: 101167718.63797753
</t>
  </si>
  <si>
    <t xml:space="preserve"> 101167718.63797753
</t>
  </si>
  <si>
    <t>payout of tranche of gold is: -1122.0094662116114</t>
  </si>
  <si>
    <t xml:space="preserve"> payout of tranche of Treausry Bill Option is: -364.8387110735906</t>
  </si>
  <si>
    <t xml:space="preserve"> payout of tranche of Collar of REIT is: -184.042014467111
</t>
  </si>
  <si>
    <t xml:space="preserve"> -184.042014467111
</t>
  </si>
  <si>
    <t>Collateral size of tranche of gold is: 75936126.15400448</t>
  </si>
  <si>
    <t xml:space="preserve"> collateral size of tranche of Treausry Bill Option is: 39627269.51910196</t>
  </si>
  <si>
    <t xml:space="preserve"> collateral size of tranche of Collar of REIT is: 29283216.036954273
</t>
  </si>
  <si>
    <t xml:space="preserve"> 29283216.036954273
</t>
  </si>
  <si>
    <t>Collateral ratio of tranche of gold is: 0.7504685808883886</t>
  </si>
  <si>
    <t xml:space="preserve"> collateral ratio of tranche of Treausry Bill Option is: 0.39163204954870967</t>
  </si>
  <si>
    <t xml:space="preserve"> collateral ratio of tranche of Collar of REIT is: 0.2894028797114543
</t>
  </si>
  <si>
    <t xml:space="preserve"> 0.2894028797114543
</t>
  </si>
  <si>
    <t xml:space="preserve">date is: 2021-08-09 00:00:00
</t>
  </si>
  <si>
    <t xml:space="preserve"> 2021-08-09 00</t>
  </si>
  <si>
    <t>current price of gold is: 1729.94</t>
  </si>
  <si>
    <t xml:space="preserve"> predicted price of gold is: 1747.4360349365375
</t>
  </si>
  <si>
    <t xml:space="preserve"> 1747.4360349365375
</t>
  </si>
  <si>
    <t>current price of tb is: 98.5390625</t>
  </si>
  <si>
    <t xml:space="preserve"> current price of tb option is: 4.394373461990615</t>
  </si>
  <si>
    <t xml:space="preserve"> predicted price of tb is: 98.64833717279923
</t>
  </si>
  <si>
    <t xml:space="preserve"> 98.64833717279923
</t>
  </si>
  <si>
    <t>current price of reit is: 73.4</t>
  </si>
  <si>
    <t xml:space="preserve"> current price of reit option is: 6.461318482366224</t>
  </si>
  <si>
    <t xml:space="preserve"> predicted price of reit is: 73.84012147364918
</t>
  </si>
  <si>
    <t xml:space="preserve"> 73.84012147364918
</t>
  </si>
  <si>
    <t>value_ratio_gold_to_total is: 0.6053756084144147</t>
  </si>
  <si>
    <t xml:space="preserve"> risk_ratio_to_gold is: 0.7246678497765797</t>
  </si>
  <si>
    <t xml:space="preserve"> risk_ratio_to_gold_before is: 0.7128262699922988
</t>
  </si>
  <si>
    <t xml:space="preserve"> 0.7128262699922988
</t>
  </si>
  <si>
    <t>value_ratio_tb_to_total is: 0.15582952020684634</t>
  </si>
  <si>
    <t xml:space="preserve"> risk_ratio_tb_to_gold is: 0.19637162806059924</t>
  </si>
  <si>
    <t xml:space="preserve"> risk_ratio_tb_to_gold_before is: 0.20778250511935725
</t>
  </si>
  <si>
    <t xml:space="preserve"> 0.20778250511935725
</t>
  </si>
  <si>
    <t>value_ratio_reit_to_total is: 0.23879487137873895</t>
  </si>
  <si>
    <t xml:space="preserve"> risk_ratio_reit_to_gold is: 0.1835709212167108</t>
  </si>
  <si>
    <t xml:space="preserve"> risk_ratio_reit_to_gold_before is: 0.19508386232078156
</t>
  </si>
  <si>
    <t xml:space="preserve"> 0.19508386232078156
</t>
  </si>
  <si>
    <t>delta_gold is: 0.9812311758733544</t>
  </si>
  <si>
    <t xml:space="preserve"> delta_tb is: 0.9989999206949834</t>
  </si>
  <si>
    <t xml:space="preserve"> delta_reit is: 0.9949737195413663
</t>
  </si>
  <si>
    <t xml:space="preserve"> 0.9949737195413663
</t>
  </si>
  <si>
    <t>delta_gold_risk is: 1.0069134739417174</t>
  </si>
  <si>
    <t xml:space="preserve"> delta_tb_risk is: 0.9905522086879123</t>
  </si>
  <si>
    <t xml:space="preserve"> delta_reit_risk is: 0.990366415724405
</t>
  </si>
  <si>
    <t xml:space="preserve"> 0.990366415724405
</t>
  </si>
  <si>
    <t xml:space="preserve">collateral_ratio_tranche_gold is: 0.7313271568394415
</t>
  </si>
  <si>
    <t xml:space="preserve"> 0.7313271568394415
</t>
  </si>
  <si>
    <t xml:space="preserve">collateral_ratio_tranche_tb is: 0.4025269571304615
</t>
  </si>
  <si>
    <t xml:space="preserve"> 0.4025269571304615
</t>
  </si>
  <si>
    <t xml:space="preserve">collateral_ratio_tranche_reit is: 0.2963106186433367
</t>
  </si>
  <si>
    <t xml:space="preserve"> 0.2963106186433367
</t>
  </si>
  <si>
    <t>Total plot size is: 143234563.8447246</t>
  </si>
  <si>
    <t xml:space="preserve"> plot size of gold is: 74510894.3573612</t>
  </si>
  <si>
    <t xml:space="preserve"> plot size of TB is: 39587639.106941596</t>
  </si>
  <si>
    <t xml:space="preserve"> plot size of REIT is: 29136030.38042178
</t>
  </si>
  <si>
    <t xml:space="preserve"> 29136030.38042178
</t>
  </si>
  <si>
    <t xml:space="preserve">collateral ratio is: 1.415504259184062
</t>
  </si>
  <si>
    <t xml:space="preserve"> 1.415504259184062
</t>
  </si>
  <si>
    <t>S_gtbcps_0 is: 1.0002180621029424</t>
  </si>
  <si>
    <t xml:space="preserve">stdev_gtbcps is: 0.006684655525163124
</t>
  </si>
  <si>
    <t xml:space="preserve"> 0.006684655525163124
</t>
  </si>
  <si>
    <t>predicted price of GTBCPS is: 1.0002109009250293</t>
  </si>
  <si>
    <t xml:space="preserve"> actual price is: 1.0002180621029424
</t>
  </si>
  <si>
    <t xml:space="preserve"> 1.0002180621029424
</t>
  </si>
  <si>
    <t>predicted amount of GTBCPS is: 101168442.96524844</t>
  </si>
  <si>
    <t xml:space="preserve"> actual amount is: 101167718.63797753
</t>
  </si>
  <si>
    <t>plot sizes of gold is: 74510894.3573612</t>
  </si>
  <si>
    <t xml:space="preserve"> plot sizes of tb is: 39587639.106941596 </t>
  </si>
  <si>
    <t xml:space="preserve"> plot sizes of reit is: 29136030.38042178</t>
  </si>
  <si>
    <t xml:space="preserve"> plot sizes of total is: 143234563.84472457.
</t>
  </si>
  <si>
    <t xml:space="preserve"> 143234563.84472457.
</t>
  </si>
  <si>
    <t>predicted stdevs of gold is: 0.007971212452893612</t>
  </si>
  <si>
    <t xml:space="preserve"> predicted stdevs of tb is: 0.0013881132949105977</t>
  </si>
  <si>
    <t xml:space="preserve"> predicted stdevs of reit is: 0.010590990517027152</t>
  </si>
  <si>
    <t xml:space="preserve"> predicted stdevs of GTBCPS is: 0.006684655525163124.
</t>
  </si>
  <si>
    <t xml:space="preserve"> 0.006684655525163124.
</t>
  </si>
  <si>
    <t>total_value_of_collaterals is: 143234312.87256038</t>
  </si>
  <si>
    <t xml:space="preserve"> createdtionValue_gold is: 533.468249702213</t>
  </si>
  <si>
    <t xml:space="preserve"> createdValue_tb is: 283.4319174490439</t>
  </si>
  <si>
    <t xml:space="preserve"> createdValue_reit is: 208.6026072594273
</t>
  </si>
  <si>
    <t xml:space="preserve"> 208.6026072594273
</t>
  </si>
  <si>
    <t>plotValue_gold_after_creation is: 74510194.43234938</t>
  </si>
  <si>
    <t xml:space="preserve"> plotValue_tb_after_creation  is: 39587299.31772031</t>
  </si>
  <si>
    <t xml:space="preserve"> plotValue_reit_after_creation  is: 29135793.619716275</t>
  </si>
  <si>
    <t xml:space="preserve">total_value_after_creation is: 143233287.36978596
</t>
  </si>
  <si>
    <t xml:space="preserve"> 143233287.36978596
</t>
  </si>
  <si>
    <t>total_amount_gtncps_before_creation is: 101167718.63797753</t>
  </si>
  <si>
    <t>creation_amount_gtbcps is: 724.3272709101439</t>
  </si>
  <si>
    <t xml:space="preserve">total_amount_gtbcps_new is: 101168442.96524844
</t>
  </si>
  <si>
    <t xml:space="preserve"> 101168442.96524844
</t>
  </si>
  <si>
    <t>payout of tranche of gold is: -166.45676211151954</t>
  </si>
  <si>
    <t xml:space="preserve"> payout of tranche of Treausry Bill Option is: -56.35730383432427</t>
  </si>
  <si>
    <t xml:space="preserve"> payout of tranche of Collar of REIT is: -28.158098247776557
</t>
  </si>
  <si>
    <t xml:space="preserve"> -28.158098247776557
</t>
  </si>
  <si>
    <t>Collateral size of tranche of gold is: 74510194.43234938</t>
  </si>
  <si>
    <t xml:space="preserve"> collateral size of tranche of Treausry Bill Option is: 39587299.31772031</t>
  </si>
  <si>
    <t xml:space="preserve"> collateral size of tranche of Collar of REIT is: 29135793.619716275
</t>
  </si>
  <si>
    <t xml:space="preserve"> 29135793.619716275
</t>
  </si>
  <si>
    <t>Collateral ratio of tranche of gold is: 0.7363463808396082</t>
  </si>
  <si>
    <t xml:space="preserve"> collateral ratio of tranche of Treausry Bill Option is: 0.39122115841858385</t>
  </si>
  <si>
    <t xml:space="preserve"> collateral ratio of tranche of Collar of REIT is: 0.2879342397132886
</t>
  </si>
  <si>
    <t xml:space="preserve"> 0.2879342397132886
</t>
  </si>
  <si>
    <t xml:space="preserve">date is: 2021-08-10 00:00:00
</t>
  </si>
  <si>
    <t xml:space="preserve"> 2021-08-10 00</t>
  </si>
  <si>
    <t>current price of gold is: 1728.93</t>
  </si>
  <si>
    <t xml:space="preserve"> predicted price of gold is: 1734.875651842662
</t>
  </si>
  <si>
    <t xml:space="preserve"> 1734.875651842662
</t>
  </si>
  <si>
    <t>current price of tb is: 98.41015625</t>
  </si>
  <si>
    <t xml:space="preserve"> current price of tb option is: 4.392130670724791</t>
  </si>
  <si>
    <t xml:space="preserve"> predicted price of tb is: 98.52175098548868
</t>
  </si>
  <si>
    <t xml:space="preserve"> 98.52175098548868
</t>
  </si>
  <si>
    <t>current price of reit is: 72.6</t>
  </si>
  <si>
    <t xml:space="preserve"> current price of reit option is: 6.465595468905931</t>
  </si>
  <si>
    <t xml:space="preserve"> predicted price of reit is: 73.11084871729813
</t>
  </si>
  <si>
    <t xml:space="preserve"> 73.11084871729813
</t>
  </si>
  <si>
    <t>value_ratio_gold_to_total is: 0.341197794595372</t>
  </si>
  <si>
    <t xml:space="preserve"> risk_ratio_to_gold is: 0.7312829740706396</t>
  </si>
  <si>
    <t xml:space="preserve"> risk_ratio_to_gold_before is: 0.7246678497765797
</t>
  </si>
  <si>
    <t xml:space="preserve"> 0.7246678497765797
</t>
  </si>
  <si>
    <t>value_ratio_tb_to_total is: 0.258451254248891</t>
  </si>
  <si>
    <t xml:space="preserve"> risk_ratio_tb_to_gold is: 0.19096843056995982</t>
  </si>
  <si>
    <t xml:space="preserve"> risk_ratio_tb_to_gold_before is: 0.19637162806059924
</t>
  </si>
  <si>
    <t xml:space="preserve"> 0.19637162806059924
</t>
  </si>
  <si>
    <t>value_ratio_reit_to_total is: 0.40035095115573704</t>
  </si>
  <si>
    <t xml:space="preserve"> risk_ratio_reit_to_gold is: 0.17649127443802662</t>
  </si>
  <si>
    <t xml:space="preserve"> risk_ratio_reit_to_gold_before is: 0.1835709212167108
</t>
  </si>
  <si>
    <t xml:space="preserve"> 0.1835709212167108
</t>
  </si>
  <si>
    <t>delta_gold is: 0.999416164722476</t>
  </si>
  <si>
    <t xml:space="preserve"> delta_tb is: 0.9987258849368028</t>
  </si>
  <si>
    <t xml:space="preserve"> delta_reit is: 0.9900361898778818
</t>
  </si>
  <si>
    <t xml:space="preserve"> 0.9900361898778818
</t>
  </si>
  <si>
    <t>delta_gold_risk is: 1.0038355932099718</t>
  </si>
  <si>
    <t xml:space="preserve"> delta_tb_risk is: 0.9954836796828773</t>
  </si>
  <si>
    <t xml:space="preserve"> delta_reit_risk is: 0.9940184008817942
</t>
  </si>
  <si>
    <t xml:space="preserve"> 0.9940184008817942
</t>
  </si>
  <si>
    <t xml:space="preserve">collateral_ratio_tranche_gold is: 0.7331045848780395
</t>
  </si>
  <si>
    <t xml:space="preserve"> 0.7331045848780395
</t>
  </si>
  <si>
    <t xml:space="preserve">collateral_ratio_tranche_tb is: 0.39272461877799864
</t>
  </si>
  <si>
    <t xml:space="preserve"> 0.39272461877799864
</t>
  </si>
  <si>
    <t xml:space="preserve">collateral_ratio_tranche_reit is: 0.28694825546698954
</t>
  </si>
  <si>
    <t xml:space="preserve"> 0.28694825546698954
</t>
  </si>
  <si>
    <t>Total plot size is: 142849043.3999851</t>
  </si>
  <si>
    <t xml:space="preserve"> plot size of gold is: 74466692.7523046</t>
  </si>
  <si>
    <t xml:space="preserve"> plot size of TB is: 39536860.543348305</t>
  </si>
  <si>
    <t xml:space="preserve"> plot size of REIT is: 28845490.104332197
</t>
  </si>
  <si>
    <t xml:space="preserve"> 28845490.104332197
</t>
  </si>
  <si>
    <t xml:space="preserve">collateral ratio is: 1.4116943838517169
</t>
  </si>
  <si>
    <t xml:space="preserve"> 1.4116943838517169
</t>
  </si>
  <si>
    <t>S_gtbcps_0 is: 1.0002109009250293</t>
  </si>
  <si>
    <t xml:space="preserve">stdev_gtbcps is: 0.006796931162686707
</t>
  </si>
  <si>
    <t xml:space="preserve"> 0.006796931162686707
</t>
  </si>
  <si>
    <t>predicted price of GTBCPS is: 1.000221238289676</t>
  </si>
  <si>
    <t xml:space="preserve"> actual price is: 1.0002109009250293
</t>
  </si>
  <si>
    <t xml:space="preserve"> 1.0002109009250293
</t>
  </si>
  <si>
    <t>predicted amount of GTBCPS is: 101167397.38148594</t>
  </si>
  <si>
    <t xml:space="preserve"> actual amount is: 101168442.96524844
</t>
  </si>
  <si>
    <t>plot sizes of gold is: 74466692.7523046</t>
  </si>
  <si>
    <t xml:space="preserve"> plot sizes of tb is: 39536860.543348305 </t>
  </si>
  <si>
    <t xml:space="preserve"> plot sizes of reit is: 28845490.104332197</t>
  </si>
  <si>
    <t xml:space="preserve"> plot sizes of total is: 142849043.3999851.
</t>
  </si>
  <si>
    <t xml:space="preserve"> 142849043.3999851.
</t>
  </si>
  <si>
    <t>predicted stdevs of gold is: 0.008193335235980469</t>
  </si>
  <si>
    <t xml:space="preserve"> predicted stdevs of tb is: 0.0013944876875121633</t>
  </si>
  <si>
    <t xml:space="preserve"> predicted stdevs of reit is: 0.010596834051866696</t>
  </si>
  <si>
    <t xml:space="preserve"> predicted stdevs of GTBCPS is: 0.006796931162686707.
</t>
  </si>
  <si>
    <t xml:space="preserve"> 0.006796931162686707.
</t>
  </si>
  <si>
    <t>total_value_of_collaterals is: 142849404.74926367</t>
  </si>
  <si>
    <t xml:space="preserve"> createdtionValue_gold is: -769.6295357809338</t>
  </si>
  <si>
    <t xml:space="preserve"> createdValue_tb is: -408.62156340142474</t>
  </si>
  <si>
    <t xml:space="preserve"> createdValue_reit is: -298.12391840294276
</t>
  </si>
  <si>
    <t xml:space="preserve"> -298.12391840294276
</t>
  </si>
  <si>
    <t>plotValue_gold_after_creation is: 74467703.67693909</t>
  </si>
  <si>
    <t xml:space="preserve"> plotValue_tb_after_creation  is: 39537346.3266438</t>
  </si>
  <si>
    <t xml:space="preserve"> plotValue_reit_after_creation  is: 28845831.120698377</t>
  </si>
  <si>
    <t xml:space="preserve">total_value_after_creation is: 142850881.1242813
</t>
  </si>
  <si>
    <t xml:space="preserve"> 142850881.1242813
</t>
  </si>
  <si>
    <t>total_amount_gtncps_before_creation is: 101168442.96524844</t>
  </si>
  <si>
    <t>creation_amount_gtbcps is: -1045.5837624967098</t>
  </si>
  <si>
    <t xml:space="preserve">total_amount_gtbcps_new is: 101167397.38148594
</t>
  </si>
  <si>
    <t xml:space="preserve"> 101167397.38148594
</t>
  </si>
  <si>
    <t>payout of tranche of gold is: 241.29509870996645</t>
  </si>
  <si>
    <t xml:space="preserve"> payout of tranche of Treausry Bill Option is: 77.16173208902023</t>
  </si>
  <si>
    <t xml:space="preserve"> payout of tranche of Collar of REIT is: 42.8924477765198
</t>
  </si>
  <si>
    <t xml:space="preserve"> 42.8924477765198
</t>
  </si>
  <si>
    <t>Collateral size of tranche of gold is: 74467703.67693909</t>
  </si>
  <si>
    <t xml:space="preserve"> collateral size of tranche of Treausry Bill Option is: 39537346.3266438</t>
  </si>
  <si>
    <t xml:space="preserve"> collateral size of tranche of Collar of REIT is: 28845831.120698377
</t>
  </si>
  <si>
    <t xml:space="preserve"> 28845831.120698377
</t>
  </si>
  <si>
    <t>Collateral ratio of tranche of gold is: 0.7359135915458738</t>
  </si>
  <si>
    <t xml:space="preserve"> collateral ratio of tranche of Treausry Bill Option is: 0.39072066276758144</t>
  </si>
  <si>
    <t xml:space="preserve"> collateral ratio of tranche of Collar of REIT is: 0.2850637005439542
</t>
  </si>
  <si>
    <t xml:space="preserve"> 0.2850637005439542
</t>
  </si>
  <si>
    <t xml:space="preserve">date is: 2021-08-11 00:00:00
</t>
  </si>
  <si>
    <t xml:space="preserve"> 2021-08-11 00</t>
  </si>
  <si>
    <t>current price of gold is: 1751.7</t>
  </si>
  <si>
    <t xml:space="preserve"> predicted price of gold is: 1746.2664535341455
</t>
  </si>
  <si>
    <t xml:space="preserve"> 1746.2664535341455
</t>
  </si>
  <si>
    <t xml:space="preserve"> current price of tb option is: 4.392835150405441</t>
  </si>
  <si>
    <t xml:space="preserve"> predicted price of tb is: 98.60305356140414
</t>
  </si>
  <si>
    <t xml:space="preserve"> 98.60305356140414
</t>
  </si>
  <si>
    <t>current price of reit is: 72.5</t>
  </si>
  <si>
    <t xml:space="preserve"> current price of reit option is: 6.476427336206271</t>
  </si>
  <si>
    <t xml:space="preserve"> predicted price of reit is: 73.0589795705743
</t>
  </si>
  <si>
    <t xml:space="preserve"> 73.0589795705743
</t>
  </si>
  <si>
    <t>value_ratio_gold_to_total is: -0.8899339282603126</t>
  </si>
  <si>
    <t xml:space="preserve"> risk_ratio_to_gold is: 0.7345439890404618</t>
  </si>
  <si>
    <t xml:space="preserve"> risk_ratio_to_gold_before is: 0.7312829740706396
</t>
  </si>
  <si>
    <t xml:space="preserve"> 0.7312829740706396
</t>
  </si>
  <si>
    <t>value_ratio_tb_to_total is: 0.7376391342787746</t>
  </si>
  <si>
    <t xml:space="preserve"> risk_ratio_tb_to_gold is: 0.18826665447444713</t>
  </si>
  <si>
    <t xml:space="preserve"> risk_ratio_tb_to_gold_before is: 0.19096843056995982
</t>
  </si>
  <si>
    <t xml:space="preserve"> 0.19096843056995982
</t>
  </si>
  <si>
    <t>value_ratio_reit_to_total is: 1.152294793981538</t>
  </si>
  <si>
    <t xml:space="preserve"> risk_ratio_reit_to_gold is: 0.17312220027107272</t>
  </si>
  <si>
    <t xml:space="preserve"> risk_ratio_reit_to_gold_before is: 0.17649127443802662
</t>
  </si>
  <si>
    <t xml:space="preserve"> 0.17649127443802662
</t>
  </si>
  <si>
    <t>delta_gold is: 1.0131699953150215</t>
  </si>
  <si>
    <t xml:space="preserve"> delta_tb is: 1.0008048043692301</t>
  </si>
  <si>
    <t xml:space="preserve"> delta_reit is: 0.9988722258756058
</t>
  </si>
  <si>
    <t xml:space="preserve"> 0.9988722258756058
</t>
  </si>
  <si>
    <t>delta_gold_risk is: 1.0018835828796693</t>
  </si>
  <si>
    <t xml:space="preserve"> delta_tb_risk is: 0.9977314460852503</t>
  </si>
  <si>
    <t xml:space="preserve"> delta_reit_risk is: 0.9971363373106501
</t>
  </si>
  <si>
    <t xml:space="preserve"> 0.9971363373106501
</t>
  </si>
  <si>
    <t xml:space="preserve">collateral_ratio_tranche_gold is: 0.7442038005610719
</t>
  </si>
  <si>
    <t xml:space="preserve"> 0.7442038005610719
</t>
  </si>
  <si>
    <t xml:space="preserve">collateral_ratio_tranche_tb is: 0.3868296727051952
</t>
  </si>
  <si>
    <t xml:space="preserve"> 0.3868296727051952
</t>
  </si>
  <si>
    <t xml:space="preserve">collateral_ratio_tranche_reit is: 0.28184802333619846
</t>
  </si>
  <si>
    <t xml:space="preserve"> 0.28184802333619846
</t>
  </si>
  <si>
    <t>Total plot size is: 143830908.67996383</t>
  </si>
  <si>
    <t xml:space="preserve"> plot size of gold is: 75448442.98548478</t>
  </si>
  <si>
    <t xml:space="preserve"> plot size of TB is: 39569166.15571525</t>
  </si>
  <si>
    <t xml:space="preserve"> plot size of REIT is: 28813299.538763806
</t>
  </si>
  <si>
    <t xml:space="preserve"> 28813299.538763806
</t>
  </si>
  <si>
    <t xml:space="preserve">collateral ratio is: 1.421397589896743
</t>
  </si>
  <si>
    <t xml:space="preserve"> 1.421397589896743
</t>
  </si>
  <si>
    <t>S_gtbcps_0 is: 1.000221238289676</t>
  </si>
  <si>
    <t xml:space="preserve">stdev_gtbcps is: 0.006796726571214634
</t>
  </si>
  <si>
    <t xml:space="preserve"> 0.006796726571214634
</t>
  </si>
  <si>
    <t>predicted price of GTBCPS is: 1.000232147999348</t>
  </si>
  <si>
    <t xml:space="preserve"> actual price is: 1.000221238289676
</t>
  </si>
  <si>
    <t xml:space="preserve"> 1.000221238289676
</t>
  </si>
  <si>
    <t>predicted amount of GTBCPS is: 101166293.93071613</t>
  </si>
  <si>
    <t xml:space="preserve"> actual amount is: 101167397.38148594
</t>
  </si>
  <si>
    <t>plot sizes of gold is: 75448442.98548478</t>
  </si>
  <si>
    <t xml:space="preserve"> plot sizes of tb is: 39569166.15571525 </t>
  </si>
  <si>
    <t xml:space="preserve"> plot sizes of reit is: 28813299.538763806</t>
  </si>
  <si>
    <t xml:space="preserve"> plot sizes of total is: 143830908.67996383.
</t>
  </si>
  <si>
    <t xml:space="preserve"> 143830908.67996383.
</t>
  </si>
  <si>
    <t>predicted stdevs of gold is: 0.008189520426501668</t>
  </si>
  <si>
    <t xml:space="preserve"> predicted stdevs of tb is: 0.001373068370668952</t>
  </si>
  <si>
    <t xml:space="preserve"> predicted stdevs of reit is: 0.010597940124722895</t>
  </si>
  <si>
    <t xml:space="preserve"> predicted stdevs of GTBCPS is: 0.006796726571214634.
</t>
  </si>
  <si>
    <t xml:space="preserve"> 0.006796726571214634.
</t>
  </si>
  <si>
    <t>total_value_of_collaterals is: 143831289.5740147</t>
  </si>
  <si>
    <t xml:space="preserve"> createdtionValue_gold is: -822.9413455946446</t>
  </si>
  <si>
    <t xml:space="preserve"> createdValue_tb is: -431.59350041419907</t>
  </si>
  <si>
    <t xml:space="preserve"> createdValue_reit is: -314.2756840296843
</t>
  </si>
  <si>
    <t xml:space="preserve"> -314.2756840296843
</t>
  </si>
  <si>
    <t>plotValue_gold_after_creation is: 75449522.90497074</t>
  </si>
  <si>
    <t xml:space="preserve"> plotValue_tb_after_creation  is: 39569677.55898534</t>
  </si>
  <si>
    <t xml:space="preserve"> plotValue_reit_after_creation  is: 28813657.920588646</t>
  </si>
  <si>
    <t xml:space="preserve">total_value_after_creation is: 143832858.38454473
</t>
  </si>
  <si>
    <t xml:space="preserve"> 143832858.38454473
</t>
  </si>
  <si>
    <t>total_amount_gtncps_before_creation is: 101167397.38148594</t>
  </si>
  <si>
    <t>creation_amount_gtbcps is: -1103.4507698118687</t>
  </si>
  <si>
    <t xml:space="preserve">total_amount_gtbcps_new is: 101166293.93071613
</t>
  </si>
  <si>
    <t xml:space="preserve"> 101166293.93071613
</t>
  </si>
  <si>
    <t>payout of tranche of gold is: 256.9781403650038</t>
  </si>
  <si>
    <t xml:space="preserve"> payout of tranche of Treausry Bill Option is: 79.80976967156874</t>
  </si>
  <si>
    <t xml:space="preserve"> payout of tranche of Collar of REIT is: 44.10614081162381
</t>
  </si>
  <si>
    <t xml:space="preserve"> 44.10614081162381
</t>
  </si>
  <si>
    <t>Collateral size of tranche of gold is: 75449522.90497074</t>
  </si>
  <si>
    <t xml:space="preserve"> collateral size of tranche of Treausry Bill Option is: 39569677.55898534</t>
  </si>
  <si>
    <t xml:space="preserve"> collateral size of tranche of Collar of REIT is: 28813657.920588646
</t>
  </si>
  <si>
    <t xml:space="preserve"> 28813657.920588646
</t>
  </si>
  <si>
    <t>Collateral ratio of tranche of gold is: 0.7456158156364242</t>
  </si>
  <si>
    <t xml:space="preserve"> collateral ratio of tranche of Treausry Bill Option is: 0.39103994659811697</t>
  </si>
  <si>
    <t xml:space="preserve"> collateral ratio of tranche of Collar of REIT is: 0.2847455918175623
</t>
  </si>
  <si>
    <t xml:space="preserve"> 0.2847455918175623
</t>
  </si>
  <si>
    <t xml:space="preserve">date is: 2021-08-12 00:00:00
</t>
  </si>
  <si>
    <t xml:space="preserve"> 2021-08-12 00</t>
  </si>
  <si>
    <t>current price of gold is: 1752.9</t>
  </si>
  <si>
    <t xml:space="preserve"> predicted price of gold is: 1747.3926195018626
</t>
  </si>
  <si>
    <t xml:space="preserve"> 1747.3926195018626
</t>
  </si>
  <si>
    <t>current price of tb is: 98.421875</t>
  </si>
  <si>
    <t xml:space="preserve"> current price of tb option is: 4.3921178468022815</t>
  </si>
  <si>
    <t xml:space="preserve"> predicted price of tb is: 98.53348302426755
</t>
  </si>
  <si>
    <t xml:space="preserve"> 98.53348302426755
</t>
  </si>
  <si>
    <t xml:space="preserve"> current price of reit option is: 6.465380040347739</t>
  </si>
  <si>
    <t xml:space="preserve"> predicted price of reit is: 73.2181787220692
</t>
  </si>
  <si>
    <t xml:space="preserve"> 73.2181787220692
</t>
  </si>
  <si>
    <t>value_ratio_gold_to_total is: -0.9058334433460905</t>
  </si>
  <si>
    <t xml:space="preserve"> risk_ratio_to_gold is: 0.735727739717095</t>
  </si>
  <si>
    <t xml:space="preserve"> risk_ratio_to_gold_before is: 0.7345439890404618
</t>
  </si>
  <si>
    <t xml:space="preserve"> 0.7345439890404618
</t>
  </si>
  <si>
    <t>value_ratio_tb_to_total is: 0.7407560663472751</t>
  </si>
  <si>
    <t xml:space="preserve"> risk_ratio_tb_to_gold is: 0.18708348930572274</t>
  </si>
  <si>
    <t xml:space="preserve"> risk_ratio_tb_to_gold_before is: 0.18826665447444713
</t>
  </si>
  <si>
    <t xml:space="preserve"> 0.18826665447444713
</t>
  </si>
  <si>
    <t>value_ratio_reit_to_total is: 1.1650773769988154</t>
  </si>
  <si>
    <t xml:space="preserve"> risk_ratio_reit_to_gold is: 0.1721149560111877</t>
  </si>
  <si>
    <t xml:space="preserve"> risk_ratio_reit_to_gold_before is: 0.17312220027107272
</t>
  </si>
  <si>
    <t xml:space="preserve"> 0.17312220027107272
</t>
  </si>
  <si>
    <t>delta_gold is: 1.0006850488097276</t>
  </si>
  <si>
    <t xml:space="preserve"> delta_tb is: 0.9993096195950258</t>
  </si>
  <si>
    <t xml:space="preserve"> delta_reit is: 1.0011263196771714
</t>
  </si>
  <si>
    <t xml:space="preserve"> 1.0011263196771714
</t>
  </si>
  <si>
    <t>delta_gold_risk is: 1.0006824564174286</t>
  </si>
  <si>
    <t xml:space="preserve"> delta_tb_risk is: 0.9990042932162834</t>
  </si>
  <si>
    <t xml:space="preserve"> delta_reit_risk is: 0.9991413986883443
</t>
  </si>
  <si>
    <t xml:space="preserve"> 0.9991413986883443
</t>
  </si>
  <si>
    <t xml:space="preserve">collateral_ratio_tranche_gold is: 0.7456177472468828
</t>
  </si>
  <si>
    <t xml:space="preserve"> 0.7456177472468828
</t>
  </si>
  <si>
    <t xml:space="preserve">collateral_ratio_tranche_tb is: 0.3908916805291894
</t>
  </si>
  <si>
    <t xml:space="preserve"> 0.3908916805291894
</t>
  </si>
  <si>
    <t xml:space="preserve">collateral_ratio_tranche_reit is: 0.2851159566688225
</t>
  </si>
  <si>
    <t xml:space="preserve"> 0.2851159566688225
</t>
  </si>
  <si>
    <t>Total plot size is: 143889680.25027466</t>
  </si>
  <si>
    <t xml:space="preserve"> plot size of gold is: 75501209.5108313</t>
  </si>
  <si>
    <t xml:space="preserve"> plot size of TB is: 39542359.42896747</t>
  </si>
  <si>
    <t xml:space="preserve"> plot size of REIT is: 28846111.31047589
</t>
  </si>
  <si>
    <t xml:space="preserve"> 28846111.31047589
</t>
  </si>
  <si>
    <t xml:space="preserve">collateral ratio is: 1.4219783952963678
</t>
  </si>
  <si>
    <t xml:space="preserve"> 1.4219783952963678
</t>
  </si>
  <si>
    <t>S_gtbcps_0 is: 1.000232147999348</t>
  </si>
  <si>
    <t xml:space="preserve">stdev_gtbcps is: 0.0068528465233078295
</t>
  </si>
  <si>
    <t xml:space="preserve"> 0.0068528465233078295
</t>
  </si>
  <si>
    <t>predicted price of GTBCPS is: 1.0002038970333156</t>
  </si>
  <si>
    <t xml:space="preserve"> actual price is: 1.000232147999348
</t>
  </si>
  <si>
    <t xml:space="preserve"> 1.000232147999348
</t>
  </si>
  <si>
    <t>predicted amount of GTBCPS is: 101169151.39362137</t>
  </si>
  <si>
    <t xml:space="preserve"> actual amount is: 101166293.93071613
</t>
  </si>
  <si>
    <t>plot sizes of gold is: 75501209.5108313</t>
  </si>
  <si>
    <t xml:space="preserve"> plot sizes of tb is: 39542359.42896747 </t>
  </si>
  <si>
    <t xml:space="preserve"> plot sizes of reit is: 28846111.31047589</t>
  </si>
  <si>
    <t xml:space="preserve"> plot sizes of total is: 143889680.25027466.
</t>
  </si>
  <si>
    <t xml:space="preserve"> 143889680.25027466.
</t>
  </si>
  <si>
    <t>predicted stdevs of gold is: 0.008291315361849594</t>
  </si>
  <si>
    <t xml:space="preserve"> predicted stdevs of tb is: 0.0013739613737013302</t>
  </si>
  <si>
    <t xml:space="preserve"> predicted stdevs of reit is: 0.010598304881259584</t>
  </si>
  <si>
    <t xml:space="preserve"> predicted stdevs of GTBCPS is: 0.0068528465233078295.
</t>
  </si>
  <si>
    <t xml:space="preserve"> 0.0068528465233078295.
</t>
  </si>
  <si>
    <t>total_value_of_collaterals is: 143888692.7316033</t>
  </si>
  <si>
    <t xml:space="preserve"> createdtionValue_gold is: 2132.4667250882367</t>
  </si>
  <si>
    <t xml:space="preserve"> createdValue_tb is: 1116.8462598514002</t>
  </si>
  <si>
    <t xml:space="preserve"> createdValue_reit is: 814.738124521317
</t>
  </si>
  <si>
    <t xml:space="preserve"> 814.738124521317
</t>
  </si>
  <si>
    <t>plotValue_gold_after_creation is: 75498357.34067006</t>
  </si>
  <si>
    <t xml:space="preserve"> plotValue_tb_after_creation  is: 39541089.68212053</t>
  </si>
  <si>
    <t xml:space="preserve"> plotValue_reit_after_creation  is: 28845181.65770325</t>
  </si>
  <si>
    <t xml:space="preserve">total_value_after_creation is: 143884628.68049383
</t>
  </si>
  <si>
    <t xml:space="preserve"> 143884628.68049383
</t>
  </si>
  <si>
    <t>total_amount_gtncps_before_creation is: 101166293.93071613</t>
  </si>
  <si>
    <t>creation_amount_gtbcps is: 2857.462905243039</t>
  </si>
  <si>
    <t xml:space="preserve">total_amount_gtbcps_new is: 101169151.39362137
</t>
  </si>
  <si>
    <t xml:space="preserve"> 101169151.39362137
</t>
  </si>
  <si>
    <t>payout of tranche of gold is: -719.7034361536585</t>
  </si>
  <si>
    <t xml:space="preserve"> payout of tranche of Treausry Bill Option is: -152.90058708145344</t>
  </si>
  <si>
    <t xml:space="preserve"> payout of tranche of Collar of REIT is: -114.9146481197961
</t>
  </si>
  <si>
    <t xml:space="preserve"> -114.9146481197961
</t>
  </si>
  <si>
    <t>Collateral size of tranche of gold is: 75498357.34067006</t>
  </si>
  <si>
    <t xml:space="preserve"> collateral size of tranche of Treausry Bill Option is: 39541089.68212053</t>
  </si>
  <si>
    <t xml:space="preserve"> collateral size of tranche of Collar of REIT is: 28845181.65770325
</t>
  </si>
  <si>
    <t xml:space="preserve"> 28845181.65770325
</t>
  </si>
  <si>
    <t>Collateral ratio of tranche of gold is: 0.7461276246751865</t>
  </si>
  <si>
    <t xml:space="preserve"> collateral ratio of tranche of Treausry Bill Option is: 0.39077273149751524</t>
  </si>
  <si>
    <t xml:space="preserve"> collateral ratio of tranche of Collar of REIT is: 0.2850682800484275
</t>
  </si>
  <si>
    <t xml:space="preserve"> 0.2850682800484275
</t>
  </si>
  <si>
    <t xml:space="preserve">date is: 2021-08-13 00:00:00
</t>
  </si>
  <si>
    <t xml:space="preserve"> 2021-08-13 00</t>
  </si>
  <si>
    <t>current price of gold is: 1779.74</t>
  </si>
  <si>
    <t xml:space="preserve"> predicted price of gold is: 1773.4548993868002
</t>
  </si>
  <si>
    <t xml:space="preserve"> 1773.4548993868002
</t>
  </si>
  <si>
    <t>current price of tb is: 98.6328125</t>
  </si>
  <si>
    <t xml:space="preserve"> current price of tb option is: 4.397454537029915</t>
  </si>
  <si>
    <t xml:space="preserve"> predicted price of tb is: 98.73889978513684
</t>
  </si>
  <si>
    <t xml:space="preserve"> 98.73889978513684
</t>
  </si>
  <si>
    <t>current price of reit is: 72.95</t>
  </si>
  <si>
    <t xml:space="preserve"> current price of reit option is: 6.508880099825632</t>
  </si>
  <si>
    <t xml:space="preserve"> predicted price of reit is: 73.65980729505358
</t>
  </si>
  <si>
    <t xml:space="preserve"> 73.65980729505358
</t>
  </si>
  <si>
    <t>value_ratio_gold_to_total is: -1.1559595277466481</t>
  </si>
  <si>
    <t xml:space="preserve"> risk_ratio_to_gold is: 0.7341545283313501</t>
  </si>
  <si>
    <t xml:space="preserve"> risk_ratio_to_gold_before is: 0.735727739717095
</t>
  </si>
  <si>
    <t xml:space="preserve"> 0.735727739717095
</t>
  </si>
  <si>
    <t>value_ratio_tb_to_total is: 0.8282941512512688</t>
  </si>
  <si>
    <t xml:space="preserve"> risk_ratio_tb_to_gold is: 0.189177445864914</t>
  </si>
  <si>
    <t xml:space="preserve"> risk_ratio_tb_to_gold_before is: 0.18708348930572274
</t>
  </si>
  <si>
    <t xml:space="preserve"> 0.18708348930572274
</t>
  </si>
  <si>
    <t>value_ratio_reit_to_total is: 1.3276653764953794</t>
  </si>
  <si>
    <t xml:space="preserve"> risk_ratio_reit_to_gold is: 0.17293361033586493</t>
  </si>
  <si>
    <t xml:space="preserve"> risk_ratio_reit_to_gold_before is: 0.1721149560111877
</t>
  </si>
  <si>
    <t xml:space="preserve"> 0.1721149560111877
</t>
  </si>
  <si>
    <t>delta_gold is: 1.0153117690684008</t>
  </si>
  <si>
    <t xml:space="preserve"> delta_tb is: 1.0021035482062242</t>
  </si>
  <si>
    <t xml:space="preserve"> delta_reit is: 1.004976894555836
</t>
  </si>
  <si>
    <t xml:space="preserve"> 1.004976894555836
</t>
  </si>
  <si>
    <t>delta_gold_risk is: 0.9990936300954657</t>
  </si>
  <si>
    <t xml:space="preserve"> delta_tb_risk is: 1.0017639505376459</t>
  </si>
  <si>
    <t xml:space="preserve"> delta_reit_risk is: 1.0006984420090188
</t>
  </si>
  <si>
    <t xml:space="preserve"> 1.0006984420090188
</t>
  </si>
  <si>
    <t xml:space="preserve">collateral_ratio_tranche_gold is: 0.7582394039359268
</t>
  </si>
  <si>
    <t xml:space="preserve"> 0.7582394039359268
</t>
  </si>
  <si>
    <t xml:space="preserve">collateral_ratio_tranche_tb is: 0.385010018834891
</t>
  </si>
  <si>
    <t xml:space="preserve"> 0.385010018834891
</t>
  </si>
  <si>
    <t xml:space="preserve">collateral_ratio_tranche_reit is: 0.2819696260971011
</t>
  </si>
  <si>
    <t xml:space="preserve"> 0.2819696260971011
</t>
  </si>
  <si>
    <t>Total plot size is: 145267378.1089651</t>
  </si>
  <si>
    <t xml:space="preserve"> plot size of gold is: 76654370.753314</t>
  </si>
  <si>
    <t xml:space="preserve"> plot size of TB is: 39624266.270393506</t>
  </si>
  <si>
    <t xml:space="preserve"> plot size of REIT is: 28988741.08525757
</t>
  </si>
  <si>
    <t xml:space="preserve"> 28988741.08525757
</t>
  </si>
  <si>
    <t xml:space="preserve">collateral ratio is: 1.435593385522883
</t>
  </si>
  <si>
    <t xml:space="preserve"> 1.435593385522883
</t>
  </si>
  <si>
    <t>S_gtbcps_0 is: 1.0002038970333156</t>
  </si>
  <si>
    <t xml:space="preserve">stdev_gtbcps is: 0.006865335002788183
</t>
  </si>
  <si>
    <t xml:space="preserve"> 0.006865335002788183
</t>
  </si>
  <si>
    <t>predicted price of GTBCPS is: 1.0001950690198587</t>
  </si>
  <si>
    <t xml:space="preserve"> actual price is: 1.0002038970333156
</t>
  </si>
  <si>
    <t xml:space="preserve"> 1.0002038970333156
</t>
  </si>
  <si>
    <t>predicted amount of GTBCPS is: 101170044.3420647</t>
  </si>
  <si>
    <t xml:space="preserve"> actual amount is: 101169151.39362137
</t>
  </si>
  <si>
    <t>plot sizes of gold is: 76654370.753314</t>
  </si>
  <si>
    <t xml:space="preserve"> plot sizes of tb is: 39624266.270393506 </t>
  </si>
  <si>
    <t xml:space="preserve"> plot sizes of reit is: 28988741.08525757</t>
  </si>
  <si>
    <t xml:space="preserve"> plot sizes of total is: 145267378.10896507.
</t>
  </si>
  <si>
    <t xml:space="preserve"> 145267378.10896507.
</t>
  </si>
  <si>
    <t>predicted stdevs of gold is: 0.008291427571036302</t>
  </si>
  <si>
    <t xml:space="preserve"> predicted stdevs of tb is: 0.0013898853352818017</t>
  </si>
  <si>
    <t xml:space="preserve"> predicted stdevs of reit is: 0.010578654142925548</t>
  </si>
  <si>
    <t xml:space="preserve"> predicted stdevs of GTBCPS is: 0.006865335002788183.
</t>
  </si>
  <si>
    <t xml:space="preserve"> 0.006865335002788183.
</t>
  </si>
  <si>
    <t>total_value_of_collaterals is: 145267069.97371203</t>
  </si>
  <si>
    <t xml:space="preserve"> createdtionValue_gold is: 676.565786508965</t>
  </si>
  <si>
    <t xml:space="preserve"> createdValue_tb is: 349.7318357516894</t>
  </si>
  <si>
    <t xml:space="preserve"> createdValue_reit is: 255.86059801839116
</t>
  </si>
  <si>
    <t xml:space="preserve"> 255.86059801839116
</t>
  </si>
  <si>
    <t>plotValue_gold_after_creation is: 76653458.54495461</t>
  </si>
  <si>
    <t xml:space="preserve"> plotValue_tb_after_creation  is: 39623870.00378975</t>
  </si>
  <si>
    <t xml:space="preserve"> plotValue_reit_after_creation  is: 28988459.266747393</t>
  </si>
  <si>
    <t xml:space="preserve">total_value_after_creation is: 145265787.81549177
</t>
  </si>
  <si>
    <t xml:space="preserve"> 145265787.81549177
</t>
  </si>
  <si>
    <t>total_amount_gtncps_before_creation is: 101169151.39362137</t>
  </si>
  <si>
    <t>creation_amount_gtbcps is: 892.9484433233738</t>
  </si>
  <si>
    <t xml:space="preserve">total_amount_gtbcps_new is: 101170044.3420647
</t>
  </si>
  <si>
    <t xml:space="preserve"> 101170044.3420647
</t>
  </si>
  <si>
    <t>payout of tranche of gold is: -235.64257287937443</t>
  </si>
  <si>
    <t xml:space="preserve"> payout of tranche of Treausry Bill Option is: -46.53476799709885</t>
  </si>
  <si>
    <t xml:space="preserve"> payout of tranche of Collar of REIT is: -25.95791216181998
</t>
  </si>
  <si>
    <t xml:space="preserve"> -25.95791216181998
</t>
  </si>
  <si>
    <t>Collateral size of tranche of gold is: 76653458.54495461</t>
  </si>
  <si>
    <t xml:space="preserve"> collateral size of tranche of Treausry Bill Option is: 39623870.00378975</t>
  </si>
  <si>
    <t xml:space="preserve"> collateral size of tranche of Collar of REIT is: 28988459.266747393
</t>
  </si>
  <si>
    <t xml:space="preserve"> 28988459.266747393
</t>
  </si>
  <si>
    <t>Collateral ratio of tranche of gold is: 0.7575284332275427</t>
  </si>
  <si>
    <t xml:space="preserve"> collateral ratio of tranche of Treausry Bill Option is: 0.3915832205376514</t>
  </si>
  <si>
    <t xml:space="preserve"> collateral ratio of tranche of Collar of REIT is: 0.2864786866353989
</t>
  </si>
  <si>
    <t xml:space="preserve"> 0.2864786866353989
</t>
  </si>
  <si>
    <t xml:space="preserve">date is: 2021-08-16 00:00:00
</t>
  </si>
  <si>
    <t xml:space="preserve"> 2021-08-16 00</t>
  </si>
  <si>
    <t>current price of gold is: 1787.45</t>
  </si>
  <si>
    <t xml:space="preserve"> predicted price of gold is: 1780.7526093105257
</t>
  </si>
  <si>
    <t xml:space="preserve"> 1780.7526093105257
</t>
  </si>
  <si>
    <t>current price of tb is: 98.6640625</t>
  </si>
  <si>
    <t xml:space="preserve"> current price of tb option is: 4.399808840250404</t>
  </si>
  <si>
    <t xml:space="preserve"> predicted price of tb is: 98.76771417323044
</t>
  </si>
  <si>
    <t xml:space="preserve"> 98.76771417323044
</t>
  </si>
  <si>
    <t>current price of reit is: 73.3</t>
  </si>
  <si>
    <t xml:space="preserve"> current price of reit option is: 6.518259283342573</t>
  </si>
  <si>
    <t xml:space="preserve"> predicted price of reit is: 73.66987376968304
</t>
  </si>
  <si>
    <t xml:space="preserve"> 73.66987376968304
</t>
  </si>
  <si>
    <t>value_ratio_gold_to_total is: -1.4267365226678712</t>
  </si>
  <si>
    <t xml:space="preserve"> risk_ratio_to_gold is: 0.7349762236982555</t>
  </si>
  <si>
    <t xml:space="preserve"> risk_ratio_to_gold_before is: 0.7341545283313501
</t>
  </si>
  <si>
    <t xml:space="preserve"> 0.7341545283313501
</t>
  </si>
  <si>
    <t>value_ratio_tb_to_total is: 0.9593663996746823</t>
  </si>
  <si>
    <t xml:space="preserve"> risk_ratio_tb_to_gold is: 0.18680511000195887</t>
  </si>
  <si>
    <t xml:space="preserve"> risk_ratio_tb_to_gold_before is: 0.189177445864914
</t>
  </si>
  <si>
    <t xml:space="preserve"> 0.189177445864914
</t>
  </si>
  <si>
    <t>value_ratio_reit_to_total is: 1.467370122993189</t>
  </si>
  <si>
    <t xml:space="preserve"> risk_ratio_reit_to_gold is: 0.1737831209590334</t>
  </si>
  <si>
    <t xml:space="preserve"> risk_ratio_reit_to_gold_before is: 0.17293361033586493
</t>
  </si>
  <si>
    <t xml:space="preserve"> 0.17293361033586493
</t>
  </si>
  <si>
    <t>delta_gold is: 1.0043320934518525</t>
  </si>
  <si>
    <t xml:space="preserve"> delta_tb is: 1.0003261595275532</t>
  </si>
  <si>
    <t xml:space="preserve"> delta_reit is: 1.0045228322254913
</t>
  </si>
  <si>
    <t xml:space="preserve"> 1.0045228322254913
</t>
  </si>
  <si>
    <t>delta_gold_risk is: 1.000473830534408</t>
  </si>
  <si>
    <t xml:space="preserve"> delta_tb_risk is: 0.9980050615059977</t>
  </si>
  <si>
    <t xml:space="preserve"> delta_reit_risk is: 1.00072426147199
</t>
  </si>
  <si>
    <t xml:space="preserve"> 1.00072426147199
</t>
  </si>
  <si>
    <t xml:space="preserve">collateral_ratio_tranche_gold is: 0.760449792860978
</t>
  </si>
  <si>
    <t xml:space="preserve"> 0.760449792860978
</t>
  </si>
  <si>
    <t xml:space="preserve">collateral_ratio_tranche_tb is: 0.3908009541517801
</t>
  </si>
  <si>
    <t xml:space="preserve"> 0.3908009541517801
</t>
  </si>
  <si>
    <t xml:space="preserve">collateral_ratio_tranche_reit is: 0.2863257188463963
</t>
  </si>
  <si>
    <t xml:space="preserve"> 0.2863257188463963
</t>
  </si>
  <si>
    <t>Total plot size is: 145741891.40177548</t>
  </si>
  <si>
    <t xml:space="preserve"> plot size of gold is: 76985528.49077906</t>
  </si>
  <si>
    <t xml:space="preserve"> plot size of TB is: 39636793.70651002</t>
  </si>
  <si>
    <t xml:space="preserve"> plot size of REIT is: 29119569.20448638
</t>
  </si>
  <si>
    <t xml:space="preserve"> 29119569.20448638
</t>
  </si>
  <si>
    <t xml:space="preserve">collateral ratio is: 1.4402827256443131
</t>
  </si>
  <si>
    <t xml:space="preserve"> 1.4402827256443131
</t>
  </si>
  <si>
    <t>S_gtbcps_0 is: 1.0001950690198587</t>
  </si>
  <si>
    <t xml:space="preserve">stdev_gtbcps is: 0.00692509355499321
</t>
  </si>
  <si>
    <t xml:space="preserve"> 0.00692509355499321
</t>
  </si>
  <si>
    <t>predicted price of GTBCPS is: 1.000175833470747</t>
  </si>
  <si>
    <t xml:space="preserve"> actual price is: 1.0001950690198587
</t>
  </si>
  <si>
    <t xml:space="preserve"> 1.0001950690198587
</t>
  </si>
  <si>
    <t>predicted amount of GTBCPS is: 101171990.06129868</t>
  </si>
  <si>
    <t xml:space="preserve"> actual amount is: 101170044.3420647
</t>
  </si>
  <si>
    <t>plot sizes of gold is: 76985528.49077906</t>
  </si>
  <si>
    <t xml:space="preserve"> plot sizes of tb is: 39636793.70651002 </t>
  </si>
  <si>
    <t xml:space="preserve"> plot sizes of reit is: 29119569.20448638</t>
  </si>
  <si>
    <t xml:space="preserve"> plot sizes of total is: 145741891.40177545.
</t>
  </si>
  <si>
    <t xml:space="preserve"> 145741891.40177545.
</t>
  </si>
  <si>
    <t>predicted stdevs of gold is: 0.00839346882669228</t>
  </si>
  <si>
    <t xml:space="preserve"> predicted stdevs of tb is: 0.0013819867147387872</t>
  </si>
  <si>
    <t xml:space="preserve"> predicted stdevs of reit is: 0.0105881743944354</t>
  </si>
  <si>
    <t xml:space="preserve"> predicted stdevs of GTBCPS is: 0.00692509355499321.
</t>
  </si>
  <si>
    <t xml:space="preserve"> 0.00692509355499321.
</t>
  </si>
  <si>
    <t>total_value_of_collaterals is: 145741218.74895933</t>
  </si>
  <si>
    <t xml:space="preserve"> createdtionValue_gold is: 1480.56060911577</t>
  </si>
  <si>
    <t xml:space="preserve"> createdValue_tb is: 762.284838201551</t>
  </si>
  <si>
    <t xml:space="preserve"> createdValue_reit is: 560.0201712510273
</t>
  </si>
  <si>
    <t xml:space="preserve"> 560.0201712510273
</t>
  </si>
  <si>
    <t>plotValue_gold_after_creation is: 76983554.38889004</t>
  </si>
  <si>
    <t xml:space="preserve"> plotValue_tb_after_creation  is: 39635929.75539356</t>
  </si>
  <si>
    <t xml:space="preserve"> plotValue_reit_after_creation  is: 29118931.73905715</t>
  </si>
  <si>
    <t xml:space="preserve">total_value_after_creation is: 145738415.88334075
</t>
  </si>
  <si>
    <t xml:space="preserve"> 145738415.88334075
</t>
  </si>
  <si>
    <t>total_amount_gtncps_before_creation is: 101170044.3420647</t>
  </si>
  <si>
    <t>creation_amount_gtbcps is: 1945.7192339897156</t>
  </si>
  <si>
    <t xml:space="preserve">total_amount_gtbcps_new is: 101171990.06129868
</t>
  </si>
  <si>
    <t xml:space="preserve"> 101171990.06129868
</t>
  </si>
  <si>
    <t>payout of tranche of gold is: -493.5412798925828</t>
  </si>
  <si>
    <t xml:space="preserve"> payout of tranche of Treausry Bill Option is: -101.66627826692529</t>
  </si>
  <si>
    <t xml:space="preserve"> payout of tranche of Collar of REIT is: -77.44525798063648
</t>
  </si>
  <si>
    <t xml:space="preserve"> -77.44525798063648
</t>
  </si>
  <si>
    <t>Collateral size of tranche of gold is: 76983554.38889004</t>
  </si>
  <si>
    <t xml:space="preserve"> collateral size of tranche of Treausry Bill Option is: 39635929.75539356</t>
  </si>
  <si>
    <t xml:space="preserve"> collateral size of tranche of Collar of REIT is: 29118931.73905715
</t>
  </si>
  <si>
    <t xml:space="preserve"> 29118931.73905715
</t>
  </si>
  <si>
    <t>Collateral ratio of tranche of gold is: 0.7607985247372507</t>
  </si>
  <si>
    <t xml:space="preserve"> collateral ratio of tranche of Treausry Bill Option is: 0.3917064771023947</t>
  </si>
  <si>
    <t xml:space="preserve"> collateral ratio of tranche of Collar of REIT is: 0.2877710763663636
</t>
  </si>
  <si>
    <t xml:space="preserve"> 0.2877710763663636
</t>
  </si>
  <si>
    <t xml:space="preserve">date is: 2021-08-17 00:00:00
</t>
  </si>
  <si>
    <t xml:space="preserve"> 2021-08-17 00</t>
  </si>
  <si>
    <t>current price of gold is: 1786.19</t>
  </si>
  <si>
    <t xml:space="preserve"> predicted price of gold is: 1781.5435814238276
</t>
  </si>
  <si>
    <t xml:space="preserve"> 1781.5435814238276
</t>
  </si>
  <si>
    <t>current price of tb is: 98.6484375</t>
  </si>
  <si>
    <t xml:space="preserve"> current price of tb option is: 4.399824680929366</t>
  </si>
  <si>
    <t xml:space="preserve"> predicted price of tb is: 98.75207275836415
</t>
  </si>
  <si>
    <t xml:space="preserve"> 98.75207275836415
</t>
  </si>
  <si>
    <t>current price of reit is: 73.25</t>
  </si>
  <si>
    <t xml:space="preserve"> current price of reit option is: 6.529389095712958</t>
  </si>
  <si>
    <t xml:space="preserve"> predicted price of reit is: 73.82489787037278
</t>
  </si>
  <si>
    <t xml:space="preserve"> 73.82489787037278
</t>
  </si>
  <si>
    <t>value_ratio_gold_to_total is: -0.6674614895950257</t>
  </si>
  <si>
    <t xml:space="preserve"> risk_ratio_to_gold is: 0.7418278392144501</t>
  </si>
  <si>
    <t xml:space="preserve"> risk_ratio_to_gold_before is: 0.7349762236982555
</t>
  </si>
  <si>
    <t xml:space="preserve"> 0.7349762236982555
</t>
  </si>
  <si>
    <t>value_ratio_tb_to_total is: 0.6469253749171529</t>
  </si>
  <si>
    <t xml:space="preserve"> risk_ratio_tb_to_gold is: 0.1813219198736336</t>
  </si>
  <si>
    <t xml:space="preserve"> risk_ratio_tb_to_gold_before is: 0.18680511000195887
</t>
  </si>
  <si>
    <t xml:space="preserve"> 0.18680511000195887
</t>
  </si>
  <si>
    <t>value_ratio_reit_to_total is: 1.0205361146778729</t>
  </si>
  <si>
    <t xml:space="preserve"> risk_ratio_reit_to_gold is: 0.16669974652667077</t>
  </si>
  <si>
    <t xml:space="preserve"> risk_ratio_reit_to_gold_before is: 0.1737831209590334
</t>
  </si>
  <si>
    <t xml:space="preserve"> 0.1737831209590334
</t>
  </si>
  <si>
    <t>delta_gold is: 0.9992950851772078</t>
  </si>
  <si>
    <t xml:space="preserve"> delta_tb is: 0.9998485486803664</t>
  </si>
  <si>
    <t xml:space="preserve"> delta_reit is: 0.9995130163451494
</t>
  </si>
  <si>
    <t xml:space="preserve"> 0.9995130163451494
</t>
  </si>
  <si>
    <t>delta_gold_risk is: 1.003949112052723</t>
  </si>
  <si>
    <t xml:space="preserve"> delta_tb_risk is: 0.9953798731720019</t>
  </si>
  <si>
    <t xml:space="preserve"> delta_reit_risk is: 0.9939653464887319
</t>
  </si>
  <si>
    <t xml:space="preserve"> 0.9939653464887319
</t>
  </si>
  <si>
    <t xml:space="preserve">collateral_ratio_tranche_gold is: 0.7572716758776109
</t>
  </si>
  <si>
    <t xml:space="preserve"> 0.7572716758776109
</t>
  </si>
  <si>
    <t xml:space="preserve">collateral_ratio_tranche_tb is: 0.39374256586327144
</t>
  </si>
  <si>
    <t xml:space="preserve"> 0.39374256586327144
</t>
  </si>
  <si>
    <t xml:space="preserve">collateral_ratio_tranche_reit is: 0.2895813580517159
</t>
  </si>
  <si>
    <t xml:space="preserve"> 0.2895813580517159
</t>
  </si>
  <si>
    <t>Total plot size is: 145663965.6770708</t>
  </si>
  <si>
    <t xml:space="preserve"> plot size of gold is: 76929287.54029009</t>
  </si>
  <si>
    <t xml:space="preserve"> plot size of TB is: 39629926.8415272</t>
  </si>
  <si>
    <t xml:space="preserve"> plot size of REIT is: 29104751.29525352
</t>
  </si>
  <si>
    <t xml:space="preserve"> 29104751.29525352
</t>
  </si>
  <si>
    <t xml:space="preserve">collateral ratio is: 1.4395126308274013
</t>
  </si>
  <si>
    <t xml:space="preserve"> 1.4395126308274013
</t>
  </si>
  <si>
    <t>S_gtbcps_0 is: 1.000175833470747</t>
  </si>
  <si>
    <t xml:space="preserve">stdev_gtbcps is: 0.00689800210310427
</t>
  </si>
  <si>
    <t xml:space="preserve"> 0.00689800210310427
</t>
  </si>
  <si>
    <t>predicted price of GTBCPS is: 1.0001642221083422</t>
  </si>
  <si>
    <t xml:space="preserve"> actual price is: 1.000175833470747
</t>
  </si>
  <si>
    <t xml:space="preserve"> 1.000175833470747
</t>
  </si>
  <si>
    <t>predicted amount of GTBCPS is: 101173164.61305311</t>
  </si>
  <si>
    <t xml:space="preserve"> actual amount is: 101171990.06129868
</t>
  </si>
  <si>
    <t>plot sizes of gold is: 76929287.54029009</t>
  </si>
  <si>
    <t xml:space="preserve"> plot sizes of tb is: 39629926.8415272 </t>
  </si>
  <si>
    <t xml:space="preserve"> plot sizes of reit is: 29104751.29525352</t>
  </si>
  <si>
    <t xml:space="preserve"> plot sizes of total is: 145663965.6770708.
</t>
  </si>
  <si>
    <t xml:space="preserve"> 145663965.6770708.
</t>
  </si>
  <si>
    <t>predicted stdevs of gold is: 0.008385787524195625</t>
  </si>
  <si>
    <t xml:space="preserve"> predicted stdevs of tb is: 0.0013467614761681593</t>
  </si>
  <si>
    <t xml:space="preserve"> predicted stdevs of reit is: 0.01052424808600724</t>
  </si>
  <si>
    <t xml:space="preserve"> predicted stdevs of GTBCPS is: 0.00689800210310427.
</t>
  </si>
  <si>
    <t xml:space="preserve"> 0.00689800210310427.
</t>
  </si>
  <si>
    <t>total_value_of_collaterals is: 145663559.03559947</t>
  </si>
  <si>
    <t xml:space="preserve"> createdtionValue_gold is: 893.0936011875477</t>
  </si>
  <si>
    <t xml:space="preserve"> createdValue_tb is: 460.0755316312302</t>
  </si>
  <si>
    <t xml:space="preserve"> createdValue_reit is: 337.8858962111078
</t>
  </si>
  <si>
    <t xml:space="preserve"> 337.8858962111078
</t>
  </si>
  <si>
    <t>plotValue_gold_after_creation is: 76928118.83543605</t>
  </si>
  <si>
    <t xml:space="preserve"> plotValue_tb_after_creation  is: 39629379.41055888</t>
  </si>
  <si>
    <t xml:space="preserve"> plotValue_reit_after_creation  is: 29104369.734575506</t>
  </si>
  <si>
    <t xml:space="preserve">total_value_after_creation is: 145661867.98057044
</t>
  </si>
  <si>
    <t xml:space="preserve"> 145661867.98057044
</t>
  </si>
  <si>
    <t>total_amount_gtncps_before_creation is: 101171990.06129868</t>
  </si>
  <si>
    <t>creation_amount_gtbcps is: 1174.5517544299364</t>
  </si>
  <si>
    <t xml:space="preserve">total_amount_gtbcps_new is: 101173164.61305311
</t>
  </si>
  <si>
    <t xml:space="preserve"> 101173164.61305311
</t>
  </si>
  <si>
    <t>payout of tranche of gold is: -275.6112528593426</t>
  </si>
  <si>
    <t xml:space="preserve"> payout of tranche of Treausry Bill Option is: -87.35543669387378</t>
  </si>
  <si>
    <t xml:space="preserve"> payout of tranche of Collar of REIT is: -43.674781803441654
</t>
  </si>
  <si>
    <t xml:space="preserve"> -43.674781803441654
</t>
  </si>
  <si>
    <t>Collateral size of tranche of gold is: 76928118.83543605</t>
  </si>
  <si>
    <t xml:space="preserve"> collateral size of tranche of Treausry Bill Option is: 39629379.41055888</t>
  </si>
  <si>
    <t xml:space="preserve"> collateral size of tranche of Collar of REIT is: 29104369.734575506
</t>
  </si>
  <si>
    <t xml:space="preserve"> 29104369.734575506
</t>
  </si>
  <si>
    <t>Collateral ratio of tranche of gold is: 0.7602448816643246</t>
  </si>
  <si>
    <t xml:space="preserve"> collateral ratio of tranche of Treausry Bill Option is: 0.3916387572775643</t>
  </si>
  <si>
    <t xml:space="preserve"> collateral ratio of tranche of Collar of REIT is: 0.2876249732833037
</t>
  </si>
  <si>
    <t xml:space="preserve"> 0.2876249732833037
</t>
  </si>
  <si>
    <t xml:space="preserve">date is: 2021-08-18 00:00:00
</t>
  </si>
  <si>
    <t xml:space="preserve"> 2021-08-18 00</t>
  </si>
  <si>
    <t>current price of gold is: 1787.82</t>
  </si>
  <si>
    <t xml:space="preserve"> predicted price of gold is: 1790.4135446815114
</t>
  </si>
  <si>
    <t xml:space="preserve"> 1790.4135446815114
</t>
  </si>
  <si>
    <t>current price of tb is: 98.64453125</t>
  </si>
  <si>
    <t xml:space="preserve"> current price of tb option is: 4.399033224953474</t>
  </si>
  <si>
    <t xml:space="preserve"> predicted price of tb is: 98.74898530942971
</t>
  </si>
  <si>
    <t xml:space="preserve"> 98.74898530942971
</t>
  </si>
  <si>
    <t>current price of reit is: 73.6</t>
  </si>
  <si>
    <t xml:space="preserve"> current price of reit option is: 6.512043274428308</t>
  </si>
  <si>
    <t xml:space="preserve"> predicted price of reit is: 74.23516365006375
</t>
  </si>
  <si>
    <t xml:space="preserve"> 74.23516365006375
</t>
  </si>
  <si>
    <t>value_ratio_gold_to_total is: 0.1820767470603046</t>
  </si>
  <si>
    <t xml:space="preserve"> risk_ratio_to_gold is: 0.7413216847760203</t>
  </si>
  <si>
    <t xml:space="preserve"> risk_ratio_to_gold_before is: 0.7418278392144501
</t>
  </si>
  <si>
    <t xml:space="preserve"> 0.7418278392144501
</t>
  </si>
  <si>
    <t>value_ratio_tb_to_total is: 0.31616201602898747</t>
  </si>
  <si>
    <t xml:space="preserve"> risk_ratio_tb_to_gold is: 0.18154072445112235</t>
  </si>
  <si>
    <t xml:space="preserve"> risk_ratio_tb_to_gold_before is: 0.1813219198736336
</t>
  </si>
  <si>
    <t xml:space="preserve"> 0.1813219198736336
</t>
  </si>
  <si>
    <t>value_ratio_reit_to_total is: 0.501761236910708</t>
  </si>
  <si>
    <t xml:space="preserve"> risk_ratio_reit_to_gold is: 0.16740133476050822</t>
  </si>
  <si>
    <t xml:space="preserve"> risk_ratio_reit_to_gold_before is: 0.16669974652667077
</t>
  </si>
  <si>
    <t xml:space="preserve"> 0.16669974652667077
</t>
  </si>
  <si>
    <t>delta_gold is: 1.0009125568948432</t>
  </si>
  <si>
    <t xml:space="preserve"> delta_tb is: 0.9999544125647878</t>
  </si>
  <si>
    <t xml:space="preserve"> delta_reit is: 1.0041696756829794
</t>
  </si>
  <si>
    <t xml:space="preserve"> 1.0041696756829794
</t>
  </si>
  <si>
    <t>delta_gold_risk is: 0.999709411902236</t>
  </si>
  <si>
    <t xml:space="preserve"> delta_tb_risk is: 1.0001852201113073</t>
  </si>
  <si>
    <t xml:space="preserve"> delta_reit_risk is: 1.0006013442926733
</t>
  </si>
  <si>
    <t xml:space="preserve"> 1.0006013442926733
</t>
  </si>
  <si>
    <t xml:space="preserve">collateral_ratio_tranche_gold is: 0.7611598323606367
</t>
  </si>
  <si>
    <t xml:space="preserve"> 0.7611598323606367
</t>
  </si>
  <si>
    <t xml:space="preserve">collateral_ratio_tranche_tb is: 0.39119139643039375
</t>
  </si>
  <si>
    <t xml:space="preserve"> 0.39119139643039375
</t>
  </si>
  <si>
    <t xml:space="preserve">collateral_ratio_tranche_reit is: 0.2883875276638319
</t>
  </si>
  <si>
    <t xml:space="preserve"> 0.2883875276638319
</t>
  </si>
  <si>
    <t>Total plot size is: 145851618.44680536</t>
  </si>
  <si>
    <t xml:space="preserve"> plot size of gold is: 76998320.12068664</t>
  </si>
  <si>
    <t xml:space="preserve"> plot size of TB is: 39627572.8087925</t>
  </si>
  <si>
    <t xml:space="preserve"> plot size of REIT is: 29225725.51732621
</t>
  </si>
  <si>
    <t xml:space="preserve"> 29225725.51732621
</t>
  </si>
  <si>
    <t xml:space="preserve">collateral ratio is: 1.4413670944964843
</t>
  </si>
  <si>
    <t xml:space="preserve"> 1.4413670944964843
</t>
  </si>
  <si>
    <t>S_gtbcps_0 is: 1.0001642221083422</t>
  </si>
  <si>
    <t xml:space="preserve">stdev_gtbcps is: 0.006898911223691917
</t>
  </si>
  <si>
    <t xml:space="preserve"> 0.006898911223691917
</t>
  </si>
  <si>
    <t>predicted price of GTBCPS is: 1.0001551306387444</t>
  </si>
  <si>
    <t xml:space="preserve"> actual price is: 1.0001642221083422
</t>
  </si>
  <si>
    <t xml:space="preserve"> 1.0001642221083422
</t>
  </si>
  <si>
    <t>predicted amount of GTBCPS is: 101174084.28313431</t>
  </si>
  <si>
    <t xml:space="preserve"> actual amount is: 101173164.61305311
</t>
  </si>
  <si>
    <t>plot sizes of gold is: 76998320.12068664</t>
  </si>
  <si>
    <t xml:space="preserve"> plot sizes of tb is: 39627572.8087925 </t>
  </si>
  <si>
    <t xml:space="preserve"> plot sizes of reit is: 29225725.51732621</t>
  </si>
  <si>
    <t xml:space="preserve"> plot sizes of total is: 145851618.44680536.
</t>
  </si>
  <si>
    <t xml:space="preserve"> 145851618.44680536.
</t>
  </si>
  <si>
    <t>predicted stdevs of gold is: 0.00838557399372877</t>
  </si>
  <si>
    <t xml:space="preserve"> predicted stdevs of tb is: 0.001346811615872129</t>
  </si>
  <si>
    <t xml:space="preserve"> predicted stdevs of reit is: 0.010510308159216098</t>
  </si>
  <si>
    <t xml:space="preserve"> predicted stdevs of GTBCPS is: 0.006898911223691917.
</t>
  </si>
  <si>
    <t xml:space="preserve"> 0.006898911223691917.
</t>
  </si>
  <si>
    <t>total_value_of_collaterals is: 145851300.55279607</t>
  </si>
  <si>
    <t xml:space="preserve"> createdtionValue_gold is: 699.9108267915641</t>
  </si>
  <si>
    <t xml:space="preserve"> createdValue_tb is: 360.2132825826895</t>
  </si>
  <si>
    <t xml:space="preserve"> createdValue_reit is: 265.66083222086957
</t>
  </si>
  <si>
    <t xml:space="preserve"> 265.66083222086957
</t>
  </si>
  <si>
    <t>plotValue_gold_after_creation is: 76997387.15125054</t>
  </si>
  <si>
    <t xml:space="preserve"> plotValue_tb_after_creation  is: 39627164.65350789</t>
  </si>
  <si>
    <t xml:space="preserve"> plotValue_reit_after_creation  is: 29225422.963096034</t>
  </si>
  <si>
    <t xml:space="preserve">total_value_after_creation is: 145849974.76785445
</t>
  </si>
  <si>
    <t xml:space="preserve"> 145849974.76785445
</t>
  </si>
  <si>
    <t>total_amount_gtncps_before_creation is: 101173164.61305311</t>
  </si>
  <si>
    <t>creation_amount_gtbcps is: 919.6700811982155</t>
  </si>
  <si>
    <t xml:space="preserve">total_amount_gtbcps_new is: 101174084.28313431
</t>
  </si>
  <si>
    <t xml:space="preserve"> 101174084.28313431
</t>
  </si>
  <si>
    <t>payout of tranche of gold is: -233.05860930191227</t>
  </si>
  <si>
    <t xml:space="preserve"> payout of tranche of Treausry Bill Option is: -47.942002026610986</t>
  </si>
  <si>
    <t xml:space="preserve"> payout of tranche of Collar of REIT is: -36.8933979541619
</t>
  </si>
  <si>
    <t xml:space="preserve"> -36.8933979541619
</t>
  </si>
  <si>
    <t>Collateral size of tranche of gold is: 76997387.15125054</t>
  </si>
  <si>
    <t xml:space="preserve"> collateral size of tranche of Treausry Bill Option is: 39627164.65350789</t>
  </si>
  <si>
    <t xml:space="preserve"> collateral size of tranche of Collar of REIT is: 29225422.963096034
</t>
  </si>
  <si>
    <t xml:space="preserve"> 29225422.963096034
</t>
  </si>
  <si>
    <t>Collateral ratio of tranche of gold is: 0.7609275112084615</t>
  </si>
  <si>
    <t xml:space="preserve"> collateral ratio of tranche of Treausry Bill Option is: 0.39161588323522667</t>
  </si>
  <si>
    <t xml:space="preserve"> collateral ratio of tranche of Collar of REIT is: 0.28882055849036825
</t>
  </si>
  <si>
    <t xml:space="preserve"> 0.28882055849036825
</t>
  </si>
  <si>
    <t xml:space="preserve">date is: 2021-08-19 00:00:00
</t>
  </si>
  <si>
    <t xml:space="preserve"> 2021-08-19 00</t>
  </si>
  <si>
    <t>current price of gold is: 1780.38</t>
  </si>
  <si>
    <t xml:space="preserve"> predicted price of gold is: 1780.6614898159287
</t>
  </si>
  <si>
    <t xml:space="preserve"> 1780.6614898159287
</t>
  </si>
  <si>
    <t>current price of tb is: 98.63671875</t>
  </si>
  <si>
    <t xml:space="preserve"> current price of tb option is: 4.401427248790243</t>
  </si>
  <si>
    <t xml:space="preserve"> predicted price of tb is: 98.73869603856666
</t>
  </si>
  <si>
    <t xml:space="preserve"> 98.73869603856666
</t>
  </si>
  <si>
    <t xml:space="preserve"> current price of reit option is: 6.551345629154142</t>
  </si>
  <si>
    <t xml:space="preserve"> predicted price of reit is: 73.43079460828052
</t>
  </si>
  <si>
    <t xml:space="preserve"> 73.43079460828052
</t>
  </si>
  <si>
    <t>value_ratio_gold_to_total is: 0.023720316459572944</t>
  </si>
  <si>
    <t xml:space="preserve"> risk_ratio_to_gold is: 0.7448348441083267</t>
  </si>
  <si>
    <t xml:space="preserve"> risk_ratio_to_gold_before is: 0.7413216847760203
</t>
  </si>
  <si>
    <t xml:space="preserve"> 0.7413216847760203
</t>
  </si>
  <si>
    <t>value_ratio_tb_to_total is: 0.3794886163792345</t>
  </si>
  <si>
    <t xml:space="preserve"> risk_ratio_tb_to_gold is: 0.17880233428175316</t>
  </si>
  <si>
    <t xml:space="preserve"> risk_ratio_tb_to_gold_before is: 0.18154072445112235
</t>
  </si>
  <si>
    <t xml:space="preserve"> 0.18154072445112235
</t>
  </si>
  <si>
    <t>value_ratio_reit_to_total is: 0.5967910671611926</t>
  </si>
  <si>
    <t xml:space="preserve"> risk_ratio_reit_to_gold is: 0.16377717567275557</t>
  </si>
  <si>
    <t xml:space="preserve"> risk_ratio_reit_to_gold_before is: 0.16740133476050822
</t>
  </si>
  <si>
    <t xml:space="preserve"> 0.16740133476050822
</t>
  </si>
  <si>
    <t>delta_gold is: 0.9958385072322719</t>
  </si>
  <si>
    <t xml:space="preserve"> delta_tb is: 0.9999474156761673</t>
  </si>
  <si>
    <t xml:space="preserve"> delta_reit is: 0.991752829933311
</t>
  </si>
  <si>
    <t xml:space="preserve"> 0.991752829933311
</t>
  </si>
  <si>
    <t>delta_gold_risk is: 1.0020175245981378</t>
  </si>
  <si>
    <t xml:space="preserve"> delta_tb_risk is: 0.9976823565090054</t>
  </si>
  <si>
    <t xml:space="preserve"> delta_reit_risk is: 0.9968955328558914
</t>
  </si>
  <si>
    <t xml:space="preserve"> 0.9968955328558914
</t>
  </si>
  <si>
    <t xml:space="preserve">collateral_ratio_tranche_gold is: 0.7562351937683969
</t>
  </si>
  <si>
    <t xml:space="preserve"> 0.7562351937683969
</t>
  </si>
  <si>
    <t xml:space="preserve">collateral_ratio_tranche_tb is: 0.39414520942234005
</t>
  </si>
  <si>
    <t xml:space="preserve"> 0.39414520942234005
</t>
  </si>
  <si>
    <t xml:space="preserve">collateral_ratio_tranche_reit is: 0.2885313357454758
</t>
  </si>
  <si>
    <t xml:space="preserve"> 0.2885313357454758
</t>
  </si>
  <si>
    <t>Total plot size is: 145286439.89698428</t>
  </si>
  <si>
    <t xml:space="preserve"> plot size of gold is: 76676963.08148664</t>
  </si>
  <si>
    <t xml:space="preserve"> plot size of TB is: 39625080.88584918</t>
  </si>
  <si>
    <t xml:space="preserve"> plot size of REIT is: 28984395.929648463
</t>
  </si>
  <si>
    <t xml:space="preserve"> 28984395.929648463
</t>
  </si>
  <si>
    <t xml:space="preserve">collateral ratio is: 1.4357817621367719
</t>
  </si>
  <si>
    <t xml:space="preserve"> 1.4357817621367719
</t>
  </si>
  <si>
    <t>S_gtbcps_0 is: 1.0001551306387444</t>
  </si>
  <si>
    <t xml:space="preserve">stdev_gtbcps is: 0.006877859952856296
</t>
  </si>
  <si>
    <t xml:space="preserve"> 0.006877859952856296
</t>
  </si>
  <si>
    <t>predicted price of GTBCPS is: 1.0001501223570288</t>
  </si>
  <si>
    <t xml:space="preserve"> actual price is: 1.0001551306387444
</t>
  </si>
  <si>
    <t xml:space="preserve"> 1.0001551306387444
</t>
  </si>
  <si>
    <t>predicted amount of GTBCPS is: 101174590.91539387</t>
  </si>
  <si>
    <t xml:space="preserve"> actual amount is: 101174084.28313431
</t>
  </si>
  <si>
    <t>plot sizes of gold is: 76676963.08148664</t>
  </si>
  <si>
    <t xml:space="preserve"> plot sizes of tb is: 39625080.88584918 </t>
  </si>
  <si>
    <t xml:space="preserve"> plot sizes of reit is: 28984395.929648463</t>
  </si>
  <si>
    <t xml:space="preserve"> plot sizes of total is: 145286439.89698428.
</t>
  </si>
  <si>
    <t xml:space="preserve"> 145286439.89698428.
</t>
  </si>
  <si>
    <t>predicted stdevs of gold is: 0.008353943408863621</t>
  </si>
  <si>
    <t xml:space="preserve"> predicted stdevs of tb is: 0.0013298448042146553</t>
  </si>
  <si>
    <t xml:space="preserve"> predicted stdevs of reit is: 0.010557734897231866</t>
  </si>
  <si>
    <t xml:space="preserve"> predicted stdevs of GTBCPS is: 0.006877859952856296.
</t>
  </si>
  <si>
    <t xml:space="preserve"> 0.006877859952856296.
</t>
  </si>
  <si>
    <t>total_value_of_collaterals is: 145286264.51255548</t>
  </si>
  <si>
    <t xml:space="preserve"> createdtionValue_gold is: 383.95964865355154</t>
  </si>
  <si>
    <t xml:space="preserve"> createdValue_tb is: 198.422597058881</t>
  </si>
  <si>
    <t xml:space="preserve"> createdValue_reit is: 145.139435447218
</t>
  </si>
  <si>
    <t xml:space="preserve"> 145.139435447218
</t>
  </si>
  <si>
    <t>plotValue_gold_after_creation is: 76676455.39929584</t>
  </si>
  <si>
    <t xml:space="preserve"> plotValue_tb_after_creation  is: 39624844.60789187</t>
  </si>
  <si>
    <t xml:space="preserve"> plotValue_reit_after_creation  is: 28984236.98368662</t>
  </si>
  <si>
    <t xml:space="preserve">total_value_after_creation is: 145285536.99087432
</t>
  </si>
  <si>
    <t xml:space="preserve"> 145285536.99087432
</t>
  </si>
  <si>
    <t>total_amount_gtncps_before_creation is: 101174084.28313431</t>
  </si>
  <si>
    <t>creation_amount_gtbcps is: 506.6322595626116</t>
  </si>
  <si>
    <t xml:space="preserve">total_amount_gtbcps_new is: 101174590.91539387
</t>
  </si>
  <si>
    <t xml:space="preserve"> 101174590.91539387
</t>
  </si>
  <si>
    <t>payout of tranche of gold is: -123.72254214511187</t>
  </si>
  <si>
    <t xml:space="preserve"> payout of tranche of Treausry Bill Option is: -37.85536025014261</t>
  </si>
  <si>
    <t xml:space="preserve"> payout of tranche of Collar of REIT is: -13.80652639646792
</t>
  </si>
  <si>
    <t xml:space="preserve"> -13.80652639646792
</t>
  </si>
  <si>
    <t>Collateral size of tranche of gold is: 76676455.39929584</t>
  </si>
  <si>
    <t xml:space="preserve"> collateral size of tranche of Treausry Bill Option is: 39624844.60789187</t>
  </si>
  <si>
    <t xml:space="preserve"> collateral size of tranche of Collar of REIT is: 28984236.98368662
</t>
  </si>
  <si>
    <t xml:space="preserve"> 28984236.98368662
</t>
  </si>
  <si>
    <t>Collateral ratio of tranche of gold is: 0.7577528061663839</t>
  </si>
  <si>
    <t xml:space="preserve"> collateral ratio of tranche of Treausry Bill Option is: 0.39159135668408473</t>
  </si>
  <si>
    <t xml:space="preserve"> collateral ratio of tranche of Collar of REIT is: 0.2864358660635442
</t>
  </si>
  <si>
    <t xml:space="preserve"> 0.2864358660635442
</t>
  </si>
  <si>
    <t xml:space="preserve">date is: 2021-08-20 00:00:00
</t>
  </si>
  <si>
    <t xml:space="preserve"> 2021-08-20 00</t>
  </si>
  <si>
    <t>current price of gold is: 1781.11</t>
  </si>
  <si>
    <t xml:space="preserve"> predicted price of gold is: 1782.8995038352973
</t>
  </si>
  <si>
    <t xml:space="preserve"> 1782.8995038352973
</t>
  </si>
  <si>
    <t xml:space="preserve"> current price of tb option is: 4.39989200381498</t>
  </si>
  <si>
    <t xml:space="preserve"> predicted price of tb is: 98.6855967451824
</t>
  </si>
  <si>
    <t xml:space="preserve"> 98.6855967451824
</t>
  </si>
  <si>
    <t>current price of reit is: 74.0</t>
  </si>
  <si>
    <t xml:space="preserve"> current price of reit option is: 6.4846075078398115</t>
  </si>
  <si>
    <t xml:space="preserve"> predicted price of reit is: 74.50902522508551
</t>
  </si>
  <si>
    <t xml:space="preserve"> 74.50902522508551
</t>
  </si>
  <si>
    <t>value_ratio_gold_to_total is: 0.13468491821484685</t>
  </si>
  <si>
    <t xml:space="preserve"> risk_ratio_to_gold is: 0.7418714569181575</t>
  </si>
  <si>
    <t xml:space="preserve"> risk_ratio_to_gold_before is: 0.7448348441083267
</t>
  </si>
  <si>
    <t xml:space="preserve"> 0.7448348441083267
</t>
  </si>
  <si>
    <t>value_ratio_tb_to_total is: 0.3389474741392182</t>
  </si>
  <si>
    <t xml:space="preserve"> risk_ratio_tb_to_gold is: 0.17966091805204135</t>
  </si>
  <si>
    <t xml:space="preserve"> risk_ratio_tb_to_gold_before is: 0.17880233428175316
</t>
  </si>
  <si>
    <t xml:space="preserve"> 0.17880233428175316
</t>
  </si>
  <si>
    <t>value_ratio_reit_to_total is: 0.5263676076459349</t>
  </si>
  <si>
    <t xml:space="preserve"> risk_ratio_reit_to_gold is: 0.16828149255659178</t>
  </si>
  <si>
    <t xml:space="preserve"> risk_ratio_reit_to_gold_before is: 0.16377717567275557
</t>
  </si>
  <si>
    <t xml:space="preserve"> 0.16377717567275557
</t>
  </si>
  <si>
    <t>delta_gold is: 1.0004100248261605</t>
  </si>
  <si>
    <t xml:space="preserve"> delta_tb is: 0.9994543501881729</t>
  </si>
  <si>
    <t xml:space="preserve"> delta_reit is: 1.0130049638618899
</t>
  </si>
  <si>
    <t xml:space="preserve"> 1.0130049638618899
</t>
  </si>
  <si>
    <t>delta_gold_risk is: 0.9983016231019368</t>
  </si>
  <si>
    <t xml:space="preserve"> delta_tb_risk is: 1.0007283526214015</t>
  </si>
  <si>
    <t xml:space="preserve"> delta_reit_risk is: 1.003870428960108
</t>
  </si>
  <si>
    <t xml:space="preserve"> 1.003870428960108
</t>
  </si>
  <si>
    <t xml:space="preserve">collateral_ratio_tranche_gold is: 0.7593531715129734
</t>
  </si>
  <si>
    <t xml:space="preserve"> 0.7593531715129734
</t>
  </si>
  <si>
    <t xml:space="preserve">collateral_ratio_tranche_tb is: 0.39093253939849526
</t>
  </si>
  <si>
    <t xml:space="preserve"> 0.39093253939849526
</t>
  </si>
  <si>
    <t xml:space="preserve">collateral_ratio_tranche_reit is: 0.2889237707879144
</t>
  </si>
  <si>
    <t xml:space="preserve"> 0.2889237707879144
</t>
  </si>
  <si>
    <t>Total plot size is: 145672293.90670335</t>
  </si>
  <si>
    <t xml:space="preserve"> plot size of gold is: 76707894.64959154</t>
  </si>
  <si>
    <t xml:space="preserve"> plot size of TB is: 39603223.3188879</t>
  </si>
  <si>
    <t xml:space="preserve"> plot size of REIT is: 29361175.938223913
</t>
  </si>
  <si>
    <t xml:space="preserve"> 29361175.938223913
</t>
  </si>
  <si>
    <t xml:space="preserve">collateral ratio is: 1.4395949338986709
</t>
  </si>
  <si>
    <t xml:space="preserve"> 1.4395949338986709
</t>
  </si>
  <si>
    <t>S_gtbcps_0 is: 1.0001501223570288</t>
  </si>
  <si>
    <t xml:space="preserve">stdev_gtbcps is: 0.00690957264611969
</t>
  </si>
  <si>
    <t xml:space="preserve"> 0.00690957264611969
</t>
  </si>
  <si>
    <t>predicted price of GTBCPS is: 1.0001301379088146</t>
  </si>
  <si>
    <t xml:space="preserve"> actual price is: 1.0001501223570288
</t>
  </si>
  <si>
    <t xml:space="preserve"> 1.0001501223570288
</t>
  </si>
  <si>
    <t>predicted amount of GTBCPS is: 101176612.57067265</t>
  </si>
  <si>
    <t xml:space="preserve"> actual amount is: 101174590.91539387
</t>
  </si>
  <si>
    <t>plot sizes of gold is: 76707894.64959154</t>
  </si>
  <si>
    <t xml:space="preserve"> plot sizes of tb is: 39603223.3188879 </t>
  </si>
  <si>
    <t xml:space="preserve"> plot sizes of reit is: 29361175.938223913</t>
  </si>
  <si>
    <t xml:space="preserve"> plot sizes of total is: 145672293.90670335.
</t>
  </si>
  <si>
    <t xml:space="preserve"> 145672293.90670335.
</t>
  </si>
  <si>
    <t>predicted stdevs of gold is: 0.008356234390031629</t>
  </si>
  <si>
    <t xml:space="preserve"> predicted stdevs of tb is: 0.0013307961853057718</t>
  </si>
  <si>
    <t xml:space="preserve"> predicted stdevs of reit is: 0.01065489788818591</t>
  </si>
  <si>
    <t xml:space="preserve"> predicted stdevs of GTBCPS is: 0.00690957264611969.
</t>
  </si>
  <si>
    <t xml:space="preserve"> 0.00690957264611969.
</t>
  </si>
  <si>
    <t>total_value_of_collaterals is: 145671595.72236446</t>
  </si>
  <si>
    <t xml:space="preserve"> createdtionValue_gold is: 1532.7246435844952</t>
  </si>
  <si>
    <t xml:space="preserve"> createdValue_tb is: 791.3276601870522</t>
  </si>
  <si>
    <t xml:space="preserve"> createdValue_reit is: 586.6771916794563
</t>
  </si>
  <si>
    <t xml:space="preserve"> 586.6771916794563
</t>
  </si>
  <si>
    <t>plotValue_gold_after_creation is: 76705851.10572861</t>
  </si>
  <si>
    <t xml:space="preserve"> plotValue_tb_after_creation  is: 39602326.44018711</t>
  </si>
  <si>
    <t xml:space="preserve"> plotValue_reit_after_creation  is: 29360507.446953278</t>
  </si>
  <si>
    <t xml:space="preserve">total_value_after_creation is: 145668684.992869
</t>
  </si>
  <si>
    <t xml:space="preserve"> 145668684.992869
</t>
  </si>
  <si>
    <t>total_amount_gtncps_before_creation is: 101174590.91539387</t>
  </si>
  <si>
    <t>creation_amount_gtbcps is: 2021.6552787721157</t>
  </si>
  <si>
    <t xml:space="preserve">total_amount_gtbcps_new is: 101176612.57067265
</t>
  </si>
  <si>
    <t xml:space="preserve"> 101176612.57067265
</t>
  </si>
  <si>
    <t>payout of tranche of gold is: -510.8192193338982</t>
  </si>
  <si>
    <t xml:space="preserve"> payout of tranche of Treausry Bill Option is: -105.55104059414376</t>
  </si>
  <si>
    <t xml:space="preserve"> payout of tranche of Collar of REIT is: -81.81407895808626
</t>
  </si>
  <si>
    <t xml:space="preserve"> -81.81407895808626
</t>
  </si>
  <si>
    <t>Collateral size of tranche of gold is: 76705851.10572861</t>
  </si>
  <si>
    <t xml:space="preserve"> collateral size of tranche of Treausry Bill Option is: 39602326.44018711</t>
  </si>
  <si>
    <t xml:space="preserve"> collateral size of tranche of Collar of REIT is: 29360507.446953278
</t>
  </si>
  <si>
    <t xml:space="preserve"> 29360507.446953278
</t>
  </si>
  <si>
    <t>Collateral ratio of tranche of gold is: 0.7580546594917259</t>
  </si>
  <si>
    <t xml:space="preserve"> collateral ratio of tranche of Treausry Bill Option is: 0.39137468200850434</t>
  </si>
  <si>
    <t xml:space="preserve"> collateral ratio of tranche of Collar of REIT is: 0.29015869264688
</t>
  </si>
  <si>
    <t xml:space="preserve"> 0.29015869264688
</t>
  </si>
  <si>
    <t xml:space="preserve">date is: 2021-08-23 00:00:00
</t>
  </si>
  <si>
    <t xml:space="preserve"> 2021-08-23 00</t>
  </si>
  <si>
    <t>current price of gold is: 1805.43</t>
  </si>
  <si>
    <t xml:space="preserve"> predicted price of gold is: 1799.5308615987853
</t>
  </si>
  <si>
    <t xml:space="preserve"> 1799.5308615987853
</t>
  </si>
  <si>
    <t xml:space="preserve"> current price of tb option is: 4.40062405085896</t>
  </si>
  <si>
    <t xml:space="preserve"> predicted price of tb is: 98.74733950672295
</t>
  </si>
  <si>
    <t xml:space="preserve"> 98.74733950672295
</t>
  </si>
  <si>
    <t xml:space="preserve"> current price of reit option is: 6.508927838900263</t>
  </si>
  <si>
    <t xml:space="preserve"> predicted price of reit is: 73.77787582956661
</t>
  </si>
  <si>
    <t xml:space="preserve"> 73.77787582956661
</t>
  </si>
  <si>
    <t>value_ratio_gold_to_total is: -1.055094875783808</t>
  </si>
  <si>
    <t xml:space="preserve"> risk_ratio_to_gold is: 0.7432063353061883</t>
  </si>
  <si>
    <t xml:space="preserve"> risk_ratio_to_gold_before is: 0.7418714569181575
</t>
  </si>
  <si>
    <t xml:space="preserve"> 0.7418714569181575
</t>
  </si>
  <si>
    <t>value_ratio_tb_to_total is: 0.805464803163547</t>
  </si>
  <si>
    <t xml:space="preserve"> risk_ratio_tb_to_gold is: 0.17917677404030988</t>
  </si>
  <si>
    <t xml:space="preserve"> risk_ratio_tb_to_gold_before is: 0.17966091805204135
</t>
  </si>
  <si>
    <t xml:space="preserve"> 0.17966091805204135
</t>
  </si>
  <si>
    <t>value_ratio_reit_to_total is: 1.249630072620261</t>
  </si>
  <si>
    <t xml:space="preserve"> risk_ratio_reit_to_gold is: 0.16634458724897083</t>
  </si>
  <si>
    <t xml:space="preserve"> risk_ratio_reit_to_gold_before is: 0.16828149255659178
</t>
  </si>
  <si>
    <t xml:space="preserve"> 0.16828149255659178
</t>
  </si>
  <si>
    <t>delta_gold is: 1.0136544065217759</t>
  </si>
  <si>
    <t xml:space="preserve"> delta_tb is: 1.0006140111297799</t>
  </si>
  <si>
    <t xml:space="preserve"> delta_reit is: 0.9916048584957846
</t>
  </si>
  <si>
    <t xml:space="preserve"> 0.9916048584957846
</t>
  </si>
  <si>
    <t>delta_gold_risk is: 1.0007663472426334</t>
  </si>
  <si>
    <t xml:space="preserve"> delta_tb_risk is: 0.999589590530361</t>
  </si>
  <si>
    <t xml:space="preserve"> delta_reit_risk is: 0.9983420902240072
</t>
  </si>
  <si>
    <t xml:space="preserve"> 0.9983420902240072
</t>
  </si>
  <si>
    <t xml:space="preserve">collateral_ratio_tranche_gold is: 0.7678170315132052
</t>
  </si>
  <si>
    <t xml:space="preserve"> 0.7678170315132052
</t>
  </si>
  <si>
    <t xml:space="preserve">collateral_ratio_tranche_tb is: 0.38649837300381196
</t>
  </si>
  <si>
    <t xml:space="preserve"> 0.38649837300381196
</t>
  </si>
  <si>
    <t xml:space="preserve">collateral_ratio_tranche_reit is: 0.28431838116430075
</t>
  </si>
  <si>
    <t xml:space="preserve"> 0.28431838116430075
</t>
  </si>
  <si>
    <t>Total plot size is: 146493888.52101213</t>
  </si>
  <si>
    <t xml:space="preserve"> plot size of gold is: 77753223.97932504</t>
  </si>
  <si>
    <t xml:space="preserve"> plot size of TB is: 39626642.709386565</t>
  </si>
  <si>
    <t xml:space="preserve"> plot size of REIT is: 29114021.832300536
</t>
  </si>
  <si>
    <t xml:space="preserve"> 29114021.832300536
</t>
  </si>
  <si>
    <t xml:space="preserve">collateral ratio is: 1.4477142777543723
</t>
  </si>
  <si>
    <t xml:space="preserve"> 1.4477142777543723
</t>
  </si>
  <si>
    <t>S_gtbcps_0 is: 1.0001301379088146</t>
  </si>
  <si>
    <t xml:space="preserve">stdev_gtbcps is: 0.0069149649938838684
</t>
  </si>
  <si>
    <t xml:space="preserve"> 0.0069149649938838684
</t>
  </si>
  <si>
    <t>predicted price of GTBCPS is: 1.0001357254871515</t>
  </si>
  <si>
    <t xml:space="preserve"> actual price is: 1.0001301379088146
</t>
  </si>
  <si>
    <t xml:space="preserve"> 1.0001301379088146
</t>
  </si>
  <si>
    <t>predicted amount of GTBCPS is: 101176047.31514363</t>
  </si>
  <si>
    <t xml:space="preserve"> actual amount is: 101176612.57067265
</t>
  </si>
  <si>
    <t>plot sizes of gold is: 77753223.97932504</t>
  </si>
  <si>
    <t xml:space="preserve"> plot sizes of tb is: 39626642.709386565 </t>
  </si>
  <si>
    <t xml:space="preserve"> plot sizes of reit is: 29114021.832300536</t>
  </si>
  <si>
    <t xml:space="preserve"> plot sizes of total is: 146493888.52101216.
</t>
  </si>
  <si>
    <t xml:space="preserve"> 146493888.52101216.
</t>
  </si>
  <si>
    <t>predicted stdevs of gold is: 0.008342167144822464</t>
  </si>
  <si>
    <t xml:space="preserve"> predicted stdevs of tb is: 0.0013317533237737736</t>
  </si>
  <si>
    <t xml:space="preserve"> predicted stdevs of reit is: 0.010702637001269784</t>
  </si>
  <si>
    <t xml:space="preserve"> predicted stdevs of GTBCPS is: 0.0069149649938838684.
</t>
  </si>
  <si>
    <t xml:space="preserve"> 0.0069149649938838684.
</t>
  </si>
  <si>
    <t>total_value_of_collaterals is: 146494083.85534206</t>
  </si>
  <si>
    <t xml:space="preserve"> createdtionValue_gold is: -434.39644532071674</t>
  </si>
  <si>
    <t xml:space="preserve"> createdValue_tb is: -221.38837988577282</t>
  </si>
  <si>
    <t xml:space="preserve"> createdValue_reit is: -162.65583406809972
</t>
  </si>
  <si>
    <t xml:space="preserve"> -162.65583406809972
</t>
  </si>
  <si>
    <t>plotValue_gold_after_creation is: 77753792.03593345</t>
  </si>
  <si>
    <t xml:space="preserve"> plotValue_tb_after_creation  is: 39626903.56755015</t>
  </si>
  <si>
    <t xml:space="preserve"> plotValue_reit_after_creation  is: 29114206.69251773</t>
  </si>
  <si>
    <t xml:space="preserve">total_value_after_creation is: 146494902.29600134
</t>
  </si>
  <si>
    <t xml:space="preserve"> 146494902.29600134
</t>
  </si>
  <si>
    <t>total_amount_gtncps_before_creation is: 101176612.57067265</t>
  </si>
  <si>
    <t>creation_amount_gtbcps is: -565.2555290162563</t>
  </si>
  <si>
    <t xml:space="preserve">total_amount_gtbcps_new is: 101176047.31514363
</t>
  </si>
  <si>
    <t xml:space="preserve"> 101176047.31514363
</t>
  </si>
  <si>
    <t>payout of tranche of gold is: 133.6601630961713</t>
  </si>
  <si>
    <t xml:space="preserve"> payout of tranche of Treausry Bill Option is: 39.46978370105399</t>
  </si>
  <si>
    <t xml:space="preserve"> payout of tranche of Collar of REIT is: 22.204383126830727
</t>
  </si>
  <si>
    <t xml:space="preserve"> 22.204383126830727
</t>
  </si>
  <si>
    <t>Collateral size of tranche of gold is: 77753792.03593345</t>
  </si>
  <si>
    <t xml:space="preserve"> collateral size of tranche of Treausry Bill Option is: 39626903.56755015</t>
  </si>
  <si>
    <t xml:space="preserve"> collateral size of tranche of Collar of REIT is: 29114206.69251773
</t>
  </si>
  <si>
    <t xml:space="preserve"> 29114206.69251773
</t>
  </si>
  <si>
    <t>Collateral ratio of tranche of gold is: 0.7683914130102664</t>
  </si>
  <si>
    <t xml:space="preserve"> collateral ratio of tranche of Treausry Bill Option is: 0.39160755544140685</t>
  </si>
  <si>
    <t xml:space="preserve"> collateral ratio of tranche of Collar of REIT is: 0.28771723967877966
</t>
  </si>
  <si>
    <t xml:space="preserve"> 0.28771723967877966
</t>
  </si>
  <si>
    <t xml:space="preserve">date is: 2021-08-24 00:00:00
</t>
  </si>
  <si>
    <t xml:space="preserve"> 2021-08-24 00</t>
  </si>
  <si>
    <t>current price of gold is: 1802.9</t>
  </si>
  <si>
    <t xml:space="preserve"> predicted price of gold is: 1798.0065034580646
</t>
  </si>
  <si>
    <t xml:space="preserve"> 1798.0065034580646
</t>
  </si>
  <si>
    <t xml:space="preserve"> current price of tb option is: 4.397551845231879</t>
  </si>
  <si>
    <t xml:space="preserve"> predicted price of tb is: 98.64504894969751
</t>
  </si>
  <si>
    <t xml:space="preserve"> 98.64504894969751
</t>
  </si>
  <si>
    <t>current price of reit is: 72.8</t>
  </si>
  <si>
    <t xml:space="preserve"> current price of reit option is: 6.492571240542432</t>
  </si>
  <si>
    <t xml:space="preserve"> predicted price of reit is: 73.34489597316114
</t>
  </si>
  <si>
    <t xml:space="preserve"> 73.34489597316114
</t>
  </si>
  <si>
    <t>value_ratio_gold_to_total is: -0.736139893372218</t>
  </si>
  <si>
    <t xml:space="preserve"> risk_ratio_to_gold is: 0.7454269868814086</t>
  </si>
  <si>
    <t xml:space="preserve"> risk_ratio_to_gold_before is: 0.7432063353061883
</t>
  </si>
  <si>
    <t xml:space="preserve"> 0.7432063353061883
</t>
  </si>
  <si>
    <t>value_ratio_tb_to_total is: 0.6774775810745227</t>
  </si>
  <si>
    <t xml:space="preserve"> risk_ratio_tb_to_gold is: 0.17759035768148518</t>
  </si>
  <si>
    <t xml:space="preserve"> risk_ratio_tb_to_gold_before is: 0.17917677404030988
</t>
  </si>
  <si>
    <t xml:space="preserve"> 0.17917677404030988
</t>
  </si>
  <si>
    <t>value_ratio_reit_to_total is: 1.0586623122976953</t>
  </si>
  <si>
    <t xml:space="preserve"> risk_ratio_reit_to_gold is: 0.16392265110242127</t>
  </si>
  <si>
    <t xml:space="preserve"> risk_ratio_reit_to_gold_before is: 0.16634458724897083
</t>
  </si>
  <si>
    <t xml:space="preserve"> 0.16634458724897083
</t>
  </si>
  <si>
    <t>delta_gold is: 0.9985986717845611</t>
  </si>
  <si>
    <t xml:space="preserve"> delta_tb is: 0.9989466660969146</t>
  </si>
  <si>
    <t xml:space="preserve"> delta_reit is: 0.9935300897739143
</t>
  </si>
  <si>
    <t xml:space="preserve"> 0.9935300897739143
</t>
  </si>
  <si>
    <t>delta_gold_risk is: 1.0012738891146986</t>
  </si>
  <si>
    <t xml:space="preserve"> delta_tb_risk is: 0.9986546407682464</t>
  </si>
  <si>
    <t xml:space="preserve"> delta_reit_risk is: 0.9979234814710615
</t>
  </si>
  <si>
    <t xml:space="preserve"> 0.9979234814710615
</t>
  </si>
  <si>
    <t xml:space="preserve">collateral_ratio_tranche_gold is: 0.7663384142785892
</t>
  </si>
  <si>
    <t xml:space="preserve"> 0.7663384142785892
</t>
  </si>
  <si>
    <t xml:space="preserve">collateral_ratio_tranche_tb is: 0.39227177032801636
</t>
  </si>
  <si>
    <t xml:space="preserve"> 0.39227177032801636
</t>
  </si>
  <si>
    <t xml:space="preserve">collateral_ratio_tranche_reit is: 0.28685252939544825
</t>
  </si>
  <si>
    <t xml:space="preserve"> 0.28685252939544825
</t>
  </si>
  <si>
    <t>Total plot size is: 146155837.04875773</t>
  </si>
  <si>
    <t xml:space="preserve"> plot size of gold is: 77644833.45329612</t>
  </si>
  <si>
    <t xml:space="preserve"> plot size of TB is: 39585163.206548154</t>
  </si>
  <si>
    <t xml:space="preserve"> plot size of REIT is: 28925840.388913438
</t>
  </si>
  <si>
    <t xml:space="preserve"> 28925840.388913438
</t>
  </si>
  <si>
    <t xml:space="preserve">collateral ratio is: 1.4443735107917395
</t>
  </si>
  <si>
    <t xml:space="preserve"> 1.4443735107917395
</t>
  </si>
  <si>
    <t>S_gtbcps_0 is: 1.0001357254871515</t>
  </si>
  <si>
    <t xml:space="preserve">stdev_gtbcps is: 0.006968341419403648
</t>
  </si>
  <si>
    <t xml:space="preserve"> 0.006968341419403648
</t>
  </si>
  <si>
    <t>predicted price of GTBCPS is: 1.00013931669745</t>
  </si>
  <si>
    <t xml:space="preserve"> actual price is: 1.0001357254871515
</t>
  </si>
  <si>
    <t xml:space="preserve"> 1.0001357254871515
</t>
  </si>
  <si>
    <t>predicted amount of GTBCPS is: 101175684.02129346</t>
  </si>
  <si>
    <t xml:space="preserve"> actual amount is: 101176047.31514363
</t>
  </si>
  <si>
    <t>plot sizes of gold is: 77644833.45329612</t>
  </si>
  <si>
    <t xml:space="preserve"> plot sizes of tb is: 39585163.206548154 </t>
  </si>
  <si>
    <t xml:space="preserve"> plot sizes of reit is: 28925840.388913438</t>
  </si>
  <si>
    <t xml:space="preserve"> plot sizes of total is: 146155837.04875773.
</t>
  </si>
  <si>
    <t xml:space="preserve"> 146155837.04875773.
</t>
  </si>
  <si>
    <t>predicted stdevs of gold is: 0.008444025325384977</t>
  </si>
  <si>
    <t xml:space="preserve"> predicted stdevs of tb is: 0.0013290066051963956</t>
  </si>
  <si>
    <t xml:space="preserve"> predicted stdevs of reit is: 0.010724662979166459</t>
  </si>
  <si>
    <t xml:space="preserve"> predicted stdevs of GTBCPS is: 0.006968341419403648.
</t>
  </si>
  <si>
    <t xml:space="preserve"> 0.006968341419403648.
</t>
  </si>
  <si>
    <t>total_value_of_collaterals is: 146155962.88330287</t>
  </si>
  <si>
    <t xml:space="preserve"> createdtionValue_gold is: -278.8014180393496</t>
  </si>
  <si>
    <t xml:space="preserve"> createdValue_tb is: -142.1394214945898</t>
  </si>
  <si>
    <t xml:space="preserve"> createdValue_reit is: -103.86473005130888
</t>
  </si>
  <si>
    <t xml:space="preserve"> -103.86473005130888
</t>
  </si>
  <si>
    <t>plotValue_gold_after_creation is: 77645204.97660089</t>
  </si>
  <si>
    <t xml:space="preserve"> plotValue_tb_after_creation  is: 39585324.18814752</t>
  </si>
  <si>
    <t xml:space="preserve"> plotValue_reit_after_creation  is: 28925958.52412405</t>
  </si>
  <si>
    <t xml:space="preserve">total_value_after_creation is: 146156487.68887246
</t>
  </si>
  <si>
    <t xml:space="preserve"> 146156487.68887246
</t>
  </si>
  <si>
    <t>total_amount_gtncps_before_creation is: 101176047.31514363</t>
  </si>
  <si>
    <t>creation_amount_gtbcps is: -363.2938501685858</t>
  </si>
  <si>
    <t xml:space="preserve">total_amount_gtbcps_new is: 101175684.02129346
</t>
  </si>
  <si>
    <t xml:space="preserve"> 101175684.02129346
</t>
  </si>
  <si>
    <t>payout of tranche of gold is: 92.7218867279591</t>
  </si>
  <si>
    <t xml:space="preserve"> payout of tranche of Treausry Bill Option is: 18.84217787661361</t>
  </si>
  <si>
    <t xml:space="preserve"> payout of tranche of Collar of REIT is: 14.27048055985062
</t>
  </si>
  <si>
    <t xml:space="preserve"> 14.27048055985062
</t>
  </si>
  <si>
    <t>Collateral size of tranche of gold is: 77645204.97660089</t>
  </si>
  <si>
    <t xml:space="preserve"> collateral size of tranche of Treausry Bill Option is: 39585324.18814752</t>
  </si>
  <si>
    <t xml:space="preserve"> collateral size of tranche of Collar of REIT is: 28925958.52412405
</t>
  </si>
  <si>
    <t xml:space="preserve"> 28925958.52412405
</t>
  </si>
  <si>
    <t>Collateral ratio of tranche of gold is: 0.7673198476322332</t>
  </si>
  <si>
    <t xml:space="preserve"> collateral ratio of tranche of Treausry Bill Option is: 0.39119743368152077</t>
  </si>
  <si>
    <t xml:space="preserve"> collateral ratio of tranche of Collar of REIT is: 0.28585747302793485
</t>
  </si>
  <si>
    <t xml:space="preserve"> 0.28585747302793485
</t>
  </si>
  <si>
    <t xml:space="preserve">date is: 2021-08-25 00:00:00
</t>
  </si>
  <si>
    <t xml:space="preserve"> 2021-08-25 00</t>
  </si>
  <si>
    <t>current price of gold is: 1791.0</t>
  </si>
  <si>
    <t xml:space="preserve"> predicted price of gold is: 1797.0541250985425
</t>
  </si>
  <si>
    <t xml:space="preserve"> 1797.0541250985425
</t>
  </si>
  <si>
    <t>current price of tb is: 98.44921875</t>
  </si>
  <si>
    <t xml:space="preserve"> current price of tb option is: 4.39288182552393</t>
  </si>
  <si>
    <t xml:space="preserve"> predicted price of tb is: 98.56003644435903
</t>
  </si>
  <si>
    <t xml:space="preserve"> 98.56003644435903
</t>
  </si>
  <si>
    <t>current price of reit is: 71.95</t>
  </si>
  <si>
    <t xml:space="preserve"> current price of reit option is: 6.47460989310909</t>
  </si>
  <si>
    <t xml:space="preserve"> predicted price of reit is: 72.40421047214001
</t>
  </si>
  <si>
    <t xml:space="preserve"> 72.40421047214001
</t>
  </si>
  <si>
    <t>value_ratio_gold_to_total is: 0.3462142168606157</t>
  </si>
  <si>
    <t xml:space="preserve"> risk_ratio_to_gold is: 0.7445335758400753</t>
  </si>
  <si>
    <t xml:space="preserve"> risk_ratio_to_gold_before is: 0.7454269868814086
</t>
  </si>
  <si>
    <t xml:space="preserve"> 0.7454269868814086
</t>
  </si>
  <si>
    <t>value_ratio_tb_to_total is: 0.257550806577682</t>
  </si>
  <si>
    <t xml:space="preserve"> risk_ratio_tb_to_gold is: 0.17865608983049297</t>
  </si>
  <si>
    <t xml:space="preserve"> risk_ratio_tb_to_gold_before is: 0.17759035768148518
</t>
  </si>
  <si>
    <t xml:space="preserve"> 0.17759035768148518
</t>
  </si>
  <si>
    <t>value_ratio_reit_to_total is: 0.3962349765617023</t>
  </si>
  <si>
    <t xml:space="preserve"> risk_ratio_reit_to_gold is: 0.16446668186140256</t>
  </si>
  <si>
    <t xml:space="preserve"> risk_ratio_reit_to_gold_before is: 0.16392265110242127
</t>
  </si>
  <si>
    <t xml:space="preserve"> 0.16392265110242127
</t>
  </si>
  <si>
    <t>delta_gold is: 0.9933995229907371</t>
  </si>
  <si>
    <t xml:space="preserve"> delta_tb is: 0.9990818255456609</t>
  </si>
  <si>
    <t xml:space="preserve"> delta_reit is: 0.9890536864443419
</t>
  </si>
  <si>
    <t xml:space="preserve"> 0.9890536864443419
</t>
  </si>
  <si>
    <t>delta_gold_risk is: 0.9994881418426275</t>
  </si>
  <si>
    <t xml:space="preserve"> delta_tb_risk is: 1.0009050109336035</t>
  </si>
  <si>
    <t xml:space="preserve"> delta_reit_risk is: 1.0004674114370624
</t>
  </si>
  <si>
    <t xml:space="preserve"> 1.0004674114370624
</t>
  </si>
  <si>
    <t xml:space="preserve">collateral_ratio_tranche_gold is: 0.7626455369584614
</t>
  </si>
  <si>
    <t xml:space="preserve"> 0.7626455369584614
</t>
  </si>
  <si>
    <t xml:space="preserve">collateral_ratio_tranche_tb is: 0.39307936443760844
</t>
  </si>
  <si>
    <t xml:space="preserve"> 0.39307936443760844
</t>
  </si>
  <si>
    <t xml:space="preserve">collateral_ratio_tranche_reit is: 0.2844739626037338
</t>
  </si>
  <si>
    <t xml:space="preserve"> 0.2844739626037338
</t>
  </si>
  <si>
    <t>Total plot size is: 145291013.4532056</t>
  </si>
  <si>
    <t xml:space="preserve"> plot size of gold is: 77132709.58627333</t>
  </si>
  <si>
    <t xml:space="preserve"> plot size of TB is: 39548977.954711236</t>
  </si>
  <si>
    <t xml:space="preserve"> plot size of REIT is: 28609325.912221026
</t>
  </si>
  <si>
    <t xml:space="preserve"> 28609325.912221026
</t>
  </si>
  <si>
    <t xml:space="preserve">collateral ratio is: 1.4358269599447386
</t>
  </si>
  <si>
    <t xml:space="preserve"> 1.4358269599447386
</t>
  </si>
  <si>
    <t>S_gtbcps_0 is: 1.00013931669745</t>
  </si>
  <si>
    <t xml:space="preserve">stdev_gtbcps is: 0.006912367310342947
</t>
  </si>
  <si>
    <t xml:space="preserve"> 0.006912367310342947
</t>
  </si>
  <si>
    <t>predicted price of GTBCPS is: 1.0001255359994037</t>
  </si>
  <si>
    <t xml:space="preserve"> actual price is: 1.00013931669745
</t>
  </si>
  <si>
    <t xml:space="preserve"> 1.00013931669745
</t>
  </si>
  <si>
    <t>predicted amount of GTBCPS is: 101177078.11783527</t>
  </si>
  <si>
    <t xml:space="preserve"> actual amount is: 101175684.02129346
</t>
  </si>
  <si>
    <t>plot sizes of gold is: 77132709.58627333</t>
  </si>
  <si>
    <t xml:space="preserve"> plot sizes of tb is: 39548977.954711236 </t>
  </si>
  <si>
    <t xml:space="preserve"> plot sizes of reit is: 28609325.912221026</t>
  </si>
  <si>
    <t xml:space="preserve"> plot sizes of total is: 145291013.4532056.
</t>
  </si>
  <si>
    <t xml:space="preserve"> 145291013.4532056.
</t>
  </si>
  <si>
    <t>predicted stdevs of gold is: 0.008355274886618635</t>
  </si>
  <si>
    <t xml:space="preserve"> predicted stdevs of tb is: 0.0013276833962497065</t>
  </si>
  <si>
    <t xml:space="preserve"> predicted stdevs of reit is: 0.010742348145892502</t>
  </si>
  <si>
    <t xml:space="preserve"> predicted stdevs of GTBCPS is: 0.006912367310342947.
</t>
  </si>
  <si>
    <t xml:space="preserve"> 0.006912367310342947.
</t>
  </si>
  <si>
    <t>total_value_of_collaterals is: 145290530.3828525</t>
  </si>
  <si>
    <t xml:space="preserve"> createdtionValue_gold is: 1062.7897945616967</t>
  </si>
  <si>
    <t xml:space="preserve"> createdValue_tb is: 544.9351771493293</t>
  </si>
  <si>
    <t xml:space="preserve"> createdValue_reit is: 394.20105473688255
</t>
  </si>
  <si>
    <t xml:space="preserve"> 394.20105473688255
</t>
  </si>
  <si>
    <t>plotValue_gold_after_creation is: 77131304.18948537</t>
  </si>
  <si>
    <t xml:space="preserve"> plotValue_tb_after_creation  is: 39548329.431964666</t>
  </si>
  <si>
    <t xml:space="preserve"> plotValue_reit_after_creation  is: 28608894.83537602</t>
  </si>
  <si>
    <t xml:space="preserve">total_value_after_creation is: 145288528.45682606
</t>
  </si>
  <si>
    <t xml:space="preserve"> 145288528.45682606
</t>
  </si>
  <si>
    <t>total_amount_gtncps_before_creation is: 101175684.02129346</t>
  </si>
  <si>
    <t>creation_amount_gtbcps is: 1394.0965418070555</t>
  </si>
  <si>
    <t xml:space="preserve">total_amount_gtbcps_new is: 101177078.11783527
</t>
  </si>
  <si>
    <t xml:space="preserve"> 101177078.11783527
</t>
  </si>
  <si>
    <t>payout of tranche of gold is: -342.60699339397115</t>
  </si>
  <si>
    <t xml:space="preserve"> payout of tranche of Treausry Bill Option is: -103.58756941986104</t>
  </si>
  <si>
    <t xml:space="preserve"> payout of tranche of Collar of REIT is: -36.87579026708725
</t>
  </si>
  <si>
    <t xml:space="preserve"> -36.87579026708725
</t>
  </si>
  <si>
    <t>Collateral size of tranche of gold is: 77131304.18948537</t>
  </si>
  <si>
    <t xml:space="preserve"> collateral size of tranche of Treausry Bill Option is: 39548329.431964666</t>
  </si>
  <si>
    <t xml:space="preserve"> collateral size of tranche of Collar of REIT is: 28608894.83537602
</t>
  </si>
  <si>
    <t xml:space="preserve"> 28608894.83537602
</t>
  </si>
  <si>
    <t>Collateral ratio of tranche of gold is: 0.7622545218797768</t>
  </si>
  <si>
    <t xml:space="preserve"> collateral ratio of tranche of Treausry Bill Option is: 0.3908386258872005</t>
  </si>
  <si>
    <t xml:space="preserve"> collateral ratio of tranche of Collar of REIT is: 0.2827290382731679
</t>
  </si>
  <si>
    <t xml:space="preserve"> 0.2827290382731679
</t>
  </si>
  <si>
    <t xml:space="preserve">date is: 2021-08-26 00:00:00
</t>
  </si>
  <si>
    <t xml:space="preserve"> 2021-08-26 00</t>
  </si>
  <si>
    <t>current price of gold is: 1792.43</t>
  </si>
  <si>
    <t xml:space="preserve"> predicted price of gold is: 1795.259199333499
</t>
  </si>
  <si>
    <t xml:space="preserve"> 1795.259199333499
</t>
  </si>
  <si>
    <t>current price of tb is: 98.37890625</t>
  </si>
  <si>
    <t xml:space="preserve"> current price of tb option is: 4.393751531760583</t>
  </si>
  <si>
    <t xml:space="preserve"> predicted price of tb is: 98.48882405466499
</t>
  </si>
  <si>
    <t xml:space="preserve"> 98.48882405466499
</t>
  </si>
  <si>
    <t>current price of reit is: 71.6</t>
  </si>
  <si>
    <t xml:space="preserve"> current price of reit option is: 6.55366078144219</t>
  </si>
  <si>
    <t xml:space="preserve"> predicted price of reit is: 72.11400979499281
</t>
  </si>
  <si>
    <t xml:space="preserve"> 72.11400979499281
</t>
  </si>
  <si>
    <t>value_ratio_gold_to_total is: 0.1964648187889358</t>
  </si>
  <si>
    <t xml:space="preserve"> risk_ratio_to_gold is: 0.7422659924593581</t>
  </si>
  <si>
    <t xml:space="preserve"> risk_ratio_to_gold_before is: 0.7445335758400753
</t>
  </si>
  <si>
    <t xml:space="preserve"> 0.7445335758400753
</t>
  </si>
  <si>
    <t>value_ratio_tb_to_total is: 0.3127431035309385</t>
  </si>
  <si>
    <t xml:space="preserve"> risk_ratio_tb_to_gold is: 0.1824993898230094</t>
  </si>
  <si>
    <t xml:space="preserve"> risk_ratio_tb_to_gold_before is: 0.17865608983049297
</t>
  </si>
  <si>
    <t xml:space="preserve"> 0.17865608983049297
</t>
  </si>
  <si>
    <t>value_ratio_reit_to_total is: 0.4907920776801257</t>
  </si>
  <si>
    <t xml:space="preserve"> risk_ratio_reit_to_gold is: 0.16472655095691083</t>
  </si>
  <si>
    <t xml:space="preserve"> risk_ratio_reit_to_gold_before is: 0.16446668186140256
</t>
  </si>
  <si>
    <t xml:space="preserve"> 0.16446668186140256
</t>
  </si>
  <si>
    <t>delta_gold is: 1.0007984366275824</t>
  </si>
  <si>
    <t xml:space="preserve"> delta_tb is: 0.9993247629776645</t>
  </si>
  <si>
    <t xml:space="preserve"> delta_reit is: 0.9965451009315034
</t>
  </si>
  <si>
    <t xml:space="preserve"> 0.9965451009315034
</t>
  </si>
  <si>
    <t>delta_gold_risk is: 0.9987001778514779</t>
  </si>
  <si>
    <t xml:space="preserve"> delta_tb_risk is: 1.003260747579957</t>
  </si>
  <si>
    <t xml:space="preserve"> delta_reit_risk is: 1.000223165762968
</t>
  </si>
  <si>
    <t xml:space="preserve"> 1.000223165762968
</t>
  </si>
  <si>
    <t xml:space="preserve">collateral_ratio_tranche_gold is: 0.7638560107706673
</t>
  </si>
  <si>
    <t xml:space="preserve"> 0.7638560107706673
</t>
  </si>
  <si>
    <t xml:space="preserve">collateral_ratio_tranche_tb is: 0.388994703273073
</t>
  </si>
  <si>
    <t xml:space="preserve"> 0.388994703273073
</t>
  </si>
  <si>
    <t xml:space="preserve">collateral_ratio_tranche_reit is: 0.2814646428777648
</t>
  </si>
  <si>
    <t xml:space="preserve"> 0.2814646428777648
</t>
  </si>
  <si>
    <t>Total plot size is: 145224567.5749027</t>
  </si>
  <si>
    <t xml:space="preserve"> plot size of gold is: 77192888.64788346</t>
  </si>
  <si>
    <t xml:space="preserve"> plot size of TB is: 39521624.935760684</t>
  </si>
  <si>
    <t xml:space="preserve"> plot size of REIT is: 28510053.99125856
</t>
  </si>
  <si>
    <t xml:space="preserve"> 28510053.99125856
</t>
  </si>
  <si>
    <t xml:space="preserve">collateral ratio is: 1.4351703138027858
</t>
  </si>
  <si>
    <t xml:space="preserve"> 1.4351703138027858
</t>
  </si>
  <si>
    <t>S_gtbcps_0 is: 1.0001255359994037</t>
  </si>
  <si>
    <t xml:space="preserve">stdev_gtbcps is: 0.006760352721658387
</t>
  </si>
  <si>
    <t xml:space="preserve"> 0.006760352721658387
</t>
  </si>
  <si>
    <t>predicted price of GTBCPS is: 1.0001322755303812</t>
  </si>
  <si>
    <t xml:space="preserve"> actual price is: 1.0001255359994037
</t>
  </si>
  <si>
    <t xml:space="preserve"> 1.0001255359994037
</t>
  </si>
  <si>
    <t>predicted amount of GTBCPS is: 101176396.32196799</t>
  </si>
  <si>
    <t xml:space="preserve"> actual amount is: 101177078.11783527
</t>
  </si>
  <si>
    <t>plot sizes of gold is: 77192888.64788346</t>
  </si>
  <si>
    <t xml:space="preserve"> plot sizes of tb is: 39521624.935760684 </t>
  </si>
  <si>
    <t xml:space="preserve"> plot sizes of reit is: 28510053.99125856</t>
  </si>
  <si>
    <t xml:space="preserve"> plot sizes of total is: 145224567.5749027.
</t>
  </si>
  <si>
    <t xml:space="preserve"> 145224567.5749027.
</t>
  </si>
  <si>
    <t>predicted stdevs of gold is: 0.008222156921685752</t>
  </si>
  <si>
    <t xml:space="preserve"> predicted stdevs of tb is: 0.0013291615110295303</t>
  </si>
  <si>
    <t xml:space="preserve"> predicted stdevs of reit is: 0.010331325024073827</t>
  </si>
  <si>
    <t xml:space="preserve"> predicted stdevs of GTBCPS is: 0.006760352721658387.
</t>
  </si>
  <si>
    <t xml:space="preserve"> 0.006760352721658387.
</t>
  </si>
  <si>
    <t>total_value_of_collaterals is: 145224803.6147802</t>
  </si>
  <si>
    <t xml:space="preserve"> createdtionValue_gold is: -520.179650655109</t>
  </si>
  <si>
    <t xml:space="preserve"> createdValue_tb is: -266.3241083877916</t>
  </si>
  <si>
    <t xml:space="preserve"> createdValue_reit is: -192.12045105350168
</t>
  </si>
  <si>
    <t xml:space="preserve"> -192.12045105350168
</t>
  </si>
  <si>
    <t>plotValue_gold_after_creation is: 77193570.20990852</t>
  </si>
  <si>
    <t xml:space="preserve"> plotValue_tb_after_creation  is: 39521939.648221724</t>
  </si>
  <si>
    <t xml:space="preserve"> plotValue_reit_after_creation  is: 28510272.38086003</t>
  </si>
  <si>
    <t xml:space="preserve">total_value_after_creation is: 145225782.23899028
</t>
  </si>
  <si>
    <t xml:space="preserve"> 145225782.23899028
</t>
  </si>
  <si>
    <t>total_amount_gtncps_before_creation is: 101177078.11783527</t>
  </si>
  <si>
    <t>creation_amount_gtbcps is: -681.795867279172</t>
  </si>
  <si>
    <t xml:space="preserve">total_amount_gtbcps_new is: 101176396.32196799
</t>
  </si>
  <si>
    <t xml:space="preserve"> 101176396.32196799
</t>
  </si>
  <si>
    <t>payout of tranche of gold is: 161.38237440949058</t>
  </si>
  <si>
    <t xml:space="preserve"> payout of tranche of Treausry Bill Option is: 48.388352656731904</t>
  </si>
  <si>
    <t xml:space="preserve"> payout of tranche of Collar of REIT is: 26.26915041651045
</t>
  </si>
  <si>
    <t xml:space="preserve"> 26.26915041651045
</t>
  </si>
  <si>
    <t>Collateral size of tranche of gold is: 77193570.20990852</t>
  </si>
  <si>
    <t xml:space="preserve"> collateral size of tranche of Treausry Bill Option is: 39521939.648221724</t>
  </si>
  <si>
    <t xml:space="preserve"> collateral size of tranche of Collar of REIT is: 28510272.38086003
</t>
  </si>
  <si>
    <t xml:space="preserve"> 28510272.38086003
</t>
  </si>
  <si>
    <t>Collateral ratio of tranche of gold is: 0.7628542173360542</t>
  </si>
  <si>
    <t xml:space="preserve"> collateral ratio of tranche of Treausry Bill Option is: 0.3905698137288251</t>
  </si>
  <si>
    <t xml:space="preserve"> collateral ratio of tranche of Collar of REIT is: 0.28174861538334434
</t>
  </si>
  <si>
    <t xml:space="preserve"> 0.28174861538334434
</t>
  </si>
  <si>
    <t xml:space="preserve">date is: 2021-08-27 00:00:00
</t>
  </si>
  <si>
    <t xml:space="preserve"> 2021-08-27 00</t>
  </si>
  <si>
    <t>current price of gold is: 1817.57</t>
  </si>
  <si>
    <t xml:space="preserve"> predicted price of gold is: 1812.369570641748
</t>
  </si>
  <si>
    <t xml:space="preserve"> 1812.369570641748
</t>
  </si>
  <si>
    <t>current price of tb is: 98.5859375</t>
  </si>
  <si>
    <t xml:space="preserve"> current price of tb option is: 4.39591325754412</t>
  </si>
  <si>
    <t xml:space="preserve"> predicted price of tb is: 98.69361924736393
</t>
  </si>
  <si>
    <t xml:space="preserve"> 98.69361924736393
</t>
  </si>
  <si>
    <t>current price of reit is: 71.5</t>
  </si>
  <si>
    <t xml:space="preserve"> current price of reit option is: 6.623169567380543</t>
  </si>
  <si>
    <t xml:space="preserve"> predicted price of reit is: 71.93442613472851
</t>
  </si>
  <si>
    <t xml:space="preserve"> 71.93442613472851
</t>
  </si>
  <si>
    <t>value_ratio_gold_to_total is: -0.8175797004648848</t>
  </si>
  <si>
    <t xml:space="preserve"> risk_ratio_to_gold is: 0.742119122095924</t>
  </si>
  <si>
    <t xml:space="preserve"> risk_ratio_to_gold_before is: 0.7422659924593581
</t>
  </si>
  <si>
    <t xml:space="preserve"> 0.7422659924593581
</t>
  </si>
  <si>
    <t>value_ratio_tb_to_total is: 0.7080276649244805</t>
  </si>
  <si>
    <t xml:space="preserve"> risk_ratio_tb_to_gold is: 0.1835833870744171</t>
  </si>
  <si>
    <t xml:space="preserve"> risk_ratio_tb_to_gold_before is: 0.1824993898230094
</t>
  </si>
  <si>
    <t xml:space="preserve"> 0.1824993898230094
</t>
  </si>
  <si>
    <t>value_ratio_reit_to_total is: 1.1095520355404043</t>
  </si>
  <si>
    <t xml:space="preserve"> risk_ratio_reit_to_gold is: 0.16390917877641017</t>
  </si>
  <si>
    <t xml:space="preserve"> risk_ratio_reit_to_gold_before is: 0.16472655095691083
</t>
  </si>
  <si>
    <t xml:space="preserve"> 0.16472655095691083
</t>
  </si>
  <si>
    <t>delta_gold is: 1.0140256523267295</t>
  </si>
  <si>
    <t xml:space="preserve"> delta_tb is: 1.002035492516188</t>
  </si>
  <si>
    <t xml:space="preserve"> delta_reit is: 0.9996098555876108
</t>
  </si>
  <si>
    <t xml:space="preserve"> 0.9996098555876108
</t>
  </si>
  <si>
    <t>delta_gold_risk is: 0.9999157015265926</t>
  </si>
  <si>
    <t xml:space="preserve"> delta_tb_risk is: 1.0009167000513801</t>
  </si>
  <si>
    <t xml:space="preserve"> delta_reit_risk is: 0.9992982282581013
</t>
  </si>
  <si>
    <t xml:space="preserve"> 0.9992982282581013
</t>
  </si>
  <si>
    <t xml:space="preserve">collateral_ratio_tranche_gold is: 0.7736189602617382
</t>
  </si>
  <si>
    <t xml:space="preserve"> 0.7736189602617382
</t>
  </si>
  <si>
    <t xml:space="preserve">collateral_ratio_tranche_tb is: 0.38559811499424634
</t>
  </si>
  <si>
    <t xml:space="preserve"> 0.38559811499424634
</t>
  </si>
  <si>
    <t xml:space="preserve">collateral_ratio_tranche_reit is: 0.27793821286916254
</t>
  </si>
  <si>
    <t xml:space="preserve"> 0.27793821286916254
</t>
  </si>
  <si>
    <t>Total plot size is: 146377795.90552753</t>
  </si>
  <si>
    <t xml:space="preserve"> plot size of gold is: 78276260.38753167</t>
  </si>
  <si>
    <t xml:space="preserve"> plot size of TB is: 39602386.26060092</t>
  </si>
  <si>
    <t xml:space="preserve"> plot size of REIT is: 28499149.257394943
</t>
  </si>
  <si>
    <t xml:space="preserve"> 28499149.257394943
</t>
  </si>
  <si>
    <t xml:space="preserve">collateral ratio is: 1.446567001655173
</t>
  </si>
  <si>
    <t xml:space="preserve"> 1.446567001655173
</t>
  </si>
  <si>
    <t>S_gtbcps_0 is: 1.0001322755303812</t>
  </si>
  <si>
    <t xml:space="preserve">stdev_gtbcps is: 0.006653781845132894
</t>
  </si>
  <si>
    <t xml:space="preserve"> 0.006653781845132894
</t>
  </si>
  <si>
    <t>predicted price of GTBCPS is: 1.0001046668737015</t>
  </si>
  <si>
    <t xml:space="preserve"> actual price is: 1.0001322755303812
</t>
  </si>
  <si>
    <t xml:space="preserve"> 1.0001322755303812
</t>
  </si>
  <si>
    <t>predicted amount of GTBCPS is: 101179189.37401812</t>
  </si>
  <si>
    <t xml:space="preserve"> actual amount is: 101176396.32196799
</t>
  </si>
  <si>
    <t>plot sizes of gold is: 78276260.38753167</t>
  </si>
  <si>
    <t xml:space="preserve"> plot sizes of tb is: 39602386.26060092 </t>
  </si>
  <si>
    <t xml:space="preserve"> plot sizes of reit is: 28499149.257394943</t>
  </si>
  <si>
    <t xml:space="preserve"> plot sizes of total is: 146377795.90552753.
</t>
  </si>
  <si>
    <t xml:space="preserve"> 146377795.90552753.
</t>
  </si>
  <si>
    <t>predicted stdevs of gold is: 0.008120425134416943</t>
  </si>
  <si>
    <t xml:space="preserve"> predicted stdevs of tb is: 0.0013277182395889883</t>
  </si>
  <si>
    <t xml:space="preserve"> predicted stdevs of reit is: 0.010026565898422239</t>
  </si>
  <si>
    <t xml:space="preserve"> predicted stdevs of GTBCPS is: 0.006653781845132894.
</t>
  </si>
  <si>
    <t xml:space="preserve"> 0.006653781845132894.
</t>
  </si>
  <si>
    <t>total_value_of_collaterals is: 146376828.98572972</t>
  </si>
  <si>
    <t xml:space="preserve"> createdtionValue_gold is: 2160.795957935662</t>
  </si>
  <si>
    <t xml:space="preserve"> createdValue_tb is: 1093.2199782499172</t>
  </si>
  <si>
    <t xml:space="preserve"> createdValue_reit is: 786.7171910448186
</t>
  </si>
  <si>
    <t xml:space="preserve"> 786.7171910448186
</t>
  </si>
  <si>
    <t>plotValue_gold_after_creation is: 78273352.69349553</t>
  </si>
  <si>
    <t xml:space="preserve"> plotValue_tb_after_creation  is: 39601144.4832956</t>
  </si>
  <si>
    <t xml:space="preserve"> plotValue_reit_after_creation  is: 28498291.07581138</t>
  </si>
  <si>
    <t xml:space="preserve">total_value_after_creation is: 146372788.25260252
</t>
  </si>
  <si>
    <t xml:space="preserve"> 146372788.25260252
</t>
  </si>
  <si>
    <t>total_amount_gtncps_before_creation is: 101176396.32196799</t>
  </si>
  <si>
    <t>creation_amount_gtbcps is: 2793.052050128579</t>
  </si>
  <si>
    <t xml:space="preserve">total_amount_gtbcps_new is: 101179189.37401812
</t>
  </si>
  <si>
    <t xml:space="preserve"> 101179189.37401812
</t>
  </si>
  <si>
    <t>payout of tranche of gold is: -746.8980782018124</t>
  </si>
  <si>
    <t xml:space="preserve"> payout of tranche of Treausry Bill Option is: -148.55732707210623</t>
  </si>
  <si>
    <t xml:space="preserve"> payout of tranche of Collar of REIT is: -71.46439252033976
</t>
  </si>
  <si>
    <t xml:space="preserve"> -71.46439252033976
</t>
  </si>
  <si>
    <t>Collateral size of tranche of gold is: 78273352.69349553</t>
  </si>
  <si>
    <t xml:space="preserve"> collateral size of tranche of Treausry Bill Option is: 39601144.4832956</t>
  </si>
  <si>
    <t xml:space="preserve"> collateral size of tranche of Collar of REIT is: 28498291.07581138
</t>
  </si>
  <si>
    <t xml:space="preserve"> 28498291.07581138
</t>
  </si>
  <si>
    <t>Collateral ratio of tranche of gold is: 0.7735515769381927</t>
  </si>
  <si>
    <t xml:space="preserve"> collateral ratio of tranche of Treausry Bill Option is: 0.3913659848398975</t>
  </si>
  <si>
    <t xml:space="preserve"> collateral ratio of tranche of Collar of REIT is: 0.2816398843685845
</t>
  </si>
  <si>
    <t xml:space="preserve"> 0.2816398843685845
</t>
  </si>
  <si>
    <t xml:space="preserve">date is: 2021-08-30 00:00:00
</t>
  </si>
  <si>
    <t xml:space="preserve"> 2021-08-30 00</t>
  </si>
  <si>
    <t>current price of gold is: 1810.34</t>
  </si>
  <si>
    <t xml:space="preserve"> predicted price of gold is: 1810.34
</t>
  </si>
  <si>
    <t xml:space="preserve"> 1810.34
</t>
  </si>
  <si>
    <t>current price of tb is: 98.71875</t>
  </si>
  <si>
    <t xml:space="preserve"> current price of tb option is: 4.397365337844779</t>
  </si>
  <si>
    <t xml:space="preserve"> predicted price of tb is: 98.82492971762291
</t>
  </si>
  <si>
    <t xml:space="preserve"> 98.82492971762291
</t>
  </si>
  <si>
    <t xml:space="preserve"> current price of reit option is: 6.623528761047638</t>
  </si>
  <si>
    <t xml:space="preserve"> predicted price of reit is: 72.37685215940024
</t>
  </si>
  <si>
    <t xml:space="preserve"> 72.37685215940024
</t>
  </si>
  <si>
    <t>value_ratio_gold_to_total is: 0.0</t>
  </si>
  <si>
    <t xml:space="preserve"> risk_ratio_to_gold is: 0.742882966807857</t>
  </si>
  <si>
    <t xml:space="preserve"> risk_ratio_to_gold_before is: 0.742119122095924
</t>
  </si>
  <si>
    <t xml:space="preserve"> 0.742119122095924
</t>
  </si>
  <si>
    <t>value_ratio_tb_to_total is: 0.38978482853840607</t>
  </si>
  <si>
    <t xml:space="preserve"> risk_ratio_tb_to_gold is: 0.18252592922760175</t>
  </si>
  <si>
    <t xml:space="preserve"> risk_ratio_tb_to_gold_before is: 0.1835833870744171
</t>
  </si>
  <si>
    <t xml:space="preserve"> 0.1835833870744171
</t>
  </si>
  <si>
    <t>value_ratio_reit_to_total is: 0.610215171461594</t>
  </si>
  <si>
    <t xml:space="preserve"> risk_ratio_reit_to_gold is: 0.1635811221925782</t>
  </si>
  <si>
    <t xml:space="preserve"> risk_ratio_reit_to_gold_before is: 0.16390917877641017
</t>
  </si>
  <si>
    <t xml:space="preserve"> 0.16390917877641017
</t>
  </si>
  <si>
    <t>delta_gold is: 0.9960221614573304</t>
  </si>
  <si>
    <t xml:space="preserve"> delta_tb is: 1.0013037693468605</t>
  </si>
  <si>
    <t xml:space="preserve"> delta_reit is: 1.005764732743961
</t>
  </si>
  <si>
    <t xml:space="preserve"> 1.005764732743961
</t>
  </si>
  <si>
    <t>delta_gold_risk is: 1.0004384572227267</t>
  </si>
  <si>
    <t xml:space="preserve"> delta_tb_risk is: 0.9991065624455671</t>
  </si>
  <si>
    <t xml:space="preserve"> delta_reit_risk is: 0.9997181424549149
</t>
  </si>
  <si>
    <t xml:space="preserve"> 0.9997181424549149
</t>
  </si>
  <si>
    <t xml:space="preserve">collateral_ratio_tranche_gold is: 0.7701368416000176
</t>
  </si>
  <si>
    <t xml:space="preserve"> 0.7701368416000176
</t>
  </si>
  <si>
    <t xml:space="preserve">collateral_ratio_tranche_tb is: 0.3937931112632746
</t>
  </si>
  <si>
    <t xml:space="preserve"> 0.3937931112632746
</t>
  </si>
  <si>
    <t xml:space="preserve">collateral_ratio_tranche_reit is: 0.2844749207904905
</t>
  </si>
  <si>
    <t xml:space="preserve"> 0.2844749207904905
</t>
  </si>
  <si>
    <t>Total plot size is: 146277345.2833839</t>
  </si>
  <si>
    <t xml:space="preserve"> plot size of gold is: 77961993.93428737</t>
  </si>
  <si>
    <t xml:space="preserve"> plot size of TB is: 39652775.24157351</t>
  </si>
  <si>
    <t xml:space="preserve"> plot size of REIT is: 28662576.10752304
</t>
  </si>
  <si>
    <t xml:space="preserve"> 28662576.10752304
</t>
  </si>
  <si>
    <t xml:space="preserve">collateral ratio is: 1.4455743063191777
</t>
  </si>
  <si>
    <t xml:space="preserve"> 1.4455743063191777
</t>
  </si>
  <si>
    <t>S_gtbcps_0 is: 1.0001046668737015</t>
  </si>
  <si>
    <t xml:space="preserve">stdev_gtbcps is: 0.0066622204038262085
</t>
  </si>
  <si>
    <t xml:space="preserve"> 0.0066622204038262085
</t>
  </si>
  <si>
    <t>predicted price of GTBCPS is: 1.0000872677267223</t>
  </si>
  <si>
    <t xml:space="preserve"> actual price is: 1.0001046668737015
</t>
  </si>
  <si>
    <t xml:space="preserve"> 1.0001046668737015
</t>
  </si>
  <si>
    <t>predicted amount of GTBCPS is: 101180949.6519898</t>
  </si>
  <si>
    <t xml:space="preserve"> actual amount is: 101179189.37401812
</t>
  </si>
  <si>
    <t>plot sizes of gold is: 77961993.93428737</t>
  </si>
  <si>
    <t xml:space="preserve"> plot sizes of tb is: 39652775.24157351 </t>
  </si>
  <si>
    <t xml:space="preserve"> plot sizes of reit is: 28662576.10752304</t>
  </si>
  <si>
    <t xml:space="preserve"> plot sizes of total is: 146277345.2833839.
</t>
  </si>
  <si>
    <t xml:space="preserve"> 146277345.2833839.
</t>
  </si>
  <si>
    <t>predicted stdevs of gold is: 0.008142550218049407</t>
  </si>
  <si>
    <t xml:space="preserve"> predicted stdevs of tb is: 0.0013220896564199445</t>
  </si>
  <si>
    <t xml:space="preserve"> predicted stdevs of reit is: 0.01002345143654612</t>
  </si>
  <si>
    <t xml:space="preserve"> predicted stdevs of GTBCPS is: 0.0066622204038262085.
</t>
  </si>
  <si>
    <t xml:space="preserve"> 0.0066622204038262085.
</t>
  </si>
  <si>
    <t>total_value_of_collaterals is: 146276734.93734238</t>
  </si>
  <si>
    <t xml:space="preserve"> createdtionValue_gold is: 1356.3229591058164</t>
  </si>
  <si>
    <t xml:space="preserve"> createdValue_tb is: 689.850089476281</t>
  </si>
  <si>
    <t xml:space="preserve"> createdValue_reit is: 498.65100343386285
</t>
  </si>
  <si>
    <t xml:space="preserve"> 498.65100343386285
</t>
  </si>
  <si>
    <t>plotValue_gold_after_creation is: 77960219.7716184</t>
  </si>
  <si>
    <t xml:space="preserve"> plotValue_tb_after_creation  is: 39651960.636644855</t>
  </si>
  <si>
    <t xml:space="preserve"> plotValue_reit_after_creation  is: 28662009.705027103</t>
  </si>
  <si>
    <t xml:space="preserve">total_value_after_creation is: 146274190.11329037
</t>
  </si>
  <si>
    <t xml:space="preserve"> 146274190.11329037
</t>
  </si>
  <si>
    <t>total_amount_gtncps_before_creation is: 101179189.37401812</t>
  </si>
  <si>
    <t>creation_amount_gtbcps is: 1760.2779716849327</t>
  </si>
  <si>
    <t xml:space="preserve">total_amount_gtbcps_new is: 101180949.6519898
</t>
  </si>
  <si>
    <t xml:space="preserve"> 101180949.6519898
</t>
  </si>
  <si>
    <t>payout of tranche of gold is: -417.83970985916585</t>
  </si>
  <si>
    <t xml:space="preserve"> payout of tranche of Treausry Bill Option is: -124.75483918477804</t>
  </si>
  <si>
    <t xml:space="preserve"> payout of tranche of Collar of REIT is: -67.75149249971905
</t>
  </si>
  <si>
    <t xml:space="preserve"> -67.75149249971905
</t>
  </si>
  <si>
    <t>Collateral size of tranche of gold is: 77960219.7716184</t>
  </si>
  <si>
    <t xml:space="preserve"> collateral size of tranche of Treausry Bill Option is: 39651960.636644855</t>
  </si>
  <si>
    <t xml:space="preserve"> collateral size of tranche of Collar of REIT is: 28662009.705027103
</t>
  </si>
  <si>
    <t xml:space="preserve"> 28662009.705027103
</t>
  </si>
  <si>
    <t>Collateral ratio of tranche of gold is: 0.7704491154398228</t>
  </si>
  <si>
    <t xml:space="preserve"> collateral ratio of tranche of Treausry Bill Option is: 0.39186418518896265</t>
  </si>
  <si>
    <t xml:space="preserve"> collateral ratio of tranche of Collar of REIT is: 0.28325497399386473
</t>
  </si>
  <si>
    <t xml:space="preserve"> 0.28325497399386473
</t>
  </si>
  <si>
    <t xml:space="preserve">date is: 2021-08-31 00:00:00
</t>
  </si>
  <si>
    <t xml:space="preserve"> 2021-08-31 00</t>
  </si>
  <si>
    <t>current price of gold is: 1813.62</t>
  </si>
  <si>
    <t xml:space="preserve"> predicted price of gold is: 1805.9541074581466
</t>
  </si>
  <si>
    <t xml:space="preserve"> 1805.9541074581466
</t>
  </si>
  <si>
    <t>current price of tb is: 98.6875</t>
  </si>
  <si>
    <t xml:space="preserve"> current price of tb option is: 4.396601992694809</t>
  </si>
  <si>
    <t xml:space="preserve"> predicted price of tb is: 98.79446938962435
</t>
  </si>
  <si>
    <t xml:space="preserve"> 98.79446938962435
</t>
  </si>
  <si>
    <t>current price of reit is: 71.55</t>
  </si>
  <si>
    <t xml:space="preserve"> current price of reit option is: 6.626919226717533</t>
  </si>
  <si>
    <t xml:space="preserve"> predicted price of reit is: 72.05520948589437
</t>
  </si>
  <si>
    <t xml:space="preserve"> 72.05520948589437
</t>
  </si>
  <si>
    <t>value_ratio_gold_to_total is: -1.9310489083809432</t>
  </si>
  <si>
    <t xml:space="preserve"> risk_ratio_to_gold is: 0.7437886201418672</t>
  </si>
  <si>
    <t xml:space="preserve"> risk_ratio_to_gold_before is: 0.742882966807857
</t>
  </si>
  <si>
    <t xml:space="preserve"> 0.742882966807857
</t>
  </si>
  <si>
    <t>value_ratio_tb_to_total is: 1.1344558450516207</t>
  </si>
  <si>
    <t xml:space="preserve"> risk_ratio_tb_to_gold is: 0.1822425592151121</t>
  </si>
  <si>
    <t xml:space="preserve"> risk_ratio_tb_to_gold_before is: 0.18252592922760175
</t>
  </si>
  <si>
    <t xml:space="preserve"> 0.18252592922760175
</t>
  </si>
  <si>
    <t>value_ratio_reit_to_total is: 1.7965930633293228</t>
  </si>
  <si>
    <t xml:space="preserve"> risk_ratio_reit_to_gold is: 0.16222544274122874</t>
  </si>
  <si>
    <t xml:space="preserve"> risk_ratio_reit_to_gold_before is: 0.1635811221925782
</t>
  </si>
  <si>
    <t xml:space="preserve"> 0.1635811221925782
</t>
  </si>
  <si>
    <t>delta_gold is: 1.0018118143553145</t>
  </si>
  <si>
    <t xml:space="preserve"> delta_tb is: 0.9996895408147884</t>
  </si>
  <si>
    <t xml:space="preserve"> delta_reit is: 0.9949523772117165
</t>
  </si>
  <si>
    <t xml:space="preserve"> 0.9949523772117165
</t>
  </si>
  <si>
    <t>delta_gold_risk is: 1.0005196294594976</t>
  </si>
  <si>
    <t xml:space="preserve"> delta_tb_risk is: 0.9997603688803045</t>
  </si>
  <si>
    <t xml:space="preserve"> delta_reit_risk is: 0.9988349076609331
</t>
  </si>
  <si>
    <t xml:space="preserve"> 0.9988349076609331
</t>
  </si>
  <si>
    <t xml:space="preserve">collateral_ratio_tranche_gold is: 0.7714441610947538
</t>
  </si>
  <si>
    <t xml:space="preserve"> 0.7714441610947538
</t>
  </si>
  <si>
    <t xml:space="preserve">collateral_ratio_tranche_tb is: 0.3911277726409959
</t>
  </si>
  <si>
    <t xml:space="preserve"> 0.3911277726409959
</t>
  </si>
  <si>
    <t xml:space="preserve">collateral_ratio_tranche_reit is: 0.28164365910749534
</t>
  </si>
  <si>
    <t xml:space="preserve"> 0.28164365910749534
</t>
  </si>
  <si>
    <t>Total plot size is: 146258454.22987965</t>
  </si>
  <si>
    <t xml:space="preserve"> plot size of gold is: 78101469.21694408</t>
  </si>
  <si>
    <t xml:space="preserve"> plot size of TB is: 39639650.32125356</t>
  </si>
  <si>
    <t xml:space="preserve"> plot size of REIT is: 28517334.691682003
</t>
  </si>
  <si>
    <t xml:space="preserve"> 28517334.691682003
</t>
  </si>
  <si>
    <t xml:space="preserve">collateral ratio is: 1.445387616975642
</t>
  </si>
  <si>
    <t xml:space="preserve"> 1.445387616975642
</t>
  </si>
  <si>
    <t>S_gtbcps_0 is: 1.0000872677267223</t>
  </si>
  <si>
    <t xml:space="preserve">stdev_gtbcps is: 0.006662296408584942
</t>
  </si>
  <si>
    <t xml:space="preserve"> 0.006662296408584942
</t>
  </si>
  <si>
    <t>predicted price of GTBCPS is: 1.000095750828821</t>
  </si>
  <si>
    <t xml:space="preserve"> actual price is: 1.0000872677267223
</t>
  </si>
  <si>
    <t xml:space="preserve"> 1.0000872677267223
</t>
  </si>
  <si>
    <t>predicted amount of GTBCPS is: 101180091.40584126</t>
  </si>
  <si>
    <t xml:space="preserve"> actual amount is: 101180949.6519898
</t>
  </si>
  <si>
    <t>plot sizes of gold is: 78101469.21694408</t>
  </si>
  <si>
    <t xml:space="preserve"> plot sizes of tb is: 39639650.32125356 </t>
  </si>
  <si>
    <t xml:space="preserve"> plot sizes of reit is: 28517334.691682003</t>
  </si>
  <si>
    <t xml:space="preserve"> plot sizes of total is: 146258454.22987965.
</t>
  </si>
  <si>
    <t xml:space="preserve"> 146258454.22987965.
</t>
  </si>
  <si>
    <t>predicted stdevs of gold is: 0.008143143263841945</t>
  </si>
  <si>
    <t xml:space="preserve"> predicted stdevs of tb is: 0.001314414467859646</t>
  </si>
  <si>
    <t xml:space="preserve"> predicted stdevs of reit is: 0.01004030687310891</t>
  </si>
  <si>
    <t xml:space="preserve"> predicted stdevs of GTBCPS is: 0.006662296408584942.
</t>
  </si>
  <si>
    <t xml:space="preserve"> 0.006662296408584942.
</t>
  </si>
  <si>
    <t>total_value_of_collaterals is: 146258751.74641722</t>
  </si>
  <si>
    <t xml:space="preserve"> createdtionValue_gold is: -662.4866565895494</t>
  </si>
  <si>
    <t xml:space="preserve"> createdValue_tb is: -336.2383721855724</t>
  </si>
  <si>
    <t xml:space="preserve"> createdValue_reit is: -241.89462903251462
</t>
  </si>
  <si>
    <t xml:space="preserve"> -241.89462903251462
</t>
  </si>
  <si>
    <t>plotValue_gold_after_creation is: 78102335.97833101</t>
  </si>
  <si>
    <t xml:space="preserve"> plotValue_tb_after_creation  is: 39640047.16477628</t>
  </si>
  <si>
    <t xml:space="preserve"> plotValue_reit_after_creation  is: 28517609.222967744</t>
  </si>
  <si>
    <t xml:space="preserve">total_value_after_creation is: 146259992.36607504
</t>
  </si>
  <si>
    <t xml:space="preserve"> 146259992.36607504
</t>
  </si>
  <si>
    <t>total_amount_gtncps_before_creation is: 101180949.6519898</t>
  </si>
  <si>
    <t>creation_amount_gtbcps is: -858.2461485415697</t>
  </si>
  <si>
    <t xml:space="preserve">total_amount_gtbcps_new is: 101180091.40584126
</t>
  </si>
  <si>
    <t xml:space="preserve"> 101180091.40584126
</t>
  </si>
  <si>
    <t>payout of tranche of gold is: 204.274730338354</t>
  </si>
  <si>
    <t xml:space="preserve"> payout of tranche of Treausry Bill Option is: 60.60515053938783</t>
  </si>
  <si>
    <t xml:space="preserve"> payout of tranche of Collar of REIT is: 32.636656709812414
</t>
  </si>
  <si>
    <t xml:space="preserve"> 32.636656709812414
</t>
  </si>
  <si>
    <t>Collateral size of tranche of gold is: 78102335.97833101</t>
  </si>
  <si>
    <t xml:space="preserve"> collateral size of tranche of Treausry Bill Option is: 39640047.16477628</t>
  </si>
  <si>
    <t xml:space="preserve"> collateral size of tranche of Collar of REIT is: 28517609.222967744
</t>
  </si>
  <si>
    <t xml:space="preserve"> 28517609.222967744
</t>
  </si>
  <si>
    <t>Collateral ratio of tranche of gold is: 0.771833616896512</t>
  </si>
  <si>
    <t xml:space="preserve"> collateral ratio of tranche of Treausry Bill Option is: 0.3917363110064484</t>
  </si>
  <si>
    <t xml:space="preserve"> collateral ratio of tranche of Collar of REIT is: 0.2818206292563553
</t>
  </si>
  <si>
    <t xml:space="preserve"> 0.2818206292563553
</t>
  </si>
  <si>
    <t xml:space="preserve">date is: 2021-09-01 00:00:00
</t>
  </si>
  <si>
    <t xml:space="preserve"> 2021-09-01 00</t>
  </si>
  <si>
    <t>current price of gold is: 1813.9</t>
  </si>
  <si>
    <t xml:space="preserve"> predicted price of gold is: 1814.6492354850527
</t>
  </si>
  <si>
    <t xml:space="preserve"> 1814.6492354850527
</t>
  </si>
  <si>
    <t xml:space="preserve"> current price of tb option is: 4.395789735480266</t>
  </si>
  <si>
    <t xml:space="preserve"> predicted price of tb is: 98.81093474690513
</t>
  </si>
  <si>
    <t xml:space="preserve"> 98.81093474690513
</t>
  </si>
  <si>
    <t>current price of reit is: 71.3</t>
  </si>
  <si>
    <t xml:space="preserve"> current price of reit option is: 6.627378685781565</t>
  </si>
  <si>
    <t xml:space="preserve"> predicted price of reit is: 71.77851975349365
</t>
  </si>
  <si>
    <t xml:space="preserve"> 71.77851975349365
</t>
  </si>
  <si>
    <t>value_ratio_gold_to_total is: 0.06062397014289824</t>
  </si>
  <si>
    <t xml:space="preserve"> risk_ratio_to_gold is: 0.7430137458847106</t>
  </si>
  <si>
    <t xml:space="preserve"> risk_ratio_to_gold_before is: 0.7437886201418672
</t>
  </si>
  <si>
    <t xml:space="preserve"> 0.7437886201418672
</t>
  </si>
  <si>
    <t>value_ratio_tb_to_total is: 0.3644062327567524</t>
  </si>
  <si>
    <t xml:space="preserve"> risk_ratio_tb_to_gold is: 0.18184751463383322</t>
  </si>
  <si>
    <t xml:space="preserve"> risk_ratio_tb_to_gold_before is: 0.1822425592151121
</t>
  </si>
  <si>
    <t xml:space="preserve"> 0.1822425592151121
</t>
  </si>
  <si>
    <t>value_ratio_reit_to_total is: 0.5749697971003493</t>
  </si>
  <si>
    <t xml:space="preserve"> risk_ratio_reit_to_gold is: 0.16402260626049092</t>
  </si>
  <si>
    <t xml:space="preserve"> risk_ratio_reit_to_gold_before is: 0.16222544274122874
</t>
  </si>
  <si>
    <t xml:space="preserve"> 0.16222544274122874
</t>
  </si>
  <si>
    <t>delta_gold is: 1.000154387357881</t>
  </si>
  <si>
    <t xml:space="preserve"> delta_tb is: 1.0001436957057306</t>
  </si>
  <si>
    <t xml:space="preserve"> delta_reit is: 0.9968080023694424
</t>
  </si>
  <si>
    <t xml:space="preserve"> 0.9968080023694424
</t>
  </si>
  <si>
    <t>delta_gold_risk is: 0.9995556375077769</t>
  </si>
  <si>
    <t xml:space="preserve"> delta_tb_risk is: 0.9996658514970557</t>
  </si>
  <si>
    <t xml:space="preserve"> delta_reit_risk is: 1.0015463123187385
</t>
  </si>
  <si>
    <t xml:space="preserve"> 1.0015463123187385
</t>
  </si>
  <si>
    <t xml:space="preserve">collateral_ratio_tranche_gold is: 0.772295957605804
</t>
  </si>
  <si>
    <t xml:space="preserve"> 0.772295957605804
</t>
  </si>
  <si>
    <t xml:space="preserve">collateral_ratio_tranche_tb is: 0.39186306380072666
</t>
  </si>
  <si>
    <t xml:space="preserve"> 0.39186306380072666
</t>
  </si>
  <si>
    <t xml:space="preserve">collateral_ratio_tranche_reit is: 0.28044404043594073
</t>
  </si>
  <si>
    <t xml:space="preserve"> 0.28044404043594073
</t>
  </si>
  <si>
    <t>Total plot size is: 146186718.34285474</t>
  </si>
  <si>
    <t xml:space="preserve"> plot size of gold is: 78114393.99162705</t>
  </si>
  <si>
    <t xml:space="preserve"> plot size of TB is: 39645743.26932882</t>
  </si>
  <si>
    <t xml:space="preserve"> plot size of REIT is: 28426581.081898864
</t>
  </si>
  <si>
    <t xml:space="preserve"> 28426581.081898864
</t>
  </si>
  <si>
    <t xml:space="preserve">collateral ratio is: 1.444678692740496
</t>
  </si>
  <si>
    <t xml:space="preserve"> 1.444678692740496
</t>
  </si>
  <si>
    <t>S_gtbcps_0 is: 1.000095750828821</t>
  </si>
  <si>
    <t xml:space="preserve">stdev_gtbcps is: 0.006625357532836779
</t>
  </si>
  <si>
    <t xml:space="preserve"> 0.006625357532836779
</t>
  </si>
  <si>
    <t>predicted price of GTBCPS is: 1.0000850388819604</t>
  </si>
  <si>
    <t xml:space="preserve"> actual price is: 1.000095750828821
</t>
  </si>
  <si>
    <t xml:space="preserve"> 1.000095750828821
</t>
  </si>
  <si>
    <t>predicted amount of GTBCPS is: 101181175.1494434</t>
  </si>
  <si>
    <t xml:space="preserve"> actual amount is: 101180091.40584126
</t>
  </si>
  <si>
    <t>plot sizes of gold is: 78114393.99162705</t>
  </si>
  <si>
    <t xml:space="preserve"> plot sizes of tb is: 39645743.26932882 </t>
  </si>
  <si>
    <t xml:space="preserve"> plot sizes of reit is: 28426581.081898864</t>
  </si>
  <si>
    <t xml:space="preserve"> plot sizes of total is: 146186718.34285474.
</t>
  </si>
  <si>
    <t xml:space="preserve"> 146186718.34285474.
</t>
  </si>
  <si>
    <t>predicted stdevs of gold is: 0.008081235003180429</t>
  </si>
  <si>
    <t xml:space="preserve"> predicted stdevs of tb is: 0.0013059362988050909</t>
  </si>
  <si>
    <t xml:space="preserve"> predicted stdevs of reit is: 0.010043546374608981</t>
  </si>
  <si>
    <t xml:space="preserve"> predicted stdevs of GTBCPS is: 0.006625357532836779.
</t>
  </si>
  <si>
    <t xml:space="preserve"> 0.006625357532836779.
</t>
  </si>
  <si>
    <t>total_value_of_collaterals is: 146186342.55880105</t>
  </si>
  <si>
    <t xml:space="preserve"> createdtionValue_gold is: 836.674023338409</t>
  </si>
  <si>
    <t xml:space="preserve"> createdValue_tb is: 424.6418094327652</t>
  </si>
  <si>
    <t xml:space="preserve"> createdValue_reit is: 304.4745747290752
</t>
  </si>
  <si>
    <t xml:space="preserve"> 304.4745747290752
</t>
  </si>
  <si>
    <t>plotValue_gold_after_creation is: 78113267.74245775</t>
  </si>
  <si>
    <t xml:space="preserve"> plotValue_tb_after_creation  is: 39645260.19645168</t>
  </si>
  <si>
    <t xml:space="preserve"> plotValue_reit_after_creation  is: 28426248.82948411</t>
  </si>
  <si>
    <t xml:space="preserve">total_value_after_creation is: 146184776.76839355
</t>
  </si>
  <si>
    <t xml:space="preserve"> 146184776.76839355
</t>
  </si>
  <si>
    <t>total_amount_gtncps_before_creation is: 101180091.40584126</t>
  </si>
  <si>
    <t>creation_amount_gtbcps is: 1083.743602141738</t>
  </si>
  <si>
    <t xml:space="preserve">total_amount_gtbcps_new is: 101181175.1494434
</t>
  </si>
  <si>
    <t xml:space="preserve"> 101181175.1494434
</t>
  </si>
  <si>
    <t>payout of tranche of gold is: -289.5751459630948</t>
  </si>
  <si>
    <t xml:space="preserve"> payout of tranche of Treausry Bill Option is: -58.43106770865789</t>
  </si>
  <si>
    <t xml:space="preserve"> payout of tranche of Collar of REIT is: -27.777840027364785
</t>
  </si>
  <si>
    <t xml:space="preserve"> -27.777840027364785
</t>
  </si>
  <si>
    <t>Collateral size of tranche of gold is: 78113267.74245775</t>
  </si>
  <si>
    <t xml:space="preserve"> collateral size of tranche of Treausry Bill Option is: 39645260.19645168</t>
  </si>
  <si>
    <t xml:space="preserve"> collateral size of tranche of Collar of REIT is: 28426248.82948411
</t>
  </si>
  <si>
    <t xml:space="preserve"> 28426248.82948411
</t>
  </si>
  <si>
    <t>Collateral ratio of tranche of gold is: 0.7719564645286555</t>
  </si>
  <si>
    <t xml:space="preserve"> collateral ratio of tranche of Treausry Bill Option is: 0.39179534771833285</t>
  </si>
  <si>
    <t xml:space="preserve"> collateral ratio of tranche of Collar of REIT is: 0.2809231668372903
</t>
  </si>
  <si>
    <t xml:space="preserve"> 0.2809231668372903
</t>
  </si>
  <si>
    <t xml:space="preserve">date is: 2021-09-02 00:00:00
</t>
  </si>
  <si>
    <t xml:space="preserve"> 2021-09-02 00</t>
  </si>
  <si>
    <t>current price of gold is: 1809.66</t>
  </si>
  <si>
    <t xml:space="preserve"> predicted price of gold is: 1809.2265892563275
</t>
  </si>
  <si>
    <t xml:space="preserve"> 1809.2265892563275
</t>
  </si>
  <si>
    <t xml:space="preserve"> current price of tb option is: 4.3973450653027015</t>
  </si>
  <si>
    <t xml:space="preserve"> predicted price of tb is: 98.8444819750061
</t>
  </si>
  <si>
    <t xml:space="preserve"> 98.8444819750061
</t>
  </si>
  <si>
    <t>current price of reit is: 71.75</t>
  </si>
  <si>
    <t xml:space="preserve"> current price of reit option is: 6.624695236416102</t>
  </si>
  <si>
    <t xml:space="preserve"> predicted price of reit is: 72.42442381755274
</t>
  </si>
  <si>
    <t xml:space="preserve"> 72.42442381755274
</t>
  </si>
  <si>
    <t>value_ratio_gold_to_total is: -0.03812129976490468</t>
  </si>
  <si>
    <t xml:space="preserve"> risk_ratio_to_gold is: 0.7448112770192017</t>
  </si>
  <si>
    <t xml:space="preserve"> risk_ratio_to_gold_before is: 0.7430137458847106
</t>
  </si>
  <si>
    <t xml:space="preserve"> 0.7430137458847106
</t>
  </si>
  <si>
    <t>value_ratio_tb_to_total is: 0.3961162052019854</t>
  </si>
  <si>
    <t xml:space="preserve"> risk_ratio_tb_to_gold is: 0.18037811653265676</t>
  </si>
  <si>
    <t xml:space="preserve"> risk_ratio_tb_to_gold_before is: 0.18184751463383322
</t>
  </si>
  <si>
    <t xml:space="preserve"> 0.18184751463383322
</t>
  </si>
  <si>
    <t>value_ratio_reit_to_total is: 0.6420050945629192</t>
  </si>
  <si>
    <t xml:space="preserve"> risk_ratio_reit_to_gold is: 0.1622438749093704</t>
  </si>
  <si>
    <t xml:space="preserve"> risk_ratio_reit_to_gold_before is: 0.16402260626049092
</t>
  </si>
  <si>
    <t xml:space="preserve"> 0.16402260626049092
</t>
  </si>
  <si>
    <t>delta_gold is: 0.9976624951761398</t>
  </si>
  <si>
    <t xml:space="preserve"> delta_tb is: 1.000356081147087</t>
  </si>
  <si>
    <t xml:space="preserve"> delta_reit is: 1.0057401719161914
</t>
  </si>
  <si>
    <t xml:space="preserve"> 1.0057401719161914
</t>
  </si>
  <si>
    <t>delta_gold_risk is: 1.0010312776584436</t>
  </si>
  <si>
    <t xml:space="preserve"> delta_tb_risk is: 0.9987566940041063</t>
  </si>
  <si>
    <t xml:space="preserve"> delta_reit_risk is: 0.9984719099598635
</t>
  </si>
  <si>
    <t xml:space="preserve"> 0.9984719099598635
</t>
  </si>
  <si>
    <t xml:space="preserve">collateral_ratio_tranche_gold is: 0.7693585902435599
</t>
  </si>
  <si>
    <t xml:space="preserve"> 0.7693585902435599
</t>
  </si>
  <si>
    <t xml:space="preserve">collateral_ratio_tranche_tb is: 0.3933421995146792
</t>
  </si>
  <si>
    <t xml:space="preserve"> 0.3933421995146792
</t>
  </si>
  <si>
    <t xml:space="preserve">collateral_ratio_tranche_reit is: 0.2836311039418443
</t>
  </si>
  <si>
    <t xml:space="preserve"> 0.2836311039418443
</t>
  </si>
  <si>
    <t>Total plot size is: 146179475.11317903</t>
  </si>
  <si>
    <t xml:space="preserve"> plot size of gold is: 77930677.60230227</t>
  </si>
  <si>
    <t xml:space="preserve"> plot size of TB is: 39659377.126178995</t>
  </si>
  <si>
    <t xml:space="preserve"> plot size of REIT is: 28589420.38469778
</t>
  </si>
  <si>
    <t xml:space="preserve"> 28589420.38469778
</t>
  </si>
  <si>
    <t xml:space="preserve">collateral ratio is: 1.4446071120955664
</t>
  </si>
  <si>
    <t xml:space="preserve"> 1.4446071120955664
</t>
  </si>
  <si>
    <t>S_gtbcps_0 is: 1.0000850388819604</t>
  </si>
  <si>
    <t xml:space="preserve">stdev_gtbcps is: 0.006610704352188596
</t>
  </si>
  <si>
    <t xml:space="preserve"> 0.006610704352188596
</t>
  </si>
  <si>
    <t>predicted price of GTBCPS is: 1.000079749970019</t>
  </si>
  <si>
    <t xml:space="preserve"> actual price is: 1.0000850388819604
</t>
  </si>
  <si>
    <t xml:space="preserve"> 1.0000850388819604
</t>
  </si>
  <si>
    <t>predicted amount of GTBCPS is: 101181710.24509504</t>
  </si>
  <si>
    <t xml:space="preserve"> actual amount is: 101181175.1494434
</t>
  </si>
  <si>
    <t>plot sizes of gold is: 77930677.60230227</t>
  </si>
  <si>
    <t xml:space="preserve"> plot sizes of tb is: 39659377.126178995 </t>
  </si>
  <si>
    <t xml:space="preserve"> plot sizes of reit is: 28589420.38469778</t>
  </si>
  <si>
    <t xml:space="preserve"> plot sizes of total is: 146179475.11317903.
</t>
  </si>
  <si>
    <t xml:space="preserve"> 146179475.11317903.
</t>
  </si>
  <si>
    <t>predicted stdevs of gold is: 0.008048383441440406</t>
  </si>
  <si>
    <t xml:space="preserve"> predicted stdevs of tb is: 0.0012983745172065369</t>
  </si>
  <si>
    <t xml:space="preserve"> predicted stdevs of reit is: 0.010061085136996318</t>
  </si>
  <si>
    <t xml:space="preserve"> predicted stdevs of GTBCPS is: 0.006610704352188596.
</t>
  </si>
  <si>
    <t xml:space="preserve"> 0.006610704352188596.
</t>
  </si>
  <si>
    <t>total_value_of_collaterals is: 146179289.56424096</t>
  </si>
  <si>
    <t xml:space="preserve"> createdtionValue_gold is: 412.13277209329993</t>
  </si>
  <si>
    <t xml:space="preserve"> createdValue_tb is: 209.73691666007218</t>
  </si>
  <si>
    <t xml:space="preserve"> createdValue_reit is: 151.19396095558437
</t>
  </si>
  <si>
    <t xml:space="preserve"> 151.19396095558437
</t>
  </si>
  <si>
    <t>plotValue_gold_after_creation is: 77930138.41558315</t>
  </si>
  <si>
    <t xml:space="preserve"> plotValue_tb_after_creation  is: 39659129.41880015</t>
  </si>
  <si>
    <t xml:space="preserve"> plotValue_reit_after_creation  is: 28589248.666207954</t>
  </si>
  <si>
    <t xml:space="preserve">total_value_after_creation is: 146178516.50059128
</t>
  </si>
  <si>
    <t xml:space="preserve"> 146178516.50059128
</t>
  </si>
  <si>
    <t>total_amount_gtncps_before_creation is: 101181175.1494434</t>
  </si>
  <si>
    <t>creation_amount_gtbcps is: 535.0956516414881</t>
  </si>
  <si>
    <t xml:space="preserve">total_amount_gtbcps_new is: 101181710.24509504
</t>
  </si>
  <si>
    <t xml:space="preserve"> 101181710.24509504
</t>
  </si>
  <si>
    <t>payout of tranche of gold is: -127.05394703824639</t>
  </si>
  <si>
    <t xml:space="preserve"> payout of tranche of Treausry Bill Option is: -37.970462182640844</t>
  </si>
  <si>
    <t xml:space="preserve"> payout of tranche of Collar of REIT is: -20.524528867353087
</t>
  </si>
  <si>
    <t xml:space="preserve"> -20.524528867353087
</t>
  </si>
  <si>
    <t>Collateral size of tranche of gold is: 77930138.41558315</t>
  </si>
  <si>
    <t xml:space="preserve"> collateral size of tranche of Treausry Bill Option is: 39659129.41880015</t>
  </si>
  <si>
    <t xml:space="preserve"> collateral size of tranche of Collar of REIT is: 28589248.666207954
</t>
  </si>
  <si>
    <t xml:space="preserve"> 28589248.666207954
</t>
  </si>
  <si>
    <t>Collateral ratio of tranche of gold is: 0.7701425079308366</t>
  </si>
  <si>
    <t xml:space="preserve"> collateral ratio of tranche of Treausry Bill Option is: 0.39193028543166125</t>
  </si>
  <si>
    <t xml:space="preserve"> collateral ratio of tranche of Collar of REIT is: 0.2825324850603496
</t>
  </si>
  <si>
    <t xml:space="preserve"> 0.2825324850603496
</t>
  </si>
  <si>
    <t xml:space="preserve">date is: 2021-09-03 00:00:00
</t>
  </si>
  <si>
    <t xml:space="preserve"> 2021-09-03 00</t>
  </si>
  <si>
    <t>current price of gold is: 1827.73</t>
  </si>
  <si>
    <t xml:space="preserve"> predicted price of gold is: 1825.9705397720973
</t>
  </si>
  <si>
    <t xml:space="preserve"> 1825.9705397720973
</t>
  </si>
  <si>
    <t>current price of tb is: 98.6796875</t>
  </si>
  <si>
    <t xml:space="preserve"> current price of tb option is: 4.3942229713039005</t>
  </si>
  <si>
    <t xml:space="preserve"> predicted price of tb is: 98.78911811857822
</t>
  </si>
  <si>
    <t xml:space="preserve"> 98.78911811857822
</t>
  </si>
  <si>
    <t>current price of reit is: 71.15</t>
  </si>
  <si>
    <t xml:space="preserve"> current price of reit option is: 6.609953904189183</t>
  </si>
  <si>
    <t xml:space="preserve"> predicted price of reit is: 71.72037071946119
</t>
  </si>
  <si>
    <t xml:space="preserve"> 71.72037071946119
</t>
  </si>
  <si>
    <t>value_ratio_gold_to_total is: -0.1772841996407672</t>
  </si>
  <si>
    <t xml:space="preserve"> risk_ratio_to_gold is: 0.7450406755112209</t>
  </si>
  <si>
    <t xml:space="preserve"> risk_ratio_to_gold_before is: 0.7448112770192017
</t>
  </si>
  <si>
    <t xml:space="preserve"> 0.7448112770192017
</t>
  </si>
  <si>
    <t>value_ratio_tb_to_total is: 0.4537906623176278</t>
  </si>
  <si>
    <t xml:space="preserve"> risk_ratio_tb_to_gold is: 0.18016146058400656</t>
  </si>
  <si>
    <t xml:space="preserve"> risk_ratio_tb_to_gold_before is: 0.18037811653265676
</t>
  </si>
  <si>
    <t xml:space="preserve"> 0.18037811653265676
</t>
  </si>
  <si>
    <t>value_ratio_reit_to_total is: 0.7234935373231394</t>
  </si>
  <si>
    <t xml:space="preserve"> risk_ratio_reit_to_gold is: 0.16204713670343016</t>
  </si>
  <si>
    <t xml:space="preserve"> risk_ratio_reit_to_gold_before is: 0.1622438749093704
</t>
  </si>
  <si>
    <t xml:space="preserve"> 0.1622438749093704
</t>
  </si>
  <si>
    <t>delta_gold is: 1.0099853011062851</t>
  </si>
  <si>
    <t xml:space="preserve"> delta_tb is: 0.999401604991372</t>
  </si>
  <si>
    <t xml:space="preserve"> delta_reit is: 0.9921563799339499
</t>
  </si>
  <si>
    <t xml:space="preserve"> 0.9921563799339499
</t>
  </si>
  <si>
    <t>delta_gold_risk is: 1.0001314746729577</t>
  </si>
  <si>
    <t xml:space="preserve"> delta_tb_risk is: 0.9998164520795364</t>
  </si>
  <si>
    <t xml:space="preserve"> delta_reit_risk is: 0.9998307255386004
</t>
  </si>
  <si>
    <t xml:space="preserve"> 0.9998307255386004
</t>
  </si>
  <si>
    <t xml:space="preserve">collateral_ratio_tranche_gold is: 0.7777303609224241
</t>
  </si>
  <si>
    <t xml:space="preserve"> 0.7777303609224241
</t>
  </si>
  <si>
    <t xml:space="preserve">collateral_ratio_tranche_tb is: 0.38789442184566525
</t>
  </si>
  <si>
    <t xml:space="preserve"> 0.38789442184566525
</t>
  </si>
  <si>
    <t xml:space="preserve">collateral_ratio_tranche_reit is: 0.2775920260686389
</t>
  </si>
  <si>
    <t xml:space="preserve"> 0.2775920260686389
</t>
  </si>
  <si>
    <t>Total plot size is: 146708697.36832303</t>
  </si>
  <si>
    <t xml:space="preserve"> plot size of gold is: 78708294.31291723</t>
  </si>
  <si>
    <t xml:space="preserve"> plot size of TB is: 39635397.59370941</t>
  </si>
  <si>
    <t xml:space="preserve"> plot size of REIT is: 28365005.46169639
</t>
  </si>
  <si>
    <t xml:space="preserve"> 28365005.46169639
</t>
  </si>
  <si>
    <t xml:space="preserve">collateral ratio is: 1.4498371092143023
</t>
  </si>
  <si>
    <t xml:space="preserve"> 1.4498371092143023
</t>
  </si>
  <si>
    <t>S_gtbcps_0 is: 1.000079749970019</t>
  </si>
  <si>
    <t xml:space="preserve">stdev_gtbcps is: 0.006607111690065211
</t>
  </si>
  <si>
    <t xml:space="preserve"> 0.006607111690065211
</t>
  </si>
  <si>
    <t>predicted price of GTBCPS is: 1.0000906731570982</t>
  </si>
  <si>
    <t xml:space="preserve"> actual price is: 1.000079749970019
</t>
  </si>
  <si>
    <t xml:space="preserve"> 1.000079749970019
</t>
  </si>
  <si>
    <t>predicted amount of GTBCPS is: 101180605.11855035</t>
  </si>
  <si>
    <t xml:space="preserve"> actual amount is: 101181710.24509504
</t>
  </si>
  <si>
    <t>plot sizes of gold is: 78708294.31291723</t>
  </si>
  <si>
    <t xml:space="preserve"> plot sizes of tb is: 39635397.59370941 </t>
  </si>
  <si>
    <t xml:space="preserve"> plot sizes of reit is: 28365005.46169639</t>
  </si>
  <si>
    <t xml:space="preserve"> plot sizes of total is: 146708697.36832303.
</t>
  </si>
  <si>
    <t xml:space="preserve"> 146708697.36832303.
</t>
  </si>
  <si>
    <t>predicted stdevs of gold is: 0.008023704122430133</t>
  </si>
  <si>
    <t xml:space="preserve"> predicted stdevs of tb is: 0.0012962659840431592</t>
  </si>
  <si>
    <t xml:space="preserve"> predicted stdevs of reit is: 0.010097324556855821</t>
  </si>
  <si>
    <t xml:space="preserve"> predicted stdevs of GTBCPS is: 0.006607111690065211.
</t>
  </si>
  <si>
    <t xml:space="preserve"> 0.006607111690065211.
</t>
  </si>
  <si>
    <t>total_value_of_collaterals is: 146709080.45505884</t>
  </si>
  <si>
    <t xml:space="preserve"> createdtionValue_gold is: -859.6797556078479</t>
  </si>
  <si>
    <t xml:space="preserve"> createdValue_tb is: -432.9111822337193</t>
  </si>
  <si>
    <t xml:space="preserve"> createdValue_reit is: -309.8120026163596
</t>
  </si>
  <si>
    <t xml:space="preserve"> -309.8120026163596
</t>
  </si>
  <si>
    <t>plotValue_gold_after_creation is: 78709418.7111153</t>
  </si>
  <si>
    <t xml:space="preserve"> plotValue_tb_after_creation  is: 39635907.7724997</t>
  </si>
  <si>
    <t xml:space="preserve"> plotValue_reit_after_creation  is: 28365356.37438429</t>
  </si>
  <si>
    <t xml:space="preserve">total_value_after_creation is: 146710682.8579993
</t>
  </si>
  <si>
    <t xml:space="preserve"> 146710682.8579993
</t>
  </si>
  <si>
    <t>total_amount_gtncps_before_creation is: 101181710.24509504</t>
  </si>
  <si>
    <t>creation_amount_gtbcps is: -1105.1265446990728</t>
  </si>
  <si>
    <t xml:space="preserve">total_amount_gtbcps_new is: 101180605.11855035
</t>
  </si>
  <si>
    <t xml:space="preserve"> 101180605.11855035
</t>
  </si>
  <si>
    <t>payout of tranche of gold is: 264.7184424574771</t>
  </si>
  <si>
    <t xml:space="preserve"> payout of tranche of Treausry Bill Option is: 77.26760806328363</t>
  </si>
  <si>
    <t xml:space="preserve"> payout of tranche of Collar of REIT is: 41.10068528515509
</t>
  </si>
  <si>
    <t xml:space="preserve"> 41.10068528515509
</t>
  </si>
  <si>
    <t>Collateral size of tranche of gold is: 78709418.7111153</t>
  </si>
  <si>
    <t xml:space="preserve"> collateral size of tranche of Treausry Bill Option is: 39635907.7724997</t>
  </si>
  <si>
    <t xml:space="preserve"> collateral size of tranche of Collar of REIT is: 28365356.37438429
</t>
  </si>
  <si>
    <t xml:space="preserve"> 28365356.37438429
</t>
  </si>
  <si>
    <t>Collateral ratio of tranche of gold is: 0.7778311152879824</t>
  </si>
  <si>
    <t xml:space="preserve"> collateral ratio of tranche of Treausry Bill Option is: 0.39169444842795237</t>
  </si>
  <si>
    <t xml:space="preserve"> collateral ratio of tranche of Collar of REIT is: 0.28031533132276365
</t>
  </si>
  <si>
    <t xml:space="preserve"> 0.28031533132276365
</t>
  </si>
  <si>
    <t xml:space="preserve">date is: 2021-09-07 00:00:00
</t>
  </si>
  <si>
    <t xml:space="preserve"> 2021-09-07 00</t>
  </si>
  <si>
    <t>current price of gold is: 1794.36</t>
  </si>
  <si>
    <t xml:space="preserve"> predicted price of gold is: 1799.27308636936
</t>
  </si>
  <si>
    <t xml:space="preserve"> 1799.27308636936
</t>
  </si>
  <si>
    <t>current price of tb is: 98.54296875</t>
  </si>
  <si>
    <t xml:space="preserve"> current price of tb option is: 4.390396001866216</t>
  </si>
  <si>
    <t xml:space="preserve"> predicted price of tb is: 98.65635835058637
</t>
  </si>
  <si>
    <t xml:space="preserve"> 98.65635835058637
</t>
  </si>
  <si>
    <t>current price of reit is: 70.55</t>
  </si>
  <si>
    <t xml:space="preserve"> current price of reit option is: 6.618924977548474</t>
  </si>
  <si>
    <t xml:space="preserve"> predicted price of reit is: 71.09752216703762
</t>
  </si>
  <si>
    <t xml:space="preserve"> 71.09752216703762
</t>
  </si>
  <si>
    <t>value_ratio_gold_to_total is: 0.296266768725551</t>
  </si>
  <si>
    <t xml:space="preserve"> risk_ratio_to_gold is: 0.7473124497488002</t>
  </si>
  <si>
    <t xml:space="preserve"> risk_ratio_to_gold_before is: 0.7450406755112209
</t>
  </si>
  <si>
    <t xml:space="preserve"> 0.7450406755112209
</t>
  </si>
  <si>
    <t>value_ratio_tb_to_total is: 0.271585294285202</t>
  </si>
  <si>
    <t xml:space="preserve"> risk_ratio_tb_to_gold is: 0.1786839232783853</t>
  </si>
  <si>
    <t xml:space="preserve"> risk_ratio_tb_to_gold_before is: 0.18016146058400656
</t>
  </si>
  <si>
    <t xml:space="preserve"> 0.18016146058400656
</t>
  </si>
  <si>
    <t>value_ratio_reit_to_total is: 0.432147936989247</t>
  </si>
  <si>
    <t xml:space="preserve"> risk_ratio_reit_to_gold is: 0.15944445975087856</t>
  </si>
  <si>
    <t xml:space="preserve"> risk_ratio_reit_to_gold_before is: 0.16204713670343016
</t>
  </si>
  <si>
    <t xml:space="preserve"> 0.16204713670343016
</t>
  </si>
  <si>
    <t>delta_gold is: 0.9817423798919971</t>
  </si>
  <si>
    <t xml:space="preserve"> delta_tb is: 0.9986364568997621</t>
  </si>
  <si>
    <t xml:space="preserve"> delta_reit is: 0.9923993148533892
</t>
  </si>
  <si>
    <t xml:space="preserve"> 0.9923993148533892
</t>
  </si>
  <si>
    <t>delta_gold_risk is: 1.0013018460082106</t>
  </si>
  <si>
    <t xml:space="preserve"> delta_tb_risk is: 0.9987480210505348</t>
  </si>
  <si>
    <t xml:space="preserve"> delta_reit_risk is: 0.997760265594789
</t>
  </si>
  <si>
    <t xml:space="preserve"> 0.997760265594789
</t>
  </si>
  <si>
    <t xml:space="preserve">collateral_ratio_tranche_gold is: 0.7626369344280711
</t>
  </si>
  <si>
    <t xml:space="preserve"> 0.7626369344280711
</t>
  </si>
  <si>
    <t xml:space="preserve">collateral_ratio_tranche_tb is: 0.3989342852181381
</t>
  </si>
  <si>
    <t xml:space="preserve"> 0.3989342852181381
</t>
  </si>
  <si>
    <t xml:space="preserve">collateral_ratio_tranche_reit is: 0.28399426063173844
</t>
  </si>
  <si>
    <t xml:space="preserve"> 0.28399426063173844
</t>
  </si>
  <si>
    <t>Total plot size is: 145003994.78081205</t>
  </si>
  <si>
    <t xml:space="preserve"> plot size of gold is: 77272372.04536602</t>
  </si>
  <si>
    <t xml:space="preserve"> plot size of TB is: 39581862.503934845</t>
  </si>
  <si>
    <t xml:space="preserve"> plot size of REIT is: 28149760.231511187
</t>
  </si>
  <si>
    <t xml:space="preserve"> 28149760.231511187
</t>
  </si>
  <si>
    <t xml:space="preserve">collateral ratio is: 1.4329905205942557
</t>
  </si>
  <si>
    <t xml:space="preserve"> 1.4329905205942557
</t>
  </si>
  <si>
    <t>S_gtbcps_0 is: 1.0000906731570982</t>
  </si>
  <si>
    <t xml:space="preserve">stdev_gtbcps is: 0.006567661728534369
</t>
  </si>
  <si>
    <t xml:space="preserve"> 0.006567661728534369
</t>
  </si>
  <si>
    <t>predicted price of GTBCPS is: 1.0000914219999062</t>
  </si>
  <si>
    <t xml:space="preserve"> actual price is: 1.0000906731570982
</t>
  </si>
  <si>
    <t xml:space="preserve"> 1.0000906731570982
</t>
  </si>
  <si>
    <t>predicted amount of GTBCPS is: 101180529.35710816</t>
  </si>
  <si>
    <t xml:space="preserve"> actual amount is: 101180605.11855035
</t>
  </si>
  <si>
    <t>plot sizes of gold is: 77272372.04536602</t>
  </si>
  <si>
    <t xml:space="preserve"> plot sizes of tb is: 39581862.503934845 </t>
  </si>
  <si>
    <t xml:space="preserve"> plot sizes of reit is: 28149760.231511187</t>
  </si>
  <si>
    <t xml:space="preserve"> plot sizes of total is: 145003994.78081205.
</t>
  </si>
  <si>
    <t xml:space="preserve"> 145003994.78081205.
</t>
  </si>
  <si>
    <t>predicted stdevs of gold is: 0.008050996564014676</t>
  </si>
  <si>
    <t xml:space="preserve"> predicted stdevs of tb is: 0.0012880734283370803</t>
  </si>
  <si>
    <t xml:space="preserve"> predicted stdevs of reit is: 0.009919560150570795</t>
  </si>
  <si>
    <t xml:space="preserve"> predicted stdevs of GTBCPS is: 0.006567661728534369.
</t>
  </si>
  <si>
    <t xml:space="preserve"> 0.006567661728534369.
</t>
  </si>
  <si>
    <t>total_value_of_collaterals is: 145004021.11622468</t>
  </si>
  <si>
    <t xml:space="preserve"> createdtionValue_gold is: -57.859628862093544</t>
  </si>
  <si>
    <t xml:space="preserve"> createdValue_tb is: -29.637908714354058</t>
  </si>
  <si>
    <t xml:space="preserve"> createdValue_reit is: -21.077835888304843
</t>
  </si>
  <si>
    <t xml:space="preserve"> -21.077835888304843
</t>
  </si>
  <si>
    <t>plotValue_gold_after_creation is: 77272450.09339444</t>
  </si>
  <si>
    <t xml:space="preserve"> plotValue_tb_after_creation  is: 39581896.16910788</t>
  </si>
  <si>
    <t xml:space="preserve"> plotValue_reit_after_creation  is: 28149783.429095805</t>
  </si>
  <si>
    <t xml:space="preserve">total_value_after_creation is: 145004129.69159812
</t>
  </si>
  <si>
    <t xml:space="preserve"> 145004129.69159812
</t>
  </si>
  <si>
    <t>total_amount_gtncps_before_creation is: 101180605.11855035</t>
  </si>
  <si>
    <t>creation_amount_gtbcps is: -75.76144218444824</t>
  </si>
  <si>
    <t xml:space="preserve">total_amount_gtbcps_new is: 101180529.35710816
</t>
  </si>
  <si>
    <t xml:space="preserve"> 101180529.35710816
</t>
  </si>
  <si>
    <t>payout of tranche of gold is: 20.18839957171242</t>
  </si>
  <si>
    <t xml:space="preserve"> payout of tranche of Treausry Bill Option is: 4.027264316570153</t>
  </si>
  <si>
    <t xml:space="preserve"> payout of tranche of Collar of REIT is: 2.119748728737317
</t>
  </si>
  <si>
    <t xml:space="preserve"> 2.119748728737317
</t>
  </si>
  <si>
    <t>Collateral size of tranche of gold is: 77272450.09339444</t>
  </si>
  <si>
    <t xml:space="preserve"> collateral size of tranche of Treausry Bill Option is: 39581896.16910788</t>
  </si>
  <si>
    <t xml:space="preserve"> collateral size of tranche of Collar of REIT is: 28149783.429095805
</t>
  </si>
  <si>
    <t xml:space="preserve"> 28149783.429095805
</t>
  </si>
  <si>
    <t>Collateral ratio of tranche of gold is: 0.7636383103928108</t>
  </si>
  <si>
    <t xml:space="preserve"> collateral ratio of tranche of Treausry Bill Option is: 0.3911646683415448</t>
  </si>
  <si>
    <t xml:space="preserve"> collateral ratio of tranche of Collar of REIT is: 0.27818780211753436
</t>
  </si>
  <si>
    <t xml:space="preserve"> 0.27818780211753436
</t>
  </si>
  <si>
    <t xml:space="preserve">date is: 2021-09-08 00:00:00
</t>
  </si>
  <si>
    <t xml:space="preserve"> 2021-09-08 00</t>
  </si>
  <si>
    <t>current price of gold is: 1789.26</t>
  </si>
  <si>
    <t xml:space="preserve"> predicted price of gold is: 1795.511672508971
</t>
  </si>
  <si>
    <t xml:space="preserve"> 1795.511672508971
</t>
  </si>
  <si>
    <t>current price of tb is: 98.59765625</t>
  </si>
  <si>
    <t xml:space="preserve"> current price of tb option is: 4.3927205842055095</t>
  </si>
  <si>
    <t xml:space="preserve"> predicted price of tb is: 98.70864103051487
</t>
  </si>
  <si>
    <t xml:space="preserve"> 98.70864103051487
</t>
  </si>
  <si>
    <t>current price of reit is: 70.0</t>
  </si>
  <si>
    <t xml:space="preserve"> current price of reit option is: 6.713075293114386</t>
  </si>
  <si>
    <t xml:space="preserve"> predicted price of reit is: 70.55456385175046
</t>
  </si>
  <si>
    <t xml:space="preserve"> 70.55456385175046
</t>
  </si>
  <si>
    <t>value_ratio_gold_to_total is: 0.3468715866236169</t>
  </si>
  <si>
    <t xml:space="preserve"> risk_ratio_to_gold is: 0.7553588397784153</t>
  </si>
  <si>
    <t xml:space="preserve"> risk_ratio_to_gold_before is: 0.7473124497488002
</t>
  </si>
  <si>
    <t xml:space="preserve"> 0.7473124497488002
</t>
  </si>
  <si>
    <t>value_ratio_tb_to_total is: 0.24988631814991977</t>
  </si>
  <si>
    <t xml:space="preserve"> risk_ratio_tb_to_gold is: 0.17281746971441922</t>
  </si>
  <si>
    <t xml:space="preserve"> risk_ratio_tb_to_gold_before is: 0.1786839232783853
</t>
  </si>
  <si>
    <t xml:space="preserve"> 0.1786839232783853
</t>
  </si>
  <si>
    <t>value_ratio_reit_to_total is: 0.40324209522646337</t>
  </si>
  <si>
    <t xml:space="preserve"> risk_ratio_reit_to_gold is: 0.15105662474027762</t>
  </si>
  <si>
    <t xml:space="preserve"> risk_ratio_reit_to_gold_before is: 0.15944445975087856
</t>
  </si>
  <si>
    <t xml:space="preserve"> 0.15944445975087856
</t>
  </si>
  <si>
    <t>delta_gold is: 0.9971577609844179</t>
  </si>
  <si>
    <t xml:space="preserve"> delta_tb is: 1.0005538736878632</t>
  </si>
  <si>
    <t xml:space="preserve"> delta_reit is: 0.9940928335522788
</t>
  </si>
  <si>
    <t xml:space="preserve"> 0.9940928335522788
</t>
  </si>
  <si>
    <t>delta_gold_risk is: 1.0046050092705354</t>
  </si>
  <si>
    <t xml:space="preserve"> delta_tb_risk is: 0.9950228781031906</t>
  </si>
  <si>
    <t xml:space="preserve"> delta_reit_risk is: 0.9927656431146316
</t>
  </si>
  <si>
    <t xml:space="preserve"> 0.9927656431146316
</t>
  </si>
  <si>
    <t xml:space="preserve">collateral_ratio_tranche_gold is: 0.7579773749546967
</t>
  </si>
  <si>
    <t xml:space="preserve"> 0.7579773749546967
</t>
  </si>
  <si>
    <t xml:space="preserve">collateral_ratio_tranche_tb is: 0.39446017049699444
</t>
  </si>
  <si>
    <t xml:space="preserve"> 0.39446017049699444
</t>
  </si>
  <si>
    <t xml:space="preserve">collateral_ratio_tranche_reit is: 0.2793536907147459
</t>
  </si>
  <si>
    <t xml:space="preserve"> 0.2793536907147459
</t>
  </si>
  <si>
    <t>Total plot size is: 144640140.8337339</t>
  </si>
  <si>
    <t xml:space="preserve"> plot size of gold is: 77052823.32090938</t>
  </si>
  <si>
    <t xml:space="preserve"> plot size of TB is: 39603819.53991168</t>
  </si>
  <si>
    <t xml:space="preserve"> plot size of REIT is: 27983497.972912833
</t>
  </si>
  <si>
    <t xml:space="preserve"> 27983497.972912833
</t>
  </si>
  <si>
    <t xml:space="preserve">collateral ratio is: 1.4293947627130197
</t>
  </si>
  <si>
    <t xml:space="preserve"> 1.4293947627130197
</t>
  </si>
  <si>
    <t>S_gtbcps_0 is: 1.0000914219999062</t>
  </si>
  <si>
    <t xml:space="preserve">stdev_gtbcps is: 0.006592024637363384
</t>
  </si>
  <si>
    <t xml:space="preserve"> 0.006592024637363384
</t>
  </si>
  <si>
    <t>predicted price of GTBCPS is: 1.000133707890849</t>
  </si>
  <si>
    <t xml:space="preserve"> actual price is: 1.0000914219999062
</t>
  </si>
  <si>
    <t xml:space="preserve"> 1.0000914219999062
</t>
  </si>
  <si>
    <t>predicted amount of GTBCPS is: 101176251.42027216</t>
  </si>
  <si>
    <t xml:space="preserve"> actual amount is: 101180529.35710816
</t>
  </si>
  <si>
    <t>plot sizes of gold is: 77052823.32090938</t>
  </si>
  <si>
    <t xml:space="preserve"> plot sizes of tb is: 39603819.53991168 </t>
  </si>
  <si>
    <t xml:space="preserve"> plot sizes of reit is: 27983497.972912833</t>
  </si>
  <si>
    <t xml:space="preserve"> plot sizes of total is: 144640140.83373392.
</t>
  </si>
  <si>
    <t xml:space="preserve"> 144640140.83373392.
</t>
  </si>
  <si>
    <t>predicted stdevs of gold is: 0.008249845129980797</t>
  </si>
  <si>
    <t xml:space="preserve"> predicted stdevs of tb is: 0.0012853515221784761</t>
  </si>
  <si>
    <t xml:space="preserve"> predicted stdevs of reit is: 0.009537502539212407</t>
  </si>
  <si>
    <t xml:space="preserve"> predicted stdevs of GTBCPS is: 0.006592024637363384.
</t>
  </si>
  <si>
    <t xml:space="preserve"> 0.006592024637363384.
</t>
  </si>
  <si>
    <t>total_value_of_collaterals is: 144641626.72444314</t>
  </si>
  <si>
    <t xml:space="preserve"> createdtionValue_gold is: -3257.9958003458737</t>
  </si>
  <si>
    <t xml:space="preserve"> createdValue_tb is: -1674.5393383846574</t>
  </si>
  <si>
    <t xml:space="preserve"> createdValue_reit is: -1183.2058014412623
</t>
  </si>
  <si>
    <t xml:space="preserve"> -1183.2058014412623
</t>
  </si>
  <si>
    <t>plotValue_gold_after_creation is: 77057177.87786028</t>
  </si>
  <si>
    <t xml:space="preserve"> plotValue_tb_after_creation  is: 39605721.91274232</t>
  </si>
  <si>
    <t xml:space="preserve"> plotValue_reit_after_creation  is: 27984842.674780726</t>
  </si>
  <si>
    <t xml:space="preserve">total_value_after_creation is: 144647742.46538332
</t>
  </si>
  <si>
    <t xml:space="preserve"> 144647742.46538332
</t>
  </si>
  <si>
    <t>total_amount_gtncps_before_creation is: 101180529.35710816</t>
  </si>
  <si>
    <t>creation_amount_gtbcps is: -4277.936836004257</t>
  </si>
  <si>
    <t xml:space="preserve">total_amount_gtbcps_new is: 101176251.42027216
</t>
  </si>
  <si>
    <t xml:space="preserve"> 101176251.42027216
</t>
  </si>
  <si>
    <t>payout of tranche of gold is: 1096.5611505546115</t>
  </si>
  <si>
    <t xml:space="preserve"> payout of tranche of Treausry Bill Option is: 227.8334922512882</t>
  </si>
  <si>
    <t xml:space="preserve"> payout of tranche of Collar of REIT is: 161.49606645199205
</t>
  </si>
  <si>
    <t xml:space="preserve"> 161.49606645199205
</t>
  </si>
  <si>
    <t>Collateral size of tranche of gold is: 77057177.87786028</t>
  </si>
  <si>
    <t xml:space="preserve"> collateral size of tranche of Treausry Bill Option is: 39605721.91274232</t>
  </si>
  <si>
    <t xml:space="preserve"> collateral size of tranche of Collar of REIT is: 27984842.674780726
</t>
  </si>
  <si>
    <t xml:space="preserve"> 27984842.674780726
</t>
  </si>
  <si>
    <t>Collateral ratio of tranche of gold is: 0.7614792746401794</t>
  </si>
  <si>
    <t xml:space="preserve"> collateral ratio of tranche of Treausry Bill Option is: 0.39138386876196263</t>
  </si>
  <si>
    <t xml:space="preserve"> collateral ratio of tranche of Collar of REIT is: 0.27654630350840065
</t>
  </si>
  <si>
    <t xml:space="preserve"> 0.27654630350840065
</t>
  </si>
  <si>
    <t xml:space="preserve">date is: 2021-09-09 00:00:00
</t>
  </si>
  <si>
    <t xml:space="preserve"> 2021-09-09 00</t>
  </si>
  <si>
    <t>current price of gold is: 1794.58</t>
  </si>
  <si>
    <t xml:space="preserve"> predicted price of gold is: 1794.6561157347164
</t>
  </si>
  <si>
    <t xml:space="preserve"> 1794.6561157347164
</t>
  </si>
  <si>
    <t xml:space="preserve"> current price of tb option is: 4.39662650842568</t>
  </si>
  <si>
    <t xml:space="preserve"> predicted price of tb is: 98.77100648524113
</t>
  </si>
  <si>
    <t xml:space="preserve"> 98.77100648524113
</t>
  </si>
  <si>
    <t>current price of reit is: 69.9</t>
  </si>
  <si>
    <t xml:space="preserve"> current price of reit option is: 6.759884897016278</t>
  </si>
  <si>
    <t xml:space="preserve"> predicted price of reit is: 70.32711893799778
</t>
  </si>
  <si>
    <t xml:space="preserve"> 70.32711893799778
</t>
  </si>
  <si>
    <t>value_ratio_gold_to_total is: 0.006468746461952672</t>
  </si>
  <si>
    <t xml:space="preserve"> risk_ratio_to_gold is: 0.7546169159443079</t>
  </si>
  <si>
    <t xml:space="preserve"> risk_ratio_to_gold_before is: 0.7553588397784153
</t>
  </si>
  <si>
    <t xml:space="preserve"> 0.7553588397784153
</t>
  </si>
  <si>
    <t>value_ratio_tb_to_total is: 0.3827389409767891</t>
  </si>
  <si>
    <t xml:space="preserve"> risk_ratio_tb_to_gold is: 0.17376597615629058</t>
  </si>
  <si>
    <t xml:space="preserve"> risk_ratio_tb_to_gold_before is: 0.17281746971441922
</t>
  </si>
  <si>
    <t xml:space="preserve"> 0.17281746971441922
</t>
  </si>
  <si>
    <t>value_ratio_reit_to_total is: 0.6107923125612582</t>
  </si>
  <si>
    <t xml:space="preserve"> risk_ratio_reit_to_gold is: 0.15140972408444162</t>
  </si>
  <si>
    <t xml:space="preserve"> risk_ratio_reit_to_gold_before is: 0.15105662474027762
</t>
  </si>
  <si>
    <t xml:space="preserve"> 0.15105662474027762
</t>
  </si>
  <si>
    <t>delta_gold is: 1.0029732962230196</t>
  </si>
  <si>
    <t xml:space="preserve"> delta_tb is: 1.000682706252579</t>
  </si>
  <si>
    <t xml:space="preserve"> delta_reit is: 0.9993066319412321
</t>
  </si>
  <si>
    <t xml:space="preserve"> 0.9993066319412321
</t>
  </si>
  <si>
    <t>delta_gold_risk is: 0.9995773377970961</t>
  </si>
  <si>
    <t xml:space="preserve"> delta_tb_risk is: 1.0008087417406073</t>
  </si>
  <si>
    <t xml:space="preserve"> delta_reit_risk is: 1.0003067610546472
</t>
  </si>
  <si>
    <t xml:space="preserve"> 1.0003067610546472
</t>
  </si>
  <si>
    <t xml:space="preserve">collateral_ratio_tranche_gold is: 0.7640663200453697
</t>
  </si>
  <si>
    <t xml:space="preserve"> 0.7640663200453697
</t>
  </si>
  <si>
    <t xml:space="preserve">collateral_ratio_tranche_tb is: 0.39017447607062
</t>
  </si>
  <si>
    <t xml:space="preserve"> 0.39017447607062
</t>
  </si>
  <si>
    <t xml:space="preserve">collateral_ratio_tranche_reit is: 0.27545080946621087
</t>
  </si>
  <si>
    <t xml:space="preserve"> 0.27545080946621087
</t>
  </si>
  <si>
    <t>Total plot size is: 144884491.55927148</t>
  </si>
  <si>
    <t xml:space="preserve"> plot size of gold is: 77286291.69380106</t>
  </si>
  <si>
    <t xml:space="preserve"> plot size of TB is: 39632760.98673005</t>
  </si>
  <si>
    <t xml:space="preserve"> plot size of REIT is: 27965438.87874039
</t>
  </si>
  <si>
    <t xml:space="preserve"> 27965438.87874039
</t>
  </si>
  <si>
    <t xml:space="preserve">collateral ratio is: 1.4318095394502053
</t>
  </si>
  <si>
    <t xml:space="preserve"> 1.4318095394502053
</t>
  </si>
  <si>
    <t>S_gtbcps_0 is: 1.000133707890849</t>
  </si>
  <si>
    <t xml:space="preserve">stdev_gtbcps is: 0.006502686208835906
</t>
  </si>
  <si>
    <t xml:space="preserve"> 0.006502686208835906
</t>
  </si>
  <si>
    <t>predicted price of GTBCPS is: 1.0001446318387317</t>
  </si>
  <si>
    <t xml:space="preserve"> actual price is: 1.000133707890849
</t>
  </si>
  <si>
    <t xml:space="preserve"> 1.000133707890849
</t>
  </si>
  <si>
    <t>predicted amount of GTBCPS is: 101175146.33600506</t>
  </si>
  <si>
    <t xml:space="preserve"> actual amount is: 101176251.42027216
</t>
  </si>
  <si>
    <t>plot sizes of gold is: 77286291.69380106</t>
  </si>
  <si>
    <t xml:space="preserve"> plot sizes of tb is: 39632760.98673005 </t>
  </si>
  <si>
    <t xml:space="preserve"> plot sizes of reit is: 27965438.87874039</t>
  </si>
  <si>
    <t xml:space="preserve"> plot sizes of total is: 144884491.5592715.
</t>
  </si>
  <si>
    <t xml:space="preserve"> 144884491.5592715.
</t>
  </si>
  <si>
    <t>predicted stdevs of gold is: 0.008104550475429599</t>
  </si>
  <si>
    <t xml:space="preserve"> predicted stdevs of tb is: 0.0012749507842449255</t>
  </si>
  <si>
    <t xml:space="preserve"> predicted stdevs of reit is: 0.009484489569205525</t>
  </si>
  <si>
    <t xml:space="preserve"> predicted stdevs of GTBCPS is: 0.006502686208835906.
</t>
  </si>
  <si>
    <t xml:space="preserve"> 0.006502686208835906.
</t>
  </si>
  <si>
    <t>total_value_of_collaterals is: 144884874.73483464</t>
  </si>
  <si>
    <t xml:space="preserve"> createdtionValue_gold is: -844.1614204479229</t>
  </si>
  <si>
    <t xml:space="preserve"> createdValue_tb is: -432.88920256512773</t>
  </si>
  <si>
    <t xml:space="preserve"> createdValue_reit is: -305.4526043875561
</t>
  </si>
  <si>
    <t xml:space="preserve"> -305.4526043875561
</t>
  </si>
  <si>
    <t>plotValue_gold_after_creation is: 77287398.48869063</t>
  </si>
  <si>
    <t xml:space="preserve"> plotValue_tb_after_creation  is: 39633273.316790394</t>
  </si>
  <si>
    <t xml:space="preserve"> plotValue_reit_after_creation  is: 27965785.432581015</t>
  </si>
  <si>
    <t xml:space="preserve">total_value_after_creation is: 144886457.23806202
</t>
  </si>
  <si>
    <t xml:space="preserve"> 144886457.23806202
</t>
  </si>
  <si>
    <t>total_amount_gtncps_before_creation is: 101176251.42027216</t>
  </si>
  <si>
    <t>creation_amount_gtbcps is: -1105.0842670947313</t>
  </si>
  <si>
    <t xml:space="preserve">total_amount_gtbcps_new is: 101175146.33600506
</t>
  </si>
  <si>
    <t xml:space="preserve"> 101175146.33600506
</t>
  </si>
  <si>
    <t>payout of tranche of gold is: 262.63346911928704</t>
  </si>
  <si>
    <t xml:space="preserve"> payout of tranche of Treausry Bill Option is: 79.44085778667204</t>
  </si>
  <si>
    <t xml:space="preserve"> payout of tranche of Collar of REIT is: 41.10123623950628
</t>
  </si>
  <si>
    <t xml:space="preserve"> 41.10123623950628
</t>
  </si>
  <si>
    <t>Collateral size of tranche of gold is: 77287398.48869063</t>
  </si>
  <si>
    <t xml:space="preserve"> collateral size of tranche of Treausry Bill Option is: 39633273.316790394</t>
  </si>
  <si>
    <t xml:space="preserve"> collateral size of tranche of Collar of REIT is: 27965785.432581015
</t>
  </si>
  <si>
    <t xml:space="preserve"> 27965785.432581015
</t>
  </si>
  <si>
    <t>Collateral ratio of tranche of gold is: 0.7637782661628191</t>
  </si>
  <si>
    <t xml:space="preserve"> collateral ratio of tranche of Treausry Bill Option is: 0.39166841384478496</t>
  </si>
  <si>
    <t xml:space="preserve"> collateral ratio of tranche of Collar of REIT is: 0.27636664614482637
</t>
  </si>
  <si>
    <t xml:space="preserve"> 0.27636664614482637
</t>
  </si>
  <si>
    <t xml:space="preserve">date is: 2021-09-10 00:00:00
</t>
  </si>
  <si>
    <t xml:space="preserve"> 2021-09-10 00</t>
  </si>
  <si>
    <t>current price of gold is: 1787.58</t>
  </si>
  <si>
    <t xml:space="preserve"> predicted price of gold is: 1785.2222534317698
</t>
  </si>
  <si>
    <t xml:space="preserve"> 1785.2222534317698
</t>
  </si>
  <si>
    <t>current price of tb is: 98.56640625</t>
  </si>
  <si>
    <t xml:space="preserve"> current price of tb option is: 4.39275452974623</t>
  </si>
  <si>
    <t xml:space="preserve"> predicted price of tb is: 98.67735585448206
</t>
  </si>
  <si>
    <t xml:space="preserve"> 98.67735585448206
</t>
  </si>
  <si>
    <t>current price of reit is: 70.05</t>
  </si>
  <si>
    <t xml:space="preserve"> current price of reit option is: 6.724013657394735</t>
  </si>
  <si>
    <t xml:space="preserve"> predicted price of reit is: 70.58644572224429
</t>
  </si>
  <si>
    <t xml:space="preserve"> 70.58644572224429
</t>
  </si>
  <si>
    <t>value_ratio_gold_to_total is: -0.2506529937867251</t>
  </si>
  <si>
    <t xml:space="preserve"> risk_ratio_to_gold is: 0.7536356355112039</t>
  </si>
  <si>
    <t xml:space="preserve"> risk_ratio_to_gold_before is: 0.7546169159443079
</t>
  </si>
  <si>
    <t xml:space="preserve"> 0.7546169159443079
</t>
  </si>
  <si>
    <t>value_ratio_tb_to_total is: 0.4787906128610603</t>
  </si>
  <si>
    <t xml:space="preserve"> risk_ratio_tb_to_gold is: 0.17447897692880168</t>
  </si>
  <si>
    <t xml:space="preserve"> risk_ratio_tb_to_gold_before is: 0.17376597615629058
</t>
  </si>
  <si>
    <t xml:space="preserve"> 0.17376597615629058
</t>
  </si>
  <si>
    <t>value_ratio_reit_to_total is: 0.7718623809256648</t>
  </si>
  <si>
    <t xml:space="preserve"> risk_ratio_reit_to_gold is: 0.15242218442841415</t>
  </si>
  <si>
    <t xml:space="preserve"> risk_ratio_reit_to_gold_before is: 0.15140972408444162
</t>
  </si>
  <si>
    <t xml:space="preserve"> 0.15140972408444162
</t>
  </si>
  <si>
    <t>delta_gold is: 0.9960993658683369</t>
  </si>
  <si>
    <t xml:space="preserve"> delta_tb is: 0.9990148694943117</t>
  </si>
  <si>
    <t xml:space="preserve"> delta_reit is: 1.0014887676981483
</t>
  </si>
  <si>
    <t xml:space="preserve"> 1.0014887676981483
</t>
  </si>
  <si>
    <t>delta_gold_risk is: 0.9994407437747881</t>
  </si>
  <si>
    <t xml:space="preserve"> delta_tb_risk is: 1.0006074471291508</t>
  </si>
  <si>
    <t xml:space="preserve"> delta_reit_risk is: 1.0008793223843733
</t>
  </si>
  <si>
    <t xml:space="preserve"> 1.0008793223843733
</t>
  </si>
  <si>
    <t xml:space="preserve">collateral_ratio_tranche_gold is: 0.7612247662781284
</t>
  </si>
  <si>
    <t xml:space="preserve"> 0.7612247662781284
</t>
  </si>
  <si>
    <t xml:space="preserve">collateral_ratio_tranche_tb is: 0.3925763267807758
</t>
  </si>
  <si>
    <t xml:space="preserve"> 0.3925763267807758
</t>
  </si>
  <si>
    <t xml:space="preserve">collateral_ratio_tranche_reit is: 0.2776178140487732
</t>
  </si>
  <si>
    <t xml:space="preserve"> 0.2776178140487732
</t>
  </si>
  <si>
    <t>Total plot size is: 144587577.98499033</t>
  </si>
  <si>
    <t xml:space="preserve"> plot size of gold is: 76985928.6241982</t>
  </si>
  <si>
    <t xml:space="preserve"> plot size of TB is: 39594229.370205745</t>
  </si>
  <si>
    <t xml:space="preserve"> plot size of REIT is: 28007419.99058639
</t>
  </si>
  <si>
    <t xml:space="preserve"> 28007419.99058639
</t>
  </si>
  <si>
    <t xml:space="preserve">collateral ratio is: 1.4288753145136865
</t>
  </si>
  <si>
    <t xml:space="preserve"> 1.4288753145136865
</t>
  </si>
  <si>
    <t>S_gtbcps_0 is: 1.0001446318387317</t>
  </si>
  <si>
    <t xml:space="preserve">stdev_gtbcps is: 0.006481831740273497
</t>
  </si>
  <si>
    <t xml:space="preserve"> 0.006481831740273497
</t>
  </si>
  <si>
    <t>predicted price of GTBCPS is: 1.0001513767915546</t>
  </si>
  <si>
    <t xml:space="preserve"> actual price is: 1.0001446318387317
</t>
  </si>
  <si>
    <t xml:space="preserve"> 1.0001446318387317
</t>
  </si>
  <si>
    <t>predicted amount of GTBCPS is: 101174464.01770332</t>
  </si>
  <si>
    <t xml:space="preserve"> actual amount is: 101175146.33600506
</t>
  </si>
  <si>
    <t>plot sizes of gold is: 76985928.6241982</t>
  </si>
  <si>
    <t xml:space="preserve"> plot sizes of tb is: 39594229.370205745 </t>
  </si>
  <si>
    <t xml:space="preserve"> plot sizes of reit is: 28007419.99058639</t>
  </si>
  <si>
    <t xml:space="preserve"> plot sizes of total is: 144587577.98499033.
</t>
  </si>
  <si>
    <t xml:space="preserve"> 144587577.98499033.
</t>
  </si>
  <si>
    <t>predicted stdevs of gold is: 0.008078979265582032</t>
  </si>
  <si>
    <t xml:space="preserve"> predicted stdevs of tb is: 0.0012779513739929243</t>
  </si>
  <si>
    <t xml:space="preserve"> predicted stdevs of reit is: 0.009448393725627082</t>
  </si>
  <si>
    <t xml:space="preserve"> predicted stdevs of GTBCPS is: 0.006481831740273497.
</t>
  </si>
  <si>
    <t xml:space="preserve"> 0.006481831740273497.
</t>
  </si>
  <si>
    <t>total_value_of_collaterals is: 144587814.6684044</t>
  </si>
  <si>
    <t xml:space="preserve"> createdtionValue_gold is: -519.1925902266748</t>
  </si>
  <si>
    <t xml:space="preserve"> createdValue_tb is: -267.0228428173089</t>
  </si>
  <si>
    <t xml:space="preserve"> createdValue_reit is: -188.8815256035257
</t>
  </si>
  <si>
    <t xml:space="preserve"> -188.8815256035257
</t>
  </si>
  <si>
    <t>plotValue_gold_after_creation is: 76986629.4938943</t>
  </si>
  <si>
    <t xml:space="preserve"> plotValue_tb_after_creation  is: 39594534.00020106</t>
  </si>
  <si>
    <t xml:space="preserve"> plotValue_reit_after_creation  is: 28007626.271267693</t>
  </si>
  <si>
    <t xml:space="preserve">total_value_after_creation is: 144588789.76536304
</t>
  </si>
  <si>
    <t xml:space="preserve"> 144588789.76536304
</t>
  </si>
  <si>
    <t>total_amount_gtncps_before_creation is: 101175146.33600506</t>
  </si>
  <si>
    <t>creation_amount_gtbcps is: -682.3183017373085</t>
  </si>
  <si>
    <t xml:space="preserve">total_amount_gtbcps_new is: 101174464.01770332
</t>
  </si>
  <si>
    <t xml:space="preserve"> 101174464.01770332
</t>
  </si>
  <si>
    <t>payout of tranche of gold is: 181.67710587950324</t>
  </si>
  <si>
    <t xml:space="preserve"> payout of tranche of Treausry Bill Option is: 37.60715249975615</t>
  </si>
  <si>
    <t xml:space="preserve"> payout of tranche of Collar of REIT is: 17.399155701496515
</t>
  </si>
  <si>
    <t xml:space="preserve"> 17.399155701496515
</t>
  </si>
  <si>
    <t>Collateral size of tranche of gold is: 76986629.4938943</t>
  </si>
  <si>
    <t xml:space="preserve"> collateral size of tranche of Treausry Bill Option is: 39594534.00020106</t>
  </si>
  <si>
    <t xml:space="preserve"> collateral size of tranche of Collar of REIT is: 28007626.271267693
</t>
  </si>
  <si>
    <t xml:space="preserve"> 28007626.271267693
</t>
  </si>
  <si>
    <t>Collateral ratio of tranche of gold is: 0.7608091518164909</t>
  </si>
  <si>
    <t xml:space="preserve"> collateral ratio of tranche of Treausry Bill Option is: 0.39128721477086176</t>
  </si>
  <si>
    <t xml:space="preserve"> collateral ratio of tranche of Collar of REIT is: 0.27678128693147147
</t>
  </si>
  <si>
    <t xml:space="preserve"> 0.27678128693147147
</t>
  </si>
  <si>
    <t xml:space="preserve">date is: 2021-09-13 00:00:00
</t>
  </si>
  <si>
    <t xml:space="preserve"> 2021-09-13 00</t>
  </si>
  <si>
    <t>current price of gold is: 1793.75</t>
  </si>
  <si>
    <t xml:space="preserve"> predicted price of gold is: 1796.5181479795813
</t>
  </si>
  <si>
    <t xml:space="preserve"> 1796.5181479795813
</t>
  </si>
  <si>
    <t>current price of tb is: 98.609375</t>
  </si>
  <si>
    <t xml:space="preserve"> current price of tb option is: 4.3942982166472575</t>
  </si>
  <si>
    <t xml:space="preserve"> predicted price of tb is: 98.71872764568872
</t>
  </si>
  <si>
    <t xml:space="preserve"> 98.71872764568872
</t>
  </si>
  <si>
    <t>current price of reit is: 69.3</t>
  </si>
  <si>
    <t xml:space="preserve"> current price of reit option is: 6.764700410948706</t>
  </si>
  <si>
    <t xml:space="preserve"> predicted price of reit is: 69.74261802845972
</t>
  </si>
  <si>
    <t xml:space="preserve"> 69.74261802845972
</t>
  </si>
  <si>
    <t>value_ratio_gold_to_total is: 0.19118209527534316</t>
  </si>
  <si>
    <t xml:space="preserve"> risk_ratio_to_gold is: 0.7543508774393949</t>
  </si>
  <si>
    <t xml:space="preserve"> risk_ratio_to_gold_before is: 0.7536356355112039
</t>
  </si>
  <si>
    <t xml:space="preserve"> 0.7536356355112039
</t>
  </si>
  <si>
    <t>value_ratio_tb_to_total is: 0.31104457370094807</t>
  </si>
  <si>
    <t xml:space="preserve"> risk_ratio_tb_to_gold is: 0.17460530982081904</t>
  </si>
  <si>
    <t xml:space="preserve"> risk_ratio_tb_to_gold_before is: 0.17447897692880168
</t>
  </si>
  <si>
    <t xml:space="preserve"> 0.17447897692880168
</t>
  </si>
  <si>
    <t>value_ratio_reit_to_total is: 0.49777333102370874</t>
  </si>
  <si>
    <t xml:space="preserve"> risk_ratio_reit_to_gold is: 0.15103774291141653</t>
  </si>
  <si>
    <t xml:space="preserve"> risk_ratio_reit_to_gold_before is: 0.15242218442841415
</t>
  </si>
  <si>
    <t xml:space="preserve"> 0.15242218442841415
</t>
  </si>
  <si>
    <t>delta_gold is: 1.003451593774824</t>
  </si>
  <si>
    <t xml:space="preserve"> delta_tb is: 1.0004323309996306</t>
  </si>
  <si>
    <t xml:space="preserve"> delta_reit is: 0.9907610243016426
</t>
  </si>
  <si>
    <t xml:space="preserve"> 0.9907610243016426
</t>
  </si>
  <si>
    <t>delta_gold_risk is: 1.0004078623367976</t>
  </si>
  <si>
    <t xml:space="preserve"> delta_tb_risk is: 1.000107565051822</t>
  </si>
  <si>
    <t xml:space="preserve"> delta_reit_risk is: 0.9987986681133839
</t>
  </si>
  <si>
    <t xml:space="preserve"> 0.9987986681133839
</t>
  </si>
  <si>
    <t xml:space="preserve">collateral_ratio_tranche_gold is: 0.7631239064489795
</t>
  </si>
  <si>
    <t xml:space="preserve"> 0.7631239064489795
</t>
  </si>
  <si>
    <t xml:space="preserve">collateral_ratio_tranche_tb is: 0.3900679218556482
</t>
  </si>
  <si>
    <t xml:space="preserve"> 0.3900679218556482
</t>
  </si>
  <si>
    <t xml:space="preserve">collateral_ratio_tranche_reit is: 0.2736095527236616
</t>
  </si>
  <si>
    <t xml:space="preserve"> 0.2736095527236616
</t>
  </si>
  <si>
    <t>Total plot size is: 144612872.50244415</t>
  </si>
  <si>
    <t xml:space="preserve"> plot size of gold is: 77252356.0650001</t>
  </si>
  <si>
    <t xml:space="preserve"> plot size of TB is: 39611651.944665276</t>
  </si>
  <si>
    <t xml:space="preserve"> plot size of REIT is: 27748864.492778774
</t>
  </si>
  <si>
    <t xml:space="preserve"> 27748864.492778774
</t>
  </si>
  <si>
    <t xml:space="preserve">collateral ratio is: 1.4291252855837189
</t>
  </si>
  <si>
    <t xml:space="preserve"> 1.4291252855837189
</t>
  </si>
  <si>
    <t>S_gtbcps_0 is: 1.0001513767915546</t>
  </si>
  <si>
    <t xml:space="preserve">stdev_gtbcps is: 0.0064787066476910534
</t>
  </si>
  <si>
    <t xml:space="preserve"> 0.0064787066476910534
</t>
  </si>
  <si>
    <t>predicted price of GTBCPS is: 1.0001533022960634</t>
  </si>
  <si>
    <t xml:space="preserve"> actual price is: 1.0001513767915546
</t>
  </si>
  <si>
    <t xml:space="preserve"> 1.0001513767915546
</t>
  </si>
  <si>
    <t>predicted amount of GTBCPS is: 101174269.23567723</t>
  </si>
  <si>
    <t xml:space="preserve"> actual amount is: 101174464.01770332
</t>
  </si>
  <si>
    <t>plot sizes of gold is: 77252356.0650001</t>
  </si>
  <si>
    <t xml:space="preserve"> plot sizes of tb is: 39611651.944665276 </t>
  </si>
  <si>
    <t xml:space="preserve"> plot sizes of reit is: 27748864.492778774</t>
  </si>
  <si>
    <t xml:space="preserve"> plot sizes of total is: 144612872.50244415.
</t>
  </si>
  <si>
    <t xml:space="preserve"> 144612872.50244415.
</t>
  </si>
  <si>
    <t>predicted stdevs of gold is: 0.008083594470712753</t>
  </si>
  <si>
    <t xml:space="preserve"> predicted stdevs of tb is: 0.0012785410448414851</t>
  </si>
  <si>
    <t xml:space="preserve"> predicted stdevs of reit is: 0.009433990976085214</t>
  </si>
  <si>
    <t xml:space="preserve"> predicted stdevs of GTBCPS is: 0.0064787066476910534.
</t>
  </si>
  <si>
    <t xml:space="preserve"> 0.0064787066476910534.
</t>
  </si>
  <si>
    <t>total_value_of_collaterals is: 144612940.08880424</t>
  </si>
  <si>
    <t xml:space="preserve"> createdtionValue_gold is: -148.72733532090896</t>
  </si>
  <si>
    <t xml:space="preserve"> createdValue_tb is: -76.26089734201045</t>
  </si>
  <si>
    <t xml:space="preserve"> createdValue_reit is: -53.422490569013334
</t>
  </si>
  <si>
    <t xml:space="preserve"> -53.422490569013334
</t>
  </si>
  <si>
    <t>plotValue_gold_after_creation is: 77252551.15873429</t>
  </si>
  <si>
    <t xml:space="preserve"> plotValue_tb_after_creation  is: 39611742.25715053</t>
  </si>
  <si>
    <t xml:space="preserve"> plotValue_reit_after_creation  is: 27748925.08364266</t>
  </si>
  <si>
    <t xml:space="preserve">total_value_after_creation is: 144613218.49952748
</t>
  </si>
  <si>
    <t xml:space="preserve"> 144613218.49952748
</t>
  </si>
  <si>
    <t>total_amount_gtncps_before_creation is: 101174464.01770332</t>
  </si>
  <si>
    <t>creation_amount_gtbcps is: -194.78202609717846</t>
  </si>
  <si>
    <t xml:space="preserve">total_amount_gtbcps_new is: 101174269.23567723
</t>
  </si>
  <si>
    <t xml:space="preserve"> 101174269.23567723
</t>
  </si>
  <si>
    <t>payout of tranche of gold is: 46.36639887366734</t>
  </si>
  <si>
    <t xml:space="preserve"> payout of tranche of Treausry Bill Option is: 14.051587913998912</t>
  </si>
  <si>
    <t xml:space="preserve"> payout of tranche of Collar of REIT is: 7.168373317465579
</t>
  </si>
  <si>
    <t xml:space="preserve"> 7.168373317465579
</t>
  </si>
  <si>
    <t>Collateral size of tranche of gold is: 77252551.15873429</t>
  </si>
  <si>
    <t xml:space="preserve"> collateral size of tranche of Treausry Bill Option is: 39611742.25715053</t>
  </si>
  <si>
    <t xml:space="preserve"> collateral size of tranche of Collar of REIT is: 27748925.08364266
</t>
  </si>
  <si>
    <t xml:space="preserve"> 27748925.08364266
</t>
  </si>
  <si>
    <t>Collateral ratio of tranche of gold is: 0.7634407627504631</t>
  </si>
  <si>
    <t xml:space="preserve"> collateral ratio of tranche of Treausry Bill Option is: 0.39145915920026725</t>
  </si>
  <si>
    <t xml:space="preserve"> collateral ratio of tranche of Collar of REIT is: 0.2742260315498518
</t>
  </si>
  <si>
    <t xml:space="preserve"> 0.2742260315498518
</t>
  </si>
  <si>
    <t xml:space="preserve">date is: 2021-09-14 00:00:00
</t>
  </si>
  <si>
    <t xml:space="preserve"> 2021-09-14 00</t>
  </si>
  <si>
    <t>current price of gold is: 1804.51</t>
  </si>
  <si>
    <t xml:space="preserve"> predicted price of gold is: 1804.5865839212236
</t>
  </si>
  <si>
    <t xml:space="preserve"> 1804.5865839212236
</t>
  </si>
  <si>
    <t>current price of tb is: 98.67578125</t>
  </si>
  <si>
    <t xml:space="preserve"> current price of tb option is: 4.398205617926522</t>
  </si>
  <si>
    <t xml:space="preserve"> predicted price of tb is: 98.78109157218685
</t>
  </si>
  <si>
    <t xml:space="preserve"> 98.78109157218685
</t>
  </si>
  <si>
    <t>current price of reit is: 69.1</t>
  </si>
  <si>
    <t xml:space="preserve"> current price of reit option is: 6.808116867178555</t>
  </si>
  <si>
    <t xml:space="preserve"> predicted price of reit is: 69.64807036553411
</t>
  </si>
  <si>
    <t xml:space="preserve"> 69.64807036553411
</t>
  </si>
  <si>
    <t>value_ratio_gold_to_total is: 0.0064160589151505305</t>
  </si>
  <si>
    <t xml:space="preserve"> risk_ratio_to_gold is: 0.7566192493344772</t>
  </si>
  <si>
    <t xml:space="preserve"> risk_ratio_to_gold_before is: 0.7543508774393949
</t>
  </si>
  <si>
    <t xml:space="preserve"> 0.7543508774393949
</t>
  </si>
  <si>
    <t>value_ratio_tb_to_total is: 0.3772962148638692</t>
  </si>
  <si>
    <t xml:space="preserve"> risk_ratio_tb_to_gold is: 0.17327897229278943</t>
  </si>
  <si>
    <t xml:space="preserve"> risk_ratio_tb_to_gold_before is: 0.17460530982081904
</t>
  </si>
  <si>
    <t xml:space="preserve"> 0.17460530982081904
</t>
  </si>
  <si>
    <t>value_ratio_reit_to_total is: 0.6162877262209803</t>
  </si>
  <si>
    <t xml:space="preserve"> risk_ratio_reit_to_gold is: 0.1483897545861535</t>
  </si>
  <si>
    <t xml:space="preserve"> risk_ratio_reit_to_gold_before is: 0.15103774291141653
</t>
  </si>
  <si>
    <t xml:space="preserve"> 0.15103774291141653
</t>
  </si>
  <si>
    <t>delta_gold is: 1.005998606271777</t>
  </si>
  <si>
    <t xml:space="preserve"> delta_tb is: 1.0006826324642946</t>
  </si>
  <si>
    <t xml:space="preserve"> delta_reit is: 0.9979414427070087
</t>
  </si>
  <si>
    <t xml:space="preserve"> 0.9979414427070087
</t>
  </si>
  <si>
    <t>delta_gold_risk is: 1.001292997839972</t>
  </si>
  <si>
    <t xml:space="preserve"> delta_tb_risk is: 0.9988708228058053</t>
  </si>
  <si>
    <t xml:space="preserve"> delta_reit_risk is: 0.9976994774136899
</t>
  </si>
  <si>
    <t xml:space="preserve"> 0.9976994774136899
</t>
  </si>
  <si>
    <t xml:space="preserve">collateral_ratio_tranche_gold is: 0.7670285770047642
</t>
  </si>
  <si>
    <t xml:space="preserve"> 0.7670285770047642
</t>
  </si>
  <si>
    <t xml:space="preserve">collateral_ratio_tranche_tb is: 0.3898307691626682
</t>
  </si>
  <si>
    <t xml:space="preserve"> 0.3898307691626682
</t>
  </si>
  <si>
    <t xml:space="preserve">collateral_ratio_tranche_reit is: 0.2726569758853934
</t>
  </si>
  <si>
    <t xml:space="preserve"> 0.2726569758853934
</t>
  </si>
  <si>
    <t>Total plot size is: 145046543.64654744</t>
  </si>
  <si>
    <t xml:space="preserve"> plot size of gold is: 77715958.79662584</t>
  </si>
  <si>
    <t xml:space="preserve"> plot size of TB is: 39638782.51838253</t>
  </si>
  <si>
    <t xml:space="preserve"> plot size of REIT is: 27691802.33153906
</t>
  </si>
  <si>
    <t xml:space="preserve"> 27691802.33153906
</t>
  </si>
  <si>
    <t xml:space="preserve">collateral ratio is: 1.4334110063977878
</t>
  </si>
  <si>
    <t xml:space="preserve"> 1.4334110063977878
</t>
  </si>
  <si>
    <t>S_gtbcps_0 is: 1.0001533022960634</t>
  </si>
  <si>
    <t xml:space="preserve">stdev_gtbcps is: 0.0064754839472677475
</t>
  </si>
  <si>
    <t xml:space="preserve"> 0.0064754839472677475
</t>
  </si>
  <si>
    <t>predicted price of GTBCPS is: 1.0001597785202343</t>
  </si>
  <si>
    <t xml:space="preserve"> actual price is: 1.0001533022960634
</t>
  </si>
  <si>
    <t xml:space="preserve"> 1.0001533022960634
</t>
  </si>
  <si>
    <t>predicted amount of GTBCPS is: 101173614.11310384</t>
  </si>
  <si>
    <t xml:space="preserve"> actual amount is: 101174269.23567723
</t>
  </si>
  <si>
    <t>plot sizes of gold is: 77715958.79662584</t>
  </si>
  <si>
    <t xml:space="preserve"> plot sizes of tb is: 39638782.51838253 </t>
  </si>
  <si>
    <t xml:space="preserve"> plot sizes of reit is: 27691802.33153906</t>
  </si>
  <si>
    <t xml:space="preserve"> plot sizes of total is: 145046543.64654744.
</t>
  </si>
  <si>
    <t xml:space="preserve"> 145046543.64654744.
</t>
  </si>
  <si>
    <t>predicted stdevs of gold is: 0.00808044056026384</t>
  </si>
  <si>
    <t xml:space="preserve"> predicted stdevs of tb is: 0.0012685557332438324</t>
  </si>
  <si>
    <t xml:space="preserve"> predicted stdevs of reit is: 0.009424571626025878</t>
  </si>
  <si>
    <t xml:space="preserve"> predicted stdevs of GTBCPS is: 0.0064754839472677475.
</t>
  </si>
  <si>
    <t xml:space="preserve"> 0.0064754839472677475.
</t>
  </si>
  <si>
    <t>total_value_of_collaterals is: 145046771.09521264</t>
  </si>
  <si>
    <t xml:space="preserve"> createdtionValue_gold is: -503.22983830955286</t>
  </si>
  <si>
    <t xml:space="preserve"> createdValue_tb is: -256.6705979822474</t>
  </si>
  <si>
    <t xml:space="preserve"> createdValue_reit is: -179.31098533108474
</t>
  </si>
  <si>
    <t xml:space="preserve"> -179.31098533108474
</t>
  </si>
  <si>
    <t>plotValue_gold_after_creation is: 77716618.56353204</t>
  </si>
  <si>
    <t xml:space="preserve"> plotValue_tb_after_creation  is: 39639086.24112548</t>
  </si>
  <si>
    <t xml:space="preserve"> plotValue_reit_after_creation  is: 27692005.501976736</t>
  </si>
  <si>
    <t xml:space="preserve">total_value_after_creation is: 145047710.30663425
</t>
  </si>
  <si>
    <t xml:space="preserve"> 145047710.30663425
</t>
  </si>
  <si>
    <t>total_amount_gtncps_before_creation is: 101174269.23567723</t>
  </si>
  <si>
    <t>creation_amount_gtbcps is: -655.1225733906031</t>
  </si>
  <si>
    <t xml:space="preserve">total_amount_gtbcps_new is: 101173614.11310384
</t>
  </si>
  <si>
    <t xml:space="preserve"> 101173614.11310384
</t>
  </si>
  <si>
    <t>payout of tranche of gold is: 156.5370678845499</t>
  </si>
  <si>
    <t xml:space="preserve"> payout of tranche of Treausry Bill Option is: 47.05214496541995</t>
  </si>
  <si>
    <t xml:space="preserve"> payout of tranche of Collar of REIT is: 23.859452344736575
</t>
  </si>
  <si>
    <t xml:space="preserve"> 23.859452344736575
</t>
  </si>
  <si>
    <t>Collateral size of tranche of gold is: 77716618.56353204</t>
  </si>
  <si>
    <t xml:space="preserve"> collateral size of tranche of Treausry Bill Option is: 39639086.24112548</t>
  </si>
  <si>
    <t xml:space="preserve"> collateral size of tranche of Collar of REIT is: 27692005.501976736
</t>
  </si>
  <si>
    <t xml:space="preserve"> 27692005.501976736
</t>
  </si>
  <si>
    <t>Collateral ratio of tranche of gold is: 0.7680233688660401</t>
  </si>
  <si>
    <t xml:space="preserve"> collateral ratio of tranche of Treausry Bill Option is: 0.3917276010766402</t>
  </si>
  <si>
    <t xml:space="preserve"> collateral ratio of tranche of Collar of REIT is: 0.27366228419856903
</t>
  </si>
  <si>
    <t xml:space="preserve"> 0.27366228419856903
</t>
  </si>
  <si>
    <t xml:space="preserve">date is: 2021-09-15 00:00:00
</t>
  </si>
  <si>
    <t xml:space="preserve"> 2021-09-15 00</t>
  </si>
  <si>
    <t>current price of gold is: 1794.06</t>
  </si>
  <si>
    <t xml:space="preserve"> predicted price of gold is: 1790.3811468068168
</t>
  </si>
  <si>
    <t xml:space="preserve"> 1790.3811468068168
</t>
  </si>
  <si>
    <t xml:space="preserve"> current price of tb option is: 4.395859731316446</t>
  </si>
  <si>
    <t xml:space="preserve"> predicted price of tb is: 98.74445596383178
</t>
  </si>
  <si>
    <t xml:space="preserve"> 98.74445596383178
</t>
  </si>
  <si>
    <t>current price of reit is: 68.0</t>
  </si>
  <si>
    <t xml:space="preserve"> current price of reit option is: 6.807790562437134</t>
  </si>
  <si>
    <t xml:space="preserve"> predicted price of reit is: 68.59686703549647
</t>
  </si>
  <si>
    <t xml:space="preserve"> 68.59686703549647
</t>
  </si>
  <si>
    <t>value_ratio_gold_to_total is: -0.44703776578213095</t>
  </si>
  <si>
    <t xml:space="preserve"> risk_ratio_to_gold is: 0.7572023529900808</t>
  </si>
  <si>
    <t xml:space="preserve"> risk_ratio_to_gold_before is: 0.7566192493344772
</t>
  </si>
  <si>
    <t xml:space="preserve"> 0.7566192493344772
</t>
  </si>
  <si>
    <t>value_ratio_tb_to_total is: 0.54725693324019</t>
  </si>
  <si>
    <t xml:space="preserve"> risk_ratio_tb_to_gold is: 0.17362258128171126</t>
  </si>
  <si>
    <t xml:space="preserve"> risk_ratio_tb_to_gold_before is: 0.17327897229278943
</t>
  </si>
  <si>
    <t xml:space="preserve"> 0.17327897229278943
</t>
  </si>
  <si>
    <t>value_ratio_reit_to_total is: 0.899780832541941</t>
  </si>
  <si>
    <t xml:space="preserve"> risk_ratio_reit_to_gold is: 0.14702835971331749</t>
  </si>
  <si>
    <t xml:space="preserve"> risk_ratio_reit_to_gold_before is: 0.1483897545861535
</t>
  </si>
  <si>
    <t xml:space="preserve"> 0.1483897545861535
</t>
  </si>
  <si>
    <t>delta_gold is: 0.9942089542313426</t>
  </si>
  <si>
    <t xml:space="preserve"> delta_tb is: 0.9995982654026653</t>
  </si>
  <si>
    <t xml:space="preserve"> delta_reit is: 0.9855044974087984
</t>
  </si>
  <si>
    <t xml:space="preserve"> 0.9855044974087984
</t>
  </si>
  <si>
    <t>delta_gold_risk is: 1.000331946525022</t>
  </si>
  <si>
    <t xml:space="preserve"> delta_tb_risk is: 1.0002928621385332</t>
  </si>
  <si>
    <t xml:space="preserve"> delta_reit_risk is: 0.9988145184442833
</t>
  </si>
  <si>
    <t xml:space="preserve"> 0.9988145184442833
</t>
  </si>
  <si>
    <t xml:space="preserve">collateral_ratio_tranche_gold is: 0.7633223281912236
</t>
  </si>
  <si>
    <t xml:space="preserve"> 0.7633223281912236
</t>
  </si>
  <si>
    <t xml:space="preserve">collateral_ratio_tranche_tb is: 0.3937357296571067
</t>
  </si>
  <si>
    <t xml:space="preserve"> 0.3937357296571067
</t>
  </si>
  <si>
    <t xml:space="preserve">collateral_ratio_tranche_reit is: 0.27158829047640076
</t>
  </si>
  <si>
    <t xml:space="preserve"> 0.27158829047640076
</t>
  </si>
  <si>
    <t>Total plot size is: 144180315.8816883</t>
  </si>
  <si>
    <t xml:space="preserve"> plot size of gold is: 77266558.06844534</t>
  </si>
  <si>
    <t xml:space="preserve"> plot size of TB is: 39623161.848775685</t>
  </si>
  <si>
    <t xml:space="preserve"> plot size of REIT is: 27290595.964467265
</t>
  </si>
  <si>
    <t xml:space="preserve"> 27290595.964467265
</t>
  </si>
  <si>
    <t xml:space="preserve">collateral ratio is: 1.4248505789585644
</t>
  </si>
  <si>
    <t xml:space="preserve"> 1.4248505789585644
</t>
  </si>
  <si>
    <t>S_gtbcps_0 is: 1.0001597785202343</t>
  </si>
  <si>
    <t xml:space="preserve">stdev_gtbcps is: 0.006470737038350805
</t>
  </si>
  <si>
    <t xml:space="preserve"> 0.006470737038350805
</t>
  </si>
  <si>
    <t>predicted price of GTBCPS is: 1.0001466602168176</t>
  </si>
  <si>
    <t xml:space="preserve"> actual price is: 1.0001597785202343
</t>
  </si>
  <si>
    <t xml:space="preserve"> 1.0001597785202343
</t>
  </si>
  <si>
    <t>predicted amount of GTBCPS is: 101174941.1446488</t>
  </si>
  <si>
    <t xml:space="preserve"> actual amount is: 101173614.11310384
</t>
  </si>
  <si>
    <t>plot sizes of gold is: 77266558.06844534</t>
  </si>
  <si>
    <t xml:space="preserve"> plot sizes of tb is: 39623161.848775685 </t>
  </si>
  <si>
    <t xml:space="preserve"> plot sizes of reit is: 27290595.964467265</t>
  </si>
  <si>
    <t xml:space="preserve"> plot sizes of total is: 144180315.8816883.
</t>
  </si>
  <si>
    <t xml:space="preserve"> 144180315.8816883.
</t>
  </si>
  <si>
    <t>predicted stdevs of gold is: 0.008058317617624202</t>
  </si>
  <si>
    <t xml:space="preserve"> predicted stdevs of tb is: 0.0012691507345365387</t>
  </si>
  <si>
    <t xml:space="preserve"> predicted stdevs of reit is: 0.009528068914806667</t>
  </si>
  <si>
    <t xml:space="preserve"> predicted stdevs of GTBCPS is: 0.006470737038350805.
</t>
  </si>
  <si>
    <t xml:space="preserve"> 0.006470737038350805.
</t>
  </si>
  <si>
    <t>total_value_of_collaterals is: 144179854.3430079</t>
  </si>
  <si>
    <t xml:space="preserve"> createdtionValue_gold is: 1013.4399147833287</t>
  </si>
  <si>
    <t xml:space="preserve"> createdValue_tb is: 519.7043031609849</t>
  </si>
  <si>
    <t xml:space="preserve"> createdValue_reit is: 357.94870187847795
</t>
  </si>
  <si>
    <t xml:space="preserve"> 357.94870187847795
</t>
  </si>
  <si>
    <t>plotValue_gold_after_creation is: 77265215.92788534</t>
  </si>
  <si>
    <t xml:space="preserve"> plotValue_tb_after_creation  is: 39622541.61951945</t>
  </si>
  <si>
    <t xml:space="preserve"> plotValue_reit_after_creation  is: 27290205.70268328</t>
  </si>
  <si>
    <t xml:space="preserve">total_value_after_creation is: 144177963.25008807
</t>
  </si>
  <si>
    <t xml:space="preserve"> 144177963.25008807
</t>
  </si>
  <si>
    <t>total_amount_gtncps_before_creation is: 101173614.11310384</t>
  </si>
  <si>
    <t>creation_amount_gtbcps is: 1327.0315449684858</t>
  </si>
  <si>
    <t xml:space="preserve">total_amount_gtbcps_new is: 101174941.1446488
</t>
  </si>
  <si>
    <t xml:space="preserve"> 101174941.1446488
</t>
  </si>
  <si>
    <t>payout of tranche of gold is: -328.7006452292188</t>
  </si>
  <si>
    <t xml:space="preserve"> payout of tranche of Treausry Bill Option is: -100.52495307674178</t>
  </si>
  <si>
    <t xml:space="preserve"> payout of tranche of Collar of REIT is: -32.31308210623085
</t>
  </si>
  <si>
    <t xml:space="preserve"> -32.31308210623085
</t>
  </si>
  <si>
    <t>Collateral size of tranche of gold is: 77265215.92788534</t>
  </si>
  <si>
    <t xml:space="preserve"> collateral size of tranche of Treausry Bill Option is: 39622541.61951945</t>
  </si>
  <si>
    <t xml:space="preserve"> collateral size of tranche of Collar of REIT is: 27290205.70268328
</t>
  </si>
  <si>
    <t xml:space="preserve"> 27290205.70268328
</t>
  </si>
  <si>
    <t>Collateral ratio of tranche of gold is: 0.76357740635688</t>
  </si>
  <si>
    <t xml:space="preserve"> collateral ratio of tranche of Treausry Bill Option is: 0.39157177262454373</t>
  </si>
  <si>
    <t xml:space="preserve"> collateral ratio of tranche of Collar of REIT is: 0.269696838857601
</t>
  </si>
  <si>
    <t xml:space="preserve"> 0.269696838857601
</t>
  </si>
  <si>
    <t xml:space="preserve">date is: 2021-09-16 00:00:00
</t>
  </si>
  <si>
    <t xml:space="preserve"> 2021-09-16 00</t>
  </si>
  <si>
    <t>current price of gold is: 1753.77</t>
  </si>
  <si>
    <t xml:space="preserve"> predicted price of gold is: 1768.5060912624492
</t>
  </si>
  <si>
    <t xml:space="preserve"> 1768.5060912624492
</t>
  </si>
  <si>
    <t>current price of tb is: 98.46484375</t>
  </si>
  <si>
    <t xml:space="preserve"> current price of tb option is: 4.393658873379486</t>
  </si>
  <si>
    <t xml:space="preserve"> predicted price of tb is: 98.57485757180625
</t>
  </si>
  <si>
    <t xml:space="preserve"> 98.57485757180625
</t>
  </si>
  <si>
    <t>current price of reit is: 66.95</t>
  </si>
  <si>
    <t xml:space="preserve"> current price of reit option is: 6.810126342927205</t>
  </si>
  <si>
    <t xml:space="preserve"> predicted price of reit is: 67.3088499742423
</t>
  </si>
  <si>
    <t xml:space="preserve"> 67.3088499742423
</t>
  </si>
  <si>
    <t>value_ratio_gold_to_total is: 0.5580005372883441</t>
  </si>
  <si>
    <t xml:space="preserve"> risk_ratio_to_gold is: 0.7557241553214236</t>
  </si>
  <si>
    <t xml:space="preserve"> risk_ratio_to_gold_before is: 0.7572023529900808
</t>
  </si>
  <si>
    <t xml:space="preserve"> 0.7572023529900808
</t>
  </si>
  <si>
    <t>value_ratio_tb_to_total is: 0.17053720277155796</t>
  </si>
  <si>
    <t xml:space="preserve"> risk_ratio_tb_to_gold is: 0.17527143033192893</t>
  </si>
  <si>
    <t xml:space="preserve"> risk_ratio_tb_to_gold_before is: 0.17362258128171126
</t>
  </si>
  <si>
    <t xml:space="preserve"> 0.17362258128171126
</t>
  </si>
  <si>
    <t>value_ratio_reit_to_total is: 0.2714622599400979</t>
  </si>
  <si>
    <t xml:space="preserve"> risk_ratio_reit_to_gold is: 0.14796270603715575</t>
  </si>
  <si>
    <t xml:space="preserve"> risk_ratio_reit_to_gold_before is: 0.14702835971331749
</t>
  </si>
  <si>
    <t xml:space="preserve"> 0.14702835971331749
</t>
  </si>
  <si>
    <t>delta_gold is: 0.9775425571051135</t>
  </si>
  <si>
    <t xml:space="preserve"> delta_tb is: 0.9983104775159195</t>
  </si>
  <si>
    <t xml:space="preserve"> delta_reit is: 0.985995252477942
</t>
  </si>
  <si>
    <t xml:space="preserve"> 0.985995252477942
</t>
  </si>
  <si>
    <t>delta_gold_risk is: 0.9991587777775611</t>
  </si>
  <si>
    <t xml:space="preserve"> delta_tb_risk is: 1.0014049227379531</t>
  </si>
  <si>
    <t xml:space="preserve"> delta_reit_risk is: 1.000814579967379
</t>
  </si>
  <si>
    <t xml:space="preserve"> 1.000814579967379
</t>
  </si>
  <si>
    <t xml:space="preserve">collateral_ratio_tranche_gold is: 0.7470578520243651
</t>
  </si>
  <si>
    <t xml:space="preserve"> 0.7470578520243651
</t>
  </si>
  <si>
    <t xml:space="preserve">collateral_ratio_tranche_tb is: 0.399329699090139
</t>
  </si>
  <si>
    <t xml:space="preserve"> 0.399329699090139
</t>
  </si>
  <si>
    <t xml:space="preserve">collateral_ratio_tranche_reit is: 0.2718074667454671
</t>
  </si>
  <si>
    <t xml:space="preserve"> 0.2718074667454671
</t>
  </si>
  <si>
    <t>Total plot size is: 141993648.45999283</t>
  </si>
  <si>
    <t xml:space="preserve"> plot size of gold is: 75530036.75342378</t>
  </si>
  <si>
    <t xml:space="preserve"> plot size of TB is: 39555598.44457686</t>
  </si>
  <si>
    <t xml:space="preserve"> plot size of REIT is: 26908013.26199217
</t>
  </si>
  <si>
    <t xml:space="preserve"> 26908013.26199217
</t>
  </si>
  <si>
    <t xml:space="preserve">collateral ratio is: 1.4032410109482591
</t>
  </si>
  <si>
    <t xml:space="preserve"> 1.4032410109482591
</t>
  </si>
  <si>
    <t>S_gtbcps_0 is: 1.0001466602168176</t>
  </si>
  <si>
    <t xml:space="preserve">stdev_gtbcps is: 0.0064652696451085335
</t>
  </si>
  <si>
    <t xml:space="preserve"> 0.0064652696451085335
</t>
  </si>
  <si>
    <t>predicted price of GTBCPS is: 1.0001413584288572</t>
  </si>
  <si>
    <t xml:space="preserve"> actual price is: 1.0001466602168176
</t>
  </si>
  <si>
    <t xml:space="preserve"> 1.0001466602168176
</t>
  </si>
  <si>
    <t>predicted amount of GTBCPS is: 101175477.47691858</t>
  </si>
  <si>
    <t xml:space="preserve"> actual amount is: 101174941.1446488
</t>
  </si>
  <si>
    <t>plot sizes of gold is: 75530036.75342378</t>
  </si>
  <si>
    <t xml:space="preserve"> plot sizes of tb is: 39555598.44457686 </t>
  </si>
  <si>
    <t xml:space="preserve"> plot sizes of reit is: 26908013.26199217</t>
  </si>
  <si>
    <t xml:space="preserve"> plot sizes of total is: 141993648.45999283.
</t>
  </si>
  <si>
    <t xml:space="preserve"> 141993648.45999283.
</t>
  </si>
  <si>
    <t>predicted stdevs of gold is: 0.008060494309045815</t>
  </si>
  <si>
    <t xml:space="preserve"> predicted stdevs of tb is: 0.0012813720695567495</t>
  </si>
  <si>
    <t xml:space="preserve"> predicted stdevs of reit is: 0.009608006069229432</t>
  </si>
  <si>
    <t xml:space="preserve"> predicted stdevs of GTBCPS is: 0.0064652696451085335.
</t>
  </si>
  <si>
    <t xml:space="preserve"> 0.0064652696451085335.
</t>
  </si>
  <si>
    <t>total_value_of_collaterals is: 141993461.7306208</t>
  </si>
  <si>
    <t xml:space="preserve"> createdtionValue_gold is: 400.38484724845284</t>
  </si>
  <si>
    <t xml:space="preserve"> createdValue_tb is: 209.68442016237424</t>
  </si>
  <si>
    <t xml:space="preserve"> createdValue_reit is: 142.63956601441714
</t>
  </si>
  <si>
    <t xml:space="preserve"> 142.63956601441714
</t>
  </si>
  <si>
    <t>plotValue_gold_after_creation is: 75529509.6689318</t>
  </si>
  <si>
    <t xml:space="preserve"> plotValue_tb_after_creation  is: 39555346.68436331</t>
  </si>
  <si>
    <t xml:space="preserve"> plotValue_reit_after_creation  is: 26907852.668492276</t>
  </si>
  <si>
    <t xml:space="preserve">total_value_after_creation is: 141992709.0217874
</t>
  </si>
  <si>
    <t xml:space="preserve"> 141992709.0217874
</t>
  </si>
  <si>
    <t>total_amount_gtncps_before_creation is: 101174941.1446488</t>
  </si>
  <si>
    <t>creation_amount_gtbcps is: 536.3322697728872</t>
  </si>
  <si>
    <t xml:space="preserve">total_amount_gtbcps_new is: 101175477.47691858
</t>
  </si>
  <si>
    <t xml:space="preserve"> 101175477.47691858
</t>
  </si>
  <si>
    <t>payout of tranche of gold is: -126.69964473284125</t>
  </si>
  <si>
    <t xml:space="preserve"> payout of tranche of Treausry Bill Option is: -42.075793388618756</t>
  </si>
  <si>
    <t xml:space="preserve"> payout of tranche of Collar of REIT is: -17.953933880502262
</t>
  </si>
  <si>
    <t xml:space="preserve"> -17.953933880502262
</t>
  </si>
  <si>
    <t>Collateral size of tranche of gold is: 75529509.6689318</t>
  </si>
  <si>
    <t xml:space="preserve"> collateral size of tranche of Treausry Bill Option is: 39555346.68436331</t>
  </si>
  <si>
    <t xml:space="preserve"> collateral size of tranche of Collar of REIT is: 26907852.668492276
</t>
  </si>
  <si>
    <t xml:space="preserve"> 26907852.668492276
</t>
  </si>
  <si>
    <t>Collateral ratio of tranche of gold is: 0.7464183679353664</t>
  </si>
  <si>
    <t xml:space="preserve"> collateral ratio of tranche of Treausry Bill Option is: 0.39090466024043014</t>
  </si>
  <si>
    <t xml:space="preserve"> collateral ratio of tranche of Collar of REIT is: 0.26591613743419856
</t>
  </si>
  <si>
    <t xml:space="preserve"> 0.26591613743419856
</t>
  </si>
  <si>
    <t xml:space="preserve">date is: 2021-09-17 00:00:00
</t>
  </si>
  <si>
    <t xml:space="preserve"> 2021-09-17 00</t>
  </si>
  <si>
    <t>current price of gold is: 1754.34</t>
  </si>
  <si>
    <t xml:space="preserve"> predicted price of gold is: 1755.9283168316374
</t>
  </si>
  <si>
    <t xml:space="preserve"> 1755.9283168316374
</t>
  </si>
  <si>
    <t>current price of tb is: 98.3984375</t>
  </si>
  <si>
    <t xml:space="preserve"> current price of tb option is: 4.3913499958966415</t>
  </si>
  <si>
    <t xml:space="preserve"> predicted price of tb is: 98.51083986695485
</t>
  </si>
  <si>
    <t xml:space="preserve"> 98.51083986695485
</t>
  </si>
  <si>
    <t>current price of reit is: 66.65</t>
  </si>
  <si>
    <t xml:space="preserve"> current price of reit option is: 6.800319077627293</t>
  </si>
  <si>
    <t xml:space="preserve"> predicted price of reit is: 67.2390544485982
</t>
  </si>
  <si>
    <t xml:space="preserve"> 67.2390544485982
</t>
  </si>
  <si>
    <t>value_ratio_gold_to_total is: 0.11781504877048572</t>
  </si>
  <si>
    <t xml:space="preserve"> risk_ratio_to_gold is: 0.765435833022954</t>
  </si>
  <si>
    <t xml:space="preserve"> risk_ratio_to_gold_before is: 0.7557241553214236
</t>
  </si>
  <si>
    <t xml:space="preserve"> 0.7557241553214236
</t>
  </si>
  <si>
    <t>value_ratio_tb_to_total is: 0.3340705038883863</t>
  </si>
  <si>
    <t xml:space="preserve"> risk_ratio_tb_to_gold is: 0.16667482537599662</t>
  </si>
  <si>
    <t xml:space="preserve"> risk_ratio_tb_to_gold_before is: 0.17527143033192893
</t>
  </si>
  <si>
    <t xml:space="preserve"> 0.17527143033192893
</t>
  </si>
  <si>
    <t>value_ratio_reit_to_total is: 0.5481144473411279</t>
  </si>
  <si>
    <t xml:space="preserve"> risk_ratio_reit_to_gold is: 0.1397704138685212</t>
  </si>
  <si>
    <t xml:space="preserve"> risk_ratio_reit_to_gold_before is: 0.14796270603715575
</t>
  </si>
  <si>
    <t xml:space="preserve"> 0.14796270603715575
</t>
  </si>
  <si>
    <t>delta_gold is: 1.000325014112455</t>
  </si>
  <si>
    <t xml:space="preserve"> delta_tb is: 0.9993319450922358</t>
  </si>
  <si>
    <t xml:space="preserve"> delta_reit is: 0.9957998002354341
</t>
  </si>
  <si>
    <t xml:space="preserve"> 0.9957998002354341
</t>
  </si>
  <si>
    <t>delta_gold_risk is: 1.0055314370837214</t>
  </si>
  <si>
    <t xml:space="preserve"> delta_tb_risk is: 0.9926854301618611</t>
  </si>
  <si>
    <t xml:space="preserve"> delta_reit_risk is: 0.9928636251634734
</t>
  </si>
  <si>
    <t xml:space="preserve"> 0.9928636251634734
</t>
  </si>
  <si>
    <t xml:space="preserve">collateral_ratio_tranche_gold is: 0.7425535760515196
</t>
  </si>
  <si>
    <t xml:space="preserve"> 0.7425535760515196
</t>
  </si>
  <si>
    <t xml:space="preserve">collateral_ratio_tranche_tb is: 0.3933940996764413
</t>
  </si>
  <si>
    <t xml:space="preserve"> 0.3933940996764413
</t>
  </si>
  <si>
    <t xml:space="preserve">collateral_ratio_tranche_reit is: 0.2666158718088671
</t>
  </si>
  <si>
    <t xml:space="preserve"> 0.2666158718088671
</t>
  </si>
  <si>
    <t>Total plot size is: 141877813.67841262</t>
  </si>
  <si>
    <t xml:space="preserve"> plot size of gold is: 75554057.825481</t>
  </si>
  <si>
    <t xml:space="preserve"> plot size of TB is: 39528921.540882505</t>
  </si>
  <si>
    <t xml:space="preserve"> plot size of REIT is: 26794834.312049102
</t>
  </si>
  <si>
    <t xml:space="preserve"> 26794834.312049102
</t>
  </si>
  <si>
    <t xml:space="preserve">collateral ratio is: 1.4020962828722467
</t>
  </si>
  <si>
    <t xml:space="preserve"> 1.4020962828722467
</t>
  </si>
  <si>
    <t>S_gtbcps_0 is: 1.0001413584288572</t>
  </si>
  <si>
    <t xml:space="preserve">stdev_gtbcps is: 0.006623741958422046
</t>
  </si>
  <si>
    <t xml:space="preserve"> 0.006623741958422046
</t>
  </si>
  <si>
    <t>predicted price of GTBCPS is: 1.0001258750202713</t>
  </si>
  <si>
    <t xml:space="preserve"> actual price is: 1.0001413584288572
</t>
  </si>
  <si>
    <t xml:space="preserve"> 1.0001413584288572
</t>
  </si>
  <si>
    <t>predicted amount of GTBCPS is: 101177043.82101162</t>
  </si>
  <si>
    <t xml:space="preserve"> actual amount is: 101175477.47691858
</t>
  </si>
  <si>
    <t>plot sizes of gold is: 75554057.825481</t>
  </si>
  <si>
    <t xml:space="preserve"> plot sizes of tb is: 39528921.540882505 </t>
  </si>
  <si>
    <t xml:space="preserve"> plot sizes of reit is: 26794834.312049102</t>
  </si>
  <si>
    <t xml:space="preserve"> plot sizes of total is: 141877813.6784126.
</t>
  </si>
  <si>
    <t xml:space="preserve"> 141877813.6784126.
</t>
  </si>
  <si>
    <t>predicted stdevs of gold is: 0.008364825827792218</t>
  </si>
  <si>
    <t xml:space="preserve"> predicted stdevs of tb is: 0.0012782162302619573</t>
  </si>
  <si>
    <t xml:space="preserve"> predicted stdevs of reit is: 0.009600320011824587</t>
  </si>
  <si>
    <t xml:space="preserve"> predicted stdevs of GTBCPS is: 0.006623741958422046.
</t>
  </si>
  <si>
    <t xml:space="preserve"> 0.006623741958422046.
</t>
  </si>
  <si>
    <t>total_value_of_collaterals is: 141877268.69242555</t>
  </si>
  <si>
    <t xml:space="preserve"> createdtionValue_gold is: 1169.6625475116114</t>
  </si>
  <si>
    <t xml:space="preserve"> createdValue_tb is: 611.9545474520571</t>
  </si>
  <si>
    <t xml:space="preserve"> createdValue_reit is: 414.81614088095097
</t>
  </si>
  <si>
    <t xml:space="preserve"> 414.81614088095097
</t>
  </si>
  <si>
    <t>plotValue_gold_after_creation is: 75552471.04210964</t>
  </si>
  <si>
    <t xml:space="preserve"> plotValue_tb_after_creation  is: 39528219.76203344</t>
  </si>
  <si>
    <t xml:space="preserve"> plotValue_reit_after_creation  is: 26794381.455046628</t>
  </si>
  <si>
    <t xml:space="preserve">total_value_after_creation is: 141875072.2591897
</t>
  </si>
  <si>
    <t xml:space="preserve"> 141875072.2591897
</t>
  </si>
  <si>
    <t>total_amount_gtncps_before_creation is: 101175477.47691858</t>
  </si>
  <si>
    <t>creation_amount_gtbcps is: 1566.3440930396318</t>
  </si>
  <si>
    <t xml:space="preserve">total_amount_gtbcps_new is: 101177043.82101162
</t>
  </si>
  <si>
    <t xml:space="preserve"> 101177043.82101162
</t>
  </si>
  <si>
    <t>payout of tranche of gold is: -417.1208238464688</t>
  </si>
  <si>
    <t xml:space="preserve"> payout of tranche of Treausry Bill Option is: -89.82430161516542</t>
  </si>
  <si>
    <t xml:space="preserve"> payout of tranche of Collar of REIT is: -38.04086159223522
</t>
  </si>
  <si>
    <t xml:space="preserve"> -38.04086159223522
</t>
  </si>
  <si>
    <t>Collateral size of tranche of gold is: 75552471.04210964</t>
  </si>
  <si>
    <t xml:space="preserve"> collateral size of tranche of Treausry Bill Option is: 39528219.76203344</t>
  </si>
  <si>
    <t xml:space="preserve"> collateral size of tranche of Collar of REIT is: 26794381.455046628
</t>
  </si>
  <si>
    <t xml:space="preserve"> 26794381.455046628
</t>
  </si>
  <si>
    <t>Collateral ratio of tranche of gold is: 0.746652884217537</t>
  </si>
  <si>
    <t xml:space="preserve"> collateral ratio of tranche of Treausry Bill Option is: 0.39064055597674857</t>
  </si>
  <si>
    <t xml:space="preserve"> collateral ratio of tranche of Collar of REIT is: 0.2647974568970077
</t>
  </si>
  <si>
    <t xml:space="preserve"> 0.2647974568970077
</t>
  </si>
  <si>
    <t xml:space="preserve">date is: 2021-09-20 00:00:00
</t>
  </si>
  <si>
    <t xml:space="preserve"> 2021-09-20 00</t>
  </si>
  <si>
    <t xml:space="preserve"> predicted price of gold is: 1765.7169476266024
</t>
  </si>
  <si>
    <t xml:space="preserve"> 1765.7169476266024
</t>
  </si>
  <si>
    <t>current price of tb is: 98.52734375</t>
  </si>
  <si>
    <t xml:space="preserve"> current price of tb option is: 4.395975018576046</t>
  </si>
  <si>
    <t xml:space="preserve"> predicted price of tb is: 98.63496149759332
</t>
  </si>
  <si>
    <t xml:space="preserve"> 98.63496149759332
</t>
  </si>
  <si>
    <t>current price of reit is: 64.65</t>
  </si>
  <si>
    <t xml:space="preserve"> current price of reit option is: 6.854557800126798</t>
  </si>
  <si>
    <t xml:space="preserve"> predicted price of reit is: 65.19501367493643
</t>
  </si>
  <si>
    <t xml:space="preserve"> 65.19501367493643
</t>
  </si>
  <si>
    <t>value_ratio_gold_to_total is: 0.11567122486722405</t>
  </si>
  <si>
    <t xml:space="preserve"> risk_ratio_to_gold is: 0.7667277422234445</t>
  </si>
  <si>
    <t xml:space="preserve"> risk_ratio_to_gold_before is: 0.765435833022954
</t>
  </si>
  <si>
    <t xml:space="preserve"> 0.765435833022954
</t>
  </si>
  <si>
    <t>value_ratio_tb_to_total is: 0.3345880636349997</t>
  </si>
  <si>
    <t xml:space="preserve"> risk_ratio_tb_to_gold is: 0.16735275779211758</t>
  </si>
  <si>
    <t xml:space="preserve"> risk_ratio_tb_to_gold_before is: 0.16667482537599662
</t>
  </si>
  <si>
    <t xml:space="preserve"> 0.16667482537599662
</t>
  </si>
  <si>
    <t>value_ratio_reit_to_total is: 0.5497407114977763</t>
  </si>
  <si>
    <t xml:space="preserve"> risk_ratio_reit_to_gold is: 0.13689116730714385</t>
  </si>
  <si>
    <t xml:space="preserve"> risk_ratio_reit_to_gold_before is: 0.1397704138685212
</t>
  </si>
  <si>
    <t xml:space="preserve"> 0.1397704138685212
</t>
  </si>
  <si>
    <t>delta_gold is: 1.0055975466557225</t>
  </si>
  <si>
    <t xml:space="preserve"> delta_tb is: 1.0012990713954413</t>
  </si>
  <si>
    <t xml:space="preserve"> delta_reit is: 0.9735091514654405
</t>
  </si>
  <si>
    <t xml:space="preserve"> 0.9735091514654405
</t>
  </si>
  <si>
    <t>delta_gold_risk is: 1.0007317791880763</t>
  </si>
  <si>
    <t xml:space="preserve"> delta_tb_risk is: 1.000581080864501</t>
  </si>
  <si>
    <t xml:space="preserve"> delta_reit_risk is: 0.9974738363741125
</t>
  </si>
  <si>
    <t xml:space="preserve"> 0.9974738363741125
</t>
  </si>
  <si>
    <t xml:space="preserve">collateral_ratio_tranche_gold is: 0.7502832668927004
</t>
  </si>
  <si>
    <t xml:space="preserve"> 0.7502832668927004
</t>
  </si>
  <si>
    <t xml:space="preserve">collateral_ratio_tranche_tb is: 0.38874485186672986
</t>
  </si>
  <si>
    <t xml:space="preserve"> 0.38874485186672986
</t>
  </si>
  <si>
    <t xml:space="preserve">collateral_ratio_tranche_reit is: 0.25699704523071204
</t>
  </si>
  <si>
    <t xml:space="preserve"> 0.25699704523071204
</t>
  </si>
  <si>
    <t>Total plot size is: 141639524.81970578</t>
  </si>
  <si>
    <t xml:space="preserve"> plot size of gold is: 75975379.52372298</t>
  </si>
  <si>
    <t xml:space="preserve"> plot size of TB is: 39579569.74163902</t>
  </si>
  <si>
    <t xml:space="preserve"> plot size of REIT is: 26084575.55434378
</t>
  </si>
  <si>
    <t xml:space="preserve"> 26084575.55434378
</t>
  </si>
  <si>
    <t xml:space="preserve">collateral ratio is: 1.3997414120550238
</t>
  </si>
  <si>
    <t xml:space="preserve"> 1.3997414120550238
</t>
  </si>
  <si>
    <t>S_gtbcps_0 is: 1.0001258750202713</t>
  </si>
  <si>
    <t xml:space="preserve">stdev_gtbcps is: 0.006684827945997801
</t>
  </si>
  <si>
    <t xml:space="preserve"> 0.006684827945997801
</t>
  </si>
  <si>
    <t>predicted price of GTBCPS is: 1.0001246929058</t>
  </si>
  <si>
    <t xml:space="preserve"> actual price is: 1.0001258750202713
</t>
  </si>
  <si>
    <t xml:space="preserve"> 1.0001258750202713
</t>
  </si>
  <si>
    <t>predicted amount of GTBCPS is: 101177163.4089475</t>
  </si>
  <si>
    <t xml:space="preserve"> actual amount is: 101177043.82101162
</t>
  </si>
  <si>
    <t>plot sizes of gold is: 75975379.52372298</t>
  </si>
  <si>
    <t xml:space="preserve"> plot sizes of tb is: 39579569.74163902 </t>
  </si>
  <si>
    <t xml:space="preserve"> plot sizes of reit is: 26084575.55434378</t>
  </si>
  <si>
    <t xml:space="preserve"> plot sizes of total is: 141639524.81970578.
</t>
  </si>
  <si>
    <t xml:space="preserve"> 141639524.81970578.
</t>
  </si>
  <si>
    <t>predicted stdevs of gold is: 0.008361241814909812</t>
  </si>
  <si>
    <t xml:space="preserve"> predicted stdevs of tb is: 0.001283115343842572</t>
  </si>
  <si>
    <t xml:space="preserve"> predicted stdevs of reit is: 0.009998329465384318</t>
  </si>
  <si>
    <t xml:space="preserve"> predicted stdevs of GTBCPS is: 0.006684827945997801.
</t>
  </si>
  <si>
    <t xml:space="preserve"> 0.006684827945997801.
</t>
  </si>
  <si>
    <t>total_value_of_collaterals is: 141639483.19504872</t>
  </si>
  <si>
    <t xml:space="preserve"> createdtionValue_gold is: 89.8002540565739</t>
  </si>
  <si>
    <t xml:space="preserve"> createdValue_tb is: 46.7816854560736</t>
  </si>
  <si>
    <t xml:space="preserve"> createdValue_reit is: 30.83107013971965
</t>
  </si>
  <si>
    <t xml:space="preserve"> 30.83107013971965
</t>
  </si>
  <si>
    <t>plotValue_gold_after_creation is: 75975257.64597327</t>
  </si>
  <si>
    <t xml:space="preserve"> plotValue_tb_after_creation  is: 39579516.14924057</t>
  </si>
  <si>
    <t xml:space="preserve"> plotValue_reit_after_creation  is: 26084541.98682522</t>
  </si>
  <si>
    <t xml:space="preserve">total_value_after_creation is: 141639315.78203905
</t>
  </si>
  <si>
    <t xml:space="preserve"> 141639315.78203905
</t>
  </si>
  <si>
    <t>total_amount_gtncps_before_creation is: 101177043.82101162</t>
  </si>
  <si>
    <t>creation_amount_gtbcps is: 119.58793587982655</t>
  </si>
  <si>
    <t xml:space="preserve">total_amount_gtbcps_new is: 101177163.4089475
</t>
  </si>
  <si>
    <t xml:space="preserve"> 101177163.4089475
</t>
  </si>
  <si>
    <t>payout of tranche of gold is: -32.077495651638785</t>
  </si>
  <si>
    <t xml:space="preserve"> payout of tranche of Treausry Bill Option is: -6.810712992263011</t>
  </si>
  <si>
    <t xml:space="preserve"> payout of tranche of Collar of REIT is: -2.7364484176650525
</t>
  </si>
  <si>
    <t xml:space="preserve"> -2.7364484176650525
</t>
  </si>
  <si>
    <t>Collateral size of tranche of gold is: 75975257.64597327</t>
  </si>
  <si>
    <t xml:space="preserve"> collateral size of tranche of Treausry Bill Option is: 39579516.14924057</t>
  </si>
  <si>
    <t xml:space="preserve"> collateral size of tranche of Collar of REIT is: 26084541.98682522
</t>
  </si>
  <si>
    <t xml:space="preserve"> 26084541.98682522
</t>
  </si>
  <si>
    <t>Collateral ratio of tranche of gold is: 0.7508203677689674</t>
  </si>
  <si>
    <t xml:space="preserve"> collateral ratio of tranche of Treausry Bill Option is: 0.39114190319386977</t>
  </si>
  <si>
    <t xml:space="preserve"> collateral ratio of tranche of Collar of REIT is: 0.2577787297398022
</t>
  </si>
  <si>
    <t xml:space="preserve"> 0.2577787297398022
</t>
  </si>
  <si>
    <t xml:space="preserve">date is: 2021-09-21 00:00:00
</t>
  </si>
  <si>
    <t xml:space="preserve"> 2021-09-21 00</t>
  </si>
  <si>
    <t>current price of gold is: 1774.51</t>
  </si>
  <si>
    <t xml:space="preserve"> predicted price of gold is: 1768.8303469143445
</t>
  </si>
  <si>
    <t xml:space="preserve"> 1768.8303469143445
</t>
  </si>
  <si>
    <t>current price of tb is: 98.51171875</t>
  </si>
  <si>
    <t xml:space="preserve"> current price of tb option is: 4.394402724068594</t>
  </si>
  <si>
    <t xml:space="preserve"> predicted price of tb is: 98.62096310000886
</t>
  </si>
  <si>
    <t xml:space="preserve"> 98.62096310000886
</t>
  </si>
  <si>
    <t>current price of reit is: 64.75</t>
  </si>
  <si>
    <t xml:space="preserve"> current price of reit option is: 6.847171115876918</t>
  </si>
  <si>
    <t xml:space="preserve"> predicted price of reit is: 65.21706485883502
</t>
  </si>
  <si>
    <t xml:space="preserve"> 65.21706485883502
</t>
  </si>
  <si>
    <t>value_ratio_gold_to_total is: -0.9252916752495903</t>
  </si>
  <si>
    <t xml:space="preserve"> risk_ratio_to_gold is: 0.768452508484262</t>
  </si>
  <si>
    <t xml:space="preserve"> risk_ratio_to_gold_before is: 0.7667277422234445
</t>
  </si>
  <si>
    <t xml:space="preserve"> 0.7667277422234445
</t>
  </si>
  <si>
    <t>value_ratio_tb_to_total is: 0.7337045208677826</t>
  </si>
  <si>
    <t xml:space="preserve"> risk_ratio_tb_to_gold is: 0.16548861607327447</t>
  </si>
  <si>
    <t xml:space="preserve"> risk_ratio_tb_to_gold_before is: 0.16735275779211758
</t>
  </si>
  <si>
    <t xml:space="preserve"> 0.16735275779211758
</t>
  </si>
  <si>
    <t>value_ratio_reit_to_total is: 1.1915871543818077</t>
  </si>
  <si>
    <t xml:space="preserve"> risk_ratio_reit_to_gold is: 0.1358279766364753</t>
  </si>
  <si>
    <t xml:space="preserve"> risk_ratio_reit_to_gold_before is: 0.13689116730714385
</t>
  </si>
  <si>
    <t xml:space="preserve"> 0.13689116730714385
</t>
  </si>
  <si>
    <t>delta_gold is: 1.0058668148013785</t>
  </si>
  <si>
    <t xml:space="preserve"> delta_tb is: 0.9998329115820087</t>
  </si>
  <si>
    <t xml:space="preserve"> delta_reit is: 1.0012952085657112
</t>
  </si>
  <si>
    <t xml:space="preserve"> 1.0012952085657112
</t>
  </si>
  <si>
    <t>delta_gold_risk is: 1.0009762490391683</t>
  </si>
  <si>
    <t xml:space="preserve"> delta_tb_risk is: 0.9984031033409567</t>
  </si>
  <si>
    <t xml:space="preserve"> delta_reit_risk is: 0.9990648263428885
</t>
  </si>
  <si>
    <t xml:space="preserve"> 0.9990648263428885
</t>
  </si>
  <si>
    <t xml:space="preserve">collateral_ratio_tranche_gold is: 0.7544887229249521
</t>
  </si>
  <si>
    <t xml:space="preserve"> 0.7544887229249521
</t>
  </si>
  <si>
    <t xml:space="preserve">collateral_ratio_tranche_tb is: 0.3894174157573289
</t>
  </si>
  <si>
    <t xml:space="preserve"> 0.3894174157573289
</t>
  </si>
  <si>
    <t xml:space="preserve">collateral_ratio_tranche_reit is: 0.2568473372529425
</t>
  </si>
  <si>
    <t xml:space="preserve"> 0.2568473372529425
</t>
  </si>
  <si>
    <t>Total plot size is: 142112220.19161075</t>
  </si>
  <si>
    <t xml:space="preserve"> plot size of gold is: 76420990.4120692</t>
  </si>
  <si>
    <t xml:space="preserve"> plot size of TB is: 39572902.87050233</t>
  </si>
  <si>
    <t xml:space="preserve"> plot size of REIT is: 26118326.90903921
</t>
  </si>
  <si>
    <t xml:space="preserve"> 26118326.90903921
</t>
  </si>
  <si>
    <t xml:space="preserve">collateral ratio is: 1.404412786716753
</t>
  </si>
  <si>
    <t xml:space="preserve"> 1.404412786716753
</t>
  </si>
  <si>
    <t>S_gtbcps_0 is: 1.0001246929058</t>
  </si>
  <si>
    <t xml:space="preserve">stdev_gtbcps is: 0.006683983199893733
</t>
  </si>
  <si>
    <t xml:space="preserve"> 0.006683983199893733
</t>
  </si>
  <si>
    <t>predicted price of GTBCPS is: 1.0001080689280002</t>
  </si>
  <si>
    <t xml:space="preserve"> actual price is: 1.0001246929058
</t>
  </si>
  <si>
    <t xml:space="preserve"> 1.0001246929058
</t>
  </si>
  <si>
    <t>predicted amount of GTBCPS is: 101178845.19411711</t>
  </si>
  <si>
    <t xml:space="preserve"> actual amount is: 101177163.4089475
</t>
  </si>
  <si>
    <t>plot sizes of gold is: 76420990.4120692</t>
  </si>
  <si>
    <t xml:space="preserve"> plot sizes of tb is: 39572902.87050233 </t>
  </si>
  <si>
    <t xml:space="preserve"> plot sizes of reit is: 26118326.90903921</t>
  </si>
  <si>
    <t xml:space="preserve"> plot sizes of total is: 142112220.19161072.
</t>
  </si>
  <si>
    <t xml:space="preserve"> 142112220.19161072.
</t>
  </si>
  <si>
    <t>predicted stdevs of gold is: 0.00837674840241397</t>
  </si>
  <si>
    <t xml:space="preserve"> predicted stdevs of tb is: 0.0012746333809085775</t>
  </si>
  <si>
    <t xml:space="preserve"> predicted stdevs of reit is: 0.00992695056003775</t>
  </si>
  <si>
    <t xml:space="preserve"> predicted stdevs of GTBCPS is: 0.006683983199893733.
</t>
  </si>
  <si>
    <t xml:space="preserve"> 0.006683983199893733.
</t>
  </si>
  <si>
    <t>total_value_of_collaterals is: 142111634.51052982</t>
  </si>
  <si>
    <t xml:space="preserve"> createdtionValue_gold is: 1270.25493810645</t>
  </si>
  <si>
    <t xml:space="preserve"> createdValue_tb is: 657.7755095787877</t>
  </si>
  <si>
    <t xml:space="preserve"> createdValue_reit is: 434.135664126081
</t>
  </si>
  <si>
    <t xml:space="preserve"> 434.135664126081
</t>
  </si>
  <si>
    <t>plotValue_gold_after_creation is: 76419267.90990652</t>
  </si>
  <si>
    <t xml:space="preserve"> plotValue_tb_after_creation  is: 39572153.10338294</t>
  </si>
  <si>
    <t xml:space="preserve"> plotValue_reit_after_creation  is: 26117851.33112856</t>
  </si>
  <si>
    <t xml:space="preserve">total_value_after_creation is: 142109272.34441802
</t>
  </si>
  <si>
    <t xml:space="preserve"> 142109272.34441802
</t>
  </si>
  <si>
    <t>total_amount_gtncps_before_creation is: 101177163.4089475</t>
  </si>
  <si>
    <t>creation_amount_gtbcps is: 1681.7851696163416</t>
  </si>
  <si>
    <t xml:space="preserve">total_amount_gtbcps_new is: 101178845.19411711
</t>
  </si>
  <si>
    <t xml:space="preserve"> 101178845.19411711
</t>
  </si>
  <si>
    <t>payout of tranche of gold is: -452.2472245648913</t>
  </si>
  <si>
    <t xml:space="preserve"> payout of tranche of Treausry Bill Option is: -91.99160980981523</t>
  </si>
  <si>
    <t xml:space="preserve"> payout of tranche of Collar of REIT is: -41.44224652348951
</t>
  </si>
  <si>
    <t xml:space="preserve"> -41.44224652348951
</t>
  </si>
  <si>
    <t>Collateral size of tranche of gold is: 76419267.90990652</t>
  </si>
  <si>
    <t xml:space="preserve"> collateral size of tranche of Treausry Bill Option is: 39572153.10338294</t>
  </si>
  <si>
    <t xml:space="preserve"> collateral size of tranche of Collar of REIT is: 26117851.33112856
</t>
  </si>
  <si>
    <t xml:space="preserve"> 26117851.33112856
</t>
  </si>
  <si>
    <t>Collateral ratio of tranche of gold is: 0.7552199298679255</t>
  </si>
  <si>
    <t xml:space="preserve"> collateral ratio of tranche of Treausry Bill Option is: 0.3910751765731778</t>
  </si>
  <si>
    <t xml:space="preserve"> collateral ratio of tranche of Collar of REIT is: 0.25811189232864695
</t>
  </si>
  <si>
    <t xml:space="preserve"> 0.25811189232864695
</t>
  </si>
  <si>
    <t xml:space="preserve">date is: 2021-09-23 00:00:00
</t>
  </si>
  <si>
    <t xml:space="preserve"> 2021-09-23 00</t>
  </si>
  <si>
    <t>current price of gold is: 1742.76</t>
  </si>
  <si>
    <t xml:space="preserve"> predicted price of gold is: 1747.0148955841116
</t>
  </si>
  <si>
    <t xml:space="preserve"> 1747.0148955841116
</t>
  </si>
  <si>
    <t>current price of tb is: 98.05078125</t>
  </si>
  <si>
    <t xml:space="preserve"> current price of tb option is: 4.388570375031853</t>
  </si>
  <si>
    <t xml:space="preserve"> predicted price of tb is: 98.1660586301667
</t>
  </si>
  <si>
    <t xml:space="preserve"> 98.1660586301667
</t>
  </si>
  <si>
    <t>current price of reit is: 66.1</t>
  </si>
  <si>
    <t xml:space="preserve"> current price of reit option is: 6.717172177671586</t>
  </si>
  <si>
    <t xml:space="preserve"> predicted price of reit is: 66.49825899944751
</t>
  </si>
  <si>
    <t xml:space="preserve"> 66.49825899944751
</t>
  </si>
  <si>
    <t>value_ratio_gold_to_total is: 0.2680388564273341</t>
  </si>
  <si>
    <t xml:space="preserve"> risk_ratio_to_gold is: 0.754944401644214</t>
  </si>
  <si>
    <t xml:space="preserve"> risk_ratio_to_gold_before is: 0.768452508484262
</t>
  </si>
  <si>
    <t xml:space="preserve"> 0.768452508484262
</t>
  </si>
  <si>
    <t>value_ratio_tb_to_total is: 0.2837216984440484</t>
  </si>
  <si>
    <t xml:space="preserve"> risk_ratio_tb_to_gold is: 0.1753465579501715</t>
  </si>
  <si>
    <t xml:space="preserve"> risk_ratio_tb_to_gold_before is: 0.16548861607327447
</t>
  </si>
  <si>
    <t xml:space="preserve"> 0.16548861607327447
</t>
  </si>
  <si>
    <t>value_ratio_reit_to_total is: 0.4482394451286175</t>
  </si>
  <si>
    <t xml:space="preserve"> risk_ratio_reit_to_gold is: 0.14925429718839583</t>
  </si>
  <si>
    <t xml:space="preserve"> risk_ratio_reit_to_gold_before is: 0.1358279766364753
</t>
  </si>
  <si>
    <t xml:space="preserve"> 0.1358279766364753
</t>
  </si>
  <si>
    <t>delta_gold is: 0.9821077367836755</t>
  </si>
  <si>
    <t xml:space="preserve"> delta_tb is: 0.9954641197010387</t>
  </si>
  <si>
    <t xml:space="preserve"> delta_reit is: 1.0170397942094687
</t>
  </si>
  <si>
    <t xml:space="preserve"> 1.0170397942094687
</t>
  </si>
  <si>
    <t>delta_gold_risk is: 0.9923616230714468</t>
  </si>
  <si>
    <t xml:space="preserve"> delta_tb_risk is: 1.0084582052033337</t>
  </si>
  <si>
    <t xml:space="preserve"> delta_reit_risk is: 1.011820734149972
</t>
  </si>
  <si>
    <t xml:space="preserve"> 1.011820734149972
</t>
  </si>
  <si>
    <t xml:space="preserve">collateral_ratio_tranche_gold is: 0.747416384161315
</t>
  </si>
  <si>
    <t xml:space="preserve"> 0.747416384161315
</t>
  </si>
  <si>
    <t xml:space="preserve">collateral_ratio_tranche_tb is: 0.3930690280631629
</t>
  </si>
  <si>
    <t xml:space="preserve"> 0.3930690280631629
</t>
  </si>
  <si>
    <t xml:space="preserve">collateral_ratio_tranche_reit is: 0.2641698526367823
</t>
  </si>
  <si>
    <t xml:space="preserve"> 0.2641698526367823
</t>
  </si>
  <si>
    <t>Total plot size is: 141007506.95040196</t>
  </si>
  <si>
    <t xml:space="preserve"> plot size of gold is: 75051954.25366364</t>
  </si>
  <si>
    <t xml:space="preserve"> plot size of TB is: 39392658.55373382</t>
  </si>
  <si>
    <t xml:space="preserve"> plot size of REIT is: 26562894.14300449
</t>
  </si>
  <si>
    <t xml:space="preserve"> 26562894.14300449
</t>
  </si>
  <si>
    <t xml:space="preserve">collateral ratio is: 1.3934955454019877
</t>
  </si>
  <si>
    <t xml:space="preserve"> 1.3934955454019877
</t>
  </si>
  <si>
    <t>S_gtbcps_0 is: 1.0001080689280002</t>
  </si>
  <si>
    <t xml:space="preserve">stdev_gtbcps is: 0.006757865075706925
</t>
  </si>
  <si>
    <t xml:space="preserve"> 0.006757865075706925
</t>
  </si>
  <si>
    <t>predicted price of GTBCPS is: 1.000135870703906</t>
  </si>
  <si>
    <t xml:space="preserve"> actual price is: 1.0001080689280002
</t>
  </si>
  <si>
    <t xml:space="preserve"> 1.0001080689280002
</t>
  </si>
  <si>
    <t>predicted amount of GTBCPS is: 101176032.62468238</t>
  </si>
  <si>
    <t xml:space="preserve"> actual amount is: 101178845.19411711
</t>
  </si>
  <si>
    <t>plot sizes of gold is: 75051954.25366364</t>
  </si>
  <si>
    <t xml:space="preserve"> plot sizes of tb is: 39392658.55373382 </t>
  </si>
  <si>
    <t xml:space="preserve"> plot sizes of reit is: 26562894.14300449</t>
  </si>
  <si>
    <t xml:space="preserve"> plot sizes of total is: 141007506.95040193.
</t>
  </si>
  <si>
    <t xml:space="preserve"> 141007506.95040193.
</t>
  </si>
  <si>
    <t>predicted stdevs of gold is: 0.008392794469120644</t>
  </si>
  <si>
    <t xml:space="preserve"> predicted stdevs of tb is: 0.0013519684468441954</t>
  </si>
  <si>
    <t xml:space="preserve"> predicted stdevs of reit is: 0.010155386202330136</t>
  </si>
  <si>
    <t xml:space="preserve"> predicted stdevs of GTBCPS is: 0.006757865075706925.
</t>
  </si>
  <si>
    <t xml:space="preserve"> 0.006757865075706925.
</t>
  </si>
  <si>
    <t>total_value_of_collaterals is: 141008484.32727963</t>
  </si>
  <si>
    <t xml:space="preserve"> createdtionValue_gold is: -2086.3729533207406</t>
  </si>
  <si>
    <t xml:space="preserve"> createdValue_tb is: -1095.072008777342</t>
  </si>
  <si>
    <t xml:space="preserve"> createdValue_reit is: -738.4177046662334
</t>
  </si>
  <si>
    <t xml:space="preserve"> -738.4177046662334
</t>
  </si>
  <si>
    <t>plotValue_gold_after_creation is: 75054789.20961535</t>
  </si>
  <si>
    <t xml:space="preserve"> plotValue_tb_after_creation  is: 39393915.003219575</t>
  </si>
  <si>
    <t xml:space="preserve"> plotValue_reit_after_creation  is: 26563699.97711147</t>
  </si>
  <si>
    <t xml:space="preserve">total_value_after_creation is: 141012404.18994638
</t>
  </si>
  <si>
    <t xml:space="preserve"> 141012404.18994638
</t>
  </si>
  <si>
    <t>total_amount_gtncps_before_creation is: 101178845.19411711</t>
  </si>
  <si>
    <t>creation_amount_gtbcps is: -2812.5694347321987</t>
  </si>
  <si>
    <t xml:space="preserve">total_amount_gtbcps_new is: 101176032.62468238
</t>
  </si>
  <si>
    <t xml:space="preserve"> 101176032.62468238
</t>
  </si>
  <si>
    <t>payout of tranche of gold is: 748.5829983773704</t>
  </si>
  <si>
    <t xml:space="preserve"> payout of tranche of Treausry Bill Option is: 161.37747698449388</t>
  </si>
  <si>
    <t xml:space="preserve"> payout of tranche of Collar of REIT is: 67.41640231431177
</t>
  </si>
  <si>
    <t xml:space="preserve"> 67.41640231431177
</t>
  </si>
  <si>
    <t>Collateral size of tranche of gold is: 75054789.20961535</t>
  </si>
  <si>
    <t xml:space="preserve"> collateral size of tranche of Treausry Bill Option is: 39393915.003219575</t>
  </si>
  <si>
    <t xml:space="preserve"> collateral size of tranche of Collar of REIT is: 26563699.97711147
</t>
  </si>
  <si>
    <t xml:space="preserve"> 26563699.97711147
</t>
  </si>
  <si>
    <t>Collateral ratio of tranche of gold is: 0.7417024053198434</t>
  </si>
  <si>
    <t xml:space="preserve"> collateral ratio of tranche of Treausry Bill Option is: 0.3892964302551157</t>
  </si>
  <si>
    <t xml:space="preserve"> collateral ratio of tranche of Collar of REIT is: 0.26250636867679267
</t>
  </si>
  <si>
    <t xml:space="preserve"> 0.26250636867679267
</t>
  </si>
  <si>
    <t xml:space="preserve">date is: 2021-09-24 00:00:00
</t>
  </si>
  <si>
    <t xml:space="preserve"> 2021-09-24 00</t>
  </si>
  <si>
    <t>current price of gold is: 1750.42</t>
  </si>
  <si>
    <t xml:space="preserve"> predicted price of gold is: 1754.554931728953
</t>
  </si>
  <si>
    <t xml:space="preserve"> 1754.554931728953
</t>
  </si>
  <si>
    <t>current price of tb is: 98.04296875</t>
  </si>
  <si>
    <t xml:space="preserve"> current price of tb option is: 4.383835131540542</t>
  </si>
  <si>
    <t xml:space="preserve"> predicted price of tb is: 98.16314497963111
</t>
  </si>
  <si>
    <t xml:space="preserve"> 98.16314497963111
</t>
  </si>
  <si>
    <t>current price of reit is: 65.25</t>
  </si>
  <si>
    <t xml:space="preserve"> current price of reit option is: 6.7009254473498885</t>
  </si>
  <si>
    <t xml:space="preserve"> predicted price of reit is: 65.84137734004568
</t>
  </si>
  <si>
    <t xml:space="preserve"> 65.84137734004568
</t>
  </si>
  <si>
    <t>value_ratio_gold_to_total is: 0.25954854759900475</t>
  </si>
  <si>
    <t xml:space="preserve"> risk_ratio_to_gold is: 0.7604716123981475</t>
  </si>
  <si>
    <t xml:space="preserve"> risk_ratio_to_gold_before is: 0.754944401644214
</t>
  </si>
  <si>
    <t xml:space="preserve"> 0.754944401644214
</t>
  </si>
  <si>
    <t>value_ratio_tb_to_total is: 0.282715576408687</t>
  </si>
  <si>
    <t xml:space="preserve"> risk_ratio_tb_to_gold is: 0.17110012509707345</t>
  </si>
  <si>
    <t xml:space="preserve"> risk_ratio_tb_to_gold_before is: 0.1753465579501715
</t>
  </si>
  <si>
    <t xml:space="preserve"> 0.1753465579501715
</t>
  </si>
  <si>
    <t>value_ratio_reit_to_total is: 0.45773587599230825</t>
  </si>
  <si>
    <t xml:space="preserve"> risk_ratio_reit_to_gold is: 0.14387335148872515</t>
  </si>
  <si>
    <t xml:space="preserve"> risk_ratio_reit_to_gold_before is: 0.14925429718839583
</t>
  </si>
  <si>
    <t xml:space="preserve"> 0.14925429718839583
</t>
  </si>
  <si>
    <t>delta_gold is: 1.0043953269526498</t>
  </si>
  <si>
    <t xml:space="preserve"> delta_tb is: 0.9998775105143457</t>
  </si>
  <si>
    <t xml:space="preserve"> delta_reit is: 0.9881038125428975
</t>
  </si>
  <si>
    <t xml:space="preserve"> 0.9881038125428975
</t>
  </si>
  <si>
    <t>delta_gold_risk is: 1.003149507613321</t>
  </si>
  <si>
    <t xml:space="preserve"> delta_tb_risk is: 0.9963870801982829</t>
  </si>
  <si>
    <t xml:space="preserve"> delta_reit_risk is: 0.995317880722452
</t>
  </si>
  <si>
    <t xml:space="preserve"> 0.995317880722452
</t>
  </si>
  <si>
    <t xml:space="preserve">collateral_ratio_tranche_gold is: 0.7426235314267311
</t>
  </si>
  <si>
    <t xml:space="preserve"> 0.7426235314267311
</t>
  </si>
  <si>
    <t xml:space="preserve">collateral_ratio_tranche_tb is: 0.38895060432293455
</t>
  </si>
  <si>
    <t xml:space="preserve"> 0.38895060432293455
</t>
  </si>
  <si>
    <t xml:space="preserve">collateral_ratio_tranche_reit is: 0.25946329539867513
</t>
  </si>
  <si>
    <t xml:space="preserve"> 0.25946329539867513
</t>
  </si>
  <si>
    <t>Total plot size is: 141021462.43301627</t>
  </si>
  <si>
    <t xml:space="preserve"> plot size of gold is: 75384679.54755382</t>
  </si>
  <si>
    <t xml:space="preserve"> plot size of TB is: 39389089.66283292</t>
  </si>
  <si>
    <t xml:space="preserve"> plot size of REIT is: 26247693.22262952
</t>
  </si>
  <si>
    <t xml:space="preserve"> 26247693.22262952
</t>
  </si>
  <si>
    <t xml:space="preserve">collateral ratio is: 1.393633459356199
</t>
  </si>
  <si>
    <t xml:space="preserve"> 1.393633459356199
</t>
  </si>
  <si>
    <t>S_gtbcps_0 is: 1.000135870703906</t>
  </si>
  <si>
    <t xml:space="preserve">stdev_gtbcps is: 0.006854397777683313
</t>
  </si>
  <si>
    <t xml:space="preserve"> 0.006854397777683313
</t>
  </si>
  <si>
    <t>predicted price of GTBCPS is: 1.0001343920427979</t>
  </si>
  <si>
    <t xml:space="preserve"> actual price is: 1.000135870703906
</t>
  </si>
  <si>
    <t xml:space="preserve"> 1.000135870703906
</t>
  </si>
  <si>
    <t>predicted amount of GTBCPS is: 101176182.20964389</t>
  </si>
  <si>
    <t xml:space="preserve"> actual amount is: 101176032.62468238
</t>
  </si>
  <si>
    <t>plot sizes of gold is: 75384679.54755382</t>
  </si>
  <si>
    <t xml:space="preserve"> plot sizes of tb is: 39389089.66283292 </t>
  </si>
  <si>
    <t xml:space="preserve"> plot sizes of reit is: 26247693.22262952</t>
  </si>
  <si>
    <t xml:space="preserve"> plot sizes of total is: 141021462.43301627.
</t>
  </si>
  <si>
    <t xml:space="preserve"> 141021462.43301627.
</t>
  </si>
  <si>
    <t>predicted stdevs of gold is: 0.008567242817939738</t>
  </si>
  <si>
    <t xml:space="preserve"> predicted stdevs of tb is: 0.0013508528723987156</t>
  </si>
  <si>
    <t xml:space="preserve"> predicted stdevs of reit is: 0.010194018845326731</t>
  </si>
  <si>
    <t xml:space="preserve"> predicted stdevs of GTBCPS is: 0.006854397777683313.
</t>
  </si>
  <si>
    <t xml:space="preserve"> 0.006854397777683313.
</t>
  </si>
  <si>
    <t>total_value_of_collaterals is: 141021410.37683877</t>
  </si>
  <si>
    <t xml:space="preserve"> createdtionValue_gold is: 111.45319145694491</t>
  </si>
  <si>
    <t xml:space="preserve"> createdValue_tb is: 58.23518985978548</t>
  </si>
  <si>
    <t xml:space="preserve"> createdValue_reit is: 38.80616534162763
</t>
  </si>
  <si>
    <t xml:space="preserve"> 38.80616534162763
</t>
  </si>
  <si>
    <t>plotValue_gold_after_creation is: 75384528.1077308</t>
  </si>
  <si>
    <t xml:space="preserve"> plotValue_tb_after_creation  is: 39389022.86651824</t>
  </si>
  <si>
    <t xml:space="preserve"> plotValue_reit_after_creation  is: 26247650.90804306</t>
  </si>
  <si>
    <t xml:space="preserve">total_value_after_creation is: 141021201.8822921
</t>
  </si>
  <si>
    <t xml:space="preserve"> 141021201.8822921
</t>
  </si>
  <si>
    <t>total_amount_gtncps_before_creation is: 101176032.62468238</t>
  </si>
  <si>
    <t>creation_amount_gtbcps is: 149.58496150374413</t>
  </si>
  <si>
    <t xml:space="preserve">total_amount_gtbcps_new is: 101176182.20964389
</t>
  </si>
  <si>
    <t xml:space="preserve"> 101176182.20964389
</t>
  </si>
  <si>
    <t>payout of tranche of gold is: -39.98663156456394</t>
  </si>
  <si>
    <t xml:space="preserve"> payout of tranche of Treausry Bill Option is: -8.561124827602173</t>
  </si>
  <si>
    <t xml:space="preserve"> payout of tranche of Collar of REIT is: -3.5084211209451976
</t>
  </si>
  <si>
    <t xml:space="preserve"> -3.5084211209451976
</t>
  </si>
  <si>
    <t>Collateral size of tranche of gold is: 75384528.1077308</t>
  </si>
  <si>
    <t xml:space="preserve"> collateral size of tranche of Treausry Bill Option is: 39389022.86651824</t>
  </si>
  <si>
    <t xml:space="preserve"> collateral size of tranche of Collar of REIT is: 26247650.90804306
</t>
  </si>
  <si>
    <t xml:space="preserve"> 26247650.90804306
</t>
  </si>
  <si>
    <t>Collateral ratio of tranche of gold is: 0.7449827437685947</t>
  </si>
  <si>
    <t xml:space="preserve"> collateral ratio of tranche of Treausry Bill Option is: 0.3892594815679875</t>
  </si>
  <si>
    <t xml:space="preserve"> collateral ratio of tranche of Collar of REIT is: 0.25939071957855586
</t>
  </si>
  <si>
    <t xml:space="preserve"> 0.25939071957855586
</t>
  </si>
  <si>
    <t xml:space="preserve">date is: 2021-09-27 00:00:00
</t>
  </si>
  <si>
    <t xml:space="preserve"> 2021-09-27 00</t>
  </si>
  <si>
    <t>current price of gold is: 1750.16</t>
  </si>
  <si>
    <t xml:space="preserve"> predicted price of gold is: 1749.6175781694556
</t>
  </si>
  <si>
    <t xml:space="preserve"> 1749.6175781694556
</t>
  </si>
  <si>
    <t>current price of tb is: 97.921875</t>
  </si>
  <si>
    <t xml:space="preserve"> current price of tb option is: 4.383188638004948</t>
  </si>
  <si>
    <t xml:space="preserve"> predicted price of tb is: 98.042719818153
</t>
  </si>
  <si>
    <t xml:space="preserve"> 98.042719818153
</t>
  </si>
  <si>
    <t>current price of reit is: 64.55</t>
  </si>
  <si>
    <t xml:space="preserve"> current price of reit option is: 6.713715390041244</t>
  </si>
  <si>
    <t xml:space="preserve"> predicted price of reit is: 65.03837585045777
</t>
  </si>
  <si>
    <t xml:space="preserve"> 65.03837585045777
</t>
  </si>
  <si>
    <t>value_ratio_gold_to_total is: -0.048587985281393915</t>
  </si>
  <si>
    <t xml:space="preserve"> risk_ratio_to_gold is: 0.7609482840239642</t>
  </si>
  <si>
    <t xml:space="preserve"> risk_ratio_to_gold_before is: 0.7604716123981475
</t>
  </si>
  <si>
    <t xml:space="preserve"> 0.7604716123981475
</t>
  </si>
  <si>
    <t>value_ratio_tb_to_total is: 0.4034533622199856</t>
  </si>
  <si>
    <t xml:space="preserve"> risk_ratio_tb_to_gold is: 0.17101398607145363</t>
  </si>
  <si>
    <t xml:space="preserve"> risk_ratio_tb_to_gold_before is: 0.17110012509707345
</t>
  </si>
  <si>
    <t xml:space="preserve"> 0.17110012509707345
</t>
  </si>
  <si>
    <t>value_ratio_reit_to_total is: 0.6451346230614083</t>
  </si>
  <si>
    <t xml:space="preserve"> risk_ratio_reit_to_gold is: 0.1431357675910534</t>
  </si>
  <si>
    <t xml:space="preserve"> risk_ratio_reit_to_gold_before is: 0.14387335148872515
</t>
  </si>
  <si>
    <t xml:space="preserve"> 0.14387335148872515
</t>
  </si>
  <si>
    <t>delta_gold is: 0.9998514642200158</t>
  </si>
  <si>
    <t xml:space="preserve"> delta_tb is: 0.9988114415473085</t>
  </si>
  <si>
    <t xml:space="preserve"> delta_reit is: 0.9904489059308693
</t>
  </si>
  <si>
    <t xml:space="preserve"> 0.9904489059308693
</t>
  </si>
  <si>
    <t>delta_gold_risk is: 1.0002707635967882</t>
  </si>
  <si>
    <t xml:space="preserve"> delta_tb_risk is: 0.999926446062319</t>
  </si>
  <si>
    <t xml:space="preserve"> delta_reit_risk is: 0.9993551874456102
</t>
  </si>
  <si>
    <t xml:space="preserve"> 0.9993551874456102
</t>
  </si>
  <si>
    <t xml:space="preserve">collateral_ratio_tranche_gold is: 0.7446704575241732
</t>
  </si>
  <si>
    <t xml:space="preserve"> 0.7446704575241732
</t>
  </si>
  <si>
    <t xml:space="preserve">collateral_ratio_tranche_tb is: 0.38888318662930177
</t>
  </si>
  <si>
    <t xml:space="preserve"> 0.38888318662930177
</t>
  </si>
  <si>
    <t xml:space="preserve">collateral_ratio_tranche_reit is: 0.2571172133020091
</t>
  </si>
  <si>
    <t xml:space="preserve"> 0.2571172133020091
</t>
  </si>
  <si>
    <t>Total plot size is: 140712494.6436232</t>
  </si>
  <si>
    <t xml:space="preserve"> plot size of gold is: 75373330.80804959</t>
  </si>
  <si>
    <t xml:space="preserve"> plot size of TB is: 39342206.710446976</t>
  </si>
  <si>
    <t xml:space="preserve"> plot size of REIT is: 25996957.125126638
</t>
  </si>
  <si>
    <t xml:space="preserve"> 25996957.125126638
</t>
  </si>
  <si>
    <t xml:space="preserve">collateral ratio is: 1.3905801095913288
</t>
  </si>
  <si>
    <t xml:space="preserve"> 1.3905801095913288
</t>
  </si>
  <si>
    <t>S_gtbcps_0 is: 1.0001343920427979</t>
  </si>
  <si>
    <t xml:space="preserve">stdev_gtbcps is: 0.006864179685352447
</t>
  </si>
  <si>
    <t xml:space="preserve"> 0.006864179685352447
</t>
  </si>
  <si>
    <t>predicted price of GTBCPS is: 1.0001666126940638</t>
  </si>
  <si>
    <t xml:space="preserve"> actual price is: 1.0001343920427979
</t>
  </si>
  <si>
    <t xml:space="preserve"> 1.0001343920427979
</t>
  </si>
  <si>
    <t>predicted amount of GTBCPS is: 101172922.79022114</t>
  </si>
  <si>
    <t xml:space="preserve"> actual amount is: 101176182.20964389
</t>
  </si>
  <si>
    <t>plot sizes of gold is: 75373330.80804959</t>
  </si>
  <si>
    <t xml:space="preserve"> plot sizes of tb is: 39342206.710446976 </t>
  </si>
  <si>
    <t xml:space="preserve"> plot sizes of reit is: 25996957.125126638</t>
  </si>
  <si>
    <t xml:space="preserve"> plot sizes of total is: 140712494.6436232.
</t>
  </si>
  <si>
    <t xml:space="preserve"> 140712494.6436232.
</t>
  </si>
  <si>
    <t>predicted stdevs of gold is: 0.008577725761547857</t>
  </si>
  <si>
    <t xml:space="preserve"> predicted stdevs of tb is: 0.0013546489931615363</t>
  </si>
  <si>
    <t xml:space="preserve"> predicted stdevs of reit is: 0.010233859440262926</t>
  </si>
  <si>
    <t xml:space="preserve"> predicted stdevs of GTBCPS is: 0.006864179685352447.
</t>
  </si>
  <si>
    <t xml:space="preserve"> 0.006864179685352447.
</t>
  </si>
  <si>
    <t>total_value_of_collaterals is: 140713629.4861153</t>
  </si>
  <si>
    <t xml:space="preserve"> createdtionValue_gold is: -2428.276511650741</t>
  </si>
  <si>
    <t xml:space="preserve"> createdValue_tb is: -1267.469116266754</t>
  </si>
  <si>
    <t xml:space="preserve"> createdValue_reit is: -837.5299199588098
</t>
  </si>
  <si>
    <t xml:space="preserve"> -837.5299199588098
</t>
  </si>
  <si>
    <t>plotValue_gold_after_creation is: 75376536.41126436</t>
  </si>
  <si>
    <t xml:space="preserve"> plotValue_tb_after_creation  is: 39343720.34405906</t>
  </si>
  <si>
    <t xml:space="preserve"> plotValue_reit_after_creation  is: 25997906.006339755</t>
  </si>
  <si>
    <t xml:space="preserve">total_value_after_creation is: 140718162.76166317
</t>
  </si>
  <si>
    <t xml:space="preserve"> 140718162.76166317
</t>
  </si>
  <si>
    <t>total_amount_gtncps_before_creation is: 101176182.20964389</t>
  </si>
  <si>
    <t>creation_amount_gtbcps is: -3259.4194227457047</t>
  </si>
  <si>
    <t xml:space="preserve">total_amount_gtbcps_new is: 101172922.79022114
</t>
  </si>
  <si>
    <t xml:space="preserve"> 101172922.79022114
</t>
  </si>
  <si>
    <t>payout of tranche of gold is: 777.326703117144</t>
  </si>
  <si>
    <t xml:space="preserve"> payout of tranche of Treausry Bill Option is: 246.1644958216832</t>
  </si>
  <si>
    <t xml:space="preserve"> payout of tranche of Collar of REIT is: 111.35129315810288
</t>
  </si>
  <si>
    <t xml:space="preserve"> 111.35129315810288
</t>
  </si>
  <si>
    <t>Collateral size of tranche of gold is: 75376536.41126436</t>
  </si>
  <si>
    <t xml:space="preserve"> collateral size of tranche of Treausry Bill Option is: 39343720.34405906</t>
  </si>
  <si>
    <t xml:space="preserve"> collateral size of tranche of Collar of REIT is: 25997906.006339755
</t>
  </si>
  <si>
    <t xml:space="preserve"> 25997906.006339755
</t>
  </si>
  <si>
    <t>Collateral ratio of tranche of gold is: 0.7448786677816391</t>
  </si>
  <si>
    <t xml:space="preserve"> collateral ratio of tranche of Treausry Bill Option is: 0.3887986818014169</t>
  </si>
  <si>
    <t xml:space="preserve"> collateral ratio of tranche of Collar of REIT is: 0.2569139749995286
</t>
  </si>
  <si>
    <t xml:space="preserve"> 0.2569139749995286
</t>
  </si>
  <si>
    <t xml:space="preserve">date is: 2021-09-28 00:00:00
</t>
  </si>
  <si>
    <t xml:space="preserve"> 2021-09-28 00</t>
  </si>
  <si>
    <t>current price of gold is: 1734.01</t>
  </si>
  <si>
    <t xml:space="preserve"> predicted price of gold is: 1740.7120667094187
</t>
  </si>
  <si>
    <t xml:space="preserve"> 1740.7120667094187
</t>
  </si>
  <si>
    <t>current price of tb is: 97.8671875</t>
  </si>
  <si>
    <t xml:space="preserve"> current price of tb option is: 4.378517884767884</t>
  </si>
  <si>
    <t xml:space="preserve"> predicted price of tb is: 97.99286434935476
</t>
  </si>
  <si>
    <t xml:space="preserve"> 97.99286434935476
</t>
  </si>
  <si>
    <t>current price of reit is: 64.15</t>
  </si>
  <si>
    <t xml:space="preserve"> current price of reit option is: 6.687973649702954</t>
  </si>
  <si>
    <t xml:space="preserve"> predicted price of reit is: 64.66979249789964
</t>
  </si>
  <si>
    <t xml:space="preserve"> 64.66979249789964
</t>
  </si>
  <si>
    <t>value_ratio_gold_to_total is: 0.36396528006952567</t>
  </si>
  <si>
    <t xml:space="preserve"> risk_ratio_to_gold is: 0.7600858600153978</t>
  </si>
  <si>
    <t xml:space="preserve"> risk_ratio_to_gold_before is: 0.7609482840239642
</t>
  </si>
  <si>
    <t xml:space="preserve"> 0.7609482840239642
</t>
  </si>
  <si>
    <t>value_ratio_tb_to_total is: 0.24460671147733656</t>
  </si>
  <si>
    <t xml:space="preserve"> risk_ratio_tb_to_gold is: 0.17192651036360848</t>
  </si>
  <si>
    <t xml:space="preserve"> risk_ratio_tb_to_gold_before is: 0.17101398607145363
</t>
  </si>
  <si>
    <t xml:space="preserve"> 0.17101398607145363
</t>
  </si>
  <si>
    <t>value_ratio_reit_to_total is: 0.3914280084531378</t>
  </si>
  <si>
    <t xml:space="preserve"> risk_ratio_reit_to_gold is: 0.14371433050105634</t>
  </si>
  <si>
    <t xml:space="preserve"> risk_ratio_reit_to_gold_before is: 0.1431357675910534
</t>
  </si>
  <si>
    <t xml:space="preserve"> 0.1431357675910534
</t>
  </si>
  <si>
    <t>delta_gold is: 0.9907722722493942</t>
  </si>
  <si>
    <t xml:space="preserve"> delta_tb is: 0.9994197916395703</t>
  </si>
  <si>
    <t xml:space="preserve"> delta_reit is: 0.9940258273371223
</t>
  </si>
  <si>
    <t xml:space="preserve"> 0.9940258273371223
</t>
  </si>
  <si>
    <t>delta_gold_risk is: 0.9995102502348361</t>
  </si>
  <si>
    <t xml:space="preserve"> delta_tb_risk is: 1.0007792599430996</t>
  </si>
  <si>
    <t xml:space="preserve"> delta_reit_risk is: 1.0005061191561018
</t>
  </si>
  <si>
    <t xml:space="preserve"> 1.0005061191561018
</t>
  </si>
  <si>
    <t xml:space="preserve">collateral_ratio_tranche_gold is: 0.7383667451681672
</t>
  </si>
  <si>
    <t xml:space="preserve"> 0.7383667451681672
</t>
  </si>
  <si>
    <t xml:space="preserve">collateral_ratio_tranche_tb is: 0.3918867581952653
</t>
  </si>
  <si>
    <t xml:space="preserve"> 0.3918867581952653
</t>
  </si>
  <si>
    <t xml:space="preserve">collateral_ratio_tranche_reit is: 0.25762725382878293
</t>
  </si>
  <si>
    <t xml:space="preserve"> 0.25762725382878293
</t>
  </si>
  <si>
    <t>Total plot size is: 139844465.07004723</t>
  </si>
  <si>
    <t xml:space="preserve"> plot size of gold is: 74680982.25447759</t>
  </si>
  <si>
    <t xml:space="preserve"> plot size of TB is: 39320892.78858503</t>
  </si>
  <si>
    <t xml:space="preserve"> plot size of REIT is: 25842590.026984617
</t>
  </si>
  <si>
    <t xml:space="preserve"> 25842590.026984617
</t>
  </si>
  <si>
    <t xml:space="preserve">collateral ratio is: 1.3820018759198351
</t>
  </si>
  <si>
    <t xml:space="preserve"> 1.3820018759198351
</t>
  </si>
  <si>
    <t>S_gtbcps_0 is: 1.0001666126940638</t>
  </si>
  <si>
    <t xml:space="preserve">stdev_gtbcps is: 0.0067930574682096585
</t>
  </si>
  <si>
    <t xml:space="preserve"> 0.0067930574682096585
</t>
  </si>
  <si>
    <t>predicted price of GTBCPS is: 1.0001615515292817</t>
  </si>
  <si>
    <t xml:space="preserve"> actual price is: 1.0001666126940638
</t>
  </si>
  <si>
    <t xml:space="preserve"> 1.0001666126940638
</t>
  </si>
  <si>
    <t>predicted amount of GTBCPS is: 101173434.76034534</t>
  </si>
  <si>
    <t xml:space="preserve"> actual amount is: 101172922.79022114
</t>
  </si>
  <si>
    <t>plot sizes of gold is: 74680982.25447759</t>
  </si>
  <si>
    <t xml:space="preserve"> plot sizes of tb is: 39320892.78858503 </t>
  </si>
  <si>
    <t xml:space="preserve"> plot sizes of reit is: 25842590.026984617</t>
  </si>
  <si>
    <t xml:space="preserve"> plot sizes of total is: 139844465.07004726.
</t>
  </si>
  <si>
    <t xml:space="preserve"> 139844465.07004726.
</t>
  </si>
  <si>
    <t>predicted stdevs of gold is: 0.008467562266767401</t>
  </si>
  <si>
    <t xml:space="preserve"> predicted stdevs of tb is: 0.001351124056828951</t>
  </si>
  <si>
    <t xml:space="preserve"> predicted stdevs of reit is: 0.010234199280718915</t>
  </si>
  <si>
    <t xml:space="preserve"> predicted stdevs of GTBCPS is: 0.0067930574682096585.
</t>
  </si>
  <si>
    <t xml:space="preserve"> 0.0067930574682096585.
</t>
  </si>
  <si>
    <t>total_value_of_collaterals is: 139844286.6923628</t>
  </si>
  <si>
    <t xml:space="preserve"> createdtionValue_gold is: 377.90917763283807</t>
  </si>
  <si>
    <t xml:space="preserve"> createdValue_tb is: 198.97616008261693</t>
  </si>
  <si>
    <t xml:space="preserve"> createdValue_reit is: 130.77173645763023
</t>
  </si>
  <si>
    <t xml:space="preserve"> 130.77173645763023
</t>
  </si>
  <si>
    <t>plotValue_gold_after_creation is: 74680482.79205449</t>
  </si>
  <si>
    <t xml:space="preserve"> plotValue_tb_after_creation  is: 39320653.15840517</t>
  </si>
  <si>
    <t xml:space="preserve"> plotValue_reit_after_creation  is: 25842443.08482897</t>
  </si>
  <si>
    <t xml:space="preserve">total_value_after_creation is: 139843579.03528863
</t>
  </si>
  <si>
    <t xml:space="preserve"> 139843579.03528863
</t>
  </si>
  <si>
    <t>total_amount_gtncps_before_creation is: 101172922.79022114</t>
  </si>
  <si>
    <t>creation_amount_gtbcps is: 511.97012419998646</t>
  </si>
  <si>
    <t xml:space="preserve">total_amount_gtbcps_new is: 101173434.76034534
</t>
  </si>
  <si>
    <t xml:space="preserve"> 101173434.76034534
</t>
  </si>
  <si>
    <t>payout of tranche of gold is: -121.55324547386024</t>
  </si>
  <si>
    <t xml:space="preserve"> payout of tranche of Treausry Bill Option is: -40.65401978288034</t>
  </si>
  <si>
    <t xml:space="preserve"> payout of tranche of Collar of REIT is: -16.170419190256627
</t>
  </si>
  <si>
    <t xml:space="preserve"> -16.170419190256627
</t>
  </si>
  <si>
    <t>Collateral size of tranche of gold is: 74680482.79205449</t>
  </si>
  <si>
    <t xml:space="preserve"> collateral size of tranche of Treausry Bill Option is: 39320653.15840517</t>
  </si>
  <si>
    <t xml:space="preserve"> collateral size of tranche of Collar of REIT is: 25842443.08482897
</t>
  </si>
  <si>
    <t xml:space="preserve"> 25842443.08482897
</t>
  </si>
  <si>
    <t>Collateral ratio of tranche of gold is: 0.7380277047984264</t>
  </si>
  <si>
    <t xml:space="preserve"> collateral ratio of tranche of Treausry Bill Option is: 0.38858521419146835</t>
  </si>
  <si>
    <t xml:space="preserve"> collateral ratio of tranche of Collar of REIT is: 0.25538719412656863
</t>
  </si>
  <si>
    <t xml:space="preserve"> 0.25538719412656863
</t>
  </si>
  <si>
    <t xml:space="preserve">date is: 2021-09-29 00:00:00
</t>
  </si>
  <si>
    <t xml:space="preserve"> 2021-09-29 00</t>
  </si>
  <si>
    <t>current price of gold is: 1726.37</t>
  </si>
  <si>
    <t xml:space="preserve"> predicted price of gold is: 1725.2052847088084
</t>
  </si>
  <si>
    <t xml:space="preserve"> 1725.2052847088084
</t>
  </si>
  <si>
    <t>current price of tb is: 97.9765625</t>
  </si>
  <si>
    <t xml:space="preserve"> current price of tb option is: 4.377592127200613</t>
  </si>
  <si>
    <t xml:space="preserve"> predicted price of tb is: 98.10319732728198
</t>
  </si>
  <si>
    <t xml:space="preserve"> 98.10319732728198
</t>
  </si>
  <si>
    <t xml:space="preserve"> current price of reit option is: 6.6201165179003425</t>
  </si>
  <si>
    <t xml:space="preserve"> predicted price of reit is: 65.69772566334541
</t>
  </si>
  <si>
    <t xml:space="preserve"> 65.69772566334541
</t>
  </si>
  <si>
    <t>value_ratio_gold_to_total is: -0.11191272138813962</t>
  </si>
  <si>
    <t xml:space="preserve"> risk_ratio_to_gold is: 0.7579371355666767</t>
  </si>
  <si>
    <t xml:space="preserve"> risk_ratio_to_gold_before is: 0.7600858600153978
</t>
  </si>
  <si>
    <t xml:space="preserve"> 0.7600858600153978
</t>
  </si>
  <si>
    <t>value_ratio_tb_to_total is: 0.4327927177038359</t>
  </si>
  <si>
    <t xml:space="preserve"> risk_ratio_tb_to_gold is: 0.17226484526610325</t>
  </si>
  <si>
    <t xml:space="preserve"> risk_ratio_tb_to_gold_before is: 0.17192651036360848
</t>
  </si>
  <si>
    <t xml:space="preserve"> 0.17192651036360848
</t>
  </si>
  <si>
    <t>value_ratio_reit_to_total is: 0.6791200036843037</t>
  </si>
  <si>
    <t xml:space="preserve"> risk_ratio_reit_to_gold is: 0.14710578994145038</t>
  </si>
  <si>
    <t xml:space="preserve"> risk_ratio_reit_to_gold_before is: 0.14371433050105634
</t>
  </si>
  <si>
    <t xml:space="preserve"> 0.14371433050105634
</t>
  </si>
  <si>
    <t>delta_gold is: 0.9955940277161031</t>
  </si>
  <si>
    <t xml:space="preserve"> delta_tb is: 1.001060672837305</t>
  </si>
  <si>
    <t xml:space="preserve"> delta_reit is: 1.0145704742106456
</t>
  </si>
  <si>
    <t xml:space="preserve"> 1.0145704742106456
</t>
  </si>
  <si>
    <t>delta_gold_risk is: 0.9987791933919051</t>
  </si>
  <si>
    <t xml:space="preserve"> delta_tb_risk is: 1.0002886997601836</t>
  </si>
  <si>
    <t xml:space="preserve"> delta_reit_risk is: 1.0029653029169514
</t>
  </si>
  <si>
    <t xml:space="preserve"> 1.0029653029169514
</t>
  </si>
  <si>
    <t xml:space="preserve">collateral_ratio_tranche_gold is: 0.7356740909780066
</t>
  </si>
  <si>
    <t xml:space="preserve"> 0.7356740909780066
</t>
  </si>
  <si>
    <t xml:space="preserve">collateral_ratio_tranche_tb is: 0.3906061046074267
</t>
  </si>
  <si>
    <t xml:space="preserve"> 0.3906061046074267
</t>
  </si>
  <si>
    <t xml:space="preserve">collateral_ratio_tranche_reit is: 0.25948552969558164
</t>
  </si>
  <si>
    <t xml:space="preserve"> 0.25948552969558164
</t>
  </si>
  <si>
    <t>Total plot size is: 139932781.8972166</t>
  </si>
  <si>
    <t xml:space="preserve"> plot size of gold is: 74351442.65472466</t>
  </si>
  <si>
    <t xml:space="preserve"> plot size of TB is: 39362359.50715538</t>
  </si>
  <si>
    <t xml:space="preserve"> plot size of REIT is: 26218979.735336546
</t>
  </si>
  <si>
    <t xml:space="preserve"> 26218979.735336546
</t>
  </si>
  <si>
    <t xml:space="preserve">collateral ratio is: 1.382874659985777
</t>
  </si>
  <si>
    <t xml:space="preserve"> 1.382874659985777
</t>
  </si>
  <si>
    <t>S_gtbcps_0 is: 1.0001615515292817</t>
  </si>
  <si>
    <t xml:space="preserve">stdev_gtbcps is: 0.006836580145947417
</t>
  </si>
  <si>
    <t xml:space="preserve"> 0.006836580145947417
</t>
  </si>
  <si>
    <t>predicted price of GTBCPS is: 1.00015137244003</t>
  </si>
  <si>
    <t xml:space="preserve"> actual price is: 1.0001615515292817
</t>
  </si>
  <si>
    <t xml:space="preserve"> 1.0001615515292817
</t>
  </si>
  <si>
    <t>predicted amount of GTBCPS is: 101174464.45789982</t>
  </si>
  <si>
    <t xml:space="preserve"> actual amount is: 101173434.76034534
</t>
  </si>
  <si>
    <t>plot sizes of gold is: 74351442.65472466</t>
  </si>
  <si>
    <t xml:space="preserve"> plot sizes of tb is: 39362359.50715538 </t>
  </si>
  <si>
    <t xml:space="preserve"> plot sizes of reit is: 26218979.735336546</t>
  </si>
  <si>
    <t xml:space="preserve"> plot sizes of total is: 139932781.8972166.
</t>
  </si>
  <si>
    <t xml:space="preserve"> 139932781.8972166.
</t>
  </si>
  <si>
    <t>predicted stdevs of gold is: 0.008482655543240668</t>
  </si>
  <si>
    <t xml:space="preserve"> predicted stdevs of tb is: 0.0013558012835882037</t>
  </si>
  <si>
    <t xml:space="preserve"> predicted stdevs of reit is: 0.010396913476782153</t>
  </si>
  <si>
    <t xml:space="preserve"> predicted stdevs of GTBCPS is: 0.006836580145947417.
</t>
  </si>
  <si>
    <t xml:space="preserve"> 0.006836580145947417.
</t>
  </si>
  <si>
    <t>total_value_of_collaterals is: 139932423.90242514</t>
  </si>
  <si>
    <t xml:space="preserve"> createdtionValue_gold is: 756.7052496393292</t>
  </si>
  <si>
    <t xml:space="preserve"> createdValue_tb is: 400.6074498037337</t>
  </si>
  <si>
    <t xml:space="preserve"> createdValue_reit is: 266.841858304106
</t>
  </si>
  <si>
    <t xml:space="preserve"> 266.841858304106
</t>
  </si>
  <si>
    <t>plotValue_gold_after_creation is: 74350442.87888943</t>
  </si>
  <si>
    <t xml:space="preserve"> plotValue_tb_after_creation  is: 39361880.10812234</t>
  </si>
  <si>
    <t xml:space="preserve"> plotValue_reit_after_creation  is: 26218676.760855626</t>
  </si>
  <si>
    <t xml:space="preserve">total_value_after_creation is: 139930999.74786738
</t>
  </si>
  <si>
    <t xml:space="preserve"> 139930999.74786738
</t>
  </si>
  <si>
    <t>total_amount_gtncps_before_creation is: 101173434.76034534</t>
  </si>
  <si>
    <t>creation_amount_gtbcps is: 1029.6975544840097</t>
  </si>
  <si>
    <t xml:space="preserve">total_amount_gtbcps_new is: 101174464.45789982
</t>
  </si>
  <si>
    <t xml:space="preserve"> 101174464.45789982
</t>
  </si>
  <si>
    <t>payout of tranche of gold is: -243.07058559118653</t>
  </si>
  <si>
    <t xml:space="preserve"> payout of tranche of Treausry Bill Option is: -78.79158323362068</t>
  </si>
  <si>
    <t xml:space="preserve"> payout of tranche of Collar of REIT is: -36.13262261319964
</t>
  </si>
  <si>
    <t xml:space="preserve"> -36.13262261319964
</t>
  </si>
  <si>
    <t>Collateral size of tranche of gold is: 74350442.87888943</t>
  </si>
  <si>
    <t xml:space="preserve"> collateral size of tranche of Treausry Bill Option is: 39361880.10812234</t>
  </si>
  <si>
    <t xml:space="preserve"> collateral size of tranche of Collar of REIT is: 26218676.760855626
</t>
  </si>
  <si>
    <t xml:space="preserve"> 26218676.760855626
</t>
  </si>
  <si>
    <t>Collateral ratio of tranche of gold is: 0.7347698548576924</t>
  </si>
  <si>
    <t xml:space="preserve"> collateral ratio of tranche of Treausry Bill Option is: 0.3889946288696936</t>
  </si>
  <si>
    <t xml:space="preserve"> collateral ratio of tranche of Collar of REIT is: 0.25910663840315246
</t>
  </si>
  <si>
    <t xml:space="preserve"> 0.25910663840315246
</t>
  </si>
  <si>
    <t xml:space="preserve">date is: 2021-09-30 00:00:00
</t>
  </si>
  <si>
    <t xml:space="preserve"> 2021-09-30 00</t>
  </si>
  <si>
    <t>current price of gold is: 1756.95</t>
  </si>
  <si>
    <t xml:space="preserve"> predicted price of gold is: 1758.0584625963288
</t>
  </si>
  <si>
    <t xml:space="preserve"> 1758.0584625963288
</t>
  </si>
  <si>
    <t>current price of tb is: 98.078125</t>
  </si>
  <si>
    <t xml:space="preserve"> current price of tb option is: 4.379838533629782</t>
  </si>
  <si>
    <t xml:space="preserve"> predicted price of tb is: 98.2024360053492
</t>
  </si>
  <si>
    <t xml:space="preserve"> 98.2024360053492
</t>
  </si>
  <si>
    <t>current price of reit is: 66.75</t>
  </si>
  <si>
    <t xml:space="preserve"> current price of reit option is: 6.550578178155561</t>
  </si>
  <si>
    <t xml:space="preserve"> predicted price of reit is: 67.41343296629915
</t>
  </si>
  <si>
    <t xml:space="preserve"> 67.41343296629915
</t>
  </si>
  <si>
    <t>value_ratio_gold_to_total is: 0.086418893901536</t>
  </si>
  <si>
    <t xml:space="preserve"> risk_ratio_to_gold is: 0.7535383577434285</t>
  </si>
  <si>
    <t xml:space="preserve"> risk_ratio_to_gold_before is: 0.7579371355666767
</t>
  </si>
  <si>
    <t xml:space="preserve"> 0.7579371355666767
</t>
  </si>
  <si>
    <t>value_ratio_tb_to_total is: 0.3511562973932133</t>
  </si>
  <si>
    <t xml:space="preserve"> risk_ratio_tb_to_gold is: 0.1729442039576352</t>
  </si>
  <si>
    <t xml:space="preserve"> risk_ratio_tb_to_gold_before is: 0.17226484526610325
</t>
  </si>
  <si>
    <t xml:space="preserve"> 0.17226484526610325
</t>
  </si>
  <si>
    <t>value_ratio_reit_to_total is: 0.5624248087052507</t>
  </si>
  <si>
    <t xml:space="preserve"> risk_ratio_reit_to_gold is: 0.15412825323569718</t>
  </si>
  <si>
    <t xml:space="preserve"> risk_ratio_reit_to_gold_before is: 0.14710578994145038
</t>
  </si>
  <si>
    <t xml:space="preserve"> 0.14710578994145038
</t>
  </si>
  <si>
    <t>delta_gold is: 1.0177134681441407</t>
  </si>
  <si>
    <t xml:space="preserve"> delta_tb is: 1.001014212923816</t>
  </si>
  <si>
    <t xml:space="preserve"> delta_reit is: 1.0199034275935666
</t>
  </si>
  <si>
    <t xml:space="preserve"> 1.0199034275935666
</t>
  </si>
  <si>
    <t>delta_gold_risk is: 0.9974977615898476</t>
  </si>
  <si>
    <t xml:space="preserve"> delta_tb_risk is: 1.000579526626833</t>
  </si>
  <si>
    <t xml:space="preserve"> delta_reit_risk is: 1.0061218968257541
</t>
  </si>
  <si>
    <t xml:space="preserve"> 1.0061218968257541
</t>
  </si>
  <si>
    <t xml:space="preserve">collateral_ratio_tranche_gold is: 0.7496610078434084
</t>
  </si>
  <si>
    <t xml:space="preserve"> 0.7496610078434084
</t>
  </si>
  <si>
    <t xml:space="preserve">collateral_ratio_tranche_tb is: 0.38239016555254673
</t>
  </si>
  <si>
    <t xml:space="preserve"> 0.38239016555254673
</t>
  </si>
  <si>
    <t xml:space="preserve">collateral_ratio_tranche_reit is: 0.2580842301410215
</t>
  </si>
  <si>
    <t xml:space="preserve"> 0.2580842301410215
</t>
  </si>
  <si>
    <t>Total plot size is: 141809766.81132552</t>
  </si>
  <si>
    <t xml:space="preserve"> plot size of gold is: 75667447.08032738</t>
  </si>
  <si>
    <t xml:space="preserve"> plot size of TB is: 39401801.4356337</t>
  </si>
  <si>
    <t xml:space="preserve"> plot size of REIT is: 26740518.295364443
</t>
  </si>
  <si>
    <t xml:space="preserve"> 26740518.295364443
</t>
  </si>
  <si>
    <t xml:space="preserve">collateral ratio is: 1.4014238150851404
</t>
  </si>
  <si>
    <t xml:space="preserve"> 1.4014238150851404
</t>
  </si>
  <si>
    <t>S_gtbcps_0 is: 1.00015137244003</t>
  </si>
  <si>
    <t xml:space="preserve">stdev_gtbcps is: 0.006911420619067868
</t>
  </si>
  <si>
    <t xml:space="preserve"> 0.006911420619067868
</t>
  </si>
  <si>
    <t>predicted price of GTBCPS is: 1.000149129106422</t>
  </si>
  <si>
    <t xml:space="preserve"> actual price is: 1.00015137244003
</t>
  </si>
  <si>
    <t xml:space="preserve"> 1.00015137244003
</t>
  </si>
  <si>
    <t>predicted amount of GTBCPS is: 101174691.39213371</t>
  </si>
  <si>
    <t xml:space="preserve"> actual amount is: 101174464.45789982
</t>
  </si>
  <si>
    <t>plot sizes of gold is: 75667447.08032738</t>
  </si>
  <si>
    <t xml:space="preserve"> plot sizes of tb is: 39401801.4356337 </t>
  </si>
  <si>
    <t xml:space="preserve"> plot sizes of reit is: 26740518.295364443</t>
  </si>
  <si>
    <t xml:space="preserve"> plot sizes of total is: 141809766.81132552.
</t>
  </si>
  <si>
    <t xml:space="preserve"> 141809766.81132552.
</t>
  </si>
  <si>
    <t>predicted stdevs of gold is: 0.008479878691330022</t>
  </si>
  <si>
    <t xml:space="preserve"> predicted stdevs of tb is: 0.0013548279324733228</t>
  </si>
  <si>
    <t xml:space="preserve"> predicted stdevs of reit is: 0.010660732521248313</t>
  </si>
  <si>
    <t xml:space="preserve"> predicted stdevs of GTBCPS is: 0.006911420619067868.
</t>
  </si>
  <si>
    <t xml:space="preserve"> 0.006911420619067868.
</t>
  </si>
  <si>
    <t>total_value_of_collaterals is: 141809688.15831348</t>
  </si>
  <si>
    <t xml:space="preserve"> createdtionValue_gold is: 169.7215048215919</t>
  </si>
  <si>
    <t xml:space="preserve"> createdValue_tb is: 88.37797985129212</t>
  </si>
  <si>
    <t xml:space="preserve"> createdValue_reit is: 59.97880642378302
</t>
  </si>
  <si>
    <t xml:space="preserve"> 59.97880642378302
</t>
  </si>
  <si>
    <t>plotValue_gold_after_creation is: 75667218.92525795</t>
  </si>
  <si>
    <t xml:space="preserve"> plotValue_tb_after_creation  is: 39401700.78393625</t>
  </si>
  <si>
    <t xml:space="preserve"> plotValue_reit_after_creation  is: 26740450.370828204</t>
  </si>
  <si>
    <t xml:space="preserve">total_value_after_creation is: 141809370.0800224
</t>
  </si>
  <si>
    <t xml:space="preserve"> 141809370.0800224
</t>
  </si>
  <si>
    <t>total_amount_gtncps_before_creation is: 101174464.45789982</t>
  </si>
  <si>
    <t>creation_amount_gtbcps is: 226.93423388898373</t>
  </si>
  <si>
    <t xml:space="preserve">total_amount_gtbcps_new is: 101174691.39213371
</t>
  </si>
  <si>
    <t xml:space="preserve"> 101174691.39213371
</t>
  </si>
  <si>
    <t>payout of tranche of gold is: -58.433564601722374</t>
  </si>
  <si>
    <t xml:space="preserve"> payout of tranche of Treausry Bill Option is: -12.273717597375178</t>
  </si>
  <si>
    <t xml:space="preserve"> payout of tranche of Collar of REIT is: -7.945729814899984
</t>
  </si>
  <si>
    <t xml:space="preserve"> -7.945729814899984
</t>
  </si>
  <si>
    <t>Collateral size of tranche of gold is: 75667218.92525795</t>
  </si>
  <si>
    <t xml:space="preserve"> collateral size of tranche of Treausry Bill Option is: 39401700.78393625</t>
  </si>
  <si>
    <t xml:space="preserve"> collateral size of tranche of Collar of REIT is: 26740450.370828204
</t>
  </si>
  <si>
    <t xml:space="preserve"> 26740450.370828204
</t>
  </si>
  <si>
    <t>Collateral ratio of tranche of gold is: 0.7477769892673384</t>
  </si>
  <si>
    <t xml:space="preserve"> collateral ratio of tranche of Treausry Bill Option is: 0.38938506796883615</t>
  </si>
  <si>
    <t xml:space="preserve"> collateral ratio of tranche of Collar of REIT is: 0.2642609805667895
</t>
  </si>
  <si>
    <t xml:space="preserve"> 0.2642609805667895
</t>
  </si>
  <si>
    <t xml:space="preserve">date is: 2021-10-04 00:00:00
</t>
  </si>
  <si>
    <t xml:space="preserve"> 2021-10-04 00</t>
  </si>
  <si>
    <t>current price of gold is: 1769.57</t>
  </si>
  <si>
    <t xml:space="preserve"> predicted price of gold is: 1762.3804178330402
</t>
  </si>
  <si>
    <t xml:space="preserve"> 1762.3804178330402
</t>
  </si>
  <si>
    <t>current price of tb is: 98.16015625</t>
  </si>
  <si>
    <t xml:space="preserve"> current price of tb option is: 4.382113206938038</t>
  </si>
  <si>
    <t xml:space="preserve"> predicted price of tb is: 98.28211414386729
</t>
  </si>
  <si>
    <t xml:space="preserve"> 98.28211414386729
</t>
  </si>
  <si>
    <t>current price of reit is: 65.75</t>
  </si>
  <si>
    <t xml:space="preserve"> current price of reit option is: 6.614565974910988</t>
  </si>
  <si>
    <t xml:space="preserve"> predicted price of reit is: 66.22896101945479
</t>
  </si>
  <si>
    <t xml:space="preserve"> 66.22896101945479
</t>
  </si>
  <si>
    <t>value_ratio_gold_to_total is: -1.631024543479168</t>
  </si>
  <si>
    <t xml:space="preserve"> risk_ratio_to_gold is: 0.7566132751810295</t>
  </si>
  <si>
    <t xml:space="preserve"> risk_ratio_to_gold_before is: 0.7535383577434285
</t>
  </si>
  <si>
    <t xml:space="preserve"> 0.7535383577434285
</t>
  </si>
  <si>
    <t>value_ratio_tb_to_total is: 1.0217910221193287</t>
  </si>
  <si>
    <t xml:space="preserve"> risk_ratio_tb_to_gold is: 0.17274437291582598</t>
  </si>
  <si>
    <t xml:space="preserve"> risk_ratio_tb_to_gold_before is: 0.1729442039576352
</t>
  </si>
  <si>
    <t xml:space="preserve"> 0.1729442039576352
</t>
  </si>
  <si>
    <t>value_ratio_reit_to_total is: 1.6092335213598392</t>
  </si>
  <si>
    <t xml:space="preserve"> risk_ratio_reit_to_gold is: 0.14893478974588803</t>
  </si>
  <si>
    <t xml:space="preserve"> risk_ratio_reit_to_gold_before is: 0.15412825323569718
</t>
  </si>
  <si>
    <t xml:space="preserve"> 0.15412825323569718
</t>
  </si>
  <si>
    <t>delta_gold is: 1.0071829021884515</t>
  </si>
  <si>
    <t xml:space="preserve"> delta_tb is: 1.000822834266861</t>
  </si>
  <si>
    <t xml:space="preserve"> delta_reit is: 0.9872304935853355
</t>
  </si>
  <si>
    <t xml:space="preserve"> 0.9872304935853355
</t>
  </si>
  <si>
    <t>delta_gold_risk is: 1.0017535501427857</t>
  </si>
  <si>
    <t xml:space="preserve"> delta_tb_risk is: 0.9998296329517338</t>
  </si>
  <si>
    <t xml:space="preserve"> delta_reit_risk is: 0.9955000984723761
</t>
  </si>
  <si>
    <t xml:space="preserve"> 0.9955000984723761
</t>
  </si>
  <si>
    <t xml:space="preserve">collateral_ratio_tranche_gold is: 0.7518298269396398
</t>
  </si>
  <si>
    <t xml:space="preserve"> 0.7518298269396398
</t>
  </si>
  <si>
    <t xml:space="preserve">collateral_ratio_tranche_tb is: 0.3869921449044836
</t>
  </si>
  <si>
    <t xml:space="preserve"> 0.3869921449044836
</t>
  </si>
  <si>
    <t xml:space="preserve">collateral_ratio_tranche_reit is: 0.2601968002659431
</t>
  </si>
  <si>
    <t xml:space="preserve"> 0.2601968002659431
</t>
  </si>
  <si>
    <t>Total plot size is: 142043839.029471</t>
  </si>
  <si>
    <t xml:space="preserve"> plot size of gold is: 76210729.15767023</t>
  </si>
  <si>
    <t xml:space="preserve"> plot size of TB is: 39434121.853513874</t>
  </si>
  <si>
    <t xml:space="preserve"> plot size of REIT is: 26398988.018286895
</t>
  </si>
  <si>
    <t xml:space="preserve"> 26398988.018286895
</t>
  </si>
  <si>
    <t xml:space="preserve">collateral ratio is: 1.4037370152852036
</t>
  </si>
  <si>
    <t xml:space="preserve"> 1.4037370152852036
</t>
  </si>
  <si>
    <t>S_gtbcps_0 is: 1.000149129106422</t>
  </si>
  <si>
    <t xml:space="preserve">stdev_gtbcps is: 0.0069183838374555235
</t>
  </si>
  <si>
    <t xml:space="preserve"> 0.0069183838374555235
</t>
  </si>
  <si>
    <t>predicted price of GTBCPS is: 1.000187565721691</t>
  </si>
  <si>
    <t xml:space="preserve"> actual price is: 1.000149129106422
</t>
  </si>
  <si>
    <t xml:space="preserve"> 1.000149129106422
</t>
  </si>
  <si>
    <t>predicted amount of GTBCPS is: 101170803.30871688</t>
  </si>
  <si>
    <t xml:space="preserve"> actual amount is: 101174691.39213371
</t>
  </si>
  <si>
    <t>plot sizes of gold is: 76210729.15767023</t>
  </si>
  <si>
    <t xml:space="preserve"> plot sizes of tb is: 39434121.853513874 </t>
  </si>
  <si>
    <t xml:space="preserve"> plot sizes of reit is: 26398988.018286895</t>
  </si>
  <si>
    <t xml:space="preserve"> plot sizes of total is: 142043839.02947098.
</t>
  </si>
  <si>
    <t xml:space="preserve"> 142043839.02947098.
</t>
  </si>
  <si>
    <t>predicted stdevs of gold is: 0.00851780449804454</t>
  </si>
  <si>
    <t xml:space="preserve"> predicted stdevs of tb is: 0.0013565382105391328</t>
  </si>
  <si>
    <t xml:space="preserve"> predicted stdevs of reit is: 0.01060918756604653</t>
  </si>
  <si>
    <t xml:space="preserve"> predicted stdevs of GTBCPS is: 0.0069183838374555235.
</t>
  </si>
  <si>
    <t xml:space="preserve"> 0.0069183838374555235.
</t>
  </si>
  <si>
    <t>total_value_of_collaterals is: 142045191.53885072</t>
  </si>
  <si>
    <t xml:space="preserve"> createdtionValue_gold is: -2928.881432560435</t>
  </si>
  <si>
    <t xml:space="preserve"> createdValue_tb is: -1515.4992465603182</t>
  </si>
  <si>
    <t xml:space="preserve"> createdValue_reit is: -1014.541614676011
</t>
  </si>
  <si>
    <t xml:space="preserve"> -1014.541614676011
</t>
  </si>
  <si>
    <t>plotValue_gold_after_creation is: 76214587.83019419</t>
  </si>
  <si>
    <t xml:space="preserve"> plotValue_tb_after_creation  is: 39435925.65732214</t>
  </si>
  <si>
    <t xml:space="preserve"> plotValue_reit_after_creation  is: 26400136.9736282</t>
  </si>
  <si>
    <t xml:space="preserve">total_value_after_creation is: 142050650.46114454
</t>
  </si>
  <si>
    <t xml:space="preserve"> 142050650.46114454
</t>
  </si>
  <si>
    <t>total_amount_gtncps_before_creation is: 101174691.39213371</t>
  </si>
  <si>
    <t>creation_amount_gtbcps is: -3888.0834168344736</t>
  </si>
  <si>
    <t xml:space="preserve">total_amount_gtbcps_new is: 101170803.30871688
</t>
  </si>
  <si>
    <t xml:space="preserve"> 101170803.30871688
</t>
  </si>
  <si>
    <t>payout of tranche of gold is: 929.7910913915086</t>
  </si>
  <si>
    <t xml:space="preserve"> payout of tranche of Treausry Bill Option is: 288.3045617070005</t>
  </si>
  <si>
    <t xml:space="preserve"> payout of tranche of Collar of REIT is: 134.41372662882029
</t>
  </si>
  <si>
    <t xml:space="preserve"> 134.41372662882029
</t>
  </si>
  <si>
    <t>Collateral size of tranche of gold is: 76214587.83019419</t>
  </si>
  <si>
    <t xml:space="preserve"> collateral size of tranche of Treausry Bill Option is: 39435925.65732214</t>
  </si>
  <si>
    <t xml:space="preserve"> collateral size of tranche of Collar of REIT is: 26400136.9736282
</t>
  </si>
  <si>
    <t xml:space="preserve"> 26400136.9736282
</t>
  </si>
  <si>
    <t>Collateral ratio of tranche of gold is: 0.7531556975200613</t>
  </si>
  <si>
    <t xml:space="preserve"> collateral ratio of tranche of Treausry Bill Option is: 0.38970744238575855</t>
  </si>
  <si>
    <t xml:space="preserve"> collateral ratio of tranche of Collar of REIT is: 0.2608872414464574
</t>
  </si>
  <si>
    <t xml:space="preserve"> 0.2608872414464574
</t>
  </si>
  <si>
    <t xml:space="preserve">date is: 2021-10-05 00:00:00
</t>
  </si>
  <si>
    <t xml:space="preserve"> 2021-10-05 00</t>
  </si>
  <si>
    <t>current price of gold is: 1760.18</t>
  </si>
  <si>
    <t xml:space="preserve"> predicted price of gold is: 1759.1342591239809
</t>
  </si>
  <si>
    <t xml:space="preserve"> 1759.1342591239809
</t>
  </si>
  <si>
    <t xml:space="preserve"> current price of tb option is: 4.3782710063881645</t>
  </si>
  <si>
    <t xml:space="preserve"> predicted price of tb is: 98.19233892753857
</t>
  </si>
  <si>
    <t xml:space="preserve"> 98.19233892753857
</t>
  </si>
  <si>
    <t>current price of reit is: 65.8</t>
  </si>
  <si>
    <t xml:space="preserve"> current price of reit option is: 6.582390126439847</t>
  </si>
  <si>
    <t xml:space="preserve"> predicted price of reit is: 66.26341424531016
</t>
  </si>
  <si>
    <t xml:space="preserve"> 66.26341424531016
</t>
  </si>
  <si>
    <t>value_ratio_gold_to_total is: -0.09955391062827786</t>
  </si>
  <si>
    <t xml:space="preserve"> risk_ratio_to_gold is: 0.7565546507044449</t>
  </si>
  <si>
    <t xml:space="preserve"> risk_ratio_to_gold_before is: 0.7566132751810295
</t>
  </si>
  <si>
    <t xml:space="preserve"> 0.7566132751810295
</t>
  </si>
  <si>
    <t>value_ratio_tb_to_total is: 0.42879751694145024</t>
  </si>
  <si>
    <t xml:space="preserve"> risk_ratio_tb_to_gold is: 0.1723738148922038</t>
  </si>
  <si>
    <t xml:space="preserve"> risk_ratio_tb_to_gold_before is: 0.17274437291582598
</t>
  </si>
  <si>
    <t xml:space="preserve"> 0.17274437291582598
</t>
  </si>
  <si>
    <t>value_ratio_reit_to_total is: 0.6707563936868276</t>
  </si>
  <si>
    <t xml:space="preserve"> risk_ratio_reit_to_gold is: 0.14940776303990935</t>
  </si>
  <si>
    <t xml:space="preserve"> risk_ratio_reit_to_gold_before is: 0.14893478974588803
</t>
  </si>
  <si>
    <t xml:space="preserve"> 0.14893478974588803
</t>
  </si>
  <si>
    <t>delta_gold is: 0.9946936261351629</t>
  </si>
  <si>
    <t xml:space="preserve"> delta_tb is: 0.9990482734479476</t>
  </si>
  <si>
    <t xml:space="preserve"> delta_reit is: 1.000246310487581
</t>
  </si>
  <si>
    <t xml:space="preserve"> 1.000246310487581
</t>
  </si>
  <si>
    <t>delta_gold_risk is: 0.9999666264183399</t>
  </si>
  <si>
    <t xml:space="preserve"> delta_tb_risk is: 0.9996840248973433</t>
  </si>
  <si>
    <t xml:space="preserve"> delta_reit_risk is: 1.0004116624357122
</t>
  </si>
  <si>
    <t xml:space="preserve"> 1.0004116624357122
</t>
  </si>
  <si>
    <t xml:space="preserve">collateral_ratio_tranche_gold is: 0.7491841747698228
</t>
  </si>
  <si>
    <t xml:space="preserve"> 0.7491841747698228
</t>
  </si>
  <si>
    <t xml:space="preserve">collateral_ratio_tranche_tb is: 0.39153725003530904
</t>
  </si>
  <si>
    <t xml:space="preserve"> 0.39153725003530904
</t>
  </si>
  <si>
    <t xml:space="preserve">collateral_ratio_tranche_reit is: 0.26223564133753857
</t>
  </si>
  <si>
    <t xml:space="preserve"> 0.26223564133753857
</t>
  </si>
  <si>
    <t>Total plot size is: 141615197.77722037</t>
  </si>
  <si>
    <t xml:space="preserve"> plot size of gold is: 75810164.73321271</t>
  </si>
  <si>
    <t xml:space="preserve"> plot size of TB is: 39398393.4397693</t>
  </si>
  <si>
    <t xml:space="preserve"> plot size of REIT is: 26406639.60423838
</t>
  </si>
  <si>
    <t xml:space="preserve"> 26406639.60423838
</t>
  </si>
  <si>
    <t xml:space="preserve">collateral ratio is: 1.3995010019799201
</t>
  </si>
  <si>
    <t xml:space="preserve"> 1.3995010019799201
</t>
  </si>
  <si>
    <t>S_gtbcps_0 is: 1.000187565721691</t>
  </si>
  <si>
    <t xml:space="preserve">stdev_gtbcps is: 0.006900255576612417
</t>
  </si>
  <si>
    <t xml:space="preserve"> 0.006900255576612417
</t>
  </si>
  <si>
    <t>predicted price of GTBCPS is: 1.0001916681801089</t>
  </si>
  <si>
    <t xml:space="preserve"> actual price is: 1.000187565721691
</t>
  </si>
  <si>
    <t xml:space="preserve"> 1.000187565721691
</t>
  </si>
  <si>
    <t>predicted amount of GTBCPS is: 101170388.33923966</t>
  </si>
  <si>
    <t xml:space="preserve"> actual amount is: 101170803.30871688
</t>
  </si>
  <si>
    <t>plot sizes of gold is: 75810164.73321271</t>
  </si>
  <si>
    <t xml:space="preserve"> plot sizes of tb is: 39398393.4397693 </t>
  </si>
  <si>
    <t xml:space="preserve"> plot sizes of reit is: 26406639.60423838</t>
  </si>
  <si>
    <t xml:space="preserve"> plot sizes of total is: 141615197.7772204.
</t>
  </si>
  <si>
    <t xml:space="preserve"> 141615197.7772204.
</t>
  </si>
  <si>
    <t>predicted stdevs of gold is: 0.008501439794719087</t>
  </si>
  <si>
    <t xml:space="preserve"> predicted stdevs of tb is: 0.0013522178452973026</t>
  </si>
  <si>
    <t xml:space="preserve"> predicted stdevs of reit is: 0.01058106220217602</t>
  </si>
  <si>
    <t xml:space="preserve"> predicted stdevs of GTBCPS is: 0.006900255576612417.
</t>
  </si>
  <si>
    <t xml:space="preserve"> 0.006900255576612417.
</t>
  </si>
  <si>
    <t>total_value_of_collaterals is: 141615342.24096817</t>
  </si>
  <si>
    <t xml:space="preserve"> createdtionValue_gold is: -310.95018061969444</t>
  </si>
  <si>
    <t xml:space="preserve"> createdValue_tb is: -161.60005699880176</t>
  </si>
  <si>
    <t xml:space="preserve"> createdValue_reit is: -108.31186542304266
</t>
  </si>
  <si>
    <t xml:space="preserve"> -108.31186542304266
</t>
  </si>
  <si>
    <t>plotValue_gold_after_creation is: 75810586.77600744</t>
  </si>
  <si>
    <t xml:space="preserve"> plotValue_tb_after_creation  is: 39398578.639511734</t>
  </si>
  <si>
    <t xml:space="preserve"> plotValue_reit_after_creation  is: 26406757.68755205</t>
  </si>
  <si>
    <t xml:space="preserve">total_value_after_creation is: 141615923.1030712
</t>
  </si>
  <si>
    <t xml:space="preserve"> 141615923.1030712
</t>
  </si>
  <si>
    <t>total_amount_gtncps_before_creation is: 101170803.30871688</t>
  </si>
  <si>
    <t>creation_amount_gtbcps is: -414.96947722136974</t>
  </si>
  <si>
    <t xml:space="preserve">total_amount_gtbcps_new is: 101170388.33923966
</t>
  </si>
  <si>
    <t xml:space="preserve"> 101170388.33923966
</t>
  </si>
  <si>
    <t>payout of tranche of gold is: 111.0926141196625</t>
  </si>
  <si>
    <t xml:space="preserve"> payout of tranche of Treausry Bill Option is: 23.599685434600225</t>
  </si>
  <si>
    <t xml:space="preserve"> payout of tranche of Collar of REIT is: 9.771448246902851
</t>
  </si>
  <si>
    <t xml:space="preserve"> 9.771448246902851
</t>
  </si>
  <si>
    <t>Collateral size of tranche of gold is: 75810586.77600744</t>
  </si>
  <si>
    <t xml:space="preserve"> collateral size of tranche of Treausry Bill Option is: 39398578.639511734</t>
  </si>
  <si>
    <t xml:space="preserve"> collateral size of tranche of Collar of REIT is: 26406757.68755205
</t>
  </si>
  <si>
    <t xml:space="preserve"> 26406757.68755205
</t>
  </si>
  <si>
    <t>Collateral ratio of tranche of gold is: 0.7491890605238768</t>
  </si>
  <si>
    <t xml:space="preserve"> collateral ratio of tranche of Treausry Bill Option is: 0.3893517432350678</t>
  </si>
  <si>
    <t xml:space="preserve"> collateral ratio of tranche of Collar of REIT is: 0.2609616258725479
</t>
  </si>
  <si>
    <t xml:space="preserve"> 0.2609616258725479
</t>
  </si>
  <si>
    <t xml:space="preserve">date is: 2021-10-06 00:00:00
</t>
  </si>
  <si>
    <t xml:space="preserve"> 2021-10-06 00</t>
  </si>
  <si>
    <t>current price of gold is: 1762.74</t>
  </si>
  <si>
    <t xml:space="preserve"> predicted price of gold is: 1763.4489268662583
</t>
  </si>
  <si>
    <t xml:space="preserve"> 1763.4489268662583
</t>
  </si>
  <si>
    <t>current price of tb is: 98.01953125</t>
  </si>
  <si>
    <t xml:space="preserve"> current price of tb option is: 4.379119651551525</t>
  </si>
  <si>
    <t xml:space="preserve"> predicted price of tb is: 98.14458585771519
</t>
  </si>
  <si>
    <t xml:space="preserve"> 98.14458585771519
</t>
  </si>
  <si>
    <t>current price of reit is: 65.15</t>
  </si>
  <si>
    <t xml:space="preserve"> current price of reit option is: 6.623373152716866</t>
  </si>
  <si>
    <t xml:space="preserve"> predicted price of reit is: 65.66895284234663
</t>
  </si>
  <si>
    <t xml:space="preserve"> 65.66895284234663
</t>
  </si>
  <si>
    <t>value_ratio_gold_to_total is: 0.05737777086450808</t>
  </si>
  <si>
    <t xml:space="preserve"> risk_ratio_to_gold is: 0.7567801821448384</t>
  </si>
  <si>
    <t xml:space="preserve"> risk_ratio_to_gold_before is: 0.7565546507044449
</t>
  </si>
  <si>
    <t xml:space="preserve"> 0.7565546507044449
</t>
  </si>
  <si>
    <t>value_ratio_tb_to_total is: 0.3645502672879015</t>
  </si>
  <si>
    <t xml:space="preserve"> risk_ratio_tb_to_gold is: 0.173105108931312</t>
  </si>
  <si>
    <t xml:space="preserve"> risk_ratio_tb_to_gold_before is: 0.1723738148922038
</t>
  </si>
  <si>
    <t xml:space="preserve"> 0.1723738148922038
</t>
  </si>
  <si>
    <t>value_ratio_reit_to_total is: 0.5780719618475904</t>
  </si>
  <si>
    <t xml:space="preserve"> risk_ratio_reit_to_gold is: 0.14828255897224868</t>
  </si>
  <si>
    <t xml:space="preserve"> risk_ratio_reit_to_gold_before is: 0.14940776303990935
</t>
  </si>
  <si>
    <t xml:space="preserve"> 0.14940776303990935
</t>
  </si>
  <si>
    <t>delta_gold is: 1.0014543967094274</t>
  </si>
  <si>
    <t xml:space="preserve"> delta_tb is: 0.9995507199000544</t>
  </si>
  <si>
    <t xml:space="preserve"> delta_reit is: 0.9915861168350599
</t>
  </si>
  <si>
    <t xml:space="preserve"> 0.9915861168350599
</t>
  </si>
  <si>
    <t>delta_gold_risk is: 1.0001283942064103</t>
  </si>
  <si>
    <t xml:space="preserve"> delta_tb_risk is: 1.0006237720681057</t>
  </si>
  <si>
    <t xml:space="preserve"> delta_reit_risk is: 0.9990210575360264
</t>
  </si>
  <si>
    <t xml:space="preserve"> 0.9990210575360264
</t>
  </si>
  <si>
    <t xml:space="preserve">collateral_ratio_tranche_gold is: 0.7501823595595232
</t>
  </si>
  <si>
    <t xml:space="preserve"> 0.7501823595595232
</t>
  </si>
  <si>
    <t xml:space="preserve">collateral_ratio_tranche_tb is: 0.3883693658213869
</t>
  </si>
  <si>
    <t xml:space="preserve"> 0.3883693658213869
</t>
  </si>
  <si>
    <t xml:space="preserve">collateral_ratio_tranche_reit is: 0.2586433204259496
</t>
  </si>
  <si>
    <t xml:space="preserve"> 0.2586433204259496
</t>
  </si>
  <si>
    <t>Total plot size is: 141486297.3997212</t>
  </si>
  <si>
    <t xml:space="preserve"> plot size of gold is: 75920845.44395423</t>
  </si>
  <si>
    <t xml:space="preserve"> plot size of TB is: 39380877.64216286</t>
  </si>
  <si>
    <t xml:space="preserve"> plot size of REIT is: 26184574.313604105
</t>
  </si>
  <si>
    <t xml:space="preserve"> 26184574.313604105
</t>
  </si>
  <si>
    <t xml:space="preserve">collateral ratio is: 1.3982271541846467
</t>
  </si>
  <si>
    <t xml:space="preserve"> 1.3982271541846467
</t>
  </si>
  <si>
    <t>S_gtbcps_0 is: 1.0001916681801089</t>
  </si>
  <si>
    <t xml:space="preserve">stdev_gtbcps is: 0.006886954551315413
</t>
  </si>
  <si>
    <t xml:space="preserve"> 0.006886954551315413
</t>
  </si>
  <si>
    <t>predicted price of GTBCPS is: 1.0001933015840196</t>
  </si>
  <si>
    <t xml:space="preserve"> actual price is: 1.0001916681801089
</t>
  </si>
  <si>
    <t xml:space="preserve"> 1.0001916681801089
</t>
  </si>
  <si>
    <t>predicted amount of GTBCPS is: 101170223.11906901</t>
  </si>
  <si>
    <t xml:space="preserve"> actual amount is: 101170388.33923966
</t>
  </si>
  <si>
    <t>plot sizes of gold is: 75920845.44395423</t>
  </si>
  <si>
    <t xml:space="preserve"> plot sizes of tb is: 39380877.64216286 </t>
  </si>
  <si>
    <t xml:space="preserve"> plot sizes of reit is: 26184574.313604105</t>
  </si>
  <si>
    <t xml:space="preserve"> plot sizes of total is: 141486297.3997212.
</t>
  </si>
  <si>
    <t xml:space="preserve"> 141486297.3997212.
</t>
  </si>
  <si>
    <t>predicted stdevs of gold is: 0.008510785477848783</t>
  </si>
  <si>
    <t xml:space="preserve"> predicted stdevs of tb is: 0.0013524581935551226</t>
  </si>
  <si>
    <t xml:space="preserve"> predicted stdevs of reit is: 0.010502469011915804</t>
  </si>
  <si>
    <t xml:space="preserve"> predicted stdevs of GTBCPS is: 0.006886954551315413.
</t>
  </si>
  <si>
    <t xml:space="preserve"> 0.006886954551315413.
</t>
  </si>
  <si>
    <t>total_value_of_collaterals is: 141486354.91324195</t>
  </si>
  <si>
    <t xml:space="preserve"> createdtionValue_gold is: -123.9857062702262</t>
  </si>
  <si>
    <t xml:space="preserve"> createdValue_tb is: -64.3125730443404</t>
  </si>
  <si>
    <t xml:space="preserve"> createdValue_reit is: -42.76179925679755
</t>
  </si>
  <si>
    <t xml:space="preserve"> -42.76179925679755
</t>
  </si>
  <si>
    <t>plotValue_gold_after_creation is: 75921008.93468358</t>
  </si>
  <si>
    <t xml:space="preserve"> plotValue_tb_after_creation  is: 39380954.30186196</t>
  </si>
  <si>
    <t xml:space="preserve"> plotValue_reit_after_creation  is: 26184622.736775003</t>
  </si>
  <si>
    <t xml:space="preserve">total_value_after_creation is: 141486585.97332054
</t>
  </si>
  <si>
    <t xml:space="preserve"> 141486585.97332054
</t>
  </si>
  <si>
    <t>total_amount_gtncps_before_creation is: 101170388.33923966</t>
  </si>
  <si>
    <t>creation_amount_gtbcps is: -165.2201706469059</t>
  </si>
  <si>
    <t xml:space="preserve">total_amount_gtbcps_new is: 101170223.11906901
</t>
  </si>
  <si>
    <t xml:space="preserve"> 101170223.11906901
</t>
  </si>
  <si>
    <t>payout of tranche of gold is: 39.50502308240382</t>
  </si>
  <si>
    <t xml:space="preserve"> payout of tranche of Treausry Bill Option is: 12.347126055043118</t>
  </si>
  <si>
    <t xml:space="preserve"> payout of tranche of Collar of REIT is: 5.661371642554661
</t>
  </si>
  <si>
    <t xml:space="preserve"> 5.661371642554661
</t>
  </si>
  <si>
    <t>Collateral size of tranche of gold is: 75921008.93468358</t>
  </si>
  <si>
    <t xml:space="preserve"> collateral size of tranche of Treausry Bill Option is: 39380954.30186196</t>
  </si>
  <si>
    <t xml:space="preserve"> collateral size of tranche of Collar of REIT is: 26184622.736775003
</t>
  </si>
  <si>
    <t xml:space="preserve"> 26184622.736775003
</t>
  </si>
  <si>
    <t>Collateral ratio of tranche of gold is: 0.750282146443375</t>
  </si>
  <si>
    <t xml:space="preserve"> collateral ratio of tranche of Treausry Bill Option is: 0.3891785335467446</t>
  </si>
  <si>
    <t xml:space="preserve"> collateral ratio of tranche of Collar of REIT is: 0.2587670425673516
</t>
  </si>
  <si>
    <t xml:space="preserve"> 0.2587670425673516
</t>
  </si>
  <si>
    <t xml:space="preserve">date is: 2021-10-07 00:00:00
</t>
  </si>
  <si>
    <t xml:space="preserve"> 2021-10-07 00</t>
  </si>
  <si>
    <t>current price of gold is: 1755.78</t>
  </si>
  <si>
    <t xml:space="preserve"> predicted price of gold is: 1753.0243771959608
</t>
  </si>
  <si>
    <t xml:space="preserve"> 1753.0243771959608
</t>
  </si>
  <si>
    <t>current price of tb is: 97.86328125</t>
  </si>
  <si>
    <t xml:space="preserve"> current price of tb option is: 4.375365470070254</t>
  </si>
  <si>
    <t xml:space="preserve"> predicted price of tb is: 97.99221943599089
</t>
  </si>
  <si>
    <t xml:space="preserve"> 97.99221943599089
</t>
  </si>
  <si>
    <t>current price of reit is: 65.9</t>
  </si>
  <si>
    <t xml:space="preserve"> current price of reit option is: 6.554249812696554</t>
  </si>
  <si>
    <t xml:space="preserve"> predicted price of reit is: 66.42647882738864
</t>
  </si>
  <si>
    <t xml:space="preserve"> 66.42647882738864
</t>
  </si>
  <si>
    <t>value_ratio_gold_to_total is: -0.3120959342187569</t>
  </si>
  <si>
    <t xml:space="preserve"> risk_ratio_to_gold is: 0.7543875285337746</t>
  </si>
  <si>
    <t xml:space="preserve"> risk_ratio_to_gold_before is: 0.7567801821448384
</t>
  </si>
  <si>
    <t xml:space="preserve"> 0.7567801821448384
</t>
  </si>
  <si>
    <t>value_ratio_tb_to_total is: 0.5101477805608231</t>
  </si>
  <si>
    <t xml:space="preserve"> risk_ratio_tb_to_gold is: 0.17404460142720451</t>
  </si>
  <si>
    <t xml:space="preserve"> risk_ratio_tb_to_gold_before is: 0.173105108931312
</t>
  </si>
  <si>
    <t xml:space="preserve"> 0.173105108931312
</t>
  </si>
  <si>
    <t>value_ratio_reit_to_total is: 0.8019481536579338</t>
  </si>
  <si>
    <t xml:space="preserve"> risk_ratio_reit_to_gold is: 0.15153404638474577</t>
  </si>
  <si>
    <t xml:space="preserve"> risk_ratio_reit_to_gold_before is: 0.14828255897224868
</t>
  </si>
  <si>
    <t xml:space="preserve"> 0.14828255897224868
</t>
  </si>
  <si>
    <t>delta_gold is: 0.9960516014840533</t>
  </si>
  <si>
    <t xml:space="preserve"> delta_tb is: 0.9984374385788041</t>
  </si>
  <si>
    <t xml:space="preserve"> delta_reit is: 1.0094864798750776
</t>
  </si>
  <si>
    <t xml:space="preserve"> 1.0094864798750776
</t>
  </si>
  <si>
    <t>delta_gold_risk is: 0.9986380461053798</t>
  </si>
  <si>
    <t xml:space="preserve"> delta_tb_risk is: 1.000800859606475</t>
  </si>
  <si>
    <t xml:space="preserve"> delta_reit_risk is: 1.0028316091602114
</t>
  </si>
  <si>
    <t xml:space="preserve"> 1.0028316091602114
</t>
  </si>
  <si>
    <t xml:space="preserve">collateral_ratio_tranche_gold is: 0.7483389366590955
</t>
  </si>
  <si>
    <t xml:space="preserve"> 0.7483389366590955
</t>
  </si>
  <si>
    <t xml:space="preserve">collateral_ratio_tranche_tb is: 0.3897985568959909
</t>
  </si>
  <si>
    <t xml:space="preserve"> 0.3897985568959909
</t>
  </si>
  <si>
    <t xml:space="preserve">collateral_ratio_tranche_reit is: 0.2615168139451929
</t>
  </si>
  <si>
    <t xml:space="preserve"> 0.2615168139451929
</t>
  </si>
  <si>
    <t>Total plot size is: 141373684.31102058</t>
  </si>
  <si>
    <t xml:space="preserve"> plot size of gold is: 75621242.53567669</t>
  </si>
  <si>
    <t xml:space="preserve"> plot size of TB is: 39319419.14193999</t>
  </si>
  <si>
    <t xml:space="preserve"> plot size of REIT is: 26433022.633403916
</t>
  </si>
  <si>
    <t xml:space="preserve"> 26433022.633403916
</t>
  </si>
  <si>
    <t xml:space="preserve">collateral ratio is: 1.3971142642339474
</t>
  </si>
  <si>
    <t xml:space="preserve"> 1.3971142642339474
</t>
  </si>
  <si>
    <t>S_gtbcps_0 is: 1.0001933015840196</t>
  </si>
  <si>
    <t xml:space="preserve">stdev_gtbcps is: 0.006905680222128819
</t>
  </si>
  <si>
    <t xml:space="preserve"> 0.006905680222128819
</t>
  </si>
  <si>
    <t>predicted price of GTBCPS is: 1.0001919589282087</t>
  </si>
  <si>
    <t xml:space="preserve"> actual price is: 1.0001933015840196
</t>
  </si>
  <si>
    <t xml:space="preserve"> 1.0001933015840196
</t>
  </si>
  <si>
    <t>predicted amount of GTBCPS is: 101170358.92978692</t>
  </si>
  <si>
    <t xml:space="preserve"> actual amount is: 101170223.11906901
</t>
  </si>
  <si>
    <t>plot sizes of gold is: 75621242.53567669</t>
  </si>
  <si>
    <t xml:space="preserve"> plot sizes of tb is: 39319419.14193999 </t>
  </si>
  <si>
    <t xml:space="preserve"> plot sizes of reit is: 26433022.633403916</t>
  </si>
  <si>
    <t xml:space="preserve"> plot sizes of total is: 141373684.3110206.
</t>
  </si>
  <si>
    <t xml:space="preserve"> 141373684.3110206.
</t>
  </si>
  <si>
    <t>predicted stdevs of gold is: 0.008512029030017486</t>
  </si>
  <si>
    <t xml:space="preserve"> predicted stdevs of tb is: 0.0013599065999465175</t>
  </si>
  <si>
    <t xml:space="preserve"> predicted stdevs of reit is: 0.010559537976429069</t>
  </si>
  <si>
    <t xml:space="preserve"> predicted stdevs of GTBCPS is: 0.006905680222128819.
</t>
  </si>
  <si>
    <t xml:space="preserve"> 0.006905680222128819.
</t>
  </si>
  <si>
    <t>total_value_of_collaterals is: 141373637.06673056</t>
  </si>
  <si>
    <t xml:space="preserve"> createdtionValue_gold is: 101.51363456553774</t>
  </si>
  <si>
    <t xml:space="preserve"> createdValue_tb is: 52.7822300817391</t>
  </si>
  <si>
    <t xml:space="preserve"> createdValue_reit is: 35.48358604124086
</t>
  </si>
  <si>
    <t xml:space="preserve"> 35.48358604124086
</t>
  </si>
  <si>
    <t>plotValue_gold_after_creation is: 75621108.67707103</t>
  </si>
  <si>
    <t xml:space="preserve"> plotValue_tb_after_creation  is: 39319356.20581548</t>
  </si>
  <si>
    <t xml:space="preserve"> plotValue_reit_after_creation  is: 26432982.40439336</t>
  </si>
  <si>
    <t xml:space="preserve">total_value_after_creation is: 141373447.28727987
</t>
  </si>
  <si>
    <t xml:space="preserve"> 141373447.28727987
</t>
  </si>
  <si>
    <t>total_amount_gtncps_before_creation is: 101170223.11906901</t>
  </si>
  <si>
    <t>creation_amount_gtbcps is: 135.81071791052818</t>
  </si>
  <si>
    <t xml:space="preserve">total_amount_gtbcps_new is: 101170358.92978692
</t>
  </si>
  <si>
    <t xml:space="preserve"> 101170358.92978692
</t>
  </si>
  <si>
    <t>payout of tranche of gold is: -32.34497109681903</t>
  </si>
  <si>
    <t xml:space="preserve"> payout of tranche of Treausry Bill Option is: -10.153894430106517</t>
  </si>
  <si>
    <t xml:space="preserve"> payout of tranche of Collar of REIT is: -4.745424517709699
</t>
  </si>
  <si>
    <t xml:space="preserve"> -4.745424517709699
</t>
  </si>
  <si>
    <t>Collateral size of tranche of gold is: 75621108.67707103</t>
  </si>
  <si>
    <t xml:space="preserve"> collateral size of tranche of Treausry Bill Option is: 39319356.20581548</t>
  </si>
  <si>
    <t xml:space="preserve"> collateral size of tranche of Collar of REIT is: 26432982.40439336
</t>
  </si>
  <si>
    <t xml:space="preserve"> 26432982.40439336
</t>
  </si>
  <si>
    <t>Collateral ratio of tranche of gold is: 0.747320634324251</t>
  </si>
  <si>
    <t xml:space="preserve"> collateral ratio of tranche of Treausry Bill Option is: 0.388570952410021</t>
  </si>
  <si>
    <t xml:space="preserve"> collateral ratio of tranche of Collar of REIT is: 0.26122221061171197
</t>
  </si>
  <si>
    <t xml:space="preserve"> 0.26122221061171197
</t>
  </si>
  <si>
    <t xml:space="preserve">date is: 2021-10-08 00:00:00
</t>
  </si>
  <si>
    <t xml:space="preserve"> 2021-10-08 00</t>
  </si>
  <si>
    <t>current price of gold is: 1757.13</t>
  </si>
  <si>
    <t xml:space="preserve"> predicted price of gold is: 1754.9439277059826
</t>
  </si>
  <si>
    <t xml:space="preserve"> 1754.9439277059826
</t>
  </si>
  <si>
    <t>current price of tb is: 97.7421875</t>
  </si>
  <si>
    <t xml:space="preserve"> current price of tb option is: 4.373154350752225</t>
  </si>
  <si>
    <t xml:space="preserve"> predicted price of tb is: 97.87341294561436
</t>
  </si>
  <si>
    <t xml:space="preserve"> 97.87341294561436
</t>
  </si>
  <si>
    <t>current price of reit is: 66.5</t>
  </si>
  <si>
    <t xml:space="preserve"> current price of reit option is: 6.510584116790682</t>
  </si>
  <si>
    <t xml:space="preserve"> predicted price of reit is: 66.9456197369305
</t>
  </si>
  <si>
    <t xml:space="preserve"> 66.9456197369305
</t>
  </si>
  <si>
    <t>value_ratio_gold_to_total is: -0.2357075440515529</t>
  </si>
  <si>
    <t xml:space="preserve"> risk_ratio_to_gold is: 0.7550681323635715</t>
  </si>
  <si>
    <t xml:space="preserve"> risk_ratio_to_gold_before is: 0.7543875285337746
</t>
  </si>
  <si>
    <t xml:space="preserve"> 0.7543875285337746
</t>
  </si>
  <si>
    <t>value_ratio_tb_to_total is: 0.4856730045856755</t>
  </si>
  <si>
    <t xml:space="preserve"> risk_ratio_tb_to_gold is: 0.17229142636601152</t>
  </si>
  <si>
    <t xml:space="preserve"> risk_ratio_tb_to_gold_before is: 0.17404460142720451
</t>
  </si>
  <si>
    <t xml:space="preserve"> 0.17404460142720451
</t>
  </si>
  <si>
    <t>value_ratio_reit_to_total is: 0.7500345394658774</t>
  </si>
  <si>
    <t xml:space="preserve"> risk_ratio_reit_to_gold is: 0.1520923704573614</t>
  </si>
  <si>
    <t xml:space="preserve"> risk_ratio_reit_to_gold_before is: 0.15153404638474577
</t>
  </si>
  <si>
    <t xml:space="preserve"> 0.15153404638474577
</t>
  </si>
  <si>
    <t>delta_gold is: 1.0007688890407682</t>
  </si>
  <si>
    <t xml:space="preserve"> delta_tb is: 0.9987939504945167</t>
  </si>
  <si>
    <t xml:space="preserve"> delta_reit is: 1.0076784219770727
</t>
  </si>
  <si>
    <t xml:space="preserve"> 1.0076784219770727
</t>
  </si>
  <si>
    <t>delta_gold_risk is: 1.0003879438372238</t>
  </si>
  <si>
    <t xml:space="preserve"> delta_tb_risk is: 0.9985067219260139</t>
  </si>
  <si>
    <t xml:space="preserve"> delta_reit_risk is: 1.0004848524230512
</t>
  </si>
  <si>
    <t xml:space="preserve"> 1.0004848524230512
</t>
  </si>
  <si>
    <t xml:space="preserve">collateral_ratio_tranche_gold is: 0.7476052121351986
</t>
  </si>
  <si>
    <t xml:space="preserve"> 0.7476052121351986
</t>
  </si>
  <si>
    <t xml:space="preserve">collateral_ratio_tranche_tb is: 0.3883841037195234
</t>
  </si>
  <si>
    <t xml:space="preserve"> 0.3883841037195234
</t>
  </si>
  <si>
    <t xml:space="preserve">collateral_ratio_tranche_reit is: 0.2628982804916751
</t>
  </si>
  <si>
    <t xml:space="preserve"> 0.2628982804916751
</t>
  </si>
  <si>
    <t>Total plot size is: 141587134.03189793</t>
  </si>
  <si>
    <t xml:space="preserve"> plot size of gold is: 75679252.91878358</t>
  </si>
  <si>
    <t xml:space="preserve"> plot size of TB is: 39271935.11570753</t>
  </si>
  <si>
    <t xml:space="preserve"> plot size of REIT is: 26635945.99740683
</t>
  </si>
  <si>
    <t xml:space="preserve"> 26635945.99740683
</t>
  </si>
  <si>
    <t xml:space="preserve">collateral ratio is: 1.3992236642342923
</t>
  </si>
  <si>
    <t xml:space="preserve"> 1.3992236642342923
</t>
  </si>
  <si>
    <t>S_gtbcps_0 is: 1.0001919589282087</t>
  </si>
  <si>
    <t xml:space="preserve">stdev_gtbcps is: 0.00686970032229302
</t>
  </si>
  <si>
    <t xml:space="preserve"> 0.00686970032229302
</t>
  </si>
  <si>
    <t>predicted price of GTBCPS is: 1.000213821800665</t>
  </si>
  <si>
    <t xml:space="preserve"> actual price is: 1.0001919589282087
</t>
  </si>
  <si>
    <t xml:space="preserve"> 1.0001919589282087
</t>
  </si>
  <si>
    <t>predicted amount of GTBCPS is: 101168147.52797918</t>
  </si>
  <si>
    <t xml:space="preserve"> actual amount is: 101170358.92978692
</t>
  </si>
  <si>
    <t>plot sizes of gold is: 75679252.91878358</t>
  </si>
  <si>
    <t xml:space="preserve"> plot sizes of tb is: 39271935.11570753 </t>
  </si>
  <si>
    <t xml:space="preserve"> plot sizes of reit is: 26635945.99740683</t>
  </si>
  <si>
    <t xml:space="preserve"> plot sizes of total is: 141587134.03189793.
</t>
  </si>
  <si>
    <t xml:space="preserve"> 141587134.03189793.
</t>
  </si>
  <si>
    <t>predicted stdevs of gold is: 0.008440142437666826</t>
  </si>
  <si>
    <t xml:space="preserve"> predicted stdevs of tb is: 0.0013372074479372277</t>
  </si>
  <si>
    <t xml:space="preserve"> predicted stdevs of reit is: 0.010564775209278938</t>
  </si>
  <si>
    <t xml:space="preserve"> predicted stdevs of GTBCPS is: 0.00686970032229302.
</t>
  </si>
  <si>
    <t xml:space="preserve"> 0.00686970032229302.
</t>
  </si>
  <si>
    <t>total_value_of_collaterals is: 141587902.84500188</t>
  </si>
  <si>
    <t xml:space="preserve"> createdtionValue_gold is: -1654.2602324583559</t>
  </si>
  <si>
    <t xml:space="preserve"> createdValue_tb is: -858.4362479286765</t>
  </si>
  <si>
    <t xml:space="preserve"> createdValue_reit is: -582.2276825665883
</t>
  </si>
  <si>
    <t xml:space="preserve"> -582.2276825665883
</t>
  </si>
  <si>
    <t>plotValue_gold_after_creation is: 75681452.77592032</t>
  </si>
  <si>
    <t xml:space="preserve"> plotValue_tb_after_creation  is: 39272963.88078279</t>
  </si>
  <si>
    <t xml:space="preserve"> plotValue_reit_after_creation  is: 26636581.11246172</t>
  </si>
  <si>
    <t xml:space="preserve">total_value_after_creation is: 141590997.76916483
</t>
  </si>
  <si>
    <t xml:space="preserve"> 141590997.76916483
</t>
  </si>
  <si>
    <t>total_amount_gtncps_before_creation is: 101170358.92978692</t>
  </si>
  <si>
    <t>creation_amount_gtbcps is: -2211.4018077403307</t>
  </si>
  <si>
    <t xml:space="preserve">total_amount_gtbcps_new is: 101168147.52797918
</t>
  </si>
  <si>
    <t xml:space="preserve"> 101168147.52797918
</t>
  </si>
  <si>
    <t>payout of tranche of gold is: 545.5969042748417</t>
  </si>
  <si>
    <t xml:space="preserve"> payout of tranche of Treausry Bill Option is: 170.32882732644407</t>
  </si>
  <si>
    <t xml:space="preserve"> payout of tranche of Collar of REIT is: 52.887372321595954
</t>
  </si>
  <si>
    <t xml:space="preserve"> 52.887372321595954
</t>
  </si>
  <si>
    <t>Collateral size of tranche of gold is: 75681452.77592032</t>
  </si>
  <si>
    <t xml:space="preserve"> collateral size of tranche of Treausry Bill Option is: 39272963.88078279</t>
  </si>
  <si>
    <t xml:space="preserve"> collateral size of tranche of Collar of REIT is: 26636581.11246172
</t>
  </si>
  <si>
    <t xml:space="preserve"> 26636581.11246172
</t>
  </si>
  <si>
    <t>Collateral ratio of tranche of gold is: 0.7478996288163956</t>
  </si>
  <si>
    <t xml:space="preserve"> collateral ratio of tranche of Treausry Bill Option is: 0.3881034788790758</t>
  </si>
  <si>
    <t xml:space="preserve"> collateral ratio of tranche of Collar of REIT is: 0.26322815427357105
</t>
  </si>
  <si>
    <t xml:space="preserve"> 0.26322815427357105
</t>
  </si>
  <si>
    <t xml:space="preserve">date is: 2021-10-12 00:00:00
</t>
  </si>
  <si>
    <t xml:space="preserve"> 2021-10-12 00</t>
  </si>
  <si>
    <t xml:space="preserve"> predicted price of gold is: 1761.0248488160198
</t>
  </si>
  <si>
    <t xml:space="preserve"> 1761.0248488160198
</t>
  </si>
  <si>
    <t>current price of tb is: 97.67578125</t>
  </si>
  <si>
    <t xml:space="preserve"> current price of tb option is: 4.374816045342062</t>
  </si>
  <si>
    <t xml:space="preserve"> predicted price of tb is: 97.80528743905947
</t>
  </si>
  <si>
    <t xml:space="preserve"> 97.80528743905947
</t>
  </si>
  <si>
    <t>current price of reit is: 67.25</t>
  </si>
  <si>
    <t xml:space="preserve"> current price of reit option is: 6.494237385032335</t>
  </si>
  <si>
    <t xml:space="preserve"> predicted price of reit is: 67.54747174077207
</t>
  </si>
  <si>
    <t xml:space="preserve"> 67.54747174077207
</t>
  </si>
  <si>
    <t>value_ratio_gold_to_total is: 0.06958711425833317</t>
  </si>
  <si>
    <t xml:space="preserve"> risk_ratio_to_gold is: 0.7549453464351829</t>
  </si>
  <si>
    <t xml:space="preserve"> risk_ratio_to_gold_before is: 0.7550681323635715
</t>
  </si>
  <si>
    <t xml:space="preserve"> 0.7550681323635715
</t>
  </si>
  <si>
    <t>value_ratio_tb_to_total is: 0.3710045869015255</t>
  </si>
  <si>
    <t xml:space="preserve"> risk_ratio_tb_to_gold is: 0.17123902918792422</t>
  </si>
  <si>
    <t xml:space="preserve"> risk_ratio_tb_to_gold_before is: 0.17229142636601152
</t>
  </si>
  <si>
    <t xml:space="preserve"> 0.17229142636601152
</t>
  </si>
  <si>
    <t>value_ratio_reit_to_total is: 0.5594082988401413</t>
  </si>
  <si>
    <t xml:space="preserve"> risk_ratio_reit_to_gold is: 0.15336016825325985</t>
  </si>
  <si>
    <t xml:space="preserve"> risk_ratio_reit_to_gold_before is: 0.1520923704573614
</t>
  </si>
  <si>
    <t xml:space="preserve"> 0.1520923704573614
</t>
  </si>
  <si>
    <t>delta_gold is: 1.0017357850585897</t>
  </si>
  <si>
    <t xml:space="preserve"> delta_tb is: 0.99936596642349</t>
  </si>
  <si>
    <t xml:space="preserve"> delta_reit is: 1.0100485878467713
</t>
  </si>
  <si>
    <t xml:space="preserve"> 1.0100485878467713
</t>
  </si>
  <si>
    <t>delta_gold_risk is: 0.9999300392240481</t>
  </si>
  <si>
    <t xml:space="preserve"> delta_tb_risk is: 0.9991022734156219</t>
  </si>
  <si>
    <t xml:space="preserve"> delta_reit_risk is: 1.00110043068456
</t>
  </si>
  <si>
    <t xml:space="preserve"> 1.00110043068456
</t>
  </si>
  <si>
    <t xml:space="preserve">collateral_ratio_tranche_gold is: 0.7492502399455886
</t>
  </si>
  <si>
    <t xml:space="preserve"> 0.7492502399455886
</t>
  </si>
  <si>
    <t xml:space="preserve">collateral_ratio_tranche_tb is: 0.3875332366070221
</t>
  </si>
  <si>
    <t xml:space="preserve"> 0.3875332366070221
</t>
  </si>
  <si>
    <t xml:space="preserve">collateral_ratio_tranche_reit is: 0.26512077936710127
</t>
  </si>
  <si>
    <t xml:space="preserve"> 0.26512077936710127
</t>
  </si>
  <si>
    <t>Total plot size is: 141965124.1516024</t>
  </si>
  <si>
    <t xml:space="preserve"> plot size of gold is: 75812819.51086113</t>
  </si>
  <si>
    <t xml:space="preserve"> plot size of TB is: 39248063.50303331</t>
  </si>
  <si>
    <t xml:space="preserve"> plot size of REIT is: 26904241.13770794
</t>
  </si>
  <si>
    <t xml:space="preserve"> 26904241.13770794
</t>
  </si>
  <si>
    <t xml:space="preserve">collateral ratio is: 1.4029591217245052
</t>
  </si>
  <si>
    <t xml:space="preserve"> 1.4029591217245052
</t>
  </si>
  <si>
    <t>S_gtbcps_0 is: 1.000213821800665</t>
  </si>
  <si>
    <t xml:space="preserve">stdev_gtbcps is: 0.006866476475177706
</t>
  </si>
  <si>
    <t xml:space="preserve"> 0.006866476475177706
</t>
  </si>
  <si>
    <t>predicted price of GTBCPS is: 1.0001866964416903</t>
  </si>
  <si>
    <t xml:space="preserve"> actual price is: 1.000213821800665
</t>
  </si>
  <si>
    <t xml:space="preserve"> 1.000213821800665
</t>
  </si>
  <si>
    <t>predicted amount of GTBCPS is: 101170891.2380568</t>
  </si>
  <si>
    <t xml:space="preserve"> actual amount is: 101168147.52797918
</t>
  </si>
  <si>
    <t>plot sizes of gold is: 75812819.51086113</t>
  </si>
  <si>
    <t xml:space="preserve"> plot sizes of tb is: 39248063.50303331 </t>
  </si>
  <si>
    <t xml:space="preserve"> plot sizes of reit is: 26904241.13770794</t>
  </si>
  <si>
    <t xml:space="preserve"> plot sizes of total is: 141965124.1516024.
</t>
  </si>
  <si>
    <t xml:space="preserve"> 141965124.1516024.
</t>
  </si>
  <si>
    <t>predicted stdevs of gold is: 0.008416017309648388</t>
  </si>
  <si>
    <t xml:space="preserve"> predicted stdevs of tb is: 0.0013269738837490565</t>
  </si>
  <si>
    <t xml:space="preserve"> predicted stdevs of reit is: 0.010581120919659093</t>
  </si>
  <si>
    <t xml:space="preserve"> predicted stdevs of GTBCPS is: 0.006866476475177706.
</t>
  </si>
  <si>
    <t xml:space="preserve"> 0.006866476475177706.
</t>
  </si>
  <si>
    <t>total_value_of_collaterals is: 141964171.07908282</t>
  </si>
  <si>
    <t xml:space="preserve"> createdtionValue_gold is: 2055.991164370768</t>
  </si>
  <si>
    <t xml:space="preserve"> createdValue_tb is: 1064.3862021179364</t>
  </si>
  <si>
    <t xml:space="preserve"> createdValue_reit is: 729.628520414274
</t>
  </si>
  <si>
    <t xml:space="preserve"> 729.628520414274
</t>
  </si>
  <si>
    <t>plotValue_gold_after_creation is: 75810057.02111107</t>
  </si>
  <si>
    <t xml:space="preserve"> plotValue_tb_after_creation  is: 39246850.89769829</t>
  </si>
  <si>
    <t xml:space="preserve"> plotValue_reit_after_creation  is: 26903413.154386543</t>
  </si>
  <si>
    <t xml:space="preserve">total_value_after_creation is: 141960321.0731959
</t>
  </si>
  <si>
    <t xml:space="preserve"> 141960321.0731959
</t>
  </si>
  <si>
    <t>total_amount_gtncps_before_creation is: 101168147.52797918</t>
  </si>
  <si>
    <t>creation_amount_gtbcps is: 2743.710077613592</t>
  </si>
  <si>
    <t xml:space="preserve">total_amount_gtbcps_new is: 101170891.2380568
</t>
  </si>
  <si>
    <t xml:space="preserve"> 101170891.2380568
</t>
  </si>
  <si>
    <t>payout of tranche of gold is: -706.4985856803494</t>
  </si>
  <si>
    <t xml:space="preserve"> payout of tranche of Treausry Bill Option is: -148.21913290037878</t>
  </si>
  <si>
    <t xml:space="preserve"> payout of tranche of Collar of REIT is: -98.3548009841012
</t>
  </si>
  <si>
    <t xml:space="preserve"> -98.3548009841012
</t>
  </si>
  <si>
    <t>Collateral size of tranche of gold is: 75810057.02111107</t>
  </si>
  <si>
    <t xml:space="preserve"> collateral size of tranche of Treausry Bill Option is: 39246850.89769829</t>
  </si>
  <si>
    <t xml:space="preserve"> collateral size of tranche of Collar of REIT is: 26903413.154386543
</t>
  </si>
  <si>
    <t xml:space="preserve"> 26903413.154386543
</t>
  </si>
  <si>
    <t>Collateral ratio of tranche of gold is: 0.7492072163737855</t>
  </si>
  <si>
    <t xml:space="preserve"> collateral ratio of tranche of Treausry Bill Option is: 0.3878644215280475</t>
  </si>
  <si>
    <t xml:space="preserve"> collateral ratio of tranche of Collar of REIT is: 0.26587806515880674
</t>
  </si>
  <si>
    <t xml:space="preserve"> 0.26587806515880674
</t>
  </si>
  <si>
    <t xml:space="preserve">date is: 2021-10-15 00:00:00
</t>
  </si>
  <si>
    <t xml:space="preserve"> 2021-10-15 00</t>
  </si>
  <si>
    <t>current price of gold is: 1767.62</t>
  </si>
  <si>
    <t xml:space="preserve"> predicted price of gold is: 1761.711457869544
</t>
  </si>
  <si>
    <t xml:space="preserve"> 1761.711457869544
</t>
  </si>
  <si>
    <t>current price of tb is: 97.43359375</t>
  </si>
  <si>
    <t xml:space="preserve"> current price of tb option is: 4.375125922603075</t>
  </si>
  <si>
    <t xml:space="preserve"> predicted price of tb is: 97.56277882793283
</t>
  </si>
  <si>
    <t xml:space="preserve"> 97.56277882793283
</t>
  </si>
  <si>
    <t>current price of reit is: 68.4</t>
  </si>
  <si>
    <t xml:space="preserve"> current price of reit option is: 6.432137464009983</t>
  </si>
  <si>
    <t xml:space="preserve"> predicted price of reit is: 68.93351254759143
</t>
  </si>
  <si>
    <t xml:space="preserve"> 68.93351254759143
</t>
  </si>
  <si>
    <t>value_ratio_gold_to_total is: -1.0624163106861206</t>
  </si>
  <si>
    <t xml:space="preserve"> risk_ratio_to_gold is: 0.7502894380222573</t>
  </si>
  <si>
    <t xml:space="preserve"> risk_ratio_to_gold_before is: 0.7549453464351829
</t>
  </si>
  <si>
    <t xml:space="preserve"> 0.7549453464351829
</t>
  </si>
  <si>
    <t>value_ratio_tb_to_total is: 0.8099211903229577</t>
  </si>
  <si>
    <t xml:space="preserve"> risk_ratio_tb_to_gold is: 0.1744014642828947</t>
  </si>
  <si>
    <t xml:space="preserve"> risk_ratio_tb_to_gold_before is: 0.17123902918792422
</t>
  </si>
  <si>
    <t xml:space="preserve"> 0.17123902918792422
</t>
  </si>
  <si>
    <t>value_ratio_reit_to_total is: 1.252495120363163</t>
  </si>
  <si>
    <t xml:space="preserve"> risk_ratio_reit_to_gold is: 0.15841751106610236</t>
  </si>
  <si>
    <t xml:space="preserve"> risk_ratio_reit_to_gold_before is: 0.15336016825325985
</t>
  </si>
  <si>
    <t xml:space="preserve"> 0.15336016825325985
</t>
  </si>
  <si>
    <t>delta_gold is: 1.0042268404367733</t>
  </si>
  <si>
    <t xml:space="preserve"> delta_tb is: 0.9976298264865715</t>
  </si>
  <si>
    <t xml:space="preserve"> delta_reit is: 1.0147523402174128
</t>
  </si>
  <si>
    <t xml:space="preserve"> 1.0147523402174128
</t>
  </si>
  <si>
    <t>delta_gold_risk is: 0.9973469781139435</t>
  </si>
  <si>
    <t xml:space="preserve"> delta_tb_risk is: 1.0027000765993628</t>
  </si>
  <si>
    <t xml:space="preserve"> delta_reit_risk is: 1.0043848772933626
</t>
  </si>
  <si>
    <t xml:space="preserve"> 1.0043848772933626
</t>
  </si>
  <si>
    <t xml:space="preserve">collateral_ratio_tranche_gold is: 0.7543753700986504
</t>
  </si>
  <si>
    <t xml:space="preserve"> 0.7543753700986504
</t>
  </si>
  <si>
    <t xml:space="preserve">collateral_ratio_tranche_tb is: 0.3842788620580349
</t>
  </si>
  <si>
    <t xml:space="preserve"> 0.3842788620580349
</t>
  </si>
  <si>
    <t xml:space="preserve">collateral_ratio_tranche_reit is: 0.2674918666402541
</t>
  </si>
  <si>
    <t xml:space="preserve"> 0.2674918666402541
</t>
  </si>
  <si>
    <t>Total plot size is: 142584624.54510677</t>
  </si>
  <si>
    <t xml:space="preserve"> plot size of gold is: 76130494.035642</t>
  </si>
  <si>
    <t xml:space="preserve"> plot size of TB is: 39153829.05121509</t>
  </si>
  <si>
    <t xml:space="preserve"> plot size of REIT is: 27300301.458249673
</t>
  </si>
  <si>
    <t xml:space="preserve"> 27300301.458249673
</t>
  </si>
  <si>
    <t xml:space="preserve">collateral ratio is: 1.4090812854120511
</t>
  </si>
  <si>
    <t xml:space="preserve"> 1.4090812854120511
</t>
  </si>
  <si>
    <t>S_gtbcps_0 is: 1.0001866964416903</t>
  </si>
  <si>
    <t xml:space="preserve">stdev_gtbcps is: 0.00688791379407255
</t>
  </si>
  <si>
    <t xml:space="preserve"> 0.00688791379407255
</t>
  </si>
  <si>
    <t>predicted price of GTBCPS is: 1.0002034168026606</t>
  </si>
  <si>
    <t xml:space="preserve"> actual price is: 1.0001866964416903
</t>
  </si>
  <si>
    <t xml:space="preserve"> 1.0001866964416903
</t>
  </si>
  <si>
    <t>predicted amount of GTBCPS is: 101169199.9682683</t>
  </si>
  <si>
    <t xml:space="preserve"> actual amount is: 101170891.2380568
</t>
  </si>
  <si>
    <t>plot sizes of gold is: 76130494.035642</t>
  </si>
  <si>
    <t xml:space="preserve"> plot sizes of tb is: 39153829.05121509 </t>
  </si>
  <si>
    <t xml:space="preserve"> plot sizes of reit is: 27300301.458249673</t>
  </si>
  <si>
    <t xml:space="preserve"> plot sizes of total is: 142584624.54510677.
</t>
  </si>
  <si>
    <t xml:space="preserve"> 142584624.54510677.
</t>
  </si>
  <si>
    <t>predicted stdevs of gold is: 0.008363370418860525</t>
  </si>
  <si>
    <t xml:space="preserve"> predicted stdevs of tb is: 0.0013468895334733818</t>
  </si>
  <si>
    <t xml:space="preserve"> predicted stdevs of reit is: 0.010720291801138477</t>
  </si>
  <si>
    <t xml:space="preserve"> predicted stdevs of GTBCPS is: 0.00688791379407255.
</t>
  </si>
  <si>
    <t xml:space="preserve"> 0.00688791379407255.
</t>
  </si>
  <si>
    <t>total_value_of_collaterals is: 142585210.96982396</t>
  </si>
  <si>
    <t xml:space="preserve"> createdtionValue_gold is: -1272.6987169946062</t>
  </si>
  <si>
    <t xml:space="preserve"> createdValue_tb is: -654.5460762266404</t>
  </si>
  <si>
    <t xml:space="preserve"> createdValue_reit is: -456.38638775274626
</t>
  </si>
  <si>
    <t xml:space="preserve"> -456.38638775274626
</t>
  </si>
  <si>
    <t>plotValue_gold_after_creation is: 76132184.44050302</t>
  </si>
  <si>
    <t xml:space="preserve"> plotValue_tb_after_creation  is: 39154610.54110996</t>
  </si>
  <si>
    <t xml:space="preserve"> plotValue_reit_after_creation  is: 27300799.61939198</t>
  </si>
  <si>
    <t xml:space="preserve">total_value_after_creation is: 142587594.60100496
</t>
  </si>
  <si>
    <t xml:space="preserve"> 142587594.60100496
</t>
  </si>
  <si>
    <t>total_amount_gtncps_before_creation is: 101170891.2380568</t>
  </si>
  <si>
    <t>creation_amount_gtbcps is: -1691.2697884887457</t>
  </si>
  <si>
    <t xml:space="preserve">total_amount_gtbcps_new is: 101169199.9682683
</t>
  </si>
  <si>
    <t xml:space="preserve"> 101169199.9682683
</t>
  </si>
  <si>
    <t>payout of tranche of gold is: 417.7061440138647</t>
  </si>
  <si>
    <t xml:space="preserve"> payout of tranche of Treausry Bill Option is: 126.94381864454529</t>
  </si>
  <si>
    <t xml:space="preserve"> payout of tranche of Collar of REIT is: 41.77475455511687
</t>
  </si>
  <si>
    <t xml:space="preserve"> 41.77475455511687
</t>
  </si>
  <si>
    <t>Collateral size of tranche of gold is: 76132184.44050302</t>
  </si>
  <si>
    <t xml:space="preserve"> collateral size of tranche of Treausry Bill Option is: 39154610.54110996</t>
  </si>
  <si>
    <t xml:space="preserve"> collateral size of tranche of Collar of REIT is: 27300799.61939198
</t>
  </si>
  <si>
    <t xml:space="preserve"> 27300799.61939198
</t>
  </si>
  <si>
    <t>Collateral ratio of tranche of gold is: 0.7523577196275524</t>
  </si>
  <si>
    <t xml:space="preserve"> collateral ratio of tranche of Treausry Bill Option is: 0.3869358762802338</t>
  </si>
  <si>
    <t xml:space="preserve"> collateral ratio of tranche of Collar of REIT is: 0.2697934848001951
</t>
  </si>
  <si>
    <t xml:space="preserve"> 0.2697934848001951
</t>
  </si>
  <si>
    <t xml:space="preserve">date is: 2021-10-18 00:00:00
</t>
  </si>
  <si>
    <t xml:space="preserve"> 2021-10-18 00</t>
  </si>
  <si>
    <t>current price of gold is: 1764.86</t>
  </si>
  <si>
    <t xml:space="preserve"> predicted price of gold is: 1770.0099152673588
</t>
  </si>
  <si>
    <t xml:space="preserve"> 1770.0099152673588
</t>
  </si>
  <si>
    <t>current price of tb is: 97.2421875</t>
  </si>
  <si>
    <t xml:space="preserve"> current price of tb option is: 4.375370825599678</t>
  </si>
  <si>
    <t xml:space="preserve"> predicted price of tb is: 97.37111879655855
</t>
  </si>
  <si>
    <t xml:space="preserve"> 97.37111879655855
</t>
  </si>
  <si>
    <t>current price of reit is: 68.2</t>
  </si>
  <si>
    <t xml:space="preserve"> current price of reit option is: 6.4472123526214205</t>
  </si>
  <si>
    <t xml:space="preserve"> predicted price of reit is: 68.89477548327332
</t>
  </si>
  <si>
    <t xml:space="preserve"> 68.89477548327332
</t>
  </si>
  <si>
    <t>value_ratio_gold_to_total is: 0.30661183274703724</t>
  </si>
  <si>
    <t xml:space="preserve"> risk_ratio_to_gold is: 0.74833249286689</t>
  </si>
  <si>
    <t xml:space="preserve"> risk_ratio_to_gold_before is: 0.7502894380222573
</t>
  </si>
  <si>
    <t xml:space="preserve"> 0.7502894380222573
</t>
  </si>
  <si>
    <t>value_ratio_tb_to_total is: 0.2681737965039525</t>
  </si>
  <si>
    <t xml:space="preserve"> risk_ratio_tb_to_gold is: 0.176804134425915</t>
  </si>
  <si>
    <t xml:space="preserve"> risk_ratio_tb_to_gold_before is: 0.1744014642828947
</t>
  </si>
  <si>
    <t xml:space="preserve"> 0.1744014642828947
</t>
  </si>
  <si>
    <t>value_ratio_reit_to_total is: 0.42521437074901025</t>
  </si>
  <si>
    <t xml:space="preserve"> risk_ratio_reit_to_gold is: 0.1595002617242004</t>
  </si>
  <si>
    <t xml:space="preserve"> risk_ratio_reit_to_gold_before is: 0.15841751106610236
</t>
  </si>
  <si>
    <t xml:space="preserve"> 0.15841751106610236
</t>
  </si>
  <si>
    <t>delta_gold is: 0.9984385784274901</t>
  </si>
  <si>
    <t xml:space="preserve"> delta_tb is: 0.9981223479912316</t>
  </si>
  <si>
    <t xml:space="preserve"> delta_reit is: 0.9975288008914952
</t>
  </si>
  <si>
    <t xml:space="preserve"> 0.9975288008914952
</t>
  </si>
  <si>
    <t>delta_gold_risk is: 0.9988819305465394</t>
  </si>
  <si>
    <t xml:space="preserve"> delta_tb_risk is: 1.0020458678025297</t>
  </si>
  <si>
    <t xml:space="preserve"> delta_reit_risk is: 1.0009346808449933
</t>
  </si>
  <si>
    <t xml:space="preserve"> 1.0009346808449933
</t>
  </si>
  <si>
    <t xml:space="preserve">collateral_ratio_tranche_gold is: 0.7520237868782659
</t>
  </si>
  <si>
    <t xml:space="preserve"> 0.7520237868782659
</t>
  </si>
  <si>
    <t xml:space="preserve">collateral_ratio_tranche_tb is: 0.3860235708289597
</t>
  </si>
  <si>
    <t xml:space="preserve"> 0.3860235708289597
</t>
  </si>
  <si>
    <t xml:space="preserve">collateral_ratio_tranche_reit is: 0.2692959431351974
</t>
  </si>
  <si>
    <t xml:space="preserve"> 0.2692959431351974
</t>
  </si>
  <si>
    <t>Total plot size is: 142327735.7210413</t>
  </si>
  <si>
    <t xml:space="preserve"> plot size of gold is: 76013310.00535531</t>
  </si>
  <si>
    <t xml:space="preserve"> plot size of TB is: 39081091.8079749</t>
  </si>
  <si>
    <t xml:space="preserve"> plot size of REIT is: 27233333.907711074
</t>
  </si>
  <si>
    <t xml:space="preserve"> 27233333.907711074
</t>
  </si>
  <si>
    <t xml:space="preserve">collateral ratio is: 1.4065426019068907
</t>
  </si>
  <si>
    <t xml:space="preserve"> 1.4065426019068907
</t>
  </si>
  <si>
    <t>S_gtbcps_0 is: 1.0002034168026606</t>
  </si>
  <si>
    <t xml:space="preserve">stdev_gtbcps is: 0.0068301276341604465
</t>
  </si>
  <si>
    <t xml:space="preserve"> 0.0068301276341604465
</t>
  </si>
  <si>
    <t>predicted price of GTBCPS is: 1.0002081324005019</t>
  </si>
  <si>
    <t xml:space="preserve"> actual price is: 1.0002034168026606
</t>
  </si>
  <si>
    <t xml:space="preserve"> 1.0002034168026606
</t>
  </si>
  <si>
    <t>predicted amount of GTBCPS is: 101168722.99428104</t>
  </si>
  <si>
    <t xml:space="preserve"> actual amount is: 101169199.9682683
</t>
  </si>
  <si>
    <t>plot sizes of gold is: 76013310.00535531</t>
  </si>
  <si>
    <t xml:space="preserve"> plot sizes of tb is: 39081091.8079749 </t>
  </si>
  <si>
    <t xml:space="preserve"> plot sizes of reit is: 27233333.907711074</t>
  </si>
  <si>
    <t xml:space="preserve"> plot sizes of total is: 142327735.72104126.
</t>
  </si>
  <si>
    <t xml:space="preserve"> 142327735.72104126.
</t>
  </si>
  <si>
    <t>predicted stdevs of gold is: 0.008269883359863058</t>
  </si>
  <si>
    <t xml:space="preserve"> predicted stdevs of tb is: 0.0013571807269601667</t>
  </si>
  <si>
    <t xml:space="preserve"> predicted stdevs of reit is: 0.0106654326535387</t>
  </si>
  <si>
    <t xml:space="preserve"> predicted stdevs of GTBCPS is: 0.0068301276341604465.
</t>
  </si>
  <si>
    <t xml:space="preserve"> 0.0068301276341604465.
</t>
  </si>
  <si>
    <t>total_value_of_collaterals is: 142327901.29124779</t>
  </si>
  <si>
    <t xml:space="preserve"> createdtionValue_gold is: -358.3758360876783</t>
  </si>
  <si>
    <t xml:space="preserve"> createdValue_tb is: -184.25339517500996</t>
  </si>
  <si>
    <t xml:space="preserve"> createdValue_reit is: -128.39541517854104
</t>
  </si>
  <si>
    <t xml:space="preserve"> -128.39541517854104
</t>
  </si>
  <si>
    <t>plotValue_gold_after_creation is: 76013781.86835581</t>
  </si>
  <si>
    <t xml:space="preserve"> plotValue_tb_after_creation  is: 39081310.67718133</t>
  </si>
  <si>
    <t xml:space="preserve"> plotValue_reit_after_creation  is: 27233479.7703571</t>
  </si>
  <si>
    <t xml:space="preserve">total_value_after_creation is: 142328572.31589425
</t>
  </si>
  <si>
    <t xml:space="preserve"> 142328572.31589425
</t>
  </si>
  <si>
    <t>total_amount_gtncps_before_creation is: 101169199.9682683</t>
  </si>
  <si>
    <t>creation_amount_gtbcps is: -476.9739872664213</t>
  </si>
  <si>
    <t xml:space="preserve">total_amount_gtbcps_new is: 101168722.99428104
</t>
  </si>
  <si>
    <t xml:space="preserve"> 101168722.99428104
</t>
  </si>
  <si>
    <t>payout of tranche of gold is: 113.4871644052753</t>
  </si>
  <si>
    <t xml:space="preserve"> payout of tranche of Treausry Bill Option is: 34.615811255637865</t>
  </si>
  <si>
    <t xml:space="preserve"> payout of tranche of Collar of REIT is: 17.467230844071324
</t>
  </si>
  <si>
    <t xml:space="preserve"> 17.467230844071324
</t>
  </si>
  <si>
    <t>Collateral size of tranche of gold is: 76013781.86835581</t>
  </si>
  <si>
    <t xml:space="preserve"> collateral size of tranche of Treausry Bill Option is: 39081310.67718133</t>
  </si>
  <si>
    <t xml:space="preserve"> collateral size of tranche of Collar of REIT is: 27233479.7703571
</t>
  </si>
  <si>
    <t xml:space="preserve"> 27233479.7703571
</t>
  </si>
  <si>
    <t>Collateral ratio of tranche of gold is: 0.7511966512877851</t>
  </si>
  <si>
    <t xml:space="preserve"> collateral ratio of tranche of Treausry Bill Option is: 0.38621614379717734</t>
  </si>
  <si>
    <t xml:space="preserve"> collateral ratio of tranche of Collar of REIT is: 0.26913144305641157
</t>
  </si>
  <si>
    <t xml:space="preserve"> 0.26913144305641157
</t>
  </si>
  <si>
    <t xml:space="preserve">date is: 2021-10-19 00:00:00
</t>
  </si>
  <si>
    <t xml:space="preserve"> 2021-10-19 00</t>
  </si>
  <si>
    <t>current price of gold is: 1769.29</t>
  </si>
  <si>
    <t xml:space="preserve"> predicted price of gold is: 1762.7256263205559
</t>
  </si>
  <si>
    <t xml:space="preserve"> 1762.7256263205559
</t>
  </si>
  <si>
    <t>current price of tb is: 97.30859375</t>
  </si>
  <si>
    <t xml:space="preserve"> current price of tb option is: 4.370576547568541</t>
  </si>
  <si>
    <t xml:space="preserve"> predicted price of tb is: 97.4424850956115
</t>
  </si>
  <si>
    <t xml:space="preserve"> 97.4424850956115
</t>
  </si>
  <si>
    <t xml:space="preserve"> current price of reit option is: 6.449733858189731</t>
  </si>
  <si>
    <t xml:space="preserve"> predicted price of reit is: 68.93243879798797
</t>
  </si>
  <si>
    <t xml:space="preserve"> 68.93243879798797
</t>
  </si>
  <si>
    <t>value_ratio_gold_to_total is: -1.333607838203059</t>
  </si>
  <si>
    <t xml:space="preserve"> risk_ratio_to_gold is: 0.7476544158048808</t>
  </si>
  <si>
    <t xml:space="preserve"> risk_ratio_to_gold_before is: 0.74833249286689
</t>
  </si>
  <si>
    <t xml:space="preserve"> 0.74833249286689
</t>
  </si>
  <si>
    <t>value_ratio_tb_to_total is: 0.9151206166233453</t>
  </si>
  <si>
    <t xml:space="preserve"> risk_ratio_tb_to_gold is: 0.17718249379460155</t>
  </si>
  <si>
    <t xml:space="preserve"> risk_ratio_tb_to_gold_before is: 0.176804134425915
</t>
  </si>
  <si>
    <t xml:space="preserve"> 0.176804134425915
</t>
  </si>
  <si>
    <t>value_ratio_reit_to_total is: 1.4184872215797135</t>
  </si>
  <si>
    <t xml:space="preserve"> risk_ratio_reit_to_gold is: 0.16033384913164034</t>
  </si>
  <si>
    <t xml:space="preserve"> risk_ratio_reit_to_gold_before is: 0.1595002617242004
</t>
  </si>
  <si>
    <t xml:space="preserve"> 0.1595002617242004
</t>
  </si>
  <si>
    <t>delta_gold is: 1.0025101141167005</t>
  </si>
  <si>
    <t xml:space="preserve"> delta_tb is: 1.0006063122651645</t>
  </si>
  <si>
    <t xml:space="preserve"> delta_reit is: 1.0027130484740896
</t>
  </si>
  <si>
    <t xml:space="preserve"> 1.0027130484740896
</t>
  </si>
  <si>
    <t>delta_gold_risk is: 0.999612157833378</t>
  </si>
  <si>
    <t xml:space="preserve"> delta_tb_risk is: 1.0003215143094915</t>
  </si>
  <si>
    <t xml:space="preserve"> delta_reit_risk is: 1.000718919550911
</t>
  </si>
  <si>
    <t xml:space="preserve"> 1.000718919550911
</t>
  </si>
  <si>
    <t xml:space="preserve">collateral_ratio_tranche_gold is: 0.753374430978189
</t>
  </si>
  <si>
    <t xml:space="preserve"> 0.753374430978189
</t>
  </si>
  <si>
    <t xml:space="preserve">collateral_ratio_tranche_tb is: 0.3853588074297149
</t>
  </si>
  <si>
    <t xml:space="preserve"> 0.3853588074297149
</t>
  </si>
  <si>
    <t xml:space="preserve">collateral_ratio_tranche_reit is: 0.2689925383288298
</t>
  </si>
  <si>
    <t xml:space="preserve"> 0.2689925383288298
</t>
  </si>
  <si>
    <t>Total plot size is: 142616956.8115632</t>
  </si>
  <si>
    <t xml:space="preserve"> plot size of gold is: 76204585.13528736</t>
  </si>
  <si>
    <t xml:space="preserve"> plot size of TB is: 39105006.15518361</t>
  </si>
  <si>
    <t xml:space="preserve"> plot size of REIT is: 27307365.521092217
</t>
  </si>
  <si>
    <t xml:space="preserve"> 27307365.521092217
</t>
  </si>
  <si>
    <t xml:space="preserve">collateral ratio is: 1.4094008064804981
</t>
  </si>
  <si>
    <t xml:space="preserve"> 1.4094008064804981
</t>
  </si>
  <si>
    <t>S_gtbcps_0 is: 1.0002081324005019</t>
  </si>
  <si>
    <t xml:space="preserve">stdev_gtbcps is: 0.006759313947391387
</t>
  </si>
  <si>
    <t xml:space="preserve"> 0.006759313947391387
</t>
  </si>
  <si>
    <t>predicted price of GTBCPS is: 1.0002401638391576</t>
  </si>
  <si>
    <t xml:space="preserve"> actual price is: 1.0002081324005019
</t>
  </si>
  <si>
    <t xml:space="preserve"> 1.0002081324005019
</t>
  </si>
  <si>
    <t>predicted amount of GTBCPS is: 101165483.19261977</t>
  </si>
  <si>
    <t xml:space="preserve"> actual amount is: 101168722.99428104
</t>
  </si>
  <si>
    <t>plot sizes of gold is: 76204585.13528736</t>
  </si>
  <si>
    <t xml:space="preserve"> plot sizes of tb is: 39105006.15518361 </t>
  </si>
  <si>
    <t xml:space="preserve"> plot sizes of reit is: 27307365.521092217</t>
  </si>
  <si>
    <t xml:space="preserve"> plot sizes of total is: 142616956.8115632.
</t>
  </si>
  <si>
    <t xml:space="preserve"> 142616956.8115632.
</t>
  </si>
  <si>
    <t>predicted stdevs of gold is: 0.008268305679283003</t>
  </si>
  <si>
    <t xml:space="preserve"> predicted stdevs of tb is: 0.0013564767954991814</t>
  </si>
  <si>
    <t xml:space="preserve"> predicted stdevs of reit is: 0.010285318354680289</t>
  </si>
  <si>
    <t xml:space="preserve"> predicted stdevs of GTBCPS is: 0.006759313947391387.
</t>
  </si>
  <si>
    <t xml:space="preserve"> 0.006759313947391387.
</t>
  </si>
  <si>
    <t>total_value_of_collaterals is: 142618081.16509274</t>
  </si>
  <si>
    <t xml:space="preserve"> createdtionValue_gold is: -2440.4602046997347</t>
  </si>
  <si>
    <t xml:space="preserve"> createdValue_tb is: -1252.3367449482937</t>
  </si>
  <si>
    <t xml:space="preserve"> createdValue_reit is: -874.5147628433732
</t>
  </si>
  <si>
    <t xml:space="preserve"> -874.5147628433732
</t>
  </si>
  <si>
    <t>plotValue_gold_after_creation is: 76207826.35539849</t>
  </si>
  <si>
    <t xml:space="preserve"> plotValue_tb_after_creation  is: 39106501.72197618</t>
  </si>
  <si>
    <t xml:space="preserve"> plotValue_reit_after_creation  is: 27308320.399430573</t>
  </si>
  <si>
    <t xml:space="preserve">total_value_after_creation is: 142622648.47680524
</t>
  </si>
  <si>
    <t xml:space="preserve"> 142622648.47680524
</t>
  </si>
  <si>
    <t>total_amount_gtncps_before_creation is: 101168722.99428104</t>
  </si>
  <si>
    <t>creation_amount_gtbcps is: -3239.8016612678766</t>
  </si>
  <si>
    <t xml:space="preserve">total_amount_gtbcps_new is: 101165483.19261977
</t>
  </si>
  <si>
    <t xml:space="preserve"> 101165483.19261977
</t>
  </si>
  <si>
    <t>payout of tranche of gold is: 800.7599064317218</t>
  </si>
  <si>
    <t xml:space="preserve"> payout of tranche of Treausry Bill Option is: 243.23004762155614</t>
  </si>
  <si>
    <t xml:space="preserve"> payout of tranche of Collar of REIT is: 80.36357551198148
</t>
  </si>
  <si>
    <t xml:space="preserve"> 80.36357551198148
</t>
  </si>
  <si>
    <t>Collateral size of tranche of gold is: 76207826.35539849</t>
  </si>
  <si>
    <t xml:space="preserve"> collateral size of tranche of Treausry Bill Option is: 39106501.72197618</t>
  </si>
  <si>
    <t xml:space="preserve"> collateral size of tranche of Collar of REIT is: 27308320.399430573
</t>
  </si>
  <si>
    <t xml:space="preserve"> 27308320.399430573
</t>
  </si>
  <si>
    <t>Collateral ratio of tranche of gold is: 0.7530937045638568</t>
  </si>
  <si>
    <t xml:space="preserve"> collateral ratio of tranche of Treausry Bill Option is: 0.3864545370575265</t>
  </si>
  <si>
    <t xml:space="preserve"> collateral ratio of tranche of Collar of REIT is: 0.26986367619402724
</t>
  </si>
  <si>
    <t xml:space="preserve"> 0.26986367619402724
</t>
  </si>
  <si>
    <t xml:space="preserve">date is: 2021-10-20 00:00:00
</t>
  </si>
  <si>
    <t xml:space="preserve"> 2021-10-20 00</t>
  </si>
  <si>
    <t>current price of gold is: 1782.08</t>
  </si>
  <si>
    <t xml:space="preserve"> predicted price of gold is: 1782.689142005238
</t>
  </si>
  <si>
    <t xml:space="preserve"> 1782.689142005238
</t>
  </si>
  <si>
    <t>current price of tb is: 97.29296875</t>
  </si>
  <si>
    <t xml:space="preserve"> current price of tb option is: 4.370597294568711</t>
  </si>
  <si>
    <t xml:space="preserve"> predicted price of tb is: 97.42683859645922
</t>
  </si>
  <si>
    <t xml:space="preserve"> 97.42683859645922
</t>
  </si>
  <si>
    <t>current price of reit is: 68.1</t>
  </si>
  <si>
    <t xml:space="preserve"> current price of reit option is: 6.460756915420646</t>
  </si>
  <si>
    <t xml:space="preserve"> predicted price of reit is: 68.64631938163052
</t>
  </si>
  <si>
    <t xml:space="preserve"> 68.64631938163052
</t>
  </si>
  <si>
    <t>value_ratio_gold_to_total is: 0.05025639911923333</t>
  </si>
  <si>
    <t xml:space="preserve"> risk_ratio_to_gold is: 0.7480050029238583</t>
  </si>
  <si>
    <t xml:space="preserve"> risk_ratio_to_gold_before is: 0.7476544158048808
</t>
  </si>
  <si>
    <t xml:space="preserve"> 0.7476544158048808
</t>
  </si>
  <si>
    <t>value_ratio_tb_to_total is: 0.3716346870062136</t>
  </si>
  <si>
    <t xml:space="preserve"> risk_ratio_tb_to_gold is: 0.17720422167358763</t>
  </si>
  <si>
    <t xml:space="preserve"> risk_ratio_tb_to_gold_before is: 0.17718249379460155
</t>
  </si>
  <si>
    <t xml:space="preserve"> 0.17718249379460155
</t>
  </si>
  <si>
    <t>value_ratio_reit_to_total is: 0.5781089138745531</t>
  </si>
  <si>
    <t xml:space="preserve"> risk_ratio_reit_to_gold is: 0.15968523239573637</t>
  </si>
  <si>
    <t xml:space="preserve"> risk_ratio_reit_to_gold_before is: 0.16033384913164034
</t>
  </si>
  <si>
    <t xml:space="preserve"> 0.16033384913164034
</t>
  </si>
  <si>
    <t>delta_gold is: 1.00722888842417</t>
  </si>
  <si>
    <t xml:space="preserve"> delta_tb is: 0.9998465344184638</t>
  </si>
  <si>
    <t xml:space="preserve"> delta_reit is: 0.9961392388740273
</t>
  </si>
  <si>
    <t xml:space="preserve"> 0.9961392388740273
</t>
  </si>
  <si>
    <t>delta_gold_risk is: 1.0002006043733858</t>
  </si>
  <si>
    <t xml:space="preserve"> delta_tb_risk is: 1.0000184575281237</t>
  </si>
  <si>
    <t xml:space="preserve"> delta_reit_risk is: 0.9994410085197554
</t>
  </si>
  <si>
    <t xml:space="preserve"> 0.9994410085197554
</t>
  </si>
  <si>
    <t xml:space="preserve">collateral_ratio_tranche_gold is: 0.7583855994591294
</t>
  </si>
  <si>
    <t xml:space="preserve"> 0.7583855994591294
</t>
  </si>
  <si>
    <t xml:space="preserve">collateral_ratio_tranche_tb is: 0.383614987872905
</t>
  </si>
  <si>
    <t xml:space="preserve"> 0.383614987872905
</t>
  </si>
  <si>
    <t xml:space="preserve">collateral_ratio_tranche_reit is: 0.26704173523540536
</t>
  </si>
  <si>
    <t xml:space="preserve"> 0.26704173523540536
</t>
  </si>
  <si>
    <t>Total plot size is: 143062113.9467346</t>
  </si>
  <si>
    <t xml:space="preserve"> plot size of gold is: 76758724.22917019</t>
  </si>
  <si>
    <t xml:space="preserve"> plot size of TB is: 39100500.21994758</t>
  </si>
  <si>
    <t xml:space="preserve"> plot size of REIT is: 27202889.497616846
</t>
  </si>
  <si>
    <t xml:space="preserve"> 27202889.497616846
</t>
  </si>
  <si>
    <t xml:space="preserve">collateral ratio is: 1.4138000366937058
</t>
  </si>
  <si>
    <t xml:space="preserve"> 1.4138000366937058
</t>
  </si>
  <si>
    <t>S_gtbcps_0 is: 1.0002401638391576</t>
  </si>
  <si>
    <t xml:space="preserve">stdev_gtbcps is: 0.0067585847128575965
</t>
  </si>
  <si>
    <t xml:space="preserve"> 0.0067585847128575965
</t>
  </si>
  <si>
    <t>predicted price of GTBCPS is: 1.0002455625489088</t>
  </si>
  <si>
    <t xml:space="preserve"> actual price is: 1.0002401638391576
</t>
  </si>
  <si>
    <t xml:space="preserve"> 1.0002401638391576
</t>
  </si>
  <si>
    <t>predicted amount of GTBCPS is: 101164937.16362344</t>
  </si>
  <si>
    <t xml:space="preserve"> actual amount is: 101165483.19261977
</t>
  </si>
  <si>
    <t>plot sizes of gold is: 76758724.22917019</t>
  </si>
  <si>
    <t xml:space="preserve"> plot sizes of tb is: 39100500.21994758 </t>
  </si>
  <si>
    <t xml:space="preserve"> plot sizes of reit is: 27202889.497616846</t>
  </si>
  <si>
    <t xml:space="preserve"> plot sizes of total is: 143062113.9467346.
</t>
  </si>
  <si>
    <t xml:space="preserve"> 143062113.9467346.
</t>
  </si>
  <si>
    <t>predicted stdevs of gold is: 0.008260389707817404</t>
  </si>
  <si>
    <t xml:space="preserve"> predicted stdevs of tb is: 0.001355941768389134</t>
  </si>
  <si>
    <t xml:space="preserve"> predicted stdevs of reit is: 0.010286496929417707</t>
  </si>
  <si>
    <t xml:space="preserve"> predicted stdevs of GTBCPS is: 0.0067585847128575965.
</t>
  </si>
  <si>
    <t xml:space="preserve"> 0.0067585847128575965.
</t>
  </si>
  <si>
    <t>total_value_of_collaterals is: 143062303.53276947</t>
  </si>
  <si>
    <t xml:space="preserve"> createdtionValue_gold is: -414.2992790556058</t>
  </si>
  <si>
    <t xml:space="preserve"> createdValue_tb is: -211.04177870859374</t>
  </si>
  <si>
    <t xml:space="preserve"> createdValue_reit is: -146.82534891096347
</t>
  </si>
  <si>
    <t xml:space="preserve"> -146.82534891096347
</t>
  </si>
  <si>
    <t>plotValue_gold_after_creation is: 76759269.25759214</t>
  </si>
  <si>
    <t xml:space="preserve"> plotValue_tb_after_creation  is: 39100750.436787255</t>
  </si>
  <si>
    <t xml:space="preserve"> plotValue_reit_after_creation  is: 27203056.004796743</t>
  </si>
  <si>
    <t xml:space="preserve">total_value_after_creation is: 143063075.69917613
</t>
  </si>
  <si>
    <t xml:space="preserve"> 143063075.69917613
</t>
  </si>
  <si>
    <t>total_amount_gtncps_before_creation is: 101165483.19261977</t>
  </si>
  <si>
    <t>creation_amount_gtbcps is: -546.0289963334799</t>
  </si>
  <si>
    <t xml:space="preserve">total_amount_gtbcps_new is: 101164937.16362344
</t>
  </si>
  <si>
    <t xml:space="preserve"> 101164937.16362344
</t>
  </si>
  <si>
    <t>payout of tranche of gold is: 130.72914290096685</t>
  </si>
  <si>
    <t xml:space="preserve"> payout of tranche of Treausry Bill Option is: 39.17506097223153</t>
  </si>
  <si>
    <t xml:space="preserve"> payout of tranche of Collar of REIT is: 19.681830988234406
</t>
  </si>
  <si>
    <t xml:space="preserve"> 19.681830988234406
</t>
  </si>
  <si>
    <t>Collateral size of tranche of gold is: 76759269.25759214</t>
  </si>
  <si>
    <t xml:space="preserve"> collateral size of tranche of Treausry Bill Option is: 39100750.436787255</t>
  </si>
  <si>
    <t xml:space="preserve"> collateral size of tranche of Collar of REIT is: 27203056.004796743
</t>
  </si>
  <si>
    <t xml:space="preserve"> 27203056.004796743
</t>
  </si>
  <si>
    <t>Collateral ratio of tranche of gold is: 0.7585633188464911</t>
  </si>
  <si>
    <t xml:space="preserve"> collateral ratio of tranche of Treausry Bill Option is: 0.38640799095132167</t>
  </si>
  <si>
    <t xml:space="preserve"> collateral ratio of tranche of Collar of REIT is: 0.268830600464902
</t>
  </si>
  <si>
    <t xml:space="preserve"> 0.268830600464902
</t>
  </si>
  <si>
    <t xml:space="preserve">date is: 2021-10-21 00:00:00
</t>
  </si>
  <si>
    <t xml:space="preserve"> 2021-10-21 00</t>
  </si>
  <si>
    <t>current price of gold is: 1782.9</t>
  </si>
  <si>
    <t xml:space="preserve"> predicted price of gold is: 1781.0623090939039
</t>
  </si>
  <si>
    <t xml:space="preserve"> 1781.0623090939039
</t>
  </si>
  <si>
    <t>current price of tb is: 96.98046875</t>
  </si>
  <si>
    <t xml:space="preserve"> current price of tb option is: 4.368665420597308</t>
  </si>
  <si>
    <t xml:space="preserve"> predicted price of tb is: 97.11633649147731
</t>
  </si>
  <si>
    <t xml:space="preserve"> 97.11633649147731
</t>
  </si>
  <si>
    <t>current price of reit is: 67.9</t>
  </si>
  <si>
    <t xml:space="preserve"> current price of reit option is: 6.447817533652739</t>
  </si>
  <si>
    <t xml:space="preserve"> predicted price of reit is: 68.46353228507364
</t>
  </si>
  <si>
    <t xml:space="preserve"> 68.46353228507364
</t>
  </si>
  <si>
    <t>value_ratio_gold_to_total is: -0.18987956551299065</t>
  </si>
  <si>
    <t xml:space="preserve"> risk_ratio_to_gold is: 0.7433983557469777</t>
  </si>
  <si>
    <t xml:space="preserve"> risk_ratio_to_gold_before is: 0.7480050029238583
</t>
  </si>
  <si>
    <t xml:space="preserve"> 0.7480050029238583
</t>
  </si>
  <si>
    <t>value_ratio_tb_to_total is: 0.46543126312276933</t>
  </si>
  <si>
    <t xml:space="preserve"> risk_ratio_tb_to_gold is: 0.18137891971708148</t>
  </si>
  <si>
    <t xml:space="preserve"> risk_ratio_tb_to_gold_before is: 0.17720422167358763
</t>
  </si>
  <si>
    <t xml:space="preserve"> 0.17720422167358763
</t>
  </si>
  <si>
    <t>value_ratio_reit_to_total is: 0.7244483023902213</t>
  </si>
  <si>
    <t xml:space="preserve"> risk_ratio_reit_to_gold is: 0.16379489223624905</t>
  </si>
  <si>
    <t xml:space="preserve"> risk_ratio_reit_to_gold_before is: 0.15968523239573637
</t>
  </si>
  <si>
    <t xml:space="preserve"> 0.15968523239573637
</t>
  </si>
  <si>
    <t>delta_gold is: 1.0004601364697434</t>
  </si>
  <si>
    <t xml:space="preserve"> delta_tb is: 0.9969071331431207</t>
  </si>
  <si>
    <t xml:space="preserve"> delta_reit is: 0.9971440823487153
</t>
  </si>
  <si>
    <t xml:space="preserve"> 0.9971440823487153
</t>
  </si>
  <si>
    <t>delta_gold_risk is: 0.997364625862526</t>
  </si>
  <si>
    <t xml:space="preserve"> delta_tb_risk is: 1.0035462819166234</t>
  </si>
  <si>
    <t xml:space="preserve"> delta_reit_risk is: 1.0035437718147215
</t>
  </si>
  <si>
    <t xml:space="preserve"> 1.0035437718147215
</t>
  </si>
  <si>
    <t xml:space="preserve">collateral_ratio_tranche_gold is: 0.7609176642271532
</t>
  </si>
  <si>
    <t xml:space="preserve"> 0.7609176642271532
</t>
  </si>
  <si>
    <t xml:space="preserve">collateral_ratio_tranche_tb is: 0.3836750934631288
</t>
  </si>
  <si>
    <t xml:space="preserve"> 0.3836750934631288
</t>
  </si>
  <si>
    <t xml:space="preserve">collateral_ratio_tranche_reit is: 0.26699338999731936
</t>
  </si>
  <si>
    <t xml:space="preserve"> 0.26699338999731936
</t>
  </si>
  <si>
    <t>Total plot size is: 142899772.33543438</t>
  </si>
  <si>
    <t xml:space="preserve"> plot size of gold is: 76794588.99676841</t>
  </si>
  <si>
    <t xml:space="preserve"> plot size of TB is: 38979817.02168221</t>
  </si>
  <si>
    <t xml:space="preserve"> plot size of REIT is: 27125366.31698376
</t>
  </si>
  <si>
    <t xml:space="preserve"> 27125366.31698376
</t>
  </si>
  <si>
    <t xml:space="preserve">collateral ratio is: 1.4121957085478303
</t>
  </si>
  <si>
    <t xml:space="preserve"> 1.4121957085478303
</t>
  </si>
  <si>
    <t>S_gtbcps_0 is: 1.0002455625489088</t>
  </si>
  <si>
    <t xml:space="preserve">stdev_gtbcps is: 0.006787723423507683
</t>
  </si>
  <si>
    <t xml:space="preserve"> 0.006787723423507683
</t>
  </si>
  <si>
    <t>predicted price of GTBCPS is: 1.0002736241437145</t>
  </si>
  <si>
    <t xml:space="preserve"> actual price is: 1.0002455625489088
</t>
  </si>
  <si>
    <t xml:space="preserve"> 1.0002455625489088
</t>
  </si>
  <si>
    <t>predicted amount of GTBCPS is: 101162099.09071349</t>
  </si>
  <si>
    <t xml:space="preserve"> actual amount is: 101164937.16362344
</t>
  </si>
  <si>
    <t>plot sizes of gold is: 76794588.99676841</t>
  </si>
  <si>
    <t xml:space="preserve"> plot sizes of tb is: 38979817.02168221 </t>
  </si>
  <si>
    <t xml:space="preserve"> plot sizes of reit is: 27125366.31698376</t>
  </si>
  <si>
    <t xml:space="preserve"> plot sizes of total is: 142899772.33543438.
</t>
  </si>
  <si>
    <t xml:space="preserve"> 142899772.33543438.
</t>
  </si>
  <si>
    <t>predicted stdevs of gold is: 0.008293150797011442</t>
  </si>
  <si>
    <t xml:space="preserve"> predicted stdevs of tb is: 0.0013908570558453855</t>
  </si>
  <si>
    <t xml:space="preserve"> predicted stdevs of reit is: 0.010281139364213706</t>
  </si>
  <si>
    <t xml:space="preserve"> predicted stdevs of GTBCPS is: 0.006787723423507683.
</t>
  </si>
  <si>
    <t xml:space="preserve"> 0.006787723423507683.
</t>
  </si>
  <si>
    <t>total_value_of_collaterals is: 142900758.04266095</t>
  </si>
  <si>
    <t xml:space="preserve"> createdtionValue_gold is: -2154.4686891631095</t>
  </si>
  <si>
    <t xml:space="preserve"> createdValue_tb is: -1093.573196422393</t>
  </si>
  <si>
    <t xml:space="preserve"> createdValue_reit is: -760.9968142609152
</t>
  </si>
  <si>
    <t xml:space="preserve"> -760.9968142609152
</t>
  </si>
  <si>
    <t>plotValue_gold_after_creation is: 76797424.33534841</t>
  </si>
  <si>
    <t xml:space="preserve"> plotValue_tb_after_creation  is: 38981121.06703986</t>
  </si>
  <si>
    <t xml:space="preserve"> plotValue_reit_after_creation  is: 27126221.678972512</t>
  </si>
  <si>
    <t xml:space="preserve">total_value_after_creation is: 142904767.0813608
</t>
  </si>
  <si>
    <t xml:space="preserve"> 142904767.0813608
</t>
  </si>
  <si>
    <t>total_amount_gtncps_before_creation is: 101164937.16362344</t>
  </si>
  <si>
    <t>creation_amount_gtbcps is: -2838.07290995121</t>
  </si>
  <si>
    <t xml:space="preserve">total_amount_gtbcps_new is: 101162099.09071349
</t>
  </si>
  <si>
    <t xml:space="preserve"> 101162099.09071349
</t>
  </si>
  <si>
    <t>payout of tranche of gold is: 680.8698908314759</t>
  </si>
  <si>
    <t xml:space="preserve"> payout of tranche of Treausry Bill Option is: 210.47216122411047</t>
  </si>
  <si>
    <t xml:space="preserve"> payout of tranche of Collar of REIT is: 94.36517449052786
</t>
  </si>
  <si>
    <t xml:space="preserve"> 94.36517449052786
</t>
  </si>
  <si>
    <t>Collateral size of tranche of gold is: 76797424.33534841</t>
  </si>
  <si>
    <t xml:space="preserve"> collateral size of tranche of Treausry Bill Option is: 38981121.06703986</t>
  </si>
  <si>
    <t xml:space="preserve"> collateral size of tranche of Collar of REIT is: 27126221.678972512
</t>
  </si>
  <si>
    <t xml:space="preserve"> 27126221.678972512
</t>
  </si>
  <si>
    <t>Collateral ratio of tranche of gold is: 0.7589231863008136</t>
  </si>
  <si>
    <t xml:space="preserve"> collateral ratio of tranche of Treausry Bill Option is: 0.38521704161058495</t>
  </si>
  <si>
    <t xml:space="preserve"> collateral ratio of tranche of Collar of REIT is: 0.26806522181021036
</t>
  </si>
  <si>
    <t xml:space="preserve"> 0.26806522181021036
</t>
  </si>
  <si>
    <t xml:space="preserve">date is: 2021-10-22 00:00:00
</t>
  </si>
  <si>
    <t xml:space="preserve"> 2021-10-22 00</t>
  </si>
  <si>
    <t>current price of gold is: 1792.65</t>
  </si>
  <si>
    <t xml:space="preserve"> predicted price of gold is: 1785.1959758200976
</t>
  </si>
  <si>
    <t xml:space="preserve"> 1785.1959758200976
</t>
  </si>
  <si>
    <t>current price of tb is: 97.140625</t>
  </si>
  <si>
    <t xml:space="preserve"> current price of tb option is: 4.370016023086223</t>
  </si>
  <si>
    <t xml:space="preserve"> predicted price of tb is: 97.27509585214567
</t>
  </si>
  <si>
    <t xml:space="preserve"> 97.27509585214567
</t>
  </si>
  <si>
    <t xml:space="preserve"> current price of reit option is: 6.440795468529615</t>
  </si>
  <si>
    <t xml:space="preserve"> predicted price of reit is: 68.75167937515226
</t>
  </si>
  <si>
    <t xml:space="preserve"> 68.75167937515226
</t>
  </si>
  <si>
    <t>value_ratio_gold_to_total is: -1.939668314728917</t>
  </si>
  <si>
    <t xml:space="preserve"> risk_ratio_to_gold is: 0.7415815373057432</t>
  </si>
  <si>
    <t xml:space="preserve"> risk_ratio_to_gold_before is: 0.7433983557469777
</t>
  </si>
  <si>
    <t xml:space="preserve"> 0.7433983557469777
</t>
  </si>
  <si>
    <t>value_ratio_tb_to_total is: 1.1721467834189214</t>
  </si>
  <si>
    <t xml:space="preserve"> risk_ratio_tb_to_gold is: 0.1822500053197929</t>
  </si>
  <si>
    <t xml:space="preserve"> risk_ratio_tb_to_gold_before is: 0.18137891971708148
</t>
  </si>
  <si>
    <t xml:space="preserve"> 0.18137891971708148
</t>
  </si>
  <si>
    <t>value_ratio_reit_to_total is: 1.7675215313099957</t>
  </si>
  <si>
    <t xml:space="preserve"> risk_ratio_reit_to_gold is: 0.16621938030315955</t>
  </si>
  <si>
    <t xml:space="preserve"> risk_ratio_reit_to_gold_before is: 0.16379489223624905
</t>
  </si>
  <si>
    <t xml:space="preserve"> 0.16379489223624905
</t>
  </si>
  <si>
    <t>delta_gold is: 1.0054686185428234</t>
  </si>
  <si>
    <t xml:space="preserve"> delta_tb is: 1.0015935691391014</t>
  </si>
  <si>
    <t xml:space="preserve"> delta_reit is: 1.006630698132514
</t>
  </si>
  <si>
    <t xml:space="preserve"> 1.006630698132514
</t>
  </si>
  <si>
    <t>delta_gold_risk is: 0.9989578867989375</t>
  </si>
  <si>
    <t xml:space="preserve"> delta_tb_risk is: 1.0007373464924532</t>
  </si>
  <si>
    <t xml:space="preserve"> delta_reit_risk is: 1.002083260618417
</t>
  </si>
  <si>
    <t xml:space="preserve"> 1.002083260618417
</t>
  </si>
  <si>
    <t xml:space="preserve">collateral_ratio_tranche_gold is: 0.7638694861854395
</t>
  </si>
  <si>
    <t xml:space="preserve"> 0.7638694861854395
</t>
  </si>
  <si>
    <t xml:space="preserve">collateral_ratio_tranche_tb is: 0.38344969005923946
</t>
  </si>
  <si>
    <t xml:space="preserve"> 0.38344969005923946
</t>
  </si>
  <si>
    <t xml:space="preserve">collateral_ratio_tranche_reit is: 0.2678171078184616
</t>
  </si>
  <si>
    <t xml:space="preserve"> 0.2678171078184616
</t>
  </si>
  <si>
    <t>Total plot size is: 143566727.79909107</t>
  </si>
  <si>
    <t xml:space="preserve"> plot size of gold is: 77217400.15410978</t>
  </si>
  <si>
    <t xml:space="preserve"> plot size of TB is: 39043240.178579874</t>
  </si>
  <si>
    <t xml:space="preserve"> plot size of REIT is: 27306087.466401435
</t>
  </si>
  <si>
    <t xml:space="preserve"> 27306087.466401435
</t>
  </si>
  <si>
    <t xml:space="preserve">collateral ratio is: 1.418786843216384
</t>
  </si>
  <si>
    <t xml:space="preserve"> 1.418786843216384
</t>
  </si>
  <si>
    <t>S_gtbcps_0 is: 1.0002736241437145</t>
  </si>
  <si>
    <t xml:space="preserve">stdev_gtbcps is: 0.006799974323981623
</t>
  </si>
  <si>
    <t xml:space="preserve"> 0.006799974323981623
</t>
  </si>
  <si>
    <t>predicted price of GTBCPS is: 1.0002850997274717</t>
  </si>
  <si>
    <t xml:space="preserve"> actual price is: 1.0002736241437145
</t>
  </si>
  <si>
    <t xml:space="preserve"> 1.0002736241437145
</t>
  </si>
  <si>
    <t>predicted amount of GTBCPS is: 101160938.52744858</t>
  </si>
  <si>
    <t xml:space="preserve"> actual amount is: 101162099.09071349
</t>
  </si>
  <si>
    <t>plot sizes of gold is: 77217400.15410978</t>
  </si>
  <si>
    <t xml:space="preserve"> plot sizes of tb is: 39043240.178579874 </t>
  </si>
  <si>
    <t xml:space="preserve"> plot sizes of reit is: 27306087.466401435</t>
  </si>
  <si>
    <t xml:space="preserve"> plot sizes of total is: 143566727.79909107.
</t>
  </si>
  <si>
    <t xml:space="preserve"> 143566727.79909107.
</t>
  </si>
  <si>
    <t>predicted stdevs of gold is: 0.008293640830722189</t>
  </si>
  <si>
    <t xml:space="preserve"> predicted stdevs of tb is: 0.001398990398957114</t>
  </si>
  <si>
    <t xml:space="preserve"> predicted stdevs of reit is: 0.01029863990011564</t>
  </si>
  <si>
    <t xml:space="preserve"> predicted stdevs of GTBCPS is: 0.006799974323981623.
</t>
  </si>
  <si>
    <t xml:space="preserve"> 0.006799974323981623.
</t>
  </si>
  <si>
    <t>total_value_of_collaterals is: 143567130.8259782</t>
  </si>
  <si>
    <t xml:space="preserve"> createdtionValue_gold is: -885.8756645846719</t>
  </si>
  <si>
    <t xml:space="preserve"> createdValue_tb is: -447.92239211151417</t>
  </si>
  <si>
    <t xml:space="preserve"> createdValue_reit is: -313.2679008762891
</t>
  </si>
  <si>
    <t xml:space="preserve"> -313.2679008762891
</t>
  </si>
  <si>
    <t>plotValue_gold_after_creation is: 77218575.21484917</t>
  </si>
  <si>
    <t xml:space="preserve"> plotValue_tb_after_creation  is: 39043773.645022854</t>
  </si>
  <si>
    <t xml:space="preserve"> plotValue_reit_after_creation  is: 27306429.032063738</t>
  </si>
  <si>
    <t xml:space="preserve">total_value_after_creation is: 143568777.89193577
</t>
  </si>
  <si>
    <t xml:space="preserve"> 143568777.89193577
</t>
  </si>
  <si>
    <t>total_amount_gtncps_before_creation is: 101162099.09071349</t>
  </si>
  <si>
    <t>creation_amount_gtbcps is: -1160.5632649064064</t>
  </si>
  <si>
    <t xml:space="preserve">total_amount_gtbcps_new is: 101160938.52744858
</t>
  </si>
  <si>
    <t xml:space="preserve"> 101160938.52744858
</t>
  </si>
  <si>
    <t>payout of tranche of gold is: 289.1850748072637</t>
  </si>
  <si>
    <t xml:space="preserve"> payout of tranche of Treausry Bill Option is: 85.5440508667833</t>
  </si>
  <si>
    <t xml:space="preserve"> payout of tranche of Collar of REIT is: 28.297761427202197
</t>
  </si>
  <si>
    <t xml:space="preserve"> 28.297761427202197
</t>
  </si>
  <si>
    <t>Collateral size of tranche of gold is: 77218575.21484917</t>
  </si>
  <si>
    <t xml:space="preserve"> collateral size of tranche of Treausry Bill Option is: 39043773.645022854</t>
  </si>
  <si>
    <t xml:space="preserve"> collateral size of tranche of Collar of REIT is: 27306429.032063738
</t>
  </si>
  <si>
    <t xml:space="preserve"> 27306429.032063738
</t>
  </si>
  <si>
    <t>Collateral ratio of tranche of gold is: 0.7630977133595903</t>
  </si>
  <si>
    <t xml:space="preserve"> collateral ratio of tranche of Treausry Bill Option is: 0.385842581354919</t>
  </si>
  <si>
    <t xml:space="preserve"> collateral ratio of tranche of Collar of REIT is: 0.26985053138324044
</t>
  </si>
  <si>
    <t xml:space="preserve"> 0.26985053138324044
</t>
  </si>
  <si>
    <t xml:space="preserve">date is: 2021-10-25 00:00:00
</t>
  </si>
  <si>
    <t xml:space="preserve"> 2021-10-25 00</t>
  </si>
  <si>
    <t>current price of gold is: 1807.73</t>
  </si>
  <si>
    <t xml:space="preserve"> predicted price of gold is: 1806.6993963870639
</t>
  </si>
  <si>
    <t xml:space="preserve"> 1806.6993963870639
</t>
  </si>
  <si>
    <t>current price of tb is: 97.24609375</t>
  </si>
  <si>
    <t xml:space="preserve"> current price of tb option is: 4.371443933313647</t>
  </si>
  <si>
    <t xml:space="preserve"> predicted price of tb is: 97.37908760322445
</t>
  </si>
  <si>
    <t xml:space="preserve"> 97.37908760322445
</t>
  </si>
  <si>
    <t>current price of reit is: 68.55</t>
  </si>
  <si>
    <t xml:space="preserve"> current price of reit option is: 6.455026669730813</t>
  </si>
  <si>
    <t xml:space="preserve"> predicted price of reit is: 69.15003692263912
</t>
  </si>
  <si>
    <t xml:space="preserve"> 69.15003692263912
</t>
  </si>
  <si>
    <t>value_ratio_gold_to_total is: -0.09788333364456567</t>
  </si>
  <si>
    <t xml:space="preserve"> risk_ratio_to_gold is: 0.742224348358658</t>
  </si>
  <si>
    <t xml:space="preserve"> risk_ratio_to_gold_before is: 0.7415815373057432
</t>
  </si>
  <si>
    <t xml:space="preserve"> 0.7415815373057432
</t>
  </si>
  <si>
    <t>value_ratio_tb_to_total is: 0.427816651529839</t>
  </si>
  <si>
    <t xml:space="preserve"> risk_ratio_tb_to_gold is: 0.18236089350744983</t>
  </si>
  <si>
    <t xml:space="preserve"> risk_ratio_tb_to_gold_before is: 0.1822500053197929
</t>
  </si>
  <si>
    <t xml:space="preserve"> 0.1822500053197929
</t>
  </si>
  <si>
    <t>value_ratio_reit_to_total is: 0.6700666821147266</t>
  </si>
  <si>
    <t xml:space="preserve"> risk_ratio_reit_to_gold is: 0.16494063629466788</t>
  </si>
  <si>
    <t xml:space="preserve"> risk_ratio_reit_to_gold_before is: 0.16621938030315955
</t>
  </si>
  <si>
    <t xml:space="preserve"> 0.16621938030315955
</t>
  </si>
  <si>
    <t>delta_gold is: 1.0084121272975761</t>
  </si>
  <si>
    <t xml:space="preserve"> delta_tb is: 1.0010530586660675</t>
  </si>
  <si>
    <t xml:space="preserve"> delta_reit is: 1.0021944074775402
</t>
  </si>
  <si>
    <t xml:space="preserve"> 1.0021944074775402
</t>
  </si>
  <si>
    <t>delta_gold_risk is: 1.0003690961572258</t>
  </si>
  <si>
    <t xml:space="preserve"> delta_tb_risk is: 1.000093794195101</t>
  </si>
  <si>
    <t xml:space="preserve"> delta_reit_risk is: 0.9989035133268329
</t>
  </si>
  <si>
    <t xml:space="preserve"> 0.9989035133268329
</t>
  </si>
  <si>
    <t xml:space="preserve">collateral_ratio_tranche_gold is: 0.7692330674956367
</t>
  </si>
  <si>
    <t xml:space="preserve"> 0.7692330674956367
</t>
  </si>
  <si>
    <t xml:space="preserve">collateral_ratio_tranche_tb is: 0.38299090348831333
</t>
  </si>
  <si>
    <t xml:space="preserve"> 0.38299090348831333
</t>
  </si>
  <si>
    <t xml:space="preserve">collateral_ratio_tranche_reit is: 0.26848105887760776
</t>
  </si>
  <si>
    <t xml:space="preserve"> 0.26848105887760776
</t>
  </si>
  <si>
    <t>Total plot size is: 144319387.1926263</t>
  </si>
  <si>
    <t xml:space="preserve"> plot size of gold is: 77868147.69929394</t>
  </si>
  <si>
    <t xml:space="preserve"> plot size of TB is: 39084889.02921572</t>
  </si>
  <si>
    <t xml:space="preserve"> plot size of REIT is: 27366350.464116618
</t>
  </si>
  <si>
    <t xml:space="preserve"> 27366350.464116618
</t>
  </si>
  <si>
    <t xml:space="preserve">collateral ratio is: 1.4262249401998675
</t>
  </si>
  <si>
    <t xml:space="preserve"> 1.4262249401998675
</t>
  </si>
  <si>
    <t>S_gtbcps_0 is: 1.0002850997274717</t>
  </si>
  <si>
    <t xml:space="preserve">stdev_gtbcps is: 0.006775304777396963
</t>
  </si>
  <si>
    <t xml:space="preserve"> 0.006775304777396963
</t>
  </si>
  <si>
    <t>predicted price of GTBCPS is: 1.0002457409926016</t>
  </si>
  <si>
    <t xml:space="preserve"> actual price is: 1.0002850997274717
</t>
  </si>
  <si>
    <t xml:space="preserve"> 1.0002850997274717
</t>
  </si>
  <si>
    <t>predicted amount of GTBCPS is: 101164919.11581357</t>
  </si>
  <si>
    <t xml:space="preserve"> actual amount is: 101160938.52744858
</t>
  </si>
  <si>
    <t>plot sizes of gold is: 77868147.69929394</t>
  </si>
  <si>
    <t xml:space="preserve"> plot sizes of tb is: 39084889.02921572 </t>
  </si>
  <si>
    <t xml:space="preserve"> plot sizes of reit is: 27366350.464116618</t>
  </si>
  <si>
    <t xml:space="preserve"> plot sizes of total is: 144319387.1926263.
</t>
  </si>
  <si>
    <t xml:space="preserve"> 144319387.1926263.
</t>
  </si>
  <si>
    <t>predicted stdevs of gold is: 0.008251377552740425</t>
  </si>
  <si>
    <t xml:space="preserve"> predicted stdevs of tb is: 0.0013959880160649694</t>
  </si>
  <si>
    <t xml:space="preserve"> predicted stdevs of reit is: 0.010258083597659597</t>
  </si>
  <si>
    <t xml:space="preserve"> predicted stdevs of GTBCPS is: 0.006775304777396963.
</t>
  </si>
  <si>
    <t xml:space="preserve"> 0.006775304777396963.
</t>
  </si>
  <si>
    <t>total_value_of_collaterals is: 144318004.15756768</t>
  </si>
  <si>
    <t xml:space="preserve"> createdtionValue_gold is: 3063.875991635554</t>
  </si>
  <si>
    <t xml:space="preserve"> createdValue_tb is: 1537.8852786439122</t>
  </si>
  <si>
    <t xml:space="preserve"> createdValue_reit is: 1076.7938378438516
</t>
  </si>
  <si>
    <t xml:space="preserve"> 1076.7938378438516
</t>
  </si>
  <si>
    <t>plotValue_gold_after_creation is: 77864009.64533295</t>
  </si>
  <si>
    <t xml:space="preserve"> plotValue_tb_after_creation  is: 39083146.47742076</t>
  </si>
  <si>
    <t xml:space="preserve"> plotValue_reit_after_creation  is: 27365169.479705848</t>
  </si>
  <si>
    <t xml:space="preserve">total_value_after_creation is: 144312325.60245955
</t>
  </si>
  <si>
    <t xml:space="preserve"> 144312325.60245955
</t>
  </si>
  <si>
    <t>total_amount_gtncps_before_creation is: 101160938.52744858</t>
  </si>
  <si>
    <t>creation_amount_gtbcps is: 3980.5883649885654</t>
  </si>
  <si>
    <t xml:space="preserve">total_amount_gtbcps_new is: 101164919.11581357
</t>
  </si>
  <si>
    <t xml:space="preserve"> 101164919.11581357
</t>
  </si>
  <si>
    <t>payout of tranche of gold is: -1074.177969344751</t>
  </si>
  <si>
    <t xml:space="preserve"> payout of tranche of Treausry Bill Option is: -204.66651632142776</t>
  </si>
  <si>
    <t xml:space="preserve"> payout of tranche of Collar of REIT is: -104.19057292585255
</t>
  </si>
  <si>
    <t xml:space="preserve"> -104.19057292585255
</t>
  </si>
  <si>
    <t>Collateral size of tranche of gold is: 77864009.64533295</t>
  </si>
  <si>
    <t xml:space="preserve"> collateral size of tranche of Treausry Bill Option is: 39083146.47742076</t>
  </si>
  <si>
    <t xml:space="preserve"> collateral size of tranche of Collar of REIT is: 27365169.479705848
</t>
  </si>
  <si>
    <t xml:space="preserve"> 27365169.479705848
</t>
  </si>
  <si>
    <t>Collateral ratio of tranche of gold is: 0.7695152012269909</t>
  </si>
  <si>
    <t xml:space="preserve"> collateral ratio of tranche of Treausry Bill Option is: 0.3862513048473487</t>
  </si>
  <si>
    <t xml:space="preserve"> collateral ratio of tranche of Collar of REIT is: 0.2704447663908448
</t>
  </si>
  <si>
    <t xml:space="preserve"> 0.2704447663908448
</t>
  </si>
  <si>
    <t xml:space="preserve">date is: 2021-10-26 00:00:00
</t>
  </si>
  <si>
    <t xml:space="preserve"> 2021-10-26 00</t>
  </si>
  <si>
    <t>current price of gold is: 1792.91</t>
  </si>
  <si>
    <t xml:space="preserve"> predicted price of gold is: 1796.7703300858004
</t>
  </si>
  <si>
    <t xml:space="preserve"> 1796.7703300858004
</t>
  </si>
  <si>
    <t>current price of tb is: 97.2265625</t>
  </si>
  <si>
    <t xml:space="preserve"> current price of tb option is: 4.372253943956542</t>
  </si>
  <si>
    <t xml:space="preserve"> predicted price of tb is: 97.35871831623463
</t>
  </si>
  <si>
    <t xml:space="preserve"> 97.35871831623463
</t>
  </si>
  <si>
    <t>current price of reit is: 68.15</t>
  </si>
  <si>
    <t xml:space="preserve"> current price of reit option is: 6.48068163993463</t>
  </si>
  <si>
    <t xml:space="preserve"> predicted price of reit is: 68.65750013840774
</t>
  </si>
  <si>
    <t xml:space="preserve"> 68.65750013840774
</t>
  </si>
  <si>
    <t>value_ratio_gold_to_total is: 0.25143944457332773</t>
  </si>
  <si>
    <t xml:space="preserve"> risk_ratio_to_gold is: 0.7436768679331657</t>
  </si>
  <si>
    <t xml:space="preserve"> risk_ratio_to_gold_before is: 0.742224348358658
</t>
  </si>
  <si>
    <t xml:space="preserve"> 0.742224348358658
</t>
  </si>
  <si>
    <t>value_ratio_tb_to_total is: 0.29339104767211377</t>
  </si>
  <si>
    <t xml:space="preserve"> risk_ratio_tb_to_gold is: 0.18133733838750463</t>
  </si>
  <si>
    <t xml:space="preserve"> risk_ratio_tb_to_gold_before is: 0.18236089350744983
</t>
  </si>
  <si>
    <t xml:space="preserve"> 0.18236089350744983
</t>
  </si>
  <si>
    <t>value_ratio_reit_to_total is: 0.4551695077545585</t>
  </si>
  <si>
    <t xml:space="preserve"> risk_ratio_reit_to_gold is: 0.16333269656895488</t>
  </si>
  <si>
    <t xml:space="preserve"> risk_ratio_reit_to_gold_before is: 0.16494063629466788
</t>
  </si>
  <si>
    <t xml:space="preserve"> 0.16494063629466788
</t>
  </si>
  <si>
    <t>delta_gold is: 0.9918018730673276</t>
  </si>
  <si>
    <t xml:space="preserve"> delta_tb is: 0.9998157676343679</t>
  </si>
  <si>
    <t xml:space="preserve"> delta_reit is: 0.9950090674396461
</t>
  </si>
  <si>
    <t xml:space="preserve"> 0.9950090674396461
</t>
  </si>
  <si>
    <t>delta_gold_risk is: 1.0008337155750784</t>
  </si>
  <si>
    <t xml:space="preserve"> delta_tb_risk is: 0.9991343124374581</t>
  </si>
  <si>
    <t xml:space="preserve"> delta_reit_risk is: 0.9986197238935477
</t>
  </si>
  <si>
    <t xml:space="preserve"> 0.9986197238935477
</t>
  </si>
  <si>
    <t xml:space="preserve">collateral_ratio_tranche_gold is: 0.7625708507353522
</t>
  </si>
  <si>
    <t xml:space="preserve"> 0.7625708507353522
</t>
  </si>
  <si>
    <t xml:space="preserve">collateral_ratio_tranche_tb is: 0.38970963491790406
</t>
  </si>
  <si>
    <t xml:space="preserve"> 0.38970963491790406
</t>
  </si>
  <si>
    <t xml:space="preserve">collateral_ratio_tranche_reit is: 0.27169431807685346
</t>
  </si>
  <si>
    <t xml:space="preserve"> 0.27169431807685346
</t>
  </si>
  <si>
    <t>Total plot size is: 143530208.47199255</t>
  </si>
  <si>
    <t xml:space="preserve"> plot size of gold is: 77225670.61077368</t>
  </si>
  <si>
    <t xml:space="preserve"> plot size of TB is: 39075946.09688888</t>
  </si>
  <si>
    <t xml:space="preserve"> plot size of REIT is: 27228591.76432998
</t>
  </si>
  <si>
    <t xml:space="preserve"> 27228591.76432998
</t>
  </si>
  <si>
    <t xml:space="preserve">collateral ratio is: 1.4184259438519922
</t>
  </si>
  <si>
    <t xml:space="preserve"> 1.4184259438519922
</t>
  </si>
  <si>
    <t>S_gtbcps_0 is: 1.0002457409926016</t>
  </si>
  <si>
    <t xml:space="preserve">stdev_gtbcps is: 0.006786615577019249
</t>
  </si>
  <si>
    <t xml:space="preserve"> 0.006786615577019249
</t>
  </si>
  <si>
    <t>predicted price of GTBCPS is: 1.0002418098183825</t>
  </si>
  <si>
    <t xml:space="preserve"> actual price is: 1.0002457409926016
</t>
  </si>
  <si>
    <t xml:space="preserve"> 1.0002457409926016
</t>
  </si>
  <si>
    <t>predicted amount of GTBCPS is: 101165316.71659169</t>
  </si>
  <si>
    <t xml:space="preserve"> actual amount is: 101164919.11581357
</t>
  </si>
  <si>
    <t>plot sizes of gold is: 77225670.61077368</t>
  </si>
  <si>
    <t xml:space="preserve"> plot sizes of tb is: 39075946.09688888 </t>
  </si>
  <si>
    <t xml:space="preserve"> plot sizes of reit is: 27228591.76432998</t>
  </si>
  <si>
    <t xml:space="preserve"> plot sizes of total is: 143530208.47199252.
</t>
  </si>
  <si>
    <t xml:space="preserve"> 143530208.47199252.
</t>
  </si>
  <si>
    <t>predicted stdevs of gold is: 0.008299952799718714</t>
  </si>
  <si>
    <t xml:space="preserve"> predicted stdevs of tb is: 0.0013957490210888982</t>
  </si>
  <si>
    <t xml:space="preserve"> predicted stdevs of reit is: 0.010230962970508147</t>
  </si>
  <si>
    <t xml:space="preserve"> predicted stdevs of GTBCPS is: 0.006786615577019249.
</t>
  </si>
  <si>
    <t xml:space="preserve"> 0.006786615577019249.
</t>
  </si>
  <si>
    <t>total_value_of_collaterals is: 143530070.08351028</t>
  </si>
  <si>
    <t xml:space="preserve"> createdtionValue_gold is: 303.5126046890036</t>
  </si>
  <si>
    <t xml:space="preserve"> createdValue_tb is: 153.57649534854173</t>
  </si>
  <si>
    <t xml:space="preserve"> createdValue_reit is: 107.01398786533849
</t>
  </si>
  <si>
    <t xml:space="preserve"> 107.01398786533849
</t>
  </si>
  <si>
    <t>plotValue_gold_after_creation is: 77225271.66407524</t>
  </si>
  <si>
    <t xml:space="preserve"> plotValue_tb_after_creation  is: 39075762.88853026</t>
  </si>
  <si>
    <t xml:space="preserve"> plotValue_reit_after_creation  is: 27228471.427816886</t>
  </si>
  <si>
    <t xml:space="preserve">total_value_after_creation is: 143529505.9804224
</t>
  </si>
  <si>
    <t xml:space="preserve"> 143529505.9804224
</t>
  </si>
  <si>
    <t>total_amount_gtncps_before_creation is: 101164919.11581357</t>
  </si>
  <si>
    <t>creation_amount_gtbcps is: 397.6007781177759</t>
  </si>
  <si>
    <t xml:space="preserve">total_amount_gtbcps_new is: 101165316.71659169
</t>
  </si>
  <si>
    <t xml:space="preserve"> 101165316.71659169
</t>
  </si>
  <si>
    <t>payout of tranche of gold is: -95.4340937512434</t>
  </si>
  <si>
    <t xml:space="preserve"> payout of tranche of Treausry Bill Option is: -29.631863267963986</t>
  </si>
  <si>
    <t xml:space="preserve"> payout of tranche of Collar of REIT is: -13.322525227942581
</t>
  </si>
  <si>
    <t xml:space="preserve"> -13.322525227942581
</t>
  </si>
  <si>
    <t>Collateral size of tranche of gold is: 77225271.66407524</t>
  </si>
  <si>
    <t xml:space="preserve"> collateral size of tranche of Treausry Bill Option is: 39075762.88853026</t>
  </si>
  <si>
    <t xml:space="preserve"> collateral size of tranche of Collar of REIT is: 27228471.427816886
</t>
  </si>
  <si>
    <t xml:space="preserve"> 27228471.427816886
</t>
  </si>
  <si>
    <t>Collateral ratio of tranche of gold is: 0.7631756445255203</t>
  </si>
  <si>
    <t xml:space="preserve"> collateral ratio of tranche of Treausry Bill Option is: 0.38616465679140327</t>
  </si>
  <si>
    <t xml:space="preserve"> collateral ratio of tranche of Collar of REIT is: 0.2690842749218279
</t>
  </si>
  <si>
    <t xml:space="preserve"> 0.2690842749218279
</t>
  </si>
  <si>
    <t xml:space="preserve">date is: 2021-10-27 00:00:00
</t>
  </si>
  <si>
    <t xml:space="preserve"> 2021-10-27 00</t>
  </si>
  <si>
    <t>current price of gold is: 1796.81</t>
  </si>
  <si>
    <t xml:space="preserve"> predicted price of gold is: 1798.628414976959
</t>
  </si>
  <si>
    <t xml:space="preserve"> 1798.628414976959
</t>
  </si>
  <si>
    <t>current price of tb is: 97.28125</t>
  </si>
  <si>
    <t xml:space="preserve"> current price of tb option is: 4.37924399764941</t>
  </si>
  <si>
    <t xml:space="preserve"> predicted price of tb is: 97.40617441352003
</t>
  </si>
  <si>
    <t xml:space="preserve"> 97.40617441352003
</t>
  </si>
  <si>
    <t xml:space="preserve"> current price of reit option is: 6.535572477690678</t>
  </si>
  <si>
    <t xml:space="preserve"> predicted price of reit is: 68.81349977668548
</t>
  </si>
  <si>
    <t xml:space="preserve"> 68.81349977668548
</t>
  </si>
  <si>
    <t>value_ratio_gold_to_total is: 0.13701493061161693</t>
  </si>
  <si>
    <t xml:space="preserve"> risk_ratio_to_gold is: 0.7434069536611032</t>
  </si>
  <si>
    <t xml:space="preserve"> risk_ratio_to_gold_before is: 0.7436768679331657
</t>
  </si>
  <si>
    <t xml:space="preserve"> 0.7436768679331657
</t>
  </si>
  <si>
    <t>value_ratio_tb_to_total is: 0.33938255576373694</t>
  </si>
  <si>
    <t xml:space="preserve"> risk_ratio_tb_to_gold is: 0.1817495102050507</t>
  </si>
  <si>
    <t xml:space="preserve"> risk_ratio_tb_to_gold_before is: 0.18133733838750463
</t>
  </si>
  <si>
    <t xml:space="preserve"> 0.18133733838750463
</t>
  </si>
  <si>
    <t>value_ratio_reit_to_total is: 0.5236025136246462</t>
  </si>
  <si>
    <t xml:space="preserve"> risk_ratio_reit_to_gold is: 0.16340874406636402</t>
  </si>
  <si>
    <t xml:space="preserve"> risk_ratio_reit_to_gold_before is: 0.16333269656895488
</t>
  </si>
  <si>
    <t xml:space="preserve"> 0.16333269656895488
</t>
  </si>
  <si>
    <t>delta_gold is: 1.0021752346743562</t>
  </si>
  <si>
    <t xml:space="preserve"> delta_tb is: 1.0006070696082066</t>
  </si>
  <si>
    <t xml:space="preserve"> delta_reit is: 1.004085328326854
</t>
  </si>
  <si>
    <t xml:space="preserve"> 1.004085328326854
</t>
  </si>
  <si>
    <t>delta_gold_risk is: 0.9998452039612234</t>
  </si>
  <si>
    <t xml:space="preserve"> delta_tb_risk is: 1.000348902725879</t>
  </si>
  <si>
    <t xml:space="preserve"> delta_reit_risk is: 1.0000653703773936
</t>
  </si>
  <si>
    <t xml:space="preserve"> 1.0000653703773936
</t>
  </si>
  <si>
    <t xml:space="preserve">collateral_ratio_tranche_gold is: 0.7649541425212244
</t>
  </si>
  <si>
    <t xml:space="preserve"> 0.7649541425212244
</t>
  </si>
  <si>
    <t xml:space="preserve">collateral_ratio_tranche_tb is: 0.38542592510852103
</t>
  </si>
  <si>
    <t xml:space="preserve"> 0.38542592510852103
</t>
  </si>
  <si>
    <t xml:space="preserve">collateral_ratio_tranche_reit is: 0.26957951298073946
</t>
  </si>
  <si>
    <t xml:space="preserve"> 0.26957951298073946
</t>
  </si>
  <si>
    <t>Total plot size is: 143832448.02277076</t>
  </si>
  <si>
    <t xml:space="preserve"> plot size of gold is: 77393254.75273551</t>
  </si>
  <si>
    <t xml:space="preserve"> plot size of TB is: 39099484.59659737</t>
  </si>
  <si>
    <t xml:space="preserve"> plot size of REIT is: 27339708.673437882
</t>
  </si>
  <si>
    <t xml:space="preserve"> 27339708.673437882
</t>
  </si>
  <si>
    <t xml:space="preserve">collateral ratio is: 1.4214128023303987
</t>
  </si>
  <si>
    <t xml:space="preserve"> 1.4214128023303987
</t>
  </si>
  <si>
    <t>S_gtbcps_0 is: 1.0002418098183825</t>
  </si>
  <si>
    <t xml:space="preserve">stdev_gtbcps is: 0.006809466720430198
</t>
  </si>
  <si>
    <t xml:space="preserve"> 0.006809466720430198
</t>
  </si>
  <si>
    <t>predicted price of GTBCPS is: 1.0002071063462439</t>
  </si>
  <si>
    <t xml:space="preserve"> actual price is: 1.0002418098183825
</t>
  </si>
  <si>
    <t xml:space="preserve"> 1.0002418098183825
</t>
  </si>
  <si>
    <t>predicted amount of GTBCPS is: 101168826.77738588</t>
  </si>
  <si>
    <t xml:space="preserve"> actual amount is: 101165316.71659169
</t>
  </si>
  <si>
    <t>plot sizes of gold is: 77393254.75273551</t>
  </si>
  <si>
    <t xml:space="preserve"> plot sizes of tb is: 39099484.59659737 </t>
  </si>
  <si>
    <t xml:space="preserve"> plot sizes of reit is: 27339708.673437882</t>
  </si>
  <si>
    <t xml:space="preserve"> plot sizes of total is: 143832448.02277076.
</t>
  </si>
  <si>
    <t xml:space="preserve"> 143832448.02277076.
</t>
  </si>
  <si>
    <t>predicted stdevs of gold is: 0.008336219203335538</t>
  </si>
  <si>
    <t xml:space="preserve"> predicted stdevs of tb is: 0.0013966430651635527</t>
  </si>
  <si>
    <t xml:space="preserve"> predicted stdevs of reit is: 0.010228605980321109</t>
  </si>
  <si>
    <t xml:space="preserve"> predicted stdevs of GTBCPS is: 0.006809466720430198.
</t>
  </si>
  <si>
    <t xml:space="preserve"> 0.006809466720430198.
</t>
  </si>
  <si>
    <t>total_value_of_collaterals is: 143831228.30981016</t>
  </si>
  <si>
    <t xml:space="preserve"> createdtionValue_gold is: 2685.1337712428976</t>
  </si>
  <si>
    <t xml:space="preserve"> createdValue_tb is: 1356.5535119985775</t>
  </si>
  <si>
    <t xml:space="preserve"> createdValue_reit is: 948.5490529106777
</t>
  </si>
  <si>
    <t xml:space="preserve"> 948.5490529106777
</t>
  </si>
  <si>
    <t>plotValue_gold_after_creation is: 77389659.13179368</t>
  </si>
  <si>
    <t xml:space="preserve"> plotValue_tb_after_creation  is: 39097945.51465224</t>
  </si>
  <si>
    <t xml:space="preserve"> plotValue_reit_after_creation  is: 27338633.42702809</t>
  </si>
  <si>
    <t xml:space="preserve">total_value_after_creation is: 143826238.073474
</t>
  </si>
  <si>
    <t xml:space="preserve"> 143826238.073474
</t>
  </si>
  <si>
    <t>total_amount_gtncps_before_creation is: 101165316.71659169</t>
  </si>
  <si>
    <t>creation_amount_gtbcps is: 3510.0607941895723</t>
  </si>
  <si>
    <t xml:space="preserve">total_amount_gtbcps_new is: 101168826.77738588
</t>
  </si>
  <si>
    <t xml:space="preserve"> 101168826.77738588
</t>
  </si>
  <si>
    <t>payout of tranche of gold is: -910.4871705907733</t>
  </si>
  <si>
    <t xml:space="preserve"> payout of tranche of Treausry Bill Option is: -182.5284331378883</t>
  </si>
  <si>
    <t xml:space="preserve"> payout of tranche of Collar of REIT is: -126.6973568849499
</t>
  </si>
  <si>
    <t xml:space="preserve"> -126.6973568849499
</t>
  </si>
  <si>
    <t>Collateral size of tranche of gold is: 77389659.13179368</t>
  </si>
  <si>
    <t xml:space="preserve"> collateral size of tranche of Treausry Bill Option is: 39097945.51465224</t>
  </si>
  <si>
    <t xml:space="preserve"> collateral size of tranche of Collar of REIT is: 27338633.42702809
</t>
  </si>
  <si>
    <t xml:space="preserve"> 27338633.42702809
</t>
  </si>
  <si>
    <t>Collateral ratio of tranche of gold is: 0.7648237268687798</t>
  </si>
  <si>
    <t xml:space="preserve"> collateral ratio of tranche of Treausry Bill Option is: 0.38639576316655305</t>
  </si>
  <si>
    <t xml:space="preserve"> collateral ratio of tranche of Collar of REIT is: 0.2701812585781111
</t>
  </si>
  <si>
    <t xml:space="preserve"> 0.2701812585781111
</t>
  </si>
  <si>
    <t xml:space="preserve">date is: 2021-10-28 00:00:00
</t>
  </si>
  <si>
    <t xml:space="preserve"> 2021-10-28 00</t>
  </si>
  <si>
    <t>current price of gold is: 1798.91</t>
  </si>
  <si>
    <t xml:space="preserve"> predicted price of gold is: 1793.9923141121599
</t>
  </si>
  <si>
    <t xml:space="preserve"> 1793.9923141121599
</t>
  </si>
  <si>
    <t>current price of tb is: 97.1875</t>
  </si>
  <si>
    <t xml:space="preserve"> current price of tb option is: 4.377008567893809</t>
  </si>
  <si>
    <t xml:space="preserve"> predicted price of tb is: 97.31473686179743
</t>
  </si>
  <si>
    <t xml:space="preserve"> 97.31473686179743
</t>
  </si>
  <si>
    <t>current price of reit is: 69.5</t>
  </si>
  <si>
    <t xml:space="preserve"> current price of reit option is: 6.454801233526297</t>
  </si>
  <si>
    <t xml:space="preserve"> predicted price of reit is: 69.9368574327877
</t>
  </si>
  <si>
    <t xml:space="preserve"> 69.9368574327877
</t>
  </si>
  <si>
    <t>value_ratio_gold_to_total is: -0.759110874289792</t>
  </si>
  <si>
    <t xml:space="preserve"> risk_ratio_to_gold is: 0.7413585298364594</t>
  </si>
  <si>
    <t xml:space="preserve"> risk_ratio_to_gold_before is: 0.7434069536611032
</t>
  </si>
  <si>
    <t xml:space="preserve"> 0.7434069536611032
</t>
  </si>
  <si>
    <t>value_ratio_tb_to_total is: 0.6952907859778737</t>
  </si>
  <si>
    <t xml:space="preserve"> risk_ratio_tb_to_gold is: 0.1818923484849306</t>
  </si>
  <si>
    <t xml:space="preserve"> risk_ratio_tb_to_gold_before is: 0.1817495102050507
</t>
  </si>
  <si>
    <t xml:space="preserve"> 0.1817495102050507
</t>
  </si>
  <si>
    <t>value_ratio_reit_to_total is: 1.0638200883119182</t>
  </si>
  <si>
    <t xml:space="preserve"> risk_ratio_reit_to_gold is: 0.16698266914061116</t>
  </si>
  <si>
    <t xml:space="preserve"> risk_ratio_reit_to_gold_before is: 0.16340874406636402
</t>
  </si>
  <si>
    <t xml:space="preserve"> 0.16340874406636402
</t>
  </si>
  <si>
    <t>delta_gold is: 1.0011687379299983</t>
  </si>
  <si>
    <t xml:space="preserve"> delta_tb is: 0.9990558236933432</t>
  </si>
  <si>
    <t xml:space="preserve"> delta_reit is: 1.0136014008051923
</t>
  </si>
  <si>
    <t xml:space="preserve"> 1.0136014008051923
</t>
  </si>
  <si>
    <t>delta_gold_risk is: 0.9988250455119833</t>
  </si>
  <si>
    <t xml:space="preserve"> delta_tb_risk is: 1.000120870183272</t>
  </si>
  <si>
    <t xml:space="preserve"> delta_reit_risk is: 1.00307194276515
</t>
  </si>
  <si>
    <t xml:space="preserve"> 1.00307194276515
</t>
  </si>
  <si>
    <t xml:space="preserve">collateral_ratio_tranche_gold is: 0.7666183470355793
</t>
  </si>
  <si>
    <t xml:space="preserve"> 0.7666183470355793
</t>
  </si>
  <si>
    <t xml:space="preserve">collateral_ratio_tranche_tb is: 0.3855336955975605
</t>
  </si>
  <si>
    <t xml:space="preserve"> 0.3855336955975605
</t>
  </si>
  <si>
    <t xml:space="preserve">collateral_ratio_tranche_reit is: 0.2726986950055395
</t>
  </si>
  <si>
    <t xml:space="preserve"> 0.2726986950055395
</t>
  </si>
  <si>
    <t>Total plot size is: 144251614.66040432</t>
  </si>
  <si>
    <t xml:space="preserve"> plot size of gold is: 77480107.36181064</t>
  </si>
  <si>
    <t xml:space="preserve"> plot size of TB is: 39061030.16085835</t>
  </si>
  <si>
    <t xml:space="preserve"> plot size of REIT is: 27710477.13773533
</t>
  </si>
  <si>
    <t xml:space="preserve"> 27710477.13773533
</t>
  </si>
  <si>
    <t xml:space="preserve">collateral ratio is: 1.425555183505388
</t>
  </si>
  <si>
    <t xml:space="preserve"> 1.425555183505388
</t>
  </si>
  <si>
    <t>S_gtbcps_0 is: 1.0002071063462439</t>
  </si>
  <si>
    <t xml:space="preserve">stdev_gtbcps is: 0.006843645581607892
</t>
  </si>
  <si>
    <t xml:space="preserve"> 0.006843645581607892
</t>
  </si>
  <si>
    <t>predicted price of GTBCPS is: 1.0001905246121305</t>
  </si>
  <si>
    <t xml:space="preserve"> actual price is: 1.0002071063462439
</t>
  </si>
  <si>
    <t xml:space="preserve"> 1.0002071063462439
</t>
  </si>
  <si>
    <t>predicted amount of GTBCPS is: 101170504.01241751</t>
  </si>
  <si>
    <t xml:space="preserve"> actual amount is: 101168826.77738588
</t>
  </si>
  <si>
    <t>plot sizes of gold is: 77480107.36181064</t>
  </si>
  <si>
    <t xml:space="preserve"> plot sizes of tb is: 39061030.16085835 </t>
  </si>
  <si>
    <t xml:space="preserve"> plot sizes of reit is: 27710477.13773533</t>
  </si>
  <si>
    <t xml:space="preserve"> plot sizes of total is: 144251614.66040432.
</t>
  </si>
  <si>
    <t xml:space="preserve"> 144251614.66040432.
</t>
  </si>
  <si>
    <t>predicted stdevs of gold is: 0.008329122136412632</t>
  </si>
  <si>
    <t xml:space="preserve"> predicted stdevs of tb is: 0.0013970952461591702</t>
  </si>
  <si>
    <t xml:space="preserve"> predicted stdevs of reit is: 0.010367691143526089</t>
  </si>
  <si>
    <t xml:space="preserve"> predicted stdevs of GTBCPS is: 0.006843645581607892.
</t>
  </si>
  <si>
    <t xml:space="preserve"> 0.006843645581607892.
</t>
  </si>
  <si>
    <t>total_value_of_collaterals is: 144251032.41919002</t>
  </si>
  <si>
    <t xml:space="preserve"> createdtionValue_gold is: 1284.4813192129225</t>
  </si>
  <si>
    <t xml:space="preserve"> createdValue_tb is: 647.5640657390969</t>
  </si>
  <si>
    <t xml:space="preserve"> createdValue_reit is: 459.39159843222626
</t>
  </si>
  <si>
    <t xml:space="preserve"> 459.39159843222626
</t>
  </si>
  <si>
    <t>plotValue_gold_after_creation is: 77478388.91463915</t>
  </si>
  <si>
    <t xml:space="preserve"> plotValue_tb_after_creation  is: 39060295.998093754</t>
  </si>
  <si>
    <t xml:space="preserve"> plotValue_reit_after_creation  is: 27709956.06947374</t>
  </si>
  <si>
    <t xml:space="preserve">total_value_after_creation is: 144248640.98220664
</t>
  </si>
  <si>
    <t xml:space="preserve"> 144248640.98220664
</t>
  </si>
  <si>
    <t>total_amount_gtncps_before_creation is: 101168826.77738588</t>
  </si>
  <si>
    <t>creation_amount_gtbcps is: 1677.2350316345692</t>
  </si>
  <si>
    <t xml:space="preserve">total_amount_gtbcps_new is: 101170504.01241751
</t>
  </si>
  <si>
    <t xml:space="preserve"> 101170504.01241751
</t>
  </si>
  <si>
    <t>payout of tranche of gold is: -433.9658522698903</t>
  </si>
  <si>
    <t xml:space="preserve"> payout of tranche of Treausry Bill Option is: -86.5986988562756</t>
  </si>
  <si>
    <t xml:space="preserve"> payout of tranche of Collar of REIT is: -61.6766631570163
</t>
  </si>
  <si>
    <t xml:space="preserve"> -61.6766631570163
</t>
  </si>
  <si>
    <t>Collateral size of tranche of gold is: 77478388.91463915</t>
  </si>
  <si>
    <t xml:space="preserve"> collateral size of tranche of Treausry Bill Option is: 39060295.998093754</t>
  </si>
  <si>
    <t xml:space="preserve"> collateral size of tranche of Collar of REIT is: 27709956.06947374
</t>
  </si>
  <si>
    <t xml:space="preserve"> 27709956.06947374
</t>
  </si>
  <si>
    <t>Collateral ratio of tranche of gold is: 0.7656867500993791</t>
  </si>
  <si>
    <t xml:space="preserve"> collateral ratio of tranche of Treausry Bill Option is: 0.3860166882619475</t>
  </si>
  <si>
    <t xml:space="preserve"> collateral ratio of tranche of Collar of REIT is: 0.27384599119126807
</t>
  </si>
  <si>
    <t xml:space="preserve"> 0.27384599119126807
</t>
  </si>
  <si>
    <t xml:space="preserve">date is: 2021-10-29 00:00:00
</t>
  </si>
  <si>
    <t xml:space="preserve"> 2021-10-29 00</t>
  </si>
  <si>
    <t>current price of gold is: 1783.38</t>
  </si>
  <si>
    <t xml:space="preserve"> predicted price of gold is: 1791.214718901519
</t>
  </si>
  <si>
    <t xml:space="preserve"> 1791.214718901519
</t>
  </si>
  <si>
    <t>current price of tb is: 97.171875</t>
  </si>
  <si>
    <t xml:space="preserve"> current price of tb option is: 4.3785958015535265</t>
  </si>
  <si>
    <t xml:space="preserve"> predicted price of tb is: 97.29746976770059
</t>
  </si>
  <si>
    <t xml:space="preserve"> 97.29746976770059
</t>
  </si>
  <si>
    <t>current price of reit is: 69.0</t>
  </si>
  <si>
    <t xml:space="preserve"> current price of reit option is: 6.487553354845318</t>
  </si>
  <si>
    <t xml:space="preserve"> predicted price of reit is: 69.32936804546935
</t>
  </si>
  <si>
    <t xml:space="preserve"> 69.32936804546935
</t>
  </si>
  <si>
    <t>value_ratio_gold_to_total is: 0.40899916867318153</t>
  </si>
  <si>
    <t xml:space="preserve"> risk_ratio_to_gold is: 0.7422786229927378</t>
  </si>
  <si>
    <t xml:space="preserve"> risk_ratio_to_gold_before is: 0.7413585298364594
</t>
  </si>
  <si>
    <t xml:space="preserve"> 0.7413585298364594
</t>
  </si>
  <si>
    <t>value_ratio_tb_to_total is: 0.23513417922541696</t>
  </si>
  <si>
    <t xml:space="preserve"> risk_ratio_tb_to_gold is: 0.18144077896179714</t>
  </si>
  <si>
    <t xml:space="preserve"> risk_ratio_tb_to_gold_before is: 0.1818923484849306
</t>
  </si>
  <si>
    <t xml:space="preserve"> 0.1818923484849306
</t>
  </si>
  <si>
    <t>value_ratio_reit_to_total is: 0.3558666521014015</t>
  </si>
  <si>
    <t xml:space="preserve"> risk_ratio_reit_to_gold is: 0.1657622375661134</t>
  </si>
  <si>
    <t xml:space="preserve"> risk_ratio_reit_to_gold_before is: 0.16698266914061116
</t>
  </si>
  <si>
    <t xml:space="preserve"> 0.16698266914061116
</t>
  </si>
  <si>
    <t>delta_gold is: 0.991366994457755</t>
  </si>
  <si>
    <t xml:space="preserve"> delta_tb is: 0.9998617847263949</t>
  </si>
  <si>
    <t xml:space="preserve"> delta_reit is: 0.9938483430791372
</t>
  </si>
  <si>
    <t xml:space="preserve"> 0.9938483430791372
</t>
  </si>
  <si>
    <t>delta_gold_risk is: 1.000528376632677</t>
  </si>
  <si>
    <t xml:space="preserve"> delta_tb_risk is: 0.9996179266887442</t>
  </si>
  <si>
    <t xml:space="preserve"> delta_reit_risk is: 0.9989541990581604
</t>
  </si>
  <si>
    <t xml:space="preserve"> 0.9989541990581604
</t>
  </si>
  <si>
    <t xml:space="preserve">collateral_ratio_tranche_gold is: 0.7586757056275144
</t>
  </si>
  <si>
    <t xml:space="preserve"> 0.7586757056275144
</t>
  </si>
  <si>
    <t xml:space="preserve">collateral_ratio_tranche_tb is: 0.38947318164933986
</t>
  </si>
  <si>
    <t xml:space="preserve"> 0.38947318164933986
</t>
  </si>
  <si>
    <t xml:space="preserve">collateral_ratio_tranche_reit is: 0.27481882162124893
</t>
  </si>
  <si>
    <t xml:space="preserve"> 0.27481882162124893
</t>
  </si>
  <si>
    <t>Total plot size is: 143403908.7487723</t>
  </si>
  <si>
    <t xml:space="preserve"> plot size of gold is: 76809517.55373485</t>
  </si>
  <si>
    <t xml:space="preserve"> plot size of TB is: 39054897.26859528</t>
  </si>
  <si>
    <t xml:space="preserve"> plot size of REIT is: 27539493.926442157
</t>
  </si>
  <si>
    <t xml:space="preserve"> 27539493.926442157
</t>
  </si>
  <si>
    <t xml:space="preserve">collateral ratio is: 1.417177796817134
</t>
  </si>
  <si>
    <t xml:space="preserve"> 1.417177796817134
</t>
  </si>
  <si>
    <t>S_gtbcps_0 is: 1.0001905246121305</t>
  </si>
  <si>
    <t xml:space="preserve">stdev_gtbcps is: 0.00683301731341367
</t>
  </si>
  <si>
    <t xml:space="preserve"> 0.00683301731341367
</t>
  </si>
  <si>
    <t>predicted price of GTBCPS is: 1.0002164637081303</t>
  </si>
  <si>
    <t xml:space="preserve"> actual price is: 1.0001905246121305
</t>
  </si>
  <si>
    <t xml:space="preserve"> 1.0001905246121305
</t>
  </si>
  <si>
    <t>predicted amount of GTBCPS is: 101167880.30893818</t>
  </si>
  <si>
    <t xml:space="preserve"> actual amount is: 101170504.01241751
</t>
  </si>
  <si>
    <t>plot sizes of gold is: 76809517.55373485</t>
  </si>
  <si>
    <t xml:space="preserve"> plot sizes of tb is: 39054897.26859528 </t>
  </si>
  <si>
    <t xml:space="preserve"> plot sizes of reit is: 27539493.926442157</t>
  </si>
  <si>
    <t xml:space="preserve"> plot sizes of total is: 143403908.7487723.
</t>
  </si>
  <si>
    <t xml:space="preserve"> 143403908.7487723.
</t>
  </si>
  <si>
    <t>predicted stdevs of gold is: 0.008330015417551715</t>
  </si>
  <si>
    <t xml:space="preserve"> predicted stdevs of tb is: 0.0013970871931536105</t>
  </si>
  <si>
    <t xml:space="preserve"> predicted stdevs of reit is: 0.010366705714088391</t>
  </si>
  <si>
    <t xml:space="preserve"> predicted stdevs of GTBCPS is: 0.00683301731341367.
</t>
  </si>
  <si>
    <t xml:space="preserve"> 0.00683301731341367.
</t>
  </si>
  <si>
    <t>total_value_of_collaterals is: 143404820.70905888</t>
  </si>
  <si>
    <t xml:space="preserve"> createdtionValue_gold is: -1992.0081525064095</t>
  </si>
  <si>
    <t xml:space="preserve"> createdValue_tb is: -1012.8593322183478</t>
  </si>
  <si>
    <t xml:space="preserve"> createdValue_reit is: -714.2153496566858
</t>
  </si>
  <si>
    <t xml:space="preserve"> -714.2153496566858
</t>
  </si>
  <si>
    <t>plotValue_gold_after_creation is: 76812212.34536013</t>
  </si>
  <si>
    <t xml:space="preserve"> plotValue_tb_after_creation  is: 39056048.040990666</t>
  </si>
  <si>
    <t xml:space="preserve"> plotValue_reit_after_creation  is: 27540279.405542474</t>
  </si>
  <si>
    <t xml:space="preserve">total_value_after_creation is: 143408539.79189327
</t>
  </si>
  <si>
    <t xml:space="preserve"> 143408539.79189327
</t>
  </si>
  <si>
    <t>total_amount_gtncps_before_creation is: 101170504.01241751</t>
  </si>
  <si>
    <t>creation_amount_gtbcps is: -2623.703479334712</t>
  </si>
  <si>
    <t xml:space="preserve">total_amount_gtbcps_new is: 101167880.30893818
</t>
  </si>
  <si>
    <t xml:space="preserve"> 101167880.30893818
</t>
  </si>
  <si>
    <t>payout of tranche of gold is: 702.7834727774614</t>
  </si>
  <si>
    <t xml:space="preserve"> payout of tranche of Treausry Bill Option is: 137.9130631717342</t>
  </si>
  <si>
    <t xml:space="preserve"> payout of tranche of Collar of REIT is: 71.26375066006433
</t>
  </si>
  <si>
    <t xml:space="preserve"> 71.26375066006433
</t>
  </si>
  <si>
    <t>Collateral size of tranche of gold is: 76812212.34536013</t>
  </si>
  <si>
    <t xml:space="preserve"> collateral size of tranche of Treausry Bill Option is: 39056048.040990666</t>
  </si>
  <si>
    <t xml:space="preserve"> collateral size of tranche of Collar of REIT is: 27540279.405542474
</t>
  </si>
  <si>
    <t xml:space="preserve"> 27540279.405542474
</t>
  </si>
  <si>
    <t>Collateral ratio of tranche of gold is: 0.7590709331446619</t>
  </si>
  <si>
    <t xml:space="preserve"> collateral ratio of tranche of Treausry Bill Option is: 0.3859582991585103</t>
  </si>
  <si>
    <t xml:space="preserve"> collateral ratio of tranche of Collar of REIT is: 0.27215757688943343
</t>
  </si>
  <si>
    <t xml:space="preserve"> 0.27215757688943343
</t>
  </si>
  <si>
    <t xml:space="preserve">date is: 2021-11-01 00:00:00
</t>
  </si>
  <si>
    <t xml:space="preserve"> 2021-11-01 00</t>
  </si>
  <si>
    <t>current price of gold is: 1793.28</t>
  </si>
  <si>
    <t xml:space="preserve"> predicted price of gold is: 1790.032131382191
</t>
  </si>
  <si>
    <t xml:space="preserve"> 1790.032131382191
</t>
  </si>
  <si>
    <t>current price of tb is: 97.203125</t>
  </si>
  <si>
    <t xml:space="preserve"> current price of tb option is: 4.376204819770544</t>
  </si>
  <si>
    <t xml:space="preserve"> predicted price of tb is: 97.3311934077834
</t>
  </si>
  <si>
    <t xml:space="preserve"> 97.3311934077834
</t>
  </si>
  <si>
    <t>current price of reit is: 68.65</t>
  </si>
  <si>
    <t xml:space="preserve"> current price of reit option is: 6.4808193437870045</t>
  </si>
  <si>
    <t xml:space="preserve"> predicted price of reit is: 69.19924525401339
</t>
  </si>
  <si>
    <t xml:space="preserve"> 69.19924525401339
</t>
  </si>
  <si>
    <t>value_ratio_gold_to_total is: -0.3919484326148948</t>
  </si>
  <si>
    <t xml:space="preserve"> risk_ratio_to_gold is: 0.742713038240443</t>
  </si>
  <si>
    <t xml:space="preserve"> risk_ratio_to_gold_before is: 0.7422786229927378
</t>
  </si>
  <si>
    <t xml:space="preserve"> 0.7422786229927378
</t>
  </si>
  <si>
    <t>value_ratio_tb_to_total is: 0.5435696573219059</t>
  </si>
  <si>
    <t xml:space="preserve"> risk_ratio_tb_to_gold is: 0.1818730093840114</t>
  </si>
  <si>
    <t xml:space="preserve"> risk_ratio_tb_to_gold_before is: 0.18144077896179714
</t>
  </si>
  <si>
    <t xml:space="preserve"> 0.18144077896179714
</t>
  </si>
  <si>
    <t>value_ratio_reit_to_total is: 0.8483787752929889</t>
  </si>
  <si>
    <t xml:space="preserve"> risk_ratio_reit_to_gold is: 0.16454202376135255</t>
  </si>
  <si>
    <t xml:space="preserve"> risk_ratio_reit_to_gold_before is: 0.1657622375661134
</t>
  </si>
  <si>
    <t xml:space="preserve"> 0.1657622375661134
</t>
  </si>
  <si>
    <t>delta_gold is: 1.0055512566026308</t>
  </si>
  <si>
    <t xml:space="preserve"> delta_tb is: 1.0002841839923462</t>
  </si>
  <si>
    <t xml:space="preserve"> delta_reit is: 0.9952742671446589
</t>
  </si>
  <si>
    <t xml:space="preserve"> 0.9952742671446589
</t>
  </si>
  <si>
    <t>delta_gold_risk is: 1.0002493374147925</t>
  </si>
  <si>
    <t xml:space="preserve"> delta_tb_risk is: 1.0003658502651263</t>
  </si>
  <si>
    <t xml:space="preserve"> delta_reit_risk is: 0.998953291018151
</t>
  </si>
  <si>
    <t xml:space="preserve"> 0.998953291018151
</t>
  </si>
  <si>
    <t xml:space="preserve">collateral_ratio_tranche_gold is: 0.7630944626735808
</t>
  </si>
  <si>
    <t xml:space="preserve"> 0.7630944626735808
</t>
  </si>
  <si>
    <t xml:space="preserve">collateral_ratio_tranche_tb is: 0.3837962395014732
</t>
  </si>
  <si>
    <t xml:space="preserve"> 0.3837962395014732
</t>
  </si>
  <si>
    <t xml:space="preserve">collateral_ratio_tranche_reit is: 0.26965831104618865
</t>
  </si>
  <si>
    <t xml:space="preserve"> 0.26965831104618865
</t>
  </si>
  <si>
    <t>Total plot size is: 143715895.19326365</t>
  </si>
  <si>
    <t xml:space="preserve"> plot size of gold is: 77238616.646305</t>
  </si>
  <si>
    <t xml:space="preserve"> plot size of TB is: 39067147.14464822</t>
  </si>
  <si>
    <t xml:space="preserve"> plot size of REIT is: 27410131.40231043
</t>
  </si>
  <si>
    <t xml:space="preserve"> 27410131.40231043
</t>
  </si>
  <si>
    <t xml:space="preserve">collateral ratio is: 1.4202609782024869
</t>
  </si>
  <si>
    <t xml:space="preserve"> 1.4202609782024869
</t>
  </si>
  <si>
    <t>S_gtbcps_0 is: 1.0002164637081303</t>
  </si>
  <si>
    <t xml:space="preserve">stdev_gtbcps is: 0.006844846334780372
</t>
  </si>
  <si>
    <t xml:space="preserve"> 0.006844846334780372
</t>
  </si>
  <si>
    <t>predicted price of GTBCPS is: 1.0002332665624938</t>
  </si>
  <si>
    <t xml:space="preserve"> actual price is: 1.0002164637081303
</t>
  </si>
  <si>
    <t xml:space="preserve"> 1.0002164637081303
</t>
  </si>
  <si>
    <t>predicted amount of GTBCPS is: 101166180.79621857</t>
  </si>
  <si>
    <t xml:space="preserve"> actual amount is: 101167880.30893818
</t>
  </si>
  <si>
    <t>plot sizes of gold is: 77238616.646305</t>
  </si>
  <si>
    <t xml:space="preserve"> plot sizes of tb is: 39067147.14464822 </t>
  </si>
  <si>
    <t xml:space="preserve"> plot sizes of reit is: 27410131.40231043</t>
  </si>
  <si>
    <t xml:space="preserve"> plot sizes of total is: 143715895.19326365.
</t>
  </si>
  <si>
    <t xml:space="preserve"> 143715895.19326365.
</t>
  </si>
  <si>
    <t>predicted stdevs of gold is: 0.008355664490412478</t>
  </si>
  <si>
    <t xml:space="preserve"> predicted stdevs of tb is: 0.0013963100786365313</t>
  </si>
  <si>
    <t xml:space="preserve"> predicted stdevs of reit is: 0.010353230219743083</t>
  </si>
  <si>
    <t xml:space="preserve"> predicted stdevs of GTBCPS is: 0.006844846334780372.
</t>
  </si>
  <si>
    <t xml:space="preserve"> 0.006844846334780372.
</t>
  </si>
  <si>
    <t>total_value_of_collaterals is: 143716485.34764692</t>
  </si>
  <si>
    <t xml:space="preserve"> createdtionValue_gold is: -1297.5552050915976</t>
  </si>
  <si>
    <t xml:space="preserve"> createdValue_tb is: -656.2995461259048</t>
  </si>
  <si>
    <t xml:space="preserve"> createdValue_reit is: -460.46980806113277
</t>
  </si>
  <si>
    <t xml:space="preserve"> -460.46980806113277
</t>
  </si>
  <si>
    <t>plotValue_gold_after_creation is: 77240321.98696049</t>
  </si>
  <si>
    <t xml:space="preserve"> plotValue_tb_after_creation  is: 39067924.0958248</t>
  </si>
  <si>
    <t xml:space="preserve"> plotValue_reit_after_creation  is: 27410653.589420915</t>
  </si>
  <si>
    <t xml:space="preserve">total_value_after_creation is: 143718899.6722062
</t>
  </si>
  <si>
    <t xml:space="preserve"> 143718899.6722062
</t>
  </si>
  <si>
    <t>total_amount_gtncps_before_creation is: 101167880.30893818</t>
  </si>
  <si>
    <t>creation_amount_gtbcps is: -1699.5127196013927</t>
  </si>
  <si>
    <t xml:space="preserve">total_amount_gtbcps_new is: 101166180.79621857
</t>
  </si>
  <si>
    <t xml:space="preserve"> 101166180.79621857
</t>
  </si>
  <si>
    <t>payout of tranche of gold is: 407.7854503921245</t>
  </si>
  <si>
    <t xml:space="preserve"> payout of tranche of Treausry Bill Option is: 120.65163046232098</t>
  </si>
  <si>
    <t xml:space="preserve"> payout of tranche of Collar of REIT is: 61.71730242454226
</t>
  </si>
  <si>
    <t xml:space="preserve"> 61.71730242454226
</t>
  </si>
  <si>
    <t>Collateral size of tranche of gold is: 77240321.98696049</t>
  </si>
  <si>
    <t xml:space="preserve"> collateral size of tranche of Treausry Bill Option is: 39067924.0958248</t>
  </si>
  <si>
    <t xml:space="preserve"> collateral size of tranche of Collar of REIT is: 27410653.589420915
</t>
  </si>
  <si>
    <t xml:space="preserve"> 27410653.589420915
</t>
  </si>
  <si>
    <t>Collateral ratio of tranche of gold is: 0.7633085557260796</t>
  </si>
  <si>
    <t xml:space="preserve"> collateral ratio of tranche of Treausry Bill Option is: 0.3860791870059063</t>
  </si>
  <si>
    <t xml:space="preserve"> collateral ratio of tranche of Collar of REIT is: 0.2708790676245613
</t>
  </si>
  <si>
    <t xml:space="preserve"> 0.2708790676245613
</t>
  </si>
  <si>
    <t xml:space="preserve">date is: 2021-11-02 00:00:00
</t>
  </si>
  <si>
    <t xml:space="preserve"> 2021-11-02 00</t>
  </si>
  <si>
    <t>current price of gold is: 1787.76</t>
  </si>
  <si>
    <t xml:space="preserve"> predicted price of gold is: 1787.4131106193788
</t>
  </si>
  <si>
    <t xml:space="preserve"> 1787.4131106193788
</t>
  </si>
  <si>
    <t>current price of tb is: 97.328125</t>
  </si>
  <si>
    <t xml:space="preserve"> current price of tb option is: 4.377615911738463</t>
  </si>
  <si>
    <t xml:space="preserve"> predicted price of tb is: 97.45473384041553
</t>
  </si>
  <si>
    <t xml:space="preserve"> 97.45473384041553
</t>
  </si>
  <si>
    <t>current price of reit is: 68.6</t>
  </si>
  <si>
    <t xml:space="preserve"> current price of reit option is: 6.497902880677586</t>
  </si>
  <si>
    <t xml:space="preserve"> predicted price of reit is: 68.99886280495691
</t>
  </si>
  <si>
    <t xml:space="preserve"> 68.99886280495691
</t>
  </si>
  <si>
    <t>value_ratio_gold_to_total is: -0.031381057476063165</t>
  </si>
  <si>
    <t xml:space="preserve"> risk_ratio_to_gold is: 0.7386448453475529</t>
  </si>
  <si>
    <t xml:space="preserve"> risk_ratio_to_gold_before is: 0.742713038240443
</t>
  </si>
  <si>
    <t xml:space="preserve"> 0.742713038240443
</t>
  </si>
  <si>
    <t>value_ratio_tb_to_total is: 0.40747092222696074</t>
  </si>
  <si>
    <t xml:space="preserve"> risk_ratio_tb_to_gold is: 0.18570062665942316</t>
  </si>
  <si>
    <t xml:space="preserve"> risk_ratio_tb_to_gold_before is: 0.1818730093840114
</t>
  </si>
  <si>
    <t xml:space="preserve"> 0.1818730093840114
</t>
  </si>
  <si>
    <t>value_ratio_reit_to_total is: 0.6239101352491024</t>
  </si>
  <si>
    <t xml:space="preserve"> risk_ratio_reit_to_gold is: 0.16812998124182357</t>
  </si>
  <si>
    <t xml:space="preserve"> risk_ratio_reit_to_gold_before is: 0.16454202376135255
</t>
  </si>
  <si>
    <t xml:space="preserve"> 0.16454202376135255
</t>
  </si>
  <si>
    <t>delta_gold is: 0.9969218415417559</t>
  </si>
  <si>
    <t xml:space="preserve"> delta_tb is: 1.0012444568416843</t>
  </si>
  <si>
    <t xml:space="preserve"> delta_reit is: 0.9995618780229347
</t>
  </si>
  <si>
    <t xml:space="preserve"> 0.9995618780229347
</t>
  </si>
  <si>
    <t>delta_gold_risk is: 0.9976655979477852</t>
  </si>
  <si>
    <t xml:space="preserve"> delta_tb_risk is: 1.0032386028321325</t>
  </si>
  <si>
    <t xml:space="preserve"> delta_reit_risk is: 1.003081003009992
</t>
  </si>
  <si>
    <t xml:space="preserve"> 1.003081003009992
</t>
  </si>
  <si>
    <t xml:space="preserve">collateral_ratio_tranche_gold is: 0.7627395117204869
</t>
  </si>
  <si>
    <t xml:space="preserve"> 0.7627395117204869
</t>
  </si>
  <si>
    <t xml:space="preserve">collateral_ratio_tranche_tb is: 0.38650148690984526
</t>
  </si>
  <si>
    <t xml:space="preserve"> 0.38650148690984526
</t>
  </si>
  <si>
    <t xml:space="preserve">collateral_ratio_tranche_reit is: 0.27076218721347634
</t>
  </si>
  <si>
    <t xml:space="preserve"> 0.27076218721347634
</t>
  </si>
  <si>
    <t>Total plot size is: 143517750.85745275</t>
  </si>
  <si>
    <t xml:space="preserve"> plot size of gold is: 77002564.03651883</t>
  </si>
  <si>
    <t xml:space="preserve"> plot size of TB is: 39116542.441256255</t>
  </si>
  <si>
    <t xml:space="preserve"> plot size of REIT is: 27398644.379677664
</t>
  </si>
  <si>
    <t xml:space="preserve"> 27398644.379677664
</t>
  </si>
  <si>
    <t xml:space="preserve">collateral ratio is: 1.4183028324606701
</t>
  </si>
  <si>
    <t xml:space="preserve"> 1.4183028324606701
</t>
  </si>
  <si>
    <t>S_gtbcps_0 is: 1.0002332665624938</t>
  </si>
  <si>
    <t xml:space="preserve">stdev_gtbcps is: 0.006727021841278309
</t>
  </si>
  <si>
    <t xml:space="preserve"> 0.006727021841278309
</t>
  </si>
  <si>
    <t>predicted price of GTBCPS is: 1.0002258190813509</t>
  </si>
  <si>
    <t xml:space="preserve"> actual price is: 1.0002332665624938
</t>
  </si>
  <si>
    <t xml:space="preserve"> 1.0002332665624938
</t>
  </si>
  <si>
    <t>predicted amount of GTBCPS is: 101166934.05934116</t>
  </si>
  <si>
    <t xml:space="preserve"> actual amount is: 101166180.79621857
</t>
  </si>
  <si>
    <t>plot sizes of gold is: 77002564.03651883</t>
  </si>
  <si>
    <t xml:space="preserve"> plot sizes of tb is: 39116542.441256255 </t>
  </si>
  <si>
    <t xml:space="preserve"> plot sizes of reit is: 27398644.379677664</t>
  </si>
  <si>
    <t xml:space="preserve"> plot sizes of total is: 143517750.85745275.
</t>
  </si>
  <si>
    <t xml:space="preserve"> 143517750.85745275.
</t>
  </si>
  <si>
    <t>predicted stdevs of gold is: 0.008150949381014789</t>
  </si>
  <si>
    <t xml:space="preserve"> predicted stdevs of tb is: 0.0013892201901552677</t>
  </si>
  <si>
    <t xml:space="preserve"> predicted stdevs of reit is: 0.010345823994160867</t>
  </si>
  <si>
    <t xml:space="preserve"> predicted stdevs of GTBCPS is: 0.006727021841278309.
</t>
  </si>
  <si>
    <t xml:space="preserve"> 0.006727021841278309.
</t>
  </si>
  <si>
    <t>total_value_of_collaterals is: 143517489.25422376</t>
  </si>
  <si>
    <t xml:space="preserve"> createdtionValue_gold is: 573.3400596380326</t>
  </si>
  <si>
    <t xml:space="preserve"> createdValue_tb is: 291.2513567332033</t>
  </si>
  <si>
    <t xml:space="preserve"> createdValue_reit is: 204.00311114772123
</t>
  </si>
  <si>
    <t xml:space="preserve"> 204.00311114772123
</t>
  </si>
  <si>
    <t>plotValue_gold_after_creation is: 77001810.37901439</t>
  </si>
  <si>
    <t xml:space="preserve"> plotValue_tb_after_creation  is: 39116195.295963764</t>
  </si>
  <si>
    <t xml:space="preserve"> plotValue_reit_after_creation  is: 27398414.984718077</t>
  </si>
  <si>
    <t xml:space="preserve">total_value_after_creation is: 143516420.65969622
</t>
  </si>
  <si>
    <t xml:space="preserve"> 143516420.65969622
</t>
  </si>
  <si>
    <t>total_amount_gtncps_before_creation is: 101166180.79621857</t>
  </si>
  <si>
    <t>creation_amount_gtbcps is: 753.2631225883961</t>
  </si>
  <si>
    <t xml:space="preserve">total_amount_gtbcps_new is: 101166934.05934116
</t>
  </si>
  <si>
    <t xml:space="preserve"> 101166934.05934116
</t>
  </si>
  <si>
    <t>payout of tranche of gold is: -180.31744480003937</t>
  </si>
  <si>
    <t xml:space="preserve"> payout of tranche of Treausry Bill Option is: -55.89393575460653</t>
  </si>
  <si>
    <t xml:space="preserve"> payout of tranche of Collar of REIT is: -25.391848441411724
</t>
  </si>
  <si>
    <t xml:space="preserve"> -25.391848441411724
</t>
  </si>
  <si>
    <t>Collateral size of tranche of gold is: 77001810.37901439</t>
  </si>
  <si>
    <t xml:space="preserve"> collateral size of tranche of Treausry Bill Option is: 39116195.295963764</t>
  </si>
  <si>
    <t xml:space="preserve"> collateral size of tranche of Collar of REIT is: 27398414.984718077
</t>
  </si>
  <si>
    <t xml:space="preserve"> 27398414.984718077
</t>
  </si>
  <si>
    <t>Collateral ratio of tranche of gold is: 0.760969972581721</t>
  </si>
  <si>
    <t xml:space="preserve"> collateral ratio of tranche of Treausry Bill Option is: 0.3865655874239433</t>
  </si>
  <si>
    <t xml:space="preserve"> collateral ratio of tranche of Collar of REIT is: 0.27076468718176644
</t>
  </si>
  <si>
    <t xml:space="preserve"> 0.27076468718176644
</t>
  </si>
  <si>
    <t xml:space="preserve">date is: 2021-11-03 00:00:00
</t>
  </si>
  <si>
    <t xml:space="preserve"> 2021-11-03 00</t>
  </si>
  <si>
    <t>current price of gold is: 1769.84</t>
  </si>
  <si>
    <t xml:space="preserve"> predicted price of gold is: 1777.7450410153783
</t>
  </si>
  <si>
    <t xml:space="preserve"> 1777.7450410153783
</t>
  </si>
  <si>
    <t>current price of tb is: 97.17578125</t>
  </si>
  <si>
    <t xml:space="preserve"> current price of tb option is: 4.374671991864023</t>
  </si>
  <si>
    <t xml:space="preserve"> predicted price of tb is: 97.3054353752088
</t>
  </si>
  <si>
    <t xml:space="preserve"> 97.3054353752088
</t>
  </si>
  <si>
    <t xml:space="preserve"> current price of reit option is: 6.490059502108878</t>
  </si>
  <si>
    <t xml:space="preserve"> predicted price of reit is: 68.22792324948261
</t>
  </si>
  <si>
    <t xml:space="preserve"> 68.22792324948261
</t>
  </si>
  <si>
    <t>value_ratio_gold_to_total is: 0.4111352351235365</t>
  </si>
  <si>
    <t xml:space="preserve"> risk_ratio_to_gold is: 0.7398829326843764</t>
  </si>
  <si>
    <t xml:space="preserve"> risk_ratio_to_gold_before is: 0.7386448453475529
</t>
  </si>
  <si>
    <t xml:space="preserve"> 0.7386448453475529
</t>
  </si>
  <si>
    <t>value_ratio_tb_to_total is: 0.23426661210399474</t>
  </si>
  <si>
    <t xml:space="preserve"> risk_ratio_tb_to_gold is: 0.18468725195740623</t>
  </si>
  <si>
    <t xml:space="preserve"> risk_ratio_tb_to_gold_before is: 0.18570062665942316
</t>
  </si>
  <si>
    <t xml:space="preserve"> 0.18570062665942316
</t>
  </si>
  <si>
    <t>value_ratio_reit_to_total is: 0.35459815277246876</t>
  </si>
  <si>
    <t xml:space="preserve"> risk_ratio_reit_to_gold is: 0.16687791575350466</t>
  </si>
  <si>
    <t xml:space="preserve"> risk_ratio_reit_to_gold_before is: 0.16812998124182357
</t>
  </si>
  <si>
    <t xml:space="preserve"> 0.16812998124182357
</t>
  </si>
  <si>
    <t>delta_gold is: 0.9899762831700004</t>
  </si>
  <si>
    <t xml:space="preserve"> delta_tb is: 0.9984731671144385</t>
  </si>
  <si>
    <t xml:space="preserve"> delta_reit is: 0.9905743922078173
</t>
  </si>
  <si>
    <t xml:space="preserve"> 0.9905743922078173
</t>
  </si>
  <si>
    <t>delta_gold_risk is: 1.0007120990466436</t>
  </si>
  <si>
    <t xml:space="preserve"> delta_tb_risk is: 0.9991453367914024</t>
  </si>
  <si>
    <t xml:space="preserve"> delta_reit_risk is: 0.9989281454046854
</t>
  </si>
  <si>
    <t xml:space="preserve"> 0.9989281454046854
</t>
  </si>
  <si>
    <t xml:space="preserve">collateral_ratio_tranche_gold is: 0.7528061525169146
</t>
  </si>
  <si>
    <t xml:space="preserve"> 0.7528061525169146
</t>
  </si>
  <si>
    <t xml:space="preserve">collateral_ratio_tranche_tb is: 0.3902169517205779
</t>
  </si>
  <si>
    <t xml:space="preserve"> 0.3902169517205779
</t>
  </si>
  <si>
    <t xml:space="preserve">collateral_ratio_tranche_reit is: 0.27121898104473324
</t>
  </si>
  <si>
    <t xml:space="preserve"> 0.27121898104473324
</t>
  </si>
  <si>
    <t>Total plot size is: 142426605.70995033</t>
  </si>
  <si>
    <t xml:space="preserve"> plot size of gold is: 76229966.03637782</t>
  </si>
  <si>
    <t xml:space="preserve"> plot size of TB is: 39056471.40262784</t>
  </si>
  <si>
    <t xml:space="preserve"> plot size of REIT is: 27140168.270944662
</t>
  </si>
  <si>
    <t xml:space="preserve"> 27140168.270944662
</t>
  </si>
  <si>
    <t xml:space="preserve">collateral ratio is: 1.4075196767598432
</t>
  </si>
  <si>
    <t xml:space="preserve"> 1.4075196767598432
</t>
  </si>
  <si>
    <t>S_gtbcps_0 is: 1.0002258190813509</t>
  </si>
  <si>
    <t xml:space="preserve">stdev_gtbcps is: 0.006673692903023478
</t>
  </si>
  <si>
    <t xml:space="preserve"> 0.006673692903023478
</t>
  </si>
  <si>
    <t>predicted price of GTBCPS is: 1.0002422264281887</t>
  </si>
  <si>
    <t xml:space="preserve"> actual price is: 1.0002258190813509
</t>
  </si>
  <si>
    <t xml:space="preserve"> 1.0002258190813509
</t>
  </si>
  <si>
    <t>predicted amount of GTBCPS is: 101165274.5803352</t>
  </si>
  <si>
    <t xml:space="preserve"> actual amount is: 101166934.05934116
</t>
  </si>
  <si>
    <t>plot sizes of gold is: 76229966.03637782</t>
  </si>
  <si>
    <t xml:space="preserve"> plot sizes of tb is: 39056471.40262784 </t>
  </si>
  <si>
    <t xml:space="preserve"> plot sizes of reit is: 27140168.270944662</t>
  </si>
  <si>
    <t xml:space="preserve"> plot sizes of total is: 142426605.70995033.
</t>
  </si>
  <si>
    <t xml:space="preserve"> 142426605.70995033.
</t>
  </si>
  <si>
    <t>predicted stdevs of gold is: 0.008070505992680452</t>
  </si>
  <si>
    <t xml:space="preserve"> predicted stdevs of tb is: 0.0013692430427029933</t>
  </si>
  <si>
    <t xml:space="preserve"> predicted stdevs of reit is: 0.01038384233493989</t>
  </si>
  <si>
    <t xml:space="preserve"> predicted stdevs of GTBCPS is: 0.006673692903023478.
</t>
  </si>
  <si>
    <t xml:space="preserve"> 0.006673692903023478.
</t>
  </si>
  <si>
    <t>total_value_of_collaterals is: 142427182.95003468</t>
  </si>
  <si>
    <t xml:space="preserve"> createdtionValue_gold is: -1250.456403355382</t>
  </si>
  <si>
    <t xml:space="preserve"> createdValue_tb is: -640.6698510935789</t>
  </si>
  <si>
    <t xml:space="preserve"> createdValue_reit is: -445.19834867648507
</t>
  </si>
  <si>
    <t xml:space="preserve"> -445.19834867648507
</t>
  </si>
  <si>
    <t>plotValue_gold_after_creation is: 76231660.68856259</t>
  </si>
  <si>
    <t xml:space="preserve"> plotValue_tb_after_creation  is: 39057200.69160812</t>
  </si>
  <si>
    <t xml:space="preserve"> plotValue_reit_after_creation  is: 27140657.894467104</t>
  </si>
  <si>
    <t xml:space="preserve">total_value_after_creation is: 142429519.27463782
</t>
  </si>
  <si>
    <t xml:space="preserve"> 142429519.27463782
</t>
  </si>
  <si>
    <t>total_amount_gtncps_before_creation is: 101166934.05934116</t>
  </si>
  <si>
    <t>creation_amount_gtbcps is: -1659.4790059626102</t>
  </si>
  <si>
    <t xml:space="preserve">total_amount_gtbcps_new is: 101165274.5803352
</t>
  </si>
  <si>
    <t xml:space="preserve"> 101165274.5803352
</t>
  </si>
  <si>
    <t>payout of tranche of gold is: 444.1957814113043</t>
  </si>
  <si>
    <t xml:space="preserve"> payout of tranche of Treausry Bill Option is: 88.61912918851105</t>
  </si>
  <si>
    <t xml:space="preserve"> payout of tranche of Collar of REIT is: 44.42517376731828
</t>
  </si>
  <si>
    <t xml:space="preserve"> 44.42517376731828
</t>
  </si>
  <si>
    <t>Collateral size of tranche of gold is: 76231660.68856259</t>
  </si>
  <si>
    <t xml:space="preserve"> collateral size of tranche of Treausry Bill Option is: 39057200.69160812</t>
  </si>
  <si>
    <t xml:space="preserve"> collateral size of tranche of Collar of REIT is: 27140657.894467104
</t>
  </si>
  <si>
    <t xml:space="preserve"> 27140657.894467104
</t>
  </si>
  <si>
    <t>Collateral ratio of tranche of gold is: 0.7533410055965619</t>
  </si>
  <si>
    <t xml:space="preserve"> collateral ratio of tranche of Treausry Bill Option is: 0.38597336827029577</t>
  </si>
  <si>
    <t xml:space="preserve"> collateral ratio of tranche of Collar of REIT is: 0.2682110074225073
</t>
  </si>
  <si>
    <t xml:space="preserve"> 0.2682110074225073
</t>
  </si>
  <si>
    <t xml:space="preserve">date is: 2021-11-04 00:00:00
</t>
  </si>
  <si>
    <t xml:space="preserve"> 2021-11-04 00</t>
  </si>
  <si>
    <t>current price of gold is: 1792.04</t>
  </si>
  <si>
    <t xml:space="preserve"> predicted price of gold is: 1785.7106308842187
</t>
  </si>
  <si>
    <t xml:space="preserve"> 1785.7106308842187
</t>
  </si>
  <si>
    <t>current price of tb is: 97.484375</t>
  </si>
  <si>
    <t xml:space="preserve"> current price of tb option is: 4.379778525616349</t>
  </si>
  <si>
    <t xml:space="preserve"> predicted price of tb is: 97.60874684832982
</t>
  </si>
  <si>
    <t xml:space="preserve"> 97.60874684832982
</t>
  </si>
  <si>
    <t>current price of reit is: 68.75</t>
  </si>
  <si>
    <t xml:space="preserve"> current price of reit option is: 6.49778076545762</t>
  </si>
  <si>
    <t xml:space="preserve"> predicted price of reit is: 69.1023116907428
</t>
  </si>
  <si>
    <t xml:space="preserve"> 69.1023116907428
</t>
  </si>
  <si>
    <t>value_ratio_gold_to_total is: -1.2596075992291125</t>
  </si>
  <si>
    <t xml:space="preserve"> risk_ratio_to_gold is: 0.7339114078688916</t>
  </si>
  <si>
    <t xml:space="preserve"> risk_ratio_to_gold_before is: 0.7398829326843764
</t>
  </si>
  <si>
    <t xml:space="preserve"> 0.7398829326843764
</t>
  </si>
  <si>
    <t>value_ratio_tb_to_total is: 0.8963708602406214</t>
  </si>
  <si>
    <t xml:space="preserve"> risk_ratio_tb_to_gold is: 0.19004960361268977</t>
  </si>
  <si>
    <t xml:space="preserve"> risk_ratio_tb_to_gold_before is: 0.18468725195740623
</t>
  </si>
  <si>
    <t xml:space="preserve"> 0.18468725195740623
</t>
  </si>
  <si>
    <t>value_ratio_reit_to_total is: 1.3632367389884912</t>
  </si>
  <si>
    <t xml:space="preserve"> risk_ratio_reit_to_gold is: 0.17251267471974258</t>
  </si>
  <si>
    <t xml:space="preserve"> risk_ratio_reit_to_gold_before is: 0.16687791575350466
</t>
  </si>
  <si>
    <t xml:space="preserve"> 0.16687791575350466
</t>
  </si>
  <si>
    <t>delta_gold is: 1.0125435067576731</t>
  </si>
  <si>
    <t xml:space="preserve"> delta_tb is: 1.003089107667547</t>
  </si>
  <si>
    <t xml:space="preserve"> delta_reit is: 1.011530052121069
</t>
  </si>
  <si>
    <t xml:space="preserve"> 1.011530052121069
</t>
  </si>
  <si>
    <t>delta_gold_risk is: 0.9965678582717793</t>
  </si>
  <si>
    <t xml:space="preserve"> delta_tb_risk is: 1.004526385884902</t>
  </si>
  <si>
    <t xml:space="preserve"> delta_reit_risk is: 1.004828919024146
</t>
  </si>
  <si>
    <t xml:space="preserve"> 1.004828919024146
</t>
  </si>
  <si>
    <t xml:space="preserve">collateral_ratio_tranche_gold is: 0.7654175651559797
</t>
  </si>
  <si>
    <t xml:space="preserve"> 0.7654175651559797
</t>
  </si>
  <si>
    <t xml:space="preserve">collateral_ratio_tranche_tb is: 0.3806464752243356
</t>
  </si>
  <si>
    <t xml:space="preserve"> 0.3806464752243356
</t>
  </si>
  <si>
    <t xml:space="preserve">collateral_ratio_tranche_reit is: 0.26665490014717497
</t>
  </si>
  <si>
    <t xml:space="preserve"> 0.26665490014717497
</t>
  </si>
  <si>
    <t>Total plot size is: 143819316.72388613</t>
  </si>
  <si>
    <t xml:space="preserve"> plot size of gold is: 77187873.03955822</t>
  </si>
  <si>
    <t xml:space="preserve"> plot size of TB is: 39177852.58973749</t>
  </si>
  <si>
    <t xml:space="preserve"> plot size of REIT is: 27453591.094590414
</t>
  </si>
  <si>
    <t xml:space="preserve"> 27453591.094590414
</t>
  </si>
  <si>
    <t xml:space="preserve">collateral ratio is: 1.4212830333067714
</t>
  </si>
  <si>
    <t xml:space="preserve"> 1.4212830333067714
</t>
  </si>
  <si>
    <t>S_gtbcps_0 is: 1.0002422264281887</t>
  </si>
  <si>
    <t xml:space="preserve">stdev_gtbcps is: 0.0067346094783373115
</t>
  </si>
  <si>
    <t xml:space="preserve"> 0.0067346094783373115
</t>
  </si>
  <si>
    <t>predicted price of GTBCPS is: 1.0002515596588213</t>
  </si>
  <si>
    <t xml:space="preserve"> actual price is: 1.0002422264281887
</t>
  </si>
  <si>
    <t xml:space="preserve"> 1.0002422264281887
</t>
  </si>
  <si>
    <t>predicted amount of GTBCPS is: 101164330.61895815</t>
  </si>
  <si>
    <t xml:space="preserve"> actual amount is: 101165274.5803352
</t>
  </si>
  <si>
    <t>plot sizes of gold is: 77187873.03955822</t>
  </si>
  <si>
    <t xml:space="preserve"> plot sizes of tb is: 39177852.58973749 </t>
  </si>
  <si>
    <t xml:space="preserve"> plot sizes of reit is: 27453591.094590414</t>
  </si>
  <si>
    <t xml:space="preserve"> plot sizes of total is: 143819316.72388613.
</t>
  </si>
  <si>
    <t xml:space="preserve"> 143819316.72388613.
</t>
  </si>
  <si>
    <t>predicted stdevs of gold is: 0.00811273084484417</t>
  </si>
  <si>
    <t xml:space="preserve"> predicted stdevs of tb is: 0.0014080672108867942</t>
  </si>
  <si>
    <t xml:space="preserve"> predicted stdevs of reit is: 0.010461197753934816</t>
  </si>
  <si>
    <t xml:space="preserve"> predicted stdevs of GTBCPS is: 0.0067346094783373115.
</t>
  </si>
  <si>
    <t xml:space="preserve"> 0.0067346094783373115.
</t>
  </si>
  <si>
    <t>total_value_of_collaterals is: 143819643.8664098</t>
  </si>
  <si>
    <t xml:space="preserve"> createdtionValue_gold is: -720.2398722458138</t>
  </si>
  <si>
    <t xml:space="preserve"> createdValue_tb is: -365.5680304831847</t>
  </si>
  <si>
    <t xml:space="preserve"> createdValue_reit is: -256.16894069980395
</t>
  </si>
  <si>
    <t xml:space="preserve"> -256.16894069980395
</t>
  </si>
  <si>
    <t>plotValue_gold_after_creation is: 77188819.59642947</t>
  </si>
  <si>
    <t xml:space="preserve"> plotValue_tb_after_creation  is: 39178287.46026158</t>
  </si>
  <si>
    <t xml:space="preserve"> plotValue_reit_after_creation  is: 27453878.786562186</t>
  </si>
  <si>
    <t xml:space="preserve">total_value_after_creation is: 143820985.84325323
</t>
  </si>
  <si>
    <t xml:space="preserve"> 143820985.84325323
</t>
  </si>
  <si>
    <t>total_amount_gtncps_before_creation is: 101165274.5803352</t>
  </si>
  <si>
    <t>creation_amount_gtbcps is: -943.9613770544529</t>
  </si>
  <si>
    <t xml:space="preserve">total_amount_gtbcps_new is: 101164330.61895815
</t>
  </si>
  <si>
    <t xml:space="preserve"> 101164330.61895815
</t>
  </si>
  <si>
    <t>payout of tranche of gold is: 226.31699900770835</t>
  </si>
  <si>
    <t xml:space="preserve"> payout of tranche of Treausry Bill Option is: 69.30249360973443</t>
  </si>
  <si>
    <t xml:space="preserve"> payout of tranche of Collar of REIT is: 31.52303107228528
</t>
  </si>
  <si>
    <t xml:space="preserve"> 31.52303107228528
</t>
  </si>
  <si>
    <t>Collateral size of tranche of gold is: 77188819.59642947</t>
  </si>
  <si>
    <t xml:space="preserve"> collateral size of tranche of Treausry Bill Option is: 39178287.46026158</t>
  </si>
  <si>
    <t xml:space="preserve"> collateral size of tranche of Collar of REIT is: 27453878.786562186
</t>
  </si>
  <si>
    <t xml:space="preserve"> 27453878.786562186
</t>
  </si>
  <si>
    <t>Collateral ratio of tranche of gold is: 0.7628052926943967</t>
  </si>
  <si>
    <t xml:space="preserve"> collateral ratio of tranche of Treausry Bill Option is: 0.38717271736556597</t>
  </si>
  <si>
    <t xml:space="preserve"> collateral ratio of tranche of Collar of REIT is: 0.27130825620694904
</t>
  </si>
  <si>
    <t xml:space="preserve"> 0.27130825620694904
</t>
  </si>
  <si>
    <t xml:space="preserve">date is: 2021-11-05 00:00:00
</t>
  </si>
  <si>
    <t xml:space="preserve"> 2021-11-05 00</t>
  </si>
  <si>
    <t>current price of gold is: 1818.36</t>
  </si>
  <si>
    <t xml:space="preserve"> predicted price of gold is: 1813.7777162788836
</t>
  </si>
  <si>
    <t xml:space="preserve"> 1813.7777162788836
</t>
  </si>
  <si>
    <t>current price of tb is: 97.69140625</t>
  </si>
  <si>
    <t xml:space="preserve"> current price of tb option is: 4.385826717799515</t>
  </si>
  <si>
    <t xml:space="preserve"> predicted price of tb is: 97.80952137940474
</t>
  </si>
  <si>
    <t xml:space="preserve"> 97.80952137940474
</t>
  </si>
  <si>
    <t>current price of reit is: 68.7</t>
  </si>
  <si>
    <t xml:space="preserve"> current price of reit option is: 6.582662874279123</t>
  </si>
  <si>
    <t xml:space="preserve"> predicted price of reit is: 69.19229072207834
</t>
  </si>
  <si>
    <t xml:space="preserve"> 69.19229072207834
</t>
  </si>
  <si>
    <t>value_ratio_gold_to_total is: -0.6549289717501501</t>
  </si>
  <si>
    <t xml:space="preserve"> risk_ratio_to_gold is: 0.7354857754893827</t>
  </si>
  <si>
    <t xml:space="preserve"> risk_ratio_to_gold_before is: 0.7339114078688916
</t>
  </si>
  <si>
    <t xml:space="preserve"> 0.7339114078688916
</t>
  </si>
  <si>
    <t>value_ratio_tb_to_total is: 0.6437318556288323</t>
  </si>
  <si>
    <t xml:space="preserve"> risk_ratio_tb_to_gold is: 0.19009277437871652</t>
  </si>
  <si>
    <t xml:space="preserve"> risk_ratio_tb_to_gold_before is: 0.19004960361268977
</t>
  </si>
  <si>
    <t xml:space="preserve"> 0.19004960361268977
</t>
  </si>
  <si>
    <t>value_ratio_reit_to_total is: 1.0111971161213178</t>
  </si>
  <si>
    <t xml:space="preserve"> risk_ratio_reit_to_gold is: 0.1695528276516054</t>
  </si>
  <si>
    <t xml:space="preserve"> risk_ratio_reit_to_gold_before is: 0.17251267471974258
</t>
  </si>
  <si>
    <t xml:space="preserve"> 0.17251267471974258
</t>
  </si>
  <si>
    <t>delta_gold is: 1.0146871721613357</t>
  </si>
  <si>
    <t xml:space="preserve"> delta_tb is: 1.0020918000573145</t>
  </si>
  <si>
    <t xml:space="preserve"> delta_reit is: 1.000463563290062
</t>
  </si>
  <si>
    <t xml:space="preserve"> 1.000463563290062
</t>
  </si>
  <si>
    <t>delta_gold_risk is: 1.000907986194304</t>
  </si>
  <si>
    <t xml:space="preserve"> delta_tb_risk is: 1.0000362764425077</t>
  </si>
  <si>
    <t xml:space="preserve"> delta_reit_risk is: 0.9974756374647766
</t>
  </si>
  <si>
    <t xml:space="preserve"> 0.9974756374647766
</t>
  </si>
  <si>
    <t xml:space="preserve">collateral_ratio_tranche_gold is: 0.7733065936427855
</t>
  </si>
  <si>
    <t xml:space="preserve"> 0.7733065936427855
</t>
  </si>
  <si>
    <t xml:space="preserve">collateral_ratio_tranche_tb is: 0.38235284903960454
</t>
  </si>
  <si>
    <t xml:space="preserve"> 0.38235284903960454
</t>
  </si>
  <si>
    <t xml:space="preserve">collateral_ratio_tranche_reit is: 0.2681821197397577
</t>
  </si>
  <si>
    <t xml:space="preserve"> 0.2681821197397577
</t>
  </si>
  <si>
    <t>Total plot size is: 145049351.0799264</t>
  </si>
  <si>
    <t xml:space="preserve"> plot size of gold is: 78322505.07877252</t>
  </si>
  <si>
    <t xml:space="preserve"> plot size of TB is: 39260240.60421644</t>
  </si>
  <si>
    <t xml:space="preserve"> plot size of REIT is: 27466605.39693745
</t>
  </si>
  <si>
    <t xml:space="preserve"> 27466605.39693745
</t>
  </si>
  <si>
    <t xml:space="preserve">collateral ratio is: 1.4334387506363204
</t>
  </si>
  <si>
    <t xml:space="preserve"> 1.4334387506363204
</t>
  </si>
  <si>
    <t>S_gtbcps_0 is: 1.0002515596588213</t>
  </si>
  <si>
    <t xml:space="preserve">stdev_gtbcps is: 0.006767000433528224
</t>
  </si>
  <si>
    <t xml:space="preserve"> 0.006767000433528224
</t>
  </si>
  <si>
    <t>predicted price of GTBCPS is: 1.000230327299712</t>
  </si>
  <si>
    <t xml:space="preserve"> actual price is: 1.0002515596588213
</t>
  </si>
  <si>
    <t xml:space="preserve"> 1.0002515596588213
</t>
  </si>
  <si>
    <t>predicted amount of GTBCPS is: 101166478.0817356</t>
  </si>
  <si>
    <t xml:space="preserve"> actual amount is: 101164330.61895815
</t>
  </si>
  <si>
    <t>plot sizes of gold is: 78322505.07877252</t>
  </si>
  <si>
    <t xml:space="preserve"> plot sizes of tb is: 39260240.60421644 </t>
  </si>
  <si>
    <t xml:space="preserve"> plot sizes of reit is: 27466605.39693745</t>
  </si>
  <si>
    <t xml:space="preserve"> plot sizes of total is: 145049351.0799264.
</t>
  </si>
  <si>
    <t xml:space="preserve"> 145049351.0799264.
</t>
  </si>
  <si>
    <t>predicted stdevs of gold is: 0.008216146518319112</t>
  </si>
  <si>
    <t xml:space="preserve"> predicted stdevs of tb is: 0.0014233363366137604</t>
  </si>
  <si>
    <t xml:space="preserve"> predicted stdevs of reit is: 0.010272813590103945</t>
  </si>
  <si>
    <t xml:space="preserve"> predicted stdevs of GTBCPS is: 0.006767000433528224.
</t>
  </si>
  <si>
    <t xml:space="preserve"> 0.006767000433528224.
</t>
  </si>
  <si>
    <t>total_value_of_collaterals is: 145048605.31349233</t>
  </si>
  <si>
    <t xml:space="preserve"> createdtionValue_gold is: 1662.5410126378017</t>
  </si>
  <si>
    <t xml:space="preserve"> createdValue_tb is: 833.3754636403818</t>
  </si>
  <si>
    <t xml:space="preserve"> createdValue_reit is: 583.0330605456649
</t>
  </si>
  <si>
    <t xml:space="preserve"> 583.0330605456649
</t>
  </si>
  <si>
    <t>plotValue_gold_after_creation is: 78320262.60763942</t>
  </si>
  <si>
    <t xml:space="preserve"> plotValue_tb_after_creation  is: 39259293.25467871</t>
  </si>
  <si>
    <t xml:space="preserve"> plotValue_reit_after_creation  is: 27465970.50163738</t>
  </si>
  <si>
    <t xml:space="preserve">total_value_after_creation is: 145045526.3639555
</t>
  </si>
  <si>
    <t xml:space="preserve"> 145045526.3639555
</t>
  </si>
  <si>
    <t>total_amount_gtncps_before_creation is: 101164330.61895815</t>
  </si>
  <si>
    <t>creation_amount_gtbcps is: 2147.4627774506807</t>
  </si>
  <si>
    <t xml:space="preserve">total_amount_gtbcps_new is: 101166478.0817356
</t>
  </si>
  <si>
    <t xml:space="preserve"> 101166478.0817356
</t>
  </si>
  <si>
    <t>payout of tranche of gold is: -579.9301204502358</t>
  </si>
  <si>
    <t xml:space="preserve"> payout of tranche of Treausry Bill Option is: -113.97407408963754</t>
  </si>
  <si>
    <t xml:space="preserve"> payout of tranche of Collar of REIT is: -51.86223952060997
</t>
  </si>
  <si>
    <t xml:space="preserve"> -51.86223952060997
</t>
  </si>
  <si>
    <t>Collateral size of tranche of gold is: 78320262.60763942</t>
  </si>
  <si>
    <t xml:space="preserve"> collateral size of tranche of Treausry Bill Option is: 39259293.25467871</t>
  </si>
  <si>
    <t xml:space="preserve"> collateral size of tranche of Collar of REIT is: 27465970.50163738
</t>
  </si>
  <si>
    <t xml:space="preserve"> 27465970.50163738
</t>
  </si>
  <si>
    <t>Collateral ratio of tranche of gold is: 0.774010236492898</t>
  </si>
  <si>
    <t xml:space="preserve"> collateral ratio of tranche of Treausry Bill Option is: 0.38798509919237584</t>
  </si>
  <si>
    <t xml:space="preserve"> collateral ratio of tranche of Collar of REIT is: 0.27143604497319057
</t>
  </si>
  <si>
    <t xml:space="preserve"> 0.27143604497319057
</t>
  </si>
  <si>
    <t xml:space="preserve">date is: 2021-11-08 00:00:00
</t>
  </si>
  <si>
    <t xml:space="preserve"> 2021-11-08 00</t>
  </si>
  <si>
    <t>current price of gold is: 1824.18</t>
  </si>
  <si>
    <t xml:space="preserve"> predicted price of gold is: 1814.2597337576428
</t>
  </si>
  <si>
    <t xml:space="preserve"> 1814.2597337576428
</t>
  </si>
  <si>
    <t>current price of tb is: 97.4453125</t>
  </si>
  <si>
    <t xml:space="preserve"> current price of tb option is: 4.381398464827797</t>
  </si>
  <si>
    <t xml:space="preserve"> predicted price of tb is: 97.56800836485439
</t>
  </si>
  <si>
    <t xml:space="preserve"> 97.56800836485439
</t>
  </si>
  <si>
    <t>current price of reit is: 69.75</t>
  </si>
  <si>
    <t xml:space="preserve"> current price of reit option is: 6.484499522167852</t>
  </si>
  <si>
    <t xml:space="preserve"> predicted price of reit is: 70.28309716730702
</t>
  </si>
  <si>
    <t xml:space="preserve"> 70.28309716730702
</t>
  </si>
  <si>
    <t>value_ratio_gold_to_total is: -6.194650155333025</t>
  </si>
  <si>
    <t xml:space="preserve"> risk_ratio_to_gold is: 0.7334995160960363</t>
  </si>
  <si>
    <t xml:space="preserve"> risk_ratio_to_gold_before is: 0.7354857754893827
</t>
  </si>
  <si>
    <t xml:space="preserve"> 0.7354857754893827
</t>
  </si>
  <si>
    <t>value_ratio_tb_to_total is: 2.812554417125254</t>
  </si>
  <si>
    <t xml:space="preserve"> risk_ratio_tb_to_gold is: 0.18996689601530606</t>
  </si>
  <si>
    <t xml:space="preserve"> risk_ratio_tb_to_gold_before is: 0.19009277437871652
</t>
  </si>
  <si>
    <t xml:space="preserve"> 0.19009277437871652
</t>
  </si>
  <si>
    <t>value_ratio_reit_to_total is: 4.382095738207771</t>
  </si>
  <si>
    <t xml:space="preserve"> risk_ratio_reit_to_gold is: 0.1733605200985871</t>
  </si>
  <si>
    <t xml:space="preserve"> risk_ratio_reit_to_gold_before is: 0.1695528276516054
</t>
  </si>
  <si>
    <t xml:space="preserve"> 0.1695528276516054
</t>
  </si>
  <si>
    <t>delta_gold is: 1.0032006863327394</t>
  </si>
  <si>
    <t xml:space="preserve"> delta_tb is: 0.99754576024753</t>
  </si>
  <si>
    <t xml:space="preserve"> delta_reit is: 1.0126435039828263
</t>
  </si>
  <si>
    <t xml:space="preserve"> 1.0126435039828263
</t>
  </si>
  <si>
    <t>delta_gold_risk is: 0.998855502349026</t>
  </si>
  <si>
    <t xml:space="preserve"> delta_tb_risk is: 0.9998942281088327</t>
  </si>
  <si>
    <t xml:space="preserve"> delta_reit_risk is: 1.0032556823060548
</t>
  </si>
  <si>
    <t xml:space="preserve"> 1.0032556823060548
</t>
  </si>
  <si>
    <t xml:space="preserve">collateral_ratio_tranche_gold is: 0.7773773069800003
</t>
  </si>
  <si>
    <t xml:space="preserve"> 0.7773773069800003
</t>
  </si>
  <si>
    <t xml:space="preserve">collateral_ratio_tranche_tb is: 0.38583888303027797
</t>
  </si>
  <si>
    <t xml:space="preserve"> 0.38583888303027797
</t>
  </si>
  <si>
    <t xml:space="preserve">collateral_ratio_tranche_reit is: 0.27310185559775996
</t>
  </si>
  <si>
    <t xml:space="preserve"> 0.27310185559775996
</t>
  </si>
  <si>
    <t>Total plot size is: 145547119.34733045</t>
  </si>
  <si>
    <t xml:space="preserve"> plot size of gold is: 78570941.20174424</t>
  </si>
  <si>
    <t xml:space="preserve"> plot size of TB is: 39162941.5365192</t>
  </si>
  <si>
    <t xml:space="preserve"> plot size of REIT is: 27813236.609067023
</t>
  </si>
  <si>
    <t xml:space="preserve"> 27813236.609067023
</t>
  </si>
  <si>
    <t xml:space="preserve">collateral ratio is: 1.4383579062066263
</t>
  </si>
  <si>
    <t xml:space="preserve"> 1.4383579062066263
</t>
  </si>
  <si>
    <t>S_gtbcps_0 is: 1.000230327299712</t>
  </si>
  <si>
    <t xml:space="preserve">stdev_gtbcps is: 0.006884931235128821
</t>
  </si>
  <si>
    <t xml:space="preserve"> 0.006884931235128821
</t>
  </si>
  <si>
    <t>predicted price of GTBCPS is: 1.0002532061538016</t>
  </si>
  <si>
    <t xml:space="preserve"> actual price is: 1.000230327299712
</t>
  </si>
  <si>
    <t xml:space="preserve"> 1.000230327299712
</t>
  </si>
  <si>
    <t>predicted amount of GTBCPS is: 101164164.09456058</t>
  </si>
  <si>
    <t xml:space="preserve"> actual amount is: 101166478.0817356
</t>
  </si>
  <si>
    <t>plot sizes of gold is: 78570941.20174424</t>
  </si>
  <si>
    <t xml:space="preserve"> plot sizes of tb is: 39162941.5365192 </t>
  </si>
  <si>
    <t xml:space="preserve"> plot sizes of reit is: 27813236.609067023</t>
  </si>
  <si>
    <t xml:space="preserve"> plot sizes of total is: 145547119.34733045.
</t>
  </si>
  <si>
    <t xml:space="preserve"> 145547119.34733045.
</t>
  </si>
  <si>
    <t>predicted stdevs of gold is: 0.008354924684976776</t>
  </si>
  <si>
    <t xml:space="preserve"> predicted stdevs of tb is: 0.0014395508268793778</t>
  </si>
  <si>
    <t xml:space="preserve"> predicted stdevs of reit is: 0.01039974495607341</t>
  </si>
  <si>
    <t xml:space="preserve"> predicted stdevs of GTBCPS is: 0.006884931235128821.
</t>
  </si>
  <si>
    <t xml:space="preserve"> 0.006884931235128821.
</t>
  </si>
  <si>
    <t>total_value_of_collaterals is: 145547923.17407584</t>
  </si>
  <si>
    <t xml:space="preserve"> createdtionValue_gold is: -1797.2124122568077</t>
  </si>
  <si>
    <t xml:space="preserve"> createdValue_tb is: -895.8007253414863</t>
  </si>
  <si>
    <t xml:space="preserve"> createdValue_reit is: -636.1897534614919
</t>
  </si>
  <si>
    <t xml:space="preserve"> -636.1897534614919
</t>
  </si>
  <si>
    <t>plotValue_gold_after_creation is: 78573317.98367421</t>
  </si>
  <si>
    <t xml:space="preserve"> plotValue_tb_after_creation  is: 39164004.63419735</t>
  </si>
  <si>
    <t xml:space="preserve"> plotValue_reit_after_creation  is: 27813929.759095315</t>
  </si>
  <si>
    <t xml:space="preserve">total_value_after_creation is: 145551252.37696686
</t>
  </si>
  <si>
    <t xml:space="preserve"> 145551252.37696686
</t>
  </si>
  <si>
    <t>total_amount_gtncps_before_creation is: 101166478.0817356</t>
  </si>
  <si>
    <t>creation_amount_gtbcps is: -2313.9871750175953</t>
  </si>
  <si>
    <t xml:space="preserve">total_amount_gtbcps_new is: 101164164.09456058
</t>
  </si>
  <si>
    <t xml:space="preserve"> 101164164.09456058
</t>
  </si>
  <si>
    <t>payout of tranche of gold is: 579.5695177095222</t>
  </si>
  <si>
    <t xml:space="preserve"> payout of tranche of Treausry Bill Option is: 167.29695280975142</t>
  </si>
  <si>
    <t xml:space="preserve"> payout of tranche of Collar of REIT is: 56.96027483162913
</t>
  </si>
  <si>
    <t xml:space="preserve"> 56.96027483162913
</t>
  </si>
  <si>
    <t>Collateral size of tranche of gold is: 78573317.98367421</t>
  </si>
  <si>
    <t xml:space="preserve"> collateral size of tranche of Treausry Bill Option is: 39164004.63419735</t>
  </si>
  <si>
    <t xml:space="preserve"> collateral size of tranche of Collar of REIT is: 27813929.759095315
</t>
  </si>
  <si>
    <t xml:space="preserve"> 27813929.759095315
</t>
  </si>
  <si>
    <t>Collateral ratio of tranche of gold is: 0.7764768455109631</t>
  </si>
  <si>
    <t xml:space="preserve"> collateral ratio of tranche of Treausry Bill Option is: 0.38702632848286744</t>
  </si>
  <si>
    <t xml:space="preserve"> collateral ratio of tranche of Collar of REIT is: 0.27486267596709074
</t>
  </si>
  <si>
    <t xml:space="preserve"> 0.27486267596709074
</t>
  </si>
  <si>
    <t xml:space="preserve">date is: 2021-11-09 00:00:00
</t>
  </si>
  <si>
    <t xml:space="preserve"> 2021-11-09 00</t>
  </si>
  <si>
    <t>current price of gold is: 1831.92</t>
  </si>
  <si>
    <t xml:space="preserve"> predicted price of gold is: 1829.443334323292
</t>
  </si>
  <si>
    <t xml:space="preserve"> 1829.443334323292
</t>
  </si>
  <si>
    <t>current price of tb is: 97.57421875</t>
  </si>
  <si>
    <t xml:space="preserve"> current price of tb option is: 4.385176528420662</t>
  </si>
  <si>
    <t xml:space="preserve"> predicted price of tb is: 97.69300629725053
</t>
  </si>
  <si>
    <t xml:space="preserve"> 97.69300629725053
</t>
  </si>
  <si>
    <t xml:space="preserve"> current price of reit option is: 6.545235635214098</t>
  </si>
  <si>
    <t xml:space="preserve"> predicted price of reit is: 69.96614979781663
</t>
  </si>
  <si>
    <t xml:space="preserve"> 69.96614979781663
</t>
  </si>
  <si>
    <t>value_ratio_gold_to_total is: -0.2740073358846268</t>
  </si>
  <si>
    <t xml:space="preserve"> risk_ratio_to_gold is: 0.7347224381948209</t>
  </si>
  <si>
    <t xml:space="preserve"> risk_ratio_to_gold_before is: 0.7334995160960363
</t>
  </si>
  <si>
    <t xml:space="preserve"> 0.7334995160960363
</t>
  </si>
  <si>
    <t>value_ratio_tb_to_total is: 0.4982986637643753</t>
  </si>
  <si>
    <t xml:space="preserve"> risk_ratio_tb_to_gold is: 0.18960127125858975</t>
  </si>
  <si>
    <t xml:space="preserve"> risk_ratio_tb_to_gold_before is: 0.18996689601530606
</t>
  </si>
  <si>
    <t xml:space="preserve"> 0.18996689601530606
</t>
  </si>
  <si>
    <t>value_ratio_reit_to_total is: 0.7757086721202514</t>
  </si>
  <si>
    <t xml:space="preserve"> risk_ratio_reit_to_gold is: 0.1714569297907125</t>
  </si>
  <si>
    <t xml:space="preserve"> risk_ratio_reit_to_gold_before is: 0.1733605200985871
</t>
  </si>
  <si>
    <t xml:space="preserve"> 0.1733605200985871
</t>
  </si>
  <si>
    <t>delta_gold is: 1.004243002335296</t>
  </si>
  <si>
    <t xml:space="preserve"> delta_tb is: 1.0013030403548897</t>
  </si>
  <si>
    <t xml:space="preserve"> delta_reit is: 0.9975173459766897
</t>
  </si>
  <si>
    <t xml:space="preserve"> 0.9975173459766897
</t>
  </si>
  <si>
    <t>delta_gold_risk is: 1.0007054643439064</t>
  </si>
  <si>
    <t xml:space="preserve"> delta_tb_risk is: 0.9996927437578804</t>
  </si>
  <si>
    <t xml:space="preserve"> delta_reit_risk is: 0.9983776594872013
</t>
  </si>
  <si>
    <t xml:space="preserve"> 0.9983776594872013
</t>
  </si>
  <si>
    <t xml:space="preserve">collateral_ratio_tranche_gold is: 0.7792217254364767
</t>
  </si>
  <si>
    <t xml:space="preserve"> 0.7792217254364767
</t>
  </si>
  <si>
    <t xml:space="preserve">collateral_ratio_tranche_tb is: 0.3860118978279364
</t>
  </si>
  <si>
    <t xml:space="preserve"> 0.3860118978279364
</t>
  </si>
  <si>
    <t xml:space="preserve">collateral_ratio_tranche_reit is: 0.2734655088456374
</t>
  </si>
  <si>
    <t xml:space="preserve"> 0.2734655088456374
</t>
  </si>
  <si>
    <t>Total plot size is: 145866619.06254053</t>
  </si>
  <si>
    <t xml:space="preserve"> plot size of gold is: 78906704.7553709</t>
  </si>
  <si>
    <t xml:space="preserve"> plot size of TB is: 39215036.9126948</t>
  </si>
  <si>
    <t xml:space="preserve"> plot size of REIT is: 27744877.394474827
</t>
  </si>
  <si>
    <t xml:space="preserve"> 27744877.394474827
</t>
  </si>
  <si>
    <t xml:space="preserve">collateral ratio is: 1.4415153368961786
</t>
  </si>
  <si>
    <t xml:space="preserve"> 1.4415153368961786
</t>
  </si>
  <si>
    <t>S_gtbcps_0 is: 1.0002532061538016</t>
  </si>
  <si>
    <t xml:space="preserve">stdev_gtbcps is: 0.006856099225655424
</t>
  </si>
  <si>
    <t xml:space="preserve"> 0.006856099225655424
</t>
  </si>
  <si>
    <t>predicted price of GTBCPS is: 1.0002901922798544</t>
  </si>
  <si>
    <t xml:space="preserve"> actual price is: 1.0002532061538016
</t>
  </si>
  <si>
    <t xml:space="preserve"> 1.0002532061538016
</t>
  </si>
  <si>
    <t>predicted amount of GTBCPS is: 101160423.50952426</t>
  </si>
  <si>
    <t xml:space="preserve"> actual amount is: 101164164.09456058
</t>
  </si>
  <si>
    <t>plot sizes of gold is: 78906704.7553709</t>
  </si>
  <si>
    <t xml:space="preserve"> plot sizes of tb is: 39215036.9126948 </t>
  </si>
  <si>
    <t xml:space="preserve"> plot sizes of reit is: 27744877.394474827</t>
  </si>
  <si>
    <t xml:space="preserve"> plot sizes of total is: 145866619.06254053.
</t>
  </si>
  <si>
    <t xml:space="preserve"> 145866619.06254053.
</t>
  </si>
  <si>
    <t>predicted stdevs of gold is: 0.008343344279333233</t>
  </si>
  <si>
    <t xml:space="preserve"> predicted stdevs of tb is: 0.0014356823279001137</t>
  </si>
  <si>
    <t xml:space="preserve"> predicted stdevs of reit is: 0.010287660339606807</t>
  </si>
  <si>
    <t xml:space="preserve"> predicted stdevs of GTBCPS is: 0.006856099225655424.
</t>
  </si>
  <si>
    <t xml:space="preserve"> 0.006856099225655424.
</t>
  </si>
  <si>
    <t>total_value_of_collaterals is: 145867919.50851613</t>
  </si>
  <si>
    <t xml:space="preserve"> createdtionValue_gold is: -2917.748010928945</t>
  </si>
  <si>
    <t xml:space="preserve"> createdValue_tb is: -1450.0547566962632</t>
  </si>
  <si>
    <t xml:space="preserve"> createdValue_reit is: -1025.9207663779423
</t>
  </si>
  <si>
    <t xml:space="preserve"> -1025.9207663779423
</t>
  </si>
  <si>
    <t>plotValue_gold_after_creation is: 78910527.55062856</t>
  </si>
  <si>
    <t xml:space="preserve"> plotValue_tb_after_creation  is: 39216747.09385553</t>
  </si>
  <si>
    <t xml:space="preserve"> plotValue_reit_after_creation  is: 27746038.587566048</t>
  </si>
  <si>
    <t xml:space="preserve">total_value_after_creation is: 145873313.23205012
</t>
  </si>
  <si>
    <t xml:space="preserve"> 145873313.23205012
</t>
  </si>
  <si>
    <t>total_amount_gtncps_before_creation is: 101164164.09456058</t>
  </si>
  <si>
    <t>creation_amount_gtbcps is: -3740.5850363224745</t>
  </si>
  <si>
    <t xml:space="preserve">total_amount_gtbcps_new is: 101160423.50952426
</t>
  </si>
  <si>
    <t xml:space="preserve"> 101160423.50952426
</t>
  </si>
  <si>
    <t>payout of tranche of gold is: 905.047246722016</t>
  </si>
  <si>
    <t xml:space="preserve"> payout of tranche of Treausry Bill Option is: 260.12640403696383</t>
  </si>
  <si>
    <t xml:space="preserve"> payout of tranche of Collar of REIT is: 135.27232484168636
</t>
  </si>
  <si>
    <t xml:space="preserve"> 135.27232484168636
</t>
  </si>
  <si>
    <t>Collateral size of tranche of gold is: 78910527.55062856</t>
  </si>
  <si>
    <t xml:space="preserve"> collateral size of tranche of Treausry Bill Option is: 39216747.09385553</t>
  </si>
  <si>
    <t xml:space="preserve"> collateral size of tranche of Collar of REIT is: 27746038.587566048
</t>
  </si>
  <si>
    <t xml:space="preserve"> 27746038.587566048
</t>
  </si>
  <si>
    <t>Collateral ratio of tranche of gold is: 0.7797982188064807</t>
  </si>
  <si>
    <t xml:space="preserve"> collateral ratio of tranche of Treausry Bill Option is: 0.3875420743012024</t>
  </si>
  <si>
    <t xml:space="preserve"> collateral ratio of tranche of Collar of REIT is: 0.27418789534309157
</t>
  </si>
  <si>
    <t xml:space="preserve"> 0.27418789534309157
</t>
  </si>
  <si>
    <t xml:space="preserve">date is: 2021-11-10 00:00:00
</t>
  </si>
  <si>
    <t xml:space="preserve"> 2021-11-10 00</t>
  </si>
  <si>
    <t>current price of gold is: 1849.6</t>
  </si>
  <si>
    <t xml:space="preserve"> predicted price of gold is: 1842.4498377937505
</t>
  </si>
  <si>
    <t xml:space="preserve"> 1842.4498377937505
</t>
  </si>
  <si>
    <t>current price of tb is: 97.03515625</t>
  </si>
  <si>
    <t xml:space="preserve"> current price of tb option is: 4.377983686156174</t>
  </si>
  <si>
    <t xml:space="preserve"> predicted price of tb is: 97.16138398337462
</t>
  </si>
  <si>
    <t xml:space="preserve"> 97.16138398337462
</t>
  </si>
  <si>
    <t>current price of reit is: 70.4</t>
  </si>
  <si>
    <t xml:space="preserve"> current price of reit option is: 6.427250918306569</t>
  </si>
  <si>
    <t xml:space="preserve"> predicted price of reit is: 70.83856051837908
</t>
  </si>
  <si>
    <t xml:space="preserve"> 70.83856051837908
</t>
  </si>
  <si>
    <t>value_ratio_gold_to_total is: -1.6944071852954061</t>
  </si>
  <si>
    <t xml:space="preserve"> risk_ratio_to_gold is: 0.7191674619495106</t>
  </si>
  <si>
    <t xml:space="preserve"> risk_ratio_to_gold_before is: 0.7347224381948209
</t>
  </si>
  <si>
    <t xml:space="preserve"> 0.7347224381948209
</t>
  </si>
  <si>
    <t>value_ratio_tb_to_total is: 1.0673839240558833</t>
  </si>
  <si>
    <t xml:space="preserve"> risk_ratio_tb_to_gold is: 0.2022845616624126</t>
  </si>
  <si>
    <t xml:space="preserve"> risk_ratio_tb_to_gold_before is: 0.18960127125858975
</t>
  </si>
  <si>
    <t xml:space="preserve"> 0.18960127125858975
</t>
  </si>
  <si>
    <t>value_ratio_reit_to_total is: 1.6270232612395228</t>
  </si>
  <si>
    <t xml:space="preserve"> risk_ratio_reit_to_gold is: 0.18821216254867973</t>
  </si>
  <si>
    <t xml:space="preserve"> risk_ratio_reit_to_gold_before is: 0.1714569297907125
</t>
  </si>
  <si>
    <t xml:space="preserve"> 0.1714569297907125
</t>
  </si>
  <si>
    <t>delta_gold is: 1.0096510764662212</t>
  </si>
  <si>
    <t xml:space="preserve"> delta_tb is: 0.9946424226941242</t>
  </si>
  <si>
    <t xml:space="preserve"> delta_reit is: 1.0102835539473343
</t>
  </si>
  <si>
    <t xml:space="preserve"> 1.0102835539473343
</t>
  </si>
  <si>
    <t>delta_gold_risk is: 0.9910331613272397</t>
  </si>
  <si>
    <t xml:space="preserve"> delta_tb_risk is: 1.0106617996384655</t>
  </si>
  <si>
    <t xml:space="preserve"> delta_reit_risk is: 1.0143029012265612
</t>
  </si>
  <si>
    <t xml:space="preserve"> 1.0143029012265612
</t>
  </si>
  <si>
    <t xml:space="preserve">collateral_ratio_tranche_gold is: 0.7944477962674654
</t>
  </si>
  <si>
    <t xml:space="preserve"> 0.7944477962674654
</t>
  </si>
  <si>
    <t xml:space="preserve">collateral_ratio_tranche_tb is: 0.3777536544612425
</t>
  </si>
  <si>
    <t xml:space="preserve"> 0.3777536544612425
</t>
  </si>
  <si>
    <t xml:space="preserve">collateral_ratio_tranche_reit is: 0.2704908514131406
</t>
  </si>
  <si>
    <t xml:space="preserve"> 0.2704908514131406
</t>
  </si>
  <si>
    <t>Total plot size is: 146710105.89783084</t>
  </si>
  <si>
    <t xml:space="preserve"> plot size of gold is: 79672099.08600953</t>
  </si>
  <si>
    <t xml:space="preserve"> plot size of TB is: 39006640.33961522</t>
  </si>
  <si>
    <t xml:space="preserve"> plot size of REIT is: 28031366.4722061
</t>
  </si>
  <si>
    <t xml:space="preserve"> 28031366.4722061
</t>
  </si>
  <si>
    <t xml:space="preserve">collateral ratio is: 1.4498510288958655
</t>
  </si>
  <si>
    <t xml:space="preserve"> 1.4498510288958655
</t>
  </si>
  <si>
    <t>S_gtbcps_0 is: 1.0002901922798544</t>
  </si>
  <si>
    <t xml:space="preserve">stdev_gtbcps is: 0.006889555068401821
</t>
  </si>
  <si>
    <t xml:space="preserve"> 0.006889555068401821
</t>
  </si>
  <si>
    <t>predicted price of GTBCPS is: 1.0002768409886342</t>
  </si>
  <si>
    <t xml:space="preserve"> actual price is: 1.0002901922798544
</t>
  </si>
  <si>
    <t xml:space="preserve"> 1.0002901922798544
</t>
  </si>
  <si>
    <t>predicted amount of GTBCPS is: 101161773.75799437</t>
  </si>
  <si>
    <t xml:space="preserve"> actual amount is: 101160423.50952426
</t>
  </si>
  <si>
    <t>plot sizes of gold is: 79672099.08600953</t>
  </si>
  <si>
    <t xml:space="preserve"> plot sizes of tb is: 39006640.33961522 </t>
  </si>
  <si>
    <t xml:space="preserve"> plot sizes of reit is: 28031366.4722061</t>
  </si>
  <si>
    <t xml:space="preserve"> plot sizes of total is: 146710105.89783084.
</t>
  </si>
  <si>
    <t xml:space="preserve"> 146710105.89783084.
</t>
  </si>
  <si>
    <t>predicted stdevs of gold is: 0.00828497986499692</t>
  </si>
  <si>
    <t xml:space="preserve"> predicted stdevs of tb is: 0.0015303291595993166</t>
  </si>
  <si>
    <t xml:space="preserve"> predicted stdevs of reit is: 0.010380964413681056</t>
  </si>
  <si>
    <t xml:space="preserve"> predicted stdevs of GTBCPS is: 0.006889555068401821.
</t>
  </si>
  <si>
    <t xml:space="preserve"> 0.006889555068401821.
</t>
  </si>
  <si>
    <t>total_value_of_collaterals is: 146709637.87108788</t>
  </si>
  <si>
    <t xml:space="preserve"> createdtionValue_gold is: 1063.4120820241515</t>
  </si>
  <si>
    <t xml:space="preserve"> createdValue_tb is: 520.6370480937618</t>
  </si>
  <si>
    <t xml:space="preserve"> createdValue_reit is: 374.14571688146873
</t>
  </si>
  <si>
    <t xml:space="preserve"> 374.14571688146873
</t>
  </si>
  <si>
    <t>plotValue_gold_after_creation is: 79670682.07359695</t>
  </si>
  <si>
    <t xml:space="preserve"> plotValue_tb_after_creation  is: 39006053.66027057</t>
  </si>
  <si>
    <t xml:space="preserve"> plotValue_reit_after_creation  is: 28030943.942373343</t>
  </si>
  <si>
    <t xml:space="preserve">total_value_after_creation is: 146707679.67624086
</t>
  </si>
  <si>
    <t xml:space="preserve"> 146707679.67624086
</t>
  </si>
  <si>
    <t>total_amount_gtncps_before_creation is: 101160423.50952426</t>
  </si>
  <si>
    <t>creation_amount_gtbcps is: 1350.2484701126814</t>
  </si>
  <si>
    <t xml:space="preserve">total_amount_gtbcps_new is: 101161773.75799437
</t>
  </si>
  <si>
    <t xml:space="preserve"> 101161773.75799437
</t>
  </si>
  <si>
    <t>payout of tranche of gold is: -353.6003305452328</t>
  </si>
  <si>
    <t xml:space="preserve"> payout of tranche of Treausry Bill Option is: -66.0422965497301</t>
  </si>
  <si>
    <t xml:space="preserve"> payout of tranche of Collar of REIT is: -48.38411587518524
</t>
  </si>
  <si>
    <t xml:space="preserve"> -48.38411587518524
</t>
  </si>
  <si>
    <t>Collateral size of tranche of gold is: 79670682.07359695</t>
  </si>
  <si>
    <t xml:space="preserve"> collateral size of tranche of Treausry Bill Option is: 39006053.66027057</t>
  </si>
  <si>
    <t xml:space="preserve"> collateral size of tranche of Collar of REIT is: 28030943.942373343
</t>
  </si>
  <si>
    <t xml:space="preserve"> 28030943.942373343
</t>
  </si>
  <si>
    <t>Collateral ratio of tranche of gold is: 0.7873497293143805</t>
  </si>
  <si>
    <t xml:space="preserve"> collateral ratio of tranche of Treausry Bill Option is: 0.38547938829827166</t>
  </si>
  <si>
    <t xml:space="preserve"> collateral ratio of tranche of Collar of REIT is: 0.27701728604590825
</t>
  </si>
  <si>
    <t xml:space="preserve"> 0.27701728604590825
</t>
  </si>
  <si>
    <t xml:space="preserve">date is: 2021-11-12 00:00:00
</t>
  </si>
  <si>
    <t xml:space="preserve"> 2021-11-12 00</t>
  </si>
  <si>
    <t>current price of gold is: 1864.9</t>
  </si>
  <si>
    <t xml:space="preserve"> predicted price of gold is: 1859.1609414036432
</t>
  </si>
  <si>
    <t xml:space="preserve"> 1859.1609414036432
</t>
  </si>
  <si>
    <t>current price of tb is: 97.015625</t>
  </si>
  <si>
    <t xml:space="preserve"> current price of tb option is: 4.376443214951694</t>
  </si>
  <si>
    <t xml:space="preserve"> predicted price of tb is: 97.143446370186
</t>
  </si>
  <si>
    <t xml:space="preserve"> 97.143446370186
</t>
  </si>
  <si>
    <t xml:space="preserve"> current price of reit option is: 6.359303308409338</t>
  </si>
  <si>
    <t xml:space="preserve"> predicted price of reit is: 71.92040326480465
</t>
  </si>
  <si>
    <t xml:space="preserve"> 71.92040326480465
</t>
  </si>
  <si>
    <t>value_ratio_gold_to_total is: -1.035013362643961</t>
  </si>
  <si>
    <t xml:space="preserve"> risk_ratio_to_gold is: 0.7191134643217053</t>
  </si>
  <si>
    <t xml:space="preserve"> risk_ratio_to_gold_before is: 0.7191674619495106
</t>
  </si>
  <si>
    <t xml:space="preserve"> 0.7191674619495106
</t>
  </si>
  <si>
    <t>value_ratio_tb_to_total is: 0.8123238256289668</t>
  </si>
  <si>
    <t xml:space="preserve"> risk_ratio_tb_to_gold is: 0.20034533038723787</t>
  </si>
  <si>
    <t xml:space="preserve"> risk_ratio_tb_to_gold_before is: 0.2022845616624126
</t>
  </si>
  <si>
    <t xml:space="preserve"> 0.2022845616624126
</t>
  </si>
  <si>
    <t>value_ratio_reit_to_total is: 1.2226895370149942</t>
  </si>
  <si>
    <t xml:space="preserve"> risk_ratio_reit_to_gold is: 0.19025580505838677</t>
  </si>
  <si>
    <t xml:space="preserve"> risk_ratio_reit_to_gold_before is: 0.18821216254867973
</t>
  </si>
  <si>
    <t xml:space="preserve"> 0.18821216254867973
</t>
  </si>
  <si>
    <t>delta_gold is: 1.0082720588235294</t>
  </si>
  <si>
    <t xml:space="preserve"> delta_tb is: 0.9997922190239081</t>
  </si>
  <si>
    <t xml:space="preserve"> delta_reit is: 1.0134334155884372
</t>
  </si>
  <si>
    <t xml:space="preserve"> 1.0134334155884372
</t>
  </si>
  <si>
    <t>delta_gold_risk is: 0.9999685908272459</t>
  </si>
  <si>
    <t xml:space="preserve"> delta_tb_risk is: 0.9983870446839195</t>
  </si>
  <si>
    <t xml:space="preserve"> delta_reit_risk is: 1.0017199306438032
</t>
  </si>
  <si>
    <t xml:space="preserve"> 1.0017199306438032
</t>
  </si>
  <si>
    <t xml:space="preserve">collateral_ratio_tranche_gold is: 0.7938876679448689
</t>
  </si>
  <si>
    <t xml:space="preserve"> 0.7938876679448689
</t>
  </si>
  <si>
    <t xml:space="preserve">collateral_ratio_tranche_tb is: 0.38285493063038084
</t>
  </si>
  <si>
    <t xml:space="preserve"> 0.38285493063038084
</t>
  </si>
  <si>
    <t xml:space="preserve">collateral_ratio_tranche_reit is: 0.2779572736238564
</t>
  </si>
  <si>
    <t xml:space="preserve"> 0.2779572736238564
</t>
  </si>
  <si>
    <t>Total plot size is: 147735166.84827545</t>
  </si>
  <si>
    <t xml:space="preserve"> plot size of gold is: 80329722.64222047</t>
  </si>
  <si>
    <t xml:space="preserve"> plot size of TB is: 38997948.94436755</t>
  </si>
  <si>
    <t xml:space="preserve"> plot size of REIT is: 28407495.26168743
</t>
  </si>
  <si>
    <t xml:space="preserve"> 28407495.26168743
</t>
  </si>
  <si>
    <t xml:space="preserve">collateral ratio is: 1.459981112741065
</t>
  </si>
  <si>
    <t xml:space="preserve"> 1.459981112741065
</t>
  </si>
  <si>
    <t>S_gtbcps_0 is: 1.0002768409886342</t>
  </si>
  <si>
    <t xml:space="preserve">stdev_gtbcps is: 0.006920062973805064
</t>
  </si>
  <si>
    <t xml:space="preserve"> 0.006920062973805064
</t>
  </si>
  <si>
    <t>predicted price of GTBCPS is: 1.0002582977746104</t>
  </si>
  <si>
    <t xml:space="preserve"> actual price is: 1.0002768409886342
</t>
  </si>
  <si>
    <t xml:space="preserve"> 1.0002768409886342
</t>
  </si>
  <si>
    <t>predicted amount of GTBCPS is: 101163649.13800971</t>
  </si>
  <si>
    <t xml:space="preserve"> actual amount is: 101161773.75799437
</t>
  </si>
  <si>
    <t>plot sizes of gold is: 80329722.64222047</t>
  </si>
  <si>
    <t xml:space="preserve"> plot sizes of tb is: 38997948.94436755 </t>
  </si>
  <si>
    <t xml:space="preserve"> plot sizes of reit is: 28407495.26168743</t>
  </si>
  <si>
    <t xml:space="preserve"> plot sizes of total is: 147735166.84827545.
</t>
  </si>
  <si>
    <t xml:space="preserve"> 147735166.84827545.
</t>
  </si>
  <si>
    <t>predicted stdevs of gold is: 0.00828529451022901</t>
  </si>
  <si>
    <t xml:space="preserve"> predicted stdevs of tb is: 0.0015217150371159187</t>
  </si>
  <si>
    <t xml:space="preserve"> predicted stdevs of reit is: 0.01047038747888767</t>
  </si>
  <si>
    <t xml:space="preserve"> predicted stdevs of GTBCPS is: 0.006920062973805064.
</t>
  </si>
  <si>
    <t xml:space="preserve"> 0.006920062973805064.
</t>
  </si>
  <si>
    <t>total_value_of_collaterals is: 147734515.25447488</t>
  </si>
  <si>
    <t xml:space="preserve"> createdtionValue_gold is: 1489.14987209762</t>
  </si>
  <si>
    <t xml:space="preserve"> createdValue_tb is: 722.9454778456658</t>
  </si>
  <si>
    <t xml:space="preserve"> createdValue_reit is: 526.6191966891885
</t>
  </si>
  <si>
    <t xml:space="preserve"> 526.6191966891885
</t>
  </si>
  <si>
    <t>plotValue_gold_after_creation is: 80327742.22844586</t>
  </si>
  <si>
    <t xml:space="preserve"> plotValue_tb_after_creation  is: 38997134.591836676</t>
  </si>
  <si>
    <t xml:space="preserve"> plotValue_reit_after_creation  is: 28406899.71964573</t>
  </si>
  <si>
    <t xml:space="preserve">total_value_after_creation is: 147731776.53992826
</t>
  </si>
  <si>
    <t xml:space="preserve"> 147731776.53992826
</t>
  </si>
  <si>
    <t>total_amount_gtncps_before_creation is: 101161773.75799437</t>
  </si>
  <si>
    <t>creation_amount_gtbcps is: 1875.3800153434277</t>
  </si>
  <si>
    <t xml:space="preserve">total_amount_gtbcps_new is: 101163649.13800971
</t>
  </si>
  <si>
    <t xml:space="preserve"> 101163649.13800971
</t>
  </si>
  <si>
    <t>payout of tranche of gold is: -491.26390251249563</t>
  </si>
  <si>
    <t xml:space="preserve"> payout of tranche of Treausry Bill Option is: -91.40705302802614</t>
  </si>
  <si>
    <t xml:space="preserve"> payout of tranche of Collar of REIT is: -68.92284500966699
</t>
  </si>
  <si>
    <t xml:space="preserve"> -68.92284500966699
</t>
  </si>
  <si>
    <t>Collateral size of tranche of gold is: 80327742.22844586</t>
  </si>
  <si>
    <t xml:space="preserve"> collateral size of tranche of Treausry Bill Option is: 38997134.591836676</t>
  </si>
  <si>
    <t xml:space="preserve"> collateral size of tranche of Collar of REIT is: 28406899.71964573
</t>
  </si>
  <si>
    <t xml:space="preserve"> 28406899.71964573
</t>
  </si>
  <si>
    <t>Collateral ratio of tranche of gold is: 0.7938472816956116</t>
  </si>
  <si>
    <t xml:space="preserve"> collateral ratio of tranche of Treausry Bill Option is: 0.3853932456063057</t>
  </si>
  <si>
    <t xml:space="preserve"> collateral ratio of tranche of Collar of REIT is: 0.28073414611490066
</t>
  </si>
  <si>
    <t xml:space="preserve"> 0.28073414611490066
</t>
  </si>
  <si>
    <t xml:space="preserve">date is: 2021-11-15 00:00:00
</t>
  </si>
  <si>
    <t xml:space="preserve"> 2021-11-15 00</t>
  </si>
  <si>
    <t>current price of gold is: 1862.84</t>
  </si>
  <si>
    <t xml:space="preserve"> predicted price of gold is: 1859.9779388667378
</t>
  </si>
  <si>
    <t xml:space="preserve"> 1859.9779388667378
</t>
  </si>
  <si>
    <t>current price of tb is: 96.90234375</t>
  </si>
  <si>
    <t xml:space="preserve"> current price of tb option is: 4.372679222604199</t>
  </si>
  <si>
    <t xml:space="preserve"> predicted price of tb is: 97.03405886986069
</t>
  </si>
  <si>
    <t xml:space="preserve"> 97.03405886986069
</t>
  </si>
  <si>
    <t xml:space="preserve"> current price of reit option is: 6.3224507741568345</t>
  </si>
  <si>
    <t xml:space="preserve"> predicted price of reit is: 72.06802863029914
</t>
  </si>
  <si>
    <t xml:space="preserve"> 72.06802863029914
</t>
  </si>
  <si>
    <t>value_ratio_gold_to_total is: -0.33541825689231475</t>
  </si>
  <si>
    <t xml:space="preserve"> risk_ratio_to_gold is: 0.7172748619282819</t>
  </si>
  <si>
    <t xml:space="preserve"> risk_ratio_to_gold_before is: 0.7191134643217053
</t>
  </si>
  <si>
    <t xml:space="preserve"> 0.7191134643217053
</t>
  </si>
  <si>
    <t>value_ratio_tb_to_total is: 0.527890924881508</t>
  </si>
  <si>
    <t xml:space="preserve"> risk_ratio_tb_to_gold is: 0.20222835451142654</t>
  </si>
  <si>
    <t xml:space="preserve"> risk_ratio_tb_to_gold_before is: 0.20034533038723787
</t>
  </si>
  <si>
    <t xml:space="preserve"> 0.20034533038723787
</t>
  </si>
  <si>
    <t>value_ratio_reit_to_total is: 0.8075273320108067</t>
  </si>
  <si>
    <t xml:space="preserve"> risk_ratio_reit_to_gold is: 0.19193733158505188</t>
  </si>
  <si>
    <t xml:space="preserve"> risk_ratio_reit_to_gold_before is: 0.19025580505838677
</t>
  </si>
  <si>
    <t xml:space="preserve"> 0.19025580505838677
</t>
  </si>
  <si>
    <t>delta_gold is: 0.9988953831304627</t>
  </si>
  <si>
    <t xml:space="preserve"> delta_tb is: 0.9988456173701936</t>
  </si>
  <si>
    <t xml:space="preserve"> delta_reit is: 0.999526677831851
</t>
  </si>
  <si>
    <t xml:space="preserve"> 0.999526677831851
</t>
  </si>
  <si>
    <t>delta_gold_risk is: 0.9989304938669951</t>
  </si>
  <si>
    <t xml:space="preserve"> delta_tb_risk is: 1.0015687353268423</t>
  </si>
  <si>
    <t xml:space="preserve"> delta_reit_risk is: 1.0014127438148328
</t>
  </si>
  <si>
    <t xml:space="preserve"> 1.0014127438148328
</t>
  </si>
  <si>
    <t xml:space="preserve">collateral_ratio_tranche_gold is: 0.7938193792910642
</t>
  </si>
  <si>
    <t xml:space="preserve"> 0.7938193792910642
</t>
  </si>
  <si>
    <t xml:space="preserve">collateral_ratio_tranche_tb is: 0.38477044202400423
</t>
  </si>
  <si>
    <t xml:space="preserve"> 0.38477044202400423
</t>
  </si>
  <si>
    <t xml:space="preserve">collateral_ratio_tranche_reit is: 0.2805152718618454
</t>
  </si>
  <si>
    <t xml:space="preserve"> 0.2805152718618454
</t>
  </si>
  <si>
    <t>Total plot size is: 147584581.93062013</t>
  </si>
  <si>
    <t xml:space="preserve"> plot size of gold is: 80239010.84928846</t>
  </si>
  <si>
    <t xml:space="preserve"> plot size of TB is: 38952116.97705164</t>
  </si>
  <si>
    <t xml:space="preserve"> plot size of REIT is: 28393454.104280036
</t>
  </si>
  <si>
    <t xml:space="preserve"> 28393454.104280036
</t>
  </si>
  <si>
    <t xml:space="preserve">collateral ratio is: 1.4584929691911528
</t>
  </si>
  <si>
    <t xml:space="preserve"> 1.4584929691911528
</t>
  </si>
  <si>
    <t>S_gtbcps_0 is: 1.0002582977746104</t>
  </si>
  <si>
    <t xml:space="preserve">stdev_gtbcps is: 0.006694672842818599
</t>
  </si>
  <si>
    <t xml:space="preserve"> 0.006694672842818599
</t>
  </si>
  <si>
    <t>predicted price of GTBCPS is: 1.0002332587023035</t>
  </si>
  <si>
    <t xml:space="preserve"> actual price is: 1.0002582977746104
</t>
  </si>
  <si>
    <t xml:space="preserve"> 1.0002582977746104
</t>
  </si>
  <si>
    <t>predicted amount of GTBCPS is: 101166181.59121856</t>
  </si>
  <si>
    <t xml:space="preserve"> actual amount is: 101163649.13800971
</t>
  </si>
  <si>
    <t>plot sizes of gold is: 80239010.84928846</t>
  </si>
  <si>
    <t xml:space="preserve"> plot sizes of tb is: 38952116.97705164 </t>
  </si>
  <si>
    <t xml:space="preserve"> plot sizes of reit is: 28393454.104280036</t>
  </si>
  <si>
    <t xml:space="preserve"> plot sizes of total is: 147584581.93062013.
</t>
  </si>
  <si>
    <t xml:space="preserve"> 147584581.93062013.
</t>
  </si>
  <si>
    <t>predicted stdevs of gold is: 0.00790956221127741</t>
  </si>
  <si>
    <t xml:space="preserve"> predicted stdevs of tb is: 0.0014409785339466333</t>
  </si>
  <si>
    <t xml:space="preserve"> predicted stdevs of reit is: 0.010468817181539474</t>
  </si>
  <si>
    <t xml:space="preserve"> predicted stdevs of GTBCPS is: 0.006694672842818599.
</t>
  </si>
  <si>
    <t xml:space="preserve"> 0.006694672842818599.
</t>
  </si>
  <si>
    <t>total_value_of_collaterals is: 147583701.47821236</t>
  </si>
  <si>
    <t xml:space="preserve"> createdtionValue_gold is: 2008.574979817366</t>
  </si>
  <si>
    <t xml:space="preserve"> createdValue_tb is: 975.0699195711923</t>
  </si>
  <si>
    <t xml:space="preserve"> createdValue_reit is: 710.7598167298323
</t>
  </si>
  <si>
    <t xml:space="preserve"> 710.7598167298323
</t>
  </si>
  <si>
    <t>plotValue_gold_after_creation is: 80236339.14167926</t>
  </si>
  <si>
    <t xml:space="preserve"> plotValue_tb_after_creation  is: 38951018.278978005</t>
  </si>
  <si>
    <t xml:space="preserve"> plotValue_reit_after_creation  is: 28392649.652838994</t>
  </si>
  <si>
    <t xml:space="preserve">total_value_after_creation is: 147580007.07349625
</t>
  </si>
  <si>
    <t xml:space="preserve"> 147580007.07349625
</t>
  </si>
  <si>
    <t>total_amount_gtncps_before_creation is: 101163649.13800971</t>
  </si>
  <si>
    <t>creation_amount_gtbcps is: 2532.453208848834</t>
  </si>
  <si>
    <t xml:space="preserve">total_amount_gtbcps_new is: 101166181.59121856
</t>
  </si>
  <si>
    <t xml:space="preserve"> 101166181.59121856
</t>
  </si>
  <si>
    <t>payout of tranche of gold is: -663.1326293894335</t>
  </si>
  <si>
    <t xml:space="preserve"> payout of tranche of Treausry Bill Option is: -123.62815406536129</t>
  </si>
  <si>
    <t xml:space="preserve"> payout of tranche of Collar of REIT is: -93.69162431174142
</t>
  </si>
  <si>
    <t xml:space="preserve"> -93.69162431174142
</t>
  </si>
  <si>
    <t>Collateral size of tranche of gold is: 80236339.14167926</t>
  </si>
  <si>
    <t xml:space="preserve"> collateral size of tranche of Treausry Bill Option is: 38951018.278978005</t>
  </si>
  <si>
    <t xml:space="preserve"> collateral size of tranche of Collar of REIT is: 28392649.652838994
</t>
  </si>
  <si>
    <t xml:space="preserve"> 28392649.652838994
</t>
  </si>
  <si>
    <t>Collateral ratio of tranche of gold is: 0.7929491310906511</t>
  </si>
  <si>
    <t xml:space="preserve"> collateral ratio of tranche of Treausry Bill Option is: 0.38493999638834053</t>
  </si>
  <si>
    <t xml:space="preserve"> collateral ratio of tranche of Collar of REIT is: 0.28059514071081243
</t>
  </si>
  <si>
    <t xml:space="preserve"> 0.28059514071081243
</t>
  </si>
  <si>
    <t xml:space="preserve">date is: 2021-11-16 00:00:00
</t>
  </si>
  <si>
    <t xml:space="preserve"> 2021-11-16 00</t>
  </si>
  <si>
    <t>current price of gold is: 1850.63</t>
  </si>
  <si>
    <t xml:space="preserve"> predicted price of gold is: 1848.9589887337343
</t>
  </si>
  <si>
    <t xml:space="preserve"> 1848.9589887337343
</t>
  </si>
  <si>
    <t>current price of tb is: 96.859375</t>
  </si>
  <si>
    <t xml:space="preserve"> current price of tb option is: 4.3727355848346035</t>
  </si>
  <si>
    <t xml:space="preserve"> predicted price of tb is: 96.99103171431716
</t>
  </si>
  <si>
    <t xml:space="preserve"> 96.99103171431716
</t>
  </si>
  <si>
    <t>current price of reit is: 71.85</t>
  </si>
  <si>
    <t xml:space="preserve"> current price of reit option is: 6.311787562873064</t>
  </si>
  <si>
    <t xml:space="preserve"> predicted price of reit is: 72.38705077609185
</t>
  </si>
  <si>
    <t xml:space="preserve"> 72.38705077609185
</t>
  </si>
  <si>
    <t>value_ratio_gold_to_total is: -0.17258556143893927</t>
  </si>
  <si>
    <t xml:space="preserve"> risk_ratio_to_gold is: 0.7065857104290368</t>
  </si>
  <si>
    <t xml:space="preserve"> risk_ratio_to_gold_before is: 0.7172748619282819
</t>
  </si>
  <si>
    <t xml:space="preserve"> 0.7172748619282819
</t>
  </si>
  <si>
    <t>value_ratio_tb_to_total is: 0.46522311942728783</t>
  </si>
  <si>
    <t xml:space="preserve"> risk_ratio_tb_to_gold is: 0.2124313435419538</t>
  </si>
  <si>
    <t xml:space="preserve"> risk_ratio_tb_to_gold_before is: 0.20222835451142654
</t>
  </si>
  <si>
    <t xml:space="preserve"> 0.20222835451142654
</t>
  </si>
  <si>
    <t>value_ratio_reit_to_total is: 0.7073624420116514</t>
  </si>
  <si>
    <t xml:space="preserve"> risk_ratio_reit_to_gold is: 0.2028251288721327</t>
  </si>
  <si>
    <t xml:space="preserve"> risk_ratio_reit_to_gold_before is: 0.19193733158505188
</t>
  </si>
  <si>
    <t xml:space="preserve"> 0.19193733158505188
</t>
  </si>
  <si>
    <t>delta_gold is: 0.9934454918296796</t>
  </si>
  <si>
    <t xml:space="preserve"> delta_tb is: 0.9995762786666441</t>
  </si>
  <si>
    <t xml:space="preserve"> delta_reit is: 1.0043603971005872
</t>
  </si>
  <si>
    <t xml:space="preserve"> 1.0043603971005872
</t>
  </si>
  <si>
    <t>delta_gold_risk is: 0.9937755150697063</t>
  </si>
  <si>
    <t xml:space="preserve"> delta_tb_risk is: 1.0084867313204184</t>
  </si>
  <si>
    <t xml:space="preserve"> delta_reit_risk is: 1.0091345383675516
</t>
  </si>
  <si>
    <t xml:space="preserve"> 1.0091345383675516
</t>
  </si>
  <si>
    <t xml:space="preserve">collateral_ratio_tranche_gold is: 0.7926858003510117
</t>
  </si>
  <si>
    <t xml:space="preserve"> 0.7926858003510117
</t>
  </si>
  <si>
    <t xml:space="preserve">collateral_ratio_tranche_tb is: 0.38405617051906993
</t>
  </si>
  <si>
    <t xml:space="preserve"> 0.38405617051906993
</t>
  </si>
  <si>
    <t xml:space="preserve">collateral_ratio_tranche_reit is: 0.281110204875896
</t>
  </si>
  <si>
    <t xml:space="preserve"> 0.281110204875896
</t>
  </si>
  <si>
    <t>Total plot size is: 147161396.182859</t>
  </si>
  <si>
    <t xml:space="preserve"> plot size of gold is: 79710429.40121852</t>
  </si>
  <si>
    <t xml:space="preserve"> plot size of TB is: 38934513.901577264</t>
  </si>
  <si>
    <t xml:space="preserve"> plot size of REIT is: 28516452.88006322
</t>
  </si>
  <si>
    <t xml:space="preserve"> 28516452.88006322
</t>
  </si>
  <si>
    <t xml:space="preserve">collateral ratio is: 1.4543108694779072
</t>
  </si>
  <si>
    <t xml:space="preserve"> 1.4543108694779072
</t>
  </si>
  <si>
    <t>S_gtbcps_0 is: 1.0002332587023035</t>
  </si>
  <si>
    <t xml:space="preserve">stdev_gtbcps is: 0.006528749980846626
</t>
  </si>
  <si>
    <t xml:space="preserve"> 0.006528749980846626
</t>
  </si>
  <si>
    <t>predicted price of GTBCPS is: 1.0002279824385139</t>
  </si>
  <si>
    <t xml:space="preserve"> actual price is: 1.0002332587023035
</t>
  </si>
  <si>
    <t xml:space="preserve"> 1.0002332587023035
</t>
  </si>
  <si>
    <t>predicted amount of GTBCPS is: 101166715.24901462</t>
  </si>
  <si>
    <t xml:space="preserve"> actual amount is: 101166181.59121856
</t>
  </si>
  <si>
    <t>plot sizes of gold is: 79710429.40121852</t>
  </si>
  <si>
    <t xml:space="preserve"> plot sizes of tb is: 38934513.901577264 </t>
  </si>
  <si>
    <t xml:space="preserve"> plot sizes of reit is: 28516452.88006322</t>
  </si>
  <si>
    <t xml:space="preserve"> plot sizes of total is: 147161396.182859.
</t>
  </si>
  <si>
    <t xml:space="preserve"> 147161396.182859.
</t>
  </si>
  <si>
    <t>predicted stdevs of gold is: 0.007610281915044968</t>
  </si>
  <si>
    <t xml:space="preserve"> predicted stdevs of tb is: 0.0014410640036472072</t>
  </si>
  <si>
    <t xml:space="preserve"> predicted stdevs of reit is: 0.010452001094531496</t>
  </si>
  <si>
    <t xml:space="preserve"> predicted stdevs of GTBCPS is: 0.006528749980846626.
</t>
  </si>
  <si>
    <t xml:space="preserve"> 0.006528749980846626.
</t>
  </si>
  <si>
    <t>total_value_of_collaterals is: 147161210.96292743</t>
  </si>
  <si>
    <t xml:space="preserve"> createdtionValue_gold is: 420.47448989498156</t>
  </si>
  <si>
    <t xml:space="preserve"> createdValue_tb is: 205.3806700735945</t>
  </si>
  <si>
    <t xml:space="preserve"> createdValue_reit is: 150.42513453310033
</t>
  </si>
  <si>
    <t xml:space="preserve"> 150.42513453310033
</t>
  </si>
  <si>
    <t>plotValue_gold_after_creation is: 79709879.46515523</t>
  </si>
  <si>
    <t xml:space="preserve"> plotValue_tb_after_creation  is: 38934272.70731181</t>
  </si>
  <si>
    <t xml:space="preserve"> plotValue_reit_after_creation  is: 28516282.510165893</t>
  </si>
  <si>
    <t xml:space="preserve">total_value_after_creation is: 147160434.68263292
</t>
  </si>
  <si>
    <t xml:space="preserve"> 147160434.68263292
</t>
  </si>
  <si>
    <t>total_amount_gtncps_before_creation is: 101166181.59121856</t>
  </si>
  <si>
    <t>creation_amount_gtbcps is: 533.6577960550785</t>
  </si>
  <si>
    <t xml:space="preserve">total_amount_gtbcps_new is: 101166715.24901462
</t>
  </si>
  <si>
    <t xml:space="preserve"> 101166715.24901462
</t>
  </si>
  <si>
    <t>payout of tranche of gold is: -129.4615733905991</t>
  </si>
  <si>
    <t xml:space="preserve"> payout of tranche of Treausry Bill Option is: -35.813595384800706</t>
  </si>
  <si>
    <t xml:space="preserve"> payout of tranche of Collar of REIT is: -19.94476279434633
</t>
  </si>
  <si>
    <t xml:space="preserve"> -19.94476279434633
</t>
  </si>
  <si>
    <t>Collateral size of tranche of gold is: 79709879.46515523</t>
  </si>
  <si>
    <t xml:space="preserve"> collateral size of tranche of Treausry Bill Option is: 38934272.70731181</t>
  </si>
  <si>
    <t xml:space="preserve"> collateral size of tranche of Collar of REIT is: 28516282.510165893
</t>
  </si>
  <si>
    <t xml:space="preserve"> 28516282.510165893
</t>
  </si>
  <si>
    <t>Collateral ratio of tranche of gold is: 0.7877307406592312</t>
  </si>
  <si>
    <t xml:space="preserve"> collateral ratio of tranche of Treausry Bill Option is: 0.38476690320635015</t>
  </si>
  <si>
    <t xml:space="preserve"> collateral ratio of tranche of Collar of REIT is: 0.28181139519098775
</t>
  </si>
  <si>
    <t xml:space="preserve"> 0.28181139519098775
</t>
  </si>
  <si>
    <t xml:space="preserve">date is: 2021-11-17 00:00:00
</t>
  </si>
  <si>
    <t xml:space="preserve"> 2021-11-17 00</t>
  </si>
  <si>
    <t>current price of gold is: 1867.48</t>
  </si>
  <si>
    <t xml:space="preserve"> predicted price of gold is: 1869.2424607725684
</t>
  </si>
  <si>
    <t xml:space="preserve"> 1869.2424607725684
</t>
  </si>
  <si>
    <t xml:space="preserve"> current price of tb option is: 4.374923465596873</t>
  </si>
  <si>
    <t xml:space="preserve"> predicted price of tb is: 97.10986228485383
</t>
  </si>
  <si>
    <t xml:space="preserve"> 97.10986228485383
</t>
  </si>
  <si>
    <t>current price of reit is: 71.1</t>
  </si>
  <si>
    <t xml:space="preserve"> current price of reit option is: 6.446529120536255</t>
  </si>
  <si>
    <t xml:space="preserve"> predicted price of reit is: 71.59439411491049
</t>
  </si>
  <si>
    <t xml:space="preserve"> 71.59439411491049
</t>
  </si>
  <si>
    <t>value_ratio_gold_to_total is: 0.1334419041920072</t>
  </si>
  <si>
    <t xml:space="preserve"> risk_ratio_to_gold is: 0.7085517309166558</t>
  </si>
  <si>
    <t xml:space="preserve"> risk_ratio_to_gold_before is: 0.7065857104290368
</t>
  </si>
  <si>
    <t xml:space="preserve"> 0.7065857104290368
</t>
  </si>
  <si>
    <t>value_ratio_tb_to_total is: 0.34103717199257827</t>
  </si>
  <si>
    <t xml:space="preserve"> risk_ratio_tb_to_gold is: 0.2132037407694482</t>
  </si>
  <si>
    <t xml:space="preserve"> risk_ratio_tb_to_gold_before is: 0.2124313435419538
</t>
  </si>
  <si>
    <t xml:space="preserve"> 0.2124313435419538
</t>
  </si>
  <si>
    <t>value_ratio_reit_to_total is: 0.5255209238154145</t>
  </si>
  <si>
    <t xml:space="preserve"> risk_ratio_reit_to_gold is: 0.198125815516155</t>
  </si>
  <si>
    <t xml:space="preserve"> risk_ratio_reit_to_gold_before is: 0.2028251288721327
</t>
  </si>
  <si>
    <t xml:space="preserve"> 0.2028251288721327
</t>
  </si>
  <si>
    <t>delta_gold is: 1.0091050074839378</t>
  </si>
  <si>
    <t xml:space="preserve"> delta_tb is: 1.0012178115229453</t>
  </si>
  <si>
    <t xml:space="preserve"> delta_reit is: 0.9921283985241267
</t>
  </si>
  <si>
    <t xml:space="preserve"> 0.9921283985241267
</t>
  </si>
  <si>
    <t>delta_gold_risk is: 1.0011520197758625</t>
  </si>
  <si>
    <t xml:space="preserve"> delta_tb_risk is: 1.0006370647143104</t>
  </si>
  <si>
    <t xml:space="preserve"> delta_reit_risk is: 0.9960931034419074
</t>
  </si>
  <si>
    <t xml:space="preserve"> 0.9960931034419074
</t>
  </si>
  <si>
    <t xml:space="preserve">collateral_ratio_tranche_gold is: 0.7939883446733934
</t>
  </si>
  <si>
    <t xml:space="preserve"> 0.7939883446733934
</t>
  </si>
  <si>
    <t xml:space="preserve">collateral_ratio_tranche_tb is: 0.3815165024842406
</t>
  </si>
  <si>
    <t xml:space="preserve"> 0.3815165024842406
</t>
  </si>
  <si>
    <t xml:space="preserve">collateral_ratio_tranche_reit is: 0.2781570914741273
</t>
  </si>
  <si>
    <t xml:space="preserve"> 0.2781570914741273
</t>
  </si>
  <si>
    <t>Total plot size is: 147709139.52615398</t>
  </si>
  <si>
    <t xml:space="preserve"> plot size of gold is: 80435638.51422925</t>
  </si>
  <si>
    <t xml:space="preserve"> plot size of TB is: 38981687.31325227</t>
  </si>
  <si>
    <t xml:space="preserve"> plot size of REIT is: 28291813.69867245
</t>
  </si>
  <si>
    <t xml:space="preserve"> 28291813.69867245
</t>
  </si>
  <si>
    <t xml:space="preserve">collateral ratio is: 1.4597238997868087
</t>
  </si>
  <si>
    <t xml:space="preserve"> 1.4597238997868087
</t>
  </si>
  <si>
    <t>S_gtbcps_0 is: 1.0002279824385139</t>
  </si>
  <si>
    <t xml:space="preserve">stdev_gtbcps is: 0.006421532592023461
</t>
  </si>
  <si>
    <t xml:space="preserve"> 0.006421532592023461
</t>
  </si>
  <si>
    <t>predicted price of GTBCPS is: 1.0001900863861164</t>
  </si>
  <si>
    <t xml:space="preserve"> actual price is: 1.0002279824385139
</t>
  </si>
  <si>
    <t xml:space="preserve"> 1.0002279824385139
</t>
  </si>
  <si>
    <t>predicted amount of GTBCPS is: 101170548.33953825</t>
  </si>
  <si>
    <t xml:space="preserve"> actual amount is: 101166715.24901462
</t>
  </si>
  <si>
    <t>plot sizes of gold is: 80435638.51422925</t>
  </si>
  <si>
    <t xml:space="preserve"> plot sizes of tb is: 38981687.31325227 </t>
  </si>
  <si>
    <t xml:space="preserve"> plot sizes of reit is: 28291813.69867245</t>
  </si>
  <si>
    <t xml:space="preserve"> plot sizes of total is: 147709139.52615398.
</t>
  </si>
  <si>
    <t xml:space="preserve"> 147709139.52615398.
</t>
  </si>
  <si>
    <t>predicted stdevs of gold is: 0.007621386939525242</t>
  </si>
  <si>
    <t xml:space="preserve"> predicted stdevs of tb is: 0.0014476013141019606</t>
  </si>
  <si>
    <t xml:space="preserve"> predicted stdevs of reit is: 0.00986355947178943</t>
  </si>
  <si>
    <t xml:space="preserve"> predicted stdevs of GTBCPS is: 0.006421532592023461.
</t>
  </si>
  <si>
    <t xml:space="preserve"> 0.006421532592023461.
</t>
  </si>
  <si>
    <t>total_value_of_collaterals is: 147707807.20174927</t>
  </si>
  <si>
    <t xml:space="preserve"> createdtionValue_gold is: 3047.45884494072</t>
  </si>
  <si>
    <t xml:space="preserve"> createdValue_tb is: 1476.9080324951085</t>
  </si>
  <si>
    <t xml:space="preserve"> createdValue_reit is: 1071.9000732097452
</t>
  </si>
  <si>
    <t xml:space="preserve"> 1071.9000732097452
</t>
  </si>
  <si>
    <t>plotValue_gold_after_creation is: 80431547.15459517</t>
  </si>
  <si>
    <t xml:space="preserve"> plotValue_tb_after_creation  is: 38980017.156209186</t>
  </si>
  <si>
    <t xml:space="preserve"> plotValue_reit_after_creation  is: 28290646.623994265</t>
  </si>
  <si>
    <t xml:space="preserve">total_value_after_creation is: 147702210.93479863
</t>
  </si>
  <si>
    <t xml:space="preserve"> 147702210.93479863
</t>
  </si>
  <si>
    <t>total_amount_gtncps_before_creation is: 101166715.24901462</t>
  </si>
  <si>
    <t>creation_amount_gtbcps is: 3833.0905236303806</t>
  </si>
  <si>
    <t xml:space="preserve">total_amount_gtbcps_new is: 101170548.33953825
</t>
  </si>
  <si>
    <t xml:space="preserve"> 101170548.33953825
</t>
  </si>
  <si>
    <t>payout of tranche of gold is: -1043.900789148538</t>
  </si>
  <si>
    <t xml:space="preserve"> payout of tranche of Treausry Bill Option is: -193.24901058984926</t>
  </si>
  <si>
    <t xml:space="preserve"> payout of tranche of Collar of REIT is: -95.1746049774072
</t>
  </si>
  <si>
    <t xml:space="preserve"> -95.1746049774072
</t>
  </si>
  <si>
    <t>Collateral size of tranche of gold is: 80431547.15459517</t>
  </si>
  <si>
    <t xml:space="preserve"> collateral size of tranche of Treausry Bill Option is: 38980017.156209186</t>
  </si>
  <si>
    <t xml:space="preserve"> collateral size of tranche of Collar of REIT is: 28290646.623994265
</t>
  </si>
  <si>
    <t xml:space="preserve"> 28290646.623994265
</t>
  </si>
  <si>
    <t>Collateral ratio of tranche of gold is: 0.7948885255411858</t>
  </si>
  <si>
    <t xml:space="preserve"> collateral ratio of tranche of Treausry Bill Option is: 0.3852315348766611</t>
  </si>
  <si>
    <t xml:space="preserve"> collateral ratio of tranche of Collar of REIT is: 0.27959067277830874
</t>
  </si>
  <si>
    <t xml:space="preserve"> 0.27959067277830874
</t>
  </si>
  <si>
    <t xml:space="preserve">date is: 2021-11-18 00:00:00
</t>
  </si>
  <si>
    <t xml:space="preserve"> 2021-11-18 00</t>
  </si>
  <si>
    <t>current price of gold is: 1858.94</t>
  </si>
  <si>
    <t xml:space="preserve"> predicted price of gold is: 1859.493101404514
</t>
  </si>
  <si>
    <t xml:space="preserve"> 1859.493101404514
</t>
  </si>
  <si>
    <t xml:space="preserve"> current price of tb option is: 4.375660710779338</t>
  </si>
  <si>
    <t xml:space="preserve"> predicted price of tb is: 97.14425590227879
</t>
  </si>
  <si>
    <t xml:space="preserve"> 97.14425590227879
</t>
  </si>
  <si>
    <t>current price of reit is: 71.2</t>
  </si>
  <si>
    <t xml:space="preserve"> current price of reit option is: 6.451249801459554</t>
  </si>
  <si>
    <t xml:space="preserve"> predicted price of reit is: 71.74158950373783
</t>
  </si>
  <si>
    <t xml:space="preserve"> 71.74158950373783
</t>
  </si>
  <si>
    <t>value_ratio_gold_to_total is: 0.0458996465544299</t>
  </si>
  <si>
    <t xml:space="preserve"> risk_ratio_to_gold is: 0.7082437039045852</t>
  </si>
  <si>
    <t xml:space="preserve"> risk_ratio_to_gold_before is: 0.7085517309166558
</t>
  </si>
  <si>
    <t xml:space="preserve"> 0.7085517309166558
</t>
  </si>
  <si>
    <t>value_ratio_tb_to_total is: 0.373792927174283</t>
  </si>
  <si>
    <t xml:space="preserve"> risk_ratio_tb_to_gold is: 0.2136467667947868</t>
  </si>
  <si>
    <t xml:space="preserve"> risk_ratio_tb_to_gold_before is: 0.2132037407694482
</t>
  </si>
  <si>
    <t xml:space="preserve"> 0.2132037407694482
</t>
  </si>
  <si>
    <t>value_ratio_reit_to_total is: 0.5803074262712872</t>
  </si>
  <si>
    <t xml:space="preserve"> risk_ratio_reit_to_gold is: 0.19829660027921145</t>
  </si>
  <si>
    <t xml:space="preserve"> risk_ratio_reit_to_gold_before is: 0.198125815516155
</t>
  </si>
  <si>
    <t xml:space="preserve"> 0.198125815516155
</t>
  </si>
  <si>
    <t>delta_gold is: 0.9954269925246857</t>
  </si>
  <si>
    <t xml:space="preserve"> delta_tb is: 1.0003541350331526</t>
  </si>
  <si>
    <t xml:space="preserve"> delta_reit is: 1.0013504238308402
</t>
  </si>
  <si>
    <t xml:space="preserve"> 1.0013504238308402
</t>
  </si>
  <si>
    <t>delta_gold_risk is: 0.9998197145532695</t>
  </si>
  <si>
    <t xml:space="preserve"> delta_tb_risk is: 1.0003651703423346</t>
  </si>
  <si>
    <t xml:space="preserve"> delta_reit_risk is: 1.0001425432628568
</t>
  </si>
  <si>
    <t xml:space="preserve"> 1.0001425432628568
</t>
  </si>
  <si>
    <t xml:space="preserve">collateral_ratio_tranche_gold is: 0.7913961715841794
</t>
  </si>
  <si>
    <t xml:space="preserve"> 0.7913961715841794
</t>
  </si>
  <si>
    <t xml:space="preserve">collateral_ratio_tranche_tb is: 0.3869970255702512
</t>
  </si>
  <si>
    <t xml:space="preserve"> 0.3869970255702512
</t>
  </si>
  <si>
    <t xml:space="preserve">collateral_ratio_tranche_reit is: 0.28121433202975504
</t>
  </si>
  <si>
    <t xml:space="preserve"> 0.28121433202975504
</t>
  </si>
  <si>
    <t>Total plot size is: 147386405.42146838</t>
  </si>
  <si>
    <t xml:space="preserve"> plot size of gold is: 80063733.08820611</t>
  </si>
  <si>
    <t xml:space="preserve"> plot size of TB is: 38993821.34587709</t>
  </si>
  <si>
    <t xml:space="preserve"> plot size of REIT is: 28328850.987385184
</t>
  </si>
  <si>
    <t xml:space="preserve"> 28328850.987385184
</t>
  </si>
  <si>
    <t xml:space="preserve">collateral ratio is: 1.4565345054988372
</t>
  </si>
  <si>
    <t xml:space="preserve"> 1.4565345054988372
</t>
  </si>
  <si>
    <t>S_gtbcps_0 is: 1.0001900863861164</t>
  </si>
  <si>
    <t xml:space="preserve">stdev_gtbcps is: 0.006405983397233938
</t>
  </si>
  <si>
    <t xml:space="preserve"> 0.006405983397233938
</t>
  </si>
  <si>
    <t>predicted price of GTBCPS is: 1.0001896189745851</t>
  </si>
  <si>
    <t xml:space="preserve"> actual price is: 1.0001900863861164
</t>
  </si>
  <si>
    <t xml:space="preserve"> 1.0001900863861164
</t>
  </si>
  <si>
    <t>predicted amount of GTBCPS is: 101170595.6188541</t>
  </si>
  <si>
    <t xml:space="preserve"> actual amount is: 101170548.33953825
</t>
  </si>
  <si>
    <t>plot sizes of gold is: 80063733.08820611</t>
  </si>
  <si>
    <t xml:space="preserve"> plot sizes of tb is: 38993821.34587709 </t>
  </si>
  <si>
    <t xml:space="preserve"> plot sizes of reit is: 28328850.987385184</t>
  </si>
  <si>
    <t xml:space="preserve"> plot sizes of total is: 147386405.42146838.
</t>
  </si>
  <si>
    <t xml:space="preserve"> 147386405.42146838.
</t>
  </si>
  <si>
    <t>predicted stdevs of gold is: 0.007599477393257188</t>
  </si>
  <si>
    <t xml:space="preserve"> predicted stdevs of tb is: 0.0014482689007215954</t>
  </si>
  <si>
    <t xml:space="preserve"> predicted stdevs of reit is: 0.009857046367081167</t>
  </si>
  <si>
    <t xml:space="preserve"> predicted stdevs of GTBCPS is: 0.006405983397233938.
</t>
  </si>
  <si>
    <t xml:space="preserve"> 0.006405983397233938.
</t>
  </si>
  <si>
    <t>total_value_of_collaterals is: 147386388.97519636</t>
  </si>
  <si>
    <t xml:space="preserve"> createdtionValue_gold is: 37.415594507763196</t>
  </si>
  <si>
    <t xml:space="preserve"> createdValue_tb is: 18.222696364123806</t>
  </si>
  <si>
    <t xml:space="preserve"> createdValue_reit is: 13.23871430004683
</t>
  </si>
  <si>
    <t xml:space="preserve"> 13.23871430004683
</t>
  </si>
  <si>
    <t>plotValue_gold_after_creation is: 80063684.1718024</t>
  </si>
  <si>
    <t xml:space="preserve"> plotValue_tb_after_creation  is: 38993799.92888109</t>
  </si>
  <si>
    <t xml:space="preserve"> plotValue_reit_after_creation  is: 28328835.997507703</t>
  </si>
  <si>
    <t xml:space="preserve">total_value_after_creation is: 147386320.09819117
</t>
  </si>
  <si>
    <t xml:space="preserve"> 147386320.09819117
</t>
  </si>
  <si>
    <t>total_amount_gtncps_before_creation is: 101170548.33953825</t>
  </si>
  <si>
    <t>creation_amount_gtbcps is: 47.27931585907936</t>
  </si>
  <si>
    <t xml:space="preserve">total_amount_gtbcps_new is: 101170595.6188541
</t>
  </si>
  <si>
    <t xml:space="preserve"> 101170595.6188541
</t>
  </si>
  <si>
    <t>payout of tranche of gold is: -11.50080920320388</t>
  </si>
  <si>
    <t xml:space="preserve"> payout of tranche of Treausry Bill Option is: -3.194299635827505</t>
  </si>
  <si>
    <t xml:space="preserve"> payout of tranche of Collar of REIT is: -1.7511631827718206
</t>
  </si>
  <si>
    <t xml:space="preserve"> -1.7511631827718206
</t>
  </si>
  <si>
    <t>Collateral size of tranche of gold is: 80063684.1718024</t>
  </si>
  <si>
    <t xml:space="preserve"> collateral size of tranche of Treausry Bill Option is: 38993799.92888109</t>
  </si>
  <si>
    <t xml:space="preserve"> collateral size of tranche of Collar of REIT is: 28328835.997507703
</t>
  </si>
  <si>
    <t xml:space="preserve"> 28328835.997507703
</t>
  </si>
  <si>
    <t>Collateral ratio of tranche of gold is: 0.7912234021667066</t>
  </si>
  <si>
    <t xml:space="preserve"> collateral ratio of tranche of Treausry Bill Option is: 0.3853533266959406</t>
  </si>
  <si>
    <t xml:space="preserve"> collateral ratio of tranche of Collar of REIT is: 0.2799576141072065
</t>
  </si>
  <si>
    <t xml:space="preserve"> 0.2799576141072065
</t>
  </si>
  <si>
    <t xml:space="preserve">date is: 2021-11-19 00:00:00
</t>
  </si>
  <si>
    <t xml:space="preserve"> 2021-11-19 00</t>
  </si>
  <si>
    <t>current price of gold is: 1845.73</t>
  </si>
  <si>
    <t xml:space="preserve"> predicted price of gold is: 1845.3638442288673
</t>
  </si>
  <si>
    <t xml:space="preserve"> 1845.3638442288673
</t>
  </si>
  <si>
    <t>current price of tb is: 96.984375</t>
  </si>
  <si>
    <t xml:space="preserve"> current price of tb option is: 4.379611894842714</t>
  </si>
  <si>
    <t xml:space="preserve"> predicted price of tb is: 97.10891817936377
</t>
  </si>
  <si>
    <t xml:space="preserve"> 97.10891817936377
</t>
  </si>
  <si>
    <t>current price of reit is: 71.45</t>
  </si>
  <si>
    <t xml:space="preserve"> current price of reit option is: 6.480267215180078</t>
  </si>
  <si>
    <t xml:space="preserve"> predicted price of reit is: 72.0984677804984
</t>
  </si>
  <si>
    <t xml:space="preserve"> 72.0984677804984
</t>
  </si>
  <si>
    <t>value_ratio_gold_to_total is: -0.03249883785519867</t>
  </si>
  <si>
    <t xml:space="preserve"> risk_ratio_to_gold is: 0.7094024807766165</t>
  </si>
  <si>
    <t xml:space="preserve"> risk_ratio_to_gold_before is: 0.7082437039045852
</t>
  </si>
  <si>
    <t xml:space="preserve"> 0.7082437039045852
</t>
  </si>
  <si>
    <t>value_ratio_tb_to_total is: 0.39977467780573467</t>
  </si>
  <si>
    <t xml:space="preserve"> risk_ratio_tb_to_gold is: 0.21277580025290707</t>
  </si>
  <si>
    <t xml:space="preserve"> risk_ratio_tb_to_gold_before is: 0.2136467667947868
</t>
  </si>
  <si>
    <t xml:space="preserve"> 0.2136467667947868
</t>
  </si>
  <si>
    <t>value_ratio_reit_to_total is: 0.632724160049464</t>
  </si>
  <si>
    <t xml:space="preserve"> risk_ratio_reit_to_gold is: 0.19686122118131835</t>
  </si>
  <si>
    <t xml:space="preserve"> risk_ratio_reit_to_gold_before is: 0.19829660027921145
</t>
  </si>
  <si>
    <t xml:space="preserve"> 0.19829660027921145
</t>
  </si>
  <si>
    <t>delta_gold is: 0.9928937996922977</t>
  </si>
  <si>
    <t xml:space="preserve"> delta_tb is: 0.9997307577693165</t>
  </si>
  <si>
    <t xml:space="preserve"> delta_reit is: 1.0035932121431905
</t>
  </si>
  <si>
    <t xml:space="preserve"> 1.0035932121431905
</t>
  </si>
  <si>
    <t>delta_gold_risk is: 1.0006783440028977</t>
  </si>
  <si>
    <t xml:space="preserve"> delta_tb_risk is: 0.9992823558174344</t>
  </si>
  <si>
    <t xml:space="preserve"> delta_reit_risk is: 0.9988021504045337
</t>
  </si>
  <si>
    <t xml:space="preserve"> 0.9988021504045337
</t>
  </si>
  <si>
    <t xml:space="preserve">collateral_ratio_tranche_gold is: 0.7850682638341312
</t>
  </si>
  <si>
    <t xml:space="preserve"> 0.7850682638341312
</t>
  </si>
  <si>
    <t xml:space="preserve">collateral_ratio_tranche_tb is: 0.3882854783586618
</t>
  </si>
  <si>
    <t xml:space="preserve"> 0.3882854783586618
</t>
  </si>
  <si>
    <t xml:space="preserve">collateral_ratio_tranche_reit is: 0.28331380153986657
</t>
  </si>
  <si>
    <t xml:space="preserve"> 0.28331380153986657
</t>
  </si>
  <si>
    <t>Total plot size is: 146908664.26092678</t>
  </si>
  <si>
    <t xml:space="preserve"> plot size of gold is: 79494735.59470496</t>
  </si>
  <si>
    <t xml:space="preserve"> plot size of TB is: 38983301.15120541</t>
  </si>
  <si>
    <t xml:space="preserve"> plot size of REIT is: 28430627.5150164
</t>
  </si>
  <si>
    <t xml:space="preserve"> 28430627.5150164
</t>
  </si>
  <si>
    <t xml:space="preserve">collateral ratio is: 1.4518132662296115
</t>
  </si>
  <si>
    <t xml:space="preserve"> 1.4518132662296115
</t>
  </si>
  <si>
    <t>S_gtbcps_0 is: 1.0001896189745851</t>
  </si>
  <si>
    <t xml:space="preserve">stdev_gtbcps is: 0.006407029983502568
</t>
  </si>
  <si>
    <t xml:space="preserve"> 0.006407029983502568
</t>
  </si>
  <si>
    <t>predicted price of GTBCPS is: 1.0002130994855432</t>
  </si>
  <si>
    <t xml:space="preserve"> actual price is: 1.0001896189745851
</t>
  </si>
  <si>
    <t xml:space="preserve"> 1.0001896189745851
</t>
  </si>
  <si>
    <t>predicted amount of GTBCPS is: 101168220.58769296</t>
  </si>
  <si>
    <t xml:space="preserve"> actual amount is: 101170595.6188541
</t>
  </si>
  <si>
    <t>plot sizes of gold is: 79494735.59470496</t>
  </si>
  <si>
    <t xml:space="preserve"> plot sizes of tb is: 38983301.15120541 </t>
  </si>
  <si>
    <t xml:space="preserve"> plot sizes of reit is: 28430627.5150164</t>
  </si>
  <si>
    <t xml:space="preserve"> plot sizes of total is: 146908664.26092678.
</t>
  </si>
  <si>
    <t xml:space="preserve"> 146908664.26092678.
</t>
  </si>
  <si>
    <t>predicted stdevs of gold is: 0.007610513039449695</t>
  </si>
  <si>
    <t xml:space="preserve"> predicted stdevs of tb is: 0.0014416959374911457</t>
  </si>
  <si>
    <t xml:space="preserve"> predicted stdevs of reit is: 0.009850307661952214</t>
  </si>
  <si>
    <t xml:space="preserve"> predicted stdevs of GTBCPS is: 0.006407029983502568.
</t>
  </si>
  <si>
    <t xml:space="preserve"> 0.006407029983502568.
</t>
  </si>
  <si>
    <t>total_value_of_collaterals is: 146909490.1395266</t>
  </si>
  <si>
    <t xml:space="preserve"> createdtionValue_gold is: -1866.2382271358274</t>
  </si>
  <si>
    <t xml:space="preserve"> createdValue_tb is: -915.1771727787526</t>
  </si>
  <si>
    <t xml:space="preserve"> createdValue_reit is: -667.4405246271358
</t>
  </si>
  <si>
    <t xml:space="preserve"> -667.4405246271358
</t>
  </si>
  <si>
    <t>plotValue_gold_after_creation is: 79497244.5393227</t>
  </si>
  <si>
    <t xml:space="preserve"> plotValue_tb_after_creation  is: 38984338.89271273</t>
  </si>
  <si>
    <t xml:space="preserve"> plotValue_reit_after_creation  is: 28431355.5634157</t>
  </si>
  <si>
    <t xml:space="preserve">total_value_after_creation is: 146912938.99545112
</t>
  </si>
  <si>
    <t xml:space="preserve"> 146912938.99545112
</t>
  </si>
  <si>
    <t>total_amount_gtncps_before_creation is: 101170595.6188541</t>
  </si>
  <si>
    <t>creation_amount_gtbcps is: -2375.031161144376</t>
  </si>
  <si>
    <t xml:space="preserve">total_amount_gtbcps_new is: 101168220.58769296
</t>
  </si>
  <si>
    <t xml:space="preserve"> 101168220.58769296
</t>
  </si>
  <si>
    <t>payout of tranche of gold is: 642.7063906186544</t>
  </si>
  <si>
    <t xml:space="preserve"> payout of tranche of Treausry Bill Option is: 122.56433453104387</t>
  </si>
  <si>
    <t xml:space="preserve"> payout of tranche of Collar of REIT is: 60.60787467403214
</t>
  </si>
  <si>
    <t xml:space="preserve"> 60.60787467403214
</t>
  </si>
  <si>
    <t>Collateral size of tranche of gold is: 79497244.5393227</t>
  </si>
  <si>
    <t xml:space="preserve"> collateral size of tranche of Treausry Bill Option is: 38984338.89271273</t>
  </si>
  <si>
    <t xml:space="preserve"> collateral size of tranche of Collar of REIT is: 28431355.5634157
</t>
  </si>
  <si>
    <t xml:space="preserve"> 28431355.5634157
</t>
  </si>
  <si>
    <t>Collateral ratio of tranche of gold is: 0.7856067945487973</t>
  </si>
  <si>
    <t xml:space="preserve"> collateral ratio of tranche of Treausry Bill Option is: 0.38525060450314047</t>
  </si>
  <si>
    <t xml:space="preserve"> collateral ratio of tranche of Collar of REIT is: 0.2809640288576777
</t>
  </si>
  <si>
    <t xml:space="preserve"> 0.2809640288576777
</t>
  </si>
  <si>
    <t xml:space="preserve">date is: 2021-11-22 00:00:00
</t>
  </si>
  <si>
    <t xml:space="preserve"> 2021-11-22 00</t>
  </si>
  <si>
    <t>current price of gold is: 1804.65</t>
  </si>
  <si>
    <t xml:space="preserve"> predicted price of gold is: 1818.5312467008375
</t>
  </si>
  <si>
    <t xml:space="preserve"> 1818.5312467008375
</t>
  </si>
  <si>
    <t>current price of tb is: 96.6171875</t>
  </si>
  <si>
    <t xml:space="preserve"> current price of tb option is: 4.3730532628605685</t>
  </si>
  <si>
    <t xml:space="preserve"> predicted price of tb is: 96.74851501943542
</t>
  </si>
  <si>
    <t xml:space="preserve"> 96.74851501943542
</t>
  </si>
  <si>
    <t xml:space="preserve"> current price of reit option is: 6.449067085849649</t>
  </si>
  <si>
    <t xml:space="preserve"> predicted price of reit is: 70.19693089289602
</t>
  </si>
  <si>
    <t xml:space="preserve"> 70.19693089289602
</t>
  </si>
  <si>
    <t>value_ratio_gold_to_total is: 0.5490646446672617</t>
  </si>
  <si>
    <t xml:space="preserve"> risk_ratio_to_gold is: 0.7031309299204025</t>
  </si>
  <si>
    <t xml:space="preserve"> risk_ratio_to_gold_before is: 0.7094024807766165
</t>
  </si>
  <si>
    <t xml:space="preserve"> 0.7094024807766165
</t>
  </si>
  <si>
    <t>value_ratio_tb_to_total is: 0.17816816363678495</t>
  </si>
  <si>
    <t xml:space="preserve"> risk_ratio_tb_to_gold is: 0.21956587846822323</t>
  </si>
  <si>
    <t xml:space="preserve"> risk_ratio_tb_to_gold_before is: 0.21277580025290707
</t>
  </si>
  <si>
    <t xml:space="preserve"> 0.21277580025290707
</t>
  </si>
  <si>
    <t>value_ratio_reit_to_total is: 0.27276719169595337</t>
  </si>
  <si>
    <t xml:space="preserve"> risk_ratio_reit_to_gold is: 0.20264434930998632</t>
  </si>
  <si>
    <t xml:space="preserve"> risk_ratio_reit_to_gold_before is: 0.19686122118131835
</t>
  </si>
  <si>
    <t xml:space="preserve"> 0.19686122118131835
</t>
  </si>
  <si>
    <t>delta_gold is: 0.9777432235484064</t>
  </si>
  <si>
    <t xml:space="preserve"> delta_tb is: 0.9963128311796785</t>
  </si>
  <si>
    <t xml:space="preserve"> delta_reit is: 0.9777852663516441
</t>
  </si>
  <si>
    <t xml:space="preserve"> 0.9777852663516441
</t>
  </si>
  <si>
    <t>delta_gold_risk is: 0.9963311444047017</t>
  </si>
  <si>
    <t xml:space="preserve"> delta_tb_risk is: 1.005598790983379</t>
  </si>
  <si>
    <t xml:space="preserve"> delta_reit_risk is: 1.0048319120264921
</t>
  </si>
  <si>
    <t xml:space="preserve"> 1.0048319120264921
</t>
  </si>
  <si>
    <t xml:space="preserve">collateral_ratio_tranche_gold is: 0.7709502247895875
</t>
  </si>
  <si>
    <t xml:space="preserve"> 0.7709502247895875
</t>
  </si>
  <si>
    <t xml:space="preserve">collateral_ratio_tranche_tb is: 0.3903817397076275
</t>
  </si>
  <si>
    <t xml:space="preserve"> 0.3903817397076275
</t>
  </si>
  <si>
    <t xml:space="preserve">collateral_ratio_tranche_reit is: 0.27962498692902005
</t>
  </si>
  <si>
    <t xml:space="preserve"> 0.27962498692902005
</t>
  </si>
  <si>
    <t>Total plot size is: 144368249.7652727</t>
  </si>
  <si>
    <t xml:space="preserve"> plot size of gold is: 77727892.13909332</t>
  </si>
  <si>
    <t xml:space="preserve"> plot size of TB is: 38840597.05386667</t>
  </si>
  <si>
    <t xml:space="preserve"> plot size of REIT is: 27799760.572312716
</t>
  </si>
  <si>
    <t xml:space="preserve"> 27799760.572312716
</t>
  </si>
  <si>
    <t xml:space="preserve">collateral ratio is: 1.4267078207130564
</t>
  </si>
  <si>
    <t xml:space="preserve"> 1.4267078207130564
</t>
  </si>
  <si>
    <t>S_gtbcps_0 is: 1.0002130994855432</t>
  </si>
  <si>
    <t xml:space="preserve">stdev_gtbcps is: 0.006449929857744589
</t>
  </si>
  <si>
    <t xml:space="preserve"> 0.006449929857744589
</t>
  </si>
  <si>
    <t>predicted price of GTBCPS is: 1.0001924527488018</t>
  </si>
  <si>
    <t xml:space="preserve"> actual price is: 1.0002130994855432
</t>
  </si>
  <si>
    <t xml:space="preserve"> 1.0002130994855432
</t>
  </si>
  <si>
    <t>predicted amount of GTBCPS is: 101170308.9793933</t>
  </si>
  <si>
    <t xml:space="preserve"> actual amount is: 101168220.58769296
</t>
  </si>
  <si>
    <t>plot sizes of gold is: 77727892.13909332</t>
  </si>
  <si>
    <t xml:space="preserve"> plot sizes of tb is: 38840597.05386667 </t>
  </si>
  <si>
    <t xml:space="preserve"> plot sizes of reit is: 27799760.572312716</t>
  </si>
  <si>
    <t xml:space="preserve"> plot sizes of total is: 144368249.7652727.
</t>
  </si>
  <si>
    <t xml:space="preserve"> 144368249.7652727.
</t>
  </si>
  <si>
    <t>predicted stdevs of gold is: 0.0076484726287249</t>
  </si>
  <si>
    <t xml:space="preserve"> predicted stdevs of tb is: 0.0014849259153234184</t>
  </si>
  <si>
    <t xml:space="preserve"> predicted stdevs of reit is: 0.010035698663641159</t>
  </si>
  <si>
    <t xml:space="preserve"> predicted stdevs of GTBCPS is: 0.006449929857744589.
</t>
  </si>
  <si>
    <t xml:space="preserve"> 0.006449929857744589.
</t>
  </si>
  <si>
    <t>total_value_of_collaterals is: 144367523.30130646</t>
  </si>
  <si>
    <t xml:space="preserve"> createdtionValue_gold is: 1604.4750521133626</t>
  </si>
  <si>
    <t xml:space="preserve"> createdValue_tb is: 801.7575846546094</t>
  </si>
  <si>
    <t xml:space="preserve"> createdValue_reit is: 573.8505566403957
</t>
  </si>
  <si>
    <t xml:space="preserve"> 573.8505566403957
</t>
  </si>
  <si>
    <t>plotValue_gold_after_creation is: 77725785.81549117</t>
  </si>
  <si>
    <t xml:space="preserve"> plotValue_tb_after_creation  is: 38839643.04632063</t>
  </si>
  <si>
    <t xml:space="preserve"> plotValue_reit_after_creation  is: 27799114.35630125</t>
  </si>
  <si>
    <t xml:space="preserve">total_value_after_creation is: 144364543.21811306
</t>
  </si>
  <si>
    <t xml:space="preserve"> 144364543.21811306
</t>
  </si>
  <si>
    <t>total_amount_gtncps_before_creation is: 101168220.58769296</t>
  </si>
  <si>
    <t>creation_amount_gtbcps is: 2088.3917003422976</t>
  </si>
  <si>
    <t xml:space="preserve">total_amount_gtbcps_new is: 101170308.9793933
</t>
  </si>
  <si>
    <t xml:space="preserve"> 101170308.9793933
</t>
  </si>
  <si>
    <t>payout of tranche of gold is: -501.84855003846315</t>
  </si>
  <si>
    <t xml:space="preserve"> payout of tranche of Treausry Bill Option is: -152.24996138717782</t>
  </si>
  <si>
    <t xml:space="preserve"> payout of tranche of Collar of REIT is: -72.36545482284646
</t>
  </si>
  <si>
    <t xml:space="preserve"> -72.36545482284646
</t>
  </si>
  <si>
    <t>Collateral size of tranche of gold is: 77725785.81549117</t>
  </si>
  <si>
    <t xml:space="preserve"> collateral size of tranche of Treausry Bill Option is: 38839643.04632063</t>
  </si>
  <si>
    <t xml:space="preserve"> collateral size of tranche of Collar of REIT is: 27799114.35630125
</t>
  </si>
  <si>
    <t xml:space="preserve"> 27799114.35630125
</t>
  </si>
  <si>
    <t>Collateral ratio of tranche of gold is: 0.7681347927361896</t>
  </si>
  <si>
    <t xml:space="preserve"> collateral ratio of tranche of Treausry Bill Option is: 0.3838376267067214</t>
  </si>
  <si>
    <t xml:space="preserve"> collateral ratio of tranche of Collar of REIT is: 0.2747282220474023
</t>
  </si>
  <si>
    <t xml:space="preserve"> 0.2747282220474023
</t>
  </si>
  <si>
    <t xml:space="preserve">date is: 2021-11-23 00:00:00
</t>
  </si>
  <si>
    <t xml:space="preserve"> 2021-11-23 00</t>
  </si>
  <si>
    <t>current price of gold is: 1789.16</t>
  </si>
  <si>
    <t xml:space="preserve"> predicted price of gold is: 1804.328485904663
</t>
  </si>
  <si>
    <t xml:space="preserve"> 1804.328485904663
</t>
  </si>
  <si>
    <t>current price of tb is: 96.59375</t>
  </si>
  <si>
    <t xml:space="preserve"> current price of tb option is: 4.369967414736889</t>
  </si>
  <si>
    <t xml:space="preserve"> predicted price of tb is: 96.72826988379167
</t>
  </si>
  <si>
    <t xml:space="preserve"> 96.72826988379167
</t>
  </si>
  <si>
    <t>current price of reit is: 69.85</t>
  </si>
  <si>
    <t xml:space="preserve"> current price of reit option is: 6.416200965989717</t>
  </si>
  <si>
    <t xml:space="preserve"> predicted price of reit is: 70.3872695102356
</t>
  </si>
  <si>
    <t xml:space="preserve"> 70.3872695102356
</t>
  </si>
  <si>
    <t>value_ratio_gold_to_total is: 0.5696775013325835</t>
  </si>
  <si>
    <t xml:space="preserve"> risk_ratio_to_gold is: 0.714648589701392</t>
  </si>
  <si>
    <t xml:space="preserve"> risk_ratio_to_gold_before is: 0.7031309299204025
</t>
  </si>
  <si>
    <t xml:space="preserve"> 0.7031309299204025
</t>
  </si>
  <si>
    <t>value_ratio_tb_to_total is: 0.16917344849964658</t>
  </si>
  <si>
    <t xml:space="preserve"> risk_ratio_tb_to_gold is: 0.20741832580178812</t>
  </si>
  <si>
    <t xml:space="preserve"> risk_ratio_tb_to_gold_before is: 0.21956587846822323
</t>
  </si>
  <si>
    <t xml:space="preserve"> 0.21956587846822323
</t>
  </si>
  <si>
    <t>value_ratio_reit_to_total is: 0.2611490501677699</t>
  </si>
  <si>
    <t xml:space="preserve"> risk_ratio_reit_to_gold is: 0.1918707995260027</t>
  </si>
  <si>
    <t xml:space="preserve"> risk_ratio_reit_to_gold_before is: 0.20264434930998632
</t>
  </si>
  <si>
    <t xml:space="preserve"> 0.20264434930998632
</t>
  </si>
  <si>
    <t>delta_gold is: 0.9914166181808107</t>
  </si>
  <si>
    <t xml:space="preserve"> delta_tb is: 0.9997373672156505</t>
  </si>
  <si>
    <t xml:space="preserve"> delta_reit is: 1.0008810328355389
</t>
  </si>
  <si>
    <t xml:space="preserve"> 1.0008810328355389
</t>
  </si>
  <si>
    <t>delta_gold_risk is: 1.0067626390776239</t>
  </si>
  <si>
    <t xml:space="preserve"> delta_tb_risk is: 0.9900394452805678</t>
  </si>
  <si>
    <t xml:space="preserve"> delta_reit_risk is: 0.9910417823938017
</t>
  </si>
  <si>
    <t xml:space="preserve"> 0.9910417823938017
</t>
  </si>
  <si>
    <t xml:space="preserve">collateral_ratio_tranche_gold is: 0.7564261614030895
</t>
  </si>
  <si>
    <t xml:space="preserve"> 0.7564261614030895
</t>
  </si>
  <si>
    <t xml:space="preserve">collateral_ratio_tranche_tb is: 0.39095320514813986
</t>
  </si>
  <si>
    <t xml:space="preserve"> 0.39095320514813986
</t>
  </si>
  <si>
    <t xml:space="preserve">collateral_ratio_tranche_reit is: 0.2798579030853174
</t>
  </si>
  <si>
    <t xml:space="preserve"> 0.2798579030853174
</t>
  </si>
  <si>
    <t>Total plot size is: 143711684.49021256</t>
  </si>
  <si>
    <t xml:space="preserve"> plot size of gold is: 77058635.71864028</t>
  </si>
  <si>
    <t xml:space="preserve"> plot size of TB is: 38829442.482724234</t>
  </si>
  <si>
    <t xml:space="preserve"> plot size of REIT is: 27823606.288848054
</t>
  </si>
  <si>
    <t xml:space="preserve"> 27823606.288848054
</t>
  </si>
  <si>
    <t xml:space="preserve">collateral ratio is: 1.4202193662623033
</t>
  </si>
  <si>
    <t xml:space="preserve"> 1.4202193662623033
</t>
  </si>
  <si>
    <t>S_gtbcps_0 is: 1.0001924527488018</t>
  </si>
  <si>
    <t xml:space="preserve">stdev_gtbcps is: 0.006621967407365923
</t>
  </si>
  <si>
    <t xml:space="preserve"> 0.006621967407365923
</t>
  </si>
  <si>
    <t>predicted price of GTBCPS is: 1.0001737173834262</t>
  </si>
  <si>
    <t xml:space="preserve"> actual price is: 1.0001924527488018
</t>
  </si>
  <si>
    <t xml:space="preserve"> 1.0001924527488018
</t>
  </si>
  <si>
    <t>predicted amount of GTBCPS is: 101172204.11287956</t>
  </si>
  <si>
    <t xml:space="preserve"> actual amount is: 101170308.9793933
</t>
  </si>
  <si>
    <t>plot sizes of gold is: 77058635.71864028</t>
  </si>
  <si>
    <t xml:space="preserve"> plot sizes of tb is: 38829442.482724234 </t>
  </si>
  <si>
    <t xml:space="preserve"> plot sizes of reit is: 27823606.288848054</t>
  </si>
  <si>
    <t xml:space="preserve"> plot sizes of total is: 143711684.49021256.
</t>
  </si>
  <si>
    <t xml:space="preserve"> 143711684.49021256.
</t>
  </si>
  <si>
    <t>predicted stdevs of gold is: 0.007977453345732874</t>
  </si>
  <si>
    <t xml:space="preserve"> predicted stdevs of tb is: 0.0014845839995972535</t>
  </si>
  <si>
    <t xml:space="preserve"> predicted stdevs of reit is: 0.010037406635866867</t>
  </si>
  <si>
    <t xml:space="preserve"> predicted stdevs of GTBCPS is: 0.006621967407365923.
</t>
  </si>
  <si>
    <t xml:space="preserve"> 0.006621967407365923.
</t>
  </si>
  <si>
    <t>total_value_of_collaterals is: 143711024.85873148</t>
  </si>
  <si>
    <t xml:space="preserve"> createdtionValue_gold is: 1443.4354207299116</t>
  </si>
  <si>
    <t xml:space="preserve"> createdValue_tb is: 727.3412848436764</t>
  </si>
  <si>
    <t xml:space="preserve"> createdValue_reit is: 521.1837784550455
</t>
  </si>
  <si>
    <t xml:space="preserve"> 521.1837784550455
</t>
  </si>
  <si>
    <t>plotValue_gold_after_creation is: 77056739.57328773</t>
  </si>
  <si>
    <t xml:space="preserve"> plotValue_tb_after_creation  is: 38828580.179055214</t>
  </si>
  <si>
    <t xml:space="preserve"> plotValue_reit_after_creation  is: 27823013.145904507</t>
  </si>
  <si>
    <t xml:space="preserve">total_value_after_creation is: 143708332.89824745
</t>
  </si>
  <si>
    <t xml:space="preserve"> 143708332.89824745
</t>
  </si>
  <si>
    <t>total_amount_gtncps_before_creation is: 101170308.9793933</t>
  </si>
  <si>
    <t>creation_amount_gtbcps is: 1895.1334862560034</t>
  </si>
  <si>
    <t xml:space="preserve">total_amount_gtbcps_new is: 101172204.11287956
</t>
  </si>
  <si>
    <t xml:space="preserve"> 101172204.11287956
</t>
  </si>
  <si>
    <t>payout of tranche of gold is: -452.7099318207835</t>
  </si>
  <si>
    <t xml:space="preserve"> payout of tranche of Treausry Bill Option is: -134.96238417888551</t>
  </si>
  <si>
    <t xml:space="preserve"> payout of tranche of Collar of REIT is: -71.95916509170064
</t>
  </si>
  <si>
    <t xml:space="preserve"> -71.95916509170064
</t>
  </si>
  <si>
    <t>Collateral size of tranche of gold is: 77056739.57328773</t>
  </si>
  <si>
    <t xml:space="preserve"> collateral size of tranche of Treausry Bill Option is: 38828580.179055214</t>
  </si>
  <si>
    <t xml:space="preserve"> collateral size of tranche of Collar of REIT is: 27823013.145904507
</t>
  </si>
  <si>
    <t xml:space="preserve"> 27823013.145904507
</t>
  </si>
  <si>
    <t>Collateral ratio of tranche of gold is: 0.7615214046524231</t>
  </si>
  <si>
    <t xml:space="preserve"> collateral ratio of tranche of Treausry Bill Option is: 0.3837275633819263</t>
  </si>
  <si>
    <t xml:space="preserve"> collateral ratio of tranche of Collar of REIT is: 0.2749638794719643
</t>
  </si>
  <si>
    <t xml:space="preserve"> 0.2749638794719643
</t>
  </si>
  <si>
    <t xml:space="preserve">date is: 2021-11-24 00:00:00
</t>
  </si>
  <si>
    <t xml:space="preserve"> 2021-11-24 00</t>
  </si>
  <si>
    <t>current price of gold is: 1788.61</t>
  </si>
  <si>
    <t xml:space="preserve"> predicted price of gold is: 1791.561201282786
</t>
  </si>
  <si>
    <t xml:space="preserve"> 1791.561201282786
</t>
  </si>
  <si>
    <t>current price of tb is: 96.55078125</t>
  </si>
  <si>
    <t xml:space="preserve"> current price of tb option is: 4.3723615757272025</t>
  </si>
  <si>
    <t xml:space="preserve"> predicted price of tb is: 96.68282419316725
</t>
  </si>
  <si>
    <t xml:space="preserve"> 96.68282419316725
</t>
  </si>
  <si>
    <t>current price of reit is: 70.75</t>
  </si>
  <si>
    <t xml:space="preserve"> current price of reit option is: 6.3914176518207455</t>
  </si>
  <si>
    <t xml:space="preserve"> predicted price of reit is: 71.34599680359334
</t>
  </si>
  <si>
    <t xml:space="preserve"> 71.34599680359334
</t>
  </si>
  <si>
    <t>value_ratio_gold_to_total is: 0.20433408180926807</t>
  </si>
  <si>
    <t xml:space="preserve"> risk_ratio_to_gold is: 0.7132816161946381</t>
  </si>
  <si>
    <t xml:space="preserve"> risk_ratio_to_gold_before is: 0.714648589701392
</t>
  </si>
  <si>
    <t xml:space="preserve"> 0.714648589701392
</t>
  </si>
  <si>
    <t>value_ratio_tb_to_total is: 0.31187413980686063</t>
  </si>
  <si>
    <t xml:space="preserve"> risk_ratio_tb_to_gold is: 0.20776994129037718</t>
  </si>
  <si>
    <t xml:space="preserve"> risk_ratio_tb_to_gold_before is: 0.20741832580178812
</t>
  </si>
  <si>
    <t xml:space="preserve"> 0.20741832580178812
</t>
  </si>
  <si>
    <t>value_ratio_reit_to_total is: 0.48379177838387133</t>
  </si>
  <si>
    <t xml:space="preserve"> risk_ratio_reit_to_gold is: 0.19420086139903792</t>
  </si>
  <si>
    <t xml:space="preserve"> risk_ratio_reit_to_gold_before is: 0.1918707995260027
</t>
  </si>
  <si>
    <t xml:space="preserve"> 0.1918707995260027
</t>
  </si>
  <si>
    <t>delta_gold is: 0.9996925931722148</t>
  </si>
  <si>
    <t xml:space="preserve"> delta_tb is: 0.999598127029703</t>
  </si>
  <si>
    <t xml:space="preserve"> delta_reit is: 1.0114758133320596
</t>
  </si>
  <si>
    <t xml:space="preserve"> 1.0114758133320596
</t>
  </si>
  <si>
    <t>delta_gold_risk is: 0.9992027675437612</t>
  </si>
  <si>
    <t xml:space="preserve"> delta_tb_risk is: 1.0002912126485701</t>
  </si>
  <si>
    <t xml:space="preserve"> delta_reit_risk is: 1.0019549617911285
</t>
  </si>
  <si>
    <t xml:space="preserve"> 1.0019549617911285
</t>
  </si>
  <si>
    <t xml:space="preserve">collateral_ratio_tranche_gold is: 0.7618947149681379
</t>
  </si>
  <si>
    <t xml:space="preserve"> 0.7618947149681379
</t>
  </si>
  <si>
    <t xml:space="preserve">collateral_ratio_tranche_tb is: 0.3835795997413626
</t>
  </si>
  <si>
    <t xml:space="preserve"> 0.3835795997413626
</t>
  </si>
  <si>
    <t xml:space="preserve">collateral_ratio_tranche_reit is: 0.27766201705766264
</t>
  </si>
  <si>
    <t xml:space="preserve"> 0.27766201705766264
</t>
  </si>
  <si>
    <t>Total plot size is: 143988332.67872462</t>
  </si>
  <si>
    <t xml:space="preserve"> plot size of gold is: 77033051.80541603</t>
  </si>
  <si>
    <t xml:space="preserve"> plot size of TB is: 38812976.02220624</t>
  </si>
  <si>
    <t xml:space="preserve"> plot size of REIT is: 28142304.85110235
</t>
  </si>
  <si>
    <t xml:space="preserve"> 28142304.85110235
</t>
  </si>
  <si>
    <t xml:space="preserve">collateral ratio is: 1.422953320125275
</t>
  </si>
  <si>
    <t xml:space="preserve"> 1.422953320125275
</t>
  </si>
  <si>
    <t>S_gtbcps_0 is: 1.0001737173834262</t>
  </si>
  <si>
    <t xml:space="preserve">stdev_gtbcps is: 0.006670388373590994
</t>
  </si>
  <si>
    <t xml:space="preserve"> 0.006670388373590994
</t>
  </si>
  <si>
    <t>predicted price of GTBCPS is: 1.000187412673671</t>
  </si>
  <si>
    <t xml:space="preserve"> actual price is: 1.0001737173834262
</t>
  </si>
  <si>
    <t xml:space="preserve"> 1.0001737173834262
</t>
  </si>
  <si>
    <t>predicted amount of GTBCPS is: 101170818.78980663</t>
  </si>
  <si>
    <t xml:space="preserve"> actual amount is: 101172204.11287956
</t>
  </si>
  <si>
    <t>plot sizes of gold is: 77033051.80541603</t>
  </si>
  <si>
    <t xml:space="preserve"> plot sizes of tb is: 38812976.02220624 </t>
  </si>
  <si>
    <t xml:space="preserve"> plot sizes of reit is: 28142304.85110235</t>
  </si>
  <si>
    <t xml:space="preserve"> plot sizes of total is: 143988332.67872462.
</t>
  </si>
  <si>
    <t xml:space="preserve"> 143988332.67872462.
</t>
  </si>
  <si>
    <t>predicted stdevs of gold is: 0.00801862893788702</t>
  </si>
  <si>
    <t xml:space="preserve"> predicted stdevs of tb is: 0.0014847338128410213</t>
  </si>
  <si>
    <t xml:space="preserve"> predicted stdevs of reit is: 0.010131782221950164</t>
  </si>
  <si>
    <t xml:space="preserve"> predicted stdevs of GTBCPS is: 0.006670388373590994.
</t>
  </si>
  <si>
    <t xml:space="preserve"> 0.006670388373590994.
</t>
  </si>
  <si>
    <t>total_value_of_collaterals is: 143988812.94263482</t>
  </si>
  <si>
    <t xml:space="preserve"> createdtionValue_gold is: -1054.8114709897272</t>
  </si>
  <si>
    <t xml:space="preserve"> createdValue_tb is: -531.4640260038435</t>
  </si>
  <si>
    <t xml:space="preserve"> createdValue_reit is: -385.35058252810273
</t>
  </si>
  <si>
    <t xml:space="preserve"> -385.35058252810273
</t>
  </si>
  <si>
    <t>plotValue_gold_after_creation is: 77034450.32373385</t>
  </si>
  <si>
    <t xml:space="preserve"> plotValue_tb_after_creation  is: 38813608.15277236</t>
  </si>
  <si>
    <t xml:space="preserve"> plotValue_reit_after_creation  is: 28142726.09220813</t>
  </si>
  <si>
    <t xml:space="preserve">total_value_after_creation is: 143990784.56871432
</t>
  </si>
  <si>
    <t xml:space="preserve"> 143990784.56871432
</t>
  </si>
  <si>
    <t>total_amount_gtncps_before_creation is: 101172204.11287956</t>
  </si>
  <si>
    <t>creation_amount_gtbcps is: -1385.32307292521</t>
  </si>
  <si>
    <t xml:space="preserve">total_amount_gtbcps_new is: 101170818.78980663
</t>
  </si>
  <si>
    <t xml:space="preserve"> 101170818.78980663
</t>
  </si>
  <si>
    <t>payout of tranche of gold is: 343.7068468285492</t>
  </si>
  <si>
    <t xml:space="preserve"> payout of tranche of Treausry Bill Option is: 100.66654011417144</t>
  </si>
  <si>
    <t xml:space="preserve"> payout of tranche of Collar of REIT is: 35.89052325279195
</t>
  </si>
  <si>
    <t xml:space="preserve"> 35.89052325279195
</t>
  </si>
  <si>
    <t>Collateral size of tranche of gold is: 77034450.32373385</t>
  </si>
  <si>
    <t xml:space="preserve"> collateral size of tranche of Treausry Bill Option is: 38813608.15277236</t>
  </si>
  <si>
    <t xml:space="preserve"> collateral size of tranche of Collar of REIT is: 28142726.09220813
</t>
  </si>
  <si>
    <t xml:space="preserve"> 28142726.09220813
</t>
  </si>
  <si>
    <t>Collateral ratio of tranche of gold is: 0.761276444177441</t>
  </si>
  <si>
    <t xml:space="preserve"> collateral ratio of tranche of Treausry Bill Option is: 0.3835671634712184</t>
  </si>
  <si>
    <t xml:space="preserve"> collateral ratio of tranche of Collar of REIT is: 0.27811445864675904
</t>
  </si>
  <si>
    <t xml:space="preserve"> 0.27811445864675904
</t>
  </si>
  <si>
    <t xml:space="preserve">date is: 2021-11-26 00:00:00
</t>
  </si>
  <si>
    <t xml:space="preserve"> 2021-11-26 00</t>
  </si>
  <si>
    <t>current price of gold is: 1802.59</t>
  </si>
  <si>
    <t xml:space="preserve"> predicted price of gold is: 1794.3619078842162
</t>
  </si>
  <si>
    <t xml:space="preserve"> 1794.3619078842162
</t>
  </si>
  <si>
    <t>current price of tb is: 97.22265625</t>
  </si>
  <si>
    <t xml:space="preserve"> current price of tb option is: 4.384021353081908</t>
  </si>
  <si>
    <t xml:space="preserve"> predicted price of tb is: 97.34263816634794
</t>
  </si>
  <si>
    <t xml:space="preserve"> 97.34263816634794
</t>
  </si>
  <si>
    <t xml:space="preserve"> current price of reit option is: 6.533623434912656</t>
  </si>
  <si>
    <t xml:space="preserve"> predicted price of reit is: 69.68847647288898
</t>
  </si>
  <si>
    <t xml:space="preserve"> 69.68847647288898
</t>
  </si>
  <si>
    <t>value_ratio_gold_to_total is: -2.572877941222276</t>
  </si>
  <si>
    <t xml:space="preserve"> risk_ratio_to_gold is: 0.6953727424071312</t>
  </si>
  <si>
    <t xml:space="preserve"> risk_ratio_to_gold_before is: 0.7132816161946381
</t>
  </si>
  <si>
    <t xml:space="preserve"> 0.7132816161946381
</t>
  </si>
  <si>
    <t>value_ratio_tb_to_total is: 1.4083763886016318</t>
  </si>
  <si>
    <t xml:space="preserve"> risk_ratio_tb_to_gold is: 0.22947479782555633</t>
  </si>
  <si>
    <t xml:space="preserve"> risk_ratio_tb_to_gold_before is: 0.20776994129037718
</t>
  </si>
  <si>
    <t xml:space="preserve"> 0.20776994129037718
</t>
  </si>
  <si>
    <t>value_ratio_reit_to_total is: 2.164501552620645</t>
  </si>
  <si>
    <t xml:space="preserve"> risk_ratio_reit_to_gold is: 0.20860285321719016</t>
  </si>
  <si>
    <t xml:space="preserve"> risk_ratio_reit_to_gold_before is: 0.19420086139903792
</t>
  </si>
  <si>
    <t xml:space="preserve"> 0.19420086139903792
</t>
  </si>
  <si>
    <t>delta_gold is: 1.0078161253710982</t>
  </si>
  <si>
    <t xml:space="preserve"> delta_tb is: 1.0067728249261423</t>
  </si>
  <si>
    <t xml:space="preserve"> delta_reit is: 0.9830467956550806
</t>
  </si>
  <si>
    <t xml:space="preserve"> 0.9830467956550806
</t>
  </si>
  <si>
    <t>delta_gold_risk is: 0.9895470344056546</t>
  </si>
  <si>
    <t xml:space="preserve"> delta_tb_risk is: 1.0179710189773308</t>
  </si>
  <si>
    <t xml:space="preserve"> delta_reit_risk is: 1.0120599409058206
</t>
  </si>
  <si>
    <t xml:space="preserve"> 1.0120599409058206
</t>
  </si>
  <si>
    <t xml:space="preserve">collateral_ratio_tranche_gold is: 0.7753311865241557
</t>
  </si>
  <si>
    <t xml:space="preserve"> 0.7753311865241557
</t>
  </si>
  <si>
    <t xml:space="preserve">collateral_ratio_tranche_tb is: 0.3764056973155649
</t>
  </si>
  <si>
    <t xml:space="preserve"> 0.3764056973155649
</t>
  </si>
  <si>
    <t xml:space="preserve">collateral_ratio_tranche_reit is: 0.2680465498022926
</t>
  </si>
  <si>
    <t xml:space="preserve"> 0.2680465498022926
</t>
  </si>
  <si>
    <t>Total plot size is: 144378663.87684458</t>
  </si>
  <si>
    <t xml:space="preserve"> plot size of gold is: 77636561.2453578</t>
  </si>
  <si>
    <t xml:space="preserve"> plot size of TB is: 39076485.92554297</t>
  </si>
  <si>
    <t xml:space="preserve"> plot size of REIT is: 27665616.705943827
</t>
  </si>
  <si>
    <t xml:space="preserve"> 27665616.705943827
</t>
  </si>
  <si>
    <t xml:space="preserve">collateral ratio is: 1.4268107373477703
</t>
  </si>
  <si>
    <t xml:space="preserve"> 1.4268107373477703
</t>
  </si>
  <si>
    <t>S_gtbcps_0 is: 1.000187412673671</t>
  </si>
  <si>
    <t xml:space="preserve">stdev_gtbcps is: 0.006732684464921289
</t>
  </si>
  <si>
    <t xml:space="preserve"> 0.006732684464921289
</t>
  </si>
  <si>
    <t>predicted price of GTBCPS is: 1.000216578181394</t>
  </si>
  <si>
    <t xml:space="preserve"> actual price is: 1.000187412673671
</t>
  </si>
  <si>
    <t xml:space="preserve"> 1.000187412673671
</t>
  </si>
  <si>
    <t>predicted amount of GTBCPS is: 101167868.73042835</t>
  </si>
  <si>
    <t xml:space="preserve"> actual amount is: 101170818.78980663
</t>
  </si>
  <si>
    <t>plot sizes of gold is: 77636561.2453578</t>
  </si>
  <si>
    <t xml:space="preserve"> plot sizes of tb is: 39076485.92554297 </t>
  </si>
  <si>
    <t xml:space="preserve"> plot sizes of reit is: 27665616.705943827</t>
  </si>
  <si>
    <t xml:space="preserve"> plot sizes of total is: 144378663.87684458.
</t>
  </si>
  <si>
    <t xml:space="preserve"> 144378663.87684458.
</t>
  </si>
  <si>
    <t>predicted stdevs of gold is: 0.008016788681812615</t>
  </si>
  <si>
    <t xml:space="preserve"> predicted stdevs of tb is: 0.0016426857789925125</t>
  </si>
  <si>
    <t xml:space="preserve"> predicted stdevs of reit is: 0.010318573309767045</t>
  </si>
  <si>
    <t xml:space="preserve"> predicted stdevs of GTBCPS is: 0.006732684464921289.
</t>
  </si>
  <si>
    <t xml:space="preserve"> 0.006732684464921289.
</t>
  </si>
  <si>
    <t>total_value_of_collaterals is: 144379684.4296543</t>
  </si>
  <si>
    <t xml:space="preserve"> createdtionValue_gold is: -2263.9061421497213</t>
  </si>
  <si>
    <t xml:space="preserve"> createdValue_tb is: -1139.4779509387854</t>
  </si>
  <si>
    <t xml:space="preserve"> createdValue_reit is: -806.7336787893938
</t>
  </si>
  <si>
    <t xml:space="preserve"> -806.7336787893938
</t>
  </si>
  <si>
    <t>plotValue_gold_after_creation is: 77639534.90251566</t>
  </si>
  <si>
    <t xml:space="preserve"> plotValue_tb_after_creation  is: 39077829.46273224</t>
  </si>
  <si>
    <t xml:space="preserve"> plotValue_reit_after_creation  is: 27666530.18217826</t>
  </si>
  <si>
    <t xml:space="preserve">total_value_after_creation is: 144383894.54742616
</t>
  </si>
  <si>
    <t xml:space="preserve"> 144383894.54742616
</t>
  </si>
  <si>
    <t>total_amount_gtncps_before_creation is: 101170818.78980663</t>
  </si>
  <si>
    <t>creation_amount_gtbcps is: -2950.0593782812357</t>
  </si>
  <si>
    <t xml:space="preserve">total_amount_gtbcps_new is: 101167868.73042835
</t>
  </si>
  <si>
    <t xml:space="preserve"> 101167868.73042835
</t>
  </si>
  <si>
    <t>payout of tranche of gold is: 709.7510157299492</t>
  </si>
  <si>
    <t xml:space="preserve"> payout of tranche of Treausry Bill Option is: 204.05923833027043</t>
  </si>
  <si>
    <t xml:space="preserve"> payout of tranche of Collar of REIT is: 106.7425556433097
</t>
  </si>
  <si>
    <t xml:space="preserve"> 106.7425556433097
</t>
  </si>
  <si>
    <t>Collateral size of tranche of gold is: 77639534.90251566</t>
  </si>
  <si>
    <t xml:space="preserve"> collateral size of tranche of Treausry Bill Option is: 39077829.46273224</t>
  </si>
  <si>
    <t xml:space="preserve"> collateral size of tranche of Collar of REIT is: 27666530.18217826
</t>
  </si>
  <si>
    <t xml:space="preserve"> 27666530.18217826
</t>
  </si>
  <si>
    <t>Collateral ratio of tranche of gold is: 0.7672441959325419</t>
  </si>
  <si>
    <t xml:space="preserve"> collateral ratio of tranche of Treausry Bill Option is: 0.3861723010392675</t>
  </si>
  <si>
    <t xml:space="preserve"> collateral ratio of tranche of Collar of REIT is: 0.2734043259084615
</t>
  </si>
  <si>
    <t xml:space="preserve"> 0.2734043259084615
</t>
  </si>
  <si>
    <t xml:space="preserve">date is: 2021-11-29 00:00:00
</t>
  </si>
  <si>
    <t xml:space="preserve"> 2021-11-29 00</t>
  </si>
  <si>
    <t>current price of gold is: 1784.6</t>
  </si>
  <si>
    <t xml:space="preserve"> predicted price of gold is: 1790.9908680336596
</t>
  </si>
  <si>
    <t xml:space="preserve"> 1790.9908680336596
</t>
  </si>
  <si>
    <t xml:space="preserve"> current price of tb option is: 4.380779769527375</t>
  </si>
  <si>
    <t xml:space="preserve"> predicted price of tb is: 97.43192939817007
</t>
  </si>
  <si>
    <t xml:space="preserve"> 97.43192939817007
</t>
  </si>
  <si>
    <t xml:space="preserve"> current price of reit option is: 6.560037164811149</t>
  </si>
  <si>
    <t xml:space="preserve"> predicted price of reit is: 69.11436787228939
</t>
  </si>
  <si>
    <t xml:space="preserve"> 69.11436787228939
</t>
  </si>
  <si>
    <t>value_ratio_gold_to_total is: 0.35764335404021874</t>
  </si>
  <si>
    <t xml:space="preserve"> risk_ratio_to_gold is: 0.6966823193216776</t>
  </si>
  <si>
    <t xml:space="preserve"> risk_ratio_to_gold_before is: 0.6953727424071312
</t>
  </si>
  <si>
    <t xml:space="preserve"> 0.6953727424071312
</t>
  </si>
  <si>
    <t>value_ratio_tb_to_total is: 0.25205761353315387</t>
  </si>
  <si>
    <t xml:space="preserve"> risk_ratio_tb_to_gold is: 0.22937475574520394</t>
  </si>
  <si>
    <t xml:space="preserve"> risk_ratio_tb_to_gold_before is: 0.22947479782555633
</t>
  </si>
  <si>
    <t xml:space="preserve"> 0.22947479782555633
</t>
  </si>
  <si>
    <t>value_ratio_reit_to_total is: 0.39029903242662745</t>
  </si>
  <si>
    <t xml:space="preserve"> risk_ratio_reit_to_gold is: 0.20599969293270526</t>
  </si>
  <si>
    <t xml:space="preserve"> risk_ratio_reit_to_gold_before is: 0.20860285321719016
</t>
  </si>
  <si>
    <t xml:space="preserve"> 0.20860285321719016
</t>
  </si>
  <si>
    <t>delta_gold is: 0.9900199157878387</t>
  </si>
  <si>
    <t xml:space="preserve"> delta_tb is: 1.000813882693503</t>
  </si>
  <si>
    <t xml:space="preserve"> delta_reit is: 0.992436253944877
</t>
  </si>
  <si>
    <t xml:space="preserve"> 0.992436253944877
</t>
  </si>
  <si>
    <t>delta_gold_risk is: 1.0007724418835984</t>
  </si>
  <si>
    <t xml:space="preserve"> delta_tb_risk is: 0.9999186302309496</t>
  </si>
  <si>
    <t xml:space="preserve"> delta_reit_risk is: 0.9978461408745184
</t>
  </si>
  <si>
    <t xml:space="preserve"> 0.9978461408745184
</t>
  </si>
  <si>
    <t xml:space="preserve">collateral_ratio_tranche_gold is: 0.7590007502766468
</t>
  </si>
  <si>
    <t xml:space="preserve"> 0.7590007502766468
</t>
  </si>
  <si>
    <t xml:space="preserve">collateral_ratio_tranche_tb is: 0.3904144196621979
</t>
  </si>
  <si>
    <t xml:space="preserve"> 0.3904144196621979
</t>
  </si>
  <si>
    <t xml:space="preserve">collateral_ratio_tranche_reit is: 0.27466320875216416
</t>
  </si>
  <si>
    <t xml:space="preserve"> 0.27466320875216416
</t>
  </si>
  <si>
    <t>Total plot size is: 143431587.611481</t>
  </si>
  <si>
    <t xml:space="preserve"> plot size of gold is: 76864685.80599552</t>
  </si>
  <si>
    <t xml:space="preserve"> plot size of TB is: 39109634.23183162</t>
  </si>
  <si>
    <t xml:space="preserve"> plot size of REIT is: 27457267.573653866
</t>
  </si>
  <si>
    <t xml:space="preserve"> 27457267.573653866
</t>
  </si>
  <si>
    <t xml:space="preserve">collateral ratio is: 1.4174513309907435
</t>
  </si>
  <si>
    <t xml:space="preserve"> 1.4174513309907435
</t>
  </si>
  <si>
    <t>S_gtbcps_0 is: 1.000216578181394</t>
  </si>
  <si>
    <t xml:space="preserve">stdev_gtbcps is: 0.00666043014062598
</t>
  </si>
  <si>
    <t xml:space="preserve"> 0.00666043014062598
</t>
  </si>
  <si>
    <t>predicted price of GTBCPS is: 1.000247033508652</t>
  </si>
  <si>
    <t xml:space="preserve"> actual price is: 1.000216578181394
</t>
  </si>
  <si>
    <t xml:space="preserve"> 1.000216578181394
</t>
  </si>
  <si>
    <t>predicted amount of GTBCPS is: 101164788.39082529</t>
  </si>
  <si>
    <t xml:space="preserve"> actual amount is: 101167868.73042835
</t>
  </si>
  <si>
    <t>plot sizes of gold is: 76864685.80599552</t>
  </si>
  <si>
    <t xml:space="preserve"> plot sizes of tb is: 39109634.23183162 </t>
  </si>
  <si>
    <t xml:space="preserve"> plot sizes of reit is: 27457267.573653866</t>
  </si>
  <si>
    <t xml:space="preserve"> plot sizes of total is: 143431587.611481.
</t>
  </si>
  <si>
    <t xml:space="preserve"> 143431587.611481.
</t>
  </si>
  <si>
    <t>predicted stdevs of gold is: 0.007991825996198663</t>
  </si>
  <si>
    <t xml:space="preserve"> predicted stdevs of tb is: 0.001645155458834872</t>
  </si>
  <si>
    <t xml:space="preserve"> predicted stdevs of reit is: 0.010076947607390556</t>
  </si>
  <si>
    <t xml:space="preserve"> predicted stdevs of GTBCPS is: 0.00666043014062598.
</t>
  </si>
  <si>
    <t xml:space="preserve"> 0.00666043014062598.
</t>
  </si>
  <si>
    <t>total_value_of_collaterals is: 143432658.81648946</t>
  </si>
  <si>
    <t xml:space="preserve"> createdtionValue_gold is: -2340.457411257103</t>
  </si>
  <si>
    <t xml:space="preserve"> createdValue_tb is: -1190.843743962294</t>
  </si>
  <si>
    <t xml:space="preserve"> createdValue_reit is: -836.0415373653183
</t>
  </si>
  <si>
    <t xml:space="preserve"> -836.0415373653183
</t>
  </si>
  <si>
    <t>plotValue_gold_after_creation is: 76867851.81591855</t>
  </si>
  <si>
    <t xml:space="preserve"> plotValue_tb_after_creation  is: 39110987.453363106</t>
  </si>
  <si>
    <t xml:space="preserve"> plotValue_reit_after_creation  is: 27458186.8899004</t>
  </si>
  <si>
    <t xml:space="preserve">total_value_after_creation is: 143437026.15918207
</t>
  </si>
  <si>
    <t xml:space="preserve"> 143437026.15918207
</t>
  </si>
  <si>
    <t>total_amount_gtncps_before_creation is: 101167868.73042835</t>
  </si>
  <si>
    <t>creation_amount_gtbcps is: -3080.3396030664444</t>
  </si>
  <si>
    <t xml:space="preserve">total_amount_gtbcps_new is: 101164788.39082529
</t>
  </si>
  <si>
    <t xml:space="preserve"> 101164788.39082529
</t>
  </si>
  <si>
    <t>payout of tranche of gold is: 825.5525117630306</t>
  </si>
  <si>
    <t xml:space="preserve"> payout of tranche of Treausry Bill Option is: 162.37778752352676</t>
  </si>
  <si>
    <t xml:space="preserve"> payout of tranche of Collar of REIT is: 83.27470916826807
</t>
  </si>
  <si>
    <t xml:space="preserve"> 83.27470916826807
</t>
  </si>
  <si>
    <t>Collateral size of tranche of gold is: 76867851.81591855</t>
  </si>
  <si>
    <t xml:space="preserve"> collateral size of tranche of Treausry Bill Option is: 39110987.453363106</t>
  </si>
  <si>
    <t xml:space="preserve"> collateral size of tranche of Collar of REIT is: 27458186.8899004
</t>
  </si>
  <si>
    <t xml:space="preserve"> 27458186.8899004
</t>
  </si>
  <si>
    <t>Collateral ratio of tranche of gold is: 0.7596173422937076</t>
  </si>
  <si>
    <t xml:space="preserve"> collateral ratio of tranche of Treausry Bill Option is: 0.38649947464323064</t>
  </si>
  <si>
    <t xml:space="preserve"> collateral ratio of tranche of Collar of REIT is: 0.2713451001526576
</t>
  </si>
  <si>
    <t xml:space="preserve"> 0.2713451001526576
</t>
  </si>
  <si>
    <t xml:space="preserve">date is: 2021-11-30 00:00:00
</t>
  </si>
  <si>
    <t xml:space="preserve"> 2021-11-30 00</t>
  </si>
  <si>
    <t>current price of gold is: 1774.52</t>
  </si>
  <si>
    <t xml:space="preserve"> predicted price of gold is: 1770.0030456073732
</t>
  </si>
  <si>
    <t xml:space="preserve"> 1770.0030456073732
</t>
  </si>
  <si>
    <t>current price of tb is: 97.18359375</t>
  </si>
  <si>
    <t xml:space="preserve"> current price of tb option is: 4.387986747950324</t>
  </si>
  <si>
    <t xml:space="preserve"> predicted price of tb is: 97.29947323036272
</t>
  </si>
  <si>
    <t xml:space="preserve"> 97.29947323036272
</t>
  </si>
  <si>
    <t>current price of reit is: 67.6</t>
  </si>
  <si>
    <t xml:space="preserve"> current price of reit option is: 6.6513274476948965</t>
  </si>
  <si>
    <t xml:space="preserve"> predicted price of reit is: 68.09369478146344
</t>
  </si>
  <si>
    <t xml:space="preserve"> 68.09369478146344
</t>
  </si>
  <si>
    <t>value_ratio_gold_to_total is: -0.6333421413543538</t>
  </si>
  <si>
    <t xml:space="preserve"> risk_ratio_to_gold is: 0.6981937425277432</t>
  </si>
  <si>
    <t xml:space="preserve"> risk_ratio_to_gold_before is: 0.6966823193216776
</t>
  </si>
  <si>
    <t xml:space="preserve"> 0.6966823193216776
</t>
  </si>
  <si>
    <t>value_ratio_tb_to_total is: 0.6315069919832695</t>
  </si>
  <si>
    <t xml:space="preserve"> risk_ratio_tb_to_gold is: 0.22996125839464868</t>
  </si>
  <si>
    <t xml:space="preserve"> risk_ratio_tb_to_gold_before is: 0.22937475574520394
</t>
  </si>
  <si>
    <t xml:space="preserve"> 0.22937475574520394
</t>
  </si>
  <si>
    <t>value_ratio_reit_to_total is: 1.0018351493710844</t>
  </si>
  <si>
    <t xml:space="preserve"> risk_ratio_reit_to_gold is: 0.20230594637804994</t>
  </si>
  <si>
    <t xml:space="preserve"> risk_ratio_reit_to_gold_before is: 0.20599969293270526
</t>
  </si>
  <si>
    <t xml:space="preserve"> 0.20599969293270526
</t>
  </si>
  <si>
    <t>delta_gold is: 0.994351675445478</t>
  </si>
  <si>
    <t xml:space="preserve"> delta_tb is: 0.9988416388310777</t>
  </si>
  <si>
    <t xml:space="preserve"> delta_reit is: 0.9865970074542044
</t>
  </si>
  <si>
    <t xml:space="preserve"> 0.9865970074542044
</t>
  </si>
  <si>
    <t>delta_gold_risk is: 1.0008908109602215</t>
  </si>
  <si>
    <t xml:space="preserve"> delta_tb_risk is: 1.000477073932667</t>
  </si>
  <si>
    <t xml:space="preserve"> delta_reit_risk is: 0.9969371911317215
</t>
  </si>
  <si>
    <t xml:space="preserve"> 0.9969371911317215
</t>
  </si>
  <si>
    <t xml:space="preserve">collateral_ratio_tranche_gold is: 0.7546545224873767
</t>
  </si>
  <si>
    <t xml:space="preserve"> 0.7546545224873767
</t>
  </si>
  <si>
    <t xml:space="preserve">collateral_ratio_tranche_tb is: 0.3880595676322877
</t>
  </si>
  <si>
    <t xml:space="preserve"> 0.3880595676322877
</t>
  </si>
  <si>
    <t xml:space="preserve">collateral_ratio_tranche_reit is: 0.2700560864994226
</t>
  </si>
  <si>
    <t xml:space="preserve"> 0.2700560864994226
</t>
  </si>
  <si>
    <t>Total plot size is: 142589525.06096628</t>
  </si>
  <si>
    <t xml:space="preserve"> plot size of gold is: 76433677.24105334</t>
  </si>
  <si>
    <t xml:space="preserve"> plot size of TB is: 39065682.804218926</t>
  </si>
  <si>
    <t xml:space="preserve"> plot size of REIT is: 27090165.015694004
</t>
  </si>
  <si>
    <t xml:space="preserve"> 27090165.015694004
</t>
  </si>
  <si>
    <t xml:space="preserve">collateral ratio is: 1.409129714372808
</t>
  </si>
  <si>
    <t xml:space="preserve"> 1.409129714372808
</t>
  </si>
  <si>
    <t>S_gtbcps_0 is: 1.000247033508652</t>
  </si>
  <si>
    <t xml:space="preserve">stdev_gtbcps is: 0.00669263154389987
</t>
  </si>
  <si>
    <t xml:space="preserve"> 0.00669263154389987
</t>
  </si>
  <si>
    <t>predicted price of GTBCPS is: 1.0002382427356593</t>
  </si>
  <si>
    <t xml:space="preserve"> actual price is: 1.000247033508652
</t>
  </si>
  <si>
    <t xml:space="preserve"> 1.000247033508652
</t>
  </si>
  <si>
    <t>predicted amount of GTBCPS is: 101165677.49569209</t>
  </si>
  <si>
    <t xml:space="preserve"> actual amount is: 101164788.39082529
</t>
  </si>
  <si>
    <t>plot sizes of gold is: 76433677.24105334</t>
  </si>
  <si>
    <t xml:space="preserve"> plot sizes of tb is: 39065682.804218926 </t>
  </si>
  <si>
    <t xml:space="preserve"> plot sizes of reit is: 27090165.015694004</t>
  </si>
  <si>
    <t xml:space="preserve"> plot sizes of total is: 142589525.06096625.
</t>
  </si>
  <si>
    <t xml:space="preserve"> 142589525.06096625.
</t>
  </si>
  <si>
    <t>predicted stdevs of gold is: 0.008042744295777275</t>
  </si>
  <si>
    <t xml:space="preserve"> predicted stdevs of tb is: 0.0016495584381469475</t>
  </si>
  <si>
    <t xml:space="preserve"> predicted stdevs of reit is: 0.010155770728820013</t>
  </si>
  <si>
    <t xml:space="preserve"> predicted stdevs of GTBCPS is: 0.00669263154389987.
</t>
  </si>
  <si>
    <t xml:space="preserve"> 0.00669263154389987.
</t>
  </si>
  <si>
    <t>total_value_of_collaterals is: 142589215.8538393</t>
  </si>
  <si>
    <t xml:space="preserve"> createdtionValue_gold is: 671.7432248674204</t>
  </si>
  <si>
    <t xml:space="preserve"> createdValue_tb is: 343.33214645292315</t>
  </si>
  <si>
    <t xml:space="preserve"> createdValue_reit is: 238.08448395395806
</t>
  </si>
  <si>
    <t xml:space="preserve"> 238.08448395395806
</t>
  </si>
  <si>
    <t>plotValue_gold_after_creation is: 76432785.07861763</t>
  </si>
  <si>
    <t xml:space="preserve"> plotValue_tb_after_creation  is: 39065272.54606254</t>
  </si>
  <si>
    <t xml:space="preserve"> plotValue_reit_after_creation  is: 27089905.069303878</t>
  </si>
  <si>
    <t xml:space="preserve">total_value_after_creation is: 142587962.69398403
</t>
  </si>
  <si>
    <t xml:space="preserve"> 142587962.69398403
</t>
  </si>
  <si>
    <t>total_amount_gtncps_before_creation is: 101164788.39082529</t>
  </si>
  <si>
    <t>creation_amount_gtbcps is: 889.1048668026924</t>
  </si>
  <si>
    <t xml:space="preserve">total_amount_gtbcps_new is: 101165677.49569209
</t>
  </si>
  <si>
    <t xml:space="preserve"> 101165677.49569209
</t>
  </si>
  <si>
    <t>payout of tranche of gold is: -220.41921083347157</t>
  </si>
  <si>
    <t xml:space="preserve"> payout of tranche of Treausry Bill Option is: -66.92600993984547</t>
  </si>
  <si>
    <t xml:space="preserve"> payout of tranche of Collar of REIT is: -21.861906170277123
</t>
  </si>
  <si>
    <t xml:space="preserve"> -21.861906170277123
</t>
  </si>
  <si>
    <t>Collateral size of tranche of gold is: 76432785.07861763</t>
  </si>
  <si>
    <t xml:space="preserve"> collateral size of tranche of Treausry Bill Option is: 39065272.54606254</t>
  </si>
  <si>
    <t xml:space="preserve"> collateral size of tranche of Collar of REIT is: 27089905.069303878
</t>
  </si>
  <si>
    <t xml:space="preserve"> 27089905.069303878
</t>
  </si>
  <si>
    <t>Collateral ratio of tranche of gold is: 0.7553475974749096</t>
  </si>
  <si>
    <t xml:space="preserve"> collateral ratio of tranche of Treausry Bill Option is: 0.38606286205611284</t>
  </si>
  <si>
    <t xml:space="preserve"> collateral ratio of tranche of Collar of REIT is: 0.2677161991267863
</t>
  </si>
  <si>
    <t xml:space="preserve"> 0.2677161991267863
</t>
  </si>
  <si>
    <t xml:space="preserve">date is: 2021-12-01 00:00:00
</t>
  </si>
  <si>
    <t xml:space="preserve"> 2021-12-01 00</t>
  </si>
  <si>
    <t>current price of gold is: 1781.73</t>
  </si>
  <si>
    <t xml:space="preserve"> predicted price of gold is: 1787.3248567905368
</t>
  </si>
  <si>
    <t xml:space="preserve"> 1787.3248567905368
</t>
  </si>
  <si>
    <t xml:space="preserve"> current price of tb option is: 4.387874378309016</t>
  </si>
  <si>
    <t xml:space="preserve"> predicted price of tb is: 97.39724592342752
</t>
  </si>
  <si>
    <t xml:space="preserve"> 97.39724592342752
</t>
  </si>
  <si>
    <t xml:space="preserve"> current price of reit option is: 6.677361786965392</t>
  </si>
  <si>
    <t xml:space="preserve"> predicted price of reit is: 66.9681002540309
</t>
  </si>
  <si>
    <t xml:space="preserve"> 66.9681002540309
</t>
  </si>
  <si>
    <t>value_ratio_gold_to_total is: 0.3244488185149003</t>
  </si>
  <si>
    <t xml:space="preserve"> risk_ratio_to_gold is: 0.697456894020494</t>
  </si>
  <si>
    <t xml:space="preserve"> risk_ratio_to_gold_before is: 0.6981937425277432
</t>
  </si>
  <si>
    <t xml:space="preserve"> 0.6981937425277432
</t>
  </si>
  <si>
    <t>value_ratio_tb_to_total is: 0.2611819127550108</t>
  </si>
  <si>
    <t xml:space="preserve"> risk_ratio_tb_to_gold is: 0.23127809109147002</t>
  </si>
  <si>
    <t xml:space="preserve"> risk_ratio_tb_to_gold_before is: 0.22996125839464868
</t>
  </si>
  <si>
    <t xml:space="preserve"> 0.22996125839464868
</t>
  </si>
  <si>
    <t>value_ratio_reit_to_total is: 0.4143692687300889</t>
  </si>
  <si>
    <t xml:space="preserve"> risk_ratio_reit_to_gold is: 0.2025022737931533</t>
  </si>
  <si>
    <t xml:space="preserve"> risk_ratio_reit_to_gold_before is: 0.20230594637804994
</t>
  </si>
  <si>
    <t xml:space="preserve"> 0.20230594637804994
</t>
  </si>
  <si>
    <t>delta_gold is: 1.004063070576832</t>
  </si>
  <si>
    <t xml:space="preserve"> delta_tb is: 1.0009603461901497</t>
  </si>
  <si>
    <t xml:space="preserve"> delta_reit is: 0.9855360746043761
</t>
  </si>
  <si>
    <t xml:space="preserve"> 0.9855360746043761
</t>
  </si>
  <si>
    <t>delta_gold_risk is: 0.9995660986795579</t>
  </si>
  <si>
    <t xml:space="preserve"> delta_tb_risk is: 1.0010706294103442</t>
  </si>
  <si>
    <t xml:space="preserve"> delta_reit_risk is: 1.0001632923930008
</t>
  </si>
  <si>
    <t xml:space="preserve"> 1.0001632923930008
</t>
  </si>
  <si>
    <t xml:space="preserve">collateral_ratio_tranche_gold is: 0.7587458488992082
</t>
  </si>
  <si>
    <t xml:space="preserve"> 0.7587458488992082
</t>
  </si>
  <si>
    <t xml:space="preserve">collateral_ratio_tranche_tb is: 0.3844582503301916
</t>
  </si>
  <si>
    <t xml:space="preserve"> 0.3844582503301916
</t>
  </si>
  <si>
    <t xml:space="preserve">collateral_ratio_tranche_reit is: 0.2627333910053992
</t>
  </si>
  <si>
    <t xml:space="preserve"> 0.2627333910053992
</t>
  </si>
  <si>
    <t>Total plot size is: 142544204.31390214</t>
  </si>
  <si>
    <t xml:space="preserve"> plot size of gold is: 76743336.8787759</t>
  </si>
  <si>
    <t xml:space="preserve"> plot size of TB is: 39102788.73171931</t>
  </si>
  <si>
    <t xml:space="preserve"> plot size of REIT is: 26698078.703406934
</t>
  </si>
  <si>
    <t xml:space="preserve"> 26698078.703406934
</t>
  </si>
  <si>
    <t xml:space="preserve">collateral ratio is: 1.4086818356710709
</t>
  </si>
  <si>
    <t xml:space="preserve"> 1.4086818356710709
</t>
  </si>
  <si>
    <t>S_gtbcps_0 is: 1.0002382427356593</t>
  </si>
  <si>
    <t xml:space="preserve">stdev_gtbcps is: 0.006679914106247629
</t>
  </si>
  <si>
    <t xml:space="preserve"> 0.006679914106247629
</t>
  </si>
  <si>
    <t>predicted price of GTBCPS is: 1.0002599395847498</t>
  </si>
  <si>
    <t xml:space="preserve"> actual price is: 1.0002382427356593
</t>
  </si>
  <si>
    <t xml:space="preserve"> 1.0002382427356593
</t>
  </si>
  <si>
    <t>predicted amount of GTBCPS is: 101163483.08966732</t>
  </si>
  <si>
    <t xml:space="preserve"> actual amount is: 101165677.49569209
</t>
  </si>
  <si>
    <t>plot sizes of gold is: 76743336.8787759</t>
  </si>
  <si>
    <t xml:space="preserve"> plot sizes of tb is: 39102788.73171931 </t>
  </si>
  <si>
    <t xml:space="preserve"> plot sizes of reit is: 26698078.703406934</t>
  </si>
  <si>
    <t xml:space="preserve"> plot sizes of total is: 142544204.31390214.
</t>
  </si>
  <si>
    <t xml:space="preserve"> 142544204.31390214.
</t>
  </si>
  <si>
    <t>predicted stdevs of gold is: 0.008003788727321265</t>
  </si>
  <si>
    <t xml:space="preserve"> predicted stdevs of tb is: 0.0016464752586358982</t>
  </si>
  <si>
    <t xml:space="preserve"> predicted stdevs of reit is: 0.010246572998811423</t>
  </si>
  <si>
    <t xml:space="preserve"> predicted stdevs of GTBCPS is: 0.006679914106247629.
</t>
  </si>
  <si>
    <t xml:space="preserve"> 0.006679914106247629.
</t>
  </si>
  <si>
    <t>total_value_of_collaterals is: 142544967.42991632</t>
  </si>
  <si>
    <t xml:space="preserve"> createdtionValue_gold is: -1664.70343846928</t>
  </si>
  <si>
    <t xml:space="preserve"> createdValue_tb is: -848.2086739237035</t>
  </si>
  <si>
    <t xml:space="preserve"> createdValue_reit is: -579.1278784745415
</t>
  </si>
  <si>
    <t xml:space="preserve"> -579.1278784745415
</t>
  </si>
  <si>
    <t>plotValue_gold_after_creation is: 76745528.98654434</t>
  </si>
  <si>
    <t xml:space="preserve"> plotValue_tb_after_creation  is: 39103795.827506006</t>
  </si>
  <si>
    <t xml:space="preserve"> plotValue_reit_after_creation  is: 26698734.655856866</t>
  </si>
  <si>
    <t xml:space="preserve">total_value_after_creation is: 142548059.46990722
</t>
  </si>
  <si>
    <t xml:space="preserve"> 142548059.46990722
</t>
  </si>
  <si>
    <t>total_amount_gtncps_before_creation is: 101165677.49569209</t>
  </si>
  <si>
    <t>creation_amount_gtbcps is: -2194.4060247689486</t>
  </si>
  <si>
    <t xml:space="preserve">total_amount_gtbcps_new is: 101163483.08966732
</t>
  </si>
  <si>
    <t xml:space="preserve"> 101163483.08966732
</t>
  </si>
  <si>
    <t>payout of tranche of gold is: 527.404329968417</t>
  </si>
  <si>
    <t xml:space="preserve"> payout of tranche of Treausry Bill Option is: 158.887112776532</t>
  </si>
  <si>
    <t xml:space="preserve"> payout of tranche of Collar of REIT is: 76.8245714576105
</t>
  </si>
  <si>
    <t xml:space="preserve"> 76.8245714576105
</t>
  </si>
  <si>
    <t>Collateral size of tranche of gold is: 76745528.98654434</t>
  </si>
  <si>
    <t xml:space="preserve"> collateral size of tranche of Treausry Bill Option is: 39103795.827506006</t>
  </si>
  <si>
    <t xml:space="preserve"> collateral size of tranche of Collar of REIT is: 26698734.655856866
</t>
  </si>
  <si>
    <t xml:space="preserve"> 26698734.655856866
</t>
  </si>
  <si>
    <t>Collateral ratio of tranche of gold is: 0.758415174683279</t>
  </si>
  <si>
    <t xml:space="preserve"> collateral ratio of tranche of Treausry Bill Option is: 0.38643179003296646</t>
  </si>
  <si>
    <t xml:space="preserve"> collateral ratio of tranche of Collar of REIT is: 0.26384241238853634
</t>
  </si>
  <si>
    <t xml:space="preserve"> 0.26384241238853634
</t>
  </si>
  <si>
    <t xml:space="preserve">date is: 2021-12-02 00:00:00
</t>
  </si>
  <si>
    <t xml:space="preserve"> 2021-12-02 00</t>
  </si>
  <si>
    <t>current price of gold is: 1768.74</t>
  </si>
  <si>
    <t xml:space="preserve"> predicted price of gold is: 1776.3711428672998
</t>
  </si>
  <si>
    <t xml:space="preserve"> 1776.3711428672998
</t>
  </si>
  <si>
    <t>current price of tb is: 96.9921875</t>
  </si>
  <si>
    <t xml:space="preserve"> current price of tb option is: 4.38742477120026</t>
  </si>
  <si>
    <t xml:space="preserve"> predicted price of tb is: 97.10864798731713
</t>
  </si>
  <si>
    <t xml:space="preserve"> 97.10864798731713
</t>
  </si>
  <si>
    <t>current price of reit is: 67.0</t>
  </si>
  <si>
    <t xml:space="preserve"> current price of reit option is: 6.682316030794979</t>
  </si>
  <si>
    <t xml:space="preserve"> predicted price of reit is: 67.40344550370276
</t>
  </si>
  <si>
    <t xml:space="preserve"> 67.40344550370276
</t>
  </si>
  <si>
    <t>value_ratio_gold_to_total is: 0.3970254605644938</t>
  </si>
  <si>
    <t xml:space="preserve"> risk_ratio_to_gold is: 0.6962806732001624</t>
  </si>
  <si>
    <t xml:space="preserve"> risk_ratio_to_gold_before is: 0.697456894020494
</t>
  </si>
  <si>
    <t xml:space="preserve"> 0.697456894020494
</t>
  </si>
  <si>
    <t>value_ratio_tb_to_total is: 0.2343236328014421</t>
  </si>
  <si>
    <t xml:space="preserve"> risk_ratio_tb_to_gold is: 0.2317518509547342</t>
  </si>
  <si>
    <t xml:space="preserve"> risk_ratio_tb_to_gold_before is: 0.23127809109147002
</t>
  </si>
  <si>
    <t xml:space="preserve"> 0.23127809109147002
</t>
  </si>
  <si>
    <t>value_ratio_reit_to_total is: 0.3686509066340641</t>
  </si>
  <si>
    <t xml:space="preserve"> risk_ratio_reit_to_gold is: 0.20445058649612727</t>
  </si>
  <si>
    <t xml:space="preserve"> risk_ratio_reit_to_gold_before is: 0.2025022737931533
</t>
  </si>
  <si>
    <t xml:space="preserve"> 0.2025022737931533
</t>
  </si>
  <si>
    <t>delta_gold is: 0.9927093330639323</t>
  </si>
  <si>
    <t xml:space="preserve"> delta_tb is: 0.9971524087683543</t>
  </si>
  <si>
    <t xml:space="preserve"> delta_reit is: 1.0069004160781256
</t>
  </si>
  <si>
    <t xml:space="preserve"> 1.0069004160781256
</t>
  </si>
  <si>
    <t>delta_gold_risk is: 0.9993070688130727</t>
  </si>
  <si>
    <t xml:space="preserve"> delta_tb_risk is: 1.0003847708057927</t>
  </si>
  <si>
    <t xml:space="preserve"> delta_reit_risk is: 1.0016202154003653
</t>
  </si>
  <si>
    <t xml:space="preserve"> 1.0016202154003653
</t>
  </si>
  <si>
    <t xml:space="preserve">collateral_ratio_tranche_gold is: 0.7534078820633621
</t>
  </si>
  <si>
    <t xml:space="preserve"> 0.7534078820633621
</t>
  </si>
  <si>
    <t xml:space="preserve">collateral_ratio_tranche_tb is: 0.38801204963339203
</t>
  </si>
  <si>
    <t xml:space="preserve"> 0.38801204963339203
</t>
  </si>
  <si>
    <t xml:space="preserve">collateral_ratio_tranche_reit is: 0.2671812290890086
</t>
  </si>
  <si>
    <t xml:space="preserve"> 0.2671812290890086
</t>
  </si>
  <si>
    <t>Total plot size is: 142061414.1309964</t>
  </si>
  <si>
    <t xml:space="preserve"> plot size of gold is: 76186002.89587112</t>
  </si>
  <si>
    <t xml:space="preserve"> plot size of TB is: 38992444.20138354</t>
  </si>
  <si>
    <t xml:space="preserve"> plot size of REIT is: 26882967.03374175
</t>
  </si>
  <si>
    <t xml:space="preserve"> 26882967.03374175
</t>
  </si>
  <si>
    <t xml:space="preserve">collateral ratio is: 1.4039106998372917
</t>
  </si>
  <si>
    <t xml:space="preserve"> 1.4039106998372917
</t>
  </si>
  <si>
    <t>S_gtbcps_0 is: 1.0002599395847498</t>
  </si>
  <si>
    <t xml:space="preserve">stdev_gtbcps is: 0.006638194357097503
</t>
  </si>
  <si>
    <t xml:space="preserve"> 0.006638194357097503
</t>
  </si>
  <si>
    <t>predicted price of GTBCPS is: 1.0002807053247902</t>
  </si>
  <si>
    <t xml:space="preserve"> actual price is: 1.0002599395847498
</t>
  </si>
  <si>
    <t xml:space="preserve"> 1.0002599395847498
</t>
  </si>
  <si>
    <t>predicted amount of GTBCPS is: 101161382.9445978</t>
  </si>
  <si>
    <t xml:space="preserve"> actual amount is: 101163483.08966732
</t>
  </si>
  <si>
    <t>plot sizes of gold is: 76186002.89587112</t>
  </si>
  <si>
    <t xml:space="preserve"> plot sizes of tb is: 38992444.20138354 </t>
  </si>
  <si>
    <t xml:space="preserve"> plot sizes of reit is: 26882967.03374175</t>
  </si>
  <si>
    <t xml:space="preserve"> plot sizes of total is: 142061414.1309964.
</t>
  </si>
  <si>
    <t xml:space="preserve"> 142061414.1309964.
</t>
  </si>
  <si>
    <t>predicted stdevs of gold is: 0.007995134042374206</t>
  </si>
  <si>
    <t xml:space="preserve"> predicted stdevs of tb is: 0.001648845098847072</t>
  </si>
  <si>
    <t xml:space="preserve"> predicted stdevs of reit is: 0.010029453649537359</t>
  </si>
  <si>
    <t xml:space="preserve"> predicted stdevs of GTBCPS is: 0.006638194357097503.
</t>
  </si>
  <si>
    <t xml:space="preserve"> 0.006638194357097503.
</t>
  </si>
  <si>
    <t>total_value_of_collaterals is: 142062144.66907808</t>
  </si>
  <si>
    <t xml:space="preserve"> createdtionValue_gold is: -1581.6592921103988</t>
  </si>
  <si>
    <t xml:space="preserve"> createdValue_tb is: -809.4989527794538</t>
  </si>
  <si>
    <t xml:space="preserve"> createdValue_reit is: -558.1006917565228
</t>
  </si>
  <si>
    <t xml:space="preserve"> -558.1006917565228
</t>
  </si>
  <si>
    <t>plotValue_gold_after_creation is: 76188147.8441115</t>
  </si>
  <si>
    <t xml:space="preserve"> plotValue_tb_after_creation  is: 38993369.938555405</t>
  </si>
  <si>
    <t xml:space="preserve"> plotValue_reit_after_creation  is: 26883576.145347834</t>
  </si>
  <si>
    <t xml:space="preserve">total_value_after_creation is: 142065093.92801476
</t>
  </si>
  <si>
    <t xml:space="preserve"> 142065093.92801476
</t>
  </si>
  <si>
    <t>total_amount_gtncps_before_creation is: 101163483.08966732</t>
  </si>
  <si>
    <t>creation_amount_gtbcps is: -2100.145069524646</t>
  </si>
  <si>
    <t xml:space="preserve">total_amount_gtbcps_new is: 101161382.9445978
</t>
  </si>
  <si>
    <t xml:space="preserve"> 101161382.9445978
</t>
  </si>
  <si>
    <t>payout of tranche of gold is: 563.2889482749979</t>
  </si>
  <si>
    <t xml:space="preserve"> payout of tranche of Treausry Bill Option is: 116.2382190869312</t>
  </si>
  <si>
    <t xml:space="preserve"> payout of tranche of Collar of REIT is: 51.010914326489896
</t>
  </si>
  <si>
    <t xml:space="preserve"> 51.010914326489896
</t>
  </si>
  <si>
    <t>Collateral size of tranche of gold is: 76188147.8441115</t>
  </si>
  <si>
    <t xml:space="preserve"> collateral size of tranche of Treausry Bill Option is: 38993369.938555405</t>
  </si>
  <si>
    <t xml:space="preserve"> collateral size of tranche of Collar of REIT is: 26883576.145347834
</t>
  </si>
  <si>
    <t xml:space="preserve"> 26883576.145347834
</t>
  </si>
  <si>
    <t>Collateral ratio of tranche of gold is: 0.7529077202631653</t>
  </si>
  <si>
    <t xml:space="preserve"> collateral ratio of tranche of Treausry Bill Option is: 0.38534089745673056</t>
  </si>
  <si>
    <t xml:space="preserve"> collateral ratio of tranche of Collar of REIT is: 0.2656693016022629
</t>
  </si>
  <si>
    <t xml:space="preserve"> 0.2656693016022629
</t>
  </si>
  <si>
    <t xml:space="preserve">date is: 2021-12-03 00:00:00
</t>
  </si>
  <si>
    <t xml:space="preserve"> 2021-12-03 00</t>
  </si>
  <si>
    <t>current price of gold is: 1783.29</t>
  </si>
  <si>
    <t xml:space="preserve"> predicted price of gold is: 1783.213446732081
</t>
  </si>
  <si>
    <t xml:space="preserve"> 1783.213446732081
</t>
  </si>
  <si>
    <t xml:space="preserve"> current price of tb option is: 4.394188728841615</t>
  </si>
  <si>
    <t xml:space="preserve"> predicted price of tb is: 97.3555571670959
</t>
  </si>
  <si>
    <t xml:space="preserve"> 97.3555571670959
</t>
  </si>
  <si>
    <t>current price of reit is: 66.6</t>
  </si>
  <si>
    <t xml:space="preserve"> current price of reit option is: 6.7608913071052825</t>
  </si>
  <si>
    <t xml:space="preserve"> predicted price of reit is: 66.97289546256758
</t>
  </si>
  <si>
    <t xml:space="preserve"> 66.97289546256758
</t>
  </si>
  <si>
    <t>value_ratio_gold_to_total is: -0.006621747697533908</t>
  </si>
  <si>
    <t xml:space="preserve"> risk_ratio_to_gold is: 0.6943278431692618</t>
  </si>
  <si>
    <t xml:space="preserve"> risk_ratio_to_gold_before is: 0.6962806732001624
</t>
  </si>
  <si>
    <t xml:space="preserve"> 0.6962806732001624
</t>
  </si>
  <si>
    <t>value_ratio_tb_to_total is: 0.3895594406157694</t>
  </si>
  <si>
    <t xml:space="preserve"> risk_ratio_tb_to_gold is: 0.2354867966188513</t>
  </si>
  <si>
    <t xml:space="preserve"> risk_ratio_tb_to_gold_before is: 0.2317518509547342
</t>
  </si>
  <si>
    <t xml:space="preserve"> 0.2317518509547342
</t>
  </si>
  <si>
    <t>value_ratio_reit_to_total is: 0.6170623070817646</t>
  </si>
  <si>
    <t xml:space="preserve"> risk_ratio_reit_to_gold is: 0.20475502838919785</t>
  </si>
  <si>
    <t xml:space="preserve"> risk_ratio_reit_to_gold_before is: 0.20445058649612727
</t>
  </si>
  <si>
    <t xml:space="preserve"> 0.20445058649612727
</t>
  </si>
  <si>
    <t>delta_gold is: 1.0082261949184166</t>
  </si>
  <si>
    <t xml:space="preserve"> delta_tb is: 1.002571229084444</t>
  </si>
  <si>
    <t xml:space="preserve"> delta_reit is: 0.9956376951620879
</t>
  </si>
  <si>
    <t xml:space="preserve"> 0.9956376951620879
</t>
  </si>
  <si>
    <t>delta_gold_risk is: 0.9988487577193128</t>
  </si>
  <si>
    <t xml:space="preserve"> delta_tb_risk is: 1.003032222489637</t>
  </si>
  <si>
    <t xml:space="preserve"> delta_reit_risk is: 1.000252764120408
</t>
  </si>
  <si>
    <t xml:space="preserve"> 1.000252764120408
</t>
  </si>
  <si>
    <t xml:space="preserve">collateral_ratio_tranche_gold is: 0.759976202662452
</t>
  </si>
  <si>
    <t xml:space="preserve"> 0.759976202662452
</t>
  </si>
  <si>
    <t xml:space="preserve">collateral_ratio_tranche_tb is: 0.38202121389030075
</t>
  </si>
  <si>
    <t xml:space="preserve"> 0.38202121389030075
</t>
  </si>
  <si>
    <t xml:space="preserve">collateral_ratio_tranche_reit is: 0.26228591423169584
</t>
  </si>
  <si>
    <t xml:space="preserve"> 0.26228591423169584
</t>
  </si>
  <si>
    <t>Total plot size is: 142674819.01526082</t>
  </si>
  <si>
    <t xml:space="preserve"> plot size of gold is: 76814886.3987503</t>
  </si>
  <si>
    <t xml:space="preserve"> plot size of TB is: 39093630.825441904</t>
  </si>
  <si>
    <t xml:space="preserve"> plot size of REIT is: 26766301.791068602
</t>
  </si>
  <si>
    <t xml:space="preserve"> 26766301.791068602
</t>
  </si>
  <si>
    <t xml:space="preserve">collateral ratio is: 1.4099726251364244
</t>
  </si>
  <si>
    <t xml:space="preserve"> 1.4099726251364244
</t>
  </si>
  <si>
    <t>S_gtbcps_0 is: 1.0002807053247902</t>
  </si>
  <si>
    <t xml:space="preserve">stdev_gtbcps is: 0.006652755659432373
</t>
  </si>
  <si>
    <t xml:space="preserve"> 0.006652755659432373
</t>
  </si>
  <si>
    <t>predicted price of GTBCPS is: 1.0003316732697265</t>
  </si>
  <si>
    <t xml:space="preserve"> actual price is: 1.0002807053247902
</t>
  </si>
  <si>
    <t xml:space="preserve"> 1.0002807053247902
</t>
  </si>
  <si>
    <t>predicted amount of GTBCPS is: 101156228.66633852</t>
  </si>
  <si>
    <t xml:space="preserve"> actual amount is: 101161382.9445978
</t>
  </si>
  <si>
    <t>plot sizes of gold is: 76814886.3987503</t>
  </si>
  <si>
    <t xml:space="preserve"> plot sizes of tb is: 39093630.825441904 </t>
  </si>
  <si>
    <t xml:space="preserve"> plot sizes of reit is: 26766301.791068602</t>
  </si>
  <si>
    <t xml:space="preserve"> plot sizes of total is: 142674819.01526082.
</t>
  </si>
  <si>
    <t xml:space="preserve"> 142674819.01526082.
</t>
  </si>
  <si>
    <t>predicted stdevs of gold is: 0.008018987912131107</t>
  </si>
  <si>
    <t xml:space="preserve"> predicted stdevs of tb is: 0.001670363495390941</t>
  </si>
  <si>
    <t xml:space="preserve"> predicted stdevs of reit is: 0.010008946787533002</t>
  </si>
  <si>
    <t xml:space="preserve"> predicted stdevs of GTBCPS is: 0.006652755659432373.
</t>
  </si>
  <si>
    <t xml:space="preserve"> 0.006652755659432373.
</t>
  </si>
  <si>
    <t>total_value_of_collaterals is: 142676609.95187274</t>
  </si>
  <si>
    <t xml:space="preserve"> createdtionValue_gold is: -3914.0613739861315</t>
  </si>
  <si>
    <t xml:space="preserve"> createdValue_tb is: -1991.981764510403</t>
  </si>
  <si>
    <t xml:space="preserve"> createdValue_reit is: -1363.8497635808487
</t>
  </si>
  <si>
    <t xml:space="preserve"> -1363.8497635808487
</t>
  </si>
  <si>
    <t>plotValue_gold_after_creation is: 76820039.89788167</t>
  </si>
  <si>
    <t xml:space="preserve"> plotValue_tb_after_creation  is: 39095993.65063101</t>
  </si>
  <si>
    <t xml:space="preserve"> plotValue_reit_after_creation  is: 26767846.29626212</t>
  </si>
  <si>
    <t xml:space="preserve">total_value_after_creation is: 142683879.8447748
</t>
  </si>
  <si>
    <t xml:space="preserve"> 142683879.8447748
</t>
  </si>
  <si>
    <t>total_amount_gtncps_before_creation is: 101161382.9445978</t>
  </si>
  <si>
    <t>creation_amount_gtbcps is: -5154.278259277344</t>
  </si>
  <si>
    <t xml:space="preserve">total_amount_gtbcps_new is: 101156228.66633852
</t>
  </si>
  <si>
    <t xml:space="preserve"> 101156228.66633852
</t>
  </si>
  <si>
    <t>payout of tranche of gold is: 1239.4377573935299</t>
  </si>
  <si>
    <t xml:space="preserve"> payout of tranche of Treausry Bill Option is: 370.8434245964074</t>
  </si>
  <si>
    <t xml:space="preserve"> payout of tranche of Collar of REIT is: 180.65542993668572
</t>
  </si>
  <si>
    <t xml:space="preserve"> 180.65542993668572
</t>
  </si>
  <si>
    <t>Collateral size of tranche of gold is: 76820039.89788167</t>
  </si>
  <si>
    <t xml:space="preserve"> collateral size of tranche of Treausry Bill Option is: 39095993.65063101</t>
  </si>
  <si>
    <t xml:space="preserve"> collateral size of tranche of Collar of REIT is: 26767846.29626212
</t>
  </si>
  <si>
    <t xml:space="preserve"> 26767846.29626212
</t>
  </si>
  <si>
    <t>Collateral ratio of tranche of gold is: 0.7591292937748584</t>
  </si>
  <si>
    <t xml:space="preserve"> collateral ratio of tranche of Treausry Bill Option is: 0.3863433823893167</t>
  </si>
  <si>
    <t xml:space="preserve"> collateral ratio of tranche of Collar of REIT is: 0.2645176477618017
</t>
  </si>
  <si>
    <t xml:space="preserve"> 0.2645176477618017
</t>
  </si>
  <si>
    <t xml:space="preserve">date is: 2021-12-06 00:00:00
</t>
  </si>
  <si>
    <t xml:space="preserve"> 2021-12-06 00</t>
  </si>
  <si>
    <t>current price of gold is: 1778.67</t>
  </si>
  <si>
    <t xml:space="preserve"> predicted price of gold is: 1774.568850442751
</t>
  </si>
  <si>
    <t xml:space="preserve"> 1774.568850442751
</t>
  </si>
  <si>
    <t>current price of tb is: 96.99609375</t>
  </si>
  <si>
    <t xml:space="preserve"> current price of tb option is: 4.388202497661638</t>
  </si>
  <si>
    <t xml:space="preserve"> predicted price of tb is: 97.11174965967831
</t>
  </si>
  <si>
    <t xml:space="preserve"> 97.11174965967831
</t>
  </si>
  <si>
    <t>current price of reit is: 67.15</t>
  </si>
  <si>
    <t xml:space="preserve"> current price of reit option is: 6.6869494636478635</t>
  </si>
  <si>
    <t xml:space="preserve"> predicted price of reit is: 67.64303956587811
</t>
  </si>
  <si>
    <t xml:space="preserve"> 67.64303956587811
</t>
  </si>
  <si>
    <t>value_ratio_gold_to_total is: -0.5408562522678676</t>
  </si>
  <si>
    <t xml:space="preserve"> risk_ratio_to_gold is: 0.6928992920583338</t>
  </si>
  <si>
    <t xml:space="preserve"> risk_ratio_to_gold_before is: 0.6943278431692618
</t>
  </si>
  <si>
    <t xml:space="preserve"> 0.6943278431692618
</t>
  </si>
  <si>
    <t>value_ratio_tb_to_total is: 0.5939651663356958</t>
  </si>
  <si>
    <t xml:space="preserve"> risk_ratio_tb_to_gold is: 0.23566430576846553</t>
  </si>
  <si>
    <t xml:space="preserve"> risk_ratio_tb_to_gold_before is: 0.2354867966188513
</t>
  </si>
  <si>
    <t xml:space="preserve"> 0.2354867966188513
</t>
  </si>
  <si>
    <t>value_ratio_reit_to_total is: 0.9468910859321717</t>
  </si>
  <si>
    <t xml:space="preserve"> risk_ratio_reit_to_gold is: 0.20754686714151052</t>
  </si>
  <si>
    <t xml:space="preserve"> risk_ratio_reit_to_gold_before is: 0.20475502838919785
</t>
  </si>
  <si>
    <t xml:space="preserve"> 0.20475502838919785
</t>
  </si>
  <si>
    <t>delta_gold is: 0.9974092828423868</t>
  </si>
  <si>
    <t xml:space="preserve"> delta_tb is: 0.997481449038345</t>
  </si>
  <si>
    <t xml:space="preserve"> delta_reit is: 1.0064892635307512
</t>
  </si>
  <si>
    <t xml:space="preserve"> 1.0064892635307512
</t>
  </si>
  <si>
    <t>delta_gold_risk is: 0.999156862636303</t>
  </si>
  <si>
    <t xml:space="preserve"> delta_tb_risk is: 1.0001436754727773</t>
  </si>
  <si>
    <t xml:space="preserve"> delta_reit_risk is: 1.0023173497404243
</t>
  </si>
  <si>
    <t xml:space="preserve"> 1.0023173497404243
</t>
  </si>
  <si>
    <t xml:space="preserve">collateral_ratio_tranche_gold is: 0.7578015352772883
</t>
  </si>
  <si>
    <t xml:space="preserve"> 0.7578015352772883
</t>
  </si>
  <si>
    <t xml:space="preserve">collateral_ratio_tranche_tb is: 0.3863158316310337
</t>
  </si>
  <si>
    <t xml:space="preserve"> 0.3863158316310337
</t>
  </si>
  <si>
    <t xml:space="preserve">collateral_ratio_tranche_reit is: 0.26630857138253194
</t>
  </si>
  <si>
    <t xml:space="preserve"> 0.26630857138253194
</t>
  </si>
  <si>
    <t>Total plot size is: 142560099.20572427</t>
  </si>
  <si>
    <t xml:space="preserve"> plot size of gold is: 76621020.9024697</t>
  </si>
  <si>
    <t xml:space="preserve"> plot size of TB is: 38997528.39822536</t>
  </si>
  <si>
    <t xml:space="preserve"> plot size of REIT is: 26941549.905029207
</t>
  </si>
  <si>
    <t xml:space="preserve"> 26941549.905029207
</t>
  </si>
  <si>
    <t xml:space="preserve">collateral ratio is: 1.4088389156835315
</t>
  </si>
  <si>
    <t xml:space="preserve"> 1.4088389156835315
</t>
  </si>
  <si>
    <t>S_gtbcps_0 is: 1.0003316732697265</t>
  </si>
  <si>
    <t xml:space="preserve">stdev_gtbcps is: 0.006683835798523349
</t>
  </si>
  <si>
    <t xml:space="preserve"> 0.006683835798523349
</t>
  </si>
  <si>
    <t>predicted price of GTBCPS is: 1.000341129971175</t>
  </si>
  <si>
    <t xml:space="preserve"> actual price is: 1.0003316732697265
</t>
  </si>
  <si>
    <t xml:space="preserve"> 1.0003316732697265
</t>
  </si>
  <si>
    <t>predicted amount of GTBCPS is: 101155272.38829945</t>
  </si>
  <si>
    <t xml:space="preserve"> actual amount is: 101156228.66633852
</t>
  </si>
  <si>
    <t>plot sizes of gold is: 76621020.9024697</t>
  </si>
  <si>
    <t xml:space="preserve"> plot sizes of tb is: 38997528.39822536 </t>
  </si>
  <si>
    <t xml:space="preserve"> plot sizes of reit is: 26941549.905029207</t>
  </si>
  <si>
    <t xml:space="preserve"> plot sizes of total is: 142560099.20572427.
</t>
  </si>
  <si>
    <t xml:space="preserve"> 142560099.20572427.
</t>
  </si>
  <si>
    <t>predicted stdevs of gold is: 0.008063150978267323</t>
  </si>
  <si>
    <t xml:space="preserve"> predicted stdevs of tb is: 0.001677139782843893</t>
  </si>
  <si>
    <t xml:space="preserve"> predicted stdevs of reit is: 0.010008226308728023</t>
  </si>
  <si>
    <t xml:space="preserve"> predicted stdevs of GTBCPS is: 0.006683835798523349.
</t>
  </si>
  <si>
    <t xml:space="preserve"> 0.006683835798523349.
</t>
  </si>
  <si>
    <t>total_value_of_collaterals is: 142560431.77730948</t>
  </si>
  <si>
    <t xml:space="preserve"> createdtionValue_gold is: -724.3443047367474</t>
  </si>
  <si>
    <t xml:space="preserve"> createdValue_tb is: -368.6662022226434</t>
  </si>
  <si>
    <t xml:space="preserve"> createdValue_reit is: -254.6939372081624
</t>
  </si>
  <si>
    <t xml:space="preserve"> -254.6939372081624
</t>
  </si>
  <si>
    <t>plotValue_gold_after_creation is: 76622002.3148533</t>
  </si>
  <si>
    <t xml:space="preserve"> plotValue_tb_after_creation  is: 38997949.47704859</t>
  </si>
  <si>
    <t xml:space="preserve"> plotValue_reit_after_creation  is: 26941827.689851757</t>
  </si>
  <si>
    <t xml:space="preserve">total_value_after_creation is: 142561779.48175365
</t>
  </si>
  <si>
    <t xml:space="preserve"> 142561779.48175365
</t>
  </si>
  <si>
    <t>total_amount_gtncps_before_creation is: 101156228.66633852</t>
  </si>
  <si>
    <t>creation_amount_gtbcps is: -956.2780390679836</t>
  </si>
  <si>
    <t xml:space="preserve">total_amount_gtbcps_new is: 101155272.38829945
</t>
  </si>
  <si>
    <t xml:space="preserve"> 101155272.38829945
</t>
  </si>
  <si>
    <t>payout of tranche of gold is: 257.068078866249</t>
  </si>
  <si>
    <t xml:space="preserve"> payout of tranche of Treausry Bill Option is: 52.412621003598254</t>
  </si>
  <si>
    <t xml:space="preserve"> payout of tranche of Collar of REIT is: 23.090885339471512
</t>
  </si>
  <si>
    <t xml:space="preserve"> 23.090885339471512
</t>
  </si>
  <si>
    <t>Collateral size of tranche of gold is: 76622002.3148533</t>
  </si>
  <si>
    <t xml:space="preserve"> collateral size of tranche of Treausry Bill Option is: 38997949.47704859</t>
  </si>
  <si>
    <t xml:space="preserve"> collateral size of tranche of Collar of REIT is: 26941827.689851757
</t>
  </si>
  <si>
    <t xml:space="preserve"> 26941827.689851757
</t>
  </si>
  <si>
    <t>Collateral ratio of tranche of gold is: 0.7572037251358734</t>
  </si>
  <si>
    <t xml:space="preserve"> collateral ratio of tranche of Treausry Bill Option is: 0.3853905108788505</t>
  </si>
  <si>
    <t xml:space="preserve"> collateral ratio of tranche of Collar of REIT is: 0.2662479662812194
</t>
  </si>
  <si>
    <t xml:space="preserve"> 0.2662479662812194
</t>
  </si>
  <si>
    <t xml:space="preserve">date is: 2021-12-07 00:00:00
</t>
  </si>
  <si>
    <t xml:space="preserve"> 2021-12-07 00</t>
  </si>
  <si>
    <t>current price of gold is: 1784.13</t>
  </si>
  <si>
    <t xml:space="preserve"> predicted price of gold is: 1783.8906140790696
</t>
  </si>
  <si>
    <t xml:space="preserve"> 1783.8906140790696
</t>
  </si>
  <si>
    <t>current price of tb is: 96.80078125</t>
  </si>
  <si>
    <t xml:space="preserve"> current price of tb option is: 4.384523773351809</t>
  </si>
  <si>
    <t xml:space="preserve"> predicted price of tb is: 96.9202425328566
</t>
  </si>
  <si>
    <t xml:space="preserve"> 96.9202425328566
</t>
  </si>
  <si>
    <t>current price of reit is: 66.9</t>
  </si>
  <si>
    <t xml:space="preserve"> current price of reit option is: 6.663805793152278</t>
  </si>
  <si>
    <t xml:space="preserve"> predicted price of reit is: 67.48729861390781
</t>
  </si>
  <si>
    <t xml:space="preserve"> 67.48729861390781
</t>
  </si>
  <si>
    <t>value_ratio_gold_to_total is: -0.02078778079432424</t>
  </si>
  <si>
    <t xml:space="preserve"> risk_ratio_to_gold is: 0.6919081125999771</t>
  </si>
  <si>
    <t xml:space="preserve"> risk_ratio_to_gold_before is: 0.6928992920583338
</t>
  </si>
  <si>
    <t xml:space="preserve"> 0.6928992920583338
</t>
  </si>
  <si>
    <t>value_ratio_tb_to_total is: 0.39111679452751924</t>
  </si>
  <si>
    <t xml:space="preserve"> risk_ratio_tb_to_gold is: 0.23681429745554686</t>
  </si>
  <si>
    <t xml:space="preserve"> risk_ratio_tb_to_gold_before is: 0.23566430576846553
</t>
  </si>
  <si>
    <t xml:space="preserve"> 0.23566430576846553
</t>
  </si>
  <si>
    <t>value_ratio_reit_to_total is: 0.629670986266805</t>
  </si>
  <si>
    <t xml:space="preserve"> risk_ratio_reit_to_gold is: 0.2084643194438976</t>
  </si>
  <si>
    <t xml:space="preserve"> risk_ratio_reit_to_gold_before is: 0.20754686714151052
</t>
  </si>
  <si>
    <t xml:space="preserve"> 0.20754686714151052
</t>
  </si>
  <si>
    <t>delta_gold is: 1.0030697093896002</t>
  </si>
  <si>
    <t xml:space="preserve"> delta_tb is: 0.9980372579218411</t>
  </si>
  <si>
    <t xml:space="preserve"> delta_reit is: 0.9963007183736639
</t>
  </si>
  <si>
    <t xml:space="preserve"> 0.9963007183736639
</t>
  </si>
  <si>
    <t>delta_gold_risk is: 0.9994145077247026</t>
  </si>
  <si>
    <t xml:space="preserve"> delta_tb_risk is: 1.0009306667528655</t>
  </si>
  <si>
    <t xml:space="preserve"> delta_reit_risk is: 1.0007597653783482
</t>
  </si>
  <si>
    <t xml:space="preserve"> 1.0007597653783482
</t>
  </si>
  <si>
    <t xml:space="preserve">collateral_ratio_tranche_gold is: 0.759973078887886
</t>
  </si>
  <si>
    <t xml:space="preserve"> 0.759973078887886
</t>
  </si>
  <si>
    <t xml:space="preserve">collateral_ratio_tranche_tb is: 0.3831004483422527
</t>
  </si>
  <si>
    <t xml:space="preserve"> 0.3831004483422527
</t>
  </si>
  <si>
    <t xml:space="preserve">collateral_ratio_tranche_reit is: 0.2642504832130778
</t>
  </si>
  <si>
    <t xml:space="preserve"> 0.2642504832130778
</t>
  </si>
  <si>
    <t>Total plot size is: 142620778.43715602</t>
  </si>
  <si>
    <t xml:space="preserve"> plot size of gold is: 76857209.59480916</t>
  </si>
  <si>
    <t xml:space="preserve"> plot size of TB is: 38921406.56064807</t>
  </si>
  <si>
    <t xml:space="preserve"> plot size of REIT is: 26842162.281698775
</t>
  </si>
  <si>
    <t xml:space="preserve"> 26842162.281698775
</t>
  </si>
  <si>
    <t xml:space="preserve">collateral ratio is: 1.4094385733934456
</t>
  </si>
  <si>
    <t xml:space="preserve"> 1.4094385733934456
</t>
  </si>
  <si>
    <t>S_gtbcps_0 is: 1.000341129971175</t>
  </si>
  <si>
    <t xml:space="preserve">stdev_gtbcps is: 0.0066820696056909875
</t>
  </si>
  <si>
    <t xml:space="preserve"> 0.0066820696056909875
</t>
  </si>
  <si>
    <t>predicted price of GTBCPS is: 1.0003118222798841</t>
  </si>
  <si>
    <t xml:space="preserve"> actual price is: 1.000341129971175
</t>
  </si>
  <si>
    <t xml:space="preserve"> 1.000341129971175
</t>
  </si>
  <si>
    <t>predicted amount of GTBCPS is: 101158236.0916463</t>
  </si>
  <si>
    <t xml:space="preserve"> actual amount is: 101155272.38829945
</t>
  </si>
  <si>
    <t>plot sizes of gold is: 76857209.59480916</t>
  </si>
  <si>
    <t xml:space="preserve"> plot sizes of tb is: 38921406.56064807 </t>
  </si>
  <si>
    <t xml:space="preserve"> plot sizes of reit is: 26842162.281698775</t>
  </si>
  <si>
    <t xml:space="preserve"> plot sizes of total is: 142620778.437156.
</t>
  </si>
  <si>
    <t xml:space="preserve"> 142620778.437156.
</t>
  </si>
  <si>
    <t>predicted stdevs of gold is: 0.00806076420841362</t>
  </si>
  <si>
    <t xml:space="preserve"> predicted stdevs of tb is: 0.001680294697379445</t>
  </si>
  <si>
    <t xml:space="preserve"> predicted stdevs of reit is: 0.009987075132128846</t>
  </si>
  <si>
    <t xml:space="preserve"> predicted stdevs of GTBCPS is: 0.0066820696056909875.
</t>
  </si>
  <si>
    <t xml:space="preserve"> 0.0066820696056909875.
</t>
  </si>
  <si>
    <t>total_value_of_collaterals is: 142619747.85091266</t>
  </si>
  <si>
    <t xml:space="preserve"> createdtionValue_gold is: 2251.7158326328117</t>
  </si>
  <si>
    <t xml:space="preserve"> createdValue_tb is: 1140.3028609528405</t>
  </si>
  <si>
    <t xml:space="preserve"> createdValue_reit is: 786.4114606283815
</t>
  </si>
  <si>
    <t xml:space="preserve"> 786.4114606283815
</t>
  </si>
  <si>
    <t>plotValue_gold_after_creation is: 76854159.04841669</t>
  </si>
  <si>
    <t xml:space="preserve"> plotValue_tb_after_creation  is: 38920105.35652933</t>
  </si>
  <si>
    <t xml:space="preserve"> plotValue_reit_after_creation  is: 26841305.01581242</t>
  </si>
  <si>
    <t xml:space="preserve">total_value_after_creation is: 142615569.42075846
</t>
  </si>
  <si>
    <t xml:space="preserve"> 142615569.42075846
</t>
  </si>
  <si>
    <t>total_amount_gtncps_before_creation is: 101155272.38829945</t>
  </si>
  <si>
    <t>creation_amount_gtbcps is: 2963.703346848488</t>
  </si>
  <si>
    <t xml:space="preserve">total_amount_gtbcps_new is: 101158236.0916463
</t>
  </si>
  <si>
    <t xml:space="preserve"> 101158236.0916463
</t>
  </si>
  <si>
    <t>payout of tranche of gold is: -798.8305598279896</t>
  </si>
  <si>
    <t xml:space="preserve"> payout of tranche of Treausry Bill Option is: -160.90125777994052</t>
  </si>
  <si>
    <t xml:space="preserve"> payout of tranche of Collar of REIT is: -70.85442572779863
</t>
  </si>
  <si>
    <t xml:space="preserve"> -70.85442572779863
</t>
  </si>
  <si>
    <t>Collateral size of tranche of gold is: 76854159.04841669</t>
  </si>
  <si>
    <t xml:space="preserve"> collateral size of tranche of Treausry Bill Option is: 38920105.35652933</t>
  </si>
  <si>
    <t xml:space="preserve"> collateral size of tranche of Collar of REIT is: 26841305.01581242
</t>
  </si>
  <si>
    <t xml:space="preserve"> 26841305.01581242
</t>
  </si>
  <si>
    <t>Collateral ratio of tranche of gold is: 0.7595274063900582</t>
  </si>
  <si>
    <t xml:space="preserve"> collateral ratio of tranche of Treausry Bill Option is: 0.38463613477638503</t>
  </si>
  <si>
    <t xml:space="preserve"> collateral ratio of tranche of Collar of REIT is: 0.2652648475398868
</t>
  </si>
  <si>
    <t xml:space="preserve"> 0.2652648475398868
</t>
  </si>
  <si>
    <t xml:space="preserve">date is: 2021-12-08 00:00:00
</t>
  </si>
  <si>
    <t xml:space="preserve"> 2021-12-08 00</t>
  </si>
  <si>
    <t>current price of gold is: 1782.99</t>
  </si>
  <si>
    <t xml:space="preserve"> predicted price of gold is: 1780.254954336929
</t>
  </si>
  <si>
    <t xml:space="preserve"> 1780.254954336929
</t>
  </si>
  <si>
    <t>current price of tb is: 96.73828125</t>
  </si>
  <si>
    <t xml:space="preserve"> current price of tb option is: 4.381477335217975</t>
  </si>
  <si>
    <t xml:space="preserve"> predicted price of tb is: 96.86089404462614
</t>
  </si>
  <si>
    <t xml:space="preserve"> 96.86089404462614
</t>
  </si>
  <si>
    <t xml:space="preserve"> current price of reit option is: 6.6364432407469</t>
  </si>
  <si>
    <t xml:space="preserve"> predicted price of reit is: 67.5634713240219
</t>
  </si>
  <si>
    <t xml:space="preserve"> 67.5634713240219
</t>
  </si>
  <si>
    <t>value_ratio_gold_to_total is: -0.31013248312969427</t>
  </si>
  <si>
    <t xml:space="preserve"> risk_ratio_to_gold is: 0.6911500537496934</t>
  </si>
  <si>
    <t xml:space="preserve"> risk_ratio_to_gold_before is: 0.6919081125999771
</t>
  </si>
  <si>
    <t xml:space="preserve"> 0.6919081125999771
</t>
  </si>
  <si>
    <t>value_ratio_tb_to_total is: 0.510728093160976</t>
  </si>
  <si>
    <t xml:space="preserve"> risk_ratio_tb_to_gold is: 0.23652898443617332</t>
  </si>
  <si>
    <t xml:space="preserve"> risk_ratio_tb_to_gold_before is: 0.23681429745554686
</t>
  </si>
  <si>
    <t xml:space="preserve"> 0.23681429745554686
</t>
  </si>
  <si>
    <t>value_ratio_reit_to_total is: 0.7994043899687183</t>
  </si>
  <si>
    <t xml:space="preserve"> risk_ratio_reit_to_gold is: 0.21033482549150337</t>
  </si>
  <si>
    <t xml:space="preserve"> risk_ratio_reit_to_gold_before is: 0.2084643194438976
</t>
  </si>
  <si>
    <t xml:space="preserve"> 0.2084643194438976
</t>
  </si>
  <si>
    <t>delta_gold is: 0.9993610331085738</t>
  </si>
  <si>
    <t xml:space="preserve"> delta_tb is: 0.9993522138603159</t>
  </si>
  <si>
    <t xml:space="preserve"> delta_reit is: 1.003026453637005
</t>
  </si>
  <si>
    <t xml:space="preserve"> 1.003026453637005
</t>
  </si>
  <si>
    <t>delta_gold_risk is: 0.9995519503425522</t>
  </si>
  <si>
    <t xml:space="preserve"> delta_tb_risk is: 0.9997693162021488</t>
  </si>
  <si>
    <t xml:space="preserve"> delta_reit_risk is: 1.0015478372158035
</t>
  </si>
  <si>
    <t xml:space="preserve"> 1.0015478372158035
</t>
  </si>
  <si>
    <t xml:space="preserve">collateral_ratio_tranche_gold is: 0.7593823345190974
</t>
  </si>
  <si>
    <t xml:space="preserve"> 0.7593823345190974
</t>
  </si>
  <si>
    <t xml:space="preserve">collateral_ratio_tranche_tb is: 0.38472148942022755
</t>
  </si>
  <si>
    <t xml:space="preserve"> 0.38472148942022755
</t>
  </si>
  <si>
    <t xml:space="preserve">collateral_ratio_tranche_reit is: 0.26582632055498207
</t>
  </si>
  <si>
    <t xml:space="preserve"> 0.26582632055498207
</t>
  </si>
  <si>
    <t>Total plot size is: 142622484.21804017</t>
  </si>
  <si>
    <t xml:space="preserve"> plot size of gold is: 76805051.78531635</t>
  </si>
  <si>
    <t xml:space="preserve"> plot size of TB is: 38894893.45172433</t>
  </si>
  <si>
    <t xml:space="preserve"> plot size of REIT is: 26922538.98099949
</t>
  </si>
  <si>
    <t xml:space="preserve"> 26922538.98099949
</t>
  </si>
  <si>
    <t xml:space="preserve">collateral ratio is: 1.4094554306382474
</t>
  </si>
  <si>
    <t xml:space="preserve"> 1.4094554306382474
</t>
  </si>
  <si>
    <t>S_gtbcps_0 is: 1.0003118222798841</t>
  </si>
  <si>
    <t xml:space="preserve">stdev_gtbcps is: 0.006674816783438346
</t>
  </si>
  <si>
    <t xml:space="preserve"> 0.006674816783438346
</t>
  </si>
  <si>
    <t>predicted price of GTBCPS is: 1.0003485815907218</t>
  </si>
  <si>
    <t xml:space="preserve"> actual price is: 1.0003118222798841
</t>
  </si>
  <si>
    <t xml:space="preserve"> 1.0003118222798841
</t>
  </si>
  <si>
    <t>predicted amount of GTBCPS is: 101154518.88035344</t>
  </si>
  <si>
    <t xml:space="preserve"> actual amount is: 101158236.0916463
</t>
  </si>
  <si>
    <t>plot sizes of gold is: 76805051.78531635</t>
  </si>
  <si>
    <t xml:space="preserve"> plot sizes of tb is: 38894893.45172433 </t>
  </si>
  <si>
    <t xml:space="preserve"> plot sizes of reit is: 26922538.98099949</t>
  </si>
  <si>
    <t xml:space="preserve"> plot sizes of total is: 142622484.21804017.
</t>
  </si>
  <si>
    <t xml:space="preserve"> 142622484.21804017.
</t>
  </si>
  <si>
    <t>predicted stdevs of gold is: 0.008066530365262623</t>
  </si>
  <si>
    <t xml:space="preserve"> predicted stdevs of tb is: 0.0016807505341702707</t>
  </si>
  <si>
    <t xml:space="preserve"> predicted stdevs of reit is: 0.009919423133361055</t>
  </si>
  <si>
    <t xml:space="preserve"> predicted stdevs of GTBCPS is: 0.006674816783438346.
</t>
  </si>
  <si>
    <t xml:space="preserve"> 0.006674816783438346.
</t>
  </si>
  <si>
    <t>total_value_of_collaterals is: 142623777.12846932</t>
  </si>
  <si>
    <t xml:space="preserve"> createdtionValue_gold is: -2822.454733236289</t>
  </si>
  <si>
    <t xml:space="preserve"> createdValue_tb is: -1429.3139576844126</t>
  </si>
  <si>
    <t xml:space="preserve"> createdValue_reit is: -989.3487681993213
</t>
  </si>
  <si>
    <t xml:space="preserve"> -989.3487681993213
</t>
  </si>
  <si>
    <t>plotValue_gold_after_creation is: 76808800.94464734</t>
  </si>
  <si>
    <t xml:space="preserve"> plotValue_tb_after_creation  is: 38896599.46372551</t>
  </si>
  <si>
    <t xml:space="preserve"> plotValue_reit_after_creation  is: 26923617.837555576</t>
  </si>
  <si>
    <t xml:space="preserve">total_value_after_creation is: 142629018.24592844
</t>
  </si>
  <si>
    <t xml:space="preserve"> 142629018.24592844
</t>
  </si>
  <si>
    <t>total_amount_gtncps_before_creation is: 101158236.0916463</t>
  </si>
  <si>
    <t>creation_amount_gtbcps is: -3717.211292862892</t>
  </si>
  <si>
    <t xml:space="preserve">total_amount_gtbcps_new is: 101154518.88035344
</t>
  </si>
  <si>
    <t xml:space="preserve"> 101154518.88035344
</t>
  </si>
  <si>
    <t>payout of tranche of gold is: 926.7045977526557</t>
  </si>
  <si>
    <t xml:space="preserve"> payout of tranche of Treausry Bill Option is: 276.6980434923057</t>
  </si>
  <si>
    <t xml:space="preserve"> payout of tranche of Collar of REIT is: 89.5077878885277
</t>
  </si>
  <si>
    <t xml:space="preserve"> 89.5077878885277
</t>
  </si>
  <si>
    <t>Collateral size of tranche of gold is: 76808800.94464734</t>
  </si>
  <si>
    <t xml:space="preserve"> collateral size of tranche of Treausry Bill Option is: 38896599.46372551</t>
  </si>
  <si>
    <t xml:space="preserve"> collateral size of tranche of Collar of REIT is: 26923617.837555576
</t>
  </si>
  <si>
    <t xml:space="preserve"> 26923617.837555576
</t>
  </si>
  <si>
    <t>Collateral ratio of tranche of gold is: 0.7590290134239636</t>
  </si>
  <si>
    <t xml:space="preserve"> collateral ratio of tranche of Treausry Bill Option is: 0.384378445612958</t>
  </si>
  <si>
    <t xml:space="preserve"> collateral ratio of tranche of Collar of REIT is: 0.2660607486864794
</t>
  </si>
  <si>
    <t xml:space="preserve"> 0.2660607486864794
</t>
  </si>
  <si>
    <t xml:space="preserve">date is: 2021-12-09 00:00:00
</t>
  </si>
  <si>
    <t xml:space="preserve"> 2021-12-09 00</t>
  </si>
  <si>
    <t>current price of gold is: 1775.33</t>
  </si>
  <si>
    <t xml:space="preserve"> predicted price of gold is: 1778.367308657747
</t>
  </si>
  <si>
    <t xml:space="preserve"> 1778.367308657747
</t>
  </si>
  <si>
    <t xml:space="preserve"> current price of tb option is: 4.383817997688108</t>
  </si>
  <si>
    <t xml:space="preserve"> predicted price of tb is: 96.85847255254382
</t>
  </si>
  <si>
    <t xml:space="preserve"> 96.85847255254382
</t>
  </si>
  <si>
    <t>current price of reit is: 68.05</t>
  </si>
  <si>
    <t xml:space="preserve"> current price of reit option is: 6.61366193419623</t>
  </si>
  <si>
    <t xml:space="preserve"> predicted price of reit is: 68.62669623016946
</t>
  </si>
  <si>
    <t xml:space="preserve"> 68.62669623016946
</t>
  </si>
  <si>
    <t>value_ratio_gold_to_total is: 0.20617536202415285</t>
  </si>
  <si>
    <t xml:space="preserve"> risk_ratio_to_gold is: 0.6920510921975624</t>
  </si>
  <si>
    <t xml:space="preserve"> risk_ratio_to_gold_before is: 0.6911500537496934
</t>
  </si>
  <si>
    <t xml:space="preserve"> 0.6911500537496934
</t>
  </si>
  <si>
    <t>value_ratio_tb_to_total is: 0.305736378048685</t>
  </si>
  <si>
    <t xml:space="preserve"> risk_ratio_tb_to_gold is: 0.23470846780102084</t>
  </si>
  <si>
    <t xml:space="preserve"> risk_ratio_tb_to_gold_before is: 0.23652898443617332
</t>
  </si>
  <si>
    <t xml:space="preserve"> 0.23652898443617332
</t>
  </si>
  <si>
    <t>value_ratio_reit_to_total is: 0.4880882599271622</t>
  </si>
  <si>
    <t xml:space="preserve"> risk_ratio_reit_to_gold is: 0.21027155068947248</t>
  </si>
  <si>
    <t xml:space="preserve"> risk_ratio_reit_to_gold_before is: 0.21033482549150337
</t>
  </si>
  <si>
    <t xml:space="preserve"> 0.21033482549150337
</t>
  </si>
  <si>
    <t>delta_gold is: 0.9957038457871328</t>
  </si>
  <si>
    <t xml:space="preserve"> delta_tb is: 1.0000231474293737</t>
  </si>
  <si>
    <t xml:space="preserve"> delta_reit is: 1.0118886160508804
</t>
  </si>
  <si>
    <t xml:space="preserve"> 1.0118886160508804
</t>
  </si>
  <si>
    <t>delta_gold_risk is: 1.0005327962742698</t>
  </si>
  <si>
    <t xml:space="preserve"> delta_tb_risk is: 0.9985277202086917</t>
  </si>
  <si>
    <t xml:space="preserve"> delta_reit_risk is: 0.9999477212415125
</t>
  </si>
  <si>
    <t xml:space="preserve"> 0.9999477212415125
</t>
  </si>
  <si>
    <t xml:space="preserve">collateral_ratio_tranche_gold is: 0.7553656517253031
</t>
  </si>
  <si>
    <t xml:space="preserve"> 0.7553656517253031
</t>
  </si>
  <si>
    <t xml:space="preserve">collateral_ratio_tranche_tb is: 0.3866150610558166
</t>
  </si>
  <si>
    <t xml:space="preserve"> 0.3866150610558166
</t>
  </si>
  <si>
    <t xml:space="preserve">collateral_ratio_tranche_reit is: 0.2703995965638593
</t>
  </si>
  <si>
    <t xml:space="preserve"> 0.2703995965638593
</t>
  </si>
  <si>
    <t>Total plot size is: 142620020.7036251</t>
  </si>
  <si>
    <t xml:space="preserve"> plot size of gold is: 76478818.49088372</t>
  </si>
  <si>
    <t xml:space="preserve"> plot size of TB is: 38897499.82001447</t>
  </si>
  <si>
    <t xml:space="preserve"> plot size of REIT is: 27243702.39272691
</t>
  </si>
  <si>
    <t xml:space="preserve"> 27243702.39272691
</t>
  </si>
  <si>
    <t xml:space="preserve">collateral ratio is: 1.409431085151701
</t>
  </si>
  <si>
    <t xml:space="preserve"> 1.409431085151701
</t>
  </si>
  <si>
    <t>S_gtbcps_0 is: 1.0003485815907218</t>
  </si>
  <si>
    <t xml:space="preserve">stdev_gtbcps is: 0.006691958095916761
</t>
  </si>
  <si>
    <t xml:space="preserve"> 0.006691958095916761
</t>
  </si>
  <si>
    <t>predicted price of GTBCPS is: 1.0003412475562818</t>
  </si>
  <si>
    <t xml:space="preserve"> actual price is: 1.0003485815907218
</t>
  </si>
  <si>
    <t xml:space="preserve"> 1.0003485815907218
</t>
  </si>
  <si>
    <t>predicted amount of GTBCPS is: 101155260.49800342</t>
  </si>
  <si>
    <t xml:space="preserve"> actual amount is: 101154518.88035344
</t>
  </si>
  <si>
    <t>plot sizes of gold is: 76478818.49088372</t>
  </si>
  <si>
    <t xml:space="preserve"> plot sizes of tb is: 38897499.82001447 </t>
  </si>
  <si>
    <t xml:space="preserve"> plot sizes of reit is: 27243702.39272691</t>
  </si>
  <si>
    <t xml:space="preserve"> plot sizes of total is: 142620020.70362508.
</t>
  </si>
  <si>
    <t xml:space="preserve"> 142620020.70362508.
</t>
  </si>
  <si>
    <t>predicted stdevs of gold is: 0.008066178190374796</t>
  </si>
  <si>
    <t xml:space="preserve"> predicted stdevs of tb is: 0.00166712375136839</t>
  </si>
  <si>
    <t xml:space="preserve"> predicted stdevs of reit is: 0.010008495714027473</t>
  </si>
  <si>
    <t xml:space="preserve"> predicted stdevs of GTBCPS is: 0.006691958095916761.
</t>
  </si>
  <si>
    <t xml:space="preserve"> 0.006691958095916761.
</t>
  </si>
  <si>
    <t>total_value_of_collaterals is: 142619762.88086316</t>
  </si>
  <si>
    <t xml:space="preserve"> createdtionValue_gold is: 560.7015379328905</t>
  </si>
  <si>
    <t xml:space="preserve"> createdValue_tb is: 285.1758049146143</t>
  </si>
  <si>
    <t xml:space="preserve"> createdValue_reit is: 199.7364281886053
</t>
  </si>
  <si>
    <t xml:space="preserve"> 199.7364281886053
</t>
  </si>
  <si>
    <t>plotValue_gold_after_creation is: 76478080.45836554</t>
  </si>
  <si>
    <t xml:space="preserve"> plotValue_tb_after_creation  is: 38897161.28377982</t>
  </si>
  <si>
    <t xml:space="preserve"> plotValue_reit_after_creation  is: 27243475.52494676</t>
  </si>
  <si>
    <t xml:space="preserve">total_value_after_creation is: 142618717.2670921
</t>
  </si>
  <si>
    <t xml:space="preserve"> 142618717.2670921
</t>
  </si>
  <si>
    <t>total_amount_gtncps_before_creation is: 101154518.88035344</t>
  </si>
  <si>
    <t>creation_amount_gtbcps is: 741.61764998734</t>
  </si>
  <si>
    <t xml:space="preserve">total_amount_gtbcps_new is: 101155260.49800342
</t>
  </si>
  <si>
    <t xml:space="preserve"> 101155260.49800342
</t>
  </si>
  <si>
    <t>payout of tranche of gold is: -177.33098024779156</t>
  </si>
  <si>
    <t xml:space="preserve"> payout of tranche of Treausry Bill Option is: -53.360429731280945</t>
  </si>
  <si>
    <t xml:space="preserve"> payout of tranche of Collar of REIT is: -27.131351957655884
</t>
  </si>
  <si>
    <t xml:space="preserve"> -27.131351957655884
</t>
  </si>
  <si>
    <t>Collateral size of tranche of gold is: 76478080.45836554</t>
  </si>
  <si>
    <t xml:space="preserve"> collateral size of tranche of Treausry Bill Option is: 38897161.28377982</t>
  </si>
  <si>
    <t xml:space="preserve"> collateral size of tranche of Collar of REIT is: 27243475.52494676
</t>
  </si>
  <si>
    <t xml:space="preserve"> 27243475.52494676
</t>
  </si>
  <si>
    <t>Collateral ratio of tranche of gold is: 0.7557941281254525</t>
  </si>
  <si>
    <t xml:space="preserve"> collateral ratio of tranche of Treausry Bill Option is: 0.38440094106485584</t>
  </si>
  <si>
    <t xml:space="preserve"> collateral ratio of tranche of Collar of REIT is: 0.26923346804832043
</t>
  </si>
  <si>
    <t xml:space="preserve"> 0.26923346804832043
</t>
  </si>
  <si>
    <t xml:space="preserve">date is: 2021-12-10 00:00:00
</t>
  </si>
  <si>
    <t xml:space="preserve"> 2021-12-10 00</t>
  </si>
  <si>
    <t>current price of gold is: 1782.84</t>
  </si>
  <si>
    <t xml:space="preserve"> predicted price of gold is: 1784.5603271886237
</t>
  </si>
  <si>
    <t xml:space="preserve"> 1784.5603271886237
</t>
  </si>
  <si>
    <t>current price of tb is: 96.82421875</t>
  </si>
  <si>
    <t xml:space="preserve"> current price of tb option is: 4.384495861114587</t>
  </si>
  <si>
    <t xml:space="preserve"> predicted price of tb is: 96.94370895693946
</t>
  </si>
  <si>
    <t xml:space="preserve"> 96.94370895693946
</t>
  </si>
  <si>
    <t>current price of reit is: 67.65</t>
  </si>
  <si>
    <t xml:space="preserve"> current price of reit option is: 6.642407318739018</t>
  </si>
  <si>
    <t xml:space="preserve"> predicted price of reit is: 68.0798539593912
</t>
  </si>
  <si>
    <t xml:space="preserve"> 68.0798539593912
</t>
  </si>
  <si>
    <t>value_ratio_gold_to_total is: 0.1293812315435257</t>
  </si>
  <si>
    <t xml:space="preserve"> risk_ratio_to_gold is: 0.69237963284811</t>
  </si>
  <si>
    <t xml:space="preserve"> risk_ratio_to_gold_before is: 0.6920510921975624
</t>
  </si>
  <si>
    <t xml:space="preserve"> 0.6920510921975624
</t>
  </si>
  <si>
    <t>value_ratio_tb_to_total is: 0.3387328109403993</t>
  </si>
  <si>
    <t xml:space="preserve"> risk_ratio_tb_to_gold is: 0.2348107054512956</t>
  </si>
  <si>
    <t xml:space="preserve"> risk_ratio_tb_to_gold_before is: 0.23470846780102084
</t>
  </si>
  <si>
    <t xml:space="preserve"> 0.23470846780102084
</t>
  </si>
  <si>
    <t>value_ratio_reit_to_total is: 0.5318859575160749</t>
  </si>
  <si>
    <t xml:space="preserve"> risk_ratio_reit_to_gold is: 0.2094836564242709</t>
  </si>
  <si>
    <t xml:space="preserve"> risk_ratio_reit_to_gold_before is: 0.21027155068947248
</t>
  </si>
  <si>
    <t xml:space="preserve"> 0.21027155068947248
</t>
  </si>
  <si>
    <t>delta_gold is: 1.0042301994558758</t>
  </si>
  <si>
    <t xml:space="preserve"> delta_tb is: 1.0008565423786775</t>
  </si>
  <si>
    <t xml:space="preserve"> delta_reit is: 0.9950276398740742
</t>
  </si>
  <si>
    <t xml:space="preserve"> 0.9950276398740742
</t>
  </si>
  <si>
    <t>delta_gold_risk is: 1.000194167098182</t>
  </si>
  <si>
    <t xml:space="preserve"> delta_tb_risk is: 1.0000828030688544</t>
  </si>
  <si>
    <t xml:space="preserve"> delta_reit_risk is: 0.9993489938148568
</t>
  </si>
  <si>
    <t xml:space="preserve"> 0.9993489938148568
</t>
  </si>
  <si>
    <t xml:space="preserve">collateral_ratio_tranche_gold is: 0.7588439455081307
</t>
  </si>
  <si>
    <t xml:space="preserve"> 0.7588439455081307
</t>
  </si>
  <si>
    <t xml:space="preserve">collateral_ratio_tranche_tb is: 0.3830778468585951
</t>
  </si>
  <si>
    <t xml:space="preserve"> 0.3830778468585951
</t>
  </si>
  <si>
    <t xml:space="preserve">collateral_ratio_tranche_reit is: 0.2669400473883927
</t>
  </si>
  <si>
    <t xml:space="preserve"> 0.2669400473883927
</t>
  </si>
  <si>
    <t>Total plot size is: 142840087.49709144</t>
  </si>
  <si>
    <t xml:space="preserve"> plot size of gold is: 76801597.99270694</t>
  </si>
  <si>
    <t xml:space="preserve"> plot size of TB is: 38930478.35082963</t>
  </si>
  <si>
    <t xml:space="preserve"> plot size of REIT is: 27108011.15355488
</t>
  </si>
  <si>
    <t xml:space="preserve"> 27108011.15355488
</t>
  </si>
  <si>
    <t xml:space="preserve">collateral ratio is: 1.411605877849044
</t>
  </si>
  <si>
    <t xml:space="preserve"> 1.411605877849044
</t>
  </si>
  <si>
    <t>S_gtbcps_0 is: 1.0003412475562818</t>
  </si>
  <si>
    <t xml:space="preserve">stdev_gtbcps is: 0.006639731682048265
</t>
  </si>
  <si>
    <t xml:space="preserve"> 0.006639731682048265
</t>
  </si>
  <si>
    <t>predicted price of GTBCPS is: 1.000354273344438</t>
  </si>
  <si>
    <t xml:space="preserve"> actual price is: 1.0003412475562818
</t>
  </si>
  <si>
    <t xml:space="preserve"> 1.0003412475562818
</t>
  </si>
  <si>
    <t>predicted amount of GTBCPS is: 101153943.33764412</t>
  </si>
  <si>
    <t xml:space="preserve"> actual amount is: 101155260.49800342
</t>
  </si>
  <si>
    <t>plot sizes of gold is: 76801597.99270694</t>
  </si>
  <si>
    <t xml:space="preserve"> plot sizes of tb is: 38930478.35082963 </t>
  </si>
  <si>
    <t xml:space="preserve"> plot sizes of reit is: 27108011.15355488</t>
  </si>
  <si>
    <t xml:space="preserve"> plot sizes of total is: 142840087.49709144.
</t>
  </si>
  <si>
    <t xml:space="preserve"> 142840087.49709144.
</t>
  </si>
  <si>
    <t>predicted stdevs of gold is: 0.007998336091599332</t>
  </si>
  <si>
    <t xml:space="preserve"> predicted stdevs of tb is: 0.0016531169911415044</t>
  </si>
  <si>
    <t xml:space="preserve"> predicted stdevs of reit is: 0.009951974143002099</t>
  </si>
  <si>
    <t xml:space="preserve"> predicted stdevs of GTBCPS is: 0.006639731682048265.
</t>
  </si>
  <si>
    <t xml:space="preserve"> 0.006639731682048265.
</t>
  </si>
  <si>
    <t>total_value_of_collaterals is: 142840545.18790302</t>
  </si>
  <si>
    <t xml:space="preserve"> createdtionValue_gold is: -1000.0641945232637</t>
  </si>
  <si>
    <t xml:space="preserve"> createdValue_tb is: -506.92840188637643</t>
  </si>
  <si>
    <t xml:space="preserve"> createdValue_reit is: -352.9833730437374
</t>
  </si>
  <si>
    <t xml:space="preserve"> -352.9833730437374
</t>
  </si>
  <si>
    <t>plotValue_gold_after_creation is: 76802914.23655115</t>
  </si>
  <si>
    <t xml:space="preserve"> plotValue_tb_after_creation  is: 38931079.4120683</t>
  </si>
  <si>
    <t xml:space="preserve"> plotValue_reit_after_creation  is: 27108411.51525304</t>
  </si>
  <si>
    <t xml:space="preserve">total_value_after_creation is: 142842405.16387248
</t>
  </si>
  <si>
    <t xml:space="preserve"> 142842405.16387248
</t>
  </si>
  <si>
    <t>total_amount_gtncps_before_creation is: 101155260.49800342</t>
  </si>
  <si>
    <t>creation_amount_gtbcps is: -1317.1603593081236</t>
  </si>
  <si>
    <t xml:space="preserve">total_amount_gtbcps_new is: 101153943.33764412
</t>
  </si>
  <si>
    <t xml:space="preserve"> 101153943.33764412
</t>
  </si>
  <si>
    <t>payout of tranche of gold is: 316.17964968019714</t>
  </si>
  <si>
    <t xml:space="preserve"> payout of tranche of Treausry Bill Option is: 94.13283677784653</t>
  </si>
  <si>
    <t xml:space="preserve"> payout of tranche of Collar of REIT is: 47.378325121025284
</t>
  </si>
  <si>
    <t xml:space="preserve"> 47.378325121025284
</t>
  </si>
  <si>
    <t>Collateral size of tranche of gold is: 76802914.23655115</t>
  </si>
  <si>
    <t xml:space="preserve"> collateral size of tranche of Treausry Bill Option is: 38931079.4120683</t>
  </si>
  <si>
    <t xml:space="preserve"> collateral size of tranche of Collar of REIT is: 27108411.51525304
</t>
  </si>
  <si>
    <t xml:space="preserve"> 27108411.51525304
</t>
  </si>
  <si>
    <t>Collateral ratio of tranche of gold is: 0.7589888481268534</t>
  </si>
  <si>
    <t xml:space="preserve"> collateral ratio of tranche of Treausry Bill Option is: 0.38472830638031336</t>
  </si>
  <si>
    <t xml:space="preserve"> collateral ratio of tranche of Collar of REIT is: 0.26789324643515716
</t>
  </si>
  <si>
    <t xml:space="preserve"> 0.26789324643515716
</t>
  </si>
  <si>
    <t xml:space="preserve">date is: 2021-12-13 00:00:00
</t>
  </si>
  <si>
    <t xml:space="preserve"> 2021-12-13 00</t>
  </si>
  <si>
    <t>current price of gold is: 1786.67</t>
  </si>
  <si>
    <t xml:space="preserve"> predicted price of gold is: 1782.1824503303826
</t>
  </si>
  <si>
    <t xml:space="preserve"> 1782.1824503303826
</t>
  </si>
  <si>
    <t>current price of tb is: 96.98828125</t>
  </si>
  <si>
    <t xml:space="preserve"> current price of tb option is: 4.388993670750276</t>
  </si>
  <si>
    <t xml:space="preserve"> predicted price of tb is: 97.10311864820609
</t>
  </si>
  <si>
    <t xml:space="preserve"> 97.10311864820609
</t>
  </si>
  <si>
    <t>current price of reit is: 67.35</t>
  </si>
  <si>
    <t xml:space="preserve"> current price of reit option is: 6.7013019331253645</t>
  </si>
  <si>
    <t xml:space="preserve"> predicted price of reit is: 67.72988295922873
</t>
  </si>
  <si>
    <t xml:space="preserve"> 67.72988295922873
</t>
  </si>
  <si>
    <t>value_ratio_gold_to_total is: -0.63227488306211</t>
  </si>
  <si>
    <t xml:space="preserve"> risk_ratio_to_gold is: 0.6924551844489717</t>
  </si>
  <si>
    <t xml:space="preserve"> risk_ratio_to_gold_before is: 0.69237963284811
</t>
  </si>
  <si>
    <t xml:space="preserve"> 0.69237963284811
</t>
  </si>
  <si>
    <t>value_ratio_tb_to_total is: 0.6345688565266918</t>
  </si>
  <si>
    <t xml:space="preserve"> risk_ratio_tb_to_gold is: 0.2358347106929088</t>
  </si>
  <si>
    <t xml:space="preserve"> risk_ratio_tb_to_gold_before is: 0.2348107054512956
</t>
  </si>
  <si>
    <t xml:space="preserve"> 0.2348107054512956
</t>
  </si>
  <si>
    <t>value_ratio_reit_to_total is: 0.9977060265354182</t>
  </si>
  <si>
    <t xml:space="preserve"> risk_ratio_reit_to_gold is: 0.20830206878078408</t>
  </si>
  <si>
    <t xml:space="preserve"> risk_ratio_reit_to_gold_before is: 0.2094836564242709
</t>
  </si>
  <si>
    <t xml:space="preserve"> 0.2094836564242709
</t>
  </si>
  <si>
    <t>delta_gold is: 1.0021482578358125</t>
  </si>
  <si>
    <t xml:space="preserve"> delta_tb is: 1.0016654722894502</t>
  </si>
  <si>
    <t xml:space="preserve"> delta_reit is: 0.9967546429801468
</t>
  </si>
  <si>
    <t xml:space="preserve"> 0.9967546429801468
</t>
  </si>
  <si>
    <t>delta_gold_risk is: 1.0000446422300264</t>
  </si>
  <si>
    <t xml:space="preserve"> delta_tb_risk is: 1.0008292811498092</t>
  </si>
  <si>
    <t xml:space="preserve"> delta_reit_risk is: 0.9990230643984228
</t>
  </si>
  <si>
    <t xml:space="preserve"> 0.9990230643984228
</t>
  </si>
  <si>
    <t xml:space="preserve">collateral_ratio_tranche_gold is: 0.7605853976388601
</t>
  </si>
  <si>
    <t xml:space="preserve"> 0.7605853976388601
</t>
  </si>
  <si>
    <t xml:space="preserve">collateral_ratio_tranche_tb is: 0.3842243332825959
</t>
  </si>
  <si>
    <t xml:space="preserve"> 0.3842243332825959
</t>
  </si>
  <si>
    <t xml:space="preserve">collateral_ratio_tranche_reit is: 0.2667119912727588
</t>
  </si>
  <si>
    <t xml:space="preserve"> 0.2667119912727588
</t>
  </si>
  <si>
    <t>Total plot size is: 142984259.7865455</t>
  </si>
  <si>
    <t xml:space="preserve"> plot size of gold is: 76967906.69887306</t>
  </si>
  <si>
    <t xml:space="preserve"> plot size of TB is: 38995918.04602749</t>
  </si>
  <si>
    <t xml:space="preserve"> plot size of REIT is: 27020435.041644946
</t>
  </si>
  <si>
    <t xml:space="preserve"> 27020435.041644946
</t>
  </si>
  <si>
    <t xml:space="preserve">collateral ratio is: 1.4130306491074656
</t>
  </si>
  <si>
    <t xml:space="preserve"> 1.4130306491074656
</t>
  </si>
  <si>
    <t>S_gtbcps_0 is: 1.000354273344438</t>
  </si>
  <si>
    <t xml:space="preserve">stdev_gtbcps is: 0.006636404604750221
</t>
  </si>
  <si>
    <t xml:space="preserve"> 0.006636404604750221
</t>
  </si>
  <si>
    <t>predicted price of GTBCPS is: 1.00036255784863</t>
  </si>
  <si>
    <t xml:space="preserve"> actual price is: 1.000354273344438
</t>
  </si>
  <si>
    <t xml:space="preserve"> 1.000354273344438
</t>
  </si>
  <si>
    <t>predicted amount of GTBCPS is: 101153105.63109359</t>
  </si>
  <si>
    <t xml:space="preserve"> actual amount is: 101153943.33764412
</t>
  </si>
  <si>
    <t>plot sizes of gold is: 76967906.69887306</t>
  </si>
  <si>
    <t xml:space="preserve"> plot sizes of tb is: 38995918.04602749 </t>
  </si>
  <si>
    <t xml:space="preserve"> plot sizes of reit is: 27020435.041644946</t>
  </si>
  <si>
    <t xml:space="preserve"> plot sizes of total is: 142984259.78654552.
</t>
  </si>
  <si>
    <t xml:space="preserve"> 142984259.78654552.
</t>
  </si>
  <si>
    <t>predicted stdevs of gold is: 0.008010023617141728</t>
  </si>
  <si>
    <t xml:space="preserve"> predicted stdevs of tb is: 0.001661704366557665</t>
  </si>
  <si>
    <t xml:space="preserve"> predicted stdevs of reit is: 0.009903133014952352</t>
  </si>
  <si>
    <t xml:space="preserve"> predicted stdevs of GTBCPS is: 0.006636404604750221.
</t>
  </si>
  <si>
    <t xml:space="preserve"> 0.006636404604750221.
</t>
  </si>
  <si>
    <t>total_value_of_collaterals is: 142984551.04707426</t>
  </si>
  <si>
    <t xml:space="preserve"> createdtionValue_gold is: -637.4167939696832</t>
  </si>
  <si>
    <t xml:space="preserve"> createdValue_tb is: -322.9479316675172</t>
  </si>
  <si>
    <t xml:space="preserve"> createdValue_reit is: -223.77187885472014
</t>
  </si>
  <si>
    <t xml:space="preserve"> -223.77187885472014
</t>
  </si>
  <si>
    <t>plotValue_gold_after_creation is: 76968745.46267818</t>
  </si>
  <si>
    <t xml:space="preserve"> plotValue_tb_after_creation  is: 38996300.984498</t>
  </si>
  <si>
    <t xml:space="preserve"> plotValue_reit_after_creation  is: 27020688.736502588</t>
  </si>
  <si>
    <t xml:space="preserve">total_value_after_creation is: 142985735.18367878
</t>
  </si>
  <si>
    <t xml:space="preserve"> 142985735.18367878
</t>
  </si>
  <si>
    <t>total_amount_gtncps_before_creation is: 101153943.33764412</t>
  </si>
  <si>
    <t>creation_amount_gtbcps is: -837.7065505236387</t>
  </si>
  <si>
    <t xml:space="preserve">total_amount_gtbcps_new is: 101153105.63109359
</t>
  </si>
  <si>
    <t xml:space="preserve"> 101153105.63109359
</t>
  </si>
  <si>
    <t>payout of tranche of gold is: 201.3470111485279</t>
  </si>
  <si>
    <t xml:space="preserve"> payout of tranche of Treausry Bill Option is: 59.99053884400945</t>
  </si>
  <si>
    <t xml:space="preserve"> payout of tranche of Collar of REIT is: 29.922978787699922
</t>
  </si>
  <si>
    <t xml:space="preserve"> 29.922978787699922
</t>
  </si>
  <si>
    <t>Collateral size of tranche of gold is: 76968745.46267818</t>
  </si>
  <si>
    <t xml:space="preserve"> collateral size of tranche of Treausry Bill Option is: 38996300.984498</t>
  </si>
  <si>
    <t xml:space="preserve"> collateral size of tranche of Collar of REIT is: 27020688.736502588
</t>
  </si>
  <si>
    <t xml:space="preserve"> 27020688.736502588
</t>
  </si>
  <si>
    <t>Collateral ratio of tranche of gold is: 0.7606312459497951</t>
  </si>
  <si>
    <t xml:space="preserve"> collateral ratio of tranche of Treausry Bill Option is: 0.3853746715886752</t>
  </si>
  <si>
    <t xml:space="preserve"> collateral ratio of tranche of Collar of REIT is: 0.26702760992815605
</t>
  </si>
  <si>
    <t xml:space="preserve"> 0.26702760992815605
</t>
  </si>
  <si>
    <t xml:space="preserve">date is: 2021-12-14 00:00:00
</t>
  </si>
  <si>
    <t xml:space="preserve"> 2021-12-14 00</t>
  </si>
  <si>
    <t>current price of gold is: 1770.85</t>
  </si>
  <si>
    <t xml:space="preserve"> predicted price of gold is: 1773.653877461084
</t>
  </si>
  <si>
    <t xml:space="preserve"> 1773.653877461084
</t>
  </si>
  <si>
    <t>current price of tb is: 96.875</t>
  </si>
  <si>
    <t xml:space="preserve"> current price of tb option is: 4.387560558277949</t>
  </si>
  <si>
    <t xml:space="preserve"> predicted price of tb is: 96.99131977790837
</t>
  </si>
  <si>
    <t xml:space="preserve"> 96.99131977790837
</t>
  </si>
  <si>
    <t>current price of reit is: 67.3</t>
  </si>
  <si>
    <t xml:space="preserve"> current price of reit option is: 6.693239211159721</t>
  </si>
  <si>
    <t xml:space="preserve"> predicted price of reit is: 67.80571454529067
</t>
  </si>
  <si>
    <t xml:space="preserve"> 67.80571454529067
</t>
  </si>
  <si>
    <t>value_ratio_gold_to_total is: 0.1932813960421597</t>
  </si>
  <si>
    <t xml:space="preserve"> risk_ratio_to_gold is: 0.6922351434981413</t>
  </si>
  <si>
    <t xml:space="preserve"> risk_ratio_to_gold_before is: 0.6924551844489717
</t>
  </si>
  <si>
    <t xml:space="preserve"> 0.6924551844489717
</t>
  </si>
  <si>
    <t>value_ratio_tb_to_total is: 0.3104687316286463</t>
  </si>
  <si>
    <t xml:space="preserve"> risk_ratio_tb_to_gold is: 0.23631111101682115</t>
  </si>
  <si>
    <t xml:space="preserve"> risk_ratio_tb_to_gold_before is: 0.2358347106929088
</t>
  </si>
  <si>
    <t xml:space="preserve"> 0.2358347106929088
</t>
  </si>
  <si>
    <t>value_ratio_reit_to_total is: 0.496249872329194</t>
  </si>
  <si>
    <t xml:space="preserve"> risk_ratio_reit_to_gold is: 0.20828471656078446</t>
  </si>
  <si>
    <t xml:space="preserve"> risk_ratio_reit_to_gold_before is: 0.20830206878078408
</t>
  </si>
  <si>
    <t xml:space="preserve"> 0.20830206878078408
</t>
  </si>
  <si>
    <t>delta_gold is: 0.9911455389075766</t>
  </si>
  <si>
    <t xml:space="preserve"> delta_tb is: 0.9988684410528691</t>
  </si>
  <si>
    <t xml:space="preserve"> delta_reit is: 0.9992159122061341
</t>
  </si>
  <si>
    <t xml:space="preserve"> 0.9992159122061341
</t>
  </si>
  <si>
    <t>delta_gold_risk is: 0.9998699871329816</t>
  </si>
  <si>
    <t xml:space="preserve"> delta_tb_risk is: 1.0003854887063701</t>
  </si>
  <si>
    <t xml:space="preserve"> delta_reit_risk is: 0.9999856391704954
</t>
  </si>
  <si>
    <t xml:space="preserve"> 0.9999856391704954
</t>
  </si>
  <si>
    <t xml:space="preserve">collateral_ratio_tranche_gold is: 0.7539942951368774
</t>
  </si>
  <si>
    <t xml:space="preserve"> 0.7539942951368774
</t>
  </si>
  <si>
    <t xml:space="preserve">collateral_ratio_tranche_tb is: 0.38822781319645744
</t>
  </si>
  <si>
    <t xml:space="preserve"> 0.38822781319645744
</t>
  </si>
  <si>
    <t xml:space="preserve">collateral_ratio_tranche_reit is: 0.2692057403788634
</t>
  </si>
  <si>
    <t xml:space="preserve"> 0.2692057403788634
</t>
  </si>
  <si>
    <t>Total plot size is: 142238905.21614268</t>
  </si>
  <si>
    <t xml:space="preserve"> plot size of gold is: 76287228.70064625</t>
  </si>
  <si>
    <t xml:space="preserve"> plot size of TB is: 38952174.37121398</t>
  </si>
  <si>
    <t xml:space="preserve"> plot size of REIT is: 26999502.14428245
</t>
  </si>
  <si>
    <t xml:space="preserve"> 26999502.14428245
</t>
  </si>
  <si>
    <t xml:space="preserve">collateral ratio is: 1.4056647414613805
</t>
  </si>
  <si>
    <t xml:space="preserve"> 1.4056647414613805
</t>
  </si>
  <si>
    <t>S_gtbcps_0 is: 1.00036255784863</t>
  </si>
  <si>
    <t xml:space="preserve">stdev_gtbcps is: 0.0065977402811743845
</t>
  </si>
  <si>
    <t xml:space="preserve"> 0.0065977402811743845
</t>
  </si>
  <si>
    <t>predicted price of GTBCPS is: 1.0003742800618898</t>
  </si>
  <si>
    <t xml:space="preserve"> actual price is: 1.00036255784863
</t>
  </si>
  <si>
    <t xml:space="preserve"> 1.00036255784863
</t>
  </si>
  <si>
    <t>predicted amount of GTBCPS is: 101151920.33644964</t>
  </si>
  <si>
    <t xml:space="preserve"> actual amount is: 101153105.63109359
</t>
  </si>
  <si>
    <t>plot sizes of gold is: 76287228.70064625</t>
  </si>
  <si>
    <t xml:space="preserve"> plot sizes of tb is: 38952174.37121398 </t>
  </si>
  <si>
    <t xml:space="preserve"> plot sizes of reit is: 26999502.14428245</t>
  </si>
  <si>
    <t xml:space="preserve"> plot sizes of total is: 142238905.21614268.
</t>
  </si>
  <si>
    <t xml:space="preserve"> 142238905.21614268.
</t>
  </si>
  <si>
    <t>predicted stdevs of gold is: 0.007957593689332755</t>
  </si>
  <si>
    <t xml:space="preserve"> predicted stdevs of tb is: 0.0016645709709253592</t>
  </si>
  <si>
    <t xml:space="preserve"> predicted stdevs of reit is: 0.00987254967415923</t>
  </si>
  <si>
    <t xml:space="preserve"> predicted stdevs of GTBCPS is: 0.0065977402811743845.
</t>
  </si>
  <si>
    <t xml:space="preserve"> 0.0065977402811743845.
</t>
  </si>
  <si>
    <t>total_value_of_collaterals is: 142239317.60091838</t>
  </si>
  <si>
    <t xml:space="preserve"> createdtionValue_gold is: -893.9347880812182</t>
  </si>
  <si>
    <t xml:space="preserve"> createdValue_tb is: -456.4409748663784</t>
  </si>
  <si>
    <t xml:space="preserve"> createdValue_reit is: -316.3795566862962
</t>
  </si>
  <si>
    <t xml:space="preserve"> -316.3795566862962
</t>
  </si>
  <si>
    <t>plotValue_gold_after_creation is: 76288440.60619962</t>
  </si>
  <si>
    <t xml:space="preserve"> plotValue_tb_after_creation  is: 38952696.17605026</t>
  </si>
  <si>
    <t xml:space="preserve"> plotValue_reit_after_creation  is: 26999847.573988132</t>
  </si>
  <si>
    <t xml:space="preserve">total_value_after_creation is: 142240984.356238
</t>
  </si>
  <si>
    <t xml:space="preserve"> 142240984.356238
</t>
  </si>
  <si>
    <t>total_amount_gtncps_before_creation is: 101153105.63109359</t>
  </si>
  <si>
    <t>creation_amount_gtbcps is: -1185.2946439534426</t>
  </si>
  <si>
    <t xml:space="preserve">total_amount_gtbcps_new is: 101151920.33644964
</t>
  </si>
  <si>
    <t xml:space="preserve"> 101151920.33644964
</t>
  </si>
  <si>
    <t>payout of tranche of gold is: 317.97076529413926</t>
  </si>
  <si>
    <t xml:space="preserve"> payout of tranche of Treausry Bill Option is: 65.3638614145326</t>
  </si>
  <si>
    <t xml:space="preserve"> payout of tranche of Collar of REIT is: 29.050148996407696
</t>
  </si>
  <si>
    <t xml:space="preserve"> 29.050148996407696
</t>
  </si>
  <si>
    <t>Collateral size of tranche of gold is: 76288440.60619962</t>
  </si>
  <si>
    <t xml:space="preserve"> collateral size of tranche of Treausry Bill Option is: 38952696.17605026</t>
  </si>
  <si>
    <t xml:space="preserve"> collateral size of tranche of Collar of REIT is: 26999847.573988132
</t>
  </si>
  <si>
    <t xml:space="preserve"> 26999847.573988132
</t>
  </si>
  <si>
    <t>Collateral ratio of tranche of gold is: 0.7539056519427052</t>
  </si>
  <si>
    <t xml:space="preserve"> collateral ratio of tranche of Treausry Bill Option is: 0.3849424312802744</t>
  </si>
  <si>
    <t xml:space="preserve"> collateral ratio of tranche of Collar of REIT is: 0.2668207335983612
</t>
  </si>
  <si>
    <t xml:space="preserve"> 0.2668207335983612
</t>
  </si>
  <si>
    <t xml:space="preserve">date is: 2021-12-15 00:00:00
</t>
  </si>
  <si>
    <t xml:space="preserve"> 2021-12-15 00</t>
  </si>
  <si>
    <t>current price of gold is: 1776.92</t>
  </si>
  <si>
    <t xml:space="preserve"> predicted price of gold is: 1781.5302679989966
</t>
  </si>
  <si>
    <t xml:space="preserve"> 1781.5302679989966
</t>
  </si>
  <si>
    <t>current price of tb is: 96.84375</t>
  </si>
  <si>
    <t xml:space="preserve"> current price of tb option is: 4.385253652134355</t>
  </si>
  <si>
    <t xml:space="preserve"> predicted price of tb is: 96.96245628650601
</t>
  </si>
  <si>
    <t xml:space="preserve"> 96.96245628650601
</t>
  </si>
  <si>
    <t xml:space="preserve"> current price of reit option is: 6.6819037928052865</t>
  </si>
  <si>
    <t xml:space="preserve"> predicted price of reit is: 67.84981854581567
</t>
  </si>
  <si>
    <t xml:space="preserve"> 67.84981854581567
</t>
  </si>
  <si>
    <t>value_ratio_gold_to_total is: 0.28290881604574947</t>
  </si>
  <si>
    <t xml:space="preserve"> risk_ratio_to_gold is: 0.6954072171775466</t>
  </si>
  <si>
    <t xml:space="preserve"> risk_ratio_to_gold_before is: 0.6922351434981413
</t>
  </si>
  <si>
    <t xml:space="preserve"> 0.6922351434981413
</t>
  </si>
  <si>
    <t>value_ratio_tb_to_total is: 0.2763852283718827</t>
  </si>
  <si>
    <t xml:space="preserve"> risk_ratio_tb_to_gold is: 0.23261728576256993</t>
  </si>
  <si>
    <t xml:space="preserve"> risk_ratio_tb_to_gold_before is: 0.23631111101682115
</t>
  </si>
  <si>
    <t xml:space="preserve"> 0.23631111101682115
</t>
  </si>
  <si>
    <t>value_ratio_reit_to_total is: 0.4407059555823679</t>
  </si>
  <si>
    <t xml:space="preserve"> risk_ratio_reit_to_gold is: 0.20538907266825857</t>
  </si>
  <si>
    <t xml:space="preserve"> risk_ratio_reit_to_gold_before is: 0.20828471656078446
</t>
  </si>
  <si>
    <t xml:space="preserve"> 0.20828471656078446
</t>
  </si>
  <si>
    <t>delta_gold is: 1.0034277324448713</t>
  </si>
  <si>
    <t xml:space="preserve"> delta_tb is: 0.9996686148764302</t>
  </si>
  <si>
    <t xml:space="preserve"> delta_reit is: 1.0005225420870578
</t>
  </si>
  <si>
    <t xml:space="preserve"> 1.0005225420870578
</t>
  </si>
  <si>
    <t>delta_gold_risk is: 1.001874487533008</t>
  </si>
  <si>
    <t xml:space="preserve"> delta_tb_risk is: 0.9970122202887804</t>
  </si>
  <si>
    <t xml:space="preserve"> delta_reit_risk is: 0.9976035086326608
</t>
  </si>
  <si>
    <t xml:space="preserve"> 0.9976035086326608
</t>
  </si>
  <si>
    <t xml:space="preserve">collateral_ratio_tranche_gold is: 0.7550744611423371
</t>
  </si>
  <si>
    <t xml:space="preserve"> 0.7550744611423371
</t>
  </si>
  <si>
    <t xml:space="preserve">collateral_ratio_tranche_tb is: 0.3846495787668085
</t>
  </si>
  <si>
    <t xml:space="preserve"> 0.3846495787668085
</t>
  </si>
  <si>
    <t xml:space="preserve">collateral_ratio_tranche_reit is: 0.2666873304427563
</t>
  </si>
  <si>
    <t xml:space="preserve"> 0.2666873304427563
</t>
  </si>
  <si>
    <t>Total plot size is: 142503680.9319384</t>
  </si>
  <si>
    <t xml:space="preserve"> plot size of gold is: 76549936.96923412</t>
  </si>
  <si>
    <t xml:space="preserve"> plot size of TB is: 38939787.83201458</t>
  </si>
  <si>
    <t xml:space="preserve"> plot size of REIT is: 27013956.130689688
</t>
  </si>
  <si>
    <t xml:space="preserve"> 27013956.130689688
</t>
  </si>
  <si>
    <t xml:space="preserve">collateral ratio is: 1.4082813665508642
</t>
  </si>
  <si>
    <t xml:space="preserve"> 1.4082813665508642
</t>
  </si>
  <si>
    <t>S_gtbcps_0 is: 1.0003742800618898</t>
  </si>
  <si>
    <t xml:space="preserve">stdev_gtbcps is: 0.006603834964036503
</t>
  </si>
  <si>
    <t xml:space="preserve"> 0.006603834964036503
</t>
  </si>
  <si>
    <t>predicted price of GTBCPS is: 1.0003787385771452</t>
  </si>
  <si>
    <t xml:space="preserve"> actual price is: 1.0003742800618898
</t>
  </si>
  <si>
    <t xml:space="preserve"> 1.0003742800618898
</t>
  </si>
  <si>
    <t>predicted amount of GTBCPS is: 101151469.51981135</t>
  </si>
  <si>
    <t xml:space="preserve"> actual amount is: 101151920.33644964
</t>
  </si>
  <si>
    <t>plot sizes of gold is: 76549936.96923412</t>
  </si>
  <si>
    <t xml:space="preserve"> plot sizes of tb is: 38939787.83201458 </t>
  </si>
  <si>
    <t xml:space="preserve"> plot sizes of reit is: 27013956.130689688</t>
  </si>
  <si>
    <t xml:space="preserve"> plot sizes of total is: 142503680.93193838.
</t>
  </si>
  <si>
    <t xml:space="preserve"> 142503680.93193838.
</t>
  </si>
  <si>
    <t>predicted stdevs of gold is: 0.00800577561966862</t>
  </si>
  <si>
    <t xml:space="preserve"> predicted stdevs of tb is: 0.001637784475107416</t>
  </si>
  <si>
    <t xml:space="preserve"> predicted stdevs of reit is: 0.009789539536976012</t>
  </si>
  <si>
    <t xml:space="preserve"> predicted stdevs of GTBCPS is: 0.006603834964036503.
</t>
  </si>
  <si>
    <t xml:space="preserve"> 0.006603834964036503.
</t>
  </si>
  <si>
    <t>total_value_of_collaterals is: 142503837.6842432</t>
  </si>
  <si>
    <t xml:space="preserve"> createdtionValue_gold is: -341.1718496998629</t>
  </si>
  <si>
    <t xml:space="preserve"> createdValue_tb is: -173.54883249742275</t>
  </si>
  <si>
    <t xml:space="preserve"> createdValue_reit is: -120.3971401471294
</t>
  </si>
  <si>
    <t xml:space="preserve"> -120.3971401471294
</t>
  </si>
  <si>
    <t>plotValue_gold_after_creation is: 76550386.18963428</t>
  </si>
  <si>
    <t xml:space="preserve"> plotValue_tb_after_creation  is: 38939995.08495558</t>
  </si>
  <si>
    <t xml:space="preserve"> plotValue_reit_after_creation  is: 27014091.527475696</t>
  </si>
  <si>
    <t xml:space="preserve">total_value_after_creation is: 142504472.80206555
</t>
  </si>
  <si>
    <t xml:space="preserve"> 142504472.80206555
</t>
  </si>
  <si>
    <t>total_amount_gtncps_before_creation is: 101151920.33644964</t>
  </si>
  <si>
    <t>creation_amount_gtbcps is: -450.8166382908821</t>
  </si>
  <si>
    <t xml:space="preserve">total_amount_gtbcps_new is: 101151469.51981135
</t>
  </si>
  <si>
    <t xml:space="preserve"> 101151469.51981135
</t>
  </si>
  <si>
    <t>payout of tranche of gold is: 108.04855045398836</t>
  </si>
  <si>
    <t xml:space="preserve"> payout of tranche of Treausry Bill Option is: 33.70410850136101</t>
  </si>
  <si>
    <t xml:space="preserve"> payout of tranche of Collar of REIT is: 14.99964586172999
</t>
  </si>
  <si>
    <t xml:space="preserve"> 14.99964586172999
</t>
  </si>
  <si>
    <t>Collateral size of tranche of gold is: 76550386.18963428</t>
  </si>
  <si>
    <t xml:space="preserve"> collateral size of tranche of Treausry Bill Option is: 38939995.08495558</t>
  </si>
  <si>
    <t xml:space="preserve"> collateral size of tranche of Collar of REIT is: 27014091.527475696
</t>
  </si>
  <si>
    <t xml:space="preserve"> 27014091.527475696
</t>
  </si>
  <si>
    <t>Collateral ratio of tranche of gold is: 0.7564997711088209</t>
  </si>
  <si>
    <t xml:space="preserve"> collateral ratio of tranche of Treausry Bill Option is: 0.384819709410381</t>
  </si>
  <si>
    <t xml:space="preserve"> collateral ratio of tranche of Collar of REIT is: 0.2669634351239285
</t>
  </si>
  <si>
    <t xml:space="preserve"> 0.2669634351239285
</t>
  </si>
  <si>
    <t xml:space="preserve">date is: 2021-12-16 00:00:00
</t>
  </si>
  <si>
    <t xml:space="preserve"> 2021-12-16 00</t>
  </si>
  <si>
    <t>current price of gold is: 1799.35</t>
  </si>
  <si>
    <t xml:space="preserve"> predicted price of gold is: 1789.9535011581108
</t>
  </si>
  <si>
    <t xml:space="preserve"> 1789.9535011581108
</t>
  </si>
  <si>
    <t xml:space="preserve"> current price of tb option is: 4.387216564347795</t>
  </si>
  <si>
    <t xml:space="preserve"> predicted price of tb is: 97.28855124174389
</t>
  </si>
  <si>
    <t xml:space="preserve"> 97.28855124174389
</t>
  </si>
  <si>
    <t xml:space="preserve"> current price of reit option is: 6.690694544621181</t>
  </si>
  <si>
    <t xml:space="preserve"> predicted price of reit is: 68.20983787759391
</t>
  </si>
  <si>
    <t xml:space="preserve"> 68.20983787759391
</t>
  </si>
  <si>
    <t>value_ratio_gold_to_total is: -3.985068785868575</t>
  </si>
  <si>
    <t xml:space="preserve"> risk_ratio_to_gold is: 0.6915994973903522</t>
  </si>
  <si>
    <t xml:space="preserve"> risk_ratio_to_gold_before is: 0.6954072171775466
</t>
  </si>
  <si>
    <t xml:space="preserve"> 0.6954072171775466
</t>
  </si>
  <si>
    <t>value_ratio_tb_to_total is: 1.910107470714664</t>
  </si>
  <si>
    <t xml:space="preserve"> risk_ratio_tb_to_gold is: 0.23710207654229273</t>
  </si>
  <si>
    <t xml:space="preserve"> risk_ratio_tb_to_gold_before is: 0.23261728576256993
</t>
  </si>
  <si>
    <t xml:space="preserve"> 0.23261728576256993
</t>
  </si>
  <si>
    <t>value_ratio_reit_to_total is: 3.0749613151539115</t>
  </si>
  <si>
    <t xml:space="preserve"> risk_ratio_reit_to_gold is: 0.20882147281445387</t>
  </si>
  <si>
    <t xml:space="preserve"> risk_ratio_reit_to_gold_before is: 0.20538907266825857
</t>
  </si>
  <si>
    <t xml:space="preserve"> 0.20538907266825857
</t>
  </si>
  <si>
    <t>delta_gold is: 1.0126229655808927</t>
  </si>
  <si>
    <t xml:space="preserve"> delta_tb is: 1.003260803725262</t>
  </si>
  <si>
    <t xml:space="preserve"> delta_reit is: 1.004171049723105
</t>
  </si>
  <si>
    <t xml:space="preserve"> 1.004171049723105
</t>
  </si>
  <si>
    <t>delta_gold_risk is: 0.997754097217108</t>
  </si>
  <si>
    <t xml:space="preserve"> delta_tb_risk is: 1.0036384292444416</t>
  </si>
  <si>
    <t xml:space="preserve"> delta_reit_risk is: 1.0028475454307857
</t>
  </si>
  <si>
    <t xml:space="preserve"> 1.0028475454307857
</t>
  </si>
  <si>
    <t xml:space="preserve">collateral_ratio_tranche_gold is: 0.7677733860658765
</t>
  </si>
  <si>
    <t xml:space="preserve"> 0.7677733860658765
</t>
  </si>
  <si>
    <t xml:space="preserve">collateral_ratio_tranche_tb is: 0.37987970997548204
</t>
  </si>
  <si>
    <t xml:space="preserve"> 0.37987970997548204
</t>
  </si>
  <si>
    <t xml:space="preserve">collateral_ratio_tranche_reit is: 0.2639835044273194
</t>
  </si>
  <si>
    <t xml:space="preserve"> 0.2639835044273194
</t>
  </si>
  <si>
    <t>Total plot size is: 143710418.4921617</t>
  </si>
  <si>
    <t xml:space="preserve"> plot size of gold is: 77516679.07971008</t>
  </si>
  <si>
    <t xml:space="preserve"> plot size of TB is: 39066970.76599029</t>
  </si>
  <si>
    <t xml:space="preserve"> plot size of REIT is: 27126768.646461304
</t>
  </si>
  <si>
    <t xml:space="preserve"> 27126768.646461304
</t>
  </si>
  <si>
    <t xml:space="preserve">collateral ratio is: 1.4202068551366025
</t>
  </si>
  <si>
    <t xml:space="preserve"> 1.4202068551366025
</t>
  </si>
  <si>
    <t>S_gtbcps_0 is: 1.0003787385771452</t>
  </si>
  <si>
    <t xml:space="preserve">stdev_gtbcps is: 0.006627440929512389
</t>
  </si>
  <si>
    <t xml:space="preserve"> 0.006627440929512389
</t>
  </si>
  <si>
    <t>predicted price of GTBCPS is: 1.0003867524398053</t>
  </si>
  <si>
    <t xml:space="preserve"> actual price is: 1.0003787385771452
</t>
  </si>
  <si>
    <t xml:space="preserve"> 1.0003787385771452
</t>
  </si>
  <si>
    <t>predicted amount of GTBCPS is: 101150659.21921246</t>
  </si>
  <si>
    <t xml:space="preserve"> actual amount is: 101151469.51981135
</t>
  </si>
  <si>
    <t>plot sizes of gold is: 77516679.07971008</t>
  </si>
  <si>
    <t xml:space="preserve"> plot sizes of tb is: 39066970.76599029 </t>
  </si>
  <si>
    <t xml:space="preserve"> plot sizes of reit is: 27126768.646461304</t>
  </si>
  <si>
    <t xml:space="preserve"> plot sizes of total is: 143710418.49216166.
</t>
  </si>
  <si>
    <t xml:space="preserve"> 143710418.49216166.
</t>
  </si>
  <si>
    <t>predicted stdevs of gold is: 0.008013338049657273</t>
  </si>
  <si>
    <t xml:space="preserve"> predicted stdevs of tb is: 0.0016723531313792015</t>
  </si>
  <si>
    <t xml:space="preserve"> predicted stdevs of reit is: 0.009803275433636315</t>
  </si>
  <si>
    <t xml:space="preserve"> predicted stdevs of GTBCPS is: 0.006627440929512389.
</t>
  </si>
  <si>
    <t xml:space="preserve"> 0.006627440929512389.
</t>
  </si>
  <si>
    <t>total_value_of_collaterals is: 143710699.78593934</t>
  </si>
  <si>
    <t xml:space="preserve"> createdtionValue_gold is: -620.9743995653215</t>
  </si>
  <si>
    <t xml:space="preserve"> createdValue_tb is: -312.95928374297876</t>
  </si>
  <si>
    <t xml:space="preserve"> createdValue_reit is: -217.30810791939768
</t>
  </si>
  <si>
    <t xml:space="preserve"> -217.30810791939768
</t>
  </si>
  <si>
    <t>plotValue_gold_after_creation is: 77517495.52732779</t>
  </si>
  <si>
    <t xml:space="preserve"> plotValue_tb_after_creation  is: 39067343.02535467</t>
  </si>
  <si>
    <t xml:space="preserve"> plotValue_reit_after_creation  is: 27127012.47504809</t>
  </si>
  <si>
    <t xml:space="preserve">total_value_after_creation is: 143711851.02773055
</t>
  </si>
  <si>
    <t xml:space="preserve"> 143711851.02773055
</t>
  </si>
  <si>
    <t>total_amount_gtncps_before_creation is: 101151469.51981135</t>
  </si>
  <si>
    <t>creation_amount_gtbcps is: -810.3005988895893</t>
  </si>
  <si>
    <t xml:space="preserve">total_amount_gtbcps_new is: 101150659.21921246
</t>
  </si>
  <si>
    <t xml:space="preserve"> 101150659.21921246
</t>
  </si>
  <si>
    <t>payout of tranche of gold is: 195.47321814362408</t>
  </si>
  <si>
    <t xml:space="preserve"> payout of tranche of Treausry Bill Option is: 59.300080642812226</t>
  </si>
  <si>
    <t xml:space="preserve"> payout of tranche of Collar of REIT is: 26.520478866251512
</t>
  </si>
  <si>
    <t xml:space="preserve"> 26.520478866251512
</t>
  </si>
  <si>
    <t>Collateral size of tranche of gold is: 77517495.52732779</t>
  </si>
  <si>
    <t xml:space="preserve"> collateral size of tranche of Treausry Bill Option is: 39067343.02535467</t>
  </si>
  <si>
    <t xml:space="preserve"> collateral size of tranche of Collar of REIT is: 27127012.47504809
</t>
  </si>
  <si>
    <t xml:space="preserve"> 27127012.47504809
</t>
  </si>
  <si>
    <t>Collateral ratio of tranche of gold is: 0.766054387593599</t>
  </si>
  <si>
    <t xml:space="preserve"> collateral ratio of tranche of Treausry Bill Option is: 0.3860768376559135</t>
  </si>
  <si>
    <t xml:space="preserve"> collateral ratio of tranche of Collar of REIT is: 0.2680784097506207
</t>
  </si>
  <si>
    <t xml:space="preserve"> 0.2680784097506207
</t>
  </si>
  <si>
    <t xml:space="preserve">date is: 2021-12-17 00:00:00
</t>
  </si>
  <si>
    <t xml:space="preserve"> 2021-12-17 00</t>
  </si>
  <si>
    <t>current price of gold is: 1798.11</t>
  </si>
  <si>
    <t xml:space="preserve"> predicted price of gold is: 1790.6546775641468
</t>
  </si>
  <si>
    <t xml:space="preserve"> 1790.6546775641468
</t>
  </si>
  <si>
    <t>current price of tb is: 97.12890625</t>
  </si>
  <si>
    <t xml:space="preserve"> current price of tb option is: 4.389616300096975</t>
  </si>
  <si>
    <t xml:space="preserve"> predicted price of tb is: 97.24309979041054
</t>
  </si>
  <si>
    <t xml:space="preserve"> 97.24309979041054
</t>
  </si>
  <si>
    <t xml:space="preserve"> current price of reit option is: 6.733972669475378</t>
  </si>
  <si>
    <t xml:space="preserve"> predicted price of reit is: 67.24620968280175
</t>
  </si>
  <si>
    <t xml:space="preserve"> 67.24620968280175
</t>
  </si>
  <si>
    <t>value_ratio_gold_to_total is: -1.742439323290901</t>
  </si>
  <si>
    <t xml:space="preserve"> risk_ratio_to_gold is: 0.6963034093424272</t>
  </si>
  <si>
    <t xml:space="preserve"> risk_ratio_to_gold_before is: 0.6915994973903522
</t>
  </si>
  <si>
    <t xml:space="preserve"> 0.6915994973903522
</t>
  </si>
  <si>
    <t>value_ratio_tb_to_total is: 1.0526191775402198</t>
  </si>
  <si>
    <t xml:space="preserve"> risk_ratio_tb_to_gold is: 0.23312694607319984</t>
  </si>
  <si>
    <t xml:space="preserve"> risk_ratio_tb_to_gold_before is: 0.23710207654229273
</t>
  </si>
  <si>
    <t xml:space="preserve"> 0.23710207654229273
</t>
  </si>
  <si>
    <t>value_ratio_reit_to_total is: 1.6898201457506812</t>
  </si>
  <si>
    <t xml:space="preserve"> risk_ratio_reit_to_gold is: 0.20302859558123054</t>
  </si>
  <si>
    <t xml:space="preserve"> risk_ratio_reit_to_gold_before is: 0.20882147281445387
</t>
  </si>
  <si>
    <t xml:space="preserve"> 0.20882147281445387
</t>
  </si>
  <si>
    <t>delta_gold is: 0.9993108622558146</t>
  </si>
  <si>
    <t xml:space="preserve"> delta_tb is: 0.9996005378383568</t>
  </si>
  <si>
    <t xml:space="preserve"> delta_reit is: 0.9884757348529803
</t>
  </si>
  <si>
    <t xml:space="preserve"> 0.9884757348529803
</t>
  </si>
  <si>
    <t>delta_gold_risk is: 1.0027807480194526</t>
  </si>
  <si>
    <t xml:space="preserve"> delta_tb_risk is: 0.9967867401207479</t>
  </si>
  <si>
    <t xml:space="preserve"> delta_reit_risk is: 0.9952078306321478
</t>
  </si>
  <si>
    <t xml:space="preserve"> 0.9952078306321478
</t>
  </si>
  <si>
    <t xml:space="preserve">collateral_ratio_tranche_gold is: 0.7634036374481326
</t>
  </si>
  <si>
    <t xml:space="preserve"> 0.7634036374481326
</t>
  </si>
  <si>
    <t xml:space="preserve">collateral_ratio_tranche_tb is: 0.3874336769029006
</t>
  </si>
  <si>
    <t xml:space="preserve"> 0.3874336769029006
</t>
  </si>
  <si>
    <t xml:space="preserve">collateral_ratio_tranche_reit is: 0.26644860979919643
</t>
  </si>
  <si>
    <t xml:space="preserve"> 0.26644860979919643
</t>
  </si>
  <si>
    <t>Total plot size is: 143330205.98602444</t>
  </si>
  <si>
    <t xml:space="preserve"> plot size of gold is: 77464075.29532519</t>
  </si>
  <si>
    <t xml:space="preserve"> plot size of TB is: 39051737.100060105</t>
  </si>
  <si>
    <t xml:space="preserve"> plot size of REIT is: 26814393.590639126
</t>
  </si>
  <si>
    <t xml:space="preserve"> 26814393.590639126
</t>
  </si>
  <si>
    <t xml:space="preserve">collateral ratio is: 1.4164494350880747
</t>
  </si>
  <si>
    <t xml:space="preserve"> 1.4164494350880747
</t>
  </si>
  <si>
    <t>S_gtbcps_0 is: 1.0003867524398053</t>
  </si>
  <si>
    <t xml:space="preserve">stdev_gtbcps is: 0.006679539042024753
</t>
  </si>
  <si>
    <t xml:space="preserve"> 0.006679539042024753
</t>
  </si>
  <si>
    <t>predicted price of GTBCPS is: 1.0003614269163617</t>
  </si>
  <si>
    <t xml:space="preserve"> actual price is: 1.0003867524398053
</t>
  </si>
  <si>
    <t xml:space="preserve"> 1.0003867524398053
</t>
  </si>
  <si>
    <t>predicted amount of GTBCPS is: 101153219.9870734</t>
  </si>
  <si>
    <t xml:space="preserve"> actual amount is: 101150659.21921246
</t>
  </si>
  <si>
    <t>plot sizes of gold is: 77464075.29532519</t>
  </si>
  <si>
    <t xml:space="preserve"> plot sizes of tb is: 39051737.100060105 </t>
  </si>
  <si>
    <t xml:space="preserve"> plot sizes of reit is: 26814393.590639126</t>
  </si>
  <si>
    <t xml:space="preserve"> plot sizes of total is: 143330205.9860244.
</t>
  </si>
  <si>
    <t xml:space="preserve"> 143330205.9860244.
</t>
  </si>
  <si>
    <t>predicted stdevs of gold is: 0.008107072915922458</t>
  </si>
  <si>
    <t xml:space="preserve"> predicted stdevs of tb is: 0.0016613899267272948</t>
  </si>
  <si>
    <t xml:space="preserve"> predicted stdevs of reit is: 0.009863830650061124</t>
  </si>
  <si>
    <t xml:space="preserve"> predicted stdevs of GTBCPS is: 0.006679539042024753.
</t>
  </si>
  <si>
    <t xml:space="preserve"> 0.006679539042024753.
</t>
  </si>
  <si>
    <t>total_value_of_collaterals is: 143329313.62762263</t>
  </si>
  <si>
    <t xml:space="preserve"> createdtionValue_gold is: 1961.0435904035285</t>
  </si>
  <si>
    <t xml:space="preserve"> createdValue_tb is: 988.618500683923</t>
  </si>
  <si>
    <t xml:space="preserve"> createdValue_reit is: 678.8244752957556
</t>
  </si>
  <si>
    <t xml:space="preserve"> 678.8244752957556
</t>
  </si>
  <si>
    <t>plotValue_gold_after_creation is: 77461473.54934946</t>
  </si>
  <si>
    <t xml:space="preserve"> plotValue_tb_after_creation  is: 39050557.680549674</t>
  </si>
  <si>
    <t xml:space="preserve"> plotValue_reit_after_creation  is: 26813653.91115713</t>
  </si>
  <si>
    <t xml:space="preserve">total_value_after_creation is: 143325685.14105627
</t>
  </si>
  <si>
    <t xml:space="preserve"> 143325685.14105627
</t>
  </si>
  <si>
    <t>total_amount_gtncps_before_creation is: 101150659.21921246</t>
  </si>
  <si>
    <t>creation_amount_gtbcps is: 2560.7678609490395</t>
  </si>
  <si>
    <t xml:space="preserve">total_amount_gtbcps_new is: 101153219.9870734
</t>
  </si>
  <si>
    <t xml:space="preserve"> 101153219.9870734
</t>
  </si>
  <si>
    <t>payout of tranche of gold is: -640.7023853322953</t>
  </si>
  <si>
    <t xml:space="preserve"> payout of tranche of Treausry Bill Option is: -190.80100974589863</t>
  </si>
  <si>
    <t xml:space="preserve"> payout of tranche of Collar of REIT is: -60.855006697092634
</t>
  </si>
  <si>
    <t xml:space="preserve"> -60.855006697092634
</t>
  </si>
  <si>
    <t>Collateral size of tranche of gold is: 77461473.54934946</t>
  </si>
  <si>
    <t xml:space="preserve"> collateral size of tranche of Treausry Bill Option is: 39050557.680549674</t>
  </si>
  <si>
    <t xml:space="preserve"> collateral size of tranche of Collar of REIT is: 26813653.91115713
</t>
  </si>
  <si>
    <t xml:space="preserve"> 26813653.91115713
</t>
  </si>
  <si>
    <t>Collateral ratio of tranche of gold is: 0.7655262714116965</t>
  </si>
  <si>
    <t xml:space="preserve"> collateral ratio of tranche of Treausry Bill Option is: 0.38592382055181856</t>
  </si>
  <si>
    <t xml:space="preserve"> collateral ratio of tranche of Collar of REIT is: 0.26499052446316596
</t>
  </si>
  <si>
    <t xml:space="preserve"> 0.26499052446316596
</t>
  </si>
  <si>
    <t xml:space="preserve">date is: 2021-12-20 00:00:00
</t>
  </si>
  <si>
    <t xml:space="preserve"> 2021-12-20 00</t>
  </si>
  <si>
    <t>current price of gold is: 1790.93</t>
  </si>
  <si>
    <t xml:space="preserve"> predicted price of gold is: 1795.3904162290048
</t>
  </si>
  <si>
    <t xml:space="preserve"> 1795.3904162290048
</t>
  </si>
  <si>
    <t>current price of tb is: 97.1640625</t>
  </si>
  <si>
    <t xml:space="preserve"> current price of tb option is: 4.388009221878589</t>
  </si>
  <si>
    <t xml:space="preserve"> predicted price of tb is: 97.27991869174976
</t>
  </si>
  <si>
    <t xml:space="preserve"> 97.27991869174976
</t>
  </si>
  <si>
    <t>current price of reit is: 66.0</t>
  </si>
  <si>
    <t xml:space="preserve"> current price of reit option is: 6.749752149689485</t>
  </si>
  <si>
    <t xml:space="preserve"> predicted price of reit is: 66.50307584808054
</t>
  </si>
  <si>
    <t xml:space="preserve"> 66.50307584808054
</t>
  </si>
  <si>
    <t>value_ratio_gold_to_total is: 0.2750438473877071</t>
  </si>
  <si>
    <t xml:space="preserve"> risk_ratio_to_gold is: 0.6973197974907303</t>
  </si>
  <si>
    <t xml:space="preserve"> risk_ratio_to_gold_before is: 0.6963034093424272
</t>
  </si>
  <si>
    <t xml:space="preserve"> 0.6963034093424272
</t>
  </si>
  <si>
    <t>value_ratio_tb_to_total is: 0.2777230661626328</t>
  </si>
  <si>
    <t xml:space="preserve"> risk_ratio_tb_to_gold is: 0.2330283359609538</t>
  </si>
  <si>
    <t xml:space="preserve"> risk_ratio_tb_to_gold_before is: 0.23312694607319984
</t>
  </si>
  <si>
    <t xml:space="preserve"> 0.23312694607319984
</t>
  </si>
  <si>
    <t>value_ratio_reit_to_total is: 0.44723308644966014</t>
  </si>
  <si>
    <t xml:space="preserve"> risk_ratio_reit_to_gold is: 0.2010339172526349</t>
  </si>
  <si>
    <t xml:space="preserve"> risk_ratio_reit_to_gold_before is: 0.20302859558123054
</t>
  </si>
  <si>
    <t xml:space="preserve"> 0.20302859558123054
</t>
  </si>
  <si>
    <t>delta_gold is: 0.9960069183754053</t>
  </si>
  <si>
    <t xml:space="preserve"> delta_tb is: 1.0003304734046445</t>
  </si>
  <si>
    <t xml:space="preserve"> delta_reit is: 0.9900084264212503
</t>
  </si>
  <si>
    <t xml:space="preserve"> 0.9900084264212503
</t>
  </si>
  <si>
    <t>delta_gold_risk is: 1.000599178273595</t>
  </si>
  <si>
    <t xml:space="preserve"> delta_tb_risk is: 0.999920032473088</t>
  </si>
  <si>
    <t xml:space="preserve"> delta_reit_risk is: 0.9983419526884714
</t>
  </si>
  <si>
    <t xml:space="preserve"> 0.9983419526884714
</t>
  </si>
  <si>
    <t xml:space="preserve">collateral_ratio_tranche_gold is: 0.7620128809617062
</t>
  </si>
  <si>
    <t xml:space="preserve"> 0.7620128809617062
</t>
  </si>
  <si>
    <t xml:space="preserve">collateral_ratio_tranche_tb is: 0.38763007066432964
</t>
  </si>
  <si>
    <t xml:space="preserve"> 0.38763007066432964
</t>
  </si>
  <si>
    <t xml:space="preserve">collateral_ratio_tranche_reit is: 0.263832054339176
</t>
  </si>
  <si>
    <t xml:space="preserve"> 0.263832054339176
</t>
  </si>
  <si>
    <t>Total plot size is: 142761369.72919384</t>
  </si>
  <si>
    <t xml:space="preserve"> plot size of gold is: 77152163.56270552</t>
  </si>
  <si>
    <t xml:space="preserve"> plot size of TB is: 39063462.851299636</t>
  </si>
  <si>
    <t xml:space="preserve"> plot size of REIT is: 26545743.315188676
</t>
  </si>
  <si>
    <t xml:space="preserve"> 26545743.315188676
</t>
  </si>
  <si>
    <t xml:space="preserve">collateral ratio is: 1.4108279557278633
</t>
  </si>
  <si>
    <t xml:space="preserve"> 1.4108279557278633
</t>
  </si>
  <si>
    <t>S_gtbcps_0 is: 1.0003614269163617</t>
  </si>
  <si>
    <t xml:space="preserve">stdev_gtbcps is: 0.006663047236408637
</t>
  </si>
  <si>
    <t xml:space="preserve"> 0.006663047236408637
</t>
  </si>
  <si>
    <t>predicted price of GTBCPS is: 1.0003732384310975</t>
  </si>
  <si>
    <t xml:space="preserve"> actual price is: 1.0003614269163617
</t>
  </si>
  <si>
    <t xml:space="preserve"> 1.0003614269163617
</t>
  </si>
  <si>
    <t>predicted amount of GTBCPS is: 101152025.66009368</t>
  </si>
  <si>
    <t xml:space="preserve"> actual amount is: 101153219.9870734
</t>
  </si>
  <si>
    <t>plot sizes of gold is: 77152163.56270552</t>
  </si>
  <si>
    <t xml:space="preserve"> plot sizes of tb is: 39063462.851299636 </t>
  </si>
  <si>
    <t xml:space="preserve"> plot sizes of reit is: 26545743.315188676</t>
  </si>
  <si>
    <t xml:space="preserve"> plot sizes of total is: 142761369.72919384.
</t>
  </si>
  <si>
    <t xml:space="preserve"> 142761369.72919384.
</t>
  </si>
  <si>
    <t>predicted stdevs of gold is: 0.008105302523590313</t>
  </si>
  <si>
    <t xml:space="preserve"> predicted stdevs of tb is: 0.001659678163892844</t>
  </si>
  <si>
    <t xml:space="preserve"> predicted stdevs of reit is: 0.00983401913500233</t>
  </si>
  <si>
    <t xml:space="preserve"> predicted stdevs of GTBCPS is: 0.006663047236408637.
</t>
  </si>
  <si>
    <t xml:space="preserve"> 0.006663047236408637.
</t>
  </si>
  <si>
    <t>total_value_of_collaterals is: 142761785.98889527</t>
  </si>
  <si>
    <t xml:space="preserve"> createdtionValue_gold is: -910.9583528379922</t>
  </si>
  <si>
    <t xml:space="preserve"> createdValue_tb is: -461.2327111688313</t>
  </si>
  <si>
    <t xml:space="preserve"> createdValue_reit is: -313.4326451360856
</t>
  </si>
  <si>
    <t xml:space="preserve"> -313.4326451360856
</t>
  </si>
  <si>
    <t>plotValue_gold_after_creation is: 77153386.15626083</t>
  </si>
  <si>
    <t xml:space="preserve"> plotValue_tb_after_creation  is: 39063987.24139767</t>
  </si>
  <si>
    <t xml:space="preserve"> plotValue_reit_after_creation  is: 26546098.2149459</t>
  </si>
  <si>
    <t xml:space="preserve">total_value_after_creation is: 142763471.6126044
</t>
  </si>
  <si>
    <t xml:space="preserve"> 142763471.6126044
</t>
  </si>
  <si>
    <t>total_amount_gtncps_before_creation is: 101153219.9870734</t>
  </si>
  <si>
    <t>creation_amount_gtbcps is: -1194.326979726553</t>
  </si>
  <si>
    <t xml:space="preserve">total_amount_gtbcps_new is: 101152025.66009368
</t>
  </si>
  <si>
    <t xml:space="preserve"> 101152025.66009368
</t>
  </si>
  <si>
    <t>payout of tranche of gold is: 311.6352024799375</t>
  </si>
  <si>
    <t xml:space="preserve"> payout of tranche of Treausry Bill Option is: 63.15738687182747</t>
  </si>
  <si>
    <t xml:space="preserve"> payout of tranche of Collar of REIT is: 41.46711208863413
</t>
  </si>
  <si>
    <t xml:space="preserve"> 41.46711208863413
</t>
  </si>
  <si>
    <t>Collateral size of tranche of gold is: 77153386.15626083</t>
  </si>
  <si>
    <t xml:space="preserve"> collateral size of tranche of Treausry Bill Option is: 39063987.24139767</t>
  </si>
  <si>
    <t xml:space="preserve"> collateral size of tranche of Collar of REIT is: 26546098.2149459
</t>
  </si>
  <si>
    <t xml:space="preserve"> 26546098.2149459
</t>
  </si>
  <si>
    <t>Collateral ratio of tranche of gold is: 0.7624532397614723</t>
  </si>
  <si>
    <t xml:space="preserve"> collateral ratio of tranche of Treausry Bill Option is: 0.3860422090856932</t>
  </si>
  <si>
    <t xml:space="preserve"> collateral ratio of tranche of Collar of REIT is: 0.2623366205343055
</t>
  </si>
  <si>
    <t xml:space="preserve"> 0.2623366205343055
</t>
  </si>
  <si>
    <t xml:space="preserve">date is: 2021-12-21 00:00:00
</t>
  </si>
  <si>
    <t xml:space="preserve"> 2021-12-21 00</t>
  </si>
  <si>
    <t>current price of gold is: 1789.27</t>
  </si>
  <si>
    <t xml:space="preserve"> predicted price of gold is: 1790.3359095152216
</t>
  </si>
  <si>
    <t xml:space="preserve"> 1790.3359095152216
</t>
  </si>
  <si>
    <t xml:space="preserve"> current price of tb option is: 4.384305127493611</t>
  </si>
  <si>
    <t xml:space="preserve"> predicted price of tb is: 97.10406285483894
</t>
  </si>
  <si>
    <t xml:space="preserve"> 97.10406285483894
</t>
  </si>
  <si>
    <t>current price of reit is: 66.2</t>
  </si>
  <si>
    <t xml:space="preserve"> current price of reit option is: 6.709333626244529</t>
  </si>
  <si>
    <t xml:space="preserve"> predicted price of reit is: 66.69252486990054
</t>
  </si>
  <si>
    <t xml:space="preserve"> 66.69252486990054
</t>
  </si>
  <si>
    <t>value_ratio_gold_to_total is: 0.08345830428141202</t>
  </si>
  <si>
    <t xml:space="preserve"> risk_ratio_to_gold is: 0.6954138617475228</t>
  </si>
  <si>
    <t xml:space="preserve"> risk_ratio_to_gold_before is: 0.6973197974907303
</t>
  </si>
  <si>
    <t xml:space="preserve"> 0.6973197974907303
</t>
  </si>
  <si>
    <t>value_ratio_tb_to_total is: 0.35265246386575266</t>
  </si>
  <si>
    <t xml:space="preserve"> risk_ratio_tb_to_gold is: 0.2342343123834224</t>
  </si>
  <si>
    <t xml:space="preserve"> risk_ratio_tb_to_gold_before is: 0.2330283359609538
</t>
  </si>
  <si>
    <t xml:space="preserve"> 0.2330283359609538
</t>
  </si>
  <si>
    <t>value_ratio_reit_to_total is: 0.5638892318528353</t>
  </si>
  <si>
    <t xml:space="preserve"> risk_ratio_reit_to_gold is: 0.2037583061230235</t>
  </si>
  <si>
    <t xml:space="preserve"> risk_ratio_reit_to_gold_before is: 0.2010339172526349
</t>
  </si>
  <si>
    <t xml:space="preserve"> 0.2010339172526349
</t>
  </si>
  <si>
    <t>delta_gold is: 0.9990731072682907</t>
  </si>
  <si>
    <t xml:space="preserve"> delta_tb is: 0.9981941127219222</t>
  </si>
  <si>
    <t xml:space="preserve"> delta_reit is: 1.002193567288404
</t>
  </si>
  <si>
    <t xml:space="preserve"> 1.002193567288404
</t>
  </si>
  <si>
    <t>delta_gold_risk is: 0.998877090960687</t>
  </si>
  <si>
    <t xml:space="preserve"> delta_tb_risk is: 1.0009780605905776</t>
  </si>
  <si>
    <t xml:space="preserve"> delta_reit_risk is: 1.0022683696365715
</t>
  </si>
  <si>
    <t xml:space="preserve"> 1.0022683696365715
</t>
  </si>
  <si>
    <t xml:space="preserve">collateral_ratio_tranche_gold is: 0.7626028610413385
</t>
  </si>
  <si>
    <t xml:space="preserve"> 0.7626028610413385
</t>
  </si>
  <si>
    <t xml:space="preserve">collateral_ratio_tranche_tb is: 0.385325693400608
</t>
  </si>
  <si>
    <t xml:space="preserve"> 0.385325693400608
</t>
  </si>
  <si>
    <t xml:space="preserve">collateral_ratio_tranche_reit is: 0.26256040688422505
</t>
  </si>
  <si>
    <t xml:space="preserve"> 0.26256040688422505
</t>
  </si>
  <si>
    <t>Total plot size is: 142679644.19483823</t>
  </si>
  <si>
    <t xml:space="preserve"> plot size of gold is: 77081873.24340583</t>
  </si>
  <si>
    <t xml:space="preserve"> plot size of TB is: 38993442.08380744</t>
  </si>
  <si>
    <t xml:space="preserve"> plot size of REIT is: 26604328.867624965
</t>
  </si>
  <si>
    <t xml:space="preserve"> 26604328.867624965
</t>
  </si>
  <si>
    <t xml:space="preserve">collateral ratio is: 1.4100203095923267
</t>
  </si>
  <si>
    <t xml:space="preserve"> 1.4100203095923267
</t>
  </si>
  <si>
    <t>S_gtbcps_0 is: 1.0003732384310975</t>
  </si>
  <si>
    <t xml:space="preserve">stdev_gtbcps is: 0.0066702776413652305
</t>
  </si>
  <si>
    <t xml:space="preserve"> 0.0066702776413652305
</t>
  </si>
  <si>
    <t>predicted price of GTBCPS is: 1.0003986351207632</t>
  </si>
  <si>
    <t xml:space="preserve"> actual price is: 1.0003732384310975
</t>
  </si>
  <si>
    <t xml:space="preserve"> 1.0003732384310975
</t>
  </si>
  <si>
    <t>predicted amount of GTBCPS is: 101149457.75714524</t>
  </si>
  <si>
    <t xml:space="preserve"> actual amount is: 101152025.66009368
</t>
  </si>
  <si>
    <t>plot sizes of gold is: 77081873.24340583</t>
  </si>
  <si>
    <t xml:space="preserve"> plot sizes of tb is: 38993442.08380744 </t>
  </si>
  <si>
    <t xml:space="preserve"> plot sizes of reit is: 26604328.867624965</t>
  </si>
  <si>
    <t xml:space="preserve"> plot sizes of total is: 142679644.19483823.
</t>
  </si>
  <si>
    <t xml:space="preserve"> 142679644.19483823.
</t>
  </si>
  <si>
    <t>predicted stdevs of gold is: 0.008110910034394635</t>
  </si>
  <si>
    <t xml:space="preserve"> predicted stdevs of tb is: 0.0016671572601570654</t>
  </si>
  <si>
    <t xml:space="preserve"> predicted stdevs of reit is: 0.009829246308881285</t>
  </si>
  <si>
    <t xml:space="preserve"> predicted stdevs of GTBCPS is: 0.0066702776413652305.
</t>
  </si>
  <si>
    <t xml:space="preserve"> 0.0066702776413652305.
</t>
  </si>
  <si>
    <t>total_value_of_collaterals is: 142680538.30554146</t>
  </si>
  <si>
    <t xml:space="preserve"> createdtionValue_gold is: -1956.9103266687669</t>
  </si>
  <si>
    <t xml:space="preserve"> createdValue_tb is: -989.9397349039983</t>
  </si>
  <si>
    <t xml:space="preserve"> createdValue_reit is: -675.4113239441431
</t>
  </si>
  <si>
    <t xml:space="preserve"> -675.4113239441431
</t>
  </si>
  <si>
    <t>plotValue_gold_after_creation is: 77084472.25313593</t>
  </si>
  <si>
    <t xml:space="preserve"> plotValue_tb_after_creation  is: 38994623.814666145</t>
  </si>
  <si>
    <t xml:space="preserve"> plotValue_reit_after_creation  is: 26605064.499124896</t>
  </si>
  <si>
    <t xml:space="preserve">total_value_after_creation is: 142684160.56692696
</t>
  </si>
  <si>
    <t xml:space="preserve"> 142684160.56692696
</t>
  </si>
  <si>
    <t>total_amount_gtncps_before_creation is: 101152025.66009368</t>
  </si>
  <si>
    <t>creation_amount_gtbcps is: -2567.9029484391212</t>
  </si>
  <si>
    <t xml:space="preserve">total_amount_gtbcps_new is: 101149457.75714524
</t>
  </si>
  <si>
    <t xml:space="preserve"> 101149457.75714524
</t>
  </si>
  <si>
    <t>payout of tranche of gold is: 642.0994034194117</t>
  </si>
  <si>
    <t xml:space="preserve"> payout of tranche of Treausry Bill Option is: 191.79112380251073</t>
  </si>
  <si>
    <t xml:space="preserve"> payout of tranche of Collar of REIT is: 60.220175986948526
</t>
  </si>
  <si>
    <t xml:space="preserve"> 60.220175986948526
</t>
  </si>
  <si>
    <t>Collateral size of tranche of gold is: 77084472.25313593</t>
  </si>
  <si>
    <t xml:space="preserve"> collateral size of tranche of Treausry Bill Option is: 38994623.814666145</t>
  </si>
  <si>
    <t xml:space="preserve"> collateral size of tranche of Collar of REIT is: 26605064.499124896
</t>
  </si>
  <si>
    <t xml:space="preserve"> 26605064.499124896
</t>
  </si>
  <si>
    <t>Collateral ratio of tranche of gold is: 0.7617618670214993</t>
  </si>
  <si>
    <t xml:space="preserve"> collateral ratio of tranche of Treausry Bill Option is: 0.3853515055965459</t>
  </si>
  <si>
    <t xml:space="preserve"> collateral ratio of tranche of Collar of REIT is: 0.2629157729526559
</t>
  </si>
  <si>
    <t xml:space="preserve"> 0.2629157729526559
</t>
  </si>
  <si>
    <t xml:space="preserve">date is: 2021-12-22 00:00:00
</t>
  </si>
  <si>
    <t xml:space="preserve"> 2021-12-22 00</t>
  </si>
  <si>
    <t>current price of gold is: 1803.67</t>
  </si>
  <si>
    <t xml:space="preserve"> predicted price of gold is: 1805.1771697424388
</t>
  </si>
  <si>
    <t xml:space="preserve"> 1805.1771697424388
</t>
  </si>
  <si>
    <t xml:space="preserve"> current price of tb option is: 4.385869488141444</t>
  </si>
  <si>
    <t xml:space="preserve"> predicted price of tb is: 97.10244446727798
</t>
  </si>
  <si>
    <t xml:space="preserve"> 97.10244446727798
</t>
  </si>
  <si>
    <t>current price of reit is: 66.45</t>
  </si>
  <si>
    <t xml:space="preserve"> current price of reit option is: 6.7130205583083296</t>
  </si>
  <si>
    <t xml:space="preserve"> predicted price of reit is: 67.04159482737104
</t>
  </si>
  <si>
    <t xml:space="preserve"> 67.04159482737104
</t>
  </si>
  <si>
    <t>value_ratio_gold_to_total is: 0.11318721633035626</t>
  </si>
  <si>
    <t xml:space="preserve"> risk_ratio_to_gold is: 0.6957846505276196</t>
  </si>
  <si>
    <t xml:space="preserve"> risk_ratio_to_gold_before is: 0.6954138617475228
</t>
  </si>
  <si>
    <t xml:space="preserve"> 0.6954138617475228
</t>
  </si>
  <si>
    <t>value_ratio_tb_to_total is: 0.33824213592618174</t>
  </si>
  <si>
    <t xml:space="preserve"> risk_ratio_tb_to_gold is: 0.23383337121627004</t>
  </si>
  <si>
    <t xml:space="preserve"> risk_ratio_tb_to_gold_before is: 0.2342343123834224
</t>
  </si>
  <si>
    <t xml:space="preserve"> 0.2342343123834224
</t>
  </si>
  <si>
    <t>value_ratio_reit_to_total is: 0.548570647743462</t>
  </si>
  <si>
    <t xml:space="preserve"> risk_ratio_reit_to_gold is: 0.20339293040117906</t>
  </si>
  <si>
    <t xml:space="preserve"> risk_ratio_reit_to_gold_before is: 0.2037583061230235
</t>
  </si>
  <si>
    <t xml:space="preserve"> 0.2037583061230235
</t>
  </si>
  <si>
    <t>delta_gold is: 1.008047974872434</t>
  </si>
  <si>
    <t xml:space="preserve"> delta_tb is: 1.0000154323864714</t>
  </si>
  <si>
    <t xml:space="preserve"> delta_reit is: 1.0034794849911024
</t>
  </si>
  <si>
    <t xml:space="preserve"> 1.0034794849911024
</t>
  </si>
  <si>
    <t>delta_gold_risk is: 1.0002187010431272</t>
  </si>
  <si>
    <t xml:space="preserve"> delta_tb_risk is: 0.9996751498778396</t>
  </si>
  <si>
    <t xml:space="preserve"> delta_reit_risk is: 0.9996964708613133
</t>
  </si>
  <si>
    <t xml:space="preserve"> 0.9996964708613133
</t>
  </si>
  <si>
    <t xml:space="preserve">collateral_ratio_tranche_gold is: 0.7677246052140722
</t>
  </si>
  <si>
    <t xml:space="preserve"> 0.7677246052140722
</t>
  </si>
  <si>
    <t xml:space="preserve">collateral_ratio_tranche_tb is: 0.3824050900288438
</t>
  </si>
  <si>
    <t xml:space="preserve"> 0.3824050900288438
</t>
  </si>
  <si>
    <t xml:space="preserve">collateral_ratio_tranche_reit is: 0.2618036994281897
</t>
  </si>
  <si>
    <t xml:space="preserve"> 0.2618036994281897
</t>
  </si>
  <si>
    <t>Total plot size is: 143397708.1653921</t>
  </si>
  <si>
    <t xml:space="preserve"> plot size of gold is: 77704846.14888401</t>
  </si>
  <si>
    <t xml:space="preserve"> plot size of TB is: 38995225.59477116</t>
  </si>
  <si>
    <t xml:space="preserve"> plot size of REIT is: 26697636.42173691
</t>
  </si>
  <si>
    <t xml:space="preserve"> 26697636.42173691
</t>
  </si>
  <si>
    <t xml:space="preserve">collateral ratio is: 1.4171165200418345
</t>
  </si>
  <si>
    <t xml:space="preserve"> 1.4171165200418345
</t>
  </si>
  <si>
    <t>S_gtbcps_0 is: 1.0003986351207632</t>
  </si>
  <si>
    <t xml:space="preserve">stdev_gtbcps is: 0.006678622965853227
</t>
  </si>
  <si>
    <t xml:space="preserve"> 0.006678622965853227
</t>
  </si>
  <si>
    <t>predicted price of GTBCPS is: 1.0004300212400123</t>
  </si>
  <si>
    <t xml:space="preserve"> actual price is: 1.0003986351207632
</t>
  </si>
  <si>
    <t xml:space="preserve"> 1.0003986351207632
</t>
  </si>
  <si>
    <t>predicted amount of GTBCPS is: 101146284.43279897</t>
  </si>
  <si>
    <t xml:space="preserve"> actual amount is: 101149457.75714524
</t>
  </si>
  <si>
    <t>plot sizes of gold is: 77704846.14888401</t>
  </si>
  <si>
    <t xml:space="preserve"> plot sizes of tb is: 38995225.59477116 </t>
  </si>
  <si>
    <t xml:space="preserve"> plot sizes of reit is: 26697636.42173691</t>
  </si>
  <si>
    <t xml:space="preserve"> plot sizes of total is: 143397708.1653921.
</t>
  </si>
  <si>
    <t xml:space="preserve"> 143397708.1653921.
</t>
  </si>
  <si>
    <t>predicted stdevs of gold is: 0.008107537814821018</t>
  </si>
  <si>
    <t xml:space="preserve"> predicted stdevs of tb is: 0.0016670138242269488</t>
  </si>
  <si>
    <t xml:space="preserve"> predicted stdevs of reit is: 0.009839772486300014</t>
  </si>
  <si>
    <t xml:space="preserve"> predicted stdevs of GTBCPS is: 0.006678622965853227.
</t>
  </si>
  <si>
    <t xml:space="preserve"> 0.006678622965853227.
</t>
  </si>
  <si>
    <t>total_value_of_collaterals is: 143398812.7709366</t>
  </si>
  <si>
    <t xml:space="preserve"> createdtionValue_gold is: -2437.905877056265</t>
  </si>
  <si>
    <t xml:space="preserve"> createdValue_tb is: -1223.42843756073</t>
  </si>
  <si>
    <t xml:space="preserve"> createdValue_reit is: -837.6044881736632
</t>
  </si>
  <si>
    <t xml:space="preserve"> -837.6044881736632
</t>
  </si>
  <si>
    <t>plotValue_gold_after_creation is: 77708053.3279645</t>
  </si>
  <si>
    <t xml:space="preserve"> plotValue_tb_after_creation  is: 38996682.8349064</t>
  </si>
  <si>
    <t xml:space="preserve"> plotValue_reit_after_creation  is: 26698575.54686851</t>
  </si>
  <si>
    <t xml:space="preserve">total_value_after_creation is: 143403311.70973942
</t>
  </si>
  <si>
    <t xml:space="preserve"> 143403311.70973942
</t>
  </si>
  <si>
    <t>total_amount_gtncps_before_creation is: 101149457.75714524</t>
  </si>
  <si>
    <t>creation_amount_gtbcps is: -3173.3243462741375</t>
  </si>
  <si>
    <t xml:space="preserve">total_amount_gtbcps_new is: 101146284.43279897
</t>
  </si>
  <si>
    <t xml:space="preserve"> 101146284.43279897
</t>
  </si>
  <si>
    <t>payout of tranche of gold is: 769.2732034331985</t>
  </si>
  <si>
    <t xml:space="preserve"> payout of tranche of Treausry Bill Option is: 233.8116976747838</t>
  </si>
  <si>
    <t xml:space="preserve"> payout of tranche of Collar of REIT is: 101.52064342570813
</t>
  </si>
  <si>
    <t xml:space="preserve"> 101.52064342570813
</t>
  </si>
  <si>
    <t>Collateral size of tranche of gold is: 77708053.3279645</t>
  </si>
  <si>
    <t xml:space="preserve"> collateral size of tranche of Treausry Bill Option is: 38996682.8349064</t>
  </si>
  <si>
    <t xml:space="preserve"> collateral size of tranche of Collar of REIT is: 26698575.54686851
</t>
  </si>
  <si>
    <t xml:space="preserve"> 26698575.54686851
</t>
  </si>
  <si>
    <t>Collateral ratio of tranche of gold is: 0.7679196043192673</t>
  </si>
  <si>
    <t xml:space="preserve"> collateral ratio of tranche of Treausry Bill Option is: 0.38536954626771763</t>
  </si>
  <si>
    <t xml:space="preserve"> collateral ratio of tranche of Collar of REIT is: 0.2638382856318603
</t>
  </si>
  <si>
    <t xml:space="preserve"> 0.2638382856318603
</t>
  </si>
  <si>
    <t xml:space="preserve">date is: 2021-12-23 00:00:00
</t>
  </si>
  <si>
    <t xml:space="preserve"> 2021-12-23 00</t>
  </si>
  <si>
    <t>current price of gold is: 1808.81</t>
  </si>
  <si>
    <t xml:space="preserve"> predicted price of gold is: 1802.6836035857486
</t>
  </si>
  <si>
    <t xml:space="preserve"> 1802.6836035857486
</t>
  </si>
  <si>
    <t>current price of tb is: 96.8984375</t>
  </si>
  <si>
    <t xml:space="preserve"> current price of tb option is: 4.382844470471055</t>
  </si>
  <si>
    <t xml:space="preserve"> predicted price of tb is: 97.01963628033162
</t>
  </si>
  <si>
    <t xml:space="preserve"> 97.01963628033162
</t>
  </si>
  <si>
    <t xml:space="preserve"> current price of reit option is: 6.675189948246597</t>
  </si>
  <si>
    <t xml:space="preserve"> predicted price of reit is: 67.2384266522055
</t>
  </si>
  <si>
    <t xml:space="preserve"> 67.2384266522055
</t>
  </si>
  <si>
    <t>value_ratio_gold_to_total is: -1.1055955891467675</t>
  </si>
  <si>
    <t xml:space="preserve"> risk_ratio_to_gold is: 0.6957435776013622</t>
  </si>
  <si>
    <t xml:space="preserve"> risk_ratio_to_gold_before is: 0.6957846505276196
</t>
  </si>
  <si>
    <t xml:space="preserve"> 0.6957846505276196
</t>
  </si>
  <si>
    <t>value_ratio_tb_to_total is: 0.8128188276928969</t>
  </si>
  <si>
    <t xml:space="preserve"> risk_ratio_tb_to_gold is: 0.23278810315857992</t>
  </si>
  <si>
    <t xml:space="preserve"> risk_ratio_tb_to_gold_before is: 0.23383337121627004
</t>
  </si>
  <si>
    <t xml:space="preserve"> 0.23383337121627004
</t>
  </si>
  <si>
    <t>value_ratio_reit_to_total is: 1.2927767614538705</t>
  </si>
  <si>
    <t xml:space="preserve"> risk_ratio_reit_to_gold is: 0.2045230445024434</t>
  </si>
  <si>
    <t xml:space="preserve"> risk_ratio_reit_to_gold_before is: 0.20339293040117906
</t>
  </si>
  <si>
    <t xml:space="preserve"> 0.20339293040117906
</t>
  </si>
  <si>
    <t>delta_gold is: 1.002849745241646</t>
  </si>
  <si>
    <t xml:space="preserve"> delta_tb is: 0.9991224000877221</t>
  </si>
  <si>
    <t xml:space="preserve"> delta_reit is: 1.0035833592973287
</t>
  </si>
  <si>
    <t xml:space="preserve"> 1.0035833592973287
</t>
  </si>
  <si>
    <t>delta_gold_risk is: 0.9999757793973164</t>
  </si>
  <si>
    <t xml:space="preserve"> delta_tb_risk is: 0.9991528288324218</t>
  </si>
  <si>
    <t xml:space="preserve"> delta_reit_risk is: 1.0009391064819433
</t>
  </si>
  <si>
    <t xml:space="preserve"> 1.0009391064819433
</t>
  </si>
  <si>
    <t xml:space="preserve">collateral_ratio_tranche_gold is: 0.7701266324888245
</t>
  </si>
  <si>
    <t xml:space="preserve"> 0.7701266324888245
</t>
  </si>
  <si>
    <t xml:space="preserve">collateral_ratio_tranche_tb is: 0.3842627590444344
</t>
  </si>
  <si>
    <t xml:space="preserve"> 0.3842627590444344
</t>
  </si>
  <si>
    <t xml:space="preserve">collateral_ratio_tranche_reit is: 0.26378357022960763
</t>
  </si>
  <si>
    <t xml:space="preserve"> 0.26378357022960763
</t>
  </si>
  <si>
    <t>Total plot size is: 143686206.96842462</t>
  </si>
  <si>
    <t xml:space="preserve"> plot size of gold is: 77929501.48317344</t>
  </si>
  <si>
    <t xml:space="preserve"> plot size of TB is: 38962459.34947136</t>
  </si>
  <si>
    <t xml:space="preserve"> plot size of REIT is: 26794246.135779813
</t>
  </si>
  <si>
    <t xml:space="preserve"> 26794246.135779813
</t>
  </si>
  <si>
    <t xml:space="preserve">collateral ratio is: 1.419967586666401
</t>
  </si>
  <si>
    <t xml:space="preserve"> 1.419967586666401
</t>
  </si>
  <si>
    <t>S_gtbcps_0 is: 1.0004300212400123</t>
  </si>
  <si>
    <t xml:space="preserve">stdev_gtbcps is: 0.006704921328300146
</t>
  </si>
  <si>
    <t xml:space="preserve"> 0.006704921328300146
</t>
  </si>
  <si>
    <t>predicted price of GTBCPS is: 1.000437671665062</t>
  </si>
  <si>
    <t xml:space="preserve"> actual price is: 1.0004300212400123
</t>
  </si>
  <si>
    <t xml:space="preserve"> 1.0004300212400123
</t>
  </si>
  <si>
    <t>predicted amount of GTBCPS is: 101145510.9592583</t>
  </si>
  <si>
    <t xml:space="preserve"> actual amount is: 101146284.43279897
</t>
  </si>
  <si>
    <t>plot sizes of gold is: 77929501.48317344</t>
  </si>
  <si>
    <t xml:space="preserve"> plot sizes of tb is: 38962459.34947136 </t>
  </si>
  <si>
    <t xml:space="preserve"> plot sizes of reit is: 26794246.135779813</t>
  </si>
  <si>
    <t xml:space="preserve"> plot sizes of total is: 143686206.96842462.
</t>
  </si>
  <si>
    <t xml:space="preserve"> 143686206.96842462.
</t>
  </si>
  <si>
    <t>predicted stdevs of gold is: 0.008147580006736762</t>
  </si>
  <si>
    <t xml:space="preserve"> predicted stdevs of tb is: 0.0016642227109205608</t>
  </si>
  <si>
    <t xml:space="preserve"> predicted stdevs of reit is: 0.009838890574015045</t>
  </si>
  <si>
    <t xml:space="preserve"> predicted stdevs of GTBCPS is: 0.006704921328300146.
</t>
  </si>
  <si>
    <t xml:space="preserve"> 0.006704921328300146.
</t>
  </si>
  <si>
    <t>total_value_of_collaterals is: 143686476.3693477</t>
  </si>
  <si>
    <t xml:space="preserve"> createdtionValue_gold is: -595.9390312379626</t>
  </si>
  <si>
    <t xml:space="preserve"> createdValue_tb is: -297.9516844139575</t>
  </si>
  <si>
    <t xml:space="preserve"> createdValue_reit is: -204.89939938995997
</t>
  </si>
  <si>
    <t xml:space="preserve"> -204.89939938995997
</t>
  </si>
  <si>
    <t>plotValue_gold_after_creation is: 77930291.84486106</t>
  </si>
  <si>
    <t xml:space="preserve"> plotValue_tb_after_creation  is: 38962814.15535603</t>
  </si>
  <si>
    <t xml:space="preserve"> plotValue_reit_after_creation  is: 26794469.15924566</t>
  </si>
  <si>
    <t xml:space="preserve">total_value_after_creation is: 143687575.15946275
</t>
  </si>
  <si>
    <t xml:space="preserve"> 143687575.15946275
</t>
  </si>
  <si>
    <t>total_amount_gtncps_before_creation is: 101146284.43279897</t>
  </si>
  <si>
    <t>creation_amount_gtbcps is: -773.4735406637192</t>
  </si>
  <si>
    <t xml:space="preserve">total_amount_gtbcps_new is: 101145510.9592583
</t>
  </si>
  <si>
    <t xml:space="preserve"> 101145510.9592583
</t>
  </si>
  <si>
    <t>payout of tranche of gold is: 194.422656373809</t>
  </si>
  <si>
    <t xml:space="preserve"> payout of tranche of Treausry Bill Option is: 56.854200253634836</t>
  </si>
  <si>
    <t xml:space="preserve"> payout of tranche of Collar of REIT is: 18.124066457752882
</t>
  </si>
  <si>
    <t xml:space="preserve"> 18.124066457752882
</t>
  </si>
  <si>
    <t>Collateral size of tranche of gold is: 77930291.84486106</t>
  </si>
  <si>
    <t xml:space="preserve"> collateral size of tranche of Treausry Bill Option is: 38962814.15535603</t>
  </si>
  <si>
    <t xml:space="preserve"> collateral size of tranche of Collar of REIT is: 26794469.15924566
</t>
  </si>
  <si>
    <t xml:space="preserve"> 26794469.15924566
</t>
  </si>
  <si>
    <t>Collateral ratio of tranche of gold is: 0.7701340619936119</t>
  </si>
  <si>
    <t xml:space="preserve"> collateral ratio of tranche of Treausry Bill Option is: 0.38504398766915765</t>
  </si>
  <si>
    <t xml:space="preserve"> collateral ratio of tranche of Collar of REIT is: 0.26479219933696646
</t>
  </si>
  <si>
    <t xml:space="preserve"> 0.26479219933696646
</t>
  </si>
  <si>
    <t xml:space="preserve">date is: 2021-12-28 00:00:00
</t>
  </si>
  <si>
    <t xml:space="preserve"> 2021-12-28 00</t>
  </si>
  <si>
    <t>current price of gold is: 1806.18</t>
  </si>
  <si>
    <t xml:space="preserve"> predicted price of gold is: 1810.4277396616128
</t>
  </si>
  <si>
    <t xml:space="preserve"> 1810.4277396616128
</t>
  </si>
  <si>
    <t>current price of tb is: 96.88671875</t>
  </si>
  <si>
    <t xml:space="preserve"> current price of tb option is: 4.383640025027386</t>
  </si>
  <si>
    <t xml:space="preserve"> predicted price of tb is: 97.00709447691275
</t>
  </si>
  <si>
    <t xml:space="preserve"> 97.00709447691275
</t>
  </si>
  <si>
    <t xml:space="preserve"> current price of reit option is: 6.621541209631715</t>
  </si>
  <si>
    <t xml:space="preserve"> predicted price of reit is: 68.53397691218603
</t>
  </si>
  <si>
    <t xml:space="preserve"> 68.53397691218603
</t>
  </si>
  <si>
    <t>value_ratio_gold_to_total is: 0.2653630958593093</t>
  </si>
  <si>
    <t xml:space="preserve"> risk_ratio_to_gold is: 0.6942817037591906</t>
  </si>
  <si>
    <t xml:space="preserve"> risk_ratio_to_gold_before is: 0.6957435776013622
</t>
  </si>
  <si>
    <t xml:space="preserve"> 0.6957435776013622
</t>
  </si>
  <si>
    <t>value_ratio_tb_to_total is: 0.2813730734336364</t>
  </si>
  <si>
    <t xml:space="preserve"> risk_ratio_tb_to_gold is: 0.23284042852153622</t>
  </si>
  <si>
    <t xml:space="preserve"> risk_ratio_tb_to_gold_before is: 0.23278810315857992
</t>
  </si>
  <si>
    <t xml:space="preserve"> 0.23278810315857992
</t>
  </si>
  <si>
    <t>value_ratio_reit_to_total is: 0.45326383070705434</t>
  </si>
  <si>
    <t xml:space="preserve"> risk_ratio_reit_to_gold is: 0.20749710966432783</t>
  </si>
  <si>
    <t xml:space="preserve"> risk_ratio_reit_to_gold_before is: 0.2045230445024434
</t>
  </si>
  <si>
    <t xml:space="preserve"> 0.2045230445024434
</t>
  </si>
  <si>
    <t>delta_gold is: 0.9985460053847558</t>
  </si>
  <si>
    <t xml:space="preserve"> delta_tb is: 0.9998921499093302</t>
  </si>
  <si>
    <t xml:space="preserve"> delta_reit is: 1.0149315413709912
</t>
  </si>
  <si>
    <t xml:space="preserve"> 1.0149315413709912
</t>
  </si>
  <si>
    <t>delta_gold_risk is: 0.9991379157429927</t>
  </si>
  <si>
    <t xml:space="preserve"> delta_tb_risk is: 1.0000424447338696</t>
  </si>
  <si>
    <t xml:space="preserve"> delta_reit_risk is: 1.0024690811649128
</t>
  </si>
  <si>
    <t xml:space="preserve"> 1.0024690811649128
</t>
  </si>
  <si>
    <t xml:space="preserve">collateral_ratio_tranche_gold is: 0.7696778183446197
</t>
  </si>
  <si>
    <t xml:space="preserve"> 0.7696778183446197
</t>
  </si>
  <si>
    <t xml:space="preserve">collateral_ratio_tranche_tb is: 0.38554670283661807
</t>
  </si>
  <si>
    <t xml:space="preserve"> 0.38554670283661807
</t>
  </si>
  <si>
    <t xml:space="preserve">collateral_ratio_tranche_reit is: 0.2684743941010217
</t>
  </si>
  <si>
    <t xml:space="preserve"> 0.2684743941010217
</t>
  </si>
  <si>
    <t>Total plot size is: 143970145.51648152</t>
  </si>
  <si>
    <t xml:space="preserve"> plot size of gold is: 77816981.62015422</t>
  </si>
  <si>
    <t xml:space="preserve"> plot size of TB is: 38958612.01231662</t>
  </si>
  <si>
    <t xml:space="preserve"> plot size of REIT is: 27194551.884010684
</t>
  </si>
  <si>
    <t xml:space="preserve"> 27194551.884010684
</t>
  </si>
  <si>
    <t xml:space="preserve">collateral ratio is: 1.4227735869315101
</t>
  </si>
  <si>
    <t xml:space="preserve"> 1.4227735869315101
</t>
  </si>
  <si>
    <t>S_gtbcps_0 is: 1.000437671665062</t>
  </si>
  <si>
    <t xml:space="preserve">stdev_gtbcps is: 0.006737018215394084
</t>
  </si>
  <si>
    <t xml:space="preserve"> 0.006737018215394084
</t>
  </si>
  <si>
    <t>predicted price of GTBCPS is: 1.0004130822741257</t>
  </si>
  <si>
    <t xml:space="preserve"> actual price is: 1.000437671665062
</t>
  </si>
  <si>
    <t xml:space="preserve"> 1.000437671665062
</t>
  </si>
  <si>
    <t>predicted amount of GTBCPS is: 101147997.03881334</t>
  </si>
  <si>
    <t xml:space="preserve"> actual amount is: 101145510.9592583
</t>
  </si>
  <si>
    <t>plot sizes of gold is: 77816981.62015422</t>
  </si>
  <si>
    <t xml:space="preserve"> plot sizes of tb is: 38958612.01231662 </t>
  </si>
  <si>
    <t xml:space="preserve"> plot sizes of reit is: 27194551.884010684</t>
  </si>
  <si>
    <t xml:space="preserve"> plot sizes of total is: 143970145.51648152.
</t>
  </si>
  <si>
    <t xml:space="preserve"> 143970145.51648152.
</t>
  </si>
  <si>
    <t>predicted stdevs of gold is: 0.00814032102492407</t>
  </si>
  <si>
    <t xml:space="preserve"> predicted stdevs of tb is: 0.0016637516973441217</t>
  </si>
  <si>
    <t xml:space="preserve"> predicted stdevs of reit is: 0.009989384106632844</t>
  </si>
  <si>
    <t xml:space="preserve"> predicted stdevs of GTBCPS is: 0.006737018215394084.
</t>
  </si>
  <si>
    <t xml:space="preserve"> 0.006737018215394084.
</t>
  </si>
  <si>
    <t>total_value_of_collaterals is: 143969280.43240553</t>
  </si>
  <si>
    <t xml:space="preserve"> createdtionValue_gold is: 1912.6203114434172</t>
  </si>
  <si>
    <t xml:space="preserve"> createdValue_tb is: 957.5451286754154</t>
  </si>
  <si>
    <t xml:space="preserve"> createdValue_reit is: 668.4027482231272
</t>
  </si>
  <si>
    <t xml:space="preserve"> 668.4027482231272
</t>
  </si>
  <si>
    <t>plotValue_gold_after_creation is: 77814468.27806962</t>
  </si>
  <si>
    <t xml:space="preserve"> plotValue_tb_after_creation  is: 38957478.69785054</t>
  </si>
  <si>
    <t xml:space="preserve"> plotValue_reit_after_creation  is: 27193794.888297033</t>
  </si>
  <si>
    <t xml:space="preserve">total_value_after_creation is: 143965741.8642172
</t>
  </si>
  <si>
    <t xml:space="preserve"> 143965741.8642172
</t>
  </si>
  <si>
    <t>total_amount_gtncps_before_creation is: 101145510.9592583</t>
  </si>
  <si>
    <t>creation_amount_gtbcps is: 2486.0795550346375</t>
  </si>
  <si>
    <t xml:space="preserve">total_amount_gtbcps_new is: 101147997.03881334
</t>
  </si>
  <si>
    <t xml:space="preserve"> 101147997.03881334
</t>
  </si>
  <si>
    <t>payout of tranche of gold is: -600.7217731570701</t>
  </si>
  <si>
    <t xml:space="preserve"> payout of tranche of Treausry Bill Option is: -175.769337408301</t>
  </si>
  <si>
    <t xml:space="preserve"> payout of tranche of Collar of REIT is: -88.59296542742521
</t>
  </si>
  <si>
    <t xml:space="preserve"> -88.59296542742521
</t>
  </si>
  <si>
    <t>Collateral size of tranche of gold is: 77814468.27806962</t>
  </si>
  <si>
    <t xml:space="preserve"> collateral size of tranche of Treausry Bill Option is: 38957478.69785054</t>
  </si>
  <si>
    <t xml:space="preserve"> collateral size of tranche of Collar of REIT is: 27193794.888297033
</t>
  </si>
  <si>
    <t xml:space="preserve"> 27193794.888297033
</t>
  </si>
  <si>
    <t>Collateral ratio of tranche of gold is: 0.7690142353863478</t>
  </si>
  <si>
    <t xml:space="preserve"> collateral ratio of tranche of Treausry Bill Option is: 0.3850036677800026</t>
  </si>
  <si>
    <t xml:space="preserve"> collateral ratio of tranche of Collar of REIT is: 0.2687471346401354
</t>
  </si>
  <si>
    <t xml:space="preserve"> 0.2687471346401354
</t>
  </si>
  <si>
    <t xml:space="preserve">date is: 2021-12-29 00:00:00
</t>
  </si>
  <si>
    <t xml:space="preserve"> 2021-12-29 00</t>
  </si>
  <si>
    <t>current price of gold is: 1804.71</t>
  </si>
  <si>
    <t xml:space="preserve"> predicted price of gold is: 1804.8518726756404
</t>
  </si>
  <si>
    <t xml:space="preserve"> 1804.8518726756404
</t>
  </si>
  <si>
    <t>current price of tb is: 96.80859375</t>
  </si>
  <si>
    <t xml:space="preserve"> current price of tb option is: 4.379048916674012</t>
  </si>
  <si>
    <t xml:space="preserve"> predicted price of tb is: 96.9337189762391
</t>
  </si>
  <si>
    <t xml:space="preserve"> 96.9337189762391
</t>
  </si>
  <si>
    <t>current price of reit is: 67.95</t>
  </si>
  <si>
    <t xml:space="preserve"> current price of reit option is: 6.58370984678217</t>
  </si>
  <si>
    <t xml:space="preserve"> predicted price of reit is: 68.44322153110842
</t>
  </si>
  <si>
    <t xml:space="preserve"> 68.44322153110842
</t>
  </si>
  <si>
    <t>value_ratio_gold_to_total is: 0.01210210180919534</t>
  </si>
  <si>
    <t xml:space="preserve"> risk_ratio_to_gold is: 0.6918734278013426</t>
  </si>
  <si>
    <t xml:space="preserve"> risk_ratio_to_gold_before is: 0.6942817037591906
</t>
  </si>
  <si>
    <t xml:space="preserve"> 0.6942817037591906
</t>
  </si>
  <si>
    <t>value_ratio_tb_to_total is: 0.3842175654885526</t>
  </si>
  <si>
    <t xml:space="preserve"> risk_ratio_tb_to_gold is: 0.2345064672339915</t>
  </si>
  <si>
    <t xml:space="preserve"> risk_ratio_tb_to_gold_before is: 0.23284042852153622
</t>
  </si>
  <si>
    <t xml:space="preserve"> 0.23284042852153622
</t>
  </si>
  <si>
    <t>value_ratio_reit_to_total is: 0.6036803327022521</t>
  </si>
  <si>
    <t xml:space="preserve"> risk_ratio_reit_to_gold is: 0.21084460395518798</t>
  </si>
  <si>
    <t xml:space="preserve"> risk_ratio_reit_to_gold_before is: 0.20749710966432783
</t>
  </si>
  <si>
    <t xml:space="preserve"> 0.20749710966432783
</t>
  </si>
  <si>
    <t>delta_gold is: 0.9991861276284756</t>
  </si>
  <si>
    <t xml:space="preserve"> delta_tb is: 0.9991832150161812</t>
  </si>
  <si>
    <t xml:space="preserve"> delta_reit is: 1.000163290197075
</t>
  </si>
  <si>
    <t xml:space="preserve"> 1.000163290197075
</t>
  </si>
  <si>
    <t>delta_gold_risk is: 0.9985785858676838</t>
  </si>
  <si>
    <t xml:space="preserve"> delta_tb_risk is: 1.0013513822826636</t>
  </si>
  <si>
    <t xml:space="preserve"> delta_reit_risk is: 1.0027722586365366
</t>
  </si>
  <si>
    <t xml:space="preserve"> 1.0027722586365366
</t>
  </si>
  <si>
    <t xml:space="preserve">collateral_ratio_tranche_gold is: 0.7694821086907153
</t>
  </si>
  <si>
    <t xml:space="preserve"> 0.7694821086907153
</t>
  </si>
  <si>
    <t xml:space="preserve">collateral_ratio_tranche_tb is: 0.3844829620373107
</t>
  </si>
  <si>
    <t xml:space="preserve"> 0.3844829620373107
</t>
  </si>
  <si>
    <t xml:space="preserve">collateral_ratio_tranche_reit is: 0.26826625474374144
</t>
  </si>
  <si>
    <t xml:space="preserve"> 0.26826625474374144
</t>
  </si>
  <si>
    <t>Total plot size is: 143875031.41489947</t>
  </si>
  <si>
    <t xml:space="preserve"> plot size of gold is: 77751137.23223323</t>
  </si>
  <si>
    <t xml:space="preserve"> plot size of TB is: 38925658.8142427</t>
  </si>
  <si>
    <t xml:space="preserve"> plot size of REIT is: 27198235.36842356
</t>
  </si>
  <si>
    <t xml:space="preserve"> 27198235.36842356
</t>
  </si>
  <si>
    <t xml:space="preserve">collateral ratio is: 1.421833629338287
</t>
  </si>
  <si>
    <t xml:space="preserve"> 1.421833629338287
</t>
  </si>
  <si>
    <t>S_gtbcps_0 is: 1.0004130822741257</t>
  </si>
  <si>
    <t xml:space="preserve">stdev_gtbcps is: 0.006683233123449665
</t>
  </si>
  <si>
    <t xml:space="preserve"> 0.006683233123449665
</t>
  </si>
  <si>
    <t>predicted price of GTBCPS is: 1.000392168679829</t>
  </si>
  <si>
    <t xml:space="preserve"> actual price is: 1.0004130822741257
</t>
  </si>
  <si>
    <t xml:space="preserve"> 1.0004130822741257
</t>
  </si>
  <si>
    <t>predicted amount of GTBCPS is: 101150111.5777314</t>
  </si>
  <si>
    <t xml:space="preserve"> actual amount is: 101147997.03881334
</t>
  </si>
  <si>
    <t>plot sizes of gold is: 77751137.23223323</t>
  </si>
  <si>
    <t xml:space="preserve"> plot sizes of tb is: 38925658.8142427 </t>
  </si>
  <si>
    <t xml:space="preserve"> plot sizes of reit is: 27198235.36842356</t>
  </si>
  <si>
    <t xml:space="preserve"> plot sizes of total is: 143875031.41489947.
</t>
  </si>
  <si>
    <t xml:space="preserve"> 143875031.41489947.
</t>
  </si>
  <si>
    <t>predicted stdevs of gold is: 0.008055687336691876</t>
  </si>
  <si>
    <t xml:space="preserve"> predicted stdevs of tb is: 0.0016629923840904902</t>
  </si>
  <si>
    <t xml:space="preserve"> predicted stdevs of reit is: 0.009944705829502149</t>
  </si>
  <si>
    <t xml:space="preserve"> predicted stdevs of GTBCPS is: 0.006683233123449665.
</t>
  </si>
  <si>
    <t xml:space="preserve"> 0.006683233123449665.
</t>
  </si>
  <si>
    <t>total_value_of_collaterals is: 143874295.88446385</t>
  </si>
  <si>
    <t xml:space="preserve"> createdtionValue_gold is: 1625.3727996960567</t>
  </si>
  <si>
    <t xml:space="preserve"> createdValue_tb is: 813.73701856915</t>
  </si>
  <si>
    <t xml:space="preserve"> createdValue_reit is: 568.5764137250053
</t>
  </si>
  <si>
    <t xml:space="preserve"> 568.5764137250053
</t>
  </si>
  <si>
    <t>plotValue_gold_after_creation is: 77748960.6486982</t>
  </si>
  <si>
    <t xml:space="preserve"> plotValue_tb_after_creation  is: 38924736.18787809</t>
  </si>
  <si>
    <t xml:space="preserve"> plotValue_reit_after_creation  is: 27197591.36165556</t>
  </si>
  <si>
    <t xml:space="preserve">total_value_after_creation is: 143871288.19823185
</t>
  </si>
  <si>
    <t xml:space="preserve"> 143871288.19823185
</t>
  </si>
  <si>
    <t>total_amount_gtncps_before_creation is: 101147997.03881334</t>
  </si>
  <si>
    <t>creation_amount_gtbcps is: 2114.5389180630445</t>
  </si>
  <si>
    <t xml:space="preserve">total_amount_gtbcps_new is: 101150111.5777314
</t>
  </si>
  <si>
    <t xml:space="preserve"> 101150111.5777314
</t>
  </si>
  <si>
    <t>payout of tranche of gold is: -551.2107353345046</t>
  </si>
  <si>
    <t xml:space="preserve"> payout of tranche of Treausry Bill Option is: -108.88934604330457</t>
  </si>
  <si>
    <t xml:space="preserve"> payout of tranche of Collar of REIT is: -75.43035427561632
</t>
  </si>
  <si>
    <t xml:space="preserve"> -75.43035427561632
</t>
  </si>
  <si>
    <t>Collateral size of tranche of gold is: 77748960.6486982</t>
  </si>
  <si>
    <t xml:space="preserve"> collateral size of tranche of Treausry Bill Option is: 38924736.18787809</t>
  </si>
  <si>
    <t xml:space="preserve"> collateral size of tranche of Collar of REIT is: 27197591.36165556
</t>
  </si>
  <si>
    <t xml:space="preserve"> 27197591.36165556
</t>
  </si>
  <si>
    <t>Collateral ratio of tranche of gold is: 0.7683640227144848</t>
  </si>
  <si>
    <t xml:space="preserve"> collateral ratio of tranche of Treausry Bill Option is: 0.3846786713401405</t>
  </si>
  <si>
    <t xml:space="preserve"> collateral ratio of tranche of Collar of REIT is: 0.26878366646225116
</t>
  </si>
  <si>
    <t xml:space="preserve"> 0.26878366646225116
</t>
  </si>
  <si>
    <t xml:space="preserve">date is: 2021-12-30 00:00:00
</t>
  </si>
  <si>
    <t xml:space="preserve"> 2021-12-30 00</t>
  </si>
  <si>
    <t>current price of gold is: 1814.67</t>
  </si>
  <si>
    <t xml:space="preserve"> predicted price of gold is: 1811.493802438713
</t>
  </si>
  <si>
    <t xml:space="preserve"> 1811.493802438713
</t>
  </si>
  <si>
    <t>current price of tb is: 96.94921875</t>
  </si>
  <si>
    <t xml:space="preserve"> current price of tb option is: 4.381219331469398</t>
  </si>
  <si>
    <t xml:space="preserve"> predicted price of tb is: 97.07209890141635
</t>
  </si>
  <si>
    <t xml:space="preserve"> 97.07209890141635
</t>
  </si>
  <si>
    <t xml:space="preserve"> current price of reit option is: 6.579333658364632</t>
  </si>
  <si>
    <t xml:space="preserve"> predicted price of reit is: 69.15038919538031
</t>
  </si>
  <si>
    <t xml:space="preserve"> 69.15038919538031
</t>
  </si>
  <si>
    <t>value_ratio_gold_to_total is: -0.3755425010750891</t>
  </si>
  <si>
    <t xml:space="preserve"> risk_ratio_to_gold is: 0.6922344515293494</t>
  </si>
  <si>
    <t xml:space="preserve"> risk_ratio_to_gold_before is: 0.6918734278013426
</t>
  </si>
  <si>
    <t xml:space="preserve"> 0.6918734278013426
</t>
  </si>
  <si>
    <t>value_ratio_tb_to_total is: 0.5325489842037587</t>
  </si>
  <si>
    <t xml:space="preserve"> risk_ratio_tb_to_gold is: 0.23366409327653487</t>
  </si>
  <si>
    <t xml:space="preserve"> risk_ratio_tb_to_gold_before is: 0.2345064672339915
</t>
  </si>
  <si>
    <t xml:space="preserve"> 0.2345064672339915
</t>
  </si>
  <si>
    <t>value_ratio_reit_to_total is: 0.8429935168713303</t>
  </si>
  <si>
    <t xml:space="preserve"> risk_ratio_reit_to_gold is: 0.21093317834250422</t>
  </si>
  <si>
    <t xml:space="preserve"> risk_ratio_reit_to_gold_before is: 0.21084460395518798
</t>
  </si>
  <si>
    <t xml:space="preserve"> 0.21084460395518798
</t>
  </si>
  <si>
    <t>delta_gold is: 1.0055188922319929</t>
  </si>
  <si>
    <t xml:space="preserve"> delta_tb is: 1.0014111942034836</t>
  </si>
  <si>
    <t xml:space="preserve"> delta_reit is: 1.0086621719609778
</t>
  </si>
  <si>
    <t xml:space="preserve"> 1.0086621719609778
</t>
  </si>
  <si>
    <t>delta_gold_risk is: 1.0002133869603214</t>
  </si>
  <si>
    <t xml:space="preserve"> delta_tb_risk is: 0.9993176431393315</t>
  </si>
  <si>
    <t xml:space="preserve"> delta_reit_risk is: 1.0000731509122036
</t>
  </si>
  <si>
    <t xml:space="preserve"> 1.0000731509122036
</t>
  </si>
  <si>
    <t xml:space="preserve">collateral_ratio_tranche_gold is: 0.7724397123885285
</t>
  </si>
  <si>
    <t xml:space="preserve"> 0.7724397123885285
</t>
  </si>
  <si>
    <t xml:space="preserve">collateral_ratio_tranche_tb is: 0.3833687946267653
</t>
  </si>
  <si>
    <t xml:space="preserve"> 0.3833687946267653
</t>
  </si>
  <si>
    <t xml:space="preserve">collateral_ratio_tranche_reit is: 0.26960416980957996
</t>
  </si>
  <si>
    <t xml:space="preserve"> 0.26960416980957996
</t>
  </si>
  <si>
    <t>Total plot size is: 144590896.908581</t>
  </si>
  <si>
    <t xml:space="preserve"> plot size of gold is: 78178048.78366782</t>
  </si>
  <si>
    <t xml:space="preserve"> plot size of TB is: 38979666.54995855</t>
  </si>
  <si>
    <t xml:space="preserve"> plot size of REIT is: 27433181.574954625
</t>
  </si>
  <si>
    <t xml:space="preserve"> 27433181.574954625
</t>
  </si>
  <si>
    <t xml:space="preserve">collateral ratio is: 1.4289081135138215
</t>
  </si>
  <si>
    <t xml:space="preserve"> 1.4289081135138215
</t>
  </si>
  <si>
    <t>S_gtbcps_0 is: 1.000392168679829</t>
  </si>
  <si>
    <t xml:space="preserve">stdev_gtbcps is: 0.00667341404592982
</t>
  </si>
  <si>
    <t xml:space="preserve"> 0.00667341404592982
</t>
  </si>
  <si>
    <t>predicted price of GTBCPS is: 1.000405490583914</t>
  </si>
  <si>
    <t xml:space="preserve"> actual price is: 1.000392168679829
</t>
  </si>
  <si>
    <t xml:space="preserve"> 1.000392168679829
</t>
  </si>
  <si>
    <t>predicted amount of GTBCPS is: 101148764.61182877</t>
  </si>
  <si>
    <t xml:space="preserve"> actual amount is: 101150111.5777314
</t>
  </si>
  <si>
    <t>plot sizes of gold is: 78178048.78366782</t>
  </si>
  <si>
    <t xml:space="preserve"> plot sizes of tb is: 38979666.54995855 </t>
  </si>
  <si>
    <t xml:space="preserve"> plot sizes of reit is: 27433181.574954625</t>
  </si>
  <si>
    <t xml:space="preserve"> plot sizes of total is: 144590896.908581.
</t>
  </si>
  <si>
    <t xml:space="preserve"> 144590896.908581.
</t>
  </si>
  <si>
    <t>predicted stdevs of gold is: 0.008019474863215892</t>
  </si>
  <si>
    <t xml:space="preserve"> predicted stdevs of tb is: 0.001658398979362535</t>
  </si>
  <si>
    <t xml:space="preserve"> predicted stdevs of reit is: 0.009963269673927131</t>
  </si>
  <si>
    <t xml:space="preserve"> predicted stdevs of GTBCPS is: 0.00667341404592982.
</t>
  </si>
  <si>
    <t xml:space="preserve"> 0.00667341404592982.
</t>
  </si>
  <si>
    <t>total_value_of_collaterals is: 144591365.20654184</t>
  </si>
  <si>
    <t xml:space="preserve"> createdtionValue_gold is: -1041.0766908657731</t>
  </si>
  <si>
    <t xml:space="preserve"> createdValue_tb is: -519.0811132524767</t>
  </si>
  <si>
    <t xml:space="preserve"> createdValue_reit is: -365.3193828236224
</t>
  </si>
  <si>
    <t xml:space="preserve"> -365.3193828236224
</t>
  </si>
  <si>
    <t>plotValue_gold_after_creation is: 78179427.73214148</t>
  </si>
  <si>
    <t xml:space="preserve"> plotValue_tb_after_creation  is: 38980283.33233882</t>
  </si>
  <si>
    <t xml:space="preserve"> plotValue_reit_after_creation  is: 27433579.619248472</t>
  </si>
  <si>
    <t xml:space="preserve">total_value_after_creation is: 144593290.68372878
</t>
  </si>
  <si>
    <t xml:space="preserve"> 144593290.68372878
</t>
  </si>
  <si>
    <t>total_amount_gtncps_before_creation is: 101150111.5777314</t>
  </si>
  <si>
    <t>creation_amount_gtbcps is: -1346.9659026265144</t>
  </si>
  <si>
    <t xml:space="preserve">total_amount_gtbcps_new is: 101148764.61182877
</t>
  </si>
  <si>
    <t xml:space="preserve"> 101148764.61182877
</t>
  </si>
  <si>
    <t>payout of tranche of gold is: 337.87178280024864</t>
  </si>
  <si>
    <t xml:space="preserve"> payout of tranche of Treausry Bill Option is: 97.7012670192757</t>
  </si>
  <si>
    <t xml:space="preserve"> payout of tranche of Collar of REIT is: 32.72491102466221
</t>
  </si>
  <si>
    <t xml:space="preserve"> 32.72491102466221
</t>
  </si>
  <si>
    <t>Collateral size of tranche of gold is: 78179427.73214148</t>
  </si>
  <si>
    <t xml:space="preserve"> collateral size of tranche of Treausry Bill Option is: 38980283.33233882</t>
  </si>
  <si>
    <t xml:space="preserve"> collateral size of tranche of Collar of REIT is: 27433579.619248472
</t>
  </si>
  <si>
    <t xml:space="preserve"> 27433579.619248472
</t>
  </si>
  <si>
    <t>Collateral ratio of tranche of gold is: 0.7725917286758628</t>
  </si>
  <si>
    <t xml:space="preserve"> collateral ratio of tranche of Treausry Bill Option is: 0.38521444013621514</t>
  </si>
  <si>
    <t xml:space="preserve"> collateral ratio of tranche of Collar of REIT is: 0.2711065726193379
</t>
  </si>
  <si>
    <t xml:space="preserve"> 0.2711065726193379
</t>
  </si>
  <si>
    <t xml:space="preserve">date is: 2021-12-31 00:00:00
</t>
  </si>
  <si>
    <t xml:space="preserve"> 2021-12-31 00</t>
  </si>
  <si>
    <t>current price of gold is: 1829.2</t>
  </si>
  <si>
    <t xml:space="preserve"> predicted price of gold is: 1824.6187773627937
</t>
  </si>
  <si>
    <t xml:space="preserve"> 1824.6187773627937
</t>
  </si>
  <si>
    <t>current price of tb is: 96.953125</t>
  </si>
  <si>
    <t xml:space="preserve"> current price of tb option is: 4.381214553622198</t>
  </si>
  <si>
    <t xml:space="preserve"> predicted price of tb is: 97.07601010246803
</t>
  </si>
  <si>
    <t xml:space="preserve"> 97.07601010246803
</t>
  </si>
  <si>
    <t xml:space="preserve"> current price of reit option is: 6.584763596742064</t>
  </si>
  <si>
    <t xml:space="preserve"> predicted price of reit is: 69.12846270711741
</t>
  </si>
  <si>
    <t xml:space="preserve"> 69.12846270711741
</t>
  </si>
  <si>
    <t>value_ratio_gold_to_total is: -0.6557622218801289</t>
  </si>
  <si>
    <t xml:space="preserve"> risk_ratio_to_gold is: 0.6935413649424742</t>
  </si>
  <si>
    <t xml:space="preserve"> risk_ratio_to_gold_before is: 0.6922344515293494
</t>
  </si>
  <si>
    <t xml:space="preserve"> 0.6922344515293494
</t>
  </si>
  <si>
    <t>value_ratio_tb_to_total is: 0.6447227371268717</t>
  </si>
  <si>
    <t xml:space="preserve"> risk_ratio_tb_to_gold is: 0.23205913267364262</t>
  </si>
  <si>
    <t xml:space="preserve"> risk_ratio_tb_to_gold_before is: 0.23366409327653487
</t>
  </si>
  <si>
    <t xml:space="preserve"> 0.23366409327653487
</t>
  </si>
  <si>
    <t>value_ratio_reit_to_total is: 1.0110394847532571</t>
  </si>
  <si>
    <t xml:space="preserve"> risk_ratio_reit_to_gold is: 0.20981593137959523</t>
  </si>
  <si>
    <t xml:space="preserve"> risk_ratio_reit_to_gold_before is: 0.21093317834250422
</t>
  </si>
  <si>
    <t xml:space="preserve"> 0.21093317834250422
</t>
  </si>
  <si>
    <t>delta_gold is: 1.008006965453774</t>
  </si>
  <si>
    <t xml:space="preserve"> delta_tb is: 1.0000385024700047</t>
  </si>
  <si>
    <t xml:space="preserve"> delta_reit is: 1.0007373028687556
</t>
  </si>
  <si>
    <t xml:space="preserve"> 1.0007373028687556
</t>
  </si>
  <si>
    <t>delta_gold_risk is: 1.0007723004409605</t>
  </si>
  <si>
    <t xml:space="preserve"> delta_tb_risk is: 0.9986990294913832</t>
  </si>
  <si>
    <t xml:space="preserve"> delta_reit_risk is: 0.9990773669572436
</t>
  </si>
  <si>
    <t xml:space="preserve"> 0.9990773669572436
</t>
  </si>
  <si>
    <t xml:space="preserve">collateral_ratio_tranche_gold is: 0.7781768576269513
</t>
  </si>
  <si>
    <t xml:space="preserve"> 0.7781768576269513
</t>
  </si>
  <si>
    <t xml:space="preserve">collateral_ratio_tranche_tb is: 0.38266709441929553
</t>
  </si>
  <si>
    <t xml:space="preserve"> 0.38266709441929553
</t>
  </si>
  <si>
    <t xml:space="preserve">collateral_ratio_tranche_reit is: 0.26939993179427707
</t>
  </si>
  <si>
    <t xml:space="preserve"> 0.26939993179427707
</t>
  </si>
  <si>
    <t>Total plot size is: 145240998.35491914</t>
  </si>
  <si>
    <t xml:space="preserve"> plot size of gold is: 78805407.70918855</t>
  </si>
  <si>
    <t xml:space="preserve"> plot size of TB is: 38981784.169528596</t>
  </si>
  <si>
    <t xml:space="preserve"> plot size of REIT is: 27453806.47620198
</t>
  </si>
  <si>
    <t xml:space="preserve"> 27453806.47620198
</t>
  </si>
  <si>
    <t xml:space="preserve">collateral ratio is: 1.4353326896879839
</t>
  </si>
  <si>
    <t xml:space="preserve"> 1.4353326896879839
</t>
  </si>
  <si>
    <t>S_gtbcps_0 is: 1.000405490583914</t>
  </si>
  <si>
    <t xml:space="preserve">stdev_gtbcps is: 0.006677971496043317
</t>
  </si>
  <si>
    <t xml:space="preserve"> 0.006677971496043317
</t>
  </si>
  <si>
    <t>predicted price of GTBCPS is: 1.0004280595024662</t>
  </si>
  <si>
    <t xml:space="preserve"> actual price is: 1.000405490583914
</t>
  </si>
  <si>
    <t xml:space="preserve"> 1.000405490583914
</t>
  </si>
  <si>
    <t>predicted amount of GTBCPS is: 101146482.77036251</t>
  </si>
  <si>
    <t xml:space="preserve"> actual amount is: 101148764.61182877
</t>
  </si>
  <si>
    <t>plot sizes of gold is: 78805407.70918855</t>
  </si>
  <si>
    <t xml:space="preserve"> plot sizes of tb is: 38981784.169528596 </t>
  </si>
  <si>
    <t xml:space="preserve"> plot sizes of reit is: 27453806.47620198</t>
  </si>
  <si>
    <t xml:space="preserve"> plot sizes of total is: 145240998.35491914.
</t>
  </si>
  <si>
    <t xml:space="preserve"> 145240998.35491914.
</t>
  </si>
  <si>
    <t>predicted stdevs of gold is: 0.008038661784672937</t>
  </si>
  <si>
    <t xml:space="preserve"> predicted stdevs of tb is: 0.001650019495385623</t>
  </si>
  <si>
    <t xml:space="preserve"> predicted stdevs of reit is: 0.00991135870666365</t>
  </si>
  <si>
    <t xml:space="preserve"> predicted stdevs of GTBCPS is: 0.006677971496043317.
</t>
  </si>
  <si>
    <t xml:space="preserve"> 0.006677971496043317.
</t>
  </si>
  <si>
    <t>total_value_of_collaterals is: 145241792.0778729</t>
  </si>
  <si>
    <t xml:space="preserve"> createdtionValue_gold is: -1777.8444401561712</t>
  </si>
  <si>
    <t xml:space="preserve"> createdValue_tb is: -879.4238134767708</t>
  </si>
  <si>
    <t xml:space="preserve"> createdValue_reit is: -619.3532829761488
</t>
  </si>
  <si>
    <t xml:space="preserve"> -619.3532829761488
</t>
  </si>
  <si>
    <t>plotValue_gold_after_creation is: 78807739.91206084</t>
  </si>
  <si>
    <t xml:space="preserve"> plotValue_tb_after_creation  is: 38982827.51828504</t>
  </si>
  <si>
    <t xml:space="preserve"> plotValue_reit_after_creation  is: 27454501.269063648</t>
  </si>
  <si>
    <t xml:space="preserve">total_value_after_creation is: 145245068.69940954
</t>
  </si>
  <si>
    <t xml:space="preserve"> 145245068.69940954
</t>
  </si>
  <si>
    <t>total_amount_gtncps_before_creation is: 101148764.61182877</t>
  </si>
  <si>
    <t>creation_amount_gtbcps is: -2281.8414662629366</t>
  </si>
  <si>
    <t xml:space="preserve">total_amount_gtbcps_new is: 101146482.77036251
</t>
  </si>
  <si>
    <t xml:space="preserve"> 101146482.77036251
</t>
  </si>
  <si>
    <t>payout of tranche of gold is: 554.3584321342415</t>
  </si>
  <si>
    <t xml:space="preserve"> payout of tranche of Treausry Bill Option is: 163.9249429738337</t>
  </si>
  <si>
    <t xml:space="preserve"> payout of tranche of Collar of REIT is: 75.43957868829833
</t>
  </si>
  <si>
    <t xml:space="preserve"> 75.43957868829833
</t>
  </si>
  <si>
    <t>Collateral size of tranche of gold is: 78807739.91206084</t>
  </si>
  <si>
    <t xml:space="preserve"> collateral size of tranche of Treausry Bill Option is: 38982827.51828504</t>
  </si>
  <si>
    <t xml:space="preserve"> collateral size of tranche of Collar of REIT is: 27454501.269063648
</t>
  </si>
  <si>
    <t xml:space="preserve"> 27454501.269063648
</t>
  </si>
  <si>
    <t>Collateral ratio of tranche of gold is: 0.7787936930973061</t>
  </si>
  <si>
    <t xml:space="preserve"> collateral ratio of tranche of Treausry Bill Option is: 0.38523602179453226</t>
  </si>
  <si>
    <t xml:space="preserve"> collateral ratio of tranche of Collar of REIT is: 0.2713108187005185
</t>
  </si>
  <si>
    <t xml:space="preserve"> 0.2713108187005185
</t>
  </si>
  <si>
    <t xml:space="preserve">date is: 2022-01-03 00:00:00
</t>
  </si>
  <si>
    <t xml:space="preserve"> 2022-01-03 00</t>
  </si>
  <si>
    <t>current price of gold is: 1801.45</t>
  </si>
  <si>
    <t xml:space="preserve"> predicted price of gold is: 1801.45
</t>
  </si>
  <si>
    <t xml:space="preserve"> 1801.45
</t>
  </si>
  <si>
    <t>current price of tb is: 96.671875</t>
  </si>
  <si>
    <t xml:space="preserve"> current price of tb option is: 4.372981529112775</t>
  </si>
  <si>
    <t xml:space="preserve"> predicted price of tb is: 96.80327685376355
</t>
  </si>
  <si>
    <t xml:space="preserve"> 96.80327685376355
</t>
  </si>
  <si>
    <t xml:space="preserve"> current price of reit option is: 6.507944243127639</t>
  </si>
  <si>
    <t xml:space="preserve"> predicted price of reit is: 69.1333232109641
</t>
  </si>
  <si>
    <t xml:space="preserve"> 69.1333232109641
</t>
  </si>
  <si>
    <t xml:space="preserve"> risk_ratio_to_gold is: 0.6917106806708302</t>
  </si>
  <si>
    <t xml:space="preserve"> risk_ratio_to_gold_before is: 0.6935413649424742
</t>
  </si>
  <si>
    <t xml:space="preserve"> 0.6935413649424742
</t>
  </si>
  <si>
    <t>value_ratio_tb_to_total is: 0.3918336983923518</t>
  </si>
  <si>
    <t xml:space="preserve"> risk_ratio_tb_to_gold is: 0.23387784269807135</t>
  </si>
  <si>
    <t xml:space="preserve"> risk_ratio_tb_to_gold_before is: 0.23205913267364262
</t>
  </si>
  <si>
    <t xml:space="preserve"> 0.23205913267364262
</t>
  </si>
  <si>
    <t>value_ratio_reit_to_total is: 0.6081663016076482</t>
  </si>
  <si>
    <t xml:space="preserve"> risk_ratio_reit_to_gold is: 0.2118132937033309</t>
  </si>
  <si>
    <t xml:space="preserve"> risk_ratio_reit_to_gold_before is: 0.20981593137959523
</t>
  </si>
  <si>
    <t xml:space="preserve"> 0.20981593137959523
</t>
  </si>
  <si>
    <t>delta_gold is: 0.9848294336321889</t>
  </si>
  <si>
    <t xml:space="preserve"> delta_tb is: 0.9971432879931463</t>
  </si>
  <si>
    <t xml:space="preserve"> delta_reit is: 0.9989789380607856
</t>
  </si>
  <si>
    <t xml:space="preserve"> 0.9989789380607856
</t>
  </si>
  <si>
    <t>delta_gold_risk is: 0.9989190200431235</t>
  </si>
  <si>
    <t xml:space="preserve"> delta_tb_risk is: 1.0014761548177336</t>
  </si>
  <si>
    <t xml:space="preserve"> delta_reit_risk is: 1.0016509638135265
</t>
  </si>
  <si>
    <t xml:space="preserve"> 1.0016509638135265
</t>
  </si>
  <si>
    <t xml:space="preserve">collateral_ratio_tranche_gold is: 0.7678089377617718
</t>
  </si>
  <si>
    <t xml:space="preserve"> 0.7678089377617718
</t>
  </si>
  <si>
    <t xml:space="preserve">collateral_ratio_tranche_tb is: 0.38947790617135486
</t>
  </si>
  <si>
    <t xml:space="preserve"> 0.38947790617135486
</t>
  </si>
  <si>
    <t xml:space="preserve">collateral_ratio_tranche_reit is: 0.27475525695921593
</t>
  </si>
  <si>
    <t xml:space="preserve"> 0.27475525695921593
</t>
  </si>
  <si>
    <t>Total plot size is: 143910115.19303787</t>
  </si>
  <si>
    <t xml:space="preserve"> plot size of gold is: 77612181.86342773</t>
  </si>
  <si>
    <t xml:space="preserve"> plot size of TB is: 38871464.80685245</t>
  </si>
  <si>
    <t xml:space="preserve"> plot size of REIT is: 27426468.522757694
</t>
  </si>
  <si>
    <t xml:space="preserve"> 27426468.522757694
</t>
  </si>
  <si>
    <t xml:space="preserve">collateral ratio is: 1.4221803420035135
</t>
  </si>
  <si>
    <t xml:space="preserve"> 1.4221803420035135
</t>
  </si>
  <si>
    <t>S_gtbcps_0 is: 1.0004280595024662</t>
  </si>
  <si>
    <t xml:space="preserve">stdev_gtbcps is: 0.0066939681857153665
</t>
  </si>
  <si>
    <t xml:space="preserve"> 0.0066939681857153665
</t>
  </si>
  <si>
    <t>predicted price of GTBCPS is: 1.0004259976251384</t>
  </si>
  <si>
    <t xml:space="preserve"> actual price is: 1.0004280595024662
</t>
  </si>
  <si>
    <t xml:space="preserve"> 1.0004280595024662
</t>
  </si>
  <si>
    <t>predicted amount of GTBCPS is: 101146691.23319745</t>
  </si>
  <si>
    <t xml:space="preserve"> actual amount is: 101146482.77036251
</t>
  </si>
  <si>
    <t>plot sizes of gold is: 77612181.86342773</t>
  </si>
  <si>
    <t xml:space="preserve"> plot sizes of tb is: 38871464.80685245 </t>
  </si>
  <si>
    <t xml:space="preserve"> plot sizes of reit is: 27426468.522757694</t>
  </si>
  <si>
    <t xml:space="preserve"> plot sizes of total is: 143910115.19303787.
</t>
  </si>
  <si>
    <t xml:space="preserve"> 143910115.19303787.
</t>
  </si>
  <si>
    <t>predicted stdevs of gold is: 0.008076404437163774</t>
  </si>
  <si>
    <t xml:space="preserve"> predicted stdevs of tb is: 0.0016707539779372768</t>
  </si>
  <si>
    <t xml:space="preserve"> predicted stdevs of reit is: 0.009901300564651667</t>
  </si>
  <si>
    <t xml:space="preserve"> predicted stdevs of GTBCPS is: 0.0066939681857153665.
</t>
  </si>
  <si>
    <t xml:space="preserve"> 0.0066939681857153665.
</t>
  </si>
  <si>
    <t>total_value_of_collaterals is: 143910042.6061645</t>
  </si>
  <si>
    <t xml:space="preserve"> createdtionValue_gold is: 159.9582230014094</t>
  </si>
  <si>
    <t xml:space="preserve"> createdValue_tb is: 80.11386804702603</t>
  </si>
  <si>
    <t xml:space="preserve"> createdValue_reit is: 56.52580149912547
</t>
  </si>
  <si>
    <t xml:space="preserve"> 56.52580149912547
</t>
  </si>
  <si>
    <t>plotValue_gold_after_creation is: 77611971.70467438</t>
  </si>
  <si>
    <t xml:space="preserve"> plotValue_tb_after_creation  is: 38871369.93240425</t>
  </si>
  <si>
    <t xml:space="preserve"> plotValue_reit_after_creation  is: 27426404.371193293</t>
  </si>
  <si>
    <t xml:space="preserve">total_value_after_creation is: 143909746.00827193
</t>
  </si>
  <si>
    <t xml:space="preserve"> 143909746.00827193
</t>
  </si>
  <si>
    <t>total_amount_gtncps_before_creation is: 101146482.77036251</t>
  </si>
  <si>
    <t>creation_amount_gtbcps is: 208.46283493936062</t>
  </si>
  <si>
    <t xml:space="preserve">total_amount_gtbcps_new is: 101146691.23319745
</t>
  </si>
  <si>
    <t xml:space="preserve"> 101146691.23319745
</t>
  </si>
  <si>
    <t>payout of tranche of gold is: -50.200530356327874</t>
  </si>
  <si>
    <t xml:space="preserve"> payout of tranche of Treausry Bill Option is: -14.760580149612272</t>
  </si>
  <si>
    <t xml:space="preserve"> payout of tranche of Collar of REIT is: -7.625762900883326
</t>
  </si>
  <si>
    <t xml:space="preserve"> -7.625762900883326
</t>
  </si>
  <si>
    <t>Collateral size of tranche of gold is: 77611971.70467438</t>
  </si>
  <si>
    <t xml:space="preserve"> collateral size of tranche of Treausry Bill Option is: 38871369.93240425</t>
  </si>
  <si>
    <t xml:space="preserve"> collateral size of tranche of Collar of REIT is: 27426404.371193293
</t>
  </si>
  <si>
    <t xml:space="preserve"> 27426404.371193293
</t>
  </si>
  <si>
    <t>Collateral ratio of tranche of gold is: 0.7669957584559076</t>
  </si>
  <si>
    <t xml:space="preserve"> collateral ratio of tranche of Treausry Bill Option is: 0.3841440335644627</t>
  </si>
  <si>
    <t xml:space="preserve"> collateral ratio of tranche of Collar of REIT is: 0.2710398326491025
</t>
  </si>
  <si>
    <t xml:space="preserve"> 0.2710398326491025
</t>
  </si>
  <si>
    <t xml:space="preserve">date is: 2022-01-04 00:00:00
</t>
  </si>
  <si>
    <t xml:space="preserve"> 2022-01-04 00</t>
  </si>
  <si>
    <t>current price of gold is: 1814.6</t>
  </si>
  <si>
    <t xml:space="preserve"> predicted price of gold is: 1815.796287825694
</t>
  </si>
  <si>
    <t xml:space="preserve"> 1815.796287825694
</t>
  </si>
  <si>
    <t>current price of tb is: 96.66796875</t>
  </si>
  <si>
    <t xml:space="preserve"> current price of tb option is: 4.370647425997293</t>
  </si>
  <si>
    <t xml:space="preserve"> predicted price of tb is: 96.8017853085511
</t>
  </si>
  <si>
    <t xml:space="preserve"> 96.8017853085511
</t>
  </si>
  <si>
    <t>current price of reit is: 69.35</t>
  </si>
  <si>
    <t xml:space="preserve"> current price of reit option is: 6.453606114300385</t>
  </si>
  <si>
    <t xml:space="preserve"> predicted price of reit is: 69.75539214889993
</t>
  </si>
  <si>
    <t xml:space="preserve"> 69.75539214889993
</t>
  </si>
  <si>
    <t>value_ratio_gold_to_total is: 0.09524774129252667</t>
  </si>
  <si>
    <t xml:space="preserve"> risk_ratio_to_gold is: 0.6937945180962397</t>
  </si>
  <si>
    <t xml:space="preserve"> risk_ratio_to_gold_before is: 0.6917106806708302
</t>
  </si>
  <si>
    <t xml:space="preserve"> 0.6917106806708302
</t>
  </si>
  <si>
    <t>value_ratio_tb_to_total is: 0.35864280405331855</t>
  </si>
  <si>
    <t xml:space="preserve"> risk_ratio_tb_to_gold is: 0.23000390149856975</t>
  </si>
  <si>
    <t xml:space="preserve"> risk_ratio_tb_to_gold_before is: 0.23387784269807135
</t>
  </si>
  <si>
    <t xml:space="preserve"> 0.23387784269807135
</t>
  </si>
  <si>
    <t>value_ratio_reit_to_total is: 0.5461094546541547</t>
  </si>
  <si>
    <t xml:space="preserve"> risk_ratio_reit_to_gold is: 0.21134504825096548</t>
  </si>
  <si>
    <t xml:space="preserve"> risk_ratio_reit_to_gold_before is: 0.2118132937033309
</t>
  </si>
  <si>
    <t xml:space="preserve"> 0.2118132937033309
</t>
  </si>
  <si>
    <t>delta_gold is: 1.0072996752615948</t>
  </si>
  <si>
    <t xml:space="preserve"> delta_tb is: 0.9999382417539117</t>
  </si>
  <si>
    <t xml:space="preserve"> delta_reit is: 1.0085907335235793
</t>
  </si>
  <si>
    <t xml:space="preserve"> 1.0085907335235793
</t>
  </si>
  <si>
    <t>delta_gold_risk is: 1.001231793030108</t>
  </si>
  <si>
    <t xml:space="preserve"> delta_tb_risk is: 0.9968603527306799</t>
  </si>
  <si>
    <t xml:space="preserve"> delta_reit_risk is: 0.9996135993433987
</t>
  </si>
  <si>
    <t xml:space="preserve"> 0.9996135993433987
</t>
  </si>
  <si>
    <t xml:space="preserve">collateral_ratio_tranche_gold is: 0.7716440726292675
</t>
  </si>
  <si>
    <t xml:space="preserve"> 0.7716440726292675
</t>
  </si>
  <si>
    <t xml:space="preserve">collateral_ratio_tranche_tb is: 0.38253770907917095
</t>
  </si>
  <si>
    <t xml:space="preserve"> 0.38253770907917095
</t>
  </si>
  <si>
    <t xml:space="preserve">collateral_ratio_tranche_reit is: 0.27149212975012427
</t>
  </si>
  <si>
    <t xml:space="preserve"> 0.27149212975012427
</t>
  </si>
  <si>
    <t>Total plot size is: 144709500.5019609</t>
  </si>
  <si>
    <t xml:space="preserve"> plot size of gold is: 78178513.89453058</t>
  </si>
  <si>
    <t xml:space="preserve"> plot size of TB is: 38868969.30477417</t>
  </si>
  <si>
    <t xml:space="preserve"> plot size of REIT is: 27662017.302656148
</t>
  </si>
  <si>
    <t xml:space="preserve"> 27662017.302656148
</t>
  </si>
  <si>
    <t xml:space="preserve">collateral ratio is: 1.4300802041536604
</t>
  </si>
  <si>
    <t xml:space="preserve"> 1.4300802041536604
</t>
  </si>
  <si>
    <t>S_gtbcps_0 is: 1.0004259976251384</t>
  </si>
  <si>
    <t xml:space="preserve">stdev_gtbcps is: 0.0067920078763713445
</t>
  </si>
  <si>
    <t xml:space="preserve"> 0.0067920078763713445
</t>
  </si>
  <si>
    <t>predicted price of GTBCPS is: 1.000420067195478</t>
  </si>
  <si>
    <t xml:space="preserve"> actual price is: 1.0004259976251384
</t>
  </si>
  <si>
    <t xml:space="preserve"> 1.0004259976251384
</t>
  </si>
  <si>
    <t>predicted amount of GTBCPS is: 101147290.82466649</t>
  </si>
  <si>
    <t xml:space="preserve"> actual amount is: 101146691.23319745
</t>
  </si>
  <si>
    <t>plot sizes of gold is: 78178513.89453058</t>
  </si>
  <si>
    <t xml:space="preserve"> plot sizes of tb is: 38868969.30477417 </t>
  </si>
  <si>
    <t xml:space="preserve"> plot sizes of reit is: 27662017.302656148</t>
  </si>
  <si>
    <t xml:space="preserve"> plot sizes of total is: 144709500.5019609.
</t>
  </si>
  <si>
    <t xml:space="preserve"> 144709500.5019609.
</t>
  </si>
  <si>
    <t>predicted stdevs of gold is: 0.008221308376234372</t>
  </si>
  <si>
    <t xml:space="preserve"> predicted stdevs of tb is: 0.0016670226869308425</t>
  </si>
  <si>
    <t xml:space="preserve"> predicted stdevs of reit is: 0.009953827279158929</t>
  </si>
  <si>
    <t xml:space="preserve"> predicted stdevs of GTBCPS is: 0.0067920078763713445.
</t>
  </si>
  <si>
    <t xml:space="preserve"> 0.0067920078763713445.
</t>
  </si>
  <si>
    <t>total_value_of_collaterals is: 144709292.1275724</t>
  </si>
  <si>
    <t xml:space="preserve"> createdtionValue_gold is: 463.4338299556077</t>
  </si>
  <si>
    <t xml:space="preserve"> createdValue_tb is: 230.4113534297794</t>
  </si>
  <si>
    <t xml:space="preserve"> createdValue_reit is: 163.97766428857034
</t>
  </si>
  <si>
    <t xml:space="preserve"> 163.97766428857034
</t>
  </si>
  <si>
    <t>plotValue_gold_after_creation is: 78177894.32697338</t>
  </si>
  <si>
    <t xml:space="preserve"> plotValue_tb_after_creation  is: 38868708.48831575</t>
  </si>
  <si>
    <t xml:space="preserve"> plotValue_reit_after_creation  is: 27661831.48943559</t>
  </si>
  <si>
    <t xml:space="preserve">total_value_after_creation is: 144708434.30472472
</t>
  </si>
  <si>
    <t xml:space="preserve"> 144708434.30472472
</t>
  </si>
  <si>
    <t>total_amount_gtncps_before_creation is: 101146691.23319745</t>
  </si>
  <si>
    <t>creation_amount_gtbcps is: 599.5914690345526</t>
  </si>
  <si>
    <t xml:space="preserve">total_amount_gtbcps_new is: 101147290.82466649
</t>
  </si>
  <si>
    <t xml:space="preserve"> 101147290.82466649
</t>
  </si>
  <si>
    <t>payout of tranche of gold is: -156.1337272553939</t>
  </si>
  <si>
    <t xml:space="preserve"> payout of tranche of Treausry Bill Option is: -30.405104984232267</t>
  </si>
  <si>
    <t xml:space="preserve"> payout of tranche of Collar of REIT is: -21.835556269481366
</t>
  </si>
  <si>
    <t xml:space="preserve"> -21.835556269481366
</t>
  </si>
  <si>
    <t>Collateral size of tranche of gold is: 78177894.32697338</t>
  </si>
  <si>
    <t xml:space="preserve"> collateral size of tranche of Treausry Bill Option is: 38868708.48831575</t>
  </si>
  <si>
    <t xml:space="preserve"> collateral size of tranche of Collar of REIT is: 27661831.48943559
</t>
  </si>
  <si>
    <t xml:space="preserve"> 27661831.48943559
</t>
  </si>
  <si>
    <t>Collateral ratio of tranche of gold is: 0.7725914431267942</t>
  </si>
  <si>
    <t xml:space="preserve"> collateral ratio of tranche of Treausry Bill Option is: 0.3841192173565815</t>
  </si>
  <si>
    <t xml:space="preserve"> collateral ratio of tranche of Collar of REIT is: 0.27336748442685543
</t>
  </si>
  <si>
    <t xml:space="preserve"> 0.27336748442685543
</t>
  </si>
  <si>
    <t xml:space="preserve">date is: 2022-01-05 00:00:00
</t>
  </si>
  <si>
    <t xml:space="preserve"> 2022-01-05 00</t>
  </si>
  <si>
    <t xml:space="preserve"> predicted price of gold is: 1805.1803267845808
</t>
  </si>
  <si>
    <t xml:space="preserve"> 1805.1803267845808
</t>
  </si>
  <si>
    <t>current price of tb is: 96.39453125</t>
  </si>
  <si>
    <t xml:space="preserve"> current price of tb option is: 4.367124873428642</t>
  </si>
  <si>
    <t xml:space="preserve"> predicted price of tb is: 96.53199137410884
</t>
  </si>
  <si>
    <t xml:space="preserve"> 96.53199137410884
</t>
  </si>
  <si>
    <t xml:space="preserve"> current price of reit option is: 6.43914907451159</t>
  </si>
  <si>
    <t xml:space="preserve"> predicted price of reit is: 69.12298695332113
</t>
  </si>
  <si>
    <t xml:space="preserve"> 69.12298695332113
</t>
  </si>
  <si>
    <t>value_ratio_gold_to_total is: -0.8473711459072678</t>
  </si>
  <si>
    <t xml:space="preserve"> risk_ratio_to_gold is: 0.6941312471892057</t>
  </si>
  <si>
    <t xml:space="preserve"> risk_ratio_to_gold_before is: 0.6937945180962397
</t>
  </si>
  <si>
    <t xml:space="preserve"> 0.6937945180962397
</t>
  </si>
  <si>
    <t>value_ratio_tb_to_total is: 0.7257210086759595</t>
  </si>
  <si>
    <t xml:space="preserve"> risk_ratio_tb_to_gold is: 0.23021383166556741</t>
  </si>
  <si>
    <t xml:space="preserve"> risk_ratio_tb_to_gold_before is: 0.23000390149856975
</t>
  </si>
  <si>
    <t xml:space="preserve"> 0.23000390149856975
</t>
  </si>
  <si>
    <t>value_ratio_reit_to_total is: 1.1216501372313084</t>
  </si>
  <si>
    <t xml:space="preserve"> risk_ratio_reit_to_gold is: 0.21043590719775268</t>
  </si>
  <si>
    <t xml:space="preserve"> risk_ratio_reit_to_gold_before is: 0.21134504825096548
</t>
  </si>
  <si>
    <t xml:space="preserve"> 0.21134504825096548
</t>
  </si>
  <si>
    <t>delta_gold is: 0.9977074837429737</t>
  </si>
  <si>
    <t xml:space="preserve"> delta_tb is: 0.9972588693011569</t>
  </si>
  <si>
    <t xml:space="preserve"> delta_reit is: 0.9899152945489677
</t>
  </si>
  <si>
    <t xml:space="preserve"> 0.9899152945489677
</t>
  </si>
  <si>
    <t>delta_gold_risk is: 1.000198801619304</t>
  </si>
  <si>
    <t xml:space="preserve"> delta_tb_risk is: 1.0001706743911478</t>
  </si>
  <si>
    <t xml:space="preserve"> delta_reit_risk is: 0.9992494780454788
</t>
  </si>
  <si>
    <t xml:space="preserve"> 0.9992494780454788
</t>
  </si>
  <si>
    <t xml:space="preserve">collateral_ratio_tranche_gold is: 0.7706670548249432
</t>
  </si>
  <si>
    <t xml:space="preserve"> 0.7706670548249432
</t>
  </si>
  <si>
    <t xml:space="preserve">collateral_ratio_tranche_tb is: 0.3838809813181217
</t>
  </si>
  <si>
    <t xml:space="preserve"> 0.3838809813181217
</t>
  </si>
  <si>
    <t xml:space="preserve">collateral_ratio_tranche_reit is: 0.27143617749795873
</t>
  </si>
  <si>
    <t xml:space="preserve"> 0.27143617749795873
</t>
  </si>
  <si>
    <t>Total plot size is: 144143704.5781713</t>
  </si>
  <si>
    <t xml:space="preserve"> plot size of gold is: 77998670.2332887</t>
  </si>
  <si>
    <t xml:space="preserve"> plot size of TB is: 38762164.27825405</t>
  </si>
  <si>
    <t xml:space="preserve"> plot size of REIT is: 27382870.06662854
</t>
  </si>
  <si>
    <t xml:space="preserve"> 27382870.06662854
</t>
  </si>
  <si>
    <t xml:space="preserve">collateral ratio is: 1.4244887706444875
</t>
  </si>
  <si>
    <t xml:space="preserve"> 1.4244887706444875
</t>
  </si>
  <si>
    <t>S_gtbcps_0 is: 1.000420067195478</t>
  </si>
  <si>
    <t xml:space="preserve">stdev_gtbcps is: 0.00681170621870974
</t>
  </si>
  <si>
    <t xml:space="preserve"> 0.00681170621870974
</t>
  </si>
  <si>
    <t>predicted price of GTBCPS is: 1.0003576438857833</t>
  </si>
  <si>
    <t xml:space="preserve"> actual price is: 1.000420067195478
</t>
  </si>
  <si>
    <t xml:space="preserve"> 1.000420067195478
</t>
  </si>
  <si>
    <t>predicted amount of GTBCPS is: 101153602.51598857</t>
  </si>
  <si>
    <t xml:space="preserve"> actual amount is: 101147290.82466649
</t>
  </si>
  <si>
    <t>plot sizes of gold is: 77998670.2332887</t>
  </si>
  <si>
    <t xml:space="preserve"> plot sizes of tb is: 38762164.27825405 </t>
  </si>
  <si>
    <t xml:space="preserve"> plot sizes of reit is: 27382870.06662854</t>
  </si>
  <si>
    <t xml:space="preserve"> plot sizes of total is: 144143704.57817128.
</t>
  </si>
  <si>
    <t xml:space="preserve"> 144143704.57817128.
</t>
  </si>
  <si>
    <t>predicted stdevs of gold is: 0.008243713581373751</t>
  </si>
  <si>
    <t xml:space="preserve"> predicted stdevs of tb is: 0.001677748323523043</t>
  </si>
  <si>
    <t xml:space="preserve"> predicted stdevs of reit is: 0.01000014662201127</t>
  </si>
  <si>
    <t xml:space="preserve"> predicted stdevs of GTBCPS is: 0.00681170621870974.
</t>
  </si>
  <si>
    <t xml:space="preserve"> 0.00681170621870974.
</t>
  </si>
  <si>
    <t>total_value_of_collaterals is: 144141508.24496394</t>
  </si>
  <si>
    <t xml:space="preserve"> createdtionValue_gold is: 4866.78412735679</t>
  </si>
  <si>
    <t xml:space="preserve"> createdValue_tb is: 2418.625785627222</t>
  </si>
  <si>
    <t xml:space="preserve"> createdValue_reit is: 1708.6020066473047
</t>
  </si>
  <si>
    <t xml:space="preserve"> 1708.6020066473047
</t>
  </si>
  <si>
    <t>plotValue_gold_after_creation is: 77992095.0487423</t>
  </si>
  <si>
    <t xml:space="preserve"> plotValue_tb_after_creation  is: 38759412.21630196</t>
  </si>
  <si>
    <t xml:space="preserve"> plotValue_reit_after_creation  is: 27381006.968000066</t>
  </si>
  <si>
    <t xml:space="preserve">total_value_after_creation is: 144132514.23304433
</t>
  </si>
  <si>
    <t xml:space="preserve"> 144132514.23304433
</t>
  </si>
  <si>
    <t>total_amount_gtncps_before_creation is: 101147290.82466649</t>
  </si>
  <si>
    <t>creation_amount_gtbcps is: 6311.691322088242</t>
  </si>
  <si>
    <t xml:space="preserve">total_amount_gtbcps_new is: 101153602.51598857
</t>
  </si>
  <si>
    <t xml:space="preserve"> 101153602.51598857
</t>
  </si>
  <si>
    <t>payout of tranche of gold is: -1708.400419054615</t>
  </si>
  <si>
    <t xml:space="preserve"> payout of tranche of Treausry Bill Option is: -333.4361664561859</t>
  </si>
  <si>
    <t xml:space="preserve"> payout of tranche of Collar of REIT is: -154.49662182797806
</t>
  </si>
  <si>
    <t xml:space="preserve"> -154.49662182797806
</t>
  </si>
  <si>
    <t>Collateral size of tranche of gold is: 77992095.0487423</t>
  </si>
  <si>
    <t xml:space="preserve"> collateral size of tranche of Treausry Bill Option is: 38759412.21630196</t>
  </si>
  <si>
    <t xml:space="preserve"> collateral size of tranche of Collar of REIT is: 27381006.968000066
</t>
  </si>
  <si>
    <t xml:space="preserve"> 27381006.968000066
</t>
  </si>
  <si>
    <t>Collateral ratio of tranche of gold is: 0.7707988122024099</t>
  </si>
  <si>
    <t xml:space="preserve"> collateral ratio of tranche of Treausry Bill Option is: 0.38306073044092315</t>
  </si>
  <si>
    <t xml:space="preserve"> collateral ratio of tranche of Collar of REIT is: 0.27060752291178136
</t>
  </si>
  <si>
    <t xml:space="preserve"> 0.27060752291178136
</t>
  </si>
  <si>
    <t xml:space="preserve">date is: 2022-01-06 00:00:00
</t>
  </si>
  <si>
    <t xml:space="preserve"> 2022-01-06 00</t>
  </si>
  <si>
    <t>current price of gold is: 1791.16</t>
  </si>
  <si>
    <t xml:space="preserve"> predicted price of gold is: 1802.002646892249
</t>
  </si>
  <si>
    <t xml:space="preserve"> 1802.002646892249
</t>
  </si>
  <si>
    <t>current price of tb is: 96.2265625</t>
  </si>
  <si>
    <t xml:space="preserve"> current price of tb option is: 4.365803550304205</t>
  </si>
  <si>
    <t xml:space="preserve"> predicted price of tb is: 96.36538917445387
</t>
  </si>
  <si>
    <t xml:space="preserve"> 96.36538917445387
</t>
  </si>
  <si>
    <t xml:space="preserve"> current price of reit option is: 6.44310819114483</t>
  </si>
  <si>
    <t xml:space="preserve"> predicted price of reit is: 68.49800758566907
</t>
  </si>
  <si>
    <t xml:space="preserve"> 68.49800758566907
</t>
  </si>
  <si>
    <t>value_ratio_gold_to_total is: 0.4864705563968622</t>
  </si>
  <si>
    <t xml:space="preserve"> risk_ratio_to_gold is: 0.6825853950275599</t>
  </si>
  <si>
    <t xml:space="preserve"> risk_ratio_to_gold_before is: 0.6941312471892057
</t>
  </si>
  <si>
    <t xml:space="preserve"> 0.6941312471892057
</t>
  </si>
  <si>
    <t>value_ratio_tb_to_total is: 0.20210655143318615</t>
  </si>
  <si>
    <t xml:space="preserve"> risk_ratio_tb_to_gold is: 0.24334304956138417</t>
  </si>
  <si>
    <t xml:space="preserve"> risk_ratio_tb_to_gold_before is: 0.23021383166556741
</t>
  </si>
  <si>
    <t xml:space="preserve"> 0.23021383166556741
</t>
  </si>
  <si>
    <t>value_ratio_reit_to_total is: 0.3114228921699516</t>
  </si>
  <si>
    <t xml:space="preserve"> risk_ratio_reit_to_gold is: 0.2216751112207174</t>
  </si>
  <si>
    <t xml:space="preserve"> risk_ratio_reit_to_gold_before is: 0.21043590719775268
</t>
  </si>
  <si>
    <t xml:space="preserve"> 0.21043590719775268
</t>
  </si>
  <si>
    <t>delta_gold is: 0.9893506550893706</t>
  </si>
  <si>
    <t xml:space="preserve"> delta_tb is: 0.9983198958846304</t>
  </si>
  <si>
    <t xml:space="preserve"> delta_reit is: 0.9920569344040016
</t>
  </si>
  <si>
    <t xml:space="preserve"> 0.9920569344040016
</t>
  </si>
  <si>
    <t>delta_gold_risk is: 0.9931847947549508</t>
  </si>
  <si>
    <t xml:space="preserve"> delta_tb_risk is: 1.0106723055438591</t>
  </si>
  <si>
    <t xml:space="preserve"> delta_reit_risk is: 1.0092852533175294
</t>
  </si>
  <si>
    <t xml:space="preserve"> 1.0092852533175294
</t>
  </si>
  <si>
    <t xml:space="preserve">collateral_ratio_tranche_gold is: 0.767823182374351
</t>
  </si>
  <si>
    <t xml:space="preserve"> 0.767823182374351
</t>
  </si>
  <si>
    <t xml:space="preserve">collateral_ratio_tranche_tb is: 0.382451834017266
</t>
  </si>
  <si>
    <t xml:space="preserve"> 0.382451834017266
</t>
  </si>
  <si>
    <t xml:space="preserve">collateral_ratio_tranche_reit is: 0.2688513920573188
</t>
  </si>
  <si>
    <t xml:space="preserve"> 0.2688513920573188
</t>
  </si>
  <si>
    <t>Total plot size is: 143019340.53016245</t>
  </si>
  <si>
    <t xml:space="preserve"> plot size of gold is: 77161530.32826565</t>
  </si>
  <si>
    <t xml:space="preserve"> plot size of TB is: 38694292.36832805</t>
  </si>
  <si>
    <t xml:space="preserve"> plot size of REIT is: 27163517.83356875
</t>
  </si>
  <si>
    <t xml:space="preserve"> 27163517.83356875
</t>
  </si>
  <si>
    <t xml:space="preserve">collateral ratio is: 1.4133773317842744
</t>
  </si>
  <si>
    <t xml:space="preserve"> 1.4133773317842744
</t>
  </si>
  <si>
    <t>S_gtbcps_0 is: 1.0003576438857833</t>
  </si>
  <si>
    <t xml:space="preserve">stdev_gtbcps is: 0.006626236832051205
</t>
  </si>
  <si>
    <t xml:space="preserve"> 0.006626236832051205
</t>
  </si>
  <si>
    <t>predicted price of GTBCPS is: 1.0003797595570767</t>
  </si>
  <si>
    <t xml:space="preserve"> actual price is: 1.0003576438857833
</t>
  </si>
  <si>
    <t xml:space="preserve"> 1.0003576438857833
</t>
  </si>
  <si>
    <t>predicted amount of GTBCPS is: 101151366.28539513</t>
  </si>
  <si>
    <t xml:space="preserve"> actual amount is: 101153602.51598857
</t>
  </si>
  <si>
    <t>plot sizes of gold is: 77161530.32826565</t>
  </si>
  <si>
    <t xml:space="preserve"> plot sizes of tb is: 38694292.36832805 </t>
  </si>
  <si>
    <t xml:space="preserve"> plot sizes of reit is: 27163517.83356875</t>
  </si>
  <si>
    <t xml:space="preserve"> plot sizes of total is: 143019340.53016245.
</t>
  </si>
  <si>
    <t xml:space="preserve"> 143019340.53016245.
</t>
  </si>
  <si>
    <t>predicted stdevs of gold is: 0.007909683938269477</t>
  </si>
  <si>
    <t xml:space="preserve"> predicted stdevs of tb is: 0.0016762849950627363</t>
  </si>
  <si>
    <t xml:space="preserve"> predicted stdevs of reit is: 0.010031618320014224</t>
  </si>
  <si>
    <t xml:space="preserve"> predicted stdevs of GTBCPS is: 0.006626236832051205.
</t>
  </si>
  <si>
    <t xml:space="preserve"> 0.006626236832051205.
</t>
  </si>
  <si>
    <t>total_value_of_collaterals is: 143020117.59176263</t>
  </si>
  <si>
    <t xml:space="preserve"> createdtionValue_gold is: -1705.8822887682657</t>
  </si>
  <si>
    <t xml:space="preserve"> createdValue_tb is: -855.4468450139594</t>
  </si>
  <si>
    <t xml:space="preserve"> createdValue_reit is: -600.5259570736413
</t>
  </si>
  <si>
    <t xml:space="preserve"> -600.5259570736413
</t>
  </si>
  <si>
    <t>plotValue_gold_after_creation is: 77163839.66979958</t>
  </si>
  <si>
    <t xml:space="preserve"> plotValue_tb_after_creation  is: 38695262.63875765</t>
  </si>
  <si>
    <t xml:space="preserve"> plotValue_reit_after_creation  is: 27164177.138296247</t>
  </si>
  <si>
    <t xml:space="preserve">total_value_after_creation is: 143023279.4468535
</t>
  </si>
  <si>
    <t xml:space="preserve"> 143023279.4468535
</t>
  </si>
  <si>
    <t>total_amount_gtncps_before_creation is: 101153602.51598857</t>
  </si>
  <si>
    <t>creation_amount_gtbcps is: -2236.230593442917</t>
  </si>
  <si>
    <t xml:space="preserve">total_amount_gtbcps_new is: 101151366.28539513
</t>
  </si>
  <si>
    <t xml:space="preserve"> 101151366.28539513
</t>
  </si>
  <si>
    <t>payout of tranche of gold is: 603.4592451570013</t>
  </si>
  <si>
    <t xml:space="preserve"> payout of tranche of Treausry Bill Option is: 114.8235845835441</t>
  </si>
  <si>
    <t xml:space="preserve"> payout of tranche of Collar of REIT is: 58.77877042108037
</t>
  </si>
  <si>
    <t xml:space="preserve"> 58.77877042108037
</t>
  </si>
  <si>
    <t>Collateral size of tranche of gold is: 77163839.66979958</t>
  </si>
  <si>
    <t xml:space="preserve"> collateral size of tranche of Treausry Bill Option is: 38695262.63875765</t>
  </si>
  <si>
    <t xml:space="preserve"> collateral size of tranche of Collar of REIT is: 27164177.138296247
</t>
  </si>
  <si>
    <t xml:space="preserve"> 27164177.138296247
</t>
  </si>
  <si>
    <t>Collateral ratio of tranche of gold is: 0.7625486900100263</t>
  </si>
  <si>
    <t xml:space="preserve"> collateral ratio of tranche of Treausry Bill Option is: 0.38239442154570535</t>
  </si>
  <si>
    <t xml:space="preserve"> collateral ratio of tranche of Collar of REIT is: 0.26844189947840513
</t>
  </si>
  <si>
    <t xml:space="preserve"> 0.26844189947840513
</t>
  </si>
  <si>
    <t xml:space="preserve">date is: 2022-01-07 00:00:00
</t>
  </si>
  <si>
    <t xml:space="preserve"> 2022-01-07 00</t>
  </si>
  <si>
    <t>current price of gold is: 1796.55</t>
  </si>
  <si>
    <t xml:space="preserve"> predicted price of gold is: 1798.6149401639123
</t>
  </si>
  <si>
    <t xml:space="preserve"> 1798.6149401639123
</t>
  </si>
  <si>
    <t>current price of tb is: 96.1328125</t>
  </si>
  <si>
    <t xml:space="preserve"> current price of tb option is: 4.363607586525239</t>
  </si>
  <si>
    <t xml:space="preserve"> predicted price of tb is: 96.27391073841501
</t>
  </si>
  <si>
    <t xml:space="preserve"> 96.27391073841501
</t>
  </si>
  <si>
    <t xml:space="preserve"> current price of reit option is: 6.427199633475254</t>
  </si>
  <si>
    <t xml:space="preserve"> predicted price of reit is: 68.35709607637861
</t>
  </si>
  <si>
    <t xml:space="preserve"> 68.35709607637861
</t>
  </si>
  <si>
    <t>value_ratio_gold_to_total is: 0.15348216977265788</t>
  </si>
  <si>
    <t xml:space="preserve"> risk_ratio_to_gold is: 0.6754311110936164</t>
  </si>
  <si>
    <t xml:space="preserve"> risk_ratio_to_gold_before is: 0.6825853950275599
</t>
  </si>
  <si>
    <t xml:space="preserve"> 0.6825853950275599
</t>
  </si>
  <si>
    <t>value_ratio_tb_to_total is: 0.33482424153609747</t>
  </si>
  <si>
    <t xml:space="preserve"> risk_ratio_tb_to_gold is: 0.2511398604119316</t>
  </si>
  <si>
    <t xml:space="preserve"> risk_ratio_tb_to_gold_before is: 0.24334304956138417
</t>
  </si>
  <si>
    <t xml:space="preserve"> 0.24334304956138417
</t>
  </si>
  <si>
    <t>value_ratio_reit_to_total is: 0.5116935886912447</t>
  </si>
  <si>
    <t xml:space="preserve"> risk_ratio_reit_to_gold is: 0.22939602781634616</t>
  </si>
  <si>
    <t xml:space="preserve"> risk_ratio_reit_to_gold_before is: 0.2216751112207174
</t>
  </si>
  <si>
    <t xml:space="preserve"> 0.2216751112207174
</t>
  </si>
  <si>
    <t>delta_gold is: 1.0030092230733156</t>
  </si>
  <si>
    <t xml:space="preserve"> delta_tb is: 0.9990461904064272</t>
  </si>
  <si>
    <t xml:space="preserve"> delta_reit is: 0.9984429914267959
</t>
  </si>
  <si>
    <t xml:space="preserve"> 0.9984429914267959
</t>
  </si>
  <si>
    <t>delta_gold_risk is: 0.9957480411068073</t>
  </si>
  <si>
    <t xml:space="preserve"> delta_tb_risk is: 1.0062708444409594</t>
  </si>
  <si>
    <t xml:space="preserve"> delta_reit_risk is: 1.006319942613805
</t>
  </si>
  <si>
    <t xml:space="preserve"> 1.006319942613805
</t>
  </si>
  <si>
    <t xml:space="preserve">collateral_ratio_tranche_gold is: 0.7681093384551198
</t>
  </si>
  <si>
    <t xml:space="preserve"> 0.7681093384551198
</t>
  </si>
  <si>
    <t xml:space="preserve">collateral_ratio_tranche_tb is: 0.3785099495683729
</t>
  </si>
  <si>
    <t xml:space="preserve"> 0.3785099495683729
</t>
  </si>
  <si>
    <t xml:space="preserve">collateral_ratio_tranche_reit is: 0.26554160144155786
</t>
  </si>
  <si>
    <t xml:space="preserve"> 0.26554160144155786
</t>
  </si>
  <si>
    <t>Total plot size is: 143176279.88419443</t>
  </si>
  <si>
    <t xml:space="preserve"> plot size of gold is: 77396042.87655957</t>
  </si>
  <si>
    <t xml:space="preserve"> plot size of TB is: 38658354.72602699</t>
  </si>
  <si>
    <t xml:space="preserve"> plot size of REIT is: 27121882.281607885
</t>
  </si>
  <si>
    <t xml:space="preserve"> 27121882.281607885
</t>
  </si>
  <si>
    <t xml:space="preserve">collateral ratio is: 1.4149282725495682
</t>
  </si>
  <si>
    <t xml:space="preserve"> 1.4149282725495682
</t>
  </si>
  <si>
    <t>S_gtbcps_0 is: 1.0003797595570767</t>
  </si>
  <si>
    <t xml:space="preserve">stdev_gtbcps is: 0.006540397171383961
</t>
  </si>
  <si>
    <t xml:space="preserve"> 0.006540397171383961
</t>
  </si>
  <si>
    <t>predicted price of GTBCPS is: 1.0003848586029689</t>
  </si>
  <si>
    <t xml:space="preserve"> actual price is: 1.0003797595570767
</t>
  </si>
  <si>
    <t xml:space="preserve"> 1.0003797595570767
</t>
  </si>
  <si>
    <t>predicted amount of GTBCPS is: 101150850.70836067</t>
  </si>
  <si>
    <t xml:space="preserve"> actual amount is: 101151366.28539513
</t>
  </si>
  <si>
    <t>plot sizes of gold is: 77396042.87655957</t>
  </si>
  <si>
    <t xml:space="preserve"> plot sizes of tb is: 38658354.72602699 </t>
  </si>
  <si>
    <t xml:space="preserve"> plot sizes of reit is: 27121882.281607885</t>
  </si>
  <si>
    <t xml:space="preserve"> plot sizes of total is: 143176279.88419446.
</t>
  </si>
  <si>
    <t xml:space="preserve"> 143176279.88419446.
</t>
  </si>
  <si>
    <t>predicted stdevs of gold is: 0.00775040743771569</t>
  </si>
  <si>
    <t xml:space="preserve"> predicted stdevs of tb is: 0.0016760336651272126</t>
  </si>
  <si>
    <t xml:space="preserve"> predicted stdevs of reit is: 0.010020918268960597</t>
  </si>
  <si>
    <t xml:space="preserve"> predicted stdevs of GTBCPS is: 0.006540397171383961.
</t>
  </si>
  <si>
    <t xml:space="preserve"> 0.006540397171383961.
</t>
  </si>
  <si>
    <t>total_value_of_collaterals is: 143176458.9628215</t>
  </si>
  <si>
    <t xml:space="preserve"> createdtionValue_gold is: -394.49679644680845</t>
  </si>
  <si>
    <t xml:space="preserve"> createdValue_tb is: -197.0460782739674</t>
  </si>
  <si>
    <t xml:space="preserve"> createdValue_reit is: -138.243316886822
</t>
  </si>
  <si>
    <t xml:space="preserve"> -138.243316886822
</t>
  </si>
  <si>
    <t>plotValue_gold_after_creation is: 77396562.08255072</t>
  </si>
  <si>
    <t xml:space="preserve"> plotValue_tb_after_creation  is: 38658587.76957287</t>
  </si>
  <si>
    <t xml:space="preserve"> plotValue_reit_after_creation  is: 27122038.89688953</t>
  </si>
  <si>
    <t xml:space="preserve">total_value_after_creation is: 143177188.74901313
</t>
  </si>
  <si>
    <t xml:space="preserve"> 143177188.74901313
</t>
  </si>
  <si>
    <t>total_amount_gtncps_before_creation is: 101151366.28539513</t>
  </si>
  <si>
    <t>creation_amount_gtbcps is: -515.577034458518</t>
  </si>
  <si>
    <t xml:space="preserve">total_amount_gtbcps_new is: 101150850.70836067
</t>
  </si>
  <si>
    <t xml:space="preserve"> 101150850.70836067
</t>
  </si>
  <si>
    <t>payout of tranche of gold is: 124.70919470605294</t>
  </si>
  <si>
    <t xml:space="preserve"> payout of tranche of Treausry Bill Option is: 35.997467606470614</t>
  </si>
  <si>
    <t xml:space="preserve"> payout of tranche of Collar of REIT is: 18.371964761187957
</t>
  </si>
  <si>
    <t xml:space="preserve"> 18.371964761187957
</t>
  </si>
  <si>
    <t>Collateral size of tranche of gold is: 77396562.08255072</t>
  </si>
  <si>
    <t xml:space="preserve"> collateral size of tranche of Treausry Bill Option is: 38658587.76957287</t>
  </si>
  <si>
    <t xml:space="preserve"> collateral size of tranche of Collar of REIT is: 27122038.89688953
</t>
  </si>
  <si>
    <t xml:space="preserve"> 27122038.89688953
</t>
  </si>
  <si>
    <t>Collateral ratio of tranche of gold is: 0.7648615105284435</t>
  </si>
  <si>
    <t xml:space="preserve"> collateral ratio of tranche of Treausry Bill Option is: 0.38203849164248876</t>
  </si>
  <si>
    <t xml:space="preserve"> collateral ratio of tranche of Collar of REIT is: 0.26803004010901743
</t>
  </si>
  <si>
    <t xml:space="preserve"> 0.26803004010901743
</t>
  </si>
  <si>
    <t xml:space="preserve">date is: 2022-01-10 00:00:00
</t>
  </si>
  <si>
    <t xml:space="preserve"> 2022-01-10 00</t>
  </si>
  <si>
    <t>current price of gold is: 1801.68</t>
  </si>
  <si>
    <t xml:space="preserve"> predicted price of gold is: 1799.5112070194143
</t>
  </si>
  <si>
    <t xml:space="preserve"> 1799.5112070194143
</t>
  </si>
  <si>
    <t>current price of tb is: 96.03125</t>
  </si>
  <si>
    <t xml:space="preserve"> current price of tb option is: 4.362202053169958</t>
  </si>
  <si>
    <t xml:space="preserve"> predicted price of tb is: 96.17380205413563
</t>
  </si>
  <si>
    <t xml:space="preserve"> 96.17380205413563
</t>
  </si>
  <si>
    <t xml:space="preserve"> current price of reit option is: 6.420322890204744</t>
  </si>
  <si>
    <t xml:space="preserve"> predicted price of reit is: 68.34349937344628
</t>
  </si>
  <si>
    <t xml:space="preserve"> 68.34349937344628
</t>
  </si>
  <si>
    <t>value_ratio_gold_to_total is: -0.23574391793352026</t>
  </si>
  <si>
    <t xml:space="preserve"> risk_ratio_to_gold is: 0.6755201238586568</t>
  </si>
  <si>
    <t xml:space="preserve"> risk_ratio_to_gold_before is: 0.6754311110936164
</t>
  </si>
  <si>
    <t xml:space="preserve"> 0.6754311110936164
</t>
  </si>
  <si>
    <t>value_ratio_tb_to_total is: 0.48965871435849045</t>
  </si>
  <si>
    <t xml:space="preserve"> risk_ratio_tb_to_gold is: 0.2508161492228687</t>
  </si>
  <si>
    <t xml:space="preserve"> risk_ratio_tb_to_gold_before is: 0.2511398604119316
</t>
  </si>
  <si>
    <t xml:space="preserve"> 0.2511398604119316
</t>
  </si>
  <si>
    <t>value_ratio_reit_to_total is: 0.7460852035750298</t>
  </si>
  <si>
    <t xml:space="preserve"> risk_ratio_reit_to_gold is: 0.2295246499347834</t>
  </si>
  <si>
    <t xml:space="preserve"> risk_ratio_reit_to_gold_before is: 0.22939602781634616
</t>
  </si>
  <si>
    <t xml:space="preserve"> 0.22939602781634616
</t>
  </si>
  <si>
    <t>delta_gold is: 1.0028554729898973</t>
  </si>
  <si>
    <t xml:space="preserve"> delta_tb is: 0.9989754059570816</t>
  </si>
  <si>
    <t xml:space="preserve"> delta_reit is: 0.9999074801243095
</t>
  </si>
  <si>
    <t xml:space="preserve"> 0.9999074801243095
</t>
  </si>
  <si>
    <t>delta_gold_risk is: 1.0000531282751353</t>
  </si>
  <si>
    <t xml:space="preserve"> delta_tb_risk is: 0.9997412669843669</t>
  </si>
  <si>
    <t xml:space="preserve"> delta_reit_risk is: 1.0001046222010868
</t>
  </si>
  <si>
    <t xml:space="preserve"> 1.0001046222010868
</t>
  </si>
  <si>
    <t xml:space="preserve">collateral_ratio_tranche_gold is: 0.7670048022706045
</t>
  </si>
  <si>
    <t xml:space="preserve"> 0.7670048022706045
</t>
  </si>
  <si>
    <t xml:space="preserve">collateral_ratio_tranche_tb is: 0.38065886641752805
</t>
  </si>
  <si>
    <t xml:space="preserve"> 0.38065886641752805
</t>
  </si>
  <si>
    <t xml:space="preserve">collateral_ratio_tranche_reit is: 0.26721418275655145
</t>
  </si>
  <si>
    <t xml:space="preserve"> 0.26721418275655145
</t>
  </si>
  <si>
    <t>Total plot size is: 143356073.85514718</t>
  </si>
  <si>
    <t xml:space="preserve"> plot size of gold is: 77617565.87508835</t>
  </si>
  <si>
    <t xml:space="preserve"> plot size of TB is: 38618978.410836525</t>
  </si>
  <si>
    <t xml:space="preserve"> plot size of REIT is: 27119529.569222316
</t>
  </si>
  <si>
    <t xml:space="preserve"> 27119529.569222316
</t>
  </si>
  <si>
    <t xml:space="preserve">collateral ratio is: 1.4167050722606707
</t>
  </si>
  <si>
    <t xml:space="preserve"> 1.4167050722606707
</t>
  </si>
  <si>
    <t>S_gtbcps_0 is: 1.0003848586029689</t>
  </si>
  <si>
    <t xml:space="preserve">stdev_gtbcps is: 0.006535299490056188
</t>
  </si>
  <si>
    <t xml:space="preserve"> 0.006535299490056188
</t>
  </si>
  <si>
    <t>predicted price of GTBCPS is: 1.0003799443544241</t>
  </si>
  <si>
    <t xml:space="preserve"> actual price is: 1.0003848586029689
</t>
  </si>
  <si>
    <t xml:space="preserve"> 1.0003848586029689
</t>
  </si>
  <si>
    <t>predicted amount of GTBCPS is: 101151347.5999904</t>
  </si>
  <si>
    <t xml:space="preserve"> actual amount is: 101150850.70836067
</t>
  </si>
  <si>
    <t>plot sizes of gold is: 77617565.87508835</t>
  </si>
  <si>
    <t xml:space="preserve"> plot sizes of tb is: 38618978.410836525 </t>
  </si>
  <si>
    <t xml:space="preserve"> plot sizes of reit is: 27119529.569222316</t>
  </si>
  <si>
    <t xml:space="preserve"> plot sizes of total is: 143356073.85514718.
</t>
  </si>
  <si>
    <t xml:space="preserve"> 143356073.85514718.
</t>
  </si>
  <si>
    <t>predicted stdevs of gold is: 0.0077542351243600205</t>
  </si>
  <si>
    <t xml:space="preserve"> predicted stdevs of tb is: 0.0016746142990012257</t>
  </si>
  <si>
    <t xml:space="preserve"> predicted stdevs of reit is: 0.00996839294857314</t>
  </si>
  <si>
    <t xml:space="preserve"> predicted stdevs of GTBCPS is: 0.006535299490056188.
</t>
  </si>
  <si>
    <t xml:space="preserve"> 0.006535299490056188.
</t>
  </si>
  <si>
    <t>total_value_of_collaterals is: 143355900.99966103</t>
  </si>
  <si>
    <t xml:space="preserve"> createdtionValue_gold is: 381.28460818611586</t>
  </si>
  <si>
    <t xml:space="preserve"> createdValue_tb is: 189.71012237887126</t>
  </si>
  <si>
    <t xml:space="preserve"> createdValue_reit is: 133.2207739106415
</t>
  </si>
  <si>
    <t xml:space="preserve"> 133.2207739106415
</t>
  </si>
  <si>
    <t>plotValue_gold_after_creation is: 77617050.02219573</t>
  </si>
  <si>
    <t xml:space="preserve"> plotValue_tb_after_creation  is: 38618763.36537078</t>
  </si>
  <si>
    <t xml:space="preserve"> plotValue_reit_after_creation  is: 27119383.39659004</t>
  </si>
  <si>
    <t xml:space="preserve">total_value_after_creation is: 143355196.78415656
</t>
  </si>
  <si>
    <t xml:space="preserve"> 143355196.78415656
</t>
  </si>
  <si>
    <t>total_amount_gtncps_before_creation is: 101150850.70836067</t>
  </si>
  <si>
    <t>creation_amount_gtbcps is: 496.89162972569466</t>
  </si>
  <si>
    <t xml:space="preserve">total_amount_gtbcps_new is: 101151347.5999904
</t>
  </si>
  <si>
    <t xml:space="preserve"> 101151347.5999904
</t>
  </si>
  <si>
    <t>payout of tranche of gold is: -134.5682844362749</t>
  </si>
  <si>
    <t xml:space="preserve"> payout of tranche of Treausry Bill Option is: -25.33534336637595</t>
  </si>
  <si>
    <t xml:space="preserve"> payout of tranche of Collar of REIT is: -12.951858366724116
</t>
  </si>
  <si>
    <t xml:space="preserve"> -12.951858366724116
</t>
  </si>
  <si>
    <t>Collateral size of tranche of gold is: 77617050.02219573</t>
  </si>
  <si>
    <t xml:space="preserve"> collateral size of tranche of Treausry Bill Option is: 38618763.36537078</t>
  </si>
  <si>
    <t xml:space="preserve"> collateral size of tranche of Collar of REIT is: 27119383.39659004
</t>
  </si>
  <si>
    <t xml:space="preserve"> 27119383.39659004
</t>
  </si>
  <si>
    <t>Collateral ratio of tranche of gold is: 0.7670481317680502</t>
  </si>
  <si>
    <t xml:space="preserve"> collateral ratio of tranche of Treausry Bill Option is: 0.3816487522023718</t>
  </si>
  <si>
    <t xml:space="preserve"> collateral ratio of tranche of Collar of REIT is: 0.2680064800595651
</t>
  </si>
  <si>
    <t xml:space="preserve"> 0.2680064800595651
</t>
  </si>
  <si>
    <t xml:space="preserve">date is: 2022-01-11 00:00:00
</t>
  </si>
  <si>
    <t xml:space="preserve"> 2022-01-11 00</t>
  </si>
  <si>
    <t>current price of gold is: 1821.6</t>
  </si>
  <si>
    <t xml:space="preserve"> predicted price of gold is: 1817.812803871663
</t>
  </si>
  <si>
    <t xml:space="preserve"> 1817.812803871663
</t>
  </si>
  <si>
    <t>current price of tb is: 96.09765625</t>
  </si>
  <si>
    <t xml:space="preserve"> current price of tb option is: 4.36443259978569</t>
  </si>
  <si>
    <t xml:space="preserve"> predicted price of tb is: 96.23790090223488
</t>
  </si>
  <si>
    <t xml:space="preserve"> 96.23790090223488
</t>
  </si>
  <si>
    <t xml:space="preserve"> current price of reit option is: 6.458406685939977</t>
  </si>
  <si>
    <t xml:space="preserve"> predicted price of reit is: 67.84908764531373
</t>
  </si>
  <si>
    <t xml:space="preserve"> 67.84908764531373
</t>
  </si>
  <si>
    <t>value_ratio_gold_to_total is: -0.4934473276915394</t>
  </si>
  <si>
    <t xml:space="preserve"> risk_ratio_to_gold is: 0.6750386900534187</t>
  </si>
  <si>
    <t xml:space="preserve"> risk_ratio_to_gold_before is: 0.6755201238586568
</t>
  </si>
  <si>
    <t xml:space="preserve"> 0.6755201238586568
</t>
  </si>
  <si>
    <t>value_ratio_tb_to_total is: 0.5869305092204187</t>
  </si>
  <si>
    <t xml:space="preserve"> risk_ratio_tb_to_gold is: 0.25266301632222327</t>
  </si>
  <si>
    <t xml:space="preserve"> risk_ratio_tb_to_gold_before is: 0.2508161492228687
</t>
  </si>
  <si>
    <t xml:space="preserve"> 0.2508161492228687
</t>
  </si>
  <si>
    <t>value_ratio_reit_to_total is: 0.9065168184711206</t>
  </si>
  <si>
    <t xml:space="preserve"> risk_ratio_reit_to_gold is: 0.22873355358529676</t>
  </si>
  <si>
    <t xml:space="preserve"> risk_ratio_reit_to_gold_before is: 0.2295246499347834
</t>
  </si>
  <si>
    <t xml:space="preserve"> 0.2295246499347834
</t>
  </si>
  <si>
    <t>delta_gold is: 1.0110563474090848</t>
  </si>
  <si>
    <t xml:space="preserve"> delta_tb is: 1.000683678020947</t>
  </si>
  <si>
    <t xml:space="preserve"> delta_reit is: 0.9931120293298369
</t>
  </si>
  <si>
    <t xml:space="preserve"> 0.9931120293298369
</t>
  </si>
  <si>
    <t>delta_gold_risk is: 0.9997126660561203</t>
  </si>
  <si>
    <t xml:space="preserve"> delta_tb_risk is: 1.001476529624679</t>
  </si>
  <si>
    <t xml:space="preserve"> delta_reit_risk is: 0.9993565835792486
</t>
  </si>
  <si>
    <t xml:space="preserve"> 0.9993565835792486
</t>
  </si>
  <si>
    <t xml:space="preserve">collateral_ratio_tranche_gold is: 0.7757517822114217
</t>
  </si>
  <si>
    <t xml:space="preserve"> 0.7757517822114217
</t>
  </si>
  <si>
    <t xml:space="preserve">collateral_ratio_tranche_tb is: 0.37717641403464597
</t>
  </si>
  <si>
    <t xml:space="preserve"> 0.37717641403464597
</t>
  </si>
  <si>
    <t xml:space="preserve">collateral_ratio_tranche_reit is: 0.26341936553324075
</t>
  </si>
  <si>
    <t xml:space="preserve"> 0.26341936553324075
</t>
  </si>
  <si>
    <t>Total plot size is: 144052963.1363507</t>
  </si>
  <si>
    <t xml:space="preserve"> plot size of gold is: 78475211.09210944</t>
  </si>
  <si>
    <t xml:space="preserve"> plot size of TB is: 38645166.16507983</t>
  </si>
  <si>
    <t xml:space="preserve"> plot size of REIT is: 26932585.879161417
</t>
  </si>
  <si>
    <t xml:space="preserve"> 26932585.879161417
</t>
  </si>
  <si>
    <t xml:space="preserve">collateral ratio is: 1.4235920255158407
</t>
  </si>
  <si>
    <t xml:space="preserve"> 1.4235920255158407
</t>
  </si>
  <si>
    <t>S_gtbcps_0 is: 1.0003799443544241</t>
  </si>
  <si>
    <t xml:space="preserve">stdev_gtbcps is: 0.006485270794132425
</t>
  </si>
  <si>
    <t xml:space="preserve"> 0.006485270794132425
</t>
  </si>
  <si>
    <t>predicted price of GTBCPS is: 1.000354083580518</t>
  </si>
  <si>
    <t xml:space="preserve"> actual price is: 1.0003799443544241
</t>
  </si>
  <si>
    <t xml:space="preserve"> 1.0003799443544241
</t>
  </si>
  <si>
    <t>predicted amount of GTBCPS is: 101153962.52621853</t>
  </si>
  <si>
    <t xml:space="preserve"> actual amount is: 101151347.5999904
</t>
  </si>
  <si>
    <t>plot sizes of gold is: 78475211.09210944</t>
  </si>
  <si>
    <t xml:space="preserve"> plot sizes of tb is: 38645166.16507983 </t>
  </si>
  <si>
    <t xml:space="preserve"> plot sizes of reit is: 26932585.879161417</t>
  </si>
  <si>
    <t xml:space="preserve"> plot sizes of total is: 144052963.1363507.
</t>
  </si>
  <si>
    <t xml:space="preserve"> 144052963.1363507.
</t>
  </si>
  <si>
    <t>predicted stdevs of gold is: 0.007649782090901941</t>
  </si>
  <si>
    <t xml:space="preserve"> predicted stdevs of tb is: 0.001673749494530791</t>
  </si>
  <si>
    <t xml:space="preserve"> predicted stdevs of reit is: 0.009996139402183673</t>
  </si>
  <si>
    <t xml:space="preserve"> predicted stdevs of GTBCPS is: 0.006485270794132425.
</t>
  </si>
  <si>
    <t xml:space="preserve"> 0.006485270794132425.
</t>
  </si>
  <si>
    <t>total_value_of_collaterals is: 144052053.16699702</t>
  </si>
  <si>
    <t xml:space="preserve"> createdtionValue_gold is: 2028.6404941375279</t>
  </si>
  <si>
    <t xml:space="preserve"> createdValue_tb is: 999.010819690398</t>
  </si>
  <si>
    <t xml:space="preserve"> createdValue_reit is: 696.231395616718
</t>
  </si>
  <si>
    <t xml:space="preserve"> 696.231395616718
</t>
  </si>
  <si>
    <t>plotValue_gold_after_creation is: 78472469.91904925</t>
  </si>
  <si>
    <t xml:space="preserve"> plotValue_tb_after_creation  is: 38644031.174330324</t>
  </si>
  <si>
    <t xml:space="preserve"> plotValue_reit_after_creation  is: 26931828.19090799</t>
  </si>
  <si>
    <t xml:space="preserve">total_value_after_creation is: 144048329.28428757
</t>
  </si>
  <si>
    <t xml:space="preserve"> 144048329.28428757
</t>
  </si>
  <si>
    <t>total_amount_gtncps_before_creation is: 101151347.5999904</t>
  </si>
  <si>
    <t>creation_amount_gtbcps is: 2614.926228135824</t>
  </si>
  <si>
    <t xml:space="preserve">total_amount_gtbcps_new is: 101153962.52621853
</t>
  </si>
  <si>
    <t xml:space="preserve"> 101153962.52621853
</t>
  </si>
  <si>
    <t>payout of tranche of gold is: -712.5325660522485</t>
  </si>
  <si>
    <t xml:space="preserve"> payout of tranche of Treausry Bill Option is: -135.9799298172869</t>
  </si>
  <si>
    <t xml:space="preserve"> payout of tranche of Collar of REIT is: -61.456857812202664
</t>
  </si>
  <si>
    <t xml:space="preserve"> -61.456857812202664
</t>
  </si>
  <si>
    <t>Collateral size of tranche of gold is: 78472469.91904925</t>
  </si>
  <si>
    <t xml:space="preserve"> collateral size of tranche of Treausry Bill Option is: 38644031.174330324</t>
  </si>
  <si>
    <t xml:space="preserve"> collateral size of tranche of Collar of REIT is: 26931828.19090799
</t>
  </si>
  <si>
    <t xml:space="preserve"> 26931828.19090799
</t>
  </si>
  <si>
    <t>Collateral ratio of tranche of gold is: 0.7755180311700903</t>
  </si>
  <si>
    <t xml:space="preserve"> collateral ratio of tranche of Treausry Bill Option is: 0.38190645717801236</t>
  </si>
  <si>
    <t xml:space="preserve"> collateral ratio of tranche of Collar of REIT is: 0.2661585444675035
</t>
  </si>
  <si>
    <t xml:space="preserve"> 0.2661585444675035
</t>
  </si>
  <si>
    <t xml:space="preserve">date is: 2022-01-12 00:00:00
</t>
  </si>
  <si>
    <t xml:space="preserve"> 2022-01-12 00</t>
  </si>
  <si>
    <t>current price of gold is: 1826.15</t>
  </si>
  <si>
    <t xml:space="preserve"> predicted price of gold is: 1820.5052297781924
</t>
  </si>
  <si>
    <t xml:space="preserve"> 1820.5052297781924
</t>
  </si>
  <si>
    <t>current price of tb is: 96.015625</t>
  </si>
  <si>
    <t xml:space="preserve"> current price of tb option is: 4.365322678914509</t>
  </si>
  <si>
    <t xml:space="preserve"> predicted price of tb is: 96.15494864147941
</t>
  </si>
  <si>
    <t xml:space="preserve"> 96.15494864147941
</t>
  </si>
  <si>
    <t>current price of reit is: 67.1</t>
  </si>
  <si>
    <t xml:space="preserve"> current price of reit option is: 6.474491908380273</t>
  </si>
  <si>
    <t xml:space="preserve"> predicted price of reit is: 67.7372426612782
</t>
  </si>
  <si>
    <t xml:space="preserve"> 67.7372426612782
</t>
  </si>
  <si>
    <t>value_ratio_gold_to_total is: -0.9452676229923883</t>
  </si>
  <si>
    <t xml:space="preserve"> risk_ratio_to_gold is: 0.6768121561719664</t>
  </si>
  <si>
    <t xml:space="preserve"> risk_ratio_to_gold_before is: 0.6750386900534187
</t>
  </si>
  <si>
    <t xml:space="preserve"> 0.6750386900534187
</t>
  </si>
  <si>
    <t>value_ratio_tb_to_total is: 0.7543436052099491</t>
  </si>
  <si>
    <t xml:space="preserve"> risk_ratio_tb_to_gold is: 0.2512947849884125</t>
  </si>
  <si>
    <t xml:space="preserve"> risk_ratio_tb_to_gold_before is: 0.25266301632222327
</t>
  </si>
  <si>
    <t xml:space="preserve"> 0.25266301632222327
</t>
  </si>
  <si>
    <t>value_ratio_reit_to_total is: 1.1909240177824392</t>
  </si>
  <si>
    <t xml:space="preserve"> risk_ratio_reit_to_gold is: 0.2262200481611223</t>
  </si>
  <si>
    <t xml:space="preserve"> risk_ratio_reit_to_gold_before is: 0.22873355358529676
</t>
  </si>
  <si>
    <t xml:space="preserve"> 0.22873355358529676
</t>
  </si>
  <si>
    <t>delta_gold is: 1.002497804128239</t>
  </si>
  <si>
    <t xml:space="preserve"> delta_tb is: 0.999192320488254</t>
  </si>
  <si>
    <t xml:space="preserve"> delta_reit is: 0.9968307840791764
</t>
  </si>
  <si>
    <t xml:space="preserve"> 0.9968307840791764
</t>
  </si>
  <si>
    <t>delta_gold_risk is: 1.0010587612865773</t>
  </si>
  <si>
    <t xml:space="preserve"> delta_tb_risk is: 0.9989077418938833</t>
  </si>
  <si>
    <t xml:space="preserve"> delta_reit_risk is: 0.9979543934347358
</t>
  </si>
  <si>
    <t xml:space="preserve"> 0.9979543934347358
</t>
  </si>
  <si>
    <t xml:space="preserve">collateral_ratio_tranche_gold is: 0.7766328545096319
</t>
  </si>
  <si>
    <t xml:space="preserve"> 0.7766328545096319
</t>
  </si>
  <si>
    <t xml:space="preserve">collateral_ratio_tranche_tb is: 0.3810634365947681
</t>
  </si>
  <si>
    <t xml:space="preserve"> 0.3810634365947681
</t>
  </si>
  <si>
    <t xml:space="preserve">collateral_ratio_tranche_reit is: 0.26519646440383926
</t>
  </si>
  <si>
    <t xml:space="preserve"> 0.26519646440383926
</t>
  </si>
  <si>
    <t>Total plot size is: 144127773.3726942</t>
  </si>
  <si>
    <t xml:space="preserve"> plot size of gold is: 78668478.77836616</t>
  </si>
  <si>
    <t xml:space="preserve"> plot size of TB is: 38612819.18209954</t>
  </si>
  <si>
    <t xml:space="preserve"> plot size of REIT is: 26846475.412228476
</t>
  </si>
  <si>
    <t xml:space="preserve"> 26846475.412228476
</t>
  </si>
  <si>
    <t xml:space="preserve">collateral ratio is: 1.4243313317652009
</t>
  </si>
  <si>
    <t xml:space="preserve"> 1.4243313317652009
</t>
  </si>
  <si>
    <t>S_gtbcps_0 is: 1.000354083580518</t>
  </si>
  <si>
    <t xml:space="preserve">stdev_gtbcps is: 0.006527700267519188
</t>
  </si>
  <si>
    <t xml:space="preserve"> 0.006527700267519188
</t>
  </si>
  <si>
    <t>predicted price of GTBCPS is: 1.000364895948526</t>
  </si>
  <si>
    <t xml:space="preserve"> actual price is: 1.000354083580518
</t>
  </si>
  <si>
    <t xml:space="preserve"> 1.000354083580518
</t>
  </si>
  <si>
    <t>predicted amount of GTBCPS is: 101152869.21129641</t>
  </si>
  <si>
    <t xml:space="preserve"> actual amount is: 101153962.52621853
</t>
  </si>
  <si>
    <t>plot sizes of gold is: 78668478.77836616</t>
  </si>
  <si>
    <t xml:space="preserve"> plot sizes of tb is: 38612819.18209954 </t>
  </si>
  <si>
    <t xml:space="preserve"> plot sizes of reit is: 26846475.412228476</t>
  </si>
  <si>
    <t xml:space="preserve"> plot sizes of total is: 144127773.37269416.
</t>
  </si>
  <si>
    <t xml:space="preserve"> 144127773.37269416.
</t>
  </si>
  <si>
    <t>predicted stdevs of gold is: 0.007725514625614465</t>
  </si>
  <si>
    <t xml:space="preserve"> predicted stdevs of tb is: 0.0016742013317757693</t>
  </si>
  <si>
    <t xml:space="preserve"> predicted stdevs of reit is: 0.009998436815442002</t>
  </si>
  <si>
    <t xml:space="preserve"> predicted stdevs of GTBCPS is: 0.006527700267519188.
</t>
  </si>
  <si>
    <t xml:space="preserve"> 0.006527700267519188.
</t>
  </si>
  <si>
    <t>total_value_of_collaterals is: 144128154.538917</t>
  </si>
  <si>
    <t xml:space="preserve"> createdtionValue_gold is: -850.2943596869891</t>
  </si>
  <si>
    <t xml:space="preserve"> createdValue_tb is: -417.3490533790456</t>
  </si>
  <si>
    <t xml:space="preserve"> createdValue_reit is: -290.17163740428316
</t>
  </si>
  <si>
    <t xml:space="preserve"> -290.17163740428316
</t>
  </si>
  <si>
    <t>plotValue_gold_after_creation is: 78669596.52295502</t>
  </si>
  <si>
    <t xml:space="preserve"> plotValue_tb_after_creation  is: 38613312.277707115</t>
  </si>
  <si>
    <t xml:space="preserve"> plotValue_reit_after_creation  is: 26846803.553305354</t>
  </si>
  <si>
    <t xml:space="preserve">total_value_after_creation is: 144129712.3539675
</t>
  </si>
  <si>
    <t xml:space="preserve"> 144129712.3539675
</t>
  </si>
  <si>
    <t>total_amount_gtncps_before_creation is: 101153962.52621853</t>
  </si>
  <si>
    <t>creation_amount_gtbcps is: -1093.3149221241474</t>
  </si>
  <si>
    <t xml:space="preserve">total_amount_gtbcps_new is: 101152869.21129641
</t>
  </si>
  <si>
    <t xml:space="preserve"> 101152869.21129641
</t>
  </si>
  <si>
    <t>payout of tranche of gold is: 267.450229175296</t>
  </si>
  <si>
    <t xml:space="preserve"> payout of tranche of Treausry Bill Option is: 75.74655419794414</t>
  </si>
  <si>
    <t xml:space="preserve"> payout of tranche of Collar of REIT is: 37.96943947125713
</t>
  </si>
  <si>
    <t xml:space="preserve"> 37.96943947125713
</t>
  </si>
  <si>
    <t>Collateral size of tranche of gold is: 78669596.52295502</t>
  </si>
  <si>
    <t xml:space="preserve"> collateral size of tranche of Treausry Bill Option is: 38613312.277707115</t>
  </si>
  <si>
    <t xml:space="preserve"> collateral size of tranche of Collar of REIT is: 26846803.553305354
</t>
  </si>
  <si>
    <t xml:space="preserve"> 26846803.553305354
</t>
  </si>
  <si>
    <t>Collateral ratio of tranche of gold is: 0.7774376684105659</t>
  </si>
  <si>
    <t xml:space="preserve"> collateral ratio of tranche of Treausry Bill Option is: 0.3815888830449299</t>
  </si>
  <si>
    <t xml:space="preserve"> collateral ratio of tranche of Collar of REIT is: 0.2653085471547836
</t>
  </si>
  <si>
    <t xml:space="preserve"> 0.2653085471547836
</t>
  </si>
  <si>
    <t xml:space="preserve">date is: 2022-01-13 00:00:00
</t>
  </si>
  <si>
    <t xml:space="preserve"> 2022-01-13 00</t>
  </si>
  <si>
    <t>current price of gold is: 1822.54</t>
  </si>
  <si>
    <t xml:space="preserve"> predicted price of gold is: 1821.4637021995052
</t>
  </si>
  <si>
    <t xml:space="preserve"> 1821.4637021995052
</t>
  </si>
  <si>
    <t>current price of tb is: 96.203125</t>
  </si>
  <si>
    <t xml:space="preserve"> current price of tb option is: 4.36816430886487</t>
  </si>
  <si>
    <t xml:space="preserve"> predicted price of tb is: 96.33950934318345
</t>
  </si>
  <si>
    <t xml:space="preserve"> 96.33950934318345
</t>
  </si>
  <si>
    <t xml:space="preserve"> current price of reit option is: 6.511600653046486</t>
  </si>
  <si>
    <t xml:space="preserve"> predicted price of reit is: 67.42085141483857
</t>
  </si>
  <si>
    <t xml:space="preserve"> 67.42085141483857
</t>
  </si>
  <si>
    <t>value_ratio_gold_to_total is: -0.10288962498827457</t>
  </si>
  <si>
    <t xml:space="preserve"> risk_ratio_to_gold is: 0.6753322415495929</t>
  </si>
  <si>
    <t xml:space="preserve"> risk_ratio_to_gold_before is: 0.6768121561719664
</t>
  </si>
  <si>
    <t xml:space="preserve"> 0.6768121561719664
</t>
  </si>
  <si>
    <t>value_ratio_tb_to_total is: 0.43061624890214173</t>
  </si>
  <si>
    <t xml:space="preserve"> risk_ratio_tb_to_gold is: 0.2536789749470238</t>
  </si>
  <si>
    <t xml:space="preserve"> risk_ratio_tb_to_gold_before is: 0.2512947849884125
</t>
  </si>
  <si>
    <t xml:space="preserve"> 0.2512947849884125
</t>
  </si>
  <si>
    <t>value_ratio_reit_to_total is: 0.6722733760861328</t>
  </si>
  <si>
    <t xml:space="preserve"> risk_ratio_reit_to_gold is: 0.22707366571683113</t>
  </si>
  <si>
    <t xml:space="preserve"> risk_ratio_reit_to_gold_before is: 0.2262200481611223
</t>
  </si>
  <si>
    <t xml:space="preserve"> 0.2262200481611223
</t>
  </si>
  <si>
    <t>delta_gold is: 0.9980231634860225</t>
  </si>
  <si>
    <t xml:space="preserve"> delta_tb is: 1.0018961927970553</t>
  </si>
  <si>
    <t xml:space="preserve"> delta_reit is: 0.997786036286372
</t>
  </si>
  <si>
    <t xml:space="preserve"> 0.997786036286372
</t>
  </si>
  <si>
    <t>delta_gold_risk is: 0.9991174237275616</t>
  </si>
  <si>
    <t xml:space="preserve"> delta_tb_risk is: 1.0019053783226894</t>
  </si>
  <si>
    <t xml:space="preserve"> delta_reit_risk is: 1.0006961373343952
</t>
  </si>
  <si>
    <t xml:space="preserve"> 1.0006961373343952
</t>
  </si>
  <si>
    <t xml:space="preserve">collateral_ratio_tranche_gold is: 0.7765861977919847
</t>
  </si>
  <si>
    <t xml:space="preserve"> 0.7765861977919847
</t>
  </si>
  <si>
    <t xml:space="preserve">collateral_ratio_tranche_tb is: 0.3823412106823683
</t>
  </si>
  <si>
    <t xml:space="preserve"> 0.3823412106823683
</t>
  </si>
  <si>
    <t xml:space="preserve">collateral_ratio_tranche_reit is: 0.26506099181683135
</t>
  </si>
  <si>
    <t xml:space="preserve"> 0.26506099181683135
</t>
  </si>
  <si>
    <t>Total plot size is: 143987975.85873854</t>
  </si>
  <si>
    <t xml:space="preserve"> plot size of gold is: 78514079.59200856</t>
  </si>
  <si>
    <t xml:space="preserve"> plot size of TB is: 38686530.56231855</t>
  </si>
  <si>
    <t xml:space="preserve"> plot size of REIT is: 26787365.704411436
</t>
  </si>
  <si>
    <t xml:space="preserve"> 26787365.704411436
</t>
  </si>
  <si>
    <t xml:space="preserve">collateral ratio is: 1.4229497938799593
</t>
  </si>
  <si>
    <t xml:space="preserve"> 1.4229497938799593
</t>
  </si>
  <si>
    <t>S_gtbcps_0 is: 1.000364895948526</t>
  </si>
  <si>
    <t xml:space="preserve">stdev_gtbcps is: 0.006439654326219082
</t>
  </si>
  <si>
    <t xml:space="preserve"> 0.006439654326219082
</t>
  </si>
  <si>
    <t>predicted price of GTBCPS is: 1.0003569759952962</t>
  </si>
  <si>
    <t xml:space="preserve"> actual price is: 1.000364895948526
</t>
  </si>
  <si>
    <t xml:space="preserve"> 1.000364895948526
</t>
  </si>
  <si>
    <t>predicted amount of GTBCPS is: 101153670.05140893</t>
  </si>
  <si>
    <t xml:space="preserve"> actual amount is: 101152869.21129641
</t>
  </si>
  <si>
    <t>plot sizes of gold is: 78514079.59200856</t>
  </si>
  <si>
    <t xml:space="preserve"> plot sizes of tb is: 38686530.56231855 </t>
  </si>
  <si>
    <t xml:space="preserve"> plot sizes of reit is: 26787365.704411436</t>
  </si>
  <si>
    <t xml:space="preserve"> plot sizes of total is: 143987975.85873854.
</t>
  </si>
  <si>
    <t xml:space="preserve"> 143987975.85873854.
</t>
  </si>
  <si>
    <t>predicted stdevs of gold is: 0.00757946040991249</t>
  </si>
  <si>
    <t xml:space="preserve"> predicted stdevs of tb is: 0.0016715600794875805</t>
  </si>
  <si>
    <t xml:space="preserve"> predicted stdevs of reit is: 0.00998498981286582</t>
  </si>
  <si>
    <t xml:space="preserve"> predicted stdevs of GTBCPS is: 0.006439654326219082.
</t>
  </si>
  <si>
    <t xml:space="preserve"> 0.006439654326219082.
</t>
  </si>
  <si>
    <t>total_value_of_collaterals is: 143987696.67705512</t>
  </si>
  <si>
    <t xml:space="preserve"> createdtionValue_gold is: 621.5994140514712</t>
  </si>
  <si>
    <t xml:space="preserve"> createdValue_tb is: 306.28329342032436</t>
  </si>
  <si>
    <t xml:space="preserve"> createdValue_reit is: 212.07714915097964
</t>
  </si>
  <si>
    <t xml:space="preserve"> 212.07714915097964
</t>
  </si>
  <si>
    <t>plotValue_gold_after_creation is: 78513255.32800464</t>
  </si>
  <si>
    <t xml:space="preserve"> plotValue_tb_after_creation  is: 38686166.485061824</t>
  </si>
  <si>
    <t xml:space="preserve"> plotValue_reit_after_creation  is: 26787134.90413204</t>
  </si>
  <si>
    <t xml:space="preserve">total_value_after_creation is: 143986556.7171985
</t>
  </si>
  <si>
    <t xml:space="preserve"> 143986556.7171985
</t>
  </si>
  <si>
    <t>total_amount_gtncps_before_creation is: 101152869.21129641</t>
  </si>
  <si>
    <t>creation_amount_gtbcps is: 800.8401125222445</t>
  </si>
  <si>
    <t xml:space="preserve">total_amount_gtbcps_new is: 101153670.05140893
</t>
  </si>
  <si>
    <t xml:space="preserve"> 101153670.05140893
</t>
  </si>
  <si>
    <t>payout of tranche of gold is: -202.6645898630363</t>
  </si>
  <si>
    <t xml:space="preserve"> payout of tranche of Treausry Bill Option is: -57.7939633026156</t>
  </si>
  <si>
    <t xml:space="preserve"> payout of tranche of Collar of REIT is: -18.72313024481522
</t>
  </si>
  <si>
    <t xml:space="preserve"> -18.72313024481522
</t>
  </si>
  <si>
    <t>Collateral size of tranche of gold is: 78513255.32800464</t>
  </si>
  <si>
    <t xml:space="preserve"> collateral size of tranche of Treausry Bill Option is: 38686166.485061824</t>
  </si>
  <si>
    <t xml:space="preserve"> collateral size of tranche of Collar of REIT is: 26787134.90413204
</t>
  </si>
  <si>
    <t xml:space="preserve"> 26787134.90413204
</t>
  </si>
  <si>
    <t>Collateral ratio of tranche of gold is: 0.7759071847790451</t>
  </si>
  <si>
    <t xml:space="preserve"> collateral ratio of tranche of Treausry Bill Option is: 0.38231601023185624</t>
  </si>
  <si>
    <t xml:space="preserve"> collateral ratio of tranche of Collar of REIT is: 0.26472383987813186
</t>
  </si>
  <si>
    <t xml:space="preserve"> 0.26472383987813186
</t>
  </si>
  <si>
    <t xml:space="preserve">date is: 2022-01-14 00:00:00
</t>
  </si>
  <si>
    <t xml:space="preserve"> 2022-01-14 00</t>
  </si>
  <si>
    <t>current price of gold is: 1817.94</t>
  </si>
  <si>
    <t xml:space="preserve"> predicted price of gold is: 1817.4091710883242
</t>
  </si>
  <si>
    <t xml:space="preserve"> 1817.4091710883242
</t>
  </si>
  <si>
    <t>current price of tb is: 95.90625</t>
  </si>
  <si>
    <t xml:space="preserve"> current price of tb option is: 4.362381115430348</t>
  </si>
  <si>
    <t xml:space="preserve"> predicted price of tb is: 96.0486164998836
</t>
  </si>
  <si>
    <t xml:space="preserve"> 96.0486164998836
</t>
  </si>
  <si>
    <t xml:space="preserve"> current price of reit option is: 6.447304963155389</t>
  </si>
  <si>
    <t xml:space="preserve"> predicted price of reit is: 67.69772425101813
</t>
  </si>
  <si>
    <t xml:space="preserve"> 67.69772425101813
</t>
  </si>
  <si>
    <t>value_ratio_gold_to_total is: -0.04839378540706294</t>
  </si>
  <si>
    <t xml:space="preserve"> risk_ratio_to_gold is: 0.6705191348318237</t>
  </si>
  <si>
    <t xml:space="preserve"> risk_ratio_to_gold_before is: 0.6753322415495929
</t>
  </si>
  <si>
    <t xml:space="preserve"> 0.6753322415495929
</t>
  </si>
  <si>
    <t>value_ratio_tb_to_total is: 0.410681831025839</t>
  </si>
  <si>
    <t xml:space="preserve"> risk_ratio_tb_to_gold is: 0.2578505141389518</t>
  </si>
  <si>
    <t xml:space="preserve"> risk_ratio_tb_to_gold_before is: 0.2536789749470238
</t>
  </si>
  <si>
    <t xml:space="preserve"> 0.2536789749470238
</t>
  </si>
  <si>
    <t>value_ratio_reit_to_total is: 0.637711954381224</t>
  </si>
  <si>
    <t xml:space="preserve"> risk_ratio_reit_to_gold is: 0.23353123479624469</t>
  </si>
  <si>
    <t xml:space="preserve"> risk_ratio_reit_to_gold_before is: 0.22707366571683113
</t>
  </si>
  <si>
    <t xml:space="preserve"> 0.22707366571683113
</t>
  </si>
  <si>
    <t>delta_gold is: 0.9974760499083697</t>
  </si>
  <si>
    <t xml:space="preserve"> delta_tb is: 0.9969906103867773</t>
  </si>
  <si>
    <t xml:space="preserve"> delta_reit is: 1.0025296316720647
</t>
  </si>
  <si>
    <t xml:space="preserve"> 1.0025296316720647
</t>
  </si>
  <si>
    <t>delta_gold_risk is: 0.9971270733061776</t>
  </si>
  <si>
    <t xml:space="preserve"> delta_tb_risk is: 1.0033274381044033</t>
  </si>
  <si>
    <t xml:space="preserve"> delta_reit_risk is: 1.005262576534589
</t>
  </si>
  <si>
    <t xml:space="preserve"> 1.005262576534589
</t>
  </si>
  <si>
    <t xml:space="preserve">collateral_ratio_tranche_gold is: 0.7761787383856109
</t>
  </si>
  <si>
    <t xml:space="preserve"> 0.7761787383856109
</t>
  </si>
  <si>
    <t xml:space="preserve">collateral_ratio_tranche_tb is: 0.3808626524200957
</t>
  </si>
  <si>
    <t xml:space="preserve"> 0.3808626524200957
</t>
  </si>
  <si>
    <t xml:space="preserve">collateral_ratio_tranche_reit is: 0.2646721709846214
</t>
  </si>
  <si>
    <t xml:space="preserve"> 0.2646721709846214
</t>
  </si>
  <si>
    <t>Total plot size is: 143739733.016481</t>
  </si>
  <si>
    <t xml:space="preserve"> plot size of gold is: 78315091.79002534</t>
  </si>
  <si>
    <t xml:space="preserve"> plot size of TB is: 38569744.737466276</t>
  </si>
  <si>
    <t xml:space="preserve"> plot size of REIT is: 26854896.488989398
</t>
  </si>
  <si>
    <t xml:space="preserve"> 26854896.488989398
</t>
  </si>
  <si>
    <t xml:space="preserve">collateral ratio is: 1.4204965536068335
</t>
  </si>
  <si>
    <t xml:space="preserve"> 1.4204965536068335
</t>
  </si>
  <si>
    <t>S_gtbcps_0 is: 1.0003569759952962</t>
  </si>
  <si>
    <t xml:space="preserve">stdev_gtbcps is: 0.00644446246079036
</t>
  </si>
  <si>
    <t xml:space="preserve"> 0.00644446246079036
</t>
  </si>
  <si>
    <t>predicted price of GTBCPS is: 1.000385980133743</t>
  </si>
  <si>
    <t xml:space="preserve"> actual price is: 1.0003569759952962
</t>
  </si>
  <si>
    <t xml:space="preserve"> 1.0003569759952962
</t>
  </si>
  <si>
    <t>predicted amount of GTBCPS is: 101150737.30833893</t>
  </si>
  <si>
    <t xml:space="preserve"> actual amount is: 101153670.05140893
</t>
  </si>
  <si>
    <t>plot sizes of gold is: 78315091.79002534</t>
  </si>
  <si>
    <t xml:space="preserve"> plot sizes of tb is: 38569744.737466276 </t>
  </si>
  <si>
    <t xml:space="preserve"> plot sizes of reit is: 26854896.488989398</t>
  </si>
  <si>
    <t xml:space="preserve"> plot sizes of total is: 143739733.016481.
</t>
  </si>
  <si>
    <t xml:space="preserve"> 143739733.016481.
</t>
  </si>
  <si>
    <t>predicted stdevs of gold is: 0.007571656689991818</t>
  </si>
  <si>
    <t xml:space="preserve"> predicted stdevs of tb is: 0.0016943694320369442</t>
  </si>
  <si>
    <t xml:space="preserve"> predicted stdevs of reit is: 0.009979518204239653</t>
  </si>
  <si>
    <t xml:space="preserve"> predicted stdevs of GTBCPS is: 0.00644446246079036.
</t>
  </si>
  <si>
    <t xml:space="preserve"> 0.00644446246079036.
</t>
  </si>
  <si>
    <t>total_value_of_collaterals is: 143740754.58376956</t>
  </si>
  <si>
    <t xml:space="preserve"> createdtionValue_gold is: -2270.6727035551594</t>
  </si>
  <si>
    <t xml:space="preserve"> createdValue_tb is: -1118.2891305183614</t>
  </si>
  <si>
    <t xml:space="preserve"> createdValue_reit is: -778.6271830782455
</t>
  </si>
  <si>
    <t xml:space="preserve"> -778.6271830782455
</t>
  </si>
  <si>
    <t>plotValue_gold_after_creation is: 78318104.23463392</t>
  </si>
  <si>
    <t xml:space="preserve"> plotValue_tb_after_creation  is: 38571073.91623146</t>
  </si>
  <si>
    <t xml:space="preserve"> plotValue_reit_after_creation  is: 26855744.021921337</t>
  </si>
  <si>
    <t xml:space="preserve">total_value_after_creation is: 143744922.1727867
</t>
  </si>
  <si>
    <t xml:space="preserve"> 143744922.1727867
</t>
  </si>
  <si>
    <t>total_amount_gtncps_before_creation is: 101153670.05140893</t>
  </si>
  <si>
    <t>creation_amount_gtbcps is: -2932.7430700063705</t>
  </si>
  <si>
    <t xml:space="preserve">total_amount_gtbcps_new is: 101150737.30833893
</t>
  </si>
  <si>
    <t xml:space="preserve"> 101150737.30833893
</t>
  </si>
  <si>
    <t>payout of tranche of gold is: 741.7719050274444</t>
  </si>
  <si>
    <t xml:space="preserve"> payout of tranche of Treausry Bill Option is: 210.88963466591747</t>
  </si>
  <si>
    <t xml:space="preserve"> payout of tranche of Collar of REIT is: 68.90574885857605
</t>
  </si>
  <si>
    <t xml:space="preserve"> 68.90574885857605
</t>
  </si>
  <si>
    <t>Collateral size of tranche of gold is: 78318104.23463392</t>
  </si>
  <si>
    <t xml:space="preserve"> collateral size of tranche of Treausry Bill Option is: 38571073.91623146</t>
  </si>
  <si>
    <t xml:space="preserve"> collateral size of tranche of Collar of REIT is: 26855744.021921337
</t>
  </si>
  <si>
    <t xml:space="preserve"> 26855744.021921337
</t>
  </si>
  <si>
    <t>Collateral ratio of tranche of gold is: 0.7739500368684628</t>
  </si>
  <si>
    <t xml:space="preserve"> collateral ratio of tranche of Treausry Bill Option is: 0.3811645387902829</t>
  </si>
  <si>
    <t xml:space="preserve"> collateral ratio of tranche of Collar of REIT is: 0.2653920735060955
</t>
  </si>
  <si>
    <t xml:space="preserve"> 0.2653920735060955
</t>
  </si>
  <si>
    <t xml:space="preserve">date is: 2022-01-18 00:00:00
</t>
  </si>
  <si>
    <t xml:space="preserve"> 2022-01-18 00</t>
  </si>
  <si>
    <t>current price of gold is: 1813.74</t>
  </si>
  <si>
    <t xml:space="preserve"> predicted price of gold is: 1817.4547171564116
</t>
  </si>
  <si>
    <t xml:space="preserve"> 1817.4547171564116
</t>
  </si>
  <si>
    <t>current price of tb is: 95.53515625</t>
  </si>
  <si>
    <t xml:space="preserve"> current price of tb option is: 4.355976122454034</t>
  </si>
  <si>
    <t xml:space="preserve"> predicted price of tb is: 95.68414792768748
</t>
  </si>
  <si>
    <t xml:space="preserve"> 95.68414792768748
</t>
  </si>
  <si>
    <t xml:space="preserve"> current price of reit option is: 6.392024098258858</t>
  </si>
  <si>
    <t xml:space="preserve"> predicted price of reit is: 67.38788607268894
</t>
  </si>
  <si>
    <t xml:space="preserve"> 67.38788607268894
</t>
  </si>
  <si>
    <t>value_ratio_gold_to_total is: 0.24683170045043054</t>
  </si>
  <si>
    <t xml:space="preserve"> risk_ratio_to_gold is: 0.6640983785755477</t>
  </si>
  <si>
    <t xml:space="preserve"> risk_ratio_to_gold_before is: 0.6705191348318237
</t>
  </si>
  <si>
    <t xml:space="preserve"> 0.6705191348318237
</t>
  </si>
  <si>
    <t>value_ratio_tb_to_total is: 0.29934146147954277</t>
  </si>
  <si>
    <t xml:space="preserve"> risk_ratio_tb_to_gold is: 0.2641080382727467</t>
  </si>
  <si>
    <t xml:space="preserve"> risk_ratio_tb_to_gold_before is: 0.2578505141389518
</t>
  </si>
  <si>
    <t xml:space="preserve"> 0.2578505141389518
</t>
  </si>
  <si>
    <t>value_ratio_reit_to_total is: 0.4538268380700267</t>
  </si>
  <si>
    <t xml:space="preserve"> risk_ratio_reit_to_gold is: 0.24169295787626002</t>
  </si>
  <si>
    <t xml:space="preserve"> risk_ratio_reit_to_gold_before is: 0.23353123479624469
</t>
  </si>
  <si>
    <t xml:space="preserve"> 0.23353123479624469
</t>
  </si>
  <si>
    <t>delta_gold is: 0.997689692729133</t>
  </si>
  <si>
    <t xml:space="preserve"> delta_tb is: 0.9962351261927398</t>
  </si>
  <si>
    <t xml:space="preserve"> delta_reit is: 0.9965313829762606
</t>
  </si>
  <si>
    <t xml:space="preserve"> 0.9965313829762606
</t>
  </si>
  <si>
    <t>delta_gold_risk is: 0.996156430583525</t>
  </si>
  <si>
    <t xml:space="preserve"> delta_tb_risk is: 1.0049747756696499</t>
  </si>
  <si>
    <t xml:space="preserve"> delta_reit_risk is: 1.0066165516119774
</t>
  </si>
  <si>
    <t xml:space="preserve"> 1.0066165516119774
</t>
  </si>
  <si>
    <t xml:space="preserve">collateral_ratio_tranche_gold is: 0.7751412838028697
</t>
  </si>
  <si>
    <t xml:space="preserve"> 0.7751412838028697
</t>
  </si>
  <si>
    <t xml:space="preserve">collateral_ratio_tranche_tb is: 0.37872475504251724
</t>
  </si>
  <si>
    <t xml:space="preserve"> 0.37872475504251724
</t>
  </si>
  <si>
    <t xml:space="preserve">collateral_ratio_tranche_reit is: 0.2633415425239034
</t>
  </si>
  <si>
    <t xml:space="preserve"> 0.2633415425239034
</t>
  </si>
  <si>
    <t>Total plot size is: 143325615.7703282</t>
  </si>
  <si>
    <t xml:space="preserve"> plot size of gold is: 78137165.34898013</t>
  </si>
  <si>
    <t xml:space="preserve"> plot size of TB is: 38425858.69032634</t>
  </si>
  <si>
    <t xml:space="preserve"> plot size of REIT is: 26762591.731021713
</t>
  </si>
  <si>
    <t xml:space="preserve"> 26762591.731021713
</t>
  </si>
  <si>
    <t xml:space="preserve">collateral ratio is: 1.4164040726441633
</t>
  </si>
  <si>
    <t xml:space="preserve"> 1.4164040726441633
</t>
  </si>
  <si>
    <t>S_gtbcps_0 is: 1.000385980133743</t>
  </si>
  <si>
    <t xml:space="preserve">stdev_gtbcps is: 0.006458463048177173
</t>
  </si>
  <si>
    <t xml:space="preserve"> 0.006458463048177173
</t>
  </si>
  <si>
    <t>predicted price of GTBCPS is: 1.0004107581646298</t>
  </si>
  <si>
    <t xml:space="preserve"> actual price is: 1.000385980133743
</t>
  </si>
  <si>
    <t xml:space="preserve"> 1.000385980133743
</t>
  </si>
  <si>
    <t>predicted amount of GTBCPS is: 101148232.02131276</t>
  </si>
  <si>
    <t xml:space="preserve"> actual amount is: 101150737.30833893
</t>
  </si>
  <si>
    <t>plot sizes of gold is: 78137165.34898013</t>
  </si>
  <si>
    <t xml:space="preserve"> plot sizes of tb is: 38425858.69032634 </t>
  </si>
  <si>
    <t xml:space="preserve"> plot sizes of reit is: 26762591.731021713</t>
  </si>
  <si>
    <t xml:space="preserve"> plot sizes of total is: 143325615.77032816.
</t>
  </si>
  <si>
    <t xml:space="preserve"> 143325615.77032816.
</t>
  </si>
  <si>
    <t>predicted stdevs of gold is: 0.007576147130264025</t>
  </si>
  <si>
    <t xml:space="preserve"> predicted stdevs of tb is: 0.0017317915540807068</t>
  </si>
  <si>
    <t xml:space="preserve"> predicted stdevs of reit is: 0.00998180435702735</t>
  </si>
  <si>
    <t xml:space="preserve"> predicted stdevs of GTBCPS is: 0.006458463048177173.
</t>
  </si>
  <si>
    <t xml:space="preserve"> 0.006458463048177173.
</t>
  </si>
  <si>
    <t>total_value_of_collaterals is: 143326488.27994755</t>
  </si>
  <si>
    <t xml:space="preserve"> createdtionValue_gold is: -1935.3532580967321</t>
  </si>
  <si>
    <t xml:space="preserve"> createdValue_tb is: -951.7542044721935</t>
  </si>
  <si>
    <t xml:space="preserve"> createdValue_reit is: -662.8704699979756
</t>
  </si>
  <si>
    <t xml:space="preserve"> -662.8704699979756
</t>
  </si>
  <si>
    <t>plotValue_gold_after_creation is: 78139712.92067741</t>
  </si>
  <si>
    <t xml:space="preserve"> plotValue_tb_after_creation  is: 38426990.006796874</t>
  </si>
  <si>
    <t xml:space="preserve"> plotValue_reit_after_creation  is: 26763335.33040584</t>
  </si>
  <si>
    <t xml:space="preserve">total_value_after_creation is: 143330038.25788012
</t>
  </si>
  <si>
    <t xml:space="preserve"> 143330038.25788012
</t>
  </si>
  <si>
    <t>total_amount_gtncps_before_creation is: 101150737.30833893</t>
  </si>
  <si>
    <t>creation_amount_gtbcps is: -2505.287026166916</t>
  </si>
  <si>
    <t xml:space="preserve">total_amount_gtbcps_new is: 101148232.02131276
</t>
  </si>
  <si>
    <t xml:space="preserve"> 101148232.02131276
</t>
  </si>
  <si>
    <t>payout of tranche of gold is: 612.2184391753914</t>
  </si>
  <si>
    <t xml:space="preserve"> payout of tranche of Treausry Bill Option is: 179.56226605789448</t>
  </si>
  <si>
    <t xml:space="preserve"> payout of tranche of Collar of REIT is: 80.72891412699211
</t>
  </si>
  <si>
    <t xml:space="preserve"> 80.72891412699211
</t>
  </si>
  <si>
    <t>Collateral size of tranche of gold is: 78139712.92067741</t>
  </si>
  <si>
    <t xml:space="preserve"> collateral size of tranche of Treausry Bill Option is: 38426990.006796874</t>
  </si>
  <si>
    <t xml:space="preserve"> collateral size of tranche of Collar of REIT is: 26763335.33040584
</t>
  </si>
  <si>
    <t xml:space="preserve"> 26763335.33040584
</t>
  </si>
  <si>
    <t>Collateral ratio of tranche of gold is: 0.7721904125722149</t>
  </si>
  <si>
    <t xml:space="preserve"> collateral ratio of tranche of Treausry Bill Option is: 0.37974228670866755</t>
  </si>
  <si>
    <t xml:space="preserve"> collateral ratio of tranche of Collar of REIT is: 0.2644799958706511
</t>
  </si>
  <si>
    <t xml:space="preserve"> 0.2644799958706511
</t>
  </si>
  <si>
    <t xml:space="preserve">date is: 2022-01-19 00:00:00
</t>
  </si>
  <si>
    <t xml:space="preserve"> 2022-01-19 00</t>
  </si>
  <si>
    <t>current price of gold is: 1840.54</t>
  </si>
  <si>
    <t xml:space="preserve"> predicted price of gold is: 1836.9348742194948
</t>
  </si>
  <si>
    <t xml:space="preserve"> 1836.9348742194948
</t>
  </si>
  <si>
    <t>current price of tb is: 95.56640625</t>
  </si>
  <si>
    <t xml:space="preserve"> current price of tb option is: 4.359013086626377</t>
  </si>
  <si>
    <t xml:space="preserve"> predicted price of tb is: 95.7122562018535
</t>
  </si>
  <si>
    <t xml:space="preserve"> 95.7122562018535
</t>
  </si>
  <si>
    <t xml:space="preserve"> current price of reit option is: 6.419931667819725</t>
  </si>
  <si>
    <t xml:space="preserve"> predicted price of reit is: 67.51898312672034
</t>
  </si>
  <si>
    <t xml:space="preserve"> 67.51898312672034
</t>
  </si>
  <si>
    <t>value_ratio_gold_to_total is: -0.4599165464103782</t>
  </si>
  <si>
    <t xml:space="preserve"> risk_ratio_to_gold is: 0.6639844174934579</t>
  </si>
  <si>
    <t xml:space="preserve"> risk_ratio_to_gold_before is: 0.6640983785755477
</t>
  </si>
  <si>
    <t xml:space="preserve"> 0.6640983785755477
</t>
  </si>
  <si>
    <t>value_ratio_tb_to_total is: 0.5746986864960617</t>
  </si>
  <si>
    <t xml:space="preserve"> risk_ratio_tb_to_gold is: 0.264842583569874</t>
  </si>
  <si>
    <t xml:space="preserve"> risk_ratio_tb_to_gold_before is: 0.2641080382727467
</t>
  </si>
  <si>
    <t xml:space="preserve"> 0.2641080382727467
</t>
  </si>
  <si>
    <t>value_ratio_reit_to_total is: 0.8852178599143165</t>
  </si>
  <si>
    <t xml:space="preserve"> risk_ratio_reit_to_gold is: 0.24121685646186866</t>
  </si>
  <si>
    <t xml:space="preserve"> risk_ratio_reit_to_gold_before is: 0.24169295787626002
</t>
  </si>
  <si>
    <t xml:space="preserve"> 0.24169295787626002
</t>
  </si>
  <si>
    <t>delta_gold is: 1.014776098007432</t>
  </si>
  <si>
    <t xml:space="preserve"> delta_tb is: 1.0003432433225854</t>
  </si>
  <si>
    <t xml:space="preserve"> delta_reit is: 1.0010622500608448
</t>
  </si>
  <si>
    <t xml:space="preserve"> 1.0010622500608448
</t>
  </si>
  <si>
    <t>delta_gold_risk is: 0.9999315178215682</t>
  </si>
  <si>
    <t xml:space="preserve"> delta_tb_risk is: 1.0005810779418276</t>
  </si>
  <si>
    <t xml:space="preserve"> delta_reit_risk is: 0.9996165707380625
</t>
  </si>
  <si>
    <t xml:space="preserve"> 0.9996165707380625
</t>
  </si>
  <si>
    <t xml:space="preserve">collateral_ratio_tranche_gold is: 0.783654040124586
</t>
  </si>
  <si>
    <t xml:space="preserve"> 0.783654040124586
</t>
  </si>
  <si>
    <t xml:space="preserve">collateral_ratio_tranche_tb is: 0.3741239314190028
</t>
  </si>
  <si>
    <t xml:space="preserve"> 0.3741239314190028
</t>
  </si>
  <si>
    <t xml:space="preserve">collateral_ratio_tranche_reit is: 0.26100584780594055
</t>
  </si>
  <si>
    <t xml:space="preserve"> 0.26100584780594055
</t>
  </si>
  <si>
    <t>Total plot size is: 144526257.47657868</t>
  </si>
  <si>
    <t xml:space="preserve"> plot size of gold is: 79294312.97706595</t>
  </si>
  <si>
    <t xml:space="preserve"> plot size of TB is: 38440179.814523764</t>
  </si>
  <si>
    <t xml:space="preserve"> plot size of REIT is: 26791764.68498897
</t>
  </si>
  <si>
    <t xml:space="preserve"> 26791764.68498897
</t>
  </si>
  <si>
    <t xml:space="preserve">collateral ratio is: 1.4282693194346936
</t>
  </si>
  <si>
    <t xml:space="preserve"> 1.4282693194346936
</t>
  </si>
  <si>
    <t>S_gtbcps_0 is: 1.0004107581646298</t>
  </si>
  <si>
    <t xml:space="preserve">stdev_gtbcps is: 0.006467284580172515
</t>
  </si>
  <si>
    <t xml:space="preserve"> 0.006467284580172515
</t>
  </si>
  <si>
    <t>predicted price of GTBCPS is: 1.0004014587284304</t>
  </si>
  <si>
    <t xml:space="preserve"> actual price is: 1.0004107581646298
</t>
  </si>
  <si>
    <t xml:space="preserve"> 1.0004107581646298
</t>
  </si>
  <si>
    <t>predicted amount of GTBCPS is: 101149172.26537393</t>
  </si>
  <si>
    <t xml:space="preserve"> actual amount is: 101148232.02131276
</t>
  </si>
  <si>
    <t>plot sizes of gold is: 79294312.97706595</t>
  </si>
  <si>
    <t xml:space="preserve"> plot sizes of tb is: 38440179.814523764 </t>
  </si>
  <si>
    <t xml:space="preserve"> plot sizes of reit is: 26791764.68498897</t>
  </si>
  <si>
    <t xml:space="preserve"> plot sizes of total is: 144526257.47657868.
</t>
  </si>
  <si>
    <t xml:space="preserve"> 144526257.47657868.
</t>
  </si>
  <si>
    <t>predicted stdevs of gold is: 0.007580013802302736</t>
  </si>
  <si>
    <t xml:space="preserve"> predicted stdevs of tb is: 0.0017327842783904795</t>
  </si>
  <si>
    <t xml:space="preserve"> predicted stdevs of reit is: 0.009966939971914253</t>
  </si>
  <si>
    <t xml:space="preserve"> predicted stdevs of GTBCPS is: 0.006467284580172515.
</t>
  </si>
  <si>
    <t xml:space="preserve"> 0.006467284580172515.
</t>
  </si>
  <si>
    <t>total_value_of_collaterals is: 144525929.91872108</t>
  </si>
  <si>
    <t xml:space="preserve"> createdtionValue_gold is: 737.0872402868467</t>
  </si>
  <si>
    <t xml:space="preserve"> createdValue_tb is: 357.32479558071446</t>
  </si>
  <si>
    <t xml:space="preserve"> createdValue_reit is: 249.04579228866646
</t>
  </si>
  <si>
    <t xml:space="preserve"> 249.04579228866646
</t>
  </si>
  <si>
    <t>plotValue_gold_after_creation is: 79293317.8514849</t>
  </si>
  <si>
    <t xml:space="preserve"> plotValue_tb_after_creation  is: 38439776.24842907</t>
  </si>
  <si>
    <t xml:space="preserve"> plotValue_reit_after_creation  is: 26791492.360978957</t>
  </si>
  <si>
    <t xml:space="preserve">total_value_after_creation is: 144524586.46089292
</t>
  </si>
  <si>
    <t xml:space="preserve"> 144524586.46089292
</t>
  </si>
  <si>
    <t>total_amount_gtncps_before_creation is: 101148232.02131276</t>
  </si>
  <si>
    <t>creation_amount_gtbcps is: 940.2440611720085</t>
  </si>
  <si>
    <t xml:space="preserve">total_amount_gtbcps_new is: 101149172.26537393
</t>
  </si>
  <si>
    <t xml:space="preserve"> 101149172.26537393
</t>
  </si>
  <si>
    <t>payout of tranche of gold is: -258.0383407559179</t>
  </si>
  <si>
    <t xml:space="preserve"> payout of tranche of Treausry Bill Option is: -46.24129911368165</t>
  </si>
  <si>
    <t xml:space="preserve"> payout of tranche of Collar of REIT is: -23.278217723714896
</t>
  </si>
  <si>
    <t xml:space="preserve"> -23.278217723714896
</t>
  </si>
  <si>
    <t>Collateral size of tranche of gold is: 79293317.8514849</t>
  </si>
  <si>
    <t xml:space="preserve"> collateral size of tranche of Treausry Bill Option is: 38439776.24842907</t>
  </si>
  <si>
    <t xml:space="preserve"> collateral size of tranche of Collar of REIT is: 26791492.360978957
</t>
  </si>
  <si>
    <t xml:space="preserve"> 26791492.360978957
</t>
  </si>
  <si>
    <t>Collateral ratio of tranche of gold is: 0.7836172323282057</t>
  </si>
  <si>
    <t xml:space="preserve"> collateral ratio of tranche of Treausry Bill Option is: 0.3798815826010413</t>
  </si>
  <si>
    <t xml:space="preserve"> collateral ratio of tranche of Collar of REIT is: 0.26476726744080165
</t>
  </si>
  <si>
    <t xml:space="preserve"> 0.26476726744080165
</t>
  </si>
  <si>
    <t xml:space="preserve">date is: 2022-01-20 00:00:00
</t>
  </si>
  <si>
    <t xml:space="preserve"> 2022-01-20 00</t>
  </si>
  <si>
    <t>current price of gold is: 1839.29</t>
  </si>
  <si>
    <t xml:space="preserve"> predicted price of gold is: 1830.9071868184599
</t>
  </si>
  <si>
    <t xml:space="preserve"> 1830.9071868184599
</t>
  </si>
  <si>
    <t>current price of tb is: 95.76953125</t>
  </si>
  <si>
    <t xml:space="preserve"> current price of tb option is: 4.358713930949327</t>
  </si>
  <si>
    <t xml:space="preserve"> predicted price of tb is: 95.9156912037949
</t>
  </si>
  <si>
    <t xml:space="preserve"> 95.9156912037949
</t>
  </si>
  <si>
    <t xml:space="preserve"> current price of reit option is: 6.358622469306596</t>
  </si>
  <si>
    <t xml:space="preserve"> predicted price of reit is: 68.5138078102003
</t>
  </si>
  <si>
    <t xml:space="preserve"> 68.5138078102003
</t>
  </si>
  <si>
    <t>value_ratio_gold_to_total is: -2.947034542380784</t>
  </si>
  <si>
    <t xml:space="preserve"> risk_ratio_to_gold is: 0.6628314721550419</t>
  </si>
  <si>
    <t xml:space="preserve"> risk_ratio_to_gold_before is: 0.6639844174934579
</t>
  </si>
  <si>
    <t xml:space="preserve"> 0.6639844174934579
</t>
  </si>
  <si>
    <t>value_ratio_tb_to_total is: 1.583718813708704</t>
  </si>
  <si>
    <t xml:space="preserve"> risk_ratio_tb_to_gold is: 0.26379274910859246</t>
  </si>
  <si>
    <t xml:space="preserve"> risk_ratio_tb_to_gold_before is: 0.264842583569874
</t>
  </si>
  <si>
    <t xml:space="preserve"> 0.264842583569874
</t>
  </si>
  <si>
    <t>value_ratio_reit_to_total is: 2.3633157286720805</t>
  </si>
  <si>
    <t xml:space="preserve"> risk_ratio_reit_to_gold is: 0.24488636769425512</t>
  </si>
  <si>
    <t xml:space="preserve"> risk_ratio_reit_to_gold_before is: 0.24121685646186866
</t>
  </si>
  <si>
    <t xml:space="preserve"> 0.24121685646186866
</t>
  </si>
  <si>
    <t>delta_gold is: 0.9993208514892369</t>
  </si>
  <si>
    <t xml:space="preserve"> delta_tb is: 1.0020297722608467</t>
  </si>
  <si>
    <t xml:space="preserve"> delta_reit is: 1.014828273150846
</t>
  </si>
  <si>
    <t xml:space="preserve"> 1.014828273150846
</t>
  </si>
  <si>
    <t>delta_gold_risk is: 0.9993071177071762</t>
  </si>
  <si>
    <t xml:space="preserve"> delta_tb_risk is: 0.9991699880483795</t>
  </si>
  <si>
    <t xml:space="preserve"> delta_reit_risk is: 1.0029563820482157
</t>
  </si>
  <si>
    <t xml:space="preserve"> 1.0029563820482157
</t>
  </si>
  <si>
    <t xml:space="preserve">collateral_ratio_tranche_gold is: 0.7836280018184826
</t>
  </si>
  <si>
    <t xml:space="preserve"> 0.7836280018184826
</t>
  </si>
  <si>
    <t xml:space="preserve">collateral_ratio_tranche_tb is: 0.38122777468590685
</t>
  </si>
  <si>
    <t xml:space="preserve"> 0.38122777468590685
</t>
  </si>
  <si>
    <t xml:space="preserve">collateral_ratio_tranche_reit is: 0.2680833586524507
</t>
  </si>
  <si>
    <t xml:space="preserve"> 0.2680833586524507
</t>
  </si>
  <si>
    <t>Total plot size is: 144946030.08055025</t>
  </si>
  <si>
    <t xml:space="preserve"> plot size of gold is: 79239465.9127526</t>
  </si>
  <si>
    <t xml:space="preserve"> plot size of TB is: 38517800.23997128</t>
  </si>
  <si>
    <t xml:space="preserve"> plot size of REIT is: 27188763.927826356
</t>
  </si>
  <si>
    <t xml:space="preserve"> 27188763.927826356
</t>
  </si>
  <si>
    <t xml:space="preserve">collateral ratio is: 1.4324176890241362
</t>
  </si>
  <si>
    <t xml:space="preserve"> 1.4324176890241362
</t>
  </si>
  <si>
    <t>S_gtbcps_0 is: 1.0004014587284304</t>
  </si>
  <si>
    <t xml:space="preserve">stdev_gtbcps is: 0.006571160033757474
</t>
  </si>
  <si>
    <t xml:space="preserve"> 0.006571160033757474
</t>
  </si>
  <si>
    <t>predicted price of GTBCPS is: 1.0004017136132877</t>
  </si>
  <si>
    <t xml:space="preserve"> actual price is: 1.0004014587284304
</t>
  </si>
  <si>
    <t xml:space="preserve"> 1.0004014587284304
</t>
  </si>
  <si>
    <t>predicted amount of GTBCPS is: 101149146.49433416</t>
  </si>
  <si>
    <t xml:space="preserve"> actual amount is: 101149172.26537393
</t>
  </si>
  <si>
    <t>plot sizes of gold is: 79239465.9127526</t>
  </si>
  <si>
    <t xml:space="preserve"> plot sizes of tb is: 38517800.23997128 </t>
  </si>
  <si>
    <t xml:space="preserve"> plot sizes of reit is: 27188763.927826356</t>
  </si>
  <si>
    <t xml:space="preserve"> plot sizes of total is: 144946030.08055022.
</t>
  </si>
  <si>
    <t xml:space="preserve"> 144946030.08055022.
</t>
  </si>
  <si>
    <t>predicted stdevs of gold is: 0.00770730440841984</t>
  </si>
  <si>
    <t xml:space="preserve"> predicted stdevs of tb is: 0.0017498023533403348</t>
  </si>
  <si>
    <t xml:space="preserve"> predicted stdevs of reit is: 0.010090283552050633</t>
  </si>
  <si>
    <t xml:space="preserve"> predicted stdevs of GTBCPS is: 0.006571160033757474.
</t>
  </si>
  <si>
    <t xml:space="preserve"> 0.006571160033757474.
</t>
  </si>
  <si>
    <t>total_value_of_collaterals is: 144946039.0631252</t>
  </si>
  <si>
    <t xml:space="preserve"> createdtionValue_gold is: -20.188836779181525</t>
  </si>
  <si>
    <t xml:space="preserve"> createdValue_tb is: -9.813664576891357</t>
  </si>
  <si>
    <t xml:space="preserve"> createdValue_reit is: -6.9272233774108
</t>
  </si>
  <si>
    <t xml:space="preserve"> -6.9272233774108
</t>
  </si>
  <si>
    <t>plotValue_gold_after_creation is: 79239493.14870629</t>
  </si>
  <si>
    <t xml:space="preserve"> plotValue_tb_after_creation  is: 38517811.378125876</t>
  </si>
  <si>
    <t xml:space="preserve"> plotValue_reit_after_creation  is: 27188771.46601779</t>
  </si>
  <si>
    <t xml:space="preserve">total_value_after_creation is: 144946075.99284995
</t>
  </si>
  <si>
    <t xml:space="preserve"> 144946075.99284995
</t>
  </si>
  <si>
    <t>total_amount_gtncps_before_creation is: 101149172.26537393</t>
  </si>
  <si>
    <t>creation_amount_gtbcps is: -25.77103976905346</t>
  </si>
  <si>
    <t xml:space="preserve">total_amount_gtbcps_new is: 101149146.49433416
</t>
  </si>
  <si>
    <t xml:space="preserve"> 101149146.49433416
</t>
  </si>
  <si>
    <t>payout of tranche of gold is: 7.047116906719284</t>
  </si>
  <si>
    <t xml:space="preserve"> payout of tranche of Treausry Bill Option is: 1.3244900196880918</t>
  </si>
  <si>
    <t xml:space="preserve"> payout of tranche of Collar of REIT is: 0.6109680572588304
</t>
  </si>
  <si>
    <t xml:space="preserve"> 0.6109680572588304
</t>
  </si>
  <si>
    <t>Collateral size of tranche of gold is: 79239493.14870629</t>
  </si>
  <si>
    <t xml:space="preserve"> collateral size of tranche of Treausry Bill Option is: 38517811.378125876</t>
  </si>
  <si>
    <t xml:space="preserve"> collateral size of tranche of Collar of REIT is: 27188771.46601779
</t>
  </si>
  <si>
    <t xml:space="preserve"> 27188771.46601779
</t>
  </si>
  <si>
    <t>Collateral ratio of tranche of gold is: 0.7830778302350863</t>
  </si>
  <si>
    <t xml:space="preserve"> collateral ratio of tranche of Treausry Bill Option is: 0.380649130387321</t>
  </si>
  <si>
    <t xml:space="preserve"> collateral ratio of tranche of Collar of REIT is: 0.2686908171713166
</t>
  </si>
  <si>
    <t xml:space="preserve"> 0.2686908171713166
</t>
  </si>
  <si>
    <t xml:space="preserve">date is: 2022-01-21 00:00:00
</t>
  </si>
  <si>
    <t xml:space="preserve"> 2022-01-21 00</t>
  </si>
  <si>
    <t>current price of gold is: 1835.38</t>
  </si>
  <si>
    <t xml:space="preserve"> predicted price of gold is: 1837.7746391900937
</t>
  </si>
  <si>
    <t xml:space="preserve"> 1837.7746391900937
</t>
  </si>
  <si>
    <t>current price of tb is: 95.8828125</t>
  </si>
  <si>
    <t xml:space="preserve"> current price of tb option is: 4.364735172373691</t>
  </si>
  <si>
    <t xml:space="preserve"> predicted price of tb is: 96.02274360986372
</t>
  </si>
  <si>
    <t xml:space="preserve"> 96.02274360986372
</t>
  </si>
  <si>
    <t>current price of reit is: 68.85</t>
  </si>
  <si>
    <t xml:space="preserve"> current price of reit option is: 6.397672764839925</t>
  </si>
  <si>
    <t xml:space="preserve"> predicted price of reit is: 69.27264042938218
</t>
  </si>
  <si>
    <t xml:space="preserve"> 69.27264042938218
</t>
  </si>
  <si>
    <t>value_ratio_gold_to_total is: 0.17454123531373708</t>
  </si>
  <si>
    <t xml:space="preserve"> risk_ratio_to_gold is: 0.6621198962761348</t>
  </si>
  <si>
    <t xml:space="preserve"> risk_ratio_to_gold_before is: 0.6628314721550419
</t>
  </si>
  <si>
    <t xml:space="preserve"> 0.6628314721550419
</t>
  </si>
  <si>
    <t>value_ratio_tb_to_total is: 0.3283375720361151</t>
  </si>
  <si>
    <t xml:space="preserve"> risk_ratio_tb_to_gold is: 0.26478864124840223</t>
  </si>
  <si>
    <t xml:space="preserve"> risk_ratio_tb_to_gold_before is: 0.26379274910859246
</t>
  </si>
  <si>
    <t xml:space="preserve"> 0.26379274910859246
</t>
  </si>
  <si>
    <t>value_ratio_reit_to_total is: 0.4971211926501478</t>
  </si>
  <si>
    <t xml:space="preserve"> risk_ratio_reit_to_gold is: 0.24551184303572143</t>
  </si>
  <si>
    <t xml:space="preserve"> risk_ratio_reit_to_gold_before is: 0.24488636769425512
</t>
  </si>
  <si>
    <t xml:space="preserve"> 0.24488636769425512
</t>
  </si>
  <si>
    <t>delta_gold is: 0.9978741797106493</t>
  </si>
  <si>
    <t xml:space="preserve"> delta_tb is: 1.0011914968769178</t>
  </si>
  <si>
    <t xml:space="preserve"> delta_reit is: 1.009918990192548
</t>
  </si>
  <si>
    <t xml:space="preserve"> 1.009918990192548
</t>
  </si>
  <si>
    <t>delta_gold_risk is: 0.9995720697552201</t>
  </si>
  <si>
    <t xml:space="preserve"> delta_tb_risk is: 1.0007880185580367</t>
  </si>
  <si>
    <t xml:space="preserve"> delta_reit_risk is: 1.000502435690275
</t>
  </si>
  <si>
    <t xml:space="preserve"> 1.000502435690275
</t>
  </si>
  <si>
    <t xml:space="preserve">collateral_ratio_tranche_gold is: 0.7817476809719062
</t>
  </si>
  <si>
    <t xml:space="preserve"> 0.7817476809719062
</t>
  </si>
  <si>
    <t xml:space="preserve">collateral_ratio_tranche_tb is: 0.3816138355613797
</t>
  </si>
  <si>
    <t xml:space="preserve"> 0.3816138355613797
</t>
  </si>
  <si>
    <t xml:space="preserve">collateral_ratio_tranche_reit is: 0.27179748089985056
</t>
  </si>
  <si>
    <t xml:space="preserve"> 0.27179748089985056
</t>
  </si>
  <si>
    <t>Total plot size is: 145093206.08007818</t>
  </si>
  <si>
    <t xml:space="preserve"> plot size of gold is: 79071044.2264529</t>
  </si>
  <si>
    <t xml:space="preserve"> plot size of TB is: 38563705.23008862</t>
  </si>
  <si>
    <t xml:space="preserve"> plot size of REIT is: 27458456.62353665
</t>
  </si>
  <si>
    <t xml:space="preserve"> 27458456.62353665
</t>
  </si>
  <si>
    <t xml:space="preserve">collateral ratio is: 1.4338721442100182
</t>
  </si>
  <si>
    <t xml:space="preserve"> 1.4338721442100182
</t>
  </si>
  <si>
    <t>S_gtbcps_0 is: 1.0004017136132877</t>
  </si>
  <si>
    <t xml:space="preserve">stdev_gtbcps is: 0.006564640621003664
</t>
  </si>
  <si>
    <t xml:space="preserve"> 0.006564640621003664
</t>
  </si>
  <si>
    <t>predicted price of GTBCPS is: 1.0004173616748413</t>
  </si>
  <si>
    <t xml:space="preserve"> actual price is: 1.0004017136132877
</t>
  </si>
  <si>
    <t xml:space="preserve"> 1.0004017136132877
</t>
  </si>
  <si>
    <t>predicted amount of GTBCPS is: 101147564.36658321</t>
  </si>
  <si>
    <t xml:space="preserve"> actual amount is: 101149146.49433416
</t>
  </si>
  <si>
    <t>plot sizes of gold is: 79071044.2264529</t>
  </si>
  <si>
    <t xml:space="preserve"> plot sizes of tb is: 38563705.23008862 </t>
  </si>
  <si>
    <t xml:space="preserve"> plot sizes of reit is: 27458456.62353665</t>
  </si>
  <si>
    <t xml:space="preserve"> plot sizes of total is: 145093206.08007818.
</t>
  </si>
  <si>
    <t xml:space="preserve"> 145093206.08007818.
</t>
  </si>
  <si>
    <t>predicted stdevs of gold is: 0.007708022399829962</t>
  </si>
  <si>
    <t xml:space="preserve"> predicted stdevs of tb is: 0.0017558275863800133</t>
  </si>
  <si>
    <t xml:space="preserve"> predicted stdevs of reit is: 0.010025769499277054</t>
  </si>
  <si>
    <t xml:space="preserve"> predicted stdevs of GTBCPS is: 0.006564640621003664.
</t>
  </si>
  <si>
    <t xml:space="preserve"> 0.006564640621003664.
</t>
  </si>
  <si>
    <t>total_value_of_collaterals is: 145093757.0897621</t>
  </si>
  <si>
    <t xml:space="preserve"> createdtionValue_gold is: -1236.8184689959523</t>
  </si>
  <si>
    <t xml:space="preserve"> createdValue_tb is: -603.2061904664127</t>
  </si>
  <si>
    <t xml:space="preserve"> createdValue_reit is: -429.49968369494064
</t>
  </si>
  <si>
    <t xml:space="preserve"> -429.49968369494064
</t>
  </si>
  <si>
    <t>plotValue_gold_after_creation is: 79072712.322</t>
  </si>
  <si>
    <t xml:space="preserve"> plotValue_tb_after_creation  is: 38564389.81568626</t>
  </si>
  <si>
    <t xml:space="preserve"> plotValue_reit_after_creation  is: 27458924.476419</t>
  </si>
  <si>
    <t xml:space="preserve">total_value_after_creation is: 145096026.61410525
</t>
  </si>
  <si>
    <t xml:space="preserve"> 145096026.61410525
</t>
  </si>
  <si>
    <t>total_amount_gtncps_before_creation is: 101149146.49433416</t>
  </si>
  <si>
    <t>creation_amount_gtbcps is: -1582.1277509480715</t>
  </si>
  <si>
    <t xml:space="preserve">total_amount_gtbcps_new is: 101147564.36658321
</t>
  </si>
  <si>
    <t xml:space="preserve"> 101147564.36658321
</t>
  </si>
  <si>
    <t>payout of tranche of gold is: 431.27707809286125</t>
  </si>
  <si>
    <t xml:space="preserve"> payout of tranche of Treausry Bill Option is: 81.37940717846587</t>
  </si>
  <si>
    <t xml:space="preserve"> payout of tranche of Collar of REIT is: 38.35319865438212
</t>
  </si>
  <si>
    <t xml:space="preserve"> 38.35319865438212
</t>
  </si>
  <si>
    <t>Collateral size of tranche of gold is: 79072712.322</t>
  </si>
  <si>
    <t xml:space="preserve"> collateral size of tranche of Treausry Bill Option is: 38564389.81568626</t>
  </si>
  <si>
    <t xml:space="preserve"> collateral size of tranche of Collar of REIT is: 27458924.476419
</t>
  </si>
  <si>
    <t xml:space="preserve"> 27458924.476419
</t>
  </si>
  <si>
    <t>Collateral ratio of tranche of gold is: 0.7814176086475297</t>
  </si>
  <si>
    <t xml:space="preserve"> collateral ratio of tranche of Treausry Bill Option is: 0.3811035739612594</t>
  </si>
  <si>
    <t xml:space="preserve"> collateral ratio of tranche of Collar of REIT is: 0.271356406910891
</t>
  </si>
  <si>
    <t xml:space="preserve"> 0.271356406910891
</t>
  </si>
  <si>
    <t xml:space="preserve">date is: 2022-01-24 00:00:00
</t>
  </si>
  <si>
    <t xml:space="preserve"> 2022-01-24 00</t>
  </si>
  <si>
    <t>current price of gold is: 1843.06</t>
  </si>
  <si>
    <t xml:space="preserve"> predicted price of gold is: 1843.3118871776069
</t>
  </si>
  <si>
    <t xml:space="preserve"> 1843.3118871776069
</t>
  </si>
  <si>
    <t>current price of tb is: 95.94921875</t>
  </si>
  <si>
    <t xml:space="preserve"> current price of tb option is: 4.3646416499374</t>
  </si>
  <si>
    <t xml:space="preserve"> predicted price of tb is: 96.08924677296027
</t>
  </si>
  <si>
    <t xml:space="preserve"> 96.08924677296027
</t>
  </si>
  <si>
    <t xml:space="preserve"> current price of reit option is: 6.406870723646719</t>
  </si>
  <si>
    <t xml:space="preserve"> predicted price of reit is: 69.1901387192098
</t>
  </si>
  <si>
    <t xml:space="preserve"> 69.1901387192098
</t>
  </si>
  <si>
    <t>value_ratio_gold_to_total is: 0.02170773805558788</t>
  </si>
  <si>
    <t xml:space="preserve"> risk_ratio_to_gold is: 0.6599222413932455</t>
  </si>
  <si>
    <t xml:space="preserve"> risk_ratio_to_gold_before is: 0.6621198962761348
</t>
  </si>
  <si>
    <t xml:space="preserve"> 0.6621198962761348
</t>
  </si>
  <si>
    <t>value_ratio_tb_to_total is: 0.3882142402612009</t>
  </si>
  <si>
    <t xml:space="preserve"> risk_ratio_tb_to_gold is: 0.2678128923730344</t>
  </si>
  <si>
    <t xml:space="preserve"> risk_ratio_tb_to_gold_before is: 0.26478864124840223
</t>
  </si>
  <si>
    <t xml:space="preserve"> 0.26478864124840223
</t>
  </si>
  <si>
    <t>value_ratio_reit_to_total is: 0.5900780216832112</t>
  </si>
  <si>
    <t xml:space="preserve"> risk_ratio_reit_to_gold is: 0.24751715301045374</t>
  </si>
  <si>
    <t xml:space="preserve"> risk_ratio_reit_to_gold_before is: 0.24551184303572143
</t>
  </si>
  <si>
    <t xml:space="preserve"> 0.24551184303572143
</t>
  </si>
  <si>
    <t>delta_gold is: 1.0041844195752376</t>
  </si>
  <si>
    <t xml:space="preserve"> delta_tb is: 1.0006614897731008</t>
  </si>
  <si>
    <t xml:space="preserve"> delta_reit is: 0.9987932910366947
</t>
  </si>
  <si>
    <t xml:space="preserve"> 0.9987932910366947
</t>
  </si>
  <si>
    <t>delta_gold_risk is: 0.9986778000264523</t>
  </si>
  <si>
    <t xml:space="preserve"> delta_tb_risk is: 1.0023911118632811</t>
  </si>
  <si>
    <t xml:space="preserve"> delta_reit_risk is: 1.001610028829469
</t>
  </si>
  <si>
    <t xml:space="preserve"> 1.001610028829469
</t>
  </si>
  <si>
    <t xml:space="preserve">collateral_ratio_tranche_gold is: 0.7857262750456709
</t>
  </si>
  <si>
    <t xml:space="preserve"> 0.7857262750456709
</t>
  </si>
  <si>
    <t xml:space="preserve">collateral_ratio_tranche_tb is: 0.3788606691785937
</t>
  </si>
  <si>
    <t xml:space="preserve"> 0.3788606691785937
</t>
  </si>
  <si>
    <t xml:space="preserve">collateral_ratio_tranche_reit is: 0.2694657379864047
</t>
  </si>
  <si>
    <t xml:space="preserve"> 0.2694657379864047
</t>
  </si>
  <si>
    <t>Total plot size is: 145419275.0385931</t>
  </si>
  <si>
    <t xml:space="preserve"> plot size of gold is: 79403585.7273073</t>
  </si>
  <si>
    <t xml:space="preserve"> plot size of TB is: 38589899.76515521</t>
  </si>
  <si>
    <t xml:space="preserve"> plot size of REIT is: 27425789.546130583
</t>
  </si>
  <si>
    <t xml:space="preserve"> 27425789.546130583
</t>
  </si>
  <si>
    <t xml:space="preserve">collateral ratio is: 1.4370944949274467
</t>
  </si>
  <si>
    <t xml:space="preserve"> 1.4370944949274467
</t>
  </si>
  <si>
    <t>S_gtbcps_0 is: 1.0004173616748413</t>
  </si>
  <si>
    <t xml:space="preserve">stdev_gtbcps is: 0.006495289527151359
</t>
  </si>
  <si>
    <t xml:space="preserve"> 0.006495289527151359
</t>
  </si>
  <si>
    <t>predicted price of GTBCPS is: 1.000436895664261</t>
  </si>
  <si>
    <t xml:space="preserve"> actual price is: 1.0004173616748413
</t>
  </si>
  <si>
    <t xml:space="preserve"> 1.0004173616748413
</t>
  </si>
  <si>
    <t>predicted amount of GTBCPS is: 101145589.41397926</t>
  </si>
  <si>
    <t xml:space="preserve"> actual amount is: 101147564.36658321
</t>
  </si>
  <si>
    <t>plot sizes of gold is: 79403585.7273073</t>
  </si>
  <si>
    <t xml:space="preserve"> plot sizes of tb is: 38589899.76515521 </t>
  </si>
  <si>
    <t xml:space="preserve"> plot sizes of reit is: 27425789.546130583</t>
  </si>
  <si>
    <t xml:space="preserve"> plot sizes of total is: 145419275.0385931.
</t>
  </si>
  <si>
    <t xml:space="preserve"> 145419275.0385931.
</t>
  </si>
  <si>
    <t>predicted stdevs of gold is: 0.007592532458342476</t>
  </si>
  <si>
    <t xml:space="preserve"> predicted stdevs of tb is: 0.0017561449976303083</t>
  </si>
  <si>
    <t xml:space="preserve"> predicted stdevs of reit is: 0.009986823984353355</t>
  </si>
  <si>
    <t xml:space="preserve"> predicted stdevs of GTBCPS is: 0.006495289527151359.
</t>
  </si>
  <si>
    <t xml:space="preserve"> 0.006495289527151359.
</t>
  </si>
  <si>
    <t>total_value_of_collaterals is: 145419962.49095362</t>
  </si>
  <si>
    <t xml:space="preserve"> createdtionValue_gold is: -1550.4311639867692</t>
  </si>
  <si>
    <t xml:space="preserve"> createdValue_tb is: -753.5028204325579</t>
  </si>
  <si>
    <t xml:space="preserve"> createdValue_reit is: -535.5129479872606
</t>
  </si>
  <si>
    <t xml:space="preserve"> -535.5129479872606
</t>
  </si>
  <si>
    <t>plotValue_gold_after_creation is: 79405619.9837753</t>
  </si>
  <si>
    <t xml:space="preserve"> plotValue_tb_after_creation  is: 38590786.87641831</t>
  </si>
  <si>
    <t xml:space="preserve"> plotValue_reit_after_creation  is: 27426395.07769242</t>
  </si>
  <si>
    <t xml:space="preserve">total_value_after_creation is: 145422801.93788603
</t>
  </si>
  <si>
    <t xml:space="preserve"> 145422801.93788603
</t>
  </si>
  <si>
    <t>total_amount_gtncps_before_creation is: 101147564.36658321</t>
  </si>
  <si>
    <t>creation_amount_gtbcps is: -1974.9526039510965</t>
  </si>
  <si>
    <t xml:space="preserve">total_amount_gtbcps_new is: 101145589.41397926
</t>
  </si>
  <si>
    <t xml:space="preserve"> 101145589.41397926
</t>
  </si>
  <si>
    <t>payout of tranche of gold is: 483.82530402284317</t>
  </si>
  <si>
    <t xml:space="preserve"> payout of tranche of Treausry Bill Option is: 133.60844266118144</t>
  </si>
  <si>
    <t xml:space="preserve"> payout of tranche of Collar of REIT is: 70.01861384880961
</t>
  </si>
  <si>
    <t xml:space="preserve"> 70.01861384880961
</t>
  </si>
  <si>
    <t>Collateral size of tranche of gold is: 79405619.9837753</t>
  </si>
  <si>
    <t xml:space="preserve"> collateral size of tranche of Treausry Bill Option is: 38590786.87641831</t>
  </si>
  <si>
    <t xml:space="preserve"> collateral size of tranche of Collar of REIT is: 27426395.07769242
</t>
  </si>
  <si>
    <t xml:space="preserve"> 27426395.07769242
</t>
  </si>
  <si>
    <t>Collateral ratio of tranche of gold is: 0.7847044430568755</t>
  </si>
  <si>
    <t xml:space="preserve"> collateral ratio of tranche of Treausry Bill Option is: 0.3813629555335492</t>
  </si>
  <si>
    <t xml:space="preserve"> collateral ratio of tranche of Collar of REIT is: 0.27103389003065403
</t>
  </si>
  <si>
    <t xml:space="preserve"> 0.27103389003065403
</t>
  </si>
  <si>
    <t xml:space="preserve">date is: 2022-01-25 00:00:00
</t>
  </si>
  <si>
    <t xml:space="preserve"> 2022-01-25 00</t>
  </si>
  <si>
    <t>current price of gold is: 1848.02</t>
  </si>
  <si>
    <t xml:space="preserve"> predicted price of gold is: 1845.3448996996842
</t>
  </si>
  <si>
    <t xml:space="preserve"> 1845.3448996996842
</t>
  </si>
  <si>
    <t>current price of tb is: 95.91796875</t>
  </si>
  <si>
    <t xml:space="preserve"> current price of tb option is: 4.3623643283434355</t>
  </si>
  <si>
    <t xml:space="preserve"> predicted price of tb is: 96.06035264559472
</t>
  </si>
  <si>
    <t xml:space="preserve"> 96.06035264559472
</t>
  </si>
  <si>
    <t xml:space="preserve"> current price of reit option is: 6.409301133726345</t>
  </si>
  <si>
    <t xml:space="preserve"> predicted price of reit is: 68.49439073515464
</t>
  </si>
  <si>
    <t xml:space="preserve"> 68.49439073515464
</t>
  </si>
  <si>
    <t>value_ratio_gold_to_total is: -0.3063089681466472</t>
  </si>
  <si>
    <t xml:space="preserve"> risk_ratio_to_gold is: 0.6614702446633216</t>
  </si>
  <si>
    <t xml:space="preserve"> risk_ratio_to_gold_before is: 0.6599222413932455
</t>
  </si>
  <si>
    <t xml:space="preserve"> 0.6599222413932455
</t>
  </si>
  <si>
    <t>value_ratio_tb_to_total is: 0.5158104838431902</t>
  </si>
  <si>
    <t xml:space="preserve"> risk_ratio_tb_to_gold is: 0.26695128066046997</t>
  </si>
  <si>
    <t xml:space="preserve"> risk_ratio_tb_to_gold_before is: 0.2678128923730344
</t>
  </si>
  <si>
    <t xml:space="preserve"> 0.2678128923730344
</t>
  </si>
  <si>
    <t>value_ratio_reit_to_total is: 0.790498484303457</t>
  </si>
  <si>
    <t xml:space="preserve"> risk_ratio_reit_to_gold is: 0.24483251924270627</t>
  </si>
  <si>
    <t xml:space="preserve"> risk_ratio_reit_to_gold_before is: 0.24751715301045374
</t>
  </si>
  <si>
    <t xml:space="preserve"> 0.24751715301045374
</t>
  </si>
  <si>
    <t>delta_gold is: 1.0026911766301694</t>
  </si>
  <si>
    <t xml:space="preserve"> delta_tb is: 0.9996657757815292</t>
  </si>
  <si>
    <t xml:space="preserve"> delta_reit is: 0.9900532102691023
</t>
  </si>
  <si>
    <t xml:space="preserve"> 0.9900532102691023
</t>
  </si>
  <si>
    <t>delta_gold_risk is: 1.00093257577462</t>
  </si>
  <si>
    <t xml:space="preserve"> delta_tb_risk is: 0.9993203952115113</t>
  </si>
  <si>
    <t xml:space="preserve"> delta_reit_risk is: 0.9978480185532768
</t>
  </si>
  <si>
    <t xml:space="preserve"> 0.9978480185532768
</t>
  </si>
  <si>
    <t xml:space="preserve">collateral_ratio_tranche_gold is: 0.7860831392231435
</t>
  </si>
  <si>
    <t xml:space="preserve"> 0.7860831392231435
</t>
  </si>
  <si>
    <t xml:space="preserve">collateral_ratio_tranche_tb is: 0.38047084621398497
</t>
  </si>
  <si>
    <t xml:space="preserve"> 0.38047084621398497
</t>
  </si>
  <si>
    <t xml:space="preserve">collateral_ratio_tranche_reit is: 0.26819491672314705
</t>
  </si>
  <si>
    <t xml:space="preserve"> 0.26819491672314705
</t>
  </si>
  <si>
    <t>Total plot size is: 145350793.9261922</t>
  </si>
  <si>
    <t xml:space="preserve"> plot size of gold is: 79619314.53257975</t>
  </si>
  <si>
    <t xml:space="preserve"> plot size of TB is: 38577888.90083436</t>
  </si>
  <si>
    <t xml:space="preserve"> plot size of REIT is: 27153590.492778085
</t>
  </si>
  <si>
    <t xml:space="preserve"> 27153590.492778085
</t>
  </si>
  <si>
    <t xml:space="preserve">collateral ratio is: 1.4364177357453385
</t>
  </si>
  <si>
    <t xml:space="preserve"> 1.4364177357453385
</t>
  </si>
  <si>
    <t>S_gtbcps_0 is: 1.000436895664261</t>
  </si>
  <si>
    <t xml:space="preserve">stdev_gtbcps is: 0.006501443173536611
</t>
  </si>
  <si>
    <t xml:space="preserve"> 0.006501443173536611
</t>
  </si>
  <si>
    <t>predicted price of GTBCPS is: 1.00045763447814</t>
  </si>
  <si>
    <t xml:space="preserve"> actual price is: 1.000436895664261
</t>
  </si>
  <si>
    <t xml:space="preserve"> 1.000436895664261
</t>
  </si>
  <si>
    <t>predicted amount of GTBCPS is: 101143492.73393881</t>
  </si>
  <si>
    <t xml:space="preserve"> actual amount is: 101145589.41397926
</t>
  </si>
  <si>
    <t>plot sizes of gold is: 79619314.53257975</t>
  </si>
  <si>
    <t xml:space="preserve"> plot sizes of tb is: 38577888.90083436 </t>
  </si>
  <si>
    <t xml:space="preserve"> plot sizes of reit is: 27153590.492778085</t>
  </si>
  <si>
    <t xml:space="preserve"> plot sizes of total is: 145350793.9261922.
</t>
  </si>
  <si>
    <t xml:space="preserve"> 145350793.9261922.
</t>
  </si>
  <si>
    <t>predicted stdevs of gold is: 0.007601282539109563</t>
  </si>
  <si>
    <t xml:space="preserve"> predicted stdevs of tb is: 0.001754335419356618</t>
  </si>
  <si>
    <t xml:space="preserve"> predicted stdevs of reit is: 0.010020865004089599</t>
  </si>
  <si>
    <t xml:space="preserve"> predicted stdevs of GTBCPS is: 0.006501443173536611.
</t>
  </si>
  <si>
    <t xml:space="preserve"> 0.006501443173536611.
</t>
  </si>
  <si>
    <t>total_value_of_collaterals is: 145351525.0736159</t>
  </si>
  <si>
    <t xml:space="preserve"> createdtionValue_gold is: -1650.499738242759</t>
  </si>
  <si>
    <t xml:space="preserve"> createdValue_tb is: -799.713221363759</t>
  </si>
  <si>
    <t xml:space="preserve"> createdValue_reit is: -562.8888547863099
</t>
  </si>
  <si>
    <t xml:space="preserve"> -562.8888547863099
</t>
  </si>
  <si>
    <t>plotValue_gold_after_creation is: 79621480.45079876</t>
  </si>
  <si>
    <t xml:space="preserve"> plotValue_tb_after_creation  is: 38578831.0932131</t>
  </si>
  <si>
    <t xml:space="preserve"> plotValue_reit_after_creation  is: 27154226.631418433</t>
  </si>
  <si>
    <t xml:space="preserve">total_value_after_creation is: 145354538.1754303
</t>
  </si>
  <si>
    <t xml:space="preserve"> 145354538.1754303
</t>
  </si>
  <si>
    <t>total_amount_gtncps_before_creation is: 101145589.41397926</t>
  </si>
  <si>
    <t>creation_amount_gtbcps is: -2096.680040448904</t>
  </si>
  <si>
    <t xml:space="preserve">total_amount_gtbcps_new is: 101143492.73393881
</t>
  </si>
  <si>
    <t xml:space="preserve"> 101143492.73393881
</t>
  </si>
  <si>
    <t>payout of tranche of gold is: 515.4184807653426</t>
  </si>
  <si>
    <t xml:space="preserve"> payout of tranche of Treausry Bill Option is: 142.47915738067937</t>
  </si>
  <si>
    <t xml:space="preserve"> payout of tranche of Collar of REIT is: 73.24978556057415
</t>
  </si>
  <si>
    <t xml:space="preserve"> 73.24978556057415
</t>
  </si>
  <si>
    <t>Collateral size of tranche of gold is: 79621480.45079876</t>
  </si>
  <si>
    <t xml:space="preserve"> collateral size of tranche of Treausry Bill Option is: 38578831.0932131</t>
  </si>
  <si>
    <t xml:space="preserve"> collateral size of tranche of Collar of REIT is: 27154226.631418433
</t>
  </si>
  <si>
    <t xml:space="preserve"> 27154226.631418433
</t>
  </si>
  <si>
    <t>Collateral ratio of tranche of gold is: 0.7868366781457412</t>
  </si>
  <si>
    <t xml:space="preserve"> collateral ratio of tranche of Treausry Bill Option is: 0.38124434678010194</t>
  </si>
  <si>
    <t xml:space="preserve"> collateral ratio of tranche of Collar of REIT is: 0.26834393632613696
</t>
  </si>
  <si>
    <t xml:space="preserve"> 0.26834393632613696
</t>
  </si>
  <si>
    <t xml:space="preserve">date is: 2022-01-26 00:00:00
</t>
  </si>
  <si>
    <t xml:space="preserve"> 2022-01-26 00</t>
  </si>
  <si>
    <t>current price of gold is: 1819.59</t>
  </si>
  <si>
    <t xml:space="preserve"> predicted price of gold is: 1819.7944461453326
</t>
  </si>
  <si>
    <t xml:space="preserve"> 1819.7944461453326
</t>
  </si>
  <si>
    <t>current price of tb is: 95.453125</t>
  </si>
  <si>
    <t xml:space="preserve"> current price of tb option is: 4.357639763101452</t>
  </si>
  <si>
    <t xml:space="preserve"> predicted price of tb is: 95.60039539280088
</t>
  </si>
  <si>
    <t xml:space="preserve"> 95.60039539280088
</t>
  </si>
  <si>
    <t xml:space="preserve"> current price of reit option is: 6.366395298264379</t>
  </si>
  <si>
    <t xml:space="preserve"> predicted price of reit is: 68.39665692039696
</t>
  </si>
  <si>
    <t xml:space="preserve"> 68.39665692039696
</t>
  </si>
  <si>
    <t>value_ratio_gold_to_total is: 0.017898689665717105</t>
  </si>
  <si>
    <t xml:space="preserve"> risk_ratio_to_gold is: 0.6533263145143593</t>
  </si>
  <si>
    <t xml:space="preserve"> risk_ratio_to_gold_before is: 0.6614702446633216
</t>
  </si>
  <si>
    <t xml:space="preserve"> 0.6614702446633216
</t>
  </si>
  <si>
    <t>value_ratio_tb_to_total is: 0.39439231647645595</t>
  </si>
  <si>
    <t xml:space="preserve"> risk_ratio_tb_to_gold is: 0.27505550770045784</t>
  </si>
  <si>
    <t xml:space="preserve"> risk_ratio_tb_to_gold_before is: 0.26695128066046997
</t>
  </si>
  <si>
    <t xml:space="preserve"> 0.26695128066046997
</t>
  </si>
  <si>
    <t>value_ratio_reit_to_total is: 0.5877089938578269</t>
  </si>
  <si>
    <t xml:space="preserve"> risk_ratio_reit_to_gold is: 0.2555731808796671</t>
  </si>
  <si>
    <t xml:space="preserve"> risk_ratio_reit_to_gold_before is: 0.24483251924270627
</t>
  </si>
  <si>
    <t xml:space="preserve"> 0.24483251924270627
</t>
  </si>
  <si>
    <t>delta_gold is: 0.9846159673596606</t>
  </si>
  <si>
    <t xml:space="preserve"> delta_tb is: 0.9953174436020756</t>
  </si>
  <si>
    <t xml:space="preserve"> delta_reit is: 1.000095339754976
</t>
  </si>
  <si>
    <t xml:space="preserve"> 1.000095339754976
</t>
  </si>
  <si>
    <t>delta_gold_risk is: 0.9950983593145163</t>
  </si>
  <si>
    <t xml:space="preserve"> delta_tb_risk is: 1.0063966366850057</t>
  </si>
  <si>
    <t xml:space="preserve"> delta_reit_risk is: 1.008628198147888
</t>
  </si>
  <si>
    <t xml:space="preserve"> 1.008628198147888
</t>
  </si>
  <si>
    <t xml:space="preserve">collateral_ratio_tranche_gold is: 0.7785481201478545
</t>
  </si>
  <si>
    <t xml:space="preserve"> 0.7785481201478545
</t>
  </si>
  <si>
    <t xml:space="preserve">collateral_ratio_tranche_tb is: 0.38293845158294676
</t>
  </si>
  <si>
    <t xml:space="preserve"> 0.38293845158294676
</t>
  </si>
  <si>
    <t xml:space="preserve">collateral_ratio_tranche_reit is: 0.2702310257717857
</t>
  </si>
  <si>
    <t xml:space="preserve"> 0.2702310257717857
</t>
  </si>
  <si>
    <t>Total plot size is: 143951580.0462567</t>
  </si>
  <si>
    <t xml:space="preserve"> plot size of gold is: 78396580.99667153</t>
  </si>
  <si>
    <t xml:space="preserve"> plot size of TB is: 38398183.540853135</t>
  </si>
  <si>
    <t xml:space="preserve"> plot size of REIT is: 27156815.50873204
</t>
  </si>
  <si>
    <t xml:space="preserve"> 27156815.50873204
</t>
  </si>
  <si>
    <t xml:space="preserve">collateral ratio is: 1.4225901151390075
</t>
  </si>
  <si>
    <t xml:space="preserve"> 1.4225901151390075
</t>
  </si>
  <si>
    <t>S_gtbcps_0 is: 1.00045763447814</t>
  </si>
  <si>
    <t xml:space="preserve">stdev_gtbcps is: 0.0064865547827745
</t>
  </si>
  <si>
    <t xml:space="preserve"> 0.0064865547827745
</t>
  </si>
  <si>
    <t>predicted price of GTBCPS is: 1.0004587131996996</t>
  </si>
  <si>
    <t xml:space="preserve"> actual price is: 1.00045763447814
</t>
  </si>
  <si>
    <t xml:space="preserve"> 1.00045763447814
</t>
  </si>
  <si>
    <t>predicted amount of GTBCPS is: 101143383.67829786</t>
  </si>
  <si>
    <t xml:space="preserve"> actual amount is: 101143492.73393881
</t>
  </si>
  <si>
    <t>plot sizes of gold is: 78396580.99667153</t>
  </si>
  <si>
    <t xml:space="preserve"> plot sizes of tb is: 38398183.540853135 </t>
  </si>
  <si>
    <t xml:space="preserve"> plot sizes of reit is: 27156815.50873204</t>
  </si>
  <si>
    <t xml:space="preserve"> plot sizes of total is: 143951580.04625672.
</t>
  </si>
  <si>
    <t xml:space="preserve"> 143951580.04625672.
</t>
  </si>
  <si>
    <t>predicted stdevs of gold is: 0.007573092512030653</t>
  </si>
  <si>
    <t xml:space="preserve"> predicted stdevs of tb is: 0.0018120240760323748</t>
  </si>
  <si>
    <t xml:space="preserve"> predicted stdevs of reit is: 0.009959445222264475</t>
  </si>
  <si>
    <t xml:space="preserve"> predicted stdevs of GTBCPS is: 0.0064865547827745.
</t>
  </si>
  <si>
    <t xml:space="preserve"> 0.0064865547827745.
</t>
  </si>
  <si>
    <t>total_value_of_collaterals is: 143951618.04581907</t>
  </si>
  <si>
    <t xml:space="preserve"> createdtionValue_gold is: -84.52943057690662</t>
  </si>
  <si>
    <t xml:space="preserve"> createdValue_tb is: -41.40200755456521</t>
  </si>
  <si>
    <t xml:space="preserve"> createdValue_reit is: -29.281245100717168
</t>
  </si>
  <si>
    <t xml:space="preserve"> -29.281245100717168
</t>
  </si>
  <si>
    <t>plotValue_gold_after_creation is: 78396695.23575161</t>
  </si>
  <si>
    <t xml:space="preserve"> plotValue_tb_after_creation  is: 38398230.60739131</t>
  </si>
  <si>
    <t xml:space="preserve"> plotValue_reit_after_creation  is: 27156847.415359404</t>
  </si>
  <si>
    <t xml:space="preserve">total_value_after_creation is: 143951773.25850233
</t>
  </si>
  <si>
    <t xml:space="preserve"> 143951773.25850233
</t>
  </si>
  <si>
    <t>total_amount_gtncps_before_creation is: 101143492.73393881</t>
  </si>
  <si>
    <t>creation_amount_gtbcps is: -109.05564095079899</t>
  </si>
  <si>
    <t xml:space="preserve">total_amount_gtbcps_new is: 101143383.67829786
</t>
  </si>
  <si>
    <t xml:space="preserve"> 101143383.67829786
</t>
  </si>
  <si>
    <t>payout of tranche of gold is: 29.709649502695218</t>
  </si>
  <si>
    <t xml:space="preserve"> payout of tranche of Treausry Bill Option is: 5.664530622944788</t>
  </si>
  <si>
    <t xml:space="preserve"> payout of tranche of Collar of REIT is: 2.6253822643558684
</t>
  </si>
  <si>
    <t xml:space="preserve"> 2.6253822643558684
</t>
  </si>
  <si>
    <t>Collateral size of tranche of gold is: 78396695.23575161</t>
  </si>
  <si>
    <t xml:space="preserve"> collateral size of tranche of Treausry Bill Option is: 38398230.60739131</t>
  </si>
  <si>
    <t xml:space="preserve"> collateral size of tranche of Collar of REIT is: 27156847.415359404
</t>
  </si>
  <si>
    <t xml:space="preserve"> 27156847.415359404
</t>
  </si>
  <si>
    <t>Collateral ratio of tranche of gold is: 0.7747483106151101</t>
  </si>
  <si>
    <t xml:space="preserve"> collateral ratio of tranche of Treausry Bill Option is: 0.3794670707001852</t>
  </si>
  <si>
    <t xml:space="preserve"> collateral ratio of tranche of Collar of REIT is: 0.2683751093513847
</t>
  </si>
  <si>
    <t xml:space="preserve"> 0.2683751093513847
</t>
  </si>
  <si>
    <t xml:space="preserve">date is: 2022-01-27 00:00:00
</t>
  </si>
  <si>
    <t xml:space="preserve"> 2022-01-27 00</t>
  </si>
  <si>
    <t>current price of gold is: 1797.43</t>
  </si>
  <si>
    <t xml:space="preserve"> predicted price of gold is: 1810.021165034895
</t>
  </si>
  <si>
    <t xml:space="preserve"> 1810.021165034895
</t>
  </si>
  <si>
    <t>current price of tb is: 95.45703125</t>
  </si>
  <si>
    <t xml:space="preserve"> current price of tb option is: 4.360714368989347</t>
  </si>
  <si>
    <t xml:space="preserve"> predicted price of tb is: 95.601120912438
</t>
  </si>
  <si>
    <t xml:space="preserve"> 95.601120912438
</t>
  </si>
  <si>
    <t xml:space="preserve"> current price of reit option is: 6.4106261607317805</t>
  </si>
  <si>
    <t xml:space="preserve"> predicted price of reit is: 68.04332700247774
</t>
  </si>
  <si>
    <t xml:space="preserve"> 68.04332700247774
</t>
  </si>
  <si>
    <t>value_ratio_gold_to_total is: 0.525728848479064</t>
  </si>
  <si>
    <t xml:space="preserve"> risk_ratio_to_gold is: 0.6591501645672112</t>
  </si>
  <si>
    <t xml:space="preserve"> risk_ratio_to_gold_before is: 0.6533263145143593
</t>
  </si>
  <si>
    <t xml:space="preserve"> 0.6533263145143593
</t>
  </si>
  <si>
    <t>value_ratio_tb_to_total is: 0.18809263713903224</t>
  </si>
  <si>
    <t xml:space="preserve"> risk_ratio_tb_to_gold is: 0.2695064490637402</t>
  </si>
  <si>
    <t xml:space="preserve"> risk_ratio_tb_to_gold_before is: 0.27505550770045784
</t>
  </si>
  <si>
    <t xml:space="preserve"> 0.27505550770045784
</t>
  </si>
  <si>
    <t>value_ratio_reit_to_total is: 0.2861785143819038</t>
  </si>
  <si>
    <t xml:space="preserve"> risk_ratio_reit_to_gold is: 0.2475985351344903</t>
  </si>
  <si>
    <t xml:space="preserve"> risk_ratio_reit_to_gold_before is: 0.2555731808796671
</t>
  </si>
  <si>
    <t xml:space="preserve"> 0.2555731808796671
</t>
  </si>
  <si>
    <t>delta_gold is: 0.9878214323006832</t>
  </si>
  <si>
    <t xml:space="preserve"> delta_tb is: 1.000069940911729</t>
  </si>
  <si>
    <t xml:space="preserve"> delta_reit is: 0.9945473153341241
</t>
  </si>
  <si>
    <t xml:space="preserve"> 0.9945473153341241
</t>
  </si>
  <si>
    <t>delta_gold_risk is: 1.0035225049052479</t>
  </si>
  <si>
    <t xml:space="preserve"> delta_tb_risk is: 0.9956479866145395</t>
  </si>
  <si>
    <t xml:space="preserve"> delta_reit_risk is: 0.9936486013984548
</t>
  </si>
  <si>
    <t xml:space="preserve"> 0.9936486013984548
</t>
  </si>
  <si>
    <t xml:space="preserve">collateral_ratio_tranche_gold is: 0.7626266298199392
</t>
  </si>
  <si>
    <t xml:space="preserve"> 0.7626266298199392
</t>
  </si>
  <si>
    <t xml:space="preserve">collateral_ratio_tranche_tb is: 0.3858515100184838
</t>
  </si>
  <si>
    <t xml:space="preserve"> 0.3858515100184838
</t>
  </si>
  <si>
    <t xml:space="preserve">collateral_ratio_tranche_reit is: 0.2719295560108228
</t>
  </si>
  <si>
    <t xml:space="preserve"> 0.2719295560108228
</t>
  </si>
  <si>
    <t>Total plot size is: 142851621.67995322</t>
  </si>
  <si>
    <t xml:space="preserve"> plot size of gold is: 77441935.77542031</t>
  </si>
  <si>
    <t xml:space="preserve"> plot size of TB is: 38400916.214648776</t>
  </si>
  <si>
    <t xml:space="preserve"> plot size of REIT is: 27008769.68988414
</t>
  </si>
  <si>
    <t xml:space="preserve"> 27008769.68988414
</t>
  </si>
  <si>
    <t xml:space="preserve">collateral ratio is: 1.4117198634997759
</t>
  </si>
  <si>
    <t xml:space="preserve"> 1.4117198634997759
</t>
  </si>
  <si>
    <t>S_gtbcps_0 is: 1.0004587131996996</t>
  </si>
  <si>
    <t xml:space="preserve">stdev_gtbcps is: 0.006565716942346282
</t>
  </si>
  <si>
    <t xml:space="preserve"> 0.006565716942346282
</t>
  </si>
  <si>
    <t>predicted price of GTBCPS is: 1.000472914662817</t>
  </si>
  <si>
    <t xml:space="preserve"> actual price is: 1.0004587131996996
</t>
  </si>
  <si>
    <t xml:space="preserve"> 1.0004587131996996
</t>
  </si>
  <si>
    <t>predicted amount of GTBCPS is: 101141947.97323096</t>
  </si>
  <si>
    <t xml:space="preserve"> actual amount is: 101143383.67829786
</t>
  </si>
  <si>
    <t>plot sizes of gold is: 77441935.77542031</t>
  </si>
  <si>
    <t xml:space="preserve"> plot sizes of tb is: 38400916.214648776 </t>
  </si>
  <si>
    <t xml:space="preserve"> plot sizes of reit is: 27008769.68988414</t>
  </si>
  <si>
    <t xml:space="preserve"> plot sizes of total is: 142851621.67995322.
</t>
  </si>
  <si>
    <t xml:space="preserve"> 142851621.67995322.
</t>
  </si>
  <si>
    <t>predicted stdevs of gold is: 0.007736153416214215</t>
  </si>
  <si>
    <t xml:space="preserve"> predicted stdevs of tb is: 0.001811897934475894</t>
  </si>
  <si>
    <t xml:space="preserve"> predicted stdevs of reit is: 0.009968690874060382</t>
  </si>
  <si>
    <t xml:space="preserve"> predicted stdevs of GTBCPS is: 0.006565716942346282.
</t>
  </si>
  <si>
    <t xml:space="preserve"> 0.006565716942346282.
</t>
  </si>
  <si>
    <t>total_value_of_collaterals is: 142852122.60538608</t>
  </si>
  <si>
    <t xml:space="preserve"> createdtionValue_gold is: -1099.290064947869</t>
  </si>
  <si>
    <t xml:space="preserve"> createdValue_tb is: -545.1001971526888</t>
  </si>
  <si>
    <t xml:space="preserve"> createdValue_reit is: -383.38871934526856
</t>
  </si>
  <si>
    <t xml:space="preserve"> -383.38871934526856
</t>
  </si>
  <si>
    <t>plotValue_gold_after_creation is: 77443424.40226611</t>
  </si>
  <si>
    <t xml:space="preserve"> plotValue_tb_after_creation  is: 38401535.005100325</t>
  </si>
  <si>
    <t xml:space="preserve"> plotValue_reit_after_creation  is: 27009190.97700109</t>
  </si>
  <si>
    <t xml:space="preserve">total_value_after_creation is: 142854150.38436753
</t>
  </si>
  <si>
    <t xml:space="preserve"> 142854150.38436753
</t>
  </si>
  <si>
    <t>total_amount_gtncps_before_creation is: 101143383.67829786</t>
  </si>
  <si>
    <t>creation_amount_gtbcps is: -1435.7050669044256</t>
  </si>
  <si>
    <t xml:space="preserve">total_amount_gtbcps_new is: 101141947.97323096
</t>
  </si>
  <si>
    <t xml:space="preserve"> 101141947.97323096
</t>
  </si>
  <si>
    <t>payout of tranche of gold is: 389.3367808604507</t>
  </si>
  <si>
    <t xml:space="preserve"> payout of tranche of Treausry Bill Option is: 73.69025439831735</t>
  </si>
  <si>
    <t xml:space="preserve"> payout of tranche of Collar of REIT is: 37.89839760291139
</t>
  </si>
  <si>
    <t xml:space="preserve"> 37.89839760291139
</t>
  </si>
  <si>
    <t>Collateral size of tranche of gold is: 77443424.40226611</t>
  </si>
  <si>
    <t xml:space="preserve"> collateral size of tranche of Treausry Bill Option is: 38401535.005100325</t>
  </si>
  <si>
    <t xml:space="preserve"> collateral size of tranche of Collar of REIT is: 27009190.97700109
</t>
  </si>
  <si>
    <t xml:space="preserve"> 27009190.97700109
</t>
  </si>
  <si>
    <t>Collateral ratio of tranche of gold is: 0.7653176586363111</t>
  </si>
  <si>
    <t xml:space="preserve"> collateral ratio of tranche of Treausry Bill Option is: 0.3794947483918821</t>
  </si>
  <si>
    <t xml:space="preserve"> collateral ratio of tranche of Collar of REIT is: 0.26691240682759115
</t>
  </si>
  <si>
    <t xml:space="preserve"> 0.26691240682759115
</t>
  </si>
  <si>
    <t xml:space="preserve">date is: 2022-01-28 00:00:00
</t>
  </si>
  <si>
    <t xml:space="preserve"> 2022-01-28 00</t>
  </si>
  <si>
    <t>current price of gold is: 1791.53</t>
  </si>
  <si>
    <t xml:space="preserve"> predicted price of gold is: 1801.196315249928
</t>
  </si>
  <si>
    <t xml:space="preserve"> 1801.196315249928
</t>
  </si>
  <si>
    <t>current price of tb is: 95.63671875</t>
  </si>
  <si>
    <t xml:space="preserve"> current price of tb option is: 4.362767218429314</t>
  </si>
  <si>
    <t xml:space="preserve"> predicted price of tb is: 95.77868514852761
</t>
  </si>
  <si>
    <t xml:space="preserve"> 95.77868514852761
</t>
  </si>
  <si>
    <t xml:space="preserve"> current price of reit option is: 6.4542181974604915</t>
  </si>
  <si>
    <t xml:space="preserve"> predicted price of reit is: 67.20796498735471
</t>
  </si>
  <si>
    <t xml:space="preserve"> 67.20796498735471
</t>
  </si>
  <si>
    <t>value_ratio_gold_to_total is: 0.45848355822410486</t>
  </si>
  <si>
    <t xml:space="preserve"> risk_ratio_to_gold is: 0.6605983102706945</t>
  </si>
  <si>
    <t xml:space="preserve"> risk_ratio_to_gold_before is: 0.6591501645672112
</t>
  </si>
  <si>
    <t xml:space="preserve"> 0.6591501645672112
</t>
  </si>
  <si>
    <t>value_ratio_tb_to_total is: 0.21366428097506426</t>
  </si>
  <si>
    <t xml:space="preserve"> risk_ratio_tb_to_gold is: 0.2695776961417554</t>
  </si>
  <si>
    <t xml:space="preserve"> risk_ratio_tb_to_gold_before is: 0.2695064490637402
</t>
  </si>
  <si>
    <t xml:space="preserve"> 0.2695064490637402
</t>
  </si>
  <si>
    <t>value_ratio_reit_to_total is: 0.32785216080083085</t>
  </si>
  <si>
    <t xml:space="preserve"> risk_ratio_reit_to_gold is: 0.24420153164680547</t>
  </si>
  <si>
    <t xml:space="preserve"> risk_ratio_reit_to_gold_before is: 0.2475985351344903
</t>
  </si>
  <si>
    <t xml:space="preserve"> 0.2475985351344903
</t>
  </si>
  <si>
    <t>delta_gold is: 0.9967175355924848</t>
  </si>
  <si>
    <t xml:space="preserve"> delta_tb is: 1.0018207218397186</t>
  </si>
  <si>
    <t xml:space="preserve"> delta_reit is: 0.9891041596983658
</t>
  </si>
  <si>
    <t xml:space="preserve"> 0.9891041596983658
</t>
  </si>
  <si>
    <t>delta_gold_risk is: 1.0008728237711146</t>
  </si>
  <si>
    <t xml:space="preserve"> delta_tb_risk is: 1.0000561218716673</t>
  </si>
  <si>
    <t xml:space="preserve"> delta_reit_risk is: 0.9972771661780458
</t>
  </si>
  <si>
    <t xml:space="preserve"> 0.9972771661780458
</t>
  </si>
  <si>
    <t xml:space="preserve">collateral_ratio_tranche_gold is: 0.7621403164762492
</t>
  </si>
  <si>
    <t xml:space="preserve"> 0.7621403164762492
</t>
  </si>
  <si>
    <t xml:space="preserve">collateral_ratio_tranche_tb is: 0.381416352835133
</t>
  </si>
  <si>
    <t xml:space="preserve"> 0.381416352835133
</t>
  </si>
  <si>
    <t xml:space="preserve">collateral_ratio_tranche_reit is: 0.2655967859776663
</t>
  </si>
  <si>
    <t xml:space="preserve"> 0.2655967859776663
</t>
  </si>
  <si>
    <t>Total plot size is: 142375575.78207174</t>
  </si>
  <si>
    <t xml:space="preserve"> plot size of gold is: 77189219.11806957</t>
  </si>
  <si>
    <t xml:space="preserve"> plot size of TB is: 38471453.51856283</t>
  </si>
  <si>
    <t xml:space="preserve"> plot size of REIT is: 26714903.14543935
</t>
  </si>
  <si>
    <t xml:space="preserve"> 26714903.14543935
</t>
  </si>
  <si>
    <t xml:space="preserve">collateral ratio is: 1.4070153775298333
</t>
  </si>
  <si>
    <t xml:space="preserve"> 1.4070153775298333
</t>
  </si>
  <si>
    <t>S_gtbcps_0 is: 1.000472914662817</t>
  </si>
  <si>
    <t xml:space="preserve">stdev_gtbcps is: 0.006550633644166031
</t>
  </si>
  <si>
    <t xml:space="preserve"> 0.006550633644166031
</t>
  </si>
  <si>
    <t>predicted price of GTBCPS is: 1.000521194102724</t>
  </si>
  <si>
    <t xml:space="preserve"> actual price is: 1.000472914662817
</t>
  </si>
  <si>
    <t xml:space="preserve"> 1.000472914662817
</t>
  </si>
  <si>
    <t>predicted amount of GTBCPS is: 101137067.44033669</t>
  </si>
  <si>
    <t xml:space="preserve"> actual amount is: 101141947.97323096
</t>
  </si>
  <si>
    <t>plot sizes of gold is: 77189219.11806957</t>
  </si>
  <si>
    <t xml:space="preserve"> plot sizes of tb is: 38471453.51856283 </t>
  </si>
  <si>
    <t xml:space="preserve"> plot sizes of reit is: 26714903.14543935</t>
  </si>
  <si>
    <t xml:space="preserve"> plot sizes of total is: 142375575.78207177.
</t>
  </si>
  <si>
    <t xml:space="preserve"> 142375575.78207177.
</t>
  </si>
  <si>
    <t>predicted stdevs of gold is: 0.007705893773415801</t>
  </si>
  <si>
    <t xml:space="preserve"> predicted stdevs of tb is: 0.0018090519666256366</t>
  </si>
  <si>
    <t xml:space="preserve"> predicted stdevs of reit is: 0.0100408919224504</t>
  </si>
  <si>
    <t xml:space="preserve"> predicted stdevs of GTBCPS is: 0.006550633644166031.
</t>
  </si>
  <si>
    <t xml:space="preserve"> 0.006550633644166031.
</t>
  </si>
  <si>
    <t>total_value_of_collaterals is: 142377276.3863592</t>
  </si>
  <si>
    <t xml:space="preserve"> createdtionValue_gold is: -3724.9523249844797</t>
  </si>
  <si>
    <t xml:space="preserve"> createdValue_tb is: -1856.5143787886454</t>
  </si>
  <si>
    <t xml:space="preserve"> createdValue_reit is: -1289.1792264139256
</t>
  </si>
  <si>
    <t xml:space="preserve"> -1289.1792264139256
</t>
  </si>
  <si>
    <t>plotValue_gold_after_creation is: 77194220.88083342</t>
  </si>
  <si>
    <t xml:space="preserve"> plotValue_tb_after_creation  is: 38473561.14155127</t>
  </si>
  <si>
    <t xml:space="preserve"> plotValue_reit_after_creation  is: 26716365.009904705</t>
  </si>
  <si>
    <t xml:space="preserve">total_value_after_creation is: 142384147.0322894
</t>
  </si>
  <si>
    <t xml:space="preserve"> 142384147.0322894
</t>
  </si>
  <si>
    <t>total_amount_gtncps_before_creation is: 101141947.97323096</t>
  </si>
  <si>
    <t>creation_amount_gtbcps is: -4880.532894268632</t>
  </si>
  <si>
    <t xml:space="preserve">total_amount_gtbcps_new is: 101137067.44033669
</t>
  </si>
  <si>
    <t xml:space="preserve"> 101137067.44033669
</t>
  </si>
  <si>
    <t>payout of tranche of gold is: 1276.8104388583924</t>
  </si>
  <si>
    <t xml:space="preserve"> payout of tranche of Treausry Bill Option is: 251.10860965203707</t>
  </si>
  <si>
    <t xml:space="preserve"> payout of tranche of Collar of REIT is: 172.6852389421314
</t>
  </si>
  <si>
    <t xml:space="preserve"> 172.6852389421314
</t>
  </si>
  <si>
    <t>Collateral size of tranche of gold is: 77194220.88083342</t>
  </si>
  <si>
    <t xml:space="preserve"> collateral size of tranche of Treausry Bill Option is: 38473561.14155127</t>
  </si>
  <si>
    <t xml:space="preserve"> collateral size of tranche of Collar of REIT is: 26716365.009904705
</t>
  </si>
  <si>
    <t xml:space="preserve"> 26716365.009904705
</t>
  </si>
  <si>
    <t>Collateral ratio of tranche of gold is: 0.7628289766273347</t>
  </si>
  <si>
    <t xml:space="preserve"> collateral ratio of tranche of Treausry Bill Option is: 0.3801935810470206</t>
  </si>
  <si>
    <t xml:space="preserve"> collateral ratio of tranche of Collar of REIT is: 0.26400962594297134
</t>
  </si>
  <si>
    <t xml:space="preserve"> 0.26400962594297134
</t>
  </si>
  <si>
    <t xml:space="preserve">date is: 2022-01-31 00:00:00
</t>
  </si>
  <si>
    <t xml:space="preserve"> 2022-01-31 00</t>
  </si>
  <si>
    <t>current price of gold is: 1797.17</t>
  </si>
  <si>
    <t xml:space="preserve"> predicted price of gold is: 1795.5358301711922
</t>
  </si>
  <si>
    <t xml:space="preserve"> 1795.5358301711922
</t>
  </si>
  <si>
    <t>current price of tb is: 95.65234375</t>
  </si>
  <si>
    <t xml:space="preserve"> current price of tb option is: 4.36197318505952</t>
  </si>
  <si>
    <t xml:space="preserve"> predicted price of tb is: 95.79513163224651
</t>
  </si>
  <si>
    <t xml:space="preserve"> 95.79513163224651
</t>
  </si>
  <si>
    <t xml:space="preserve"> current price of reit option is: 6.450562576523012</t>
  </si>
  <si>
    <t xml:space="preserve"> predicted price of reit is: 67.2083074645853
</t>
  </si>
  <si>
    <t xml:space="preserve"> 67.2083074645853
</t>
  </si>
  <si>
    <t>value_ratio_gold_to_total is: -0.16710223417068037</t>
  </si>
  <si>
    <t xml:space="preserve"> risk_ratio_to_gold is: 0.661510375425445</t>
  </si>
  <si>
    <t xml:space="preserve"> risk_ratio_to_gold_before is: 0.6605983102706945
</t>
  </si>
  <si>
    <t xml:space="preserve"> 0.6605983102706945
</t>
  </si>
  <si>
    <t>value_ratio_tb_to_total is: 0.4606348896436673</t>
  </si>
  <si>
    <t xml:space="preserve"> risk_ratio_tb_to_gold is: 0.2684542068967052</t>
  </si>
  <si>
    <t xml:space="preserve"> risk_ratio_tb_to_gold_before is: 0.2695776961417554
</t>
  </si>
  <si>
    <t xml:space="preserve"> 0.2695776961417554
</t>
  </si>
  <si>
    <t>value_ratio_reit_to_total is: 0.7064673445270131</t>
  </si>
  <si>
    <t xml:space="preserve"> risk_ratio_reit_to_gold is: 0.24323788010473915</t>
  </si>
  <si>
    <t xml:space="preserve"> risk_ratio_reit_to_gold_before is: 0.24420153164680547
</t>
  </si>
  <si>
    <t xml:space="preserve"> 0.24420153164680547
</t>
  </si>
  <si>
    <t>delta_gold is: 1.0031481471144776</t>
  </si>
  <si>
    <t xml:space="preserve"> delta_tb is: 1.0001483104286646</t>
  </si>
  <si>
    <t xml:space="preserve"> delta_reit is: 0.9999500627009277
</t>
  </si>
  <si>
    <t xml:space="preserve"> 0.9999500627009277
</t>
  </si>
  <si>
    <t>delta_gold_risk is: 1.0005492388792097</t>
  </si>
  <si>
    <t xml:space="preserve"> delta_tb_risk is: 0.9991150685393543</t>
  </si>
  <si>
    <t xml:space="preserve"> delta_reit_risk is: 0.9992254859702745
</t>
  </si>
  <si>
    <t xml:space="preserve"> 0.9992254859702745
</t>
  </si>
  <si>
    <t xml:space="preserve">collateral_ratio_tranche_gold is: 0.7648104108560775
</t>
  </si>
  <si>
    <t xml:space="preserve"> 0.7648104108560775
</t>
  </si>
  <si>
    <t xml:space="preserve">collateral_ratio_tranche_tb is: 0.37939237789850705
</t>
  </si>
  <si>
    <t xml:space="preserve"> 0.37939237789850705
</t>
  </si>
  <si>
    <t xml:space="preserve">collateral_ratio_tranche_reit is: 0.2633719358503986
</t>
  </si>
  <si>
    <t xml:space="preserve"> 0.2633719358503986
</t>
  </si>
  <si>
    <t>Total plot size is: 142631537.68324527</t>
  </si>
  <si>
    <t xml:space="preserve"> plot size of gold is: 77437239.64455377</t>
  </si>
  <si>
    <t xml:space="preserve"> plot size of TB is: 38479267.17189643</t>
  </si>
  <si>
    <t xml:space="preserve"> plot size of REIT is: 26715030.86679508
</t>
  </si>
  <si>
    <t xml:space="preserve"> 26715030.86679508
</t>
  </si>
  <si>
    <t xml:space="preserve">collateral ratio is: 1.4095449007927567
</t>
  </si>
  <si>
    <t xml:space="preserve"> 1.4095449007927567
</t>
  </si>
  <si>
    <t>S_gtbcps_0 is: 1.000521194102724</t>
  </si>
  <si>
    <t xml:space="preserve">stdev_gtbcps is: 0.006544167356055683
</t>
  </si>
  <si>
    <t xml:space="preserve"> 0.006544167356055683
</t>
  </si>
  <si>
    <t>predicted price of GTBCPS is: 1.0005383292560341</t>
  </si>
  <si>
    <t xml:space="preserve"> actual price is: 1.000521194102724
</t>
  </si>
  <si>
    <t xml:space="preserve"> 1.000521194102724
</t>
  </si>
  <si>
    <t>predicted amount of GTBCPS is: 101135335.37360297</t>
  </si>
  <si>
    <t xml:space="preserve"> actual amount is: 101137067.44033669
</t>
  </si>
  <si>
    <t>plot sizes of gold is: 77437239.64455377</t>
  </si>
  <si>
    <t xml:space="preserve"> plot sizes of tb is: 38479267.17189643 </t>
  </si>
  <si>
    <t xml:space="preserve"> plot sizes of reit is: 26715030.86679508</t>
  </si>
  <si>
    <t xml:space="preserve"> plot sizes of total is: 142631537.68324527.
</t>
  </si>
  <si>
    <t xml:space="preserve"> 142631537.68324527.
</t>
  </si>
  <si>
    <t>predicted stdevs of gold is: 0.0077026244077945775</t>
  </si>
  <si>
    <t xml:space="preserve"> predicted stdevs of tb is: 0.0018019897321414297</t>
  </si>
  <si>
    <t xml:space="preserve"> predicted stdevs of reit is: 0.010016662068725521</t>
  </si>
  <si>
    <t xml:space="preserve"> predicted stdevs of GTBCPS is: 0.006544167356055683.
</t>
  </si>
  <si>
    <t xml:space="preserve"> 0.006544167356055683.
</t>
  </si>
  <si>
    <t>total_value_of_collaterals is: 142632140.94940627</t>
  </si>
  <si>
    <t xml:space="preserve"> createdtionValue_gold is: -1326.2149705717768</t>
  </si>
  <si>
    <t xml:space="preserve"> createdValue_tb is: -659.0067554102048</t>
  </si>
  <si>
    <t xml:space="preserve"> createdValue_reit is: -457.5287289882127
</t>
  </si>
  <si>
    <t xml:space="preserve"> -457.5287289882127
</t>
  </si>
  <si>
    <t>plotValue_gold_after_creation is: 77438986.7942271</t>
  </si>
  <si>
    <t xml:space="preserve"> plotValue_tb_after_creation  is: 38480047.77650436</t>
  </si>
  <si>
    <t xml:space="preserve"> plotValue_reit_after_creation  is: 26715549.129129782</t>
  </si>
  <si>
    <t xml:space="preserve">total_value_after_creation is: 142634583.69986123
</t>
  </si>
  <si>
    <t xml:space="preserve"> 142634583.69986123
</t>
  </si>
  <si>
    <t>total_amount_gtncps_before_creation is: 101137067.44033669</t>
  </si>
  <si>
    <t>creation_amount_gtbcps is: -1732.0667337179184</t>
  </si>
  <si>
    <t xml:space="preserve">total_amount_gtbcps_new is: 101135335.37360297
</t>
  </si>
  <si>
    <t xml:space="preserve"> 101135335.37360297
</t>
  </si>
  <si>
    <t>payout of tranche of gold is: 420.9347027577474</t>
  </si>
  <si>
    <t xml:space="preserve"> payout of tranche of Treausry Bill Option is: 121.5978525207658</t>
  </si>
  <si>
    <t xml:space="preserve"> payout of tranche of Collar of REIT is: 60.733605711228094
</t>
  </si>
  <si>
    <t xml:space="preserve"> 60.733605711228094
</t>
  </si>
  <si>
    <t>Collateral size of tranche of gold is: 77438986.7942271</t>
  </si>
  <si>
    <t xml:space="preserve"> collateral size of tranche of Treausry Bill Option is: 38480047.77650436</t>
  </si>
  <si>
    <t xml:space="preserve"> collateral size of tranche of Collar of REIT is: 26715549.129129782
</t>
  </si>
  <si>
    <t xml:space="preserve"> 26715549.129129782
</t>
  </si>
  <si>
    <t>Collateral ratio of tranche of gold is: 0.7652715617580643</t>
  </si>
  <si>
    <t xml:space="preserve"> collateral ratio of tranche of Treausry Bill Option is: 0.38026951897885214</t>
  </si>
  <si>
    <t xml:space="preserve"> collateral ratio of tranche of Collar of REIT is: 0.2640097817860079
</t>
  </si>
  <si>
    <t xml:space="preserve"> 0.2640097817860079
</t>
  </si>
  <si>
    <t xml:space="preserve">date is: 2022-02-04 00:00:00
</t>
  </si>
  <si>
    <t xml:space="preserve"> 2022-02-04 00</t>
  </si>
  <si>
    <t>current price of gold is: 1808.28</t>
  </si>
  <si>
    <t xml:space="preserve"> predicted price of gold is: 1800.9990248170668
</t>
  </si>
  <si>
    <t xml:space="preserve"> 1800.9990248170668
</t>
  </si>
  <si>
    <t>current price of tb is: 95.05859375</t>
  </si>
  <si>
    <t xml:space="preserve"> current price of tb option is: 4.352091702950278</t>
  </si>
  <si>
    <t xml:space="preserve"> predicted price of tb is: 95.21160266663557
</t>
  </si>
  <si>
    <t xml:space="preserve"> 95.21160266663557
</t>
  </si>
  <si>
    <t>current price of reit is: 67.05</t>
  </si>
  <si>
    <t xml:space="preserve"> current price of reit option is: 6.3414101003267405</t>
  </si>
  <si>
    <t xml:space="preserve"> predicted price of reit is: 67.5791791088226
</t>
  </si>
  <si>
    <t xml:space="preserve"> 67.5791791088226
</t>
  </si>
  <si>
    <t>value_ratio_gold_to_total is: -1.7781398248099516</t>
  </si>
  <si>
    <t xml:space="preserve"> risk_ratio_to_gold is: 0.6491355445213208</t>
  </si>
  <si>
    <t xml:space="preserve"> risk_ratio_to_gold_before is: 0.661510375425445
</t>
  </si>
  <si>
    <t xml:space="preserve"> 0.661510375425445
</t>
  </si>
  <si>
    <t>value_ratio_tb_to_total is: 1.1002233389338991</t>
  </si>
  <si>
    <t xml:space="preserve"> risk_ratio_tb_to_gold is: 0.2823360653462548</t>
  </si>
  <si>
    <t xml:space="preserve"> risk_ratio_tb_to_gold_before is: 0.2684542068967052
</t>
  </si>
  <si>
    <t xml:space="preserve"> 0.2684542068967052
</t>
  </si>
  <si>
    <t>value_ratio_reit_to_total is: 1.6779164858760522</t>
  </si>
  <si>
    <t xml:space="preserve"> risk_ratio_reit_to_gold is: 0.2581742463135546</t>
  </si>
  <si>
    <t xml:space="preserve"> risk_ratio_reit_to_gold_before is: 0.24323788010473915
</t>
  </si>
  <si>
    <t xml:space="preserve"> 0.24323788010473915
</t>
  </si>
  <si>
    <t>delta_gold is: 1.006181941608195</t>
  </si>
  <si>
    <t xml:space="preserve"> delta_tb is: 0.993964549270469</t>
  </si>
  <si>
    <t xml:space="preserve"> delta_reit is: 1.0026071865718822
</t>
  </si>
  <si>
    <t xml:space="preserve"> 1.0026071865718822
</t>
  </si>
  <si>
    <t>delta_gold_risk is: 0.9925520592063979</t>
  </si>
  <si>
    <t xml:space="preserve"> delta_tb_risk is: 1.010943917702407</t>
  </si>
  <si>
    <t xml:space="preserve"> delta_reit_risk is: 1.0120140855164073
</t>
  </si>
  <si>
    <t xml:space="preserve"> 1.0120140855164073
</t>
  </si>
  <si>
    <t xml:space="preserve">collateral_ratio_tranche_gold is: 0.7757803922979373
</t>
  </si>
  <si>
    <t xml:space="preserve"> 0.7757803922979373
</t>
  </si>
  <si>
    <t xml:space="preserve">collateral_ratio_tranche_tb is: 0.3715855595240867
</t>
  </si>
  <si>
    <t xml:space="preserve"> 0.3715855595240867
</t>
  </si>
  <si>
    <t xml:space="preserve">collateral_ratio_tranche_reit is: 0.2599487633036781
</t>
  </si>
  <si>
    <t xml:space="preserve"> 0.2599487633036781
</t>
  </si>
  <si>
    <t>Total plot size is: 142950714.98294574</t>
  </si>
  <si>
    <t xml:space="preserve"> plot size of gold is: 77917710.08878678</t>
  </si>
  <si>
    <t xml:space="preserve"> plot size of TB is: 38247803.34407927</t>
  </si>
  <si>
    <t xml:space="preserve"> plot size of REIT is: 26785201.550079707
</t>
  </si>
  <si>
    <t xml:space="preserve"> 26785201.550079707
</t>
  </si>
  <si>
    <t xml:space="preserve">collateral ratio is: 1.4126991452365116
</t>
  </si>
  <si>
    <t xml:space="preserve"> 1.4126991452365116
</t>
  </si>
  <si>
    <t>S_gtbcps_0 is: 1.0005383292560341</t>
  </si>
  <si>
    <t xml:space="preserve">stdev_gtbcps is: 0.006585241433251258
</t>
  </si>
  <si>
    <t xml:space="preserve"> 0.006585241433251258
</t>
  </si>
  <si>
    <t>predicted price of GTBCPS is: 1.0005515350855265</t>
  </si>
  <si>
    <t xml:space="preserve"> actual price is: 1.0005383292560341
</t>
  </si>
  <si>
    <t xml:space="preserve"> 1.0005383292560341
</t>
  </si>
  <si>
    <t>predicted amount of GTBCPS is: 101134000.53381938</t>
  </si>
  <si>
    <t xml:space="preserve"> actual amount is: 101135335.37360297
</t>
  </si>
  <si>
    <t>plot sizes of gold is: 77917710.08878678</t>
  </si>
  <si>
    <t xml:space="preserve"> plot sizes of tb is: 38247803.34407927 </t>
  </si>
  <si>
    <t xml:space="preserve"> plot sizes of reit is: 26785201.550079707</t>
  </si>
  <si>
    <t xml:space="preserve"> plot sizes of total is: 142950714.98294577.
</t>
  </si>
  <si>
    <t xml:space="preserve"> 142950714.98294577.
</t>
  </si>
  <si>
    <t>predicted stdevs of gold is: 0.007707137350349637</t>
  </si>
  <si>
    <t xml:space="preserve"> predicted stdevs of tb is: 0.0018958083180052256</t>
  </si>
  <si>
    <t xml:space="preserve"> predicted stdevs of reit is: 0.010017918786713424</t>
  </si>
  <si>
    <t xml:space="preserve"> predicted stdevs of GTBCPS is: 0.006585241433251258.
</t>
  </si>
  <si>
    <t xml:space="preserve"> 0.006585241433251258.
</t>
  </si>
  <si>
    <t>total_value_of_collaterals is: 142951178.85602817</t>
  </si>
  <si>
    <t xml:space="preserve"> createdtionValue_gold is: -1028.418678514906</t>
  </si>
  <si>
    <t xml:space="preserve"> createdValue_tb is: -504.8234541691097</t>
  </si>
  <si>
    <t xml:space="preserve"> createdValue_reit is: -353.5310557738074
</t>
  </si>
  <si>
    <t xml:space="preserve"> -353.5310557738074
</t>
  </si>
  <si>
    <t>plotValue_gold_after_creation is: 77919065.07014687</t>
  </si>
  <si>
    <t xml:space="preserve"> plotValue_tb_after_creation  is: 38248402.51943074</t>
  </si>
  <si>
    <t xml:space="preserve"> plotValue_reit_after_creation  is: 26785598.039639022</t>
  </si>
  <si>
    <t xml:space="preserve">total_value_after_creation is: 142953065.62921664
</t>
  </si>
  <si>
    <t xml:space="preserve"> 142953065.62921664
</t>
  </si>
  <si>
    <t>total_amount_gtncps_before_creation is: 101135335.37360297</t>
  </si>
  <si>
    <t>creation_amount_gtbcps is: -1334.8397835940123</t>
  </si>
  <si>
    <t xml:space="preserve">total_amount_gtbcps_new is: 101134000.53381938
</t>
  </si>
  <si>
    <t xml:space="preserve"> 101134000.53381938
</t>
  </si>
  <si>
    <t>payout of tranche of gold is: 326.56268157742335</t>
  </si>
  <si>
    <t xml:space="preserve"> payout of tranche of Treausry Bill Option is: 94.3518973004917</t>
  </si>
  <si>
    <t xml:space="preserve"> payout of tranche of Collar of REIT is: 42.95850353877768
</t>
  </si>
  <si>
    <t xml:space="preserve"> 42.95850353877768
</t>
  </si>
  <si>
    <t>Collateral size of tranche of gold is: 77919065.07014687</t>
  </si>
  <si>
    <t xml:space="preserve"> collateral size of tranche of Treausry Bill Option is: 38248402.51943074</t>
  </si>
  <si>
    <t xml:space="preserve"> collateral size of tranche of Collar of REIT is: 26785598.039639022
</t>
  </si>
  <si>
    <t xml:space="preserve"> 26785598.039639022
</t>
  </si>
  <si>
    <t>Collateral ratio of tranche of gold is: 0.7700188403336674</t>
  </si>
  <si>
    <t xml:space="preserve"> collateral ratio of tranche of Treausry Bill Option is: 0.37798182673410086</t>
  </si>
  <si>
    <t xml:space="preserve"> collateral ratio of tranche of Collar of REIT is: 0.2647030623578261
</t>
  </si>
  <si>
    <t xml:space="preserve"> 0.2647030623578261
</t>
  </si>
  <si>
    <t xml:space="preserve">date is: 2022-02-07 00:00:00
</t>
  </si>
  <si>
    <t xml:space="preserve"> 2022-02-07 00</t>
  </si>
  <si>
    <t>current price of gold is: 1820.47</t>
  </si>
  <si>
    <t xml:space="preserve"> predicted price of gold is: 1819.2803506445227
</t>
  </si>
  <si>
    <t xml:space="preserve"> 1819.2803506445227
</t>
  </si>
  <si>
    <t>current price of tb is: 95.08984375</t>
  </si>
  <si>
    <t xml:space="preserve"> current price of tb option is: 4.352810368771343</t>
  </si>
  <si>
    <t xml:space="preserve"> predicted price of tb is: 95.24210927994064
</t>
  </si>
  <si>
    <t xml:space="preserve"> 95.24210927994064
</t>
  </si>
  <si>
    <t>current price of reit is: 67.2</t>
  </si>
  <si>
    <t xml:space="preserve"> current price of reit option is: 6.342489277228523</t>
  </si>
  <si>
    <t xml:space="preserve"> predicted price of reit is: 67.7269617636038
</t>
  </si>
  <si>
    <t xml:space="preserve"> 67.7269617636038
</t>
  </si>
  <si>
    <t>value_ratio_gold_to_total is: -0.11680546434238408</t>
  </si>
  <si>
    <t xml:space="preserve"> risk_ratio_to_gold is: 0.649430726384462</t>
  </si>
  <si>
    <t xml:space="preserve"> risk_ratio_to_gold_before is: 0.6491355445213208
</t>
  </si>
  <si>
    <t xml:space="preserve"> 0.6491355445213208
</t>
  </si>
  <si>
    <t>value_ratio_tb_to_total is: 0.4423299015159119</t>
  </si>
  <si>
    <t xml:space="preserve"> risk_ratio_tb_to_gold is: 0.2818845494919448</t>
  </si>
  <si>
    <t xml:space="preserve"> risk_ratio_tb_to_gold_before is: 0.2823360653462548
</t>
  </si>
  <si>
    <t xml:space="preserve"> 0.2823360653462548
</t>
  </si>
  <si>
    <t>value_ratio_reit_to_total is: 0.6744755628264721</t>
  </si>
  <si>
    <t xml:space="preserve"> risk_ratio_reit_to_gold is: 0.2579255632313041</t>
  </si>
  <si>
    <t xml:space="preserve"> risk_ratio_reit_to_gold_before is: 0.2581742463135546
</t>
  </si>
  <si>
    <t xml:space="preserve"> 0.2581742463135546
</t>
  </si>
  <si>
    <t>delta_gold is: 1.0067412126440596</t>
  </si>
  <si>
    <t xml:space="preserve"> delta_tb is: 1.000321581786459</t>
  </si>
  <si>
    <t xml:space="preserve"> delta_reit is: 1.0020585403209348
</t>
  </si>
  <si>
    <t xml:space="preserve"> 1.0020585403209348
</t>
  </si>
  <si>
    <t>delta_gold_risk is: 1.0001789918749384</t>
  </si>
  <si>
    <t xml:space="preserve"> delta_tb_risk is: 0.9996478958468754</t>
  </si>
  <si>
    <t xml:space="preserve"> delta_reit_risk is: 0.9998023460717153
</t>
  </si>
  <si>
    <t xml:space="preserve"> 0.9998023460717153
</t>
  </si>
  <si>
    <t xml:space="preserve">collateral_ratio_tranche_gold is: 0.7750709696702172
</t>
  </si>
  <si>
    <t xml:space="preserve"> 0.7750709696702172
</t>
  </si>
  <si>
    <t xml:space="preserve">collateral_ratio_tranche_tb is: 0.3757038578708382
</t>
  </si>
  <si>
    <t xml:space="preserve"> 0.3757038578708382
</t>
  </si>
  <si>
    <t xml:space="preserve">collateral_ratio_tranche_reit is: 0.2635239310950754
</t>
  </si>
  <si>
    <t xml:space="preserve"> 0.2635239310950754
</t>
  </si>
  <si>
    <t>Total plot size is: 143545773.83907717</t>
  </si>
  <si>
    <t xml:space="preserve"> plot size of gold is: 78444334.05681105</t>
  </si>
  <si>
    <t xml:space="preserve"> plot size of TB is: 38260702.509042144</t>
  </si>
  <si>
    <t xml:space="preserve"> plot size of REIT is: 26840737.27322397
</t>
  </si>
  <si>
    <t xml:space="preserve"> 26840737.27322397
</t>
  </si>
  <si>
    <t xml:space="preserve">collateral ratio is: 1.418579767362274
</t>
  </si>
  <si>
    <t xml:space="preserve"> 1.418579767362274
</t>
  </si>
  <si>
    <t>S_gtbcps_0 is: 1.0005515350855265</t>
  </si>
  <si>
    <t xml:space="preserve">stdev_gtbcps is: 0.006604292914200142
</t>
  </si>
  <si>
    <t xml:space="preserve"> 0.006604292914200142
</t>
  </si>
  <si>
    <t>predicted price of GTBCPS is: 1.0005503506847109</t>
  </si>
  <si>
    <t xml:space="preserve"> actual price is: 1.0005515350855265
</t>
  </si>
  <si>
    <t xml:space="preserve"> 1.0005515350855265
</t>
  </si>
  <si>
    <t>predicted amount of GTBCPS is: 101134120.2511256</t>
  </si>
  <si>
    <t xml:space="preserve"> actual amount is: 101134000.53381938
</t>
  </si>
  <si>
    <t>plot sizes of gold is: 78444334.05681105</t>
  </si>
  <si>
    <t xml:space="preserve"> plot sizes of tb is: 38260702.509042144 </t>
  </si>
  <si>
    <t xml:space="preserve"> plot sizes of reit is: 26840737.27322397</t>
  </si>
  <si>
    <t xml:space="preserve"> plot sizes of total is: 143545773.83907717.
</t>
  </si>
  <si>
    <t xml:space="preserve"> 143545773.83907717.
</t>
  </si>
  <si>
    <t>predicted stdevs of gold is: 0.007732637038546471</t>
  </si>
  <si>
    <t xml:space="preserve"> predicted stdevs of tb is: 0.0018963704984190071</t>
  </si>
  <si>
    <t xml:space="preserve"> predicted stdevs of reit is: 0.01001762000100804</t>
  </si>
  <si>
    <t xml:space="preserve"> predicted stdevs of GTBCPS is: 0.006604292914200142.
</t>
  </si>
  <si>
    <t xml:space="preserve"> 0.006604292914200142.
</t>
  </si>
  <si>
    <t>total_value_of_collaterals is: 143545732.12757128</t>
  </si>
  <si>
    <t xml:space="preserve"> createdtionValue_gold is: 92.8582798804403</t>
  </si>
  <si>
    <t xml:space="preserve"> createdValue_tb is: 45.29102062811287</t>
  </si>
  <si>
    <t xml:space="preserve"> createdValue_reit is: 31.77266378945703
</t>
  </si>
  <si>
    <t xml:space="preserve"> 31.77266378945703
</t>
  </si>
  <si>
    <t>plotValue_gold_after_creation is: 78444208.46916667</t>
  </si>
  <si>
    <t xml:space="preserve"> plotValue_tb_after_creation  is: 38260651.26887387</t>
  </si>
  <si>
    <t xml:space="preserve"> plotValue_reit_after_creation  is: 26840702.467566453</t>
  </si>
  <si>
    <t xml:space="preserve">total_value_after_creation is: 143545562.205607
</t>
  </si>
  <si>
    <t xml:space="preserve"> 143545562.205607
</t>
  </si>
  <si>
    <t>total_amount_gtncps_before_creation is: 101134000.53381938</t>
  </si>
  <si>
    <t>creation_amount_gtbcps is: 119.71730622649193</t>
  </si>
  <si>
    <t xml:space="preserve">total_amount_gtbcps_new is: 101134120.2511256
</t>
  </si>
  <si>
    <t xml:space="preserve"> 101134120.2511256
</t>
  </si>
  <si>
    <t>payout of tranche of gold is: -32.72936449411557</t>
  </si>
  <si>
    <t xml:space="preserve"> payout of tranche of Treausry Bill Option is: -5.949147640963598</t>
  </si>
  <si>
    <t xml:space="preserve"> payout of tranche of Collar of REIT is: -3.032993726128365
</t>
  </si>
  <si>
    <t xml:space="preserve"> -3.032993726128365
</t>
  </si>
  <si>
    <t>Collateral size of tranche of gold is: 78444208.46916667</t>
  </si>
  <si>
    <t xml:space="preserve"> collateral size of tranche of Treausry Bill Option is: 38260651.26887387</t>
  </si>
  <si>
    <t xml:space="preserve"> collateral size of tranche of Collar of REIT is: 26840702.467566453
</t>
  </si>
  <si>
    <t xml:space="preserve"> 26840702.467566453
</t>
  </si>
  <si>
    <t>Collateral ratio of tranche of gold is: 0.7752196094099975</t>
  </si>
  <si>
    <t xml:space="preserve"> collateral ratio of tranche of Treausry Bill Option is: 0.37810831049543786</t>
  </si>
  <si>
    <t xml:space="preserve"> collateral ratio of tranche of Collar of REIT is: 0.2652514352461776
</t>
  </si>
  <si>
    <t xml:space="preserve"> 0.2652514352461776
</t>
  </si>
  <si>
    <t xml:space="preserve">date is: 2022-02-08 00:00:00
</t>
  </si>
  <si>
    <t xml:space="preserve"> 2022-02-08 00</t>
  </si>
  <si>
    <t>current price of gold is: 1825.92</t>
  </si>
  <si>
    <t xml:space="preserve"> predicted price of gold is: 1821.7959303523478
</t>
  </si>
  <si>
    <t xml:space="preserve"> 1821.7959303523478
</t>
  </si>
  <si>
    <t>current price of tb is: 94.90625</t>
  </si>
  <si>
    <t xml:space="preserve"> current price of tb option is: 4.350031118976503</t>
  </si>
  <si>
    <t xml:space="preserve"> predicted price of tb is: 95.0613902050108
</t>
  </si>
  <si>
    <t xml:space="preserve"> 95.0613902050108
</t>
  </si>
  <si>
    <t>current price of reit is: 67.7</t>
  </si>
  <si>
    <t xml:space="preserve"> current price of reit option is: 6.29340058652177</t>
  </si>
  <si>
    <t xml:space="preserve"> predicted price of reit is: 68.16989908882611
</t>
  </si>
  <si>
    <t xml:space="preserve"> 68.16989908882611
</t>
  </si>
  <si>
    <t>value_ratio_gold_to_total is: -0.57724495652541</t>
  </si>
  <si>
    <t xml:space="preserve"> risk_ratio_to_gold is: 0.6485946042843701</t>
  </si>
  <si>
    <t xml:space="preserve"> risk_ratio_to_gold_before is: 0.649430726384462
</t>
  </si>
  <si>
    <t xml:space="preserve"> 0.649430726384462
</t>
  </si>
  <si>
    <t>value_ratio_tb_to_total is: 0.6305876590942194</t>
  </si>
  <si>
    <t xml:space="preserve"> risk_ratio_tb_to_gold is: 0.2813956542542406</t>
  </si>
  <si>
    <t xml:space="preserve"> risk_ratio_tb_to_gold_before is: 0.2818845494919448
</t>
  </si>
  <si>
    <t xml:space="preserve"> 0.2818845494919448
</t>
  </si>
  <si>
    <t>value_ratio_reit_to_total is: 0.9466572974311905</t>
  </si>
  <si>
    <t xml:space="preserve"> risk_ratio_reit_to_gold is: 0.2603994723076812</t>
  </si>
  <si>
    <t xml:space="preserve"> risk_ratio_reit_to_gold_before is: 0.2579255632313041
</t>
  </si>
  <si>
    <t xml:space="preserve"> 0.2579255632313041
</t>
  </si>
  <si>
    <t>delta_gold is: 1.00299373238779</t>
  </si>
  <si>
    <t xml:space="preserve"> delta_tb is: 0.9981258243613225</t>
  </si>
  <si>
    <t xml:space="preserve"> delta_reit is: 1.0061313033285217
</t>
  </si>
  <si>
    <t xml:space="preserve"> 1.0061313033285217
</t>
  </si>
  <si>
    <t>delta_gold_risk is: 0.9994930844401543</t>
  </si>
  <si>
    <t xml:space="preserve"> delta_tb_risk is: 0.9996186121145637</t>
  </si>
  <si>
    <t xml:space="preserve"> delta_reit_risk is: 1.0019666577647268
</t>
  </si>
  <si>
    <t xml:space="preserve"> 1.0019666577647268
</t>
  </si>
  <si>
    <t xml:space="preserve">collateral_ratio_tranche_gold is: 0.7779347566950516
</t>
  </si>
  <si>
    <t xml:space="preserve"> 0.7779347566950516
</t>
  </si>
  <si>
    <t xml:space="preserve">collateral_ratio_tranche_tb is: 0.3764167686176366
</t>
  </si>
  <si>
    <t xml:space="preserve"> 0.3764167686176366
</t>
  </si>
  <si>
    <t xml:space="preserve">collateral_ratio_tranche_reit is: 0.2655589328214509
</t>
  </si>
  <si>
    <t xml:space="preserve"> 0.2655589328214509
</t>
  </si>
  <si>
    <t>Total plot size is: 143873264.4809869</t>
  </si>
  <si>
    <t xml:space="preserve"> plot size of gold is: 78679049.43669537</t>
  </si>
  <si>
    <t xml:space="preserve"> plot size of TB is: 38188944.08834581</t>
  </si>
  <si>
    <t xml:space="preserve"> plot size of REIT is: 27005270.955945704
</t>
  </si>
  <si>
    <t xml:space="preserve"> 27005270.955945704
</t>
  </si>
  <si>
    <t xml:space="preserve">collateral ratio is: 1.4218161677535137
</t>
  </si>
  <si>
    <t xml:space="preserve"> 1.4218161677535137
</t>
  </si>
  <si>
    <t>S_gtbcps_0 is: 1.0005503506847109</t>
  </si>
  <si>
    <t xml:space="preserve">stdev_gtbcps is: 0.006629374156830708
</t>
  </si>
  <si>
    <t xml:space="preserve"> 0.006629374156830708
</t>
  </si>
  <si>
    <t>predicted price of GTBCPS is: 1.0005563613981163</t>
  </si>
  <si>
    <t xml:space="preserve"> actual price is: 1.0005503506847109
</t>
  </si>
  <si>
    <t xml:space="preserve"> 1.0005503506847109
</t>
  </si>
  <si>
    <t>predicted amount of GTBCPS is: 101133512.70093073</t>
  </si>
  <si>
    <t xml:space="preserve"> actual amount is: 101134120.2511256
</t>
  </si>
  <si>
    <t>plot sizes of gold is: 78679049.43669537</t>
  </si>
  <si>
    <t xml:space="preserve"> plot sizes of tb is: 38188944.08834581 </t>
  </si>
  <si>
    <t xml:space="preserve"> plot sizes of reit is: 27005270.955945704</t>
  </si>
  <si>
    <t xml:space="preserve"> plot sizes of total is: 143873264.4809869.
</t>
  </si>
  <si>
    <t xml:space="preserve"> 143873264.4809869.
</t>
  </si>
  <si>
    <t>predicted stdevs of gold is: 0.007758438225172994</t>
  </si>
  <si>
    <t xml:space="preserve"> predicted stdevs of tb is: 0.0019012475491687086</t>
  </si>
  <si>
    <t xml:space="preserve"> predicted stdevs of reit is: 0.010026061979810298</t>
  </si>
  <si>
    <t xml:space="preserve"> predicted stdevs of GTBCPS is: 0.006629374156830708.
</t>
  </si>
  <si>
    <t xml:space="preserve"> 0.006629374156830708.
</t>
  </si>
  <si>
    <t>total_value_of_collaterals is: 143873476.18844143</t>
  </si>
  <si>
    <t xml:space="preserve"> createdtionValue_gold is: -472.65801828924754</t>
  </si>
  <si>
    <t xml:space="preserve"> createdValue_tb is: -229.41679559072588</t>
  </si>
  <si>
    <t xml:space="preserve"> createdValue_reit is: -162.23174643928797
</t>
  </si>
  <si>
    <t xml:space="preserve"> -162.23174643928797
</t>
  </si>
  <si>
    <t>plotValue_gold_after_creation is: 78679676.6137244</t>
  </si>
  <si>
    <t xml:space="preserve"> plotValue_tb_after_creation  is: 38189216.279811606</t>
  </si>
  <si>
    <t xml:space="preserve"> plotValue_reit_after_creation  is: 27005447.601465743</t>
  </si>
  <si>
    <t xml:space="preserve">total_value_after_creation is: 143874340.49500173
</t>
  </si>
  <si>
    <t xml:space="preserve"> 143874340.49500173
</t>
  </si>
  <si>
    <t>total_amount_gtncps_before_creation is: 101134120.2511256</t>
  </si>
  <si>
    <t>creation_amount_gtbcps is: -607.5501948744059</t>
  </si>
  <si>
    <t xml:space="preserve">total_amount_gtbcps_new is: 101133512.70093073
</t>
  </si>
  <si>
    <t xml:space="preserve"> 101133512.70093073
</t>
  </si>
  <si>
    <t>payout of tranche of gold is: 154.5190107360709</t>
  </si>
  <si>
    <t xml:space="preserve"> payout of tranche of Treausry Bill Option is: 42.77467020770425</t>
  </si>
  <si>
    <t xml:space="preserve"> payout of tranche of Collar of REIT is: 14.413773600844422
</t>
  </si>
  <si>
    <t xml:space="preserve"> 14.413773600844422
</t>
  </si>
  <si>
    <t>Collateral size of tranche of gold is: 78679676.6137244</t>
  </si>
  <si>
    <t xml:space="preserve"> collateral size of tranche of Treausry Bill Option is: 38189216.279811606</t>
  </si>
  <si>
    <t xml:space="preserve"> collateral size of tranche of Collar of REIT is: 27005447.601465743
</t>
  </si>
  <si>
    <t xml:space="preserve"> 27005447.601465743
</t>
  </si>
  <si>
    <t>Collateral ratio of tranche of gold is: 0.7775410160723962</t>
  </si>
  <si>
    <t xml:space="preserve"> collateral ratio of tranche of Treausry Bill Option is: 0.37739964508234436</t>
  </si>
  <si>
    <t xml:space="preserve"> collateral ratio of tranche of Collar of REIT is: 0.26687759878096395
</t>
  </si>
  <si>
    <t xml:space="preserve"> 0.26687759878096395
</t>
  </si>
  <si>
    <t xml:space="preserve">date is: 2022-02-09 00:00:00
</t>
  </si>
  <si>
    <t xml:space="preserve"> 2022-02-09 00</t>
  </si>
  <si>
    <t>current price of gold is: 1833.36</t>
  </si>
  <si>
    <t xml:space="preserve"> predicted price of gold is: 1830.4934232611574
</t>
  </si>
  <si>
    <t xml:space="preserve"> 1830.4934232611574
</t>
  </si>
  <si>
    <t>current price of tb is: 94.84375</t>
  </si>
  <si>
    <t xml:space="preserve"> current price of tb option is: 4.3516601907604615</t>
  </si>
  <si>
    <t xml:space="preserve"> predicted price of tb is: 94.99720473832423
</t>
  </si>
  <si>
    <t xml:space="preserve"> 94.99720473832423
</t>
  </si>
  <si>
    <t>current price of reit is: 68.3</t>
  </si>
  <si>
    <t xml:space="preserve"> current price of reit option is: 6.2819375920528415</t>
  </si>
  <si>
    <t xml:space="preserve"> predicted price of reit is: 68.74675848952504
</t>
  </si>
  <si>
    <t xml:space="preserve"> 68.74675848952504
</t>
  </si>
  <si>
    <t>value_ratio_gold_to_total is: -0.34259549161863156</t>
  </si>
  <si>
    <t xml:space="preserve"> risk_ratio_to_gold is: 0.6468830454179282</t>
  </si>
  <si>
    <t xml:space="preserve"> risk_ratio_to_gold_before is: 0.6485946042843701
</t>
  </si>
  <si>
    <t xml:space="preserve"> 0.6485946042843701
</t>
  </si>
  <si>
    <t>value_ratio_tb_to_total is: 0.5384234243634608</t>
  </si>
  <si>
    <t xml:space="preserve"> risk_ratio_tb_to_gold is: 0.28264963355574346</t>
  </si>
  <si>
    <t xml:space="preserve"> risk_ratio_tb_to_gold_before is: 0.2813956542542406
</t>
  </si>
  <si>
    <t xml:space="preserve"> 0.2813956542542406
</t>
  </si>
  <si>
    <t>value_ratio_reit_to_total is: 0.8041720672551708</t>
  </si>
  <si>
    <t xml:space="preserve"> risk_ratio_reit_to_gold is: 0.263224859651812</t>
  </si>
  <si>
    <t xml:space="preserve"> risk_ratio_reit_to_gold_before is: 0.2603994723076812
</t>
  </si>
  <si>
    <t xml:space="preserve"> 0.2603994723076812
</t>
  </si>
  <si>
    <t>delta_gold is: 1.0040746582544688</t>
  </si>
  <si>
    <t xml:space="preserve"> delta_tb is: 0.9993867297109078</t>
  </si>
  <si>
    <t xml:space="preserve"> delta_reit is: 1.007953912117377
</t>
  </si>
  <si>
    <t xml:space="preserve"> 1.007953912117377
</t>
  </si>
  <si>
    <t>delta_gold_risk is: 0.9989618073103029</t>
  </si>
  <si>
    <t xml:space="preserve"> delta_tb_risk is: 1.0009786043033155</t>
  </si>
  <si>
    <t xml:space="preserve"> delta_reit_risk is: 1.0022416602086939
</t>
  </si>
  <si>
    <t xml:space="preserve"> 1.0022416602086939
</t>
  </si>
  <si>
    <t xml:space="preserve">collateral_ratio_tranche_gold is: 0.7815205989644163
</t>
  </si>
  <si>
    <t xml:space="preserve"> 0.7815205989644163
</t>
  </si>
  <si>
    <t xml:space="preserve">collateral_ratio_tranche_tb is: 0.3752703610460342
</t>
  </si>
  <si>
    <t xml:space="preserve"> 0.3752703610460342
</t>
  </si>
  <si>
    <t xml:space="preserve">collateral_ratio_tranche_reit is: 0.2673094664251331
</t>
  </si>
  <si>
    <t xml:space="preserve"> 0.2673094664251331
</t>
  </si>
  <si>
    <t>Total plot size is: 144386311.93397915</t>
  </si>
  <si>
    <t xml:space="preserve"> plot size of gold is: 79000269.40749745</t>
  </si>
  <si>
    <t xml:space="preserve"> plot size of TB is: 38165795.96810348</t>
  </si>
  <si>
    <t xml:space="preserve"> plot size of REIT is: 27220246.558378235
</t>
  </si>
  <si>
    <t xml:space="preserve"> 27220246.558378235
</t>
  </si>
  <si>
    <t xml:space="preserve">collateral ratio is: 1.4268863186680747
</t>
  </si>
  <si>
    <t xml:space="preserve"> 1.4268863186680747
</t>
  </si>
  <si>
    <t>S_gtbcps_0 is: 1.0005563613981163</t>
  </si>
  <si>
    <t xml:space="preserve">stdev_gtbcps is: 0.0066075127406228324
</t>
  </si>
  <si>
    <t xml:space="preserve"> 0.0066075127406228324
</t>
  </si>
  <si>
    <t>predicted price of GTBCPS is: 1.0005608381715823</t>
  </si>
  <si>
    <t xml:space="preserve"> actual price is: 1.0005563613981163
</t>
  </si>
  <si>
    <t xml:space="preserve"> 1.0005563613981163
</t>
  </si>
  <si>
    <t>predicted amount of GTBCPS is: 101133060.20288274</t>
  </si>
  <si>
    <t xml:space="preserve"> actual amount is: 101133512.70093073
</t>
  </si>
  <si>
    <t>plot sizes of gold is: 79000269.40749745</t>
  </si>
  <si>
    <t xml:space="preserve"> plot sizes of tb is: 38165795.96810348 </t>
  </si>
  <si>
    <t xml:space="preserve"> plot sizes of reit is: 27220246.558378235</t>
  </si>
  <si>
    <t xml:space="preserve"> plot sizes of total is: 144386311.93397915.
</t>
  </si>
  <si>
    <t xml:space="preserve"> 144386311.93397915.
</t>
  </si>
  <si>
    <t>predicted stdevs of gold is: 0.007699045113183359</t>
  </si>
  <si>
    <t xml:space="preserve"> predicted stdevs of tb is: 0.0019013263298955925</t>
  </si>
  <si>
    <t xml:space="preserve"> predicted stdevs of reit is: 0.010038194334197434</t>
  </si>
  <si>
    <t xml:space="preserve"> predicted stdevs of GTBCPS is: 0.0066075127406228324.
</t>
  </si>
  <si>
    <t xml:space="preserve"> 0.0066075127406228324.
</t>
  </si>
  <si>
    <t>total_value_of_collaterals is: 144386469.5303648</t>
  </si>
  <si>
    <t xml:space="preserve"> createdtionValue_gold is: -353.4701685931018</t>
  </si>
  <si>
    <t xml:space="preserve"> createdValue_tb is: -170.76475695585614</t>
  </si>
  <si>
    <t xml:space="preserve"> createdValue_reit is: -121.79116609667878
</t>
  </si>
  <si>
    <t xml:space="preserve"> -121.79116609667878
</t>
  </si>
  <si>
    <t>plotValue_gold_after_creation is: 79000738.11013703</t>
  </si>
  <si>
    <t xml:space="preserve"> plotValue_tb_after_creation  is: 38165998.269122586</t>
  </si>
  <si>
    <t xml:space="preserve"> plotValue_reit_after_creation  is: 27220379.177196827</t>
  </si>
  <si>
    <t xml:space="preserve">total_value_after_creation is: 144387115.55645645
</t>
  </si>
  <si>
    <t xml:space="preserve"> 144387115.55645645
</t>
  </si>
  <si>
    <t>total_amount_gtncps_before_creation is: 101133512.70093073</t>
  </si>
  <si>
    <t>creation_amount_gtbcps is: -452.4980479925871</t>
  </si>
  <si>
    <t xml:space="preserve">total_amount_gtbcps_new is: 101133060.20288274
</t>
  </si>
  <si>
    <t xml:space="preserve"> 101133060.20288274
</t>
  </si>
  <si>
    <t>payout of tranche of gold is: 115.23247099311264</t>
  </si>
  <si>
    <t xml:space="preserve"> payout of tranche of Treausry Bill Option is: 31.536262148911746</t>
  </si>
  <si>
    <t xml:space="preserve"> payout of tranche of Collar of REIT is: 10.827652496774983
</t>
  </si>
  <si>
    <t xml:space="preserve"> 10.827652496774983
</t>
  </si>
  <si>
    <t>Collateral size of tranche of gold is: 79000738.11013703</t>
  </si>
  <si>
    <t xml:space="preserve"> collateral size of tranche of Treausry Bill Option is: 38165998.269122586</t>
  </si>
  <si>
    <t xml:space="preserve"> collateral size of tranche of Collar of REIT is: 27220379.177196827
</t>
  </si>
  <si>
    <t xml:space="preserve"> 27220379.177196827
</t>
  </si>
  <si>
    <t>Collateral ratio of tranche of gold is: 0.7807150588057817</t>
  </si>
  <si>
    <t xml:space="preserve"> collateral ratio of tranche of Treausry Bill Option is: 0.3771707745504724</t>
  </si>
  <si>
    <t xml:space="preserve"> collateral ratio of tranche of Collar of REIT is: 0.26900204274564893
</t>
  </si>
  <si>
    <t xml:space="preserve"> 0.26900204274564893
</t>
  </si>
  <si>
    <t xml:space="preserve">date is: 2022-02-10 00:00:00
</t>
  </si>
  <si>
    <t xml:space="preserve"> 2022-02-10 00</t>
  </si>
  <si>
    <t>current price of gold is: 1096.11</t>
  </si>
  <si>
    <t xml:space="preserve"> predicted price of gold is: 1094.692053750547
</t>
  </si>
  <si>
    <t xml:space="preserve"> 1094.692053750547
</t>
  </si>
  <si>
    <t>current price of tb is: 94.2421875</t>
  </si>
  <si>
    <t xml:space="preserve"> current price of tb option is: 4.345755704564863</t>
  </si>
  <si>
    <t xml:space="preserve"> predicted price of tb is: 94.40174879139461
</t>
  </si>
  <si>
    <t xml:space="preserve"> 94.40174879139461
</t>
  </si>
  <si>
    <t>current price of reit is: 13.600000000000001</t>
  </si>
  <si>
    <t xml:space="preserve"> current price of reit option is: 8.446724482356974</t>
  </si>
  <si>
    <t xml:space="preserve"> predicted price of reit is: 13.688378142459527
</t>
  </si>
  <si>
    <t xml:space="preserve"> 13.688378142459527
</t>
  </si>
  <si>
    <t>value_ratio_gold_to_total is: -0.12200038702187196</t>
  </si>
  <si>
    <t xml:space="preserve"> risk_ratio_to_gold is: 0.7320777767678782</t>
  </si>
  <si>
    <t xml:space="preserve"> risk_ratio_to_gold_before is: 0.6468830454179282
</t>
  </si>
  <si>
    <t xml:space="preserve"> 0.6468830454179282
</t>
  </si>
  <si>
    <t>value_ratio_tb_to_total is: 0.3876384012266893</t>
  </si>
  <si>
    <t xml:space="preserve"> risk_ratio_tb_to_gold is: 0.3057494061255238</t>
  </si>
  <si>
    <t xml:space="preserve"> risk_ratio_tb_to_gold_before is: 0.28264963355574346
</t>
  </si>
  <si>
    <t xml:space="preserve"> 0.28264963355574346
</t>
  </si>
  <si>
    <t>value_ratio_reit_to_total is: 0.7343619857951826</t>
  </si>
  <si>
    <t xml:space="preserve"> risk_ratio_reit_to_gold is: 0.06022567430240266</t>
  </si>
  <si>
    <t xml:space="preserve"> risk_ratio_reit_to_gold_before is: 0.263224859651812
</t>
  </si>
  <si>
    <t xml:space="preserve"> 0.263224859651812
</t>
  </si>
  <si>
    <t>delta_gold is: 0.5978694855347558</t>
  </si>
  <si>
    <t xml:space="preserve"> delta_tb is: 0.9938760575209339</t>
  </si>
  <si>
    <t xml:space="preserve"> delta_reit is: 0.29560407243571246
</t>
  </si>
  <si>
    <t xml:space="preserve"> 0.29560407243571246
</t>
  </si>
  <si>
    <t>delta_gold_risk is: 1.0517308934517147</t>
  </si>
  <si>
    <t xml:space="preserve"> delta_tb_risk is: 1.0180094173540934</t>
  </si>
  <si>
    <t xml:space="preserve"> delta_reit_risk is: 0.8393008308866222
</t>
  </si>
  <si>
    <t xml:space="preserve"> 0.8393008308866222
</t>
  </si>
  <si>
    <t xml:space="preserve">collateral_ratio_tranche_gold is: 0.44380716917571345
</t>
  </si>
  <si>
    <t xml:space="preserve"> 0.44380716917571345
</t>
  </si>
  <si>
    <t xml:space="preserve">collateral_ratio_tranche_tb is: 0.6159026581687239
</t>
  </si>
  <si>
    <t xml:space="preserve"> 0.6159026581687239
</t>
  </si>
  <si>
    <t xml:space="preserve">collateral_ratio_tranche_reit is: 0.1584681360385702
</t>
  </si>
  <si>
    <t xml:space="preserve"> 0.1584681360385702
</t>
  </si>
  <si>
    <t>Total plot size is: 93210857.4798636</t>
  </si>
  <si>
    <t xml:space="preserve"> plot size of gold is: 47232130.65077361</t>
  </si>
  <si>
    <t xml:space="preserve"> plot size of TB is: 37932271.89106634</t>
  </si>
  <si>
    <t xml:space="preserve"> plot size of REIT is: 8046454.93802365
</t>
  </si>
  <si>
    <t xml:space="preserve"> 8046454.93802365
</t>
  </si>
  <si>
    <t xml:space="preserve">collateral ratio is: 0.92114893377256
</t>
  </si>
  <si>
    <t xml:space="preserve"> 0.92114893377256
</t>
  </si>
  <si>
    <t>S_gtbcps_0 is: 1.0005608381715823</t>
  </si>
  <si>
    <t xml:space="preserve">stdev_gtbcps is: 0.005465572715136996
</t>
  </si>
  <si>
    <t xml:space="preserve"> 0.005465572715136996
</t>
  </si>
  <si>
    <t>predicted price of GTBCPS is: 1.0005877459418053</t>
  </si>
  <si>
    <t xml:space="preserve"> actual price is: 1.0005608381715823
</t>
  </si>
  <si>
    <t xml:space="preserve"> 1.0005608381715823
</t>
  </si>
  <si>
    <t>predicted amount of GTBCPS is: 101130340.53620991</t>
  </si>
  <si>
    <t xml:space="preserve"> actual amount is: 101133060.20288274
</t>
  </si>
  <si>
    <t>plot sizes of gold is: 47232130.65077361</t>
  </si>
  <si>
    <t xml:space="preserve"> plot sizes of tb is: 37932271.89106634 </t>
  </si>
  <si>
    <t xml:space="preserve"> plot sizes of reit is: 8046454.93802365</t>
  </si>
  <si>
    <t xml:space="preserve"> plot sizes of total is: 93210857.47986361.
</t>
  </si>
  <si>
    <t xml:space="preserve"> 93210857.47986361.
</t>
  </si>
  <si>
    <t>predicted stdevs of gold is: 0.007482139101794089</t>
  </si>
  <si>
    <t xml:space="preserve"> predicted stdevs of tb is: 0.001989870681381426</t>
  </si>
  <si>
    <t xml:space="preserve"> predicted stdevs of reit is: 0.010013482048882739</t>
  </si>
  <si>
    <t xml:space="preserve"> predicted stdevs of GTBCPS is: 0.005465572715136996.
</t>
  </si>
  <si>
    <t xml:space="preserve"> 0.005465572715136996.
</t>
  </si>
  <si>
    <t>total_value_of_collaterals is: 93211831.16380185</t>
  </si>
  <si>
    <t xml:space="preserve"> createdtionValue_gold is: -1270.2123006957752</t>
  </si>
  <si>
    <t xml:space="preserve"> createdValue_tb is: -1020.1127497645854</t>
  </si>
  <si>
    <t xml:space="preserve"> createdValue_reit is: -216.39162215373494
</t>
  </si>
  <si>
    <t xml:space="preserve"> -216.39162215373494
</t>
  </si>
  <si>
    <t>plotValue_gold_after_creation is: 47233897.58026259</t>
  </si>
  <si>
    <t xml:space="preserve"> plotValue_tb_after_creation  is: 37933738.41231667</t>
  </si>
  <si>
    <t xml:space="preserve"> plotValue_reit_after_creation  is: 8046701.8878951995</t>
  </si>
  <si>
    <t xml:space="preserve">total_value_after_creation is: 93214337.88047445
</t>
  </si>
  <si>
    <t xml:space="preserve"> 93214337.88047445
</t>
  </si>
  <si>
    <t>total_amount_gtncps_before_creation is: 101133060.20288274</t>
  </si>
  <si>
    <t>creation_amount_gtbcps is: -2719.6666728258133</t>
  </si>
  <si>
    <t xml:space="preserve">total_amount_gtbcps_new is: 101130340.53620991
</t>
  </si>
  <si>
    <t xml:space="preserve"> 101130340.53620991
</t>
  </si>
  <si>
    <t>payout of tranche of gold is: 496.7171882820617</t>
  </si>
  <si>
    <t xml:space="preserve"> payout of tranche of Treausry Bill Option is: 446.4085005672972</t>
  </si>
  <si>
    <t xml:space="preserve"> payout of tranche of Collar of REIT is: 30.558249395787488
</t>
  </si>
  <si>
    <t xml:space="preserve"> 30.558249395787488
</t>
  </si>
  <si>
    <t>Collateral size of tranche of gold is: 47233897.58026259</t>
  </si>
  <si>
    <t xml:space="preserve"> collateral size of tranche of Treausry Bill Option is: 37933738.41231667</t>
  </si>
  <si>
    <t xml:space="preserve"> collateral size of tranche of Collar of REIT is: 8046701.8878951995
</t>
  </si>
  <si>
    <t xml:space="preserve"> 8046701.8878951995
</t>
  </si>
  <si>
    <t>Collateral ratio of tranche of gold is: 0.4667727077682323</t>
  </si>
  <si>
    <t xml:space="preserve"> collateral ratio of tranche of Treausry Bill Option is: 0.3748670912537137</t>
  </si>
  <si>
    <t xml:space="preserve"> collateral ratio of tranche of Collar of REIT is: 0.07951875710519565
</t>
  </si>
  <si>
    <t xml:space="preserve"> 0.07951875710519565
</t>
  </si>
  <si>
    <t>min</t>
  </si>
  <si>
    <t>max</t>
  </si>
  <si>
    <t>average</t>
  </si>
  <si>
    <t>stdev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</si>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</sst>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.00000_);_(* \(#,##0.000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43" fontId="0" fillId="0" borderId="0" xfId="42" applyFont="1"/>
    <xf numFmtId="166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71259-FE97-4B6E-84E1-43435C3E1CA6}">
  <sheetPr filterMode="1"/>
  <dimension ref="A1:D12413"/>
  <sheetViews>
    <sheetView topLeftCell="A11842" workbookViewId="0">
      <selection activeCell="D112" sqref="D112:D12394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hidden="1" x14ac:dyDescent="0.3">
      <c r="A2">
        <v>0</v>
      </c>
      <c r="B2" s="1" t="s">
        <v>3</v>
      </c>
      <c r="C2" t="s">
        <v>4</v>
      </c>
      <c r="D2" t="s">
        <v>5</v>
      </c>
    </row>
    <row r="3" spans="1:4" hidden="1" x14ac:dyDescent="0.3">
      <c r="A3">
        <v>1</v>
      </c>
      <c r="B3" t="s">
        <v>6</v>
      </c>
      <c r="C3" t="s">
        <v>7</v>
      </c>
      <c r="D3">
        <v>1836.07</v>
      </c>
    </row>
    <row r="4" spans="1:4" hidden="1" x14ac:dyDescent="0.3">
      <c r="A4">
        <v>2</v>
      </c>
      <c r="B4" t="s">
        <v>8</v>
      </c>
      <c r="C4" t="s">
        <v>9</v>
      </c>
      <c r="D4">
        <v>1832.2524936551199</v>
      </c>
    </row>
    <row r="5" spans="1:4" hidden="1" x14ac:dyDescent="0.3">
      <c r="A5">
        <v>3</v>
      </c>
      <c r="B5" s="1" t="s">
        <v>10</v>
      </c>
      <c r="C5" t="s">
        <v>11</v>
      </c>
      <c r="D5" s="1" t="s">
        <v>12</v>
      </c>
    </row>
    <row r="6" spans="1:4" hidden="1" x14ac:dyDescent="0.3">
      <c r="A6">
        <v>4</v>
      </c>
      <c r="B6" t="s">
        <v>13</v>
      </c>
      <c r="C6" t="s">
        <v>14</v>
      </c>
      <c r="D6">
        <v>98.4375</v>
      </c>
    </row>
    <row r="7" spans="1:4" hidden="1" x14ac:dyDescent="0.3">
      <c r="A7">
        <v>5</v>
      </c>
      <c r="B7" t="s">
        <v>15</v>
      </c>
      <c r="C7" t="s">
        <v>16</v>
      </c>
      <c r="D7">
        <v>4.3706655538267301</v>
      </c>
    </row>
    <row r="8" spans="1:4" hidden="1" x14ac:dyDescent="0.3">
      <c r="A8">
        <v>6</v>
      </c>
      <c r="B8" t="s">
        <v>17</v>
      </c>
      <c r="C8" t="s">
        <v>18</v>
      </c>
      <c r="D8">
        <v>98.571301790643304</v>
      </c>
    </row>
    <row r="9" spans="1:4" hidden="1" x14ac:dyDescent="0.3">
      <c r="A9">
        <v>7</v>
      </c>
      <c r="B9" s="1" t="s">
        <v>19</v>
      </c>
      <c r="C9" t="s">
        <v>11</v>
      </c>
      <c r="D9" s="1" t="s">
        <v>20</v>
      </c>
    </row>
    <row r="10" spans="1:4" hidden="1" x14ac:dyDescent="0.3">
      <c r="A10">
        <v>8</v>
      </c>
      <c r="B10" t="s">
        <v>21</v>
      </c>
      <c r="C10" t="s">
        <v>22</v>
      </c>
      <c r="D10">
        <v>75.150000000000006</v>
      </c>
    </row>
    <row r="11" spans="1:4" hidden="1" x14ac:dyDescent="0.3">
      <c r="A11">
        <v>9</v>
      </c>
      <c r="B11" t="s">
        <v>23</v>
      </c>
      <c r="C11" t="s">
        <v>24</v>
      </c>
      <c r="D11">
        <v>6.1322633098178096</v>
      </c>
    </row>
    <row r="12" spans="1:4" hidden="1" x14ac:dyDescent="0.3">
      <c r="A12">
        <v>10</v>
      </c>
      <c r="B12" t="s">
        <v>25</v>
      </c>
      <c r="C12" t="s">
        <v>26</v>
      </c>
      <c r="D12">
        <v>75.710813353947302</v>
      </c>
    </row>
    <row r="13" spans="1:4" hidden="1" x14ac:dyDescent="0.3">
      <c r="A13">
        <v>11</v>
      </c>
      <c r="B13" s="1" t="s">
        <v>27</v>
      </c>
      <c r="C13" t="s">
        <v>11</v>
      </c>
      <c r="D13" s="1" t="s">
        <v>28</v>
      </c>
    </row>
    <row r="14" spans="1:4" hidden="1" x14ac:dyDescent="0.3">
      <c r="A14">
        <v>12</v>
      </c>
      <c r="B14" t="s">
        <v>29</v>
      </c>
      <c r="C14" t="s">
        <v>30</v>
      </c>
      <c r="D14">
        <v>0.61035831386514094</v>
      </c>
    </row>
    <row r="15" spans="1:4" hidden="1" x14ac:dyDescent="0.3">
      <c r="A15">
        <v>13</v>
      </c>
      <c r="B15" s="1" t="s">
        <v>31</v>
      </c>
      <c r="C15" t="s">
        <v>32</v>
      </c>
      <c r="D15" s="1" t="s">
        <v>33</v>
      </c>
    </row>
    <row r="16" spans="1:4" hidden="1" x14ac:dyDescent="0.3">
      <c r="A16">
        <v>14</v>
      </c>
      <c r="B16" t="s">
        <v>34</v>
      </c>
      <c r="C16" t="s">
        <v>35</v>
      </c>
      <c r="D16">
        <v>-0.51727464262508505</v>
      </c>
    </row>
    <row r="17" spans="1:4" hidden="1" x14ac:dyDescent="0.3">
      <c r="A17">
        <v>15</v>
      </c>
      <c r="B17" s="1" t="s">
        <v>36</v>
      </c>
      <c r="C17" t="s">
        <v>37</v>
      </c>
      <c r="D17" s="1" t="s">
        <v>38</v>
      </c>
    </row>
    <row r="18" spans="1:4" hidden="1" x14ac:dyDescent="0.3">
      <c r="A18">
        <v>16</v>
      </c>
      <c r="B18" t="s">
        <v>39</v>
      </c>
      <c r="C18" t="s">
        <v>40</v>
      </c>
      <c r="D18">
        <v>0.90691632875994299</v>
      </c>
    </row>
    <row r="19" spans="1:4" hidden="1" x14ac:dyDescent="0.3">
      <c r="A19">
        <v>17</v>
      </c>
      <c r="B19" s="1" t="s">
        <v>41</v>
      </c>
      <c r="C19" t="s">
        <v>42</v>
      </c>
      <c r="D19" s="1" t="s">
        <v>43</v>
      </c>
    </row>
    <row r="20" spans="1:4" hidden="1" x14ac:dyDescent="0.3">
      <c r="A20">
        <v>18</v>
      </c>
      <c r="B20" t="s">
        <v>44</v>
      </c>
      <c r="C20" t="s">
        <v>45</v>
      </c>
      <c r="D20">
        <v>8.1312633218527108E-3</v>
      </c>
    </row>
    <row r="21" spans="1:4" hidden="1" x14ac:dyDescent="0.3">
      <c r="A21">
        <v>19</v>
      </c>
      <c r="B21" t="s">
        <v>46</v>
      </c>
      <c r="C21" t="s">
        <v>47</v>
      </c>
      <c r="D21">
        <v>1.4594706426186701</v>
      </c>
    </row>
    <row r="22" spans="1:4" hidden="1" x14ac:dyDescent="0.3">
      <c r="A22">
        <v>20</v>
      </c>
      <c r="B22" s="1" t="s">
        <v>48</v>
      </c>
      <c r="C22" t="s">
        <v>49</v>
      </c>
      <c r="D22" s="1" t="s">
        <v>50</v>
      </c>
    </row>
    <row r="23" spans="1:4" hidden="1" x14ac:dyDescent="0.3">
      <c r="A23">
        <v>21</v>
      </c>
      <c r="B23" t="s">
        <v>29</v>
      </c>
      <c r="C23" t="s">
        <v>30</v>
      </c>
      <c r="D23">
        <v>0.61035831386514094</v>
      </c>
    </row>
    <row r="24" spans="1:4" hidden="1" x14ac:dyDescent="0.3">
      <c r="A24">
        <v>22</v>
      </c>
      <c r="B24" s="1" t="s">
        <v>31</v>
      </c>
      <c r="C24" t="s">
        <v>32</v>
      </c>
      <c r="D24" s="1" t="s">
        <v>33</v>
      </c>
    </row>
    <row r="25" spans="1:4" hidden="1" x14ac:dyDescent="0.3">
      <c r="A25">
        <v>23</v>
      </c>
      <c r="B25" t="s">
        <v>34</v>
      </c>
      <c r="C25" t="s">
        <v>35</v>
      </c>
      <c r="D25">
        <v>-0.51727464262508505</v>
      </c>
    </row>
    <row r="26" spans="1:4" hidden="1" x14ac:dyDescent="0.3">
      <c r="A26">
        <v>24</v>
      </c>
      <c r="B26" s="1" t="s">
        <v>36</v>
      </c>
      <c r="C26" t="s">
        <v>37</v>
      </c>
      <c r="D26" s="1" t="s">
        <v>38</v>
      </c>
    </row>
    <row r="27" spans="1:4" hidden="1" x14ac:dyDescent="0.3">
      <c r="A27">
        <v>25</v>
      </c>
      <c r="B27" t="s">
        <v>39</v>
      </c>
      <c r="C27" t="s">
        <v>40</v>
      </c>
      <c r="D27">
        <v>0.90691632875994299</v>
      </c>
    </row>
    <row r="28" spans="1:4" hidden="1" x14ac:dyDescent="0.3">
      <c r="A28">
        <v>26</v>
      </c>
      <c r="B28" s="1" t="s">
        <v>41</v>
      </c>
      <c r="C28" t="s">
        <v>42</v>
      </c>
      <c r="D28" s="1" t="s">
        <v>43</v>
      </c>
    </row>
    <row r="29" spans="1:4" hidden="1" x14ac:dyDescent="0.3">
      <c r="A29">
        <v>27</v>
      </c>
      <c r="B29" s="1" t="s">
        <v>51</v>
      </c>
      <c r="C29" t="s">
        <v>52</v>
      </c>
      <c r="D29" s="1" t="s">
        <v>53</v>
      </c>
    </row>
    <row r="30" spans="1:4" hidden="1" x14ac:dyDescent="0.3">
      <c r="A30">
        <v>28</v>
      </c>
      <c r="B30" s="1" t="s">
        <v>54</v>
      </c>
      <c r="C30" t="s">
        <v>55</v>
      </c>
      <c r="D30" s="1" t="s">
        <v>56</v>
      </c>
    </row>
    <row r="31" spans="1:4" hidden="1" x14ac:dyDescent="0.3">
      <c r="A31">
        <v>29</v>
      </c>
      <c r="B31" s="1" t="s">
        <v>57</v>
      </c>
      <c r="C31" t="s">
        <v>58</v>
      </c>
      <c r="D31" s="1" t="s">
        <v>59</v>
      </c>
    </row>
    <row r="32" spans="1:4" hidden="1" x14ac:dyDescent="0.3">
      <c r="A32">
        <v>30</v>
      </c>
      <c r="B32" t="s">
        <v>60</v>
      </c>
      <c r="C32" t="s">
        <v>61</v>
      </c>
      <c r="D32">
        <v>150000000</v>
      </c>
    </row>
    <row r="33" spans="1:4" hidden="1" x14ac:dyDescent="0.3">
      <c r="A33">
        <v>31</v>
      </c>
      <c r="B33" t="s">
        <v>62</v>
      </c>
      <c r="C33" t="s">
        <v>63</v>
      </c>
      <c r="D33">
        <v>80000000</v>
      </c>
    </row>
    <row r="34" spans="1:4" hidden="1" x14ac:dyDescent="0.3">
      <c r="A34">
        <v>32</v>
      </c>
      <c r="B34" t="s">
        <v>64</v>
      </c>
      <c r="C34" t="s">
        <v>65</v>
      </c>
      <c r="D34">
        <v>40000000</v>
      </c>
    </row>
    <row r="35" spans="1:4" hidden="1" x14ac:dyDescent="0.3">
      <c r="A35">
        <v>33</v>
      </c>
      <c r="B35" s="1" t="s">
        <v>66</v>
      </c>
      <c r="C35" t="s">
        <v>67</v>
      </c>
      <c r="D35" s="1" t="s">
        <v>68</v>
      </c>
    </row>
    <row r="36" spans="1:4" hidden="1" x14ac:dyDescent="0.3">
      <c r="A36">
        <v>34</v>
      </c>
      <c r="B36" s="1" t="s">
        <v>69</v>
      </c>
      <c r="C36" t="s">
        <v>70</v>
      </c>
      <c r="D36" s="1" t="s">
        <v>71</v>
      </c>
    </row>
    <row r="37" spans="1:4" hidden="1" x14ac:dyDescent="0.3">
      <c r="A37">
        <v>35</v>
      </c>
      <c r="B37" t="s">
        <v>72</v>
      </c>
      <c r="C37" t="s">
        <v>73</v>
      </c>
      <c r="D37">
        <v>1</v>
      </c>
    </row>
    <row r="38" spans="1:4" hidden="1" x14ac:dyDescent="0.3">
      <c r="A38">
        <v>36</v>
      </c>
      <c r="B38" t="s">
        <v>74</v>
      </c>
      <c r="C38" t="s">
        <v>75</v>
      </c>
      <c r="D38">
        <v>2.7397260273972599E-3</v>
      </c>
    </row>
    <row r="39" spans="1:4" hidden="1" x14ac:dyDescent="0.3">
      <c r="A39">
        <v>37</v>
      </c>
      <c r="B39" t="s">
        <v>76</v>
      </c>
      <c r="C39" t="s">
        <v>77</v>
      </c>
      <c r="D39">
        <v>0</v>
      </c>
    </row>
    <row r="40" spans="1:4" hidden="1" x14ac:dyDescent="0.3">
      <c r="A40">
        <v>38</v>
      </c>
      <c r="B40" t="s">
        <v>78</v>
      </c>
      <c r="C40" t="s">
        <v>79</v>
      </c>
      <c r="D40">
        <v>0</v>
      </c>
    </row>
    <row r="41" spans="1:4" hidden="1" x14ac:dyDescent="0.3">
      <c r="A41">
        <v>39</v>
      </c>
      <c r="B41" s="1" t="s">
        <v>80</v>
      </c>
      <c r="C41" t="s">
        <v>81</v>
      </c>
      <c r="D41" s="1" t="s">
        <v>82</v>
      </c>
    </row>
    <row r="42" spans="1:4" hidden="1" x14ac:dyDescent="0.3">
      <c r="A42">
        <v>40</v>
      </c>
      <c r="B42" t="s">
        <v>83</v>
      </c>
      <c r="C42" t="s">
        <v>84</v>
      </c>
      <c r="D42">
        <v>1.0000019609400399</v>
      </c>
    </row>
    <row r="43" spans="1:4" hidden="1" x14ac:dyDescent="0.3">
      <c r="A43">
        <v>41</v>
      </c>
      <c r="B43" s="1" t="s">
        <v>85</v>
      </c>
      <c r="C43" t="s">
        <v>86</v>
      </c>
      <c r="D43" s="1" t="s">
        <v>87</v>
      </c>
    </row>
    <row r="44" spans="1:4" hidden="1" x14ac:dyDescent="0.3">
      <c r="A44">
        <v>42</v>
      </c>
      <c r="B44" t="s">
        <v>88</v>
      </c>
      <c r="C44" t="s">
        <v>89</v>
      </c>
      <c r="D44">
        <v>99999803.906380206</v>
      </c>
    </row>
    <row r="45" spans="1:4" hidden="1" x14ac:dyDescent="0.3">
      <c r="A45">
        <v>43</v>
      </c>
      <c r="B45" s="1" t="s">
        <v>90</v>
      </c>
      <c r="C45" t="s">
        <v>91</v>
      </c>
      <c r="D45" s="1" t="s">
        <v>92</v>
      </c>
    </row>
    <row r="46" spans="1:4" hidden="1" x14ac:dyDescent="0.3">
      <c r="A46">
        <v>44</v>
      </c>
      <c r="B46" t="s">
        <v>93</v>
      </c>
      <c r="C46" t="s">
        <v>94</v>
      </c>
      <c r="D46">
        <v>80000000</v>
      </c>
    </row>
    <row r="47" spans="1:4" hidden="1" x14ac:dyDescent="0.3">
      <c r="A47">
        <v>45</v>
      </c>
      <c r="B47" t="s">
        <v>95</v>
      </c>
      <c r="C47" t="s">
        <v>96</v>
      </c>
      <c r="D47">
        <v>40000000</v>
      </c>
    </row>
    <row r="48" spans="1:4" hidden="1" x14ac:dyDescent="0.3">
      <c r="A48">
        <v>46</v>
      </c>
      <c r="B48" t="s">
        <v>97</v>
      </c>
      <c r="C48" t="s">
        <v>98</v>
      </c>
      <c r="D48">
        <v>30000000</v>
      </c>
    </row>
    <row r="49" spans="1:4" hidden="1" x14ac:dyDescent="0.3">
      <c r="A49">
        <v>47</v>
      </c>
      <c r="B49" s="1" t="s">
        <v>99</v>
      </c>
      <c r="C49" t="s">
        <v>100</v>
      </c>
      <c r="D49" s="1" t="s">
        <v>101</v>
      </c>
    </row>
    <row r="50" spans="1:4" hidden="1" x14ac:dyDescent="0.3">
      <c r="A50">
        <v>48</v>
      </c>
      <c r="B50" t="s">
        <v>102</v>
      </c>
      <c r="C50" t="s">
        <v>103</v>
      </c>
      <c r="D50">
        <v>9.5308453601632807E-3</v>
      </c>
    </row>
    <row r="51" spans="1:4" hidden="1" x14ac:dyDescent="0.3">
      <c r="A51">
        <v>49</v>
      </c>
      <c r="B51" t="s">
        <v>104</v>
      </c>
      <c r="C51" t="s">
        <v>105</v>
      </c>
      <c r="D51">
        <v>1.67105512934783E-3</v>
      </c>
    </row>
    <row r="52" spans="1:4" hidden="1" x14ac:dyDescent="0.3">
      <c r="A52">
        <v>50</v>
      </c>
      <c r="B52" t="s">
        <v>106</v>
      </c>
      <c r="C52" t="s">
        <v>107</v>
      </c>
      <c r="D52">
        <v>1.08207255896175E-2</v>
      </c>
    </row>
    <row r="53" spans="1:4" hidden="1" x14ac:dyDescent="0.3">
      <c r="A53">
        <v>51</v>
      </c>
      <c r="B53" s="1" t="s">
        <v>108</v>
      </c>
      <c r="C53" t="s">
        <v>109</v>
      </c>
      <c r="D53" s="1" t="s">
        <v>110</v>
      </c>
    </row>
    <row r="54" spans="1:4" hidden="1" x14ac:dyDescent="0.3">
      <c r="A54">
        <v>52</v>
      </c>
      <c r="B54" t="s">
        <v>111</v>
      </c>
      <c r="C54" t="s">
        <v>112</v>
      </c>
      <c r="D54">
        <v>52.291631933615797</v>
      </c>
    </row>
    <row r="55" spans="1:4" hidden="1" x14ac:dyDescent="0.3">
      <c r="A55">
        <v>53</v>
      </c>
      <c r="B55" t="s">
        <v>113</v>
      </c>
      <c r="C55" t="s">
        <v>114</v>
      </c>
      <c r="D55">
        <v>10.225919133684799</v>
      </c>
    </row>
    <row r="56" spans="1:4" hidden="1" x14ac:dyDescent="0.3">
      <c r="A56">
        <v>54</v>
      </c>
      <c r="B56" s="1" t="s">
        <v>115</v>
      </c>
      <c r="C56" t="s">
        <v>116</v>
      </c>
      <c r="D56" s="1" t="s">
        <v>117</v>
      </c>
    </row>
    <row r="57" spans="1:4" hidden="1" x14ac:dyDescent="0.3">
      <c r="A57">
        <v>55</v>
      </c>
      <c r="B57" t="s">
        <v>118</v>
      </c>
      <c r="C57" t="s">
        <v>119</v>
      </c>
      <c r="D57">
        <v>80000052.291631907</v>
      </c>
    </row>
    <row r="58" spans="1:4" hidden="1" x14ac:dyDescent="0.3">
      <c r="A58">
        <v>56</v>
      </c>
      <c r="B58" t="s">
        <v>120</v>
      </c>
      <c r="C58" t="s">
        <v>121</v>
      </c>
      <c r="D58">
        <v>40000010.225919098</v>
      </c>
    </row>
    <row r="59" spans="1:4" hidden="1" x14ac:dyDescent="0.3">
      <c r="A59">
        <v>57</v>
      </c>
      <c r="B59" s="1" t="s">
        <v>122</v>
      </c>
      <c r="C59" t="s">
        <v>123</v>
      </c>
      <c r="D59" s="1" t="s">
        <v>124</v>
      </c>
    </row>
    <row r="60" spans="1:4" hidden="1" x14ac:dyDescent="0.3">
      <c r="A60">
        <v>58</v>
      </c>
      <c r="B60" t="s">
        <v>125</v>
      </c>
      <c r="C60" t="s">
        <v>126</v>
      </c>
      <c r="D60">
        <v>0.80000052291631896</v>
      </c>
    </row>
    <row r="61" spans="1:4" hidden="1" x14ac:dyDescent="0.3">
      <c r="A61">
        <v>59</v>
      </c>
      <c r="B61" t="s">
        <v>127</v>
      </c>
      <c r="C61" t="s">
        <v>128</v>
      </c>
      <c r="D61">
        <v>0.40000010225919103</v>
      </c>
    </row>
    <row r="62" spans="1:4" hidden="1" x14ac:dyDescent="0.3">
      <c r="A62">
        <v>60</v>
      </c>
      <c r="B62" s="1" t="s">
        <v>129</v>
      </c>
      <c r="C62" t="s">
        <v>130</v>
      </c>
      <c r="D62" s="1" t="s">
        <v>131</v>
      </c>
    </row>
    <row r="63" spans="1:4" hidden="1" x14ac:dyDescent="0.3">
      <c r="A63">
        <v>61</v>
      </c>
      <c r="B63" s="1" t="s">
        <v>132</v>
      </c>
      <c r="C63" t="s">
        <v>4</v>
      </c>
      <c r="D63" t="s">
        <v>133</v>
      </c>
    </row>
    <row r="64" spans="1:4" hidden="1" x14ac:dyDescent="0.3">
      <c r="A64">
        <v>62</v>
      </c>
      <c r="B64" t="s">
        <v>134</v>
      </c>
      <c r="C64" t="s">
        <v>7</v>
      </c>
      <c r="D64">
        <v>1837.47</v>
      </c>
    </row>
    <row r="65" spans="1:4" hidden="1" x14ac:dyDescent="0.3">
      <c r="A65">
        <v>63</v>
      </c>
      <c r="B65" s="1" t="s">
        <v>135</v>
      </c>
      <c r="C65" t="s">
        <v>9</v>
      </c>
      <c r="D65" s="1" t="s">
        <v>136</v>
      </c>
    </row>
    <row r="66" spans="1:4" hidden="1" x14ac:dyDescent="0.3">
      <c r="A66">
        <v>64</v>
      </c>
      <c r="B66" t="s">
        <v>137</v>
      </c>
      <c r="C66" t="s">
        <v>14</v>
      </c>
      <c r="D66">
        <v>98.37109375</v>
      </c>
    </row>
    <row r="67" spans="1:4" hidden="1" x14ac:dyDescent="0.3">
      <c r="A67">
        <v>65</v>
      </c>
      <c r="B67" t="s">
        <v>138</v>
      </c>
      <c r="C67" t="s">
        <v>16</v>
      </c>
      <c r="D67">
        <v>4.3699592085096803</v>
      </c>
    </row>
    <row r="68" spans="1:4" hidden="1" x14ac:dyDescent="0.3">
      <c r="A68">
        <v>66</v>
      </c>
      <c r="B68" s="1" t="s">
        <v>139</v>
      </c>
      <c r="C68" t="s">
        <v>140</v>
      </c>
      <c r="D68" s="1" t="s">
        <v>141</v>
      </c>
    </row>
    <row r="69" spans="1:4" hidden="1" x14ac:dyDescent="0.3">
      <c r="A69">
        <v>67</v>
      </c>
      <c r="B69" t="s">
        <v>142</v>
      </c>
      <c r="C69" t="s">
        <v>22</v>
      </c>
      <c r="D69">
        <v>74.55</v>
      </c>
    </row>
    <row r="70" spans="1:4" hidden="1" x14ac:dyDescent="0.3">
      <c r="A70">
        <v>68</v>
      </c>
      <c r="B70" t="s">
        <v>143</v>
      </c>
      <c r="C70" t="s">
        <v>24</v>
      </c>
      <c r="D70">
        <v>6.1420038808382804</v>
      </c>
    </row>
    <row r="71" spans="1:4" hidden="1" x14ac:dyDescent="0.3">
      <c r="A71">
        <v>69</v>
      </c>
      <c r="B71" s="1" t="s">
        <v>144</v>
      </c>
      <c r="C71" t="s">
        <v>145</v>
      </c>
      <c r="D71" s="1" t="s">
        <v>146</v>
      </c>
    </row>
    <row r="72" spans="1:4" hidden="1" x14ac:dyDescent="0.3">
      <c r="A72">
        <v>70</v>
      </c>
      <c r="B72" t="s">
        <v>147</v>
      </c>
      <c r="C72" t="s">
        <v>35</v>
      </c>
      <c r="D72">
        <v>0.13851927782137</v>
      </c>
    </row>
    <row r="73" spans="1:4" hidden="1" x14ac:dyDescent="0.3">
      <c r="A73">
        <v>71</v>
      </c>
      <c r="B73" t="s">
        <v>148</v>
      </c>
      <c r="C73" t="s">
        <v>149</v>
      </c>
      <c r="D73">
        <v>0.70988808017024196</v>
      </c>
    </row>
    <row r="74" spans="1:4" hidden="1" x14ac:dyDescent="0.3">
      <c r="A74">
        <v>72</v>
      </c>
      <c r="B74" s="1" t="s">
        <v>150</v>
      </c>
      <c r="C74" t="s">
        <v>151</v>
      </c>
      <c r="D74" s="1" t="s">
        <v>38</v>
      </c>
    </row>
    <row r="75" spans="1:4" hidden="1" x14ac:dyDescent="0.3">
      <c r="A75">
        <v>73</v>
      </c>
      <c r="B75" t="s">
        <v>152</v>
      </c>
      <c r="C75" t="s">
        <v>30</v>
      </c>
      <c r="D75">
        <v>0.34370126005052998</v>
      </c>
    </row>
    <row r="76" spans="1:4" hidden="1" x14ac:dyDescent="0.3">
      <c r="A76">
        <v>74</v>
      </c>
      <c r="B76" t="s">
        <v>153</v>
      </c>
      <c r="C76" t="s">
        <v>32</v>
      </c>
      <c r="D76">
        <v>0.20534345171740601</v>
      </c>
    </row>
    <row r="77" spans="1:4" hidden="1" x14ac:dyDescent="0.3">
      <c r="A77">
        <v>75</v>
      </c>
      <c r="B77" s="1" t="s">
        <v>154</v>
      </c>
      <c r="C77" t="s">
        <v>155</v>
      </c>
      <c r="D77" s="1" t="s">
        <v>33</v>
      </c>
    </row>
    <row r="78" spans="1:4" hidden="1" x14ac:dyDescent="0.3">
      <c r="A78">
        <v>76</v>
      </c>
      <c r="B78" t="s">
        <v>156</v>
      </c>
      <c r="C78" t="s">
        <v>40</v>
      </c>
      <c r="D78">
        <v>0.517779462128099</v>
      </c>
    </row>
    <row r="79" spans="1:4" hidden="1" x14ac:dyDescent="0.3">
      <c r="A79">
        <v>77</v>
      </c>
      <c r="B79" t="s">
        <v>157</v>
      </c>
      <c r="C79" t="s">
        <v>42</v>
      </c>
      <c r="D79">
        <v>0.20332930661399601</v>
      </c>
    </row>
    <row r="80" spans="1:4" hidden="1" x14ac:dyDescent="0.3">
      <c r="A80">
        <v>78</v>
      </c>
      <c r="B80" s="1" t="s">
        <v>158</v>
      </c>
      <c r="C80" t="s">
        <v>159</v>
      </c>
      <c r="D80" s="1" t="s">
        <v>43</v>
      </c>
    </row>
    <row r="81" spans="1:4" hidden="1" x14ac:dyDescent="0.3">
      <c r="A81">
        <v>79</v>
      </c>
      <c r="B81" t="s">
        <v>160</v>
      </c>
      <c r="C81" t="s">
        <v>161</v>
      </c>
      <c r="D81">
        <v>1.0007624981618299</v>
      </c>
    </row>
    <row r="82" spans="1:4" hidden="1" x14ac:dyDescent="0.3">
      <c r="A82">
        <v>80</v>
      </c>
      <c r="B82" t="s">
        <v>162</v>
      </c>
      <c r="C82" t="s">
        <v>163</v>
      </c>
      <c r="D82">
        <v>0.999347205594463</v>
      </c>
    </row>
    <row r="83" spans="1:4" hidden="1" x14ac:dyDescent="0.3">
      <c r="A83">
        <v>81</v>
      </c>
      <c r="B83" s="1" t="s">
        <v>164</v>
      </c>
      <c r="C83" t="s">
        <v>165</v>
      </c>
      <c r="D83" s="1" t="s">
        <v>166</v>
      </c>
    </row>
    <row r="84" spans="1:4" hidden="1" x14ac:dyDescent="0.3">
      <c r="A84">
        <v>82</v>
      </c>
      <c r="B84" t="s">
        <v>167</v>
      </c>
      <c r="C84" t="s">
        <v>168</v>
      </c>
      <c r="D84">
        <v>1.0007925105114399</v>
      </c>
    </row>
    <row r="85" spans="1:4" hidden="1" x14ac:dyDescent="0.3">
      <c r="A85">
        <v>83</v>
      </c>
      <c r="B85" t="s">
        <v>169</v>
      </c>
      <c r="C85" t="s">
        <v>170</v>
      </c>
      <c r="D85">
        <v>0.99986192531673102</v>
      </c>
    </row>
    <row r="86" spans="1:4" hidden="1" x14ac:dyDescent="0.3">
      <c r="A86">
        <v>84</v>
      </c>
      <c r="B86" s="1" t="s">
        <v>171</v>
      </c>
      <c r="C86" t="s">
        <v>172</v>
      </c>
      <c r="D86" s="1" t="s">
        <v>173</v>
      </c>
    </row>
    <row r="87" spans="1:4" hidden="1" x14ac:dyDescent="0.3">
      <c r="A87">
        <v>85</v>
      </c>
      <c r="B87" s="1" t="s">
        <v>174</v>
      </c>
      <c r="C87" t="s">
        <v>55</v>
      </c>
      <c r="D87" s="1" t="s">
        <v>175</v>
      </c>
    </row>
    <row r="88" spans="1:4" hidden="1" x14ac:dyDescent="0.3">
      <c r="A88">
        <v>86</v>
      </c>
      <c r="B88" s="1" t="s">
        <v>176</v>
      </c>
      <c r="C88" t="s">
        <v>52</v>
      </c>
      <c r="D88" s="1" t="s">
        <v>177</v>
      </c>
    </row>
    <row r="89" spans="1:4" hidden="1" x14ac:dyDescent="0.3">
      <c r="A89">
        <v>87</v>
      </c>
      <c r="B89" s="1" t="s">
        <v>178</v>
      </c>
      <c r="C89" t="s">
        <v>58</v>
      </c>
      <c r="D89" s="1" t="s">
        <v>179</v>
      </c>
    </row>
    <row r="90" spans="1:4" hidden="1" x14ac:dyDescent="0.3">
      <c r="A90">
        <v>88</v>
      </c>
      <c r="B90" t="s">
        <v>180</v>
      </c>
      <c r="C90" t="s">
        <v>61</v>
      </c>
      <c r="D90">
        <v>149817032.64125401</v>
      </c>
    </row>
    <row r="91" spans="1:4" hidden="1" x14ac:dyDescent="0.3">
      <c r="A91">
        <v>89</v>
      </c>
      <c r="B91" t="s">
        <v>181</v>
      </c>
      <c r="C91" t="s">
        <v>63</v>
      </c>
      <c r="D91">
        <v>80060999.852946699</v>
      </c>
    </row>
    <row r="92" spans="1:4" hidden="1" x14ac:dyDescent="0.3">
      <c r="A92">
        <v>90</v>
      </c>
      <c r="B92" t="s">
        <v>182</v>
      </c>
      <c r="C92" t="s">
        <v>65</v>
      </c>
      <c r="D92">
        <v>39973888.223778501</v>
      </c>
    </row>
    <row r="93" spans="1:4" hidden="1" x14ac:dyDescent="0.3">
      <c r="A93">
        <v>91</v>
      </c>
      <c r="B93" s="1" t="s">
        <v>183</v>
      </c>
      <c r="C93" t="s">
        <v>67</v>
      </c>
      <c r="D93" s="1" t="s">
        <v>184</v>
      </c>
    </row>
    <row r="94" spans="1:4" hidden="1" x14ac:dyDescent="0.3">
      <c r="A94">
        <v>92</v>
      </c>
      <c r="B94" s="1" t="s">
        <v>185</v>
      </c>
      <c r="C94" t="s">
        <v>70</v>
      </c>
      <c r="D94" s="1" t="s">
        <v>186</v>
      </c>
    </row>
    <row r="95" spans="1:4" hidden="1" x14ac:dyDescent="0.3">
      <c r="A95">
        <v>93</v>
      </c>
      <c r="B95" t="s">
        <v>187</v>
      </c>
      <c r="C95" t="s">
        <v>73</v>
      </c>
      <c r="D95">
        <v>1.0000019609400399</v>
      </c>
    </row>
    <row r="96" spans="1:4" hidden="1" x14ac:dyDescent="0.3">
      <c r="A96">
        <v>94</v>
      </c>
      <c r="B96" t="s">
        <v>74</v>
      </c>
      <c r="C96" t="s">
        <v>75</v>
      </c>
      <c r="D96">
        <v>2.7397260273972599E-3</v>
      </c>
    </row>
    <row r="97" spans="1:4" hidden="1" x14ac:dyDescent="0.3">
      <c r="A97">
        <v>95</v>
      </c>
      <c r="B97" t="s">
        <v>76</v>
      </c>
      <c r="C97" t="s">
        <v>77</v>
      </c>
      <c r="D97">
        <v>0</v>
      </c>
    </row>
    <row r="98" spans="1:4" hidden="1" x14ac:dyDescent="0.3">
      <c r="A98">
        <v>96</v>
      </c>
      <c r="B98" t="s">
        <v>78</v>
      </c>
      <c r="C98" t="s">
        <v>79</v>
      </c>
      <c r="D98">
        <v>0</v>
      </c>
    </row>
    <row r="99" spans="1:4" hidden="1" x14ac:dyDescent="0.3">
      <c r="A99">
        <v>97</v>
      </c>
      <c r="B99" s="1" t="s">
        <v>188</v>
      </c>
      <c r="C99" t="s">
        <v>81</v>
      </c>
      <c r="D99" s="1" t="s">
        <v>189</v>
      </c>
    </row>
    <row r="100" spans="1:4" hidden="1" x14ac:dyDescent="0.3">
      <c r="A100">
        <v>98</v>
      </c>
      <c r="B100" t="s">
        <v>190</v>
      </c>
      <c r="C100" t="s">
        <v>84</v>
      </c>
      <c r="D100">
        <v>1.0000086486463999</v>
      </c>
    </row>
    <row r="101" spans="1:4" hidden="1" x14ac:dyDescent="0.3">
      <c r="A101">
        <v>99</v>
      </c>
      <c r="B101" s="1" t="s">
        <v>191</v>
      </c>
      <c r="C101" t="s">
        <v>86</v>
      </c>
      <c r="D101" s="1" t="s">
        <v>192</v>
      </c>
    </row>
    <row r="102" spans="1:4" hidden="1" x14ac:dyDescent="0.3">
      <c r="A102">
        <v>100</v>
      </c>
      <c r="B102" t="s">
        <v>193</v>
      </c>
      <c r="C102" t="s">
        <v>89</v>
      </c>
      <c r="D102">
        <v>99999135.142839193</v>
      </c>
    </row>
    <row r="103" spans="1:4" hidden="1" x14ac:dyDescent="0.3">
      <c r="A103">
        <v>101</v>
      </c>
      <c r="B103" s="1" t="s">
        <v>194</v>
      </c>
      <c r="C103" t="s">
        <v>91</v>
      </c>
      <c r="D103" s="1" t="s">
        <v>195</v>
      </c>
    </row>
    <row r="104" spans="1:4" hidden="1" x14ac:dyDescent="0.3">
      <c r="A104">
        <v>102</v>
      </c>
      <c r="B104" t="s">
        <v>196</v>
      </c>
      <c r="C104" t="s">
        <v>94</v>
      </c>
      <c r="D104">
        <v>80060999.852946699</v>
      </c>
    </row>
    <row r="105" spans="1:4" hidden="1" x14ac:dyDescent="0.3">
      <c r="A105">
        <v>103</v>
      </c>
      <c r="B105" t="s">
        <v>197</v>
      </c>
      <c r="C105" t="s">
        <v>96</v>
      </c>
      <c r="D105">
        <v>39973888.223778501</v>
      </c>
    </row>
    <row r="106" spans="1:4" hidden="1" x14ac:dyDescent="0.3">
      <c r="A106">
        <v>104</v>
      </c>
      <c r="B106" t="s">
        <v>198</v>
      </c>
      <c r="C106" t="s">
        <v>98</v>
      </c>
      <c r="D106">
        <v>29782144.564529501</v>
      </c>
    </row>
    <row r="107" spans="1:4" hidden="1" x14ac:dyDescent="0.3">
      <c r="A107">
        <v>105</v>
      </c>
      <c r="B107" s="1" t="s">
        <v>199</v>
      </c>
      <c r="C107" t="s">
        <v>100</v>
      </c>
      <c r="D107" s="1" t="s">
        <v>200</v>
      </c>
    </row>
    <row r="108" spans="1:4" hidden="1" x14ac:dyDescent="0.3">
      <c r="A108">
        <v>106</v>
      </c>
      <c r="B108" t="s">
        <v>201</v>
      </c>
      <c r="C108" t="s">
        <v>103</v>
      </c>
      <c r="D108">
        <v>9.5330682684739102E-3</v>
      </c>
    </row>
    <row r="109" spans="1:4" hidden="1" x14ac:dyDescent="0.3">
      <c r="A109">
        <v>107</v>
      </c>
      <c r="B109" t="s">
        <v>202</v>
      </c>
      <c r="C109" t="s">
        <v>105</v>
      </c>
      <c r="D109">
        <v>1.67176988838719E-3</v>
      </c>
    </row>
    <row r="110" spans="1:4" hidden="1" x14ac:dyDescent="0.3">
      <c r="A110">
        <v>108</v>
      </c>
      <c r="B110" t="s">
        <v>203</v>
      </c>
      <c r="C110" t="s">
        <v>107</v>
      </c>
      <c r="D110">
        <v>1.0856620503263401E-2</v>
      </c>
    </row>
    <row r="111" spans="1:4" hidden="1" x14ac:dyDescent="0.3">
      <c r="A111">
        <v>109</v>
      </c>
      <c r="B111" s="1" t="s">
        <v>204</v>
      </c>
      <c r="C111" t="s">
        <v>109</v>
      </c>
      <c r="D111" s="1" t="s">
        <v>205</v>
      </c>
    </row>
    <row r="112" spans="1:4" x14ac:dyDescent="0.3">
      <c r="A112">
        <v>110</v>
      </c>
      <c r="B112" t="s">
        <v>206</v>
      </c>
      <c r="C112" t="s">
        <v>207</v>
      </c>
      <c r="D112">
        <v>149817264.22930601</v>
      </c>
    </row>
    <row r="113" spans="1:4" hidden="1" x14ac:dyDescent="0.3">
      <c r="A113">
        <v>111</v>
      </c>
      <c r="B113" t="s">
        <v>208</v>
      </c>
      <c r="C113" t="s">
        <v>209</v>
      </c>
      <c r="D113">
        <v>-535.42447425546197</v>
      </c>
    </row>
    <row r="114" spans="1:4" hidden="1" x14ac:dyDescent="0.3">
      <c r="A114">
        <v>112</v>
      </c>
      <c r="B114" t="s">
        <v>210</v>
      </c>
      <c r="C114" t="s">
        <v>211</v>
      </c>
      <c r="D114">
        <v>-267.33340811350399</v>
      </c>
    </row>
    <row r="115" spans="1:4" hidden="1" x14ac:dyDescent="0.3">
      <c r="A115">
        <v>113</v>
      </c>
      <c r="B115" s="1" t="s">
        <v>212</v>
      </c>
      <c r="C115" t="s">
        <v>213</v>
      </c>
      <c r="D115" s="1" t="s">
        <v>214</v>
      </c>
    </row>
    <row r="116" spans="1:4" hidden="1" x14ac:dyDescent="0.3">
      <c r="A116">
        <v>114</v>
      </c>
      <c r="B116" t="s">
        <v>215</v>
      </c>
      <c r="C116" t="s">
        <v>216</v>
      </c>
      <c r="D116">
        <v>80061694.681361198</v>
      </c>
    </row>
    <row r="117" spans="1:4" hidden="1" x14ac:dyDescent="0.3">
      <c r="A117">
        <v>115</v>
      </c>
      <c r="B117" t="s">
        <v>217</v>
      </c>
      <c r="C117" t="s">
        <v>218</v>
      </c>
      <c r="D117">
        <v>39974201.2695131</v>
      </c>
    </row>
    <row r="118" spans="1:4" hidden="1" x14ac:dyDescent="0.3">
      <c r="A118">
        <v>116</v>
      </c>
      <c r="B118" t="s">
        <v>219</v>
      </c>
      <c r="C118" t="s">
        <v>220</v>
      </c>
      <c r="D118">
        <v>29782370.210338499</v>
      </c>
    </row>
    <row r="119" spans="1:4" hidden="1" x14ac:dyDescent="0.3">
      <c r="A119">
        <v>117</v>
      </c>
      <c r="B119" s="1" t="s">
        <v>221</v>
      </c>
      <c r="C119" t="s">
        <v>222</v>
      </c>
      <c r="D119" s="1" t="s">
        <v>223</v>
      </c>
    </row>
    <row r="120" spans="1:4" hidden="1" x14ac:dyDescent="0.3">
      <c r="A120">
        <v>118</v>
      </c>
      <c r="B120" t="s">
        <v>224</v>
      </c>
      <c r="C120" t="s">
        <v>225</v>
      </c>
      <c r="D120">
        <v>99999803.906380206</v>
      </c>
    </row>
    <row r="121" spans="1:4" hidden="1" x14ac:dyDescent="0.3">
      <c r="A121">
        <v>119</v>
      </c>
      <c r="B121" t="s">
        <v>226</v>
      </c>
      <c r="C121" t="s">
        <v>227</v>
      </c>
      <c r="D121">
        <v>-668.76354098319996</v>
      </c>
    </row>
    <row r="122" spans="1:4" hidden="1" x14ac:dyDescent="0.3">
      <c r="A122">
        <v>120</v>
      </c>
      <c r="B122" s="1" t="s">
        <v>228</v>
      </c>
      <c r="C122" t="s">
        <v>229</v>
      </c>
      <c r="D122" s="1" t="s">
        <v>230</v>
      </c>
    </row>
    <row r="123" spans="1:4" hidden="1" x14ac:dyDescent="0.3">
      <c r="A123">
        <v>121</v>
      </c>
      <c r="B123" t="s">
        <v>231</v>
      </c>
      <c r="C123" t="s">
        <v>112</v>
      </c>
      <c r="D123">
        <v>159.40394017595901</v>
      </c>
    </row>
    <row r="124" spans="1:4" hidden="1" x14ac:dyDescent="0.3">
      <c r="A124">
        <v>122</v>
      </c>
      <c r="B124" t="s">
        <v>232</v>
      </c>
      <c r="C124" t="s">
        <v>114</v>
      </c>
      <c r="D124">
        <v>45.712326516682403</v>
      </c>
    </row>
    <row r="125" spans="1:4" hidden="1" x14ac:dyDescent="0.3">
      <c r="A125">
        <v>123</v>
      </c>
      <c r="B125" s="1" t="s">
        <v>233</v>
      </c>
      <c r="C125" t="s">
        <v>116</v>
      </c>
      <c r="D125" s="1" t="s">
        <v>234</v>
      </c>
    </row>
    <row r="126" spans="1:4" hidden="1" x14ac:dyDescent="0.3">
      <c r="A126">
        <v>124</v>
      </c>
      <c r="B126" t="s">
        <v>235</v>
      </c>
      <c r="C126" t="s">
        <v>119</v>
      </c>
      <c r="D126">
        <v>80061694.681361198</v>
      </c>
    </row>
    <row r="127" spans="1:4" hidden="1" x14ac:dyDescent="0.3">
      <c r="A127">
        <v>125</v>
      </c>
      <c r="B127" t="s">
        <v>236</v>
      </c>
      <c r="C127" t="s">
        <v>121</v>
      </c>
      <c r="D127">
        <v>39974201.2695131</v>
      </c>
    </row>
    <row r="128" spans="1:4" hidden="1" x14ac:dyDescent="0.3">
      <c r="A128">
        <v>126</v>
      </c>
      <c r="B128" s="1" t="s">
        <v>237</v>
      </c>
      <c r="C128" t="s">
        <v>123</v>
      </c>
      <c r="D128" s="1" t="s">
        <v>238</v>
      </c>
    </row>
    <row r="129" spans="1:4" hidden="1" x14ac:dyDescent="0.3">
      <c r="A129">
        <v>127</v>
      </c>
      <c r="B129" t="s">
        <v>239</v>
      </c>
      <c r="C129" t="s">
        <v>126</v>
      </c>
      <c r="D129">
        <v>0.80061159256886905</v>
      </c>
    </row>
    <row r="130" spans="1:4" hidden="1" x14ac:dyDescent="0.3">
      <c r="A130">
        <v>128</v>
      </c>
      <c r="B130" t="s">
        <v>240</v>
      </c>
      <c r="C130" t="s">
        <v>128</v>
      </c>
      <c r="D130">
        <v>0.39973933936104999</v>
      </c>
    </row>
    <row r="131" spans="1:4" hidden="1" x14ac:dyDescent="0.3">
      <c r="A131">
        <v>129</v>
      </c>
      <c r="B131" s="1" t="s">
        <v>241</v>
      </c>
      <c r="C131" t="s">
        <v>130</v>
      </c>
      <c r="D131" s="1" t="s">
        <v>242</v>
      </c>
    </row>
    <row r="132" spans="1:4" hidden="1" x14ac:dyDescent="0.3">
      <c r="A132">
        <v>130</v>
      </c>
      <c r="B132" s="1" t="s">
        <v>243</v>
      </c>
      <c r="C132" t="s">
        <v>4</v>
      </c>
      <c r="D132" t="s">
        <v>244</v>
      </c>
    </row>
    <row r="133" spans="1:4" hidden="1" x14ac:dyDescent="0.3">
      <c r="A133">
        <v>131</v>
      </c>
      <c r="B133" t="s">
        <v>245</v>
      </c>
      <c r="C133" t="s">
        <v>7</v>
      </c>
      <c r="D133">
        <v>1815.69</v>
      </c>
    </row>
    <row r="134" spans="1:4" hidden="1" x14ac:dyDescent="0.3">
      <c r="A134">
        <v>132</v>
      </c>
      <c r="B134" s="1" t="s">
        <v>246</v>
      </c>
      <c r="C134" t="s">
        <v>9</v>
      </c>
      <c r="D134" s="1" t="s">
        <v>247</v>
      </c>
    </row>
    <row r="135" spans="1:4" hidden="1" x14ac:dyDescent="0.3">
      <c r="A135">
        <v>133</v>
      </c>
      <c r="B135" t="s">
        <v>248</v>
      </c>
      <c r="C135" t="s">
        <v>14</v>
      </c>
      <c r="D135">
        <v>98.09765625</v>
      </c>
    </row>
    <row r="136" spans="1:4" hidden="1" x14ac:dyDescent="0.3">
      <c r="A136">
        <v>134</v>
      </c>
      <c r="B136" t="s">
        <v>249</v>
      </c>
      <c r="C136" t="s">
        <v>16</v>
      </c>
      <c r="D136">
        <v>4.3663637402903204</v>
      </c>
    </row>
    <row r="137" spans="1:4" hidden="1" x14ac:dyDescent="0.3">
      <c r="A137">
        <v>135</v>
      </c>
      <c r="B137" s="1" t="s">
        <v>250</v>
      </c>
      <c r="C137" t="s">
        <v>140</v>
      </c>
      <c r="D137" s="1" t="s">
        <v>251</v>
      </c>
    </row>
    <row r="138" spans="1:4" hidden="1" x14ac:dyDescent="0.3">
      <c r="A138">
        <v>136</v>
      </c>
      <c r="B138" t="s">
        <v>252</v>
      </c>
      <c r="C138" t="s">
        <v>22</v>
      </c>
      <c r="D138">
        <v>73.75</v>
      </c>
    </row>
    <row r="139" spans="1:4" hidden="1" x14ac:dyDescent="0.3">
      <c r="A139">
        <v>137</v>
      </c>
      <c r="B139" t="s">
        <v>253</v>
      </c>
      <c r="C139" t="s">
        <v>24</v>
      </c>
      <c r="D139">
        <v>6.1254648773421199</v>
      </c>
    </row>
    <row r="140" spans="1:4" hidden="1" x14ac:dyDescent="0.3">
      <c r="A140">
        <v>138</v>
      </c>
      <c r="B140" s="1" t="s">
        <v>254</v>
      </c>
      <c r="C140" t="s">
        <v>145</v>
      </c>
      <c r="D140" s="1" t="s">
        <v>255</v>
      </c>
    </row>
    <row r="141" spans="1:4" hidden="1" x14ac:dyDescent="0.3">
      <c r="A141">
        <v>139</v>
      </c>
      <c r="B141" t="s">
        <v>256</v>
      </c>
      <c r="C141" t="s">
        <v>35</v>
      </c>
      <c r="D141">
        <v>3.61233293394123E-2</v>
      </c>
    </row>
    <row r="142" spans="1:4" hidden="1" x14ac:dyDescent="0.3">
      <c r="A142">
        <v>140</v>
      </c>
      <c r="B142" t="s">
        <v>257</v>
      </c>
      <c r="C142" t="s">
        <v>149</v>
      </c>
      <c r="D142">
        <v>0.707319690524158</v>
      </c>
    </row>
    <row r="143" spans="1:4" hidden="1" x14ac:dyDescent="0.3">
      <c r="A143">
        <v>141</v>
      </c>
      <c r="B143" s="1" t="s">
        <v>258</v>
      </c>
      <c r="C143" t="s">
        <v>151</v>
      </c>
      <c r="D143" s="1" t="s">
        <v>259</v>
      </c>
    </row>
    <row r="144" spans="1:4" hidden="1" x14ac:dyDescent="0.3">
      <c r="A144">
        <v>142</v>
      </c>
      <c r="B144" t="s">
        <v>260</v>
      </c>
      <c r="C144" t="s">
        <v>30</v>
      </c>
      <c r="D144">
        <v>0.38787465764798401</v>
      </c>
    </row>
    <row r="145" spans="1:4" hidden="1" x14ac:dyDescent="0.3">
      <c r="A145">
        <v>143</v>
      </c>
      <c r="B145" t="s">
        <v>261</v>
      </c>
      <c r="C145" t="s">
        <v>32</v>
      </c>
      <c r="D145">
        <v>0.20783860175347901</v>
      </c>
    </row>
    <row r="146" spans="1:4" hidden="1" x14ac:dyDescent="0.3">
      <c r="A146">
        <v>144</v>
      </c>
      <c r="B146" s="1" t="s">
        <v>262</v>
      </c>
      <c r="C146" t="s">
        <v>155</v>
      </c>
      <c r="D146" s="1" t="s">
        <v>263</v>
      </c>
    </row>
    <row r="147" spans="1:4" hidden="1" x14ac:dyDescent="0.3">
      <c r="A147">
        <v>145</v>
      </c>
      <c r="B147" t="s">
        <v>264</v>
      </c>
      <c r="C147" t="s">
        <v>40</v>
      </c>
      <c r="D147">
        <v>0.57600201301260301</v>
      </c>
    </row>
    <row r="148" spans="1:4" hidden="1" x14ac:dyDescent="0.3">
      <c r="A148">
        <v>146</v>
      </c>
      <c r="B148" t="s">
        <v>265</v>
      </c>
      <c r="C148" t="s">
        <v>42</v>
      </c>
      <c r="D148">
        <v>0.20594927011949299</v>
      </c>
    </row>
    <row r="149" spans="1:4" hidden="1" x14ac:dyDescent="0.3">
      <c r="A149">
        <v>147</v>
      </c>
      <c r="B149" s="1" t="s">
        <v>266</v>
      </c>
      <c r="C149" t="s">
        <v>159</v>
      </c>
      <c r="D149" s="1" t="s">
        <v>267</v>
      </c>
    </row>
    <row r="150" spans="1:4" hidden="1" x14ac:dyDescent="0.3">
      <c r="A150">
        <v>148</v>
      </c>
      <c r="B150" t="s">
        <v>268</v>
      </c>
      <c r="C150" t="s">
        <v>161</v>
      </c>
      <c r="D150">
        <v>0.98814674525298296</v>
      </c>
    </row>
    <row r="151" spans="1:4" hidden="1" x14ac:dyDescent="0.3">
      <c r="A151">
        <v>149</v>
      </c>
      <c r="B151" t="s">
        <v>269</v>
      </c>
      <c r="C151" t="s">
        <v>163</v>
      </c>
      <c r="D151">
        <v>0.99730358060150204</v>
      </c>
    </row>
    <row r="152" spans="1:4" hidden="1" x14ac:dyDescent="0.3">
      <c r="A152">
        <v>150</v>
      </c>
      <c r="B152" s="1" t="s">
        <v>270</v>
      </c>
      <c r="C152" t="s">
        <v>165</v>
      </c>
      <c r="D152" s="1" t="s">
        <v>271</v>
      </c>
    </row>
    <row r="153" spans="1:4" hidden="1" x14ac:dyDescent="0.3">
      <c r="A153">
        <v>151</v>
      </c>
      <c r="B153" t="s">
        <v>272</v>
      </c>
      <c r="C153" t="s">
        <v>168</v>
      </c>
      <c r="D153">
        <v>0.99849791943936494</v>
      </c>
    </row>
    <row r="154" spans="1:4" hidden="1" x14ac:dyDescent="0.3">
      <c r="A154">
        <v>152</v>
      </c>
      <c r="B154" t="s">
        <v>273</v>
      </c>
      <c r="C154" t="s">
        <v>170</v>
      </c>
      <c r="D154">
        <v>1.0020700739133801</v>
      </c>
    </row>
    <row r="155" spans="1:4" hidden="1" x14ac:dyDescent="0.3">
      <c r="A155">
        <v>153</v>
      </c>
      <c r="B155" s="1" t="s">
        <v>274</v>
      </c>
      <c r="C155" t="s">
        <v>172</v>
      </c>
      <c r="D155" s="1" t="s">
        <v>275</v>
      </c>
    </row>
    <row r="156" spans="1:4" hidden="1" x14ac:dyDescent="0.3">
      <c r="A156">
        <v>154</v>
      </c>
      <c r="B156" s="1" t="s">
        <v>276</v>
      </c>
      <c r="C156" t="s">
        <v>55</v>
      </c>
      <c r="D156" s="1" t="s">
        <v>277</v>
      </c>
    </row>
    <row r="157" spans="1:4" hidden="1" x14ac:dyDescent="0.3">
      <c r="A157">
        <v>155</v>
      </c>
      <c r="B157" s="1" t="s">
        <v>278</v>
      </c>
      <c r="C157" t="s">
        <v>52</v>
      </c>
      <c r="D157" s="1" t="s">
        <v>279</v>
      </c>
    </row>
    <row r="158" spans="1:4" hidden="1" x14ac:dyDescent="0.3">
      <c r="A158">
        <v>156</v>
      </c>
      <c r="B158" s="1" t="s">
        <v>280</v>
      </c>
      <c r="C158" t="s">
        <v>58</v>
      </c>
      <c r="D158" s="1" t="s">
        <v>281</v>
      </c>
    </row>
    <row r="159" spans="1:4" hidden="1" x14ac:dyDescent="0.3">
      <c r="A159">
        <v>157</v>
      </c>
      <c r="B159" t="s">
        <v>282</v>
      </c>
      <c r="C159" t="s">
        <v>61</v>
      </c>
      <c r="D159">
        <v>148460113.349942</v>
      </c>
    </row>
    <row r="160" spans="1:4" hidden="1" x14ac:dyDescent="0.3">
      <c r="A160">
        <v>158</v>
      </c>
      <c r="B160" t="s">
        <v>283</v>
      </c>
      <c r="C160" t="s">
        <v>63</v>
      </c>
      <c r="D160">
        <v>79112703.018825203</v>
      </c>
    </row>
    <row r="161" spans="1:4" hidden="1" x14ac:dyDescent="0.3">
      <c r="A161">
        <v>159</v>
      </c>
      <c r="B161" t="s">
        <v>284</v>
      </c>
      <c r="C161" t="s">
        <v>65</v>
      </c>
      <c r="D161">
        <v>39866414.057770602</v>
      </c>
    </row>
    <row r="162" spans="1:4" hidden="1" x14ac:dyDescent="0.3">
      <c r="A162">
        <v>160</v>
      </c>
      <c r="B162" s="1" t="s">
        <v>285</v>
      </c>
      <c r="C162" t="s">
        <v>67</v>
      </c>
      <c r="D162" s="1" t="s">
        <v>286</v>
      </c>
    </row>
    <row r="163" spans="1:4" hidden="1" x14ac:dyDescent="0.3">
      <c r="A163">
        <v>161</v>
      </c>
      <c r="B163" s="1" t="s">
        <v>287</v>
      </c>
      <c r="C163" t="s">
        <v>70</v>
      </c>
      <c r="D163" s="1" t="s">
        <v>288</v>
      </c>
    </row>
    <row r="164" spans="1:4" hidden="1" x14ac:dyDescent="0.3">
      <c r="A164">
        <v>162</v>
      </c>
      <c r="B164" t="s">
        <v>289</v>
      </c>
      <c r="C164" t="s">
        <v>73</v>
      </c>
      <c r="D164">
        <v>1.0000086486463999</v>
      </c>
    </row>
    <row r="165" spans="1:4" hidden="1" x14ac:dyDescent="0.3">
      <c r="A165">
        <v>163</v>
      </c>
      <c r="B165" t="s">
        <v>74</v>
      </c>
      <c r="C165" t="s">
        <v>75</v>
      </c>
      <c r="D165">
        <v>2.7397260273972599E-3</v>
      </c>
    </row>
    <row r="166" spans="1:4" hidden="1" x14ac:dyDescent="0.3">
      <c r="A166">
        <v>164</v>
      </c>
      <c r="B166" t="s">
        <v>76</v>
      </c>
      <c r="C166" t="s">
        <v>77</v>
      </c>
      <c r="D166">
        <v>0</v>
      </c>
    </row>
    <row r="167" spans="1:4" hidden="1" x14ac:dyDescent="0.3">
      <c r="A167">
        <v>165</v>
      </c>
      <c r="B167" t="s">
        <v>78</v>
      </c>
      <c r="C167" t="s">
        <v>79</v>
      </c>
      <c r="D167">
        <v>0</v>
      </c>
    </row>
    <row r="168" spans="1:4" hidden="1" x14ac:dyDescent="0.3">
      <c r="A168">
        <v>166</v>
      </c>
      <c r="B168" s="1" t="s">
        <v>290</v>
      </c>
      <c r="C168" t="s">
        <v>81</v>
      </c>
      <c r="D168" s="1" t="s">
        <v>291</v>
      </c>
    </row>
    <row r="169" spans="1:4" hidden="1" x14ac:dyDescent="0.3">
      <c r="A169">
        <v>167</v>
      </c>
      <c r="B169" t="s">
        <v>292</v>
      </c>
      <c r="C169" t="s">
        <v>84</v>
      </c>
      <c r="D169">
        <v>1.0000062322533001</v>
      </c>
    </row>
    <row r="170" spans="1:4" hidden="1" x14ac:dyDescent="0.3">
      <c r="A170">
        <v>168</v>
      </c>
      <c r="B170" s="1" t="s">
        <v>293</v>
      </c>
      <c r="C170" t="s">
        <v>86</v>
      </c>
      <c r="D170" s="1" t="s">
        <v>294</v>
      </c>
    </row>
    <row r="171" spans="1:4" hidden="1" x14ac:dyDescent="0.3">
      <c r="A171">
        <v>169</v>
      </c>
      <c r="B171" t="s">
        <v>295</v>
      </c>
      <c r="C171" t="s">
        <v>89</v>
      </c>
      <c r="D171">
        <v>99999376.778553098</v>
      </c>
    </row>
    <row r="172" spans="1:4" hidden="1" x14ac:dyDescent="0.3">
      <c r="A172">
        <v>170</v>
      </c>
      <c r="B172" s="1" t="s">
        <v>296</v>
      </c>
      <c r="C172" t="s">
        <v>91</v>
      </c>
      <c r="D172" s="1" t="s">
        <v>230</v>
      </c>
    </row>
    <row r="173" spans="1:4" hidden="1" x14ac:dyDescent="0.3">
      <c r="A173">
        <v>171</v>
      </c>
      <c r="B173" t="s">
        <v>297</v>
      </c>
      <c r="C173" t="s">
        <v>94</v>
      </c>
      <c r="D173">
        <v>79112703.018825203</v>
      </c>
    </row>
    <row r="174" spans="1:4" hidden="1" x14ac:dyDescent="0.3">
      <c r="A174">
        <v>172</v>
      </c>
      <c r="B174" t="s">
        <v>298</v>
      </c>
      <c r="C174" t="s">
        <v>96</v>
      </c>
      <c r="D174">
        <v>39866414.057770602</v>
      </c>
    </row>
    <row r="175" spans="1:4" hidden="1" x14ac:dyDescent="0.3">
      <c r="A175">
        <v>173</v>
      </c>
      <c r="B175" t="s">
        <v>299</v>
      </c>
      <c r="C175" t="s">
        <v>98</v>
      </c>
      <c r="D175">
        <v>29480996.273347002</v>
      </c>
    </row>
    <row r="176" spans="1:4" hidden="1" x14ac:dyDescent="0.3">
      <c r="A176">
        <v>174</v>
      </c>
      <c r="B176" s="1" t="s">
        <v>300</v>
      </c>
      <c r="C176" t="s">
        <v>100</v>
      </c>
      <c r="D176" s="1" t="s">
        <v>301</v>
      </c>
    </row>
    <row r="177" spans="1:4" hidden="1" x14ac:dyDescent="0.3">
      <c r="A177">
        <v>175</v>
      </c>
      <c r="B177" t="s">
        <v>302</v>
      </c>
      <c r="C177" t="s">
        <v>103</v>
      </c>
      <c r="D177">
        <v>9.5317134578067602E-3</v>
      </c>
    </row>
    <row r="178" spans="1:4" hidden="1" x14ac:dyDescent="0.3">
      <c r="A178">
        <v>176</v>
      </c>
      <c r="B178" t="s">
        <v>303</v>
      </c>
      <c r="C178" t="s">
        <v>105</v>
      </c>
      <c r="D178">
        <v>1.6919429504323E-3</v>
      </c>
    </row>
    <row r="179" spans="1:4" hidden="1" x14ac:dyDescent="0.3">
      <c r="A179">
        <v>177</v>
      </c>
      <c r="B179" t="s">
        <v>304</v>
      </c>
      <c r="C179" t="s">
        <v>107</v>
      </c>
      <c r="D179">
        <v>1.0916283020814E-2</v>
      </c>
    </row>
    <row r="180" spans="1:4" hidden="1" x14ac:dyDescent="0.3">
      <c r="A180">
        <v>178</v>
      </c>
      <c r="B180" s="1" t="s">
        <v>305</v>
      </c>
      <c r="C180" t="s">
        <v>109</v>
      </c>
      <c r="D180" s="1" t="s">
        <v>306</v>
      </c>
    </row>
    <row r="181" spans="1:4" x14ac:dyDescent="0.3">
      <c r="A181">
        <v>179</v>
      </c>
      <c r="B181" t="s">
        <v>307</v>
      </c>
      <c r="C181" t="s">
        <v>207</v>
      </c>
      <c r="D181">
        <v>148460029.61613101</v>
      </c>
    </row>
    <row r="182" spans="1:4" hidden="1" x14ac:dyDescent="0.3">
      <c r="A182">
        <v>180</v>
      </c>
      <c r="B182" t="s">
        <v>308</v>
      </c>
      <c r="C182" t="s">
        <v>209</v>
      </c>
      <c r="D182">
        <v>191.16559747838099</v>
      </c>
    </row>
    <row r="183" spans="1:4" hidden="1" x14ac:dyDescent="0.3">
      <c r="A183">
        <v>181</v>
      </c>
      <c r="B183" t="s">
        <v>309</v>
      </c>
      <c r="C183" t="s">
        <v>211</v>
      </c>
      <c r="D183">
        <v>96.332052262989805</v>
      </c>
    </row>
    <row r="184" spans="1:4" hidden="1" x14ac:dyDescent="0.3">
      <c r="A184">
        <v>182</v>
      </c>
      <c r="B184" s="1" t="s">
        <v>310</v>
      </c>
      <c r="C184" t="s">
        <v>213</v>
      </c>
      <c r="D184" s="1" t="s">
        <v>311</v>
      </c>
    </row>
    <row r="185" spans="1:4" hidden="1" x14ac:dyDescent="0.3">
      <c r="A185">
        <v>183</v>
      </c>
      <c r="B185" t="s">
        <v>312</v>
      </c>
      <c r="C185" t="s">
        <v>216</v>
      </c>
      <c r="D185">
        <v>79112454.498865202</v>
      </c>
    </row>
    <row r="186" spans="1:4" hidden="1" x14ac:dyDescent="0.3">
      <c r="A186">
        <v>184</v>
      </c>
      <c r="B186" t="s">
        <v>313</v>
      </c>
      <c r="C186" t="s">
        <v>218</v>
      </c>
      <c r="D186">
        <v>39866300.223291703</v>
      </c>
    </row>
    <row r="187" spans="1:4" hidden="1" x14ac:dyDescent="0.3">
      <c r="A187">
        <v>185</v>
      </c>
      <c r="B187" t="s">
        <v>314</v>
      </c>
      <c r="C187" t="s">
        <v>220</v>
      </c>
      <c r="D187">
        <v>29480916.159286398</v>
      </c>
    </row>
    <row r="188" spans="1:4" hidden="1" x14ac:dyDescent="0.3">
      <c r="A188">
        <v>186</v>
      </c>
      <c r="B188" s="1" t="s">
        <v>315</v>
      </c>
      <c r="C188" t="s">
        <v>222</v>
      </c>
      <c r="D188" s="1" t="s">
        <v>316</v>
      </c>
    </row>
    <row r="189" spans="1:4" hidden="1" x14ac:dyDescent="0.3">
      <c r="A189">
        <v>187</v>
      </c>
      <c r="B189" t="s">
        <v>317</v>
      </c>
      <c r="C189" t="s">
        <v>225</v>
      </c>
      <c r="D189">
        <v>99999135.142839193</v>
      </c>
    </row>
    <row r="190" spans="1:4" hidden="1" x14ac:dyDescent="0.3">
      <c r="A190">
        <v>188</v>
      </c>
      <c r="B190" t="s">
        <v>318</v>
      </c>
      <c r="C190" t="s">
        <v>227</v>
      </c>
      <c r="D190">
        <v>241.63571384549101</v>
      </c>
    </row>
    <row r="191" spans="1:4" hidden="1" x14ac:dyDescent="0.3">
      <c r="A191">
        <v>189</v>
      </c>
      <c r="B191" s="1" t="s">
        <v>319</v>
      </c>
      <c r="C191" t="s">
        <v>229</v>
      </c>
      <c r="D191" s="1" t="s">
        <v>320</v>
      </c>
    </row>
    <row r="192" spans="1:4" hidden="1" x14ac:dyDescent="0.3">
      <c r="A192">
        <v>190</v>
      </c>
      <c r="B192" t="s">
        <v>321</v>
      </c>
      <c r="C192" t="s">
        <v>112</v>
      </c>
      <c r="D192">
        <v>-57.354362440199402</v>
      </c>
    </row>
    <row r="193" spans="1:4" hidden="1" x14ac:dyDescent="0.3">
      <c r="A193">
        <v>191</v>
      </c>
      <c r="B193" t="s">
        <v>322</v>
      </c>
      <c r="C193" t="s">
        <v>114</v>
      </c>
      <c r="D193">
        <v>-17.502426585413101</v>
      </c>
    </row>
    <row r="194" spans="1:4" hidden="1" x14ac:dyDescent="0.3">
      <c r="A194">
        <v>192</v>
      </c>
      <c r="B194" s="1" t="s">
        <v>323</v>
      </c>
      <c r="C194" t="s">
        <v>116</v>
      </c>
      <c r="D194" s="1" t="s">
        <v>324</v>
      </c>
    </row>
    <row r="195" spans="1:4" hidden="1" x14ac:dyDescent="0.3">
      <c r="A195">
        <v>193</v>
      </c>
      <c r="B195" t="s">
        <v>325</v>
      </c>
      <c r="C195" t="s">
        <v>119</v>
      </c>
      <c r="D195">
        <v>79112454.498865202</v>
      </c>
    </row>
    <row r="196" spans="1:4" hidden="1" x14ac:dyDescent="0.3">
      <c r="A196">
        <v>194</v>
      </c>
      <c r="B196" t="s">
        <v>326</v>
      </c>
      <c r="C196" t="s">
        <v>121</v>
      </c>
      <c r="D196">
        <v>39866300.223291703</v>
      </c>
    </row>
    <row r="197" spans="1:4" hidden="1" x14ac:dyDescent="0.3">
      <c r="A197">
        <v>195</v>
      </c>
      <c r="B197" s="1" t="s">
        <v>327</v>
      </c>
      <c r="C197" t="s">
        <v>123</v>
      </c>
      <c r="D197" s="1" t="s">
        <v>328</v>
      </c>
    </row>
    <row r="198" spans="1:4" hidden="1" x14ac:dyDescent="0.3">
      <c r="A198">
        <v>196</v>
      </c>
      <c r="B198" t="s">
        <v>329</v>
      </c>
      <c r="C198" t="s">
        <v>126</v>
      </c>
      <c r="D198">
        <v>0.791126456644627</v>
      </c>
    </row>
    <row r="199" spans="1:4" hidden="1" x14ac:dyDescent="0.3">
      <c r="A199">
        <v>197</v>
      </c>
      <c r="B199" t="s">
        <v>330</v>
      </c>
      <c r="C199" t="s">
        <v>128</v>
      </c>
      <c r="D199">
        <v>0.39866396555344003</v>
      </c>
    </row>
    <row r="200" spans="1:4" hidden="1" x14ac:dyDescent="0.3">
      <c r="A200">
        <v>198</v>
      </c>
      <c r="B200" s="1" t="s">
        <v>331</v>
      </c>
      <c r="C200" t="s">
        <v>130</v>
      </c>
      <c r="D200" s="1" t="s">
        <v>332</v>
      </c>
    </row>
    <row r="201" spans="1:4" hidden="1" x14ac:dyDescent="0.3">
      <c r="A201">
        <v>199</v>
      </c>
      <c r="B201" s="1" t="s">
        <v>333</v>
      </c>
      <c r="C201" t="s">
        <v>4</v>
      </c>
      <c r="D201" t="s">
        <v>334</v>
      </c>
    </row>
    <row r="202" spans="1:4" hidden="1" x14ac:dyDescent="0.3">
      <c r="A202">
        <v>200</v>
      </c>
      <c r="B202" t="s">
        <v>335</v>
      </c>
      <c r="C202" t="s">
        <v>7</v>
      </c>
      <c r="D202">
        <v>1826.72</v>
      </c>
    </row>
    <row r="203" spans="1:4" hidden="1" x14ac:dyDescent="0.3">
      <c r="A203">
        <v>201</v>
      </c>
      <c r="B203" s="1" t="s">
        <v>336</v>
      </c>
      <c r="C203" t="s">
        <v>9</v>
      </c>
      <c r="D203" s="1" t="s">
        <v>337</v>
      </c>
    </row>
    <row r="204" spans="1:4" hidden="1" x14ac:dyDescent="0.3">
      <c r="A204">
        <v>202</v>
      </c>
      <c r="B204" t="s">
        <v>338</v>
      </c>
      <c r="C204" t="s">
        <v>14</v>
      </c>
      <c r="D204">
        <v>98.265625</v>
      </c>
    </row>
    <row r="205" spans="1:4" hidden="1" x14ac:dyDescent="0.3">
      <c r="A205">
        <v>203</v>
      </c>
      <c r="B205" t="s">
        <v>339</v>
      </c>
      <c r="C205" t="s">
        <v>16</v>
      </c>
      <c r="D205">
        <v>4.3685131797937498</v>
      </c>
    </row>
    <row r="206" spans="1:4" hidden="1" x14ac:dyDescent="0.3">
      <c r="A206">
        <v>204</v>
      </c>
      <c r="B206" s="1" t="s">
        <v>340</v>
      </c>
      <c r="C206" t="s">
        <v>140</v>
      </c>
      <c r="D206" s="1" t="s">
        <v>341</v>
      </c>
    </row>
    <row r="207" spans="1:4" hidden="1" x14ac:dyDescent="0.3">
      <c r="A207">
        <v>205</v>
      </c>
      <c r="B207" t="s">
        <v>342</v>
      </c>
      <c r="C207" t="s">
        <v>22</v>
      </c>
      <c r="D207">
        <v>72.900000000000006</v>
      </c>
    </row>
    <row r="208" spans="1:4" hidden="1" x14ac:dyDescent="0.3">
      <c r="A208">
        <v>206</v>
      </c>
      <c r="B208" t="s">
        <v>343</v>
      </c>
      <c r="C208" t="s">
        <v>24</v>
      </c>
      <c r="D208">
        <v>6.17468469714695</v>
      </c>
    </row>
    <row r="209" spans="1:4" hidden="1" x14ac:dyDescent="0.3">
      <c r="A209">
        <v>207</v>
      </c>
      <c r="B209" s="1" t="s">
        <v>344</v>
      </c>
      <c r="C209" t="s">
        <v>145</v>
      </c>
      <c r="D209" s="1" t="s">
        <v>345</v>
      </c>
    </row>
    <row r="210" spans="1:4" hidden="1" x14ac:dyDescent="0.3">
      <c r="A210">
        <v>208</v>
      </c>
      <c r="B210" t="s">
        <v>346</v>
      </c>
      <c r="C210" t="s">
        <v>35</v>
      </c>
      <c r="D210">
        <v>0.35074418778015998</v>
      </c>
    </row>
    <row r="211" spans="1:4" hidden="1" x14ac:dyDescent="0.3">
      <c r="A211">
        <v>209</v>
      </c>
      <c r="B211" t="s">
        <v>347</v>
      </c>
      <c r="C211" t="s">
        <v>149</v>
      </c>
      <c r="D211">
        <v>0.70922284306980299</v>
      </c>
    </row>
    <row r="212" spans="1:4" hidden="1" x14ac:dyDescent="0.3">
      <c r="A212">
        <v>210</v>
      </c>
      <c r="B212" s="1" t="s">
        <v>348</v>
      </c>
      <c r="C212" t="s">
        <v>151</v>
      </c>
      <c r="D212" s="1" t="s">
        <v>349</v>
      </c>
    </row>
    <row r="213" spans="1:4" hidden="1" x14ac:dyDescent="0.3">
      <c r="A213">
        <v>211</v>
      </c>
      <c r="B213" t="s">
        <v>350</v>
      </c>
      <c r="C213" t="s">
        <v>30</v>
      </c>
      <c r="D213">
        <v>0.25778055782817</v>
      </c>
    </row>
    <row r="214" spans="1:4" hidden="1" x14ac:dyDescent="0.3">
      <c r="A214">
        <v>212</v>
      </c>
      <c r="B214" t="s">
        <v>351</v>
      </c>
      <c r="C214" t="s">
        <v>32</v>
      </c>
      <c r="D214">
        <v>0.20815734618493101</v>
      </c>
    </row>
    <row r="215" spans="1:4" hidden="1" x14ac:dyDescent="0.3">
      <c r="A215">
        <v>213</v>
      </c>
      <c r="B215" s="1" t="s">
        <v>352</v>
      </c>
      <c r="C215" t="s">
        <v>155</v>
      </c>
      <c r="D215" s="1" t="s">
        <v>353</v>
      </c>
    </row>
    <row r="216" spans="1:4" hidden="1" x14ac:dyDescent="0.3">
      <c r="A216">
        <v>214</v>
      </c>
      <c r="B216" t="s">
        <v>354</v>
      </c>
      <c r="C216" t="s">
        <v>40</v>
      </c>
      <c r="D216">
        <v>0.39147525439166903</v>
      </c>
    </row>
    <row r="217" spans="1:4" hidden="1" x14ac:dyDescent="0.3">
      <c r="A217">
        <v>215</v>
      </c>
      <c r="B217" t="s">
        <v>355</v>
      </c>
      <c r="C217" t="s">
        <v>42</v>
      </c>
      <c r="D217">
        <v>0.201836719532967</v>
      </c>
    </row>
    <row r="218" spans="1:4" hidden="1" x14ac:dyDescent="0.3">
      <c r="A218">
        <v>216</v>
      </c>
      <c r="B218" s="1" t="s">
        <v>356</v>
      </c>
      <c r="C218" t="s">
        <v>159</v>
      </c>
      <c r="D218" s="1" t="s">
        <v>357</v>
      </c>
    </row>
    <row r="219" spans="1:4" hidden="1" x14ac:dyDescent="0.3">
      <c r="A219">
        <v>217</v>
      </c>
      <c r="B219" t="s">
        <v>358</v>
      </c>
      <c r="C219" t="s">
        <v>161</v>
      </c>
      <c r="D219">
        <v>1.00607482554841</v>
      </c>
    </row>
    <row r="220" spans="1:4" hidden="1" x14ac:dyDescent="0.3">
      <c r="A220">
        <v>218</v>
      </c>
      <c r="B220" t="s">
        <v>359</v>
      </c>
      <c r="C220" t="s">
        <v>163</v>
      </c>
      <c r="D220">
        <v>1.0016602724499699</v>
      </c>
    </row>
    <row r="221" spans="1:4" hidden="1" x14ac:dyDescent="0.3">
      <c r="A221">
        <v>219</v>
      </c>
      <c r="B221" s="1" t="s">
        <v>360</v>
      </c>
      <c r="C221" t="s">
        <v>165</v>
      </c>
      <c r="D221" s="1" t="s">
        <v>361</v>
      </c>
    </row>
    <row r="222" spans="1:4" hidden="1" x14ac:dyDescent="0.3">
      <c r="A222">
        <v>220</v>
      </c>
      <c r="B222" t="s">
        <v>362</v>
      </c>
      <c r="C222" t="s">
        <v>168</v>
      </c>
      <c r="D222">
        <v>1.00111470192501</v>
      </c>
    </row>
    <row r="223" spans="1:4" hidden="1" x14ac:dyDescent="0.3">
      <c r="A223">
        <v>221</v>
      </c>
      <c r="B223" t="s">
        <v>363</v>
      </c>
      <c r="C223" t="s">
        <v>170</v>
      </c>
      <c r="D223">
        <v>1.00026389654295</v>
      </c>
    </row>
    <row r="224" spans="1:4" hidden="1" x14ac:dyDescent="0.3">
      <c r="A224">
        <v>222</v>
      </c>
      <c r="B224" s="1" t="s">
        <v>364</v>
      </c>
      <c r="C224" t="s">
        <v>172</v>
      </c>
      <c r="D224" s="1" t="s">
        <v>365</v>
      </c>
    </row>
    <row r="225" spans="1:4" hidden="1" x14ac:dyDescent="0.3">
      <c r="A225">
        <v>223</v>
      </c>
      <c r="B225" s="1" t="s">
        <v>366</v>
      </c>
      <c r="C225" t="s">
        <v>55</v>
      </c>
      <c r="D225" s="1" t="s">
        <v>367</v>
      </c>
    </row>
    <row r="226" spans="1:4" hidden="1" x14ac:dyDescent="0.3">
      <c r="A226">
        <v>224</v>
      </c>
      <c r="B226" s="1" t="s">
        <v>368</v>
      </c>
      <c r="C226" t="s">
        <v>52</v>
      </c>
      <c r="D226" s="1" t="s">
        <v>369</v>
      </c>
    </row>
    <row r="227" spans="1:4" hidden="1" x14ac:dyDescent="0.3">
      <c r="A227">
        <v>225</v>
      </c>
      <c r="B227" s="1" t="s">
        <v>370</v>
      </c>
      <c r="C227" t="s">
        <v>58</v>
      </c>
      <c r="D227" s="1" t="s">
        <v>371</v>
      </c>
    </row>
    <row r="228" spans="1:4" hidden="1" x14ac:dyDescent="0.3">
      <c r="A228">
        <v>226</v>
      </c>
      <c r="B228" t="s">
        <v>372</v>
      </c>
      <c r="C228" t="s">
        <v>61</v>
      </c>
      <c r="D228">
        <v>148710897.404282</v>
      </c>
    </row>
    <row r="229" spans="1:4" hidden="1" x14ac:dyDescent="0.3">
      <c r="A229">
        <v>227</v>
      </c>
      <c r="B229" t="s">
        <v>373</v>
      </c>
      <c r="C229" t="s">
        <v>63</v>
      </c>
      <c r="D229">
        <v>79593048.858652696</v>
      </c>
    </row>
    <row r="230" spans="1:4" hidden="1" x14ac:dyDescent="0.3">
      <c r="A230">
        <v>228</v>
      </c>
      <c r="B230" t="s">
        <v>374</v>
      </c>
      <c r="C230" t="s">
        <v>65</v>
      </c>
      <c r="D230">
        <v>39932489.143234797</v>
      </c>
    </row>
    <row r="231" spans="1:4" hidden="1" x14ac:dyDescent="0.3">
      <c r="A231">
        <v>229</v>
      </c>
      <c r="B231" s="1" t="s">
        <v>375</v>
      </c>
      <c r="C231" t="s">
        <v>67</v>
      </c>
      <c r="D231" s="1" t="s">
        <v>376</v>
      </c>
    </row>
    <row r="232" spans="1:4" hidden="1" x14ac:dyDescent="0.3">
      <c r="A232">
        <v>230</v>
      </c>
      <c r="B232" s="1" t="s">
        <v>377</v>
      </c>
      <c r="C232" t="s">
        <v>70</v>
      </c>
      <c r="D232" s="1" t="s">
        <v>378</v>
      </c>
    </row>
    <row r="233" spans="1:4" hidden="1" x14ac:dyDescent="0.3">
      <c r="A233">
        <v>231</v>
      </c>
      <c r="B233" t="s">
        <v>379</v>
      </c>
      <c r="C233" t="s">
        <v>73</v>
      </c>
      <c r="D233">
        <v>1.0000062322533001</v>
      </c>
    </row>
    <row r="234" spans="1:4" hidden="1" x14ac:dyDescent="0.3">
      <c r="A234">
        <v>232</v>
      </c>
      <c r="B234" t="s">
        <v>74</v>
      </c>
      <c r="C234" t="s">
        <v>75</v>
      </c>
      <c r="D234">
        <v>2.7397260273972599E-3</v>
      </c>
    </row>
    <row r="235" spans="1:4" hidden="1" x14ac:dyDescent="0.3">
      <c r="A235">
        <v>233</v>
      </c>
      <c r="B235" t="s">
        <v>76</v>
      </c>
      <c r="C235" t="s">
        <v>77</v>
      </c>
      <c r="D235">
        <v>0</v>
      </c>
    </row>
    <row r="236" spans="1:4" hidden="1" x14ac:dyDescent="0.3">
      <c r="A236">
        <v>234</v>
      </c>
      <c r="B236" t="s">
        <v>78</v>
      </c>
      <c r="C236" t="s">
        <v>79</v>
      </c>
      <c r="D236">
        <v>0</v>
      </c>
    </row>
    <row r="237" spans="1:4" hidden="1" x14ac:dyDescent="0.3">
      <c r="A237">
        <v>235</v>
      </c>
      <c r="B237" s="1" t="s">
        <v>380</v>
      </c>
      <c r="C237" t="s">
        <v>81</v>
      </c>
      <c r="D237" s="1" t="s">
        <v>381</v>
      </c>
    </row>
    <row r="238" spans="1:4" hidden="1" x14ac:dyDescent="0.3">
      <c r="A238">
        <v>236</v>
      </c>
      <c r="B238" t="s">
        <v>382</v>
      </c>
      <c r="C238" t="s">
        <v>84</v>
      </c>
      <c r="D238">
        <v>0.99999470336761298</v>
      </c>
    </row>
    <row r="239" spans="1:4" hidden="1" x14ac:dyDescent="0.3">
      <c r="A239">
        <v>237</v>
      </c>
      <c r="B239" s="1" t="s">
        <v>383</v>
      </c>
      <c r="C239" t="s">
        <v>86</v>
      </c>
      <c r="D239" s="1" t="s">
        <v>384</v>
      </c>
    </row>
    <row r="240" spans="1:4" hidden="1" x14ac:dyDescent="0.3">
      <c r="A240">
        <v>238</v>
      </c>
      <c r="B240" t="s">
        <v>385</v>
      </c>
      <c r="C240" t="s">
        <v>89</v>
      </c>
      <c r="D240">
        <v>100000529.666044</v>
      </c>
    </row>
    <row r="241" spans="1:4" hidden="1" x14ac:dyDescent="0.3">
      <c r="A241">
        <v>239</v>
      </c>
      <c r="B241" s="1" t="s">
        <v>386</v>
      </c>
      <c r="C241" t="s">
        <v>91</v>
      </c>
      <c r="D241" s="1" t="s">
        <v>320</v>
      </c>
    </row>
    <row r="242" spans="1:4" hidden="1" x14ac:dyDescent="0.3">
      <c r="A242">
        <v>240</v>
      </c>
      <c r="B242" t="s">
        <v>387</v>
      </c>
      <c r="C242" t="s">
        <v>94</v>
      </c>
      <c r="D242">
        <v>79593048.858652696</v>
      </c>
    </row>
    <row r="243" spans="1:4" hidden="1" x14ac:dyDescent="0.3">
      <c r="A243">
        <v>241</v>
      </c>
      <c r="B243" t="s">
        <v>388</v>
      </c>
      <c r="C243" t="s">
        <v>96</v>
      </c>
      <c r="D243">
        <v>39932489.143234797</v>
      </c>
    </row>
    <row r="244" spans="1:4" hidden="1" x14ac:dyDescent="0.3">
      <c r="A244">
        <v>242</v>
      </c>
      <c r="B244" t="s">
        <v>389</v>
      </c>
      <c r="C244" t="s">
        <v>98</v>
      </c>
      <c r="D244">
        <v>29185359.402394898</v>
      </c>
    </row>
    <row r="245" spans="1:4" hidden="1" x14ac:dyDescent="0.3">
      <c r="A245">
        <v>243</v>
      </c>
      <c r="B245" s="1" t="s">
        <v>390</v>
      </c>
      <c r="C245" t="s">
        <v>100</v>
      </c>
      <c r="D245" s="1" t="s">
        <v>391</v>
      </c>
    </row>
    <row r="246" spans="1:4" hidden="1" x14ac:dyDescent="0.3">
      <c r="A246">
        <v>244</v>
      </c>
      <c r="B246" t="s">
        <v>392</v>
      </c>
      <c r="C246" t="s">
        <v>103</v>
      </c>
      <c r="D246">
        <v>9.58211343111969E-3</v>
      </c>
    </row>
    <row r="247" spans="1:4" hidden="1" x14ac:dyDescent="0.3">
      <c r="A247">
        <v>245</v>
      </c>
      <c r="B247" t="s">
        <v>393</v>
      </c>
      <c r="C247" t="s">
        <v>105</v>
      </c>
      <c r="D247">
        <v>1.70267685386952E-3</v>
      </c>
    </row>
    <row r="248" spans="1:4" hidden="1" x14ac:dyDescent="0.3">
      <c r="A248">
        <v>246</v>
      </c>
      <c r="B248" t="s">
        <v>394</v>
      </c>
      <c r="C248" t="s">
        <v>107</v>
      </c>
      <c r="D248">
        <v>1.09612018628817E-2</v>
      </c>
    </row>
    <row r="249" spans="1:4" hidden="1" x14ac:dyDescent="0.3">
      <c r="A249">
        <v>247</v>
      </c>
      <c r="B249" s="1" t="s">
        <v>395</v>
      </c>
      <c r="C249" t="s">
        <v>109</v>
      </c>
      <c r="D249" s="1" t="s">
        <v>396</v>
      </c>
    </row>
    <row r="250" spans="1:4" x14ac:dyDescent="0.3">
      <c r="A250">
        <v>248</v>
      </c>
      <c r="B250" t="s">
        <v>397</v>
      </c>
      <c r="C250" t="s">
        <v>207</v>
      </c>
      <c r="D250">
        <v>148710498.01782101</v>
      </c>
    </row>
    <row r="251" spans="1:4" hidden="1" x14ac:dyDescent="0.3">
      <c r="A251">
        <v>249</v>
      </c>
      <c r="B251" t="s">
        <v>398</v>
      </c>
      <c r="C251" t="s">
        <v>209</v>
      </c>
      <c r="D251">
        <v>917.609886747921</v>
      </c>
    </row>
    <row r="252" spans="1:4" hidden="1" x14ac:dyDescent="0.3">
      <c r="A252">
        <v>250</v>
      </c>
      <c r="B252" t="s">
        <v>399</v>
      </c>
      <c r="C252" t="s">
        <v>211</v>
      </c>
      <c r="D252">
        <v>460.37353426674599</v>
      </c>
    </row>
    <row r="253" spans="1:4" hidden="1" x14ac:dyDescent="0.3">
      <c r="A253">
        <v>251</v>
      </c>
      <c r="B253" s="1" t="s">
        <v>400</v>
      </c>
      <c r="C253" t="s">
        <v>213</v>
      </c>
      <c r="D253" s="1" t="s">
        <v>401</v>
      </c>
    </row>
    <row r="254" spans="1:4" hidden="1" x14ac:dyDescent="0.3">
      <c r="A254">
        <v>252</v>
      </c>
      <c r="B254" t="s">
        <v>402</v>
      </c>
      <c r="C254" t="s">
        <v>216</v>
      </c>
      <c r="D254">
        <v>79591822.722612604</v>
      </c>
    </row>
    <row r="255" spans="1:4" hidden="1" x14ac:dyDescent="0.3">
      <c r="A255">
        <v>253</v>
      </c>
      <c r="B255" t="s">
        <v>403</v>
      </c>
      <c r="C255" t="s">
        <v>218</v>
      </c>
      <c r="D255">
        <v>39931968.0996501</v>
      </c>
    </row>
    <row r="256" spans="1:4" hidden="1" x14ac:dyDescent="0.3">
      <c r="A256">
        <v>254</v>
      </c>
      <c r="B256" t="s">
        <v>404</v>
      </c>
      <c r="C256" t="s">
        <v>220</v>
      </c>
      <c r="D256">
        <v>29184992.7399102</v>
      </c>
    </row>
    <row r="257" spans="1:4" hidden="1" x14ac:dyDescent="0.3">
      <c r="A257">
        <v>255</v>
      </c>
      <c r="B257" s="1" t="s">
        <v>405</v>
      </c>
      <c r="C257" t="s">
        <v>222</v>
      </c>
      <c r="D257" s="1" t="s">
        <v>406</v>
      </c>
    </row>
    <row r="258" spans="1:4" hidden="1" x14ac:dyDescent="0.3">
      <c r="A258">
        <v>256</v>
      </c>
      <c r="B258" t="s">
        <v>407</v>
      </c>
      <c r="C258" t="s">
        <v>225</v>
      </c>
      <c r="D258">
        <v>99999376.778553098</v>
      </c>
    </row>
    <row r="259" spans="1:4" hidden="1" x14ac:dyDescent="0.3">
      <c r="A259">
        <v>257</v>
      </c>
      <c r="B259" t="s">
        <v>408</v>
      </c>
      <c r="C259" t="s">
        <v>227</v>
      </c>
      <c r="D259">
        <v>1152.88749097287</v>
      </c>
    </row>
    <row r="260" spans="1:4" hidden="1" x14ac:dyDescent="0.3">
      <c r="A260">
        <v>258</v>
      </c>
      <c r="B260" s="1" t="s">
        <v>409</v>
      </c>
      <c r="C260" t="s">
        <v>229</v>
      </c>
      <c r="D260" s="1" t="s">
        <v>410</v>
      </c>
    </row>
    <row r="261" spans="1:4" hidden="1" x14ac:dyDescent="0.3">
      <c r="A261">
        <v>259</v>
      </c>
      <c r="B261" t="s">
        <v>411</v>
      </c>
      <c r="C261" t="s">
        <v>112</v>
      </c>
      <c r="D261">
        <v>-308.52615336923998</v>
      </c>
    </row>
    <row r="262" spans="1:4" hidden="1" x14ac:dyDescent="0.3">
      <c r="A262">
        <v>260</v>
      </c>
      <c r="B262" t="s">
        <v>412</v>
      </c>
      <c r="C262" t="s">
        <v>114</v>
      </c>
      <c r="D262">
        <v>-60.670050503617702</v>
      </c>
    </row>
    <row r="263" spans="1:4" hidden="1" x14ac:dyDescent="0.3">
      <c r="A263">
        <v>261</v>
      </c>
      <c r="B263" s="1" t="s">
        <v>413</v>
      </c>
      <c r="C263" t="s">
        <v>116</v>
      </c>
      <c r="D263" s="1" t="s">
        <v>414</v>
      </c>
    </row>
    <row r="264" spans="1:4" hidden="1" x14ac:dyDescent="0.3">
      <c r="A264">
        <v>262</v>
      </c>
      <c r="B264" t="s">
        <v>415</v>
      </c>
      <c r="C264" t="s">
        <v>119</v>
      </c>
      <c r="D264">
        <v>79591822.722612604</v>
      </c>
    </row>
    <row r="265" spans="1:4" hidden="1" x14ac:dyDescent="0.3">
      <c r="A265">
        <v>263</v>
      </c>
      <c r="B265" t="s">
        <v>416</v>
      </c>
      <c r="C265" t="s">
        <v>121</v>
      </c>
      <c r="D265">
        <v>39931968.0996501</v>
      </c>
    </row>
    <row r="266" spans="1:4" hidden="1" x14ac:dyDescent="0.3">
      <c r="A266">
        <v>264</v>
      </c>
      <c r="B266" s="1" t="s">
        <v>417</v>
      </c>
      <c r="C266" t="s">
        <v>123</v>
      </c>
      <c r="D266" s="1" t="s">
        <v>418</v>
      </c>
    </row>
    <row r="267" spans="1:4" hidden="1" x14ac:dyDescent="0.3">
      <c r="A267">
        <v>265</v>
      </c>
      <c r="B267" t="s">
        <v>419</v>
      </c>
      <c r="C267" t="s">
        <v>126</v>
      </c>
      <c r="D267">
        <v>0.79592740332499301</v>
      </c>
    </row>
    <row r="268" spans="1:4" hidden="1" x14ac:dyDescent="0.3">
      <c r="A268">
        <v>266</v>
      </c>
      <c r="B268" t="s">
        <v>420</v>
      </c>
      <c r="C268" t="s">
        <v>128</v>
      </c>
      <c r="D268">
        <v>0.399324284731843</v>
      </c>
    </row>
    <row r="269" spans="1:4" hidden="1" x14ac:dyDescent="0.3">
      <c r="A269">
        <v>267</v>
      </c>
      <c r="B269" s="1" t="s">
        <v>421</v>
      </c>
      <c r="C269" t="s">
        <v>130</v>
      </c>
      <c r="D269" s="1" t="s">
        <v>422</v>
      </c>
    </row>
    <row r="270" spans="1:4" hidden="1" x14ac:dyDescent="0.3">
      <c r="A270">
        <v>268</v>
      </c>
      <c r="B270" s="1" t="s">
        <v>423</v>
      </c>
      <c r="C270" t="s">
        <v>4</v>
      </c>
      <c r="D270" t="s">
        <v>424</v>
      </c>
    </row>
    <row r="271" spans="1:4" hidden="1" x14ac:dyDescent="0.3">
      <c r="A271">
        <v>269</v>
      </c>
      <c r="B271" t="s">
        <v>425</v>
      </c>
      <c r="C271" t="s">
        <v>7</v>
      </c>
      <c r="D271">
        <v>1843.43</v>
      </c>
    </row>
    <row r="272" spans="1:4" hidden="1" x14ac:dyDescent="0.3">
      <c r="A272">
        <v>270</v>
      </c>
      <c r="B272" s="1" t="s">
        <v>426</v>
      </c>
      <c r="C272" t="s">
        <v>9</v>
      </c>
      <c r="D272" s="1" t="s">
        <v>427</v>
      </c>
    </row>
    <row r="273" spans="1:4" hidden="1" x14ac:dyDescent="0.3">
      <c r="A273">
        <v>271</v>
      </c>
      <c r="B273" t="s">
        <v>428</v>
      </c>
      <c r="C273" t="s">
        <v>14</v>
      </c>
      <c r="D273">
        <v>98.328125</v>
      </c>
    </row>
    <row r="274" spans="1:4" hidden="1" x14ac:dyDescent="0.3">
      <c r="A274">
        <v>272</v>
      </c>
      <c r="B274" t="s">
        <v>429</v>
      </c>
      <c r="C274" t="s">
        <v>16</v>
      </c>
      <c r="D274">
        <v>4.3708090213223301</v>
      </c>
    </row>
    <row r="275" spans="1:4" hidden="1" x14ac:dyDescent="0.3">
      <c r="A275">
        <v>273</v>
      </c>
      <c r="B275" s="1" t="s">
        <v>430</v>
      </c>
      <c r="C275" t="s">
        <v>140</v>
      </c>
      <c r="D275" s="1" t="s">
        <v>431</v>
      </c>
    </row>
    <row r="276" spans="1:4" hidden="1" x14ac:dyDescent="0.3">
      <c r="A276">
        <v>274</v>
      </c>
      <c r="B276" t="s">
        <v>432</v>
      </c>
      <c r="C276" t="s">
        <v>22</v>
      </c>
      <c r="D276">
        <v>73.2</v>
      </c>
    </row>
    <row r="277" spans="1:4" hidden="1" x14ac:dyDescent="0.3">
      <c r="A277">
        <v>275</v>
      </c>
      <c r="B277" t="s">
        <v>433</v>
      </c>
      <c r="C277" t="s">
        <v>24</v>
      </c>
      <c r="D277">
        <v>6.1892730372402402</v>
      </c>
    </row>
    <row r="278" spans="1:4" hidden="1" x14ac:dyDescent="0.3">
      <c r="A278">
        <v>276</v>
      </c>
      <c r="B278" s="1" t="s">
        <v>434</v>
      </c>
      <c r="C278" t="s">
        <v>145</v>
      </c>
      <c r="D278" s="1" t="s">
        <v>435</v>
      </c>
    </row>
    <row r="279" spans="1:4" hidden="1" x14ac:dyDescent="0.3">
      <c r="A279">
        <v>277</v>
      </c>
      <c r="B279" t="s">
        <v>436</v>
      </c>
      <c r="C279" t="s">
        <v>35</v>
      </c>
      <c r="D279">
        <v>-2.4005206455170298</v>
      </c>
    </row>
    <row r="280" spans="1:4" hidden="1" x14ac:dyDescent="0.3">
      <c r="A280">
        <v>278</v>
      </c>
      <c r="B280" t="s">
        <v>437</v>
      </c>
      <c r="C280" t="s">
        <v>149</v>
      </c>
      <c r="D280">
        <v>0.70571507920240495</v>
      </c>
    </row>
    <row r="281" spans="1:4" hidden="1" x14ac:dyDescent="0.3">
      <c r="A281">
        <v>279</v>
      </c>
      <c r="B281" s="1" t="s">
        <v>438</v>
      </c>
      <c r="C281" t="s">
        <v>151</v>
      </c>
      <c r="D281" s="1" t="s">
        <v>439</v>
      </c>
    </row>
    <row r="282" spans="1:4" hidden="1" x14ac:dyDescent="0.3">
      <c r="A282">
        <v>280</v>
      </c>
      <c r="B282" t="s">
        <v>440</v>
      </c>
      <c r="C282" t="s">
        <v>30</v>
      </c>
      <c r="D282">
        <v>1.39013305300892</v>
      </c>
    </row>
    <row r="283" spans="1:4" hidden="1" x14ac:dyDescent="0.3">
      <c r="A283">
        <v>281</v>
      </c>
      <c r="B283" t="s">
        <v>441</v>
      </c>
      <c r="C283" t="s">
        <v>32</v>
      </c>
      <c r="D283">
        <v>0.209563828329799</v>
      </c>
    </row>
    <row r="284" spans="1:4" hidden="1" x14ac:dyDescent="0.3">
      <c r="A284">
        <v>282</v>
      </c>
      <c r="B284" s="1" t="s">
        <v>442</v>
      </c>
      <c r="C284" t="s">
        <v>155</v>
      </c>
      <c r="D284" s="1" t="s">
        <v>443</v>
      </c>
    </row>
    <row r="285" spans="1:4" hidden="1" x14ac:dyDescent="0.3">
      <c r="A285">
        <v>283</v>
      </c>
      <c r="B285" t="s">
        <v>444</v>
      </c>
      <c r="C285" t="s">
        <v>40</v>
      </c>
      <c r="D285">
        <v>2.0103875925081098</v>
      </c>
    </row>
    <row r="286" spans="1:4" hidden="1" x14ac:dyDescent="0.3">
      <c r="A286">
        <v>284</v>
      </c>
      <c r="B286" t="s">
        <v>445</v>
      </c>
      <c r="C286" t="s">
        <v>42</v>
      </c>
      <c r="D286">
        <v>0.207438627009816</v>
      </c>
    </row>
    <row r="287" spans="1:4" hidden="1" x14ac:dyDescent="0.3">
      <c r="A287">
        <v>285</v>
      </c>
      <c r="B287" s="1" t="s">
        <v>446</v>
      </c>
      <c r="C287" t="s">
        <v>159</v>
      </c>
      <c r="D287" s="1" t="s">
        <v>447</v>
      </c>
    </row>
    <row r="288" spans="1:4" hidden="1" x14ac:dyDescent="0.3">
      <c r="A288">
        <v>286</v>
      </c>
      <c r="B288" t="s">
        <v>448</v>
      </c>
      <c r="C288" t="s">
        <v>161</v>
      </c>
      <c r="D288">
        <v>1.0091475431374199</v>
      </c>
    </row>
    <row r="289" spans="1:4" hidden="1" x14ac:dyDescent="0.3">
      <c r="A289">
        <v>287</v>
      </c>
      <c r="B289" t="s">
        <v>449</v>
      </c>
      <c r="C289" t="s">
        <v>163</v>
      </c>
      <c r="D289">
        <v>1.00063132835407</v>
      </c>
    </row>
    <row r="290" spans="1:4" hidden="1" x14ac:dyDescent="0.3">
      <c r="A290">
        <v>288</v>
      </c>
      <c r="B290" s="1" t="s">
        <v>450</v>
      </c>
      <c r="C290" t="s">
        <v>165</v>
      </c>
      <c r="D290" s="1" t="s">
        <v>451</v>
      </c>
    </row>
    <row r="291" spans="1:4" hidden="1" x14ac:dyDescent="0.3">
      <c r="A291">
        <v>289</v>
      </c>
      <c r="B291" t="s">
        <v>452</v>
      </c>
      <c r="C291" t="s">
        <v>168</v>
      </c>
      <c r="D291">
        <v>0.99794774339599901</v>
      </c>
    </row>
    <row r="292" spans="1:4" hidden="1" x14ac:dyDescent="0.3">
      <c r="A292">
        <v>290</v>
      </c>
      <c r="B292" t="s">
        <v>453</v>
      </c>
      <c r="C292" t="s">
        <v>170</v>
      </c>
      <c r="D292">
        <v>1.0011641547761201</v>
      </c>
    </row>
    <row r="293" spans="1:4" hidden="1" x14ac:dyDescent="0.3">
      <c r="A293">
        <v>291</v>
      </c>
      <c r="B293" s="1" t="s">
        <v>454</v>
      </c>
      <c r="C293" t="s">
        <v>172</v>
      </c>
      <c r="D293" s="1" t="s">
        <v>455</v>
      </c>
    </row>
    <row r="294" spans="1:4" hidden="1" x14ac:dyDescent="0.3">
      <c r="A294">
        <v>292</v>
      </c>
      <c r="B294" s="1" t="s">
        <v>456</v>
      </c>
      <c r="C294" t="s">
        <v>55</v>
      </c>
      <c r="D294" s="1" t="s">
        <v>457</v>
      </c>
    </row>
    <row r="295" spans="1:4" hidden="1" x14ac:dyDescent="0.3">
      <c r="A295">
        <v>293</v>
      </c>
      <c r="B295" s="1" t="s">
        <v>458</v>
      </c>
      <c r="C295" t="s">
        <v>52</v>
      </c>
      <c r="D295" s="1" t="s">
        <v>459</v>
      </c>
    </row>
    <row r="296" spans="1:4" hidden="1" x14ac:dyDescent="0.3">
      <c r="A296">
        <v>294</v>
      </c>
      <c r="B296" s="1" t="s">
        <v>460</v>
      </c>
      <c r="C296" t="s">
        <v>58</v>
      </c>
      <c r="D296" s="1" t="s">
        <v>461</v>
      </c>
    </row>
    <row r="297" spans="1:4" hidden="1" x14ac:dyDescent="0.3">
      <c r="A297">
        <v>295</v>
      </c>
      <c r="B297" t="s">
        <v>462</v>
      </c>
      <c r="C297" t="s">
        <v>61</v>
      </c>
      <c r="D297">
        <v>149578172.07227999</v>
      </c>
    </row>
    <row r="298" spans="1:4" hidden="1" x14ac:dyDescent="0.3">
      <c r="A298">
        <v>296</v>
      </c>
      <c r="B298" t="s">
        <v>463</v>
      </c>
      <c r="C298" t="s">
        <v>63</v>
      </c>
      <c r="D298">
        <v>80319892.354354098</v>
      </c>
    </row>
    <row r="299" spans="1:4" hidden="1" x14ac:dyDescent="0.3">
      <c r="A299">
        <v>297</v>
      </c>
      <c r="B299" t="s">
        <v>464</v>
      </c>
      <c r="C299" t="s">
        <v>65</v>
      </c>
      <c r="D299">
        <v>39957178.2833452</v>
      </c>
    </row>
    <row r="300" spans="1:4" hidden="1" x14ac:dyDescent="0.3">
      <c r="A300">
        <v>298</v>
      </c>
      <c r="B300" s="1" t="s">
        <v>465</v>
      </c>
      <c r="C300" t="s">
        <v>67</v>
      </c>
      <c r="D300" s="1" t="s">
        <v>466</v>
      </c>
    </row>
    <row r="301" spans="1:4" hidden="1" x14ac:dyDescent="0.3">
      <c r="A301">
        <v>299</v>
      </c>
      <c r="B301" s="1" t="s">
        <v>467</v>
      </c>
      <c r="C301" t="s">
        <v>70</v>
      </c>
      <c r="D301" s="1" t="s">
        <v>468</v>
      </c>
    </row>
    <row r="302" spans="1:4" hidden="1" x14ac:dyDescent="0.3">
      <c r="A302">
        <v>300</v>
      </c>
      <c r="B302" t="s">
        <v>469</v>
      </c>
      <c r="C302" t="s">
        <v>73</v>
      </c>
      <c r="D302">
        <v>0.99999470336761298</v>
      </c>
    </row>
    <row r="303" spans="1:4" hidden="1" x14ac:dyDescent="0.3">
      <c r="A303">
        <v>301</v>
      </c>
      <c r="B303" t="s">
        <v>74</v>
      </c>
      <c r="C303" t="s">
        <v>75</v>
      </c>
      <c r="D303">
        <v>2.7397260273972599E-3</v>
      </c>
    </row>
    <row r="304" spans="1:4" hidden="1" x14ac:dyDescent="0.3">
      <c r="A304">
        <v>302</v>
      </c>
      <c r="B304" t="s">
        <v>76</v>
      </c>
      <c r="C304" t="s">
        <v>77</v>
      </c>
      <c r="D304">
        <v>0</v>
      </c>
    </row>
    <row r="305" spans="1:4" hidden="1" x14ac:dyDescent="0.3">
      <c r="A305">
        <v>303</v>
      </c>
      <c r="B305" t="s">
        <v>78</v>
      </c>
      <c r="C305" t="s">
        <v>79</v>
      </c>
      <c r="D305">
        <v>0</v>
      </c>
    </row>
    <row r="306" spans="1:4" hidden="1" x14ac:dyDescent="0.3">
      <c r="A306">
        <v>304</v>
      </c>
      <c r="B306" s="1" t="s">
        <v>470</v>
      </c>
      <c r="C306" t="s">
        <v>81</v>
      </c>
      <c r="D306" s="1" t="s">
        <v>471</v>
      </c>
    </row>
    <row r="307" spans="1:4" hidden="1" x14ac:dyDescent="0.3">
      <c r="A307">
        <v>305</v>
      </c>
      <c r="B307" t="s">
        <v>472</v>
      </c>
      <c r="C307" t="s">
        <v>84</v>
      </c>
      <c r="D307">
        <v>0.99999565802741497</v>
      </c>
    </row>
    <row r="308" spans="1:4" hidden="1" x14ac:dyDescent="0.3">
      <c r="A308">
        <v>306</v>
      </c>
      <c r="B308" s="1" t="s">
        <v>473</v>
      </c>
      <c r="C308" t="s">
        <v>86</v>
      </c>
      <c r="D308" s="1" t="s">
        <v>474</v>
      </c>
    </row>
    <row r="309" spans="1:4" hidden="1" x14ac:dyDescent="0.3">
      <c r="A309">
        <v>307</v>
      </c>
      <c r="B309" t="s">
        <v>475</v>
      </c>
      <c r="C309" t="s">
        <v>89</v>
      </c>
      <c r="D309">
        <v>100000434.19914301</v>
      </c>
    </row>
    <row r="310" spans="1:4" hidden="1" x14ac:dyDescent="0.3">
      <c r="A310">
        <v>308</v>
      </c>
      <c r="B310" s="1" t="s">
        <v>476</v>
      </c>
      <c r="C310" t="s">
        <v>91</v>
      </c>
      <c r="D310" s="1" t="s">
        <v>410</v>
      </c>
    </row>
    <row r="311" spans="1:4" hidden="1" x14ac:dyDescent="0.3">
      <c r="A311">
        <v>309</v>
      </c>
      <c r="B311" t="s">
        <v>477</v>
      </c>
      <c r="C311" t="s">
        <v>94</v>
      </c>
      <c r="D311">
        <v>80319892.354354098</v>
      </c>
    </row>
    <row r="312" spans="1:4" hidden="1" x14ac:dyDescent="0.3">
      <c r="A312">
        <v>310</v>
      </c>
      <c r="B312" t="s">
        <v>478</v>
      </c>
      <c r="C312" t="s">
        <v>96</v>
      </c>
      <c r="D312">
        <v>39957178.2833452</v>
      </c>
    </row>
    <row r="313" spans="1:4" hidden="1" x14ac:dyDescent="0.3">
      <c r="A313">
        <v>311</v>
      </c>
      <c r="B313" t="s">
        <v>479</v>
      </c>
      <c r="C313" t="s">
        <v>98</v>
      </c>
      <c r="D313">
        <v>29301101.4345809</v>
      </c>
    </row>
    <row r="314" spans="1:4" hidden="1" x14ac:dyDescent="0.3">
      <c r="A314">
        <v>312</v>
      </c>
      <c r="B314" s="1" t="s">
        <v>480</v>
      </c>
      <c r="C314" t="s">
        <v>100</v>
      </c>
      <c r="D314" s="1" t="s">
        <v>481</v>
      </c>
    </row>
    <row r="315" spans="1:4" hidden="1" x14ac:dyDescent="0.3">
      <c r="A315">
        <v>313</v>
      </c>
      <c r="B315" t="s">
        <v>482</v>
      </c>
      <c r="C315" t="s">
        <v>103</v>
      </c>
      <c r="D315">
        <v>9.4905697931100402E-3</v>
      </c>
    </row>
    <row r="316" spans="1:4" hidden="1" x14ac:dyDescent="0.3">
      <c r="A316">
        <v>314</v>
      </c>
      <c r="B316" t="s">
        <v>483</v>
      </c>
      <c r="C316" t="s">
        <v>105</v>
      </c>
      <c r="D316">
        <v>1.70458942074556E-3</v>
      </c>
    </row>
    <row r="317" spans="1:4" hidden="1" x14ac:dyDescent="0.3">
      <c r="A317">
        <v>315</v>
      </c>
      <c r="B317" t="s">
        <v>484</v>
      </c>
      <c r="C317" t="s">
        <v>107</v>
      </c>
      <c r="D317">
        <v>1.0938201906359199E-2</v>
      </c>
    </row>
    <row r="318" spans="1:4" hidden="1" x14ac:dyDescent="0.3">
      <c r="A318">
        <v>316</v>
      </c>
      <c r="B318" s="1" t="s">
        <v>485</v>
      </c>
      <c r="C318" t="s">
        <v>109</v>
      </c>
      <c r="D318" s="1" t="s">
        <v>486</v>
      </c>
    </row>
    <row r="319" spans="1:4" x14ac:dyDescent="0.3">
      <c r="A319">
        <v>317</v>
      </c>
      <c r="B319" t="s">
        <v>487</v>
      </c>
      <c r="C319" t="s">
        <v>207</v>
      </c>
      <c r="D319">
        <v>149578205.123954</v>
      </c>
    </row>
    <row r="320" spans="1:4" hidden="1" x14ac:dyDescent="0.3">
      <c r="A320">
        <v>318</v>
      </c>
      <c r="B320" t="s">
        <v>488</v>
      </c>
      <c r="C320" t="s">
        <v>209</v>
      </c>
      <c r="D320">
        <v>-76.678600537950601</v>
      </c>
    </row>
    <row r="321" spans="1:4" hidden="1" x14ac:dyDescent="0.3">
      <c r="A321">
        <v>319</v>
      </c>
      <c r="B321" t="s">
        <v>489</v>
      </c>
      <c r="C321" t="s">
        <v>211</v>
      </c>
      <c r="D321">
        <v>-38.145720416462801</v>
      </c>
    </row>
    <row r="322" spans="1:4" hidden="1" x14ac:dyDescent="0.3">
      <c r="A322">
        <v>320</v>
      </c>
      <c r="B322" s="1" t="s">
        <v>490</v>
      </c>
      <c r="C322" t="s">
        <v>213</v>
      </c>
      <c r="D322" s="1" t="s">
        <v>491</v>
      </c>
    </row>
    <row r="323" spans="1:4" hidden="1" x14ac:dyDescent="0.3">
      <c r="A323">
        <v>321</v>
      </c>
      <c r="B323" t="s">
        <v>492</v>
      </c>
      <c r="C323" t="s">
        <v>216</v>
      </c>
      <c r="D323">
        <v>80319991.941129103</v>
      </c>
    </row>
    <row r="324" spans="1:4" hidden="1" x14ac:dyDescent="0.3">
      <c r="A324">
        <v>322</v>
      </c>
      <c r="B324" t="s">
        <v>493</v>
      </c>
      <c r="C324" t="s">
        <v>218</v>
      </c>
      <c r="D324">
        <v>39957223.201047502</v>
      </c>
    </row>
    <row r="325" spans="1:4" hidden="1" x14ac:dyDescent="0.3">
      <c r="A325">
        <v>323</v>
      </c>
      <c r="B325" t="s">
        <v>494</v>
      </c>
      <c r="C325" t="s">
        <v>220</v>
      </c>
      <c r="D325">
        <v>29301132.778834101</v>
      </c>
    </row>
    <row r="326" spans="1:4" hidden="1" x14ac:dyDescent="0.3">
      <c r="A326">
        <v>324</v>
      </c>
      <c r="B326" s="1" t="s">
        <v>495</v>
      </c>
      <c r="C326" t="s">
        <v>222</v>
      </c>
      <c r="D326" s="1" t="s">
        <v>496</v>
      </c>
    </row>
    <row r="327" spans="1:4" hidden="1" x14ac:dyDescent="0.3">
      <c r="A327">
        <v>325</v>
      </c>
      <c r="B327" t="s">
        <v>497</v>
      </c>
      <c r="C327" t="s">
        <v>225</v>
      </c>
      <c r="D327">
        <v>100000529.666044</v>
      </c>
    </row>
    <row r="328" spans="1:4" hidden="1" x14ac:dyDescent="0.3">
      <c r="A328">
        <v>326</v>
      </c>
      <c r="B328" t="s">
        <v>498</v>
      </c>
      <c r="C328" t="s">
        <v>227</v>
      </c>
      <c r="D328">
        <v>-95.466900363564406</v>
      </c>
    </row>
    <row r="329" spans="1:4" hidden="1" x14ac:dyDescent="0.3">
      <c r="A329">
        <v>327</v>
      </c>
      <c r="B329" s="1" t="s">
        <v>499</v>
      </c>
      <c r="C329" t="s">
        <v>229</v>
      </c>
      <c r="D329" s="1" t="s">
        <v>500</v>
      </c>
    </row>
    <row r="330" spans="1:4" hidden="1" x14ac:dyDescent="0.3">
      <c r="A330">
        <v>328</v>
      </c>
      <c r="B330" t="s">
        <v>501</v>
      </c>
      <c r="C330" t="s">
        <v>112</v>
      </c>
      <c r="D330">
        <v>22.9081744592016</v>
      </c>
    </row>
    <row r="331" spans="1:4" hidden="1" x14ac:dyDescent="0.3">
      <c r="A331">
        <v>329</v>
      </c>
      <c r="B331" t="s">
        <v>502</v>
      </c>
      <c r="C331" t="s">
        <v>114</v>
      </c>
      <c r="D331">
        <v>6.7719818752240197</v>
      </c>
    </row>
    <row r="332" spans="1:4" hidden="1" x14ac:dyDescent="0.3">
      <c r="A332">
        <v>330</v>
      </c>
      <c r="B332" s="1" t="s">
        <v>503</v>
      </c>
      <c r="C332" t="s">
        <v>116</v>
      </c>
      <c r="D332" s="1" t="s">
        <v>504</v>
      </c>
    </row>
    <row r="333" spans="1:4" hidden="1" x14ac:dyDescent="0.3">
      <c r="A333">
        <v>331</v>
      </c>
      <c r="B333" t="s">
        <v>505</v>
      </c>
      <c r="C333" t="s">
        <v>119</v>
      </c>
      <c r="D333">
        <v>80319991.941129103</v>
      </c>
    </row>
    <row r="334" spans="1:4" hidden="1" x14ac:dyDescent="0.3">
      <c r="A334">
        <v>332</v>
      </c>
      <c r="B334" t="s">
        <v>506</v>
      </c>
      <c r="C334" t="s">
        <v>121</v>
      </c>
      <c r="D334">
        <v>39957223.201047502</v>
      </c>
    </row>
    <row r="335" spans="1:4" hidden="1" x14ac:dyDescent="0.3">
      <c r="A335">
        <v>333</v>
      </c>
      <c r="B335" s="1" t="s">
        <v>507</v>
      </c>
      <c r="C335" t="s">
        <v>123</v>
      </c>
      <c r="D335" s="1" t="s">
        <v>508</v>
      </c>
    </row>
    <row r="336" spans="1:4" hidden="1" x14ac:dyDescent="0.3">
      <c r="A336">
        <v>334</v>
      </c>
      <c r="B336" t="s">
        <v>509</v>
      </c>
      <c r="C336" t="s">
        <v>126</v>
      </c>
      <c r="D336">
        <v>0.80319915262528496</v>
      </c>
    </row>
    <row r="337" spans="1:4" hidden="1" x14ac:dyDescent="0.3">
      <c r="A337">
        <v>335</v>
      </c>
      <c r="B337" t="s">
        <v>510</v>
      </c>
      <c r="C337" t="s">
        <v>128</v>
      </c>
      <c r="D337">
        <v>0.39957185055327099</v>
      </c>
    </row>
    <row r="338" spans="1:4" hidden="1" x14ac:dyDescent="0.3">
      <c r="A338">
        <v>336</v>
      </c>
      <c r="B338" s="1" t="s">
        <v>511</v>
      </c>
      <c r="C338" t="s">
        <v>130</v>
      </c>
      <c r="D338" s="1" t="s">
        <v>512</v>
      </c>
    </row>
    <row r="339" spans="1:4" hidden="1" x14ac:dyDescent="0.3">
      <c r="A339">
        <v>337</v>
      </c>
      <c r="B339" s="1" t="s">
        <v>513</v>
      </c>
      <c r="C339" t="s">
        <v>4</v>
      </c>
      <c r="D339" t="s">
        <v>514</v>
      </c>
    </row>
    <row r="340" spans="1:4" hidden="1" x14ac:dyDescent="0.3">
      <c r="A340">
        <v>338</v>
      </c>
      <c r="B340" t="s">
        <v>515</v>
      </c>
      <c r="C340" t="s">
        <v>7</v>
      </c>
      <c r="D340">
        <v>1866.9</v>
      </c>
    </row>
    <row r="341" spans="1:4" hidden="1" x14ac:dyDescent="0.3">
      <c r="A341">
        <v>339</v>
      </c>
      <c r="B341" s="1" t="s">
        <v>516</v>
      </c>
      <c r="C341" t="s">
        <v>9</v>
      </c>
      <c r="D341" s="1" t="s">
        <v>517</v>
      </c>
    </row>
    <row r="342" spans="1:4" hidden="1" x14ac:dyDescent="0.3">
      <c r="A342">
        <v>340</v>
      </c>
      <c r="B342" t="s">
        <v>518</v>
      </c>
      <c r="C342" t="s">
        <v>14</v>
      </c>
      <c r="D342">
        <v>98.234375</v>
      </c>
    </row>
    <row r="343" spans="1:4" hidden="1" x14ac:dyDescent="0.3">
      <c r="A343">
        <v>341</v>
      </c>
      <c r="B343" t="s">
        <v>519</v>
      </c>
      <c r="C343" t="s">
        <v>16</v>
      </c>
      <c r="D343">
        <v>4.3701396438157198</v>
      </c>
    </row>
    <row r="344" spans="1:4" hidden="1" x14ac:dyDescent="0.3">
      <c r="A344">
        <v>342</v>
      </c>
      <c r="B344" s="1" t="s">
        <v>520</v>
      </c>
      <c r="C344" t="s">
        <v>140</v>
      </c>
      <c r="D344" s="1" t="s">
        <v>521</v>
      </c>
    </row>
    <row r="345" spans="1:4" hidden="1" x14ac:dyDescent="0.3">
      <c r="A345">
        <v>343</v>
      </c>
      <c r="B345" t="s">
        <v>522</v>
      </c>
      <c r="C345" t="s">
        <v>22</v>
      </c>
      <c r="D345">
        <v>72.349999999999994</v>
      </c>
    </row>
    <row r="346" spans="1:4" hidden="1" x14ac:dyDescent="0.3">
      <c r="A346">
        <v>344</v>
      </c>
      <c r="B346" t="s">
        <v>523</v>
      </c>
      <c r="C346" t="s">
        <v>24</v>
      </c>
      <c r="D346">
        <v>6.2149607876547996</v>
      </c>
    </row>
    <row r="347" spans="1:4" hidden="1" x14ac:dyDescent="0.3">
      <c r="A347">
        <v>345</v>
      </c>
      <c r="B347" s="1" t="s">
        <v>524</v>
      </c>
      <c r="C347" t="s">
        <v>145</v>
      </c>
      <c r="D347" s="1" t="s">
        <v>525</v>
      </c>
    </row>
    <row r="348" spans="1:4" hidden="1" x14ac:dyDescent="0.3">
      <c r="A348">
        <v>346</v>
      </c>
      <c r="B348" t="s">
        <v>526</v>
      </c>
      <c r="C348" t="s">
        <v>35</v>
      </c>
      <c r="D348">
        <v>-1.4970804273190199</v>
      </c>
    </row>
    <row r="349" spans="1:4" hidden="1" x14ac:dyDescent="0.3">
      <c r="A349">
        <v>347</v>
      </c>
      <c r="B349" t="s">
        <v>527</v>
      </c>
      <c r="C349" t="s">
        <v>149</v>
      </c>
      <c r="D349">
        <v>0.70807931681227498</v>
      </c>
    </row>
    <row r="350" spans="1:4" hidden="1" x14ac:dyDescent="0.3">
      <c r="A350">
        <v>348</v>
      </c>
      <c r="B350" s="1" t="s">
        <v>528</v>
      </c>
      <c r="C350" t="s">
        <v>151</v>
      </c>
      <c r="D350" s="1" t="s">
        <v>529</v>
      </c>
    </row>
    <row r="351" spans="1:4" hidden="1" x14ac:dyDescent="0.3">
      <c r="A351">
        <v>349</v>
      </c>
      <c r="B351" t="s">
        <v>530</v>
      </c>
      <c r="C351" t="s">
        <v>30</v>
      </c>
      <c r="D351">
        <v>1.0037594139672299</v>
      </c>
    </row>
    <row r="352" spans="1:4" hidden="1" x14ac:dyDescent="0.3">
      <c r="A352">
        <v>350</v>
      </c>
      <c r="B352" t="s">
        <v>531</v>
      </c>
      <c r="C352" t="s">
        <v>32</v>
      </c>
      <c r="D352">
        <v>0.20944238335752499</v>
      </c>
    </row>
    <row r="353" spans="1:4" hidden="1" x14ac:dyDescent="0.3">
      <c r="A353">
        <v>351</v>
      </c>
      <c r="B353" s="1" t="s">
        <v>532</v>
      </c>
      <c r="C353" t="s">
        <v>155</v>
      </c>
      <c r="D353" s="1" t="s">
        <v>533</v>
      </c>
    </row>
    <row r="354" spans="1:4" hidden="1" x14ac:dyDescent="0.3">
      <c r="A354">
        <v>352</v>
      </c>
      <c r="B354" t="s">
        <v>534</v>
      </c>
      <c r="C354" t="s">
        <v>40</v>
      </c>
      <c r="D354">
        <v>1.49332101335179</v>
      </c>
    </row>
    <row r="355" spans="1:4" hidden="1" x14ac:dyDescent="0.3">
      <c r="A355">
        <v>353</v>
      </c>
      <c r="B355" t="s">
        <v>535</v>
      </c>
      <c r="C355" t="s">
        <v>42</v>
      </c>
      <c r="D355">
        <v>0.20282877928839099</v>
      </c>
    </row>
    <row r="356" spans="1:4" hidden="1" x14ac:dyDescent="0.3">
      <c r="A356">
        <v>354</v>
      </c>
      <c r="B356" s="1" t="s">
        <v>536</v>
      </c>
      <c r="C356" t="s">
        <v>159</v>
      </c>
      <c r="D356" s="1" t="s">
        <v>537</v>
      </c>
    </row>
    <row r="357" spans="1:4" hidden="1" x14ac:dyDescent="0.3">
      <c r="A357">
        <v>355</v>
      </c>
      <c r="B357" t="s">
        <v>538</v>
      </c>
      <c r="C357" t="s">
        <v>161</v>
      </c>
      <c r="D357">
        <v>1.0127317012308501</v>
      </c>
    </row>
    <row r="358" spans="1:4" hidden="1" x14ac:dyDescent="0.3">
      <c r="A358">
        <v>356</v>
      </c>
      <c r="B358" t="s">
        <v>539</v>
      </c>
      <c r="C358" t="s">
        <v>163</v>
      </c>
      <c r="D358">
        <v>0.99908061969282902</v>
      </c>
    </row>
    <row r="359" spans="1:4" hidden="1" x14ac:dyDescent="0.3">
      <c r="A359">
        <v>357</v>
      </c>
      <c r="B359" s="1" t="s">
        <v>540</v>
      </c>
      <c r="C359" t="s">
        <v>165</v>
      </c>
      <c r="D359" s="1" t="s">
        <v>541</v>
      </c>
    </row>
    <row r="360" spans="1:4" hidden="1" x14ac:dyDescent="0.3">
      <c r="A360">
        <v>358</v>
      </c>
      <c r="B360" t="s">
        <v>542</v>
      </c>
      <c r="C360" t="s">
        <v>168</v>
      </c>
      <c r="D360">
        <v>1.0013860683057101</v>
      </c>
    </row>
    <row r="361" spans="1:4" hidden="1" x14ac:dyDescent="0.3">
      <c r="A361">
        <v>359</v>
      </c>
      <c r="B361" t="s">
        <v>543</v>
      </c>
      <c r="C361" t="s">
        <v>170</v>
      </c>
      <c r="D361">
        <v>0.99989959606146395</v>
      </c>
    </row>
    <row r="362" spans="1:4" hidden="1" x14ac:dyDescent="0.3">
      <c r="A362">
        <v>360</v>
      </c>
      <c r="B362" s="1" t="s">
        <v>544</v>
      </c>
      <c r="C362" t="s">
        <v>172</v>
      </c>
      <c r="D362" s="1" t="s">
        <v>545</v>
      </c>
    </row>
    <row r="363" spans="1:4" hidden="1" x14ac:dyDescent="0.3">
      <c r="A363">
        <v>361</v>
      </c>
      <c r="B363" s="1" t="s">
        <v>546</v>
      </c>
      <c r="C363" t="s">
        <v>55</v>
      </c>
      <c r="D363" s="1" t="s">
        <v>547</v>
      </c>
    </row>
    <row r="364" spans="1:4" hidden="1" x14ac:dyDescent="0.3">
      <c r="A364">
        <v>362</v>
      </c>
      <c r="B364" s="1" t="s">
        <v>548</v>
      </c>
      <c r="C364" t="s">
        <v>52</v>
      </c>
      <c r="D364" s="1" t="s">
        <v>549</v>
      </c>
    </row>
    <row r="365" spans="1:4" hidden="1" x14ac:dyDescent="0.3">
      <c r="A365">
        <v>363</v>
      </c>
      <c r="B365" s="1" t="s">
        <v>550</v>
      </c>
      <c r="C365" t="s">
        <v>58</v>
      </c>
      <c r="D365" s="1" t="s">
        <v>551</v>
      </c>
    </row>
    <row r="366" spans="1:4" hidden="1" x14ac:dyDescent="0.3">
      <c r="A366">
        <v>364</v>
      </c>
      <c r="B366" t="s">
        <v>552</v>
      </c>
      <c r="C366" t="s">
        <v>61</v>
      </c>
      <c r="D366">
        <v>150259983.55959001</v>
      </c>
    </row>
    <row r="367" spans="1:4" hidden="1" x14ac:dyDescent="0.3">
      <c r="A367">
        <v>365</v>
      </c>
      <c r="B367" t="s">
        <v>553</v>
      </c>
      <c r="C367" t="s">
        <v>63</v>
      </c>
      <c r="D367">
        <v>81342602.081388399</v>
      </c>
    </row>
    <row r="368" spans="1:4" hidden="1" x14ac:dyDescent="0.3">
      <c r="A368">
        <v>366</v>
      </c>
      <c r="B368" t="s">
        <v>554</v>
      </c>
      <c r="C368" t="s">
        <v>65</v>
      </c>
      <c r="D368">
        <v>39920487.316907302</v>
      </c>
    </row>
    <row r="369" spans="1:4" hidden="1" x14ac:dyDescent="0.3">
      <c r="A369">
        <v>367</v>
      </c>
      <c r="B369" s="1" t="s">
        <v>555</v>
      </c>
      <c r="C369" t="s">
        <v>67</v>
      </c>
      <c r="D369" s="1" t="s">
        <v>556</v>
      </c>
    </row>
    <row r="370" spans="1:4" hidden="1" x14ac:dyDescent="0.3">
      <c r="A370">
        <v>368</v>
      </c>
      <c r="B370" s="1" t="s">
        <v>557</v>
      </c>
      <c r="C370" t="s">
        <v>70</v>
      </c>
      <c r="D370" s="1" t="s">
        <v>558</v>
      </c>
    </row>
    <row r="371" spans="1:4" hidden="1" x14ac:dyDescent="0.3">
      <c r="A371">
        <v>369</v>
      </c>
      <c r="B371" t="s">
        <v>559</v>
      </c>
      <c r="C371" t="s">
        <v>73</v>
      </c>
      <c r="D371">
        <v>0.99999565802741497</v>
      </c>
    </row>
    <row r="372" spans="1:4" hidden="1" x14ac:dyDescent="0.3">
      <c r="A372">
        <v>370</v>
      </c>
      <c r="B372" t="s">
        <v>74</v>
      </c>
      <c r="C372" t="s">
        <v>75</v>
      </c>
      <c r="D372">
        <v>2.7397260273972599E-3</v>
      </c>
    </row>
    <row r="373" spans="1:4" hidden="1" x14ac:dyDescent="0.3">
      <c r="A373">
        <v>371</v>
      </c>
      <c r="B373" t="s">
        <v>76</v>
      </c>
      <c r="C373" t="s">
        <v>77</v>
      </c>
      <c r="D373">
        <v>0</v>
      </c>
    </row>
    <row r="374" spans="1:4" hidden="1" x14ac:dyDescent="0.3">
      <c r="A374">
        <v>372</v>
      </c>
      <c r="B374" t="s">
        <v>78</v>
      </c>
      <c r="C374" t="s">
        <v>79</v>
      </c>
      <c r="D374">
        <v>0</v>
      </c>
    </row>
    <row r="375" spans="1:4" hidden="1" x14ac:dyDescent="0.3">
      <c r="A375">
        <v>373</v>
      </c>
      <c r="B375" s="1" t="s">
        <v>560</v>
      </c>
      <c r="C375" t="s">
        <v>81</v>
      </c>
      <c r="D375" s="1" t="s">
        <v>561</v>
      </c>
    </row>
    <row r="376" spans="1:4" hidden="1" x14ac:dyDescent="0.3">
      <c r="A376">
        <v>374</v>
      </c>
      <c r="B376" t="s">
        <v>562</v>
      </c>
      <c r="C376" t="s">
        <v>84</v>
      </c>
      <c r="D376">
        <v>0.99997967195836401</v>
      </c>
    </row>
    <row r="377" spans="1:4" hidden="1" x14ac:dyDescent="0.3">
      <c r="A377">
        <v>375</v>
      </c>
      <c r="B377" s="1" t="s">
        <v>563</v>
      </c>
      <c r="C377" t="s">
        <v>86</v>
      </c>
      <c r="D377" s="1" t="s">
        <v>564</v>
      </c>
    </row>
    <row r="378" spans="1:4" hidden="1" x14ac:dyDescent="0.3">
      <c r="A378">
        <v>376</v>
      </c>
      <c r="B378" t="s">
        <v>565</v>
      </c>
      <c r="C378" t="s">
        <v>89</v>
      </c>
      <c r="D378">
        <v>100175358.741923</v>
      </c>
    </row>
    <row r="379" spans="1:4" hidden="1" x14ac:dyDescent="0.3">
      <c r="A379">
        <v>377</v>
      </c>
      <c r="B379" s="1" t="s">
        <v>566</v>
      </c>
      <c r="C379" t="s">
        <v>91</v>
      </c>
      <c r="D379" s="1" t="s">
        <v>500</v>
      </c>
    </row>
    <row r="380" spans="1:4" hidden="1" x14ac:dyDescent="0.3">
      <c r="A380">
        <v>378</v>
      </c>
      <c r="B380" t="s">
        <v>567</v>
      </c>
      <c r="C380" t="s">
        <v>94</v>
      </c>
      <c r="D380">
        <v>81342602.081388399</v>
      </c>
    </row>
    <row r="381" spans="1:4" hidden="1" x14ac:dyDescent="0.3">
      <c r="A381">
        <v>379</v>
      </c>
      <c r="B381" t="s">
        <v>568</v>
      </c>
      <c r="C381" t="s">
        <v>96</v>
      </c>
      <c r="D381">
        <v>39920487.316907302</v>
      </c>
    </row>
    <row r="382" spans="1:4" hidden="1" x14ac:dyDescent="0.3">
      <c r="A382">
        <v>380</v>
      </c>
      <c r="B382" t="s">
        <v>569</v>
      </c>
      <c r="C382" t="s">
        <v>98</v>
      </c>
      <c r="D382">
        <v>28996894.161294501</v>
      </c>
    </row>
    <row r="383" spans="1:4" hidden="1" x14ac:dyDescent="0.3">
      <c r="A383">
        <v>381</v>
      </c>
      <c r="B383" s="1" t="s">
        <v>570</v>
      </c>
      <c r="C383" t="s">
        <v>100</v>
      </c>
      <c r="D383" s="1" t="s">
        <v>571</v>
      </c>
    </row>
    <row r="384" spans="1:4" hidden="1" x14ac:dyDescent="0.3">
      <c r="A384">
        <v>382</v>
      </c>
      <c r="B384" t="s">
        <v>572</v>
      </c>
      <c r="C384" t="s">
        <v>103</v>
      </c>
      <c r="D384">
        <v>9.5163291137723809E-3</v>
      </c>
    </row>
    <row r="385" spans="1:4" hidden="1" x14ac:dyDescent="0.3">
      <c r="A385">
        <v>383</v>
      </c>
      <c r="B385" t="s">
        <v>573</v>
      </c>
      <c r="C385" t="s">
        <v>105</v>
      </c>
      <c r="D385">
        <v>1.7062991356964999E-3</v>
      </c>
    </row>
    <row r="386" spans="1:4" hidden="1" x14ac:dyDescent="0.3">
      <c r="A386">
        <v>384</v>
      </c>
      <c r="B386" t="s">
        <v>574</v>
      </c>
      <c r="C386" t="s">
        <v>107</v>
      </c>
      <c r="D386">
        <v>1.0934359387516499E-2</v>
      </c>
    </row>
    <row r="387" spans="1:4" hidden="1" x14ac:dyDescent="0.3">
      <c r="A387">
        <v>385</v>
      </c>
      <c r="B387" s="1" t="s">
        <v>575</v>
      </c>
      <c r="C387" t="s">
        <v>109</v>
      </c>
      <c r="D387" s="1" t="s">
        <v>576</v>
      </c>
    </row>
    <row r="388" spans="1:4" x14ac:dyDescent="0.3">
      <c r="A388">
        <v>386</v>
      </c>
      <c r="B388" t="s">
        <v>577</v>
      </c>
      <c r="C388" t="s">
        <v>207</v>
      </c>
      <c r="D388">
        <v>150259427.896835</v>
      </c>
    </row>
    <row r="389" spans="1:4" hidden="1" x14ac:dyDescent="0.3">
      <c r="A389">
        <v>387</v>
      </c>
      <c r="B389" t="s">
        <v>578</v>
      </c>
      <c r="C389" t="s">
        <v>209</v>
      </c>
      <c r="D389">
        <v>142038.33990526199</v>
      </c>
    </row>
    <row r="390" spans="1:4" hidden="1" x14ac:dyDescent="0.3">
      <c r="A390">
        <v>388</v>
      </c>
      <c r="B390" t="s">
        <v>579</v>
      </c>
      <c r="C390" t="s">
        <v>211</v>
      </c>
      <c r="D390">
        <v>69708.347002915907</v>
      </c>
    </row>
    <row r="391" spans="1:4" hidden="1" x14ac:dyDescent="0.3">
      <c r="A391">
        <v>389</v>
      </c>
      <c r="B391" s="1" t="s">
        <v>580</v>
      </c>
      <c r="C391" t="s">
        <v>213</v>
      </c>
      <c r="D391" s="1" t="s">
        <v>581</v>
      </c>
    </row>
    <row r="392" spans="1:4" hidden="1" x14ac:dyDescent="0.3">
      <c r="A392">
        <v>390</v>
      </c>
      <c r="B392" t="s">
        <v>582</v>
      </c>
      <c r="C392" t="s">
        <v>216</v>
      </c>
      <c r="D392">
        <v>81200130.283187196</v>
      </c>
    </row>
    <row r="393" spans="1:4" hidden="1" x14ac:dyDescent="0.3">
      <c r="A393">
        <v>391</v>
      </c>
      <c r="B393" t="s">
        <v>583</v>
      </c>
      <c r="C393" t="s">
        <v>218</v>
      </c>
      <c r="D393">
        <v>39850697.088108301</v>
      </c>
    </row>
    <row r="394" spans="1:4" hidden="1" x14ac:dyDescent="0.3">
      <c r="A394">
        <v>392</v>
      </c>
      <c r="B394" t="s">
        <v>584</v>
      </c>
      <c r="C394" t="s">
        <v>220</v>
      </c>
      <c r="D394">
        <v>28946220.015468799</v>
      </c>
    </row>
    <row r="395" spans="1:4" hidden="1" x14ac:dyDescent="0.3">
      <c r="A395">
        <v>393</v>
      </c>
      <c r="B395" s="1" t="s">
        <v>585</v>
      </c>
      <c r="C395" t="s">
        <v>222</v>
      </c>
      <c r="D395" s="1" t="s">
        <v>586</v>
      </c>
    </row>
    <row r="396" spans="1:4" hidden="1" x14ac:dyDescent="0.3">
      <c r="A396">
        <v>394</v>
      </c>
      <c r="B396" t="s">
        <v>587</v>
      </c>
      <c r="C396" t="s">
        <v>225</v>
      </c>
      <c r="D396">
        <v>100000434.19914301</v>
      </c>
    </row>
    <row r="397" spans="1:4" hidden="1" x14ac:dyDescent="0.3">
      <c r="A397">
        <v>395</v>
      </c>
      <c r="B397" t="s">
        <v>588</v>
      </c>
      <c r="C397" t="s">
        <v>227</v>
      </c>
      <c r="D397">
        <v>174924.54277986201</v>
      </c>
    </row>
    <row r="398" spans="1:4" hidden="1" x14ac:dyDescent="0.3">
      <c r="A398">
        <v>396</v>
      </c>
      <c r="B398" s="1" t="s">
        <v>589</v>
      </c>
      <c r="C398" t="s">
        <v>229</v>
      </c>
      <c r="D398" s="1" t="s">
        <v>590</v>
      </c>
    </row>
    <row r="399" spans="1:4" hidden="1" x14ac:dyDescent="0.3">
      <c r="A399">
        <v>397</v>
      </c>
      <c r="B399" t="s">
        <v>591</v>
      </c>
      <c r="C399" t="s">
        <v>112</v>
      </c>
      <c r="D399">
        <v>-433.45829592882598</v>
      </c>
    </row>
    <row r="400" spans="1:4" hidden="1" x14ac:dyDescent="0.3">
      <c r="A400">
        <v>398</v>
      </c>
      <c r="B400" t="s">
        <v>592</v>
      </c>
      <c r="C400" t="s">
        <v>114</v>
      </c>
      <c r="D400">
        <v>-81.881796022531901</v>
      </c>
    </row>
    <row r="401" spans="1:4" hidden="1" x14ac:dyDescent="0.3">
      <c r="A401">
        <v>399</v>
      </c>
      <c r="B401" s="1" t="s">
        <v>593</v>
      </c>
      <c r="C401" t="s">
        <v>116</v>
      </c>
      <c r="D401" s="1" t="s">
        <v>594</v>
      </c>
    </row>
    <row r="402" spans="1:4" hidden="1" x14ac:dyDescent="0.3">
      <c r="A402">
        <v>400</v>
      </c>
      <c r="B402" t="s">
        <v>595</v>
      </c>
      <c r="C402" t="s">
        <v>119</v>
      </c>
      <c r="D402">
        <v>81200130.283187196</v>
      </c>
    </row>
    <row r="403" spans="1:4" hidden="1" x14ac:dyDescent="0.3">
      <c r="A403">
        <v>401</v>
      </c>
      <c r="B403" t="s">
        <v>596</v>
      </c>
      <c r="C403" t="s">
        <v>121</v>
      </c>
      <c r="D403">
        <v>39850697.088108301</v>
      </c>
    </row>
    <row r="404" spans="1:4" hidden="1" x14ac:dyDescent="0.3">
      <c r="A404">
        <v>402</v>
      </c>
      <c r="B404" s="1" t="s">
        <v>597</v>
      </c>
      <c r="C404" t="s">
        <v>123</v>
      </c>
      <c r="D404" s="1" t="s">
        <v>598</v>
      </c>
    </row>
    <row r="405" spans="1:4" hidden="1" x14ac:dyDescent="0.3">
      <c r="A405">
        <v>403</v>
      </c>
      <c r="B405" t="s">
        <v>599</v>
      </c>
      <c r="C405" t="s">
        <v>126</v>
      </c>
      <c r="D405">
        <v>0.81201428380464702</v>
      </c>
    </row>
    <row r="406" spans="1:4" hidden="1" x14ac:dyDescent="0.3">
      <c r="A406">
        <v>404</v>
      </c>
      <c r="B406" t="s">
        <v>600</v>
      </c>
      <c r="C406" t="s">
        <v>128</v>
      </c>
      <c r="D406">
        <v>0.39851334157054102</v>
      </c>
    </row>
    <row r="407" spans="1:4" hidden="1" x14ac:dyDescent="0.3">
      <c r="A407">
        <v>405</v>
      </c>
      <c r="B407" s="1" t="s">
        <v>601</v>
      </c>
      <c r="C407" t="s">
        <v>130</v>
      </c>
      <c r="D407" s="1" t="s">
        <v>602</v>
      </c>
    </row>
    <row r="408" spans="1:4" hidden="1" x14ac:dyDescent="0.3">
      <c r="A408">
        <v>406</v>
      </c>
      <c r="B408" s="1" t="s">
        <v>603</v>
      </c>
      <c r="C408" t="s">
        <v>4</v>
      </c>
      <c r="D408" t="s">
        <v>604</v>
      </c>
    </row>
    <row r="409" spans="1:4" hidden="1" x14ac:dyDescent="0.3">
      <c r="A409">
        <v>407</v>
      </c>
      <c r="B409" t="s">
        <v>605</v>
      </c>
      <c r="C409" t="s">
        <v>7</v>
      </c>
      <c r="D409">
        <v>1869.44</v>
      </c>
    </row>
    <row r="410" spans="1:4" hidden="1" x14ac:dyDescent="0.3">
      <c r="A410">
        <v>408</v>
      </c>
      <c r="B410" s="1" t="s">
        <v>606</v>
      </c>
      <c r="C410" t="s">
        <v>9</v>
      </c>
      <c r="D410" s="1" t="s">
        <v>607</v>
      </c>
    </row>
    <row r="411" spans="1:4" hidden="1" x14ac:dyDescent="0.3">
      <c r="A411">
        <v>409</v>
      </c>
      <c r="B411" t="s">
        <v>608</v>
      </c>
      <c r="C411" t="s">
        <v>14</v>
      </c>
      <c r="D411">
        <v>98.3125</v>
      </c>
    </row>
    <row r="412" spans="1:4" hidden="1" x14ac:dyDescent="0.3">
      <c r="A412">
        <v>410</v>
      </c>
      <c r="B412" t="s">
        <v>609</v>
      </c>
      <c r="C412" t="s">
        <v>16</v>
      </c>
      <c r="D412">
        <v>4.37003653792656</v>
      </c>
    </row>
    <row r="413" spans="1:4" hidden="1" x14ac:dyDescent="0.3">
      <c r="A413">
        <v>411</v>
      </c>
      <c r="B413" s="1" t="s">
        <v>610</v>
      </c>
      <c r="C413" t="s">
        <v>140</v>
      </c>
      <c r="D413" s="1" t="s">
        <v>611</v>
      </c>
    </row>
    <row r="414" spans="1:4" hidden="1" x14ac:dyDescent="0.3">
      <c r="A414">
        <v>412</v>
      </c>
      <c r="B414" t="s">
        <v>612</v>
      </c>
      <c r="C414" t="s">
        <v>22</v>
      </c>
      <c r="D414">
        <v>74.349999999999994</v>
      </c>
    </row>
    <row r="415" spans="1:4" hidden="1" x14ac:dyDescent="0.3">
      <c r="A415">
        <v>413</v>
      </c>
      <c r="B415" t="s">
        <v>613</v>
      </c>
      <c r="C415" t="s">
        <v>24</v>
      </c>
      <c r="D415">
        <v>6.0884013231485001</v>
      </c>
    </row>
    <row r="416" spans="1:4" hidden="1" x14ac:dyDescent="0.3">
      <c r="A416">
        <v>414</v>
      </c>
      <c r="B416" s="1" t="s">
        <v>614</v>
      </c>
      <c r="C416" t="s">
        <v>145</v>
      </c>
      <c r="D416" s="1" t="s">
        <v>615</v>
      </c>
    </row>
    <row r="417" spans="1:4" hidden="1" x14ac:dyDescent="0.3">
      <c r="A417">
        <v>415</v>
      </c>
      <c r="B417" t="s">
        <v>616</v>
      </c>
      <c r="C417" t="s">
        <v>35</v>
      </c>
      <c r="D417">
        <v>-1.6694082708725</v>
      </c>
    </row>
    <row r="418" spans="1:4" hidden="1" x14ac:dyDescent="0.3">
      <c r="A418">
        <v>416</v>
      </c>
      <c r="B418" t="s">
        <v>617</v>
      </c>
      <c r="C418" t="s">
        <v>149</v>
      </c>
      <c r="D418">
        <v>0.70410441487826503</v>
      </c>
    </row>
    <row r="419" spans="1:4" hidden="1" x14ac:dyDescent="0.3">
      <c r="A419">
        <v>417</v>
      </c>
      <c r="B419" s="1" t="s">
        <v>618</v>
      </c>
      <c r="C419" t="s">
        <v>151</v>
      </c>
      <c r="D419" s="1" t="s">
        <v>619</v>
      </c>
    </row>
    <row r="420" spans="1:4" hidden="1" x14ac:dyDescent="0.3">
      <c r="A420">
        <v>418</v>
      </c>
      <c r="B420" t="s">
        <v>620</v>
      </c>
      <c r="C420" t="s">
        <v>30</v>
      </c>
      <c r="D420">
        <v>1.0761838693450101</v>
      </c>
    </row>
    <row r="421" spans="1:4" hidden="1" x14ac:dyDescent="0.3">
      <c r="A421">
        <v>419</v>
      </c>
      <c r="B421" t="s">
        <v>621</v>
      </c>
      <c r="C421" t="s">
        <v>32</v>
      </c>
      <c r="D421">
        <v>0.209508673377648</v>
      </c>
    </row>
    <row r="422" spans="1:4" hidden="1" x14ac:dyDescent="0.3">
      <c r="A422">
        <v>420</v>
      </c>
      <c r="B422" s="1" t="s">
        <v>622</v>
      </c>
      <c r="C422" t="s">
        <v>155</v>
      </c>
      <c r="D422" s="1" t="s">
        <v>623</v>
      </c>
    </row>
    <row r="423" spans="1:4" hidden="1" x14ac:dyDescent="0.3">
      <c r="A423">
        <v>421</v>
      </c>
      <c r="B423" t="s">
        <v>624</v>
      </c>
      <c r="C423" t="s">
        <v>40</v>
      </c>
      <c r="D423">
        <v>1.5932244015274899</v>
      </c>
    </row>
    <row r="424" spans="1:4" hidden="1" x14ac:dyDescent="0.3">
      <c r="A424">
        <v>422</v>
      </c>
      <c r="B424" t="s">
        <v>625</v>
      </c>
      <c r="C424" t="s">
        <v>42</v>
      </c>
      <c r="D424">
        <v>0.21073522634692901</v>
      </c>
    </row>
    <row r="425" spans="1:4" hidden="1" x14ac:dyDescent="0.3">
      <c r="A425">
        <v>423</v>
      </c>
      <c r="B425" s="1" t="s">
        <v>626</v>
      </c>
      <c r="C425" t="s">
        <v>159</v>
      </c>
      <c r="D425" s="1" t="s">
        <v>627</v>
      </c>
    </row>
    <row r="426" spans="1:4" hidden="1" x14ac:dyDescent="0.3">
      <c r="A426">
        <v>424</v>
      </c>
      <c r="B426" t="s">
        <v>628</v>
      </c>
      <c r="C426" t="s">
        <v>161</v>
      </c>
      <c r="D426">
        <v>1.0013605442176801</v>
      </c>
    </row>
    <row r="427" spans="1:4" hidden="1" x14ac:dyDescent="0.3">
      <c r="A427">
        <v>425</v>
      </c>
      <c r="B427" t="s">
        <v>629</v>
      </c>
      <c r="C427" t="s">
        <v>163</v>
      </c>
      <c r="D427">
        <v>1.000760413851</v>
      </c>
    </row>
    <row r="428" spans="1:4" hidden="1" x14ac:dyDescent="0.3">
      <c r="A428">
        <v>426</v>
      </c>
      <c r="B428" s="1" t="s">
        <v>630</v>
      </c>
      <c r="C428" t="s">
        <v>165</v>
      </c>
      <c r="D428" s="1" t="s">
        <v>631</v>
      </c>
    </row>
    <row r="429" spans="1:4" hidden="1" x14ac:dyDescent="0.3">
      <c r="A429">
        <v>427</v>
      </c>
      <c r="B429" t="s">
        <v>632</v>
      </c>
      <c r="C429" t="s">
        <v>168</v>
      </c>
      <c r="D429">
        <v>0.99767288211098504</v>
      </c>
    </row>
    <row r="430" spans="1:4" hidden="1" x14ac:dyDescent="0.3">
      <c r="A430">
        <v>428</v>
      </c>
      <c r="B430" t="s">
        <v>633</v>
      </c>
      <c r="C430" t="s">
        <v>170</v>
      </c>
      <c r="D430">
        <v>1.00005481039943</v>
      </c>
    </row>
    <row r="431" spans="1:4" hidden="1" x14ac:dyDescent="0.3">
      <c r="A431">
        <v>429</v>
      </c>
      <c r="B431" s="1" t="s">
        <v>634</v>
      </c>
      <c r="C431" t="s">
        <v>172</v>
      </c>
      <c r="D431" s="1" t="s">
        <v>635</v>
      </c>
    </row>
    <row r="432" spans="1:4" hidden="1" x14ac:dyDescent="0.3">
      <c r="A432">
        <v>430</v>
      </c>
      <c r="B432" s="1" t="s">
        <v>636</v>
      </c>
      <c r="C432" t="s">
        <v>55</v>
      </c>
      <c r="D432" s="1" t="s">
        <v>637</v>
      </c>
    </row>
    <row r="433" spans="1:4" hidden="1" x14ac:dyDescent="0.3">
      <c r="A433">
        <v>431</v>
      </c>
      <c r="B433" s="1" t="s">
        <v>638</v>
      </c>
      <c r="C433" t="s">
        <v>52</v>
      </c>
      <c r="D433" s="1" t="s">
        <v>639</v>
      </c>
    </row>
    <row r="434" spans="1:4" hidden="1" x14ac:dyDescent="0.3">
      <c r="A434">
        <v>432</v>
      </c>
      <c r="B434" s="1" t="s">
        <v>640</v>
      </c>
      <c r="C434" t="s">
        <v>58</v>
      </c>
      <c r="D434" s="1" t="s">
        <v>641</v>
      </c>
    </row>
    <row r="435" spans="1:4" hidden="1" x14ac:dyDescent="0.3">
      <c r="A435">
        <v>433</v>
      </c>
      <c r="B435" t="s">
        <v>642</v>
      </c>
      <c r="C435" t="s">
        <v>61</v>
      </c>
      <c r="D435">
        <v>150828071.14734101</v>
      </c>
    </row>
    <row r="436" spans="1:4" hidden="1" x14ac:dyDescent="0.3">
      <c r="A436">
        <v>434</v>
      </c>
      <c r="B436" t="s">
        <v>643</v>
      </c>
      <c r="C436" t="s">
        <v>63</v>
      </c>
      <c r="D436">
        <v>81310606.650919497</v>
      </c>
    </row>
    <row r="437" spans="1:4" hidden="1" x14ac:dyDescent="0.3">
      <c r="A437">
        <v>435</v>
      </c>
      <c r="B437" t="s">
        <v>644</v>
      </c>
      <c r="C437" t="s">
        <v>65</v>
      </c>
      <c r="D437">
        <v>39881000.110146299</v>
      </c>
    </row>
    <row r="438" spans="1:4" hidden="1" x14ac:dyDescent="0.3">
      <c r="A438">
        <v>436</v>
      </c>
      <c r="B438" s="1" t="s">
        <v>645</v>
      </c>
      <c r="C438" t="s">
        <v>67</v>
      </c>
      <c r="D438" s="1" t="s">
        <v>646</v>
      </c>
    </row>
    <row r="439" spans="1:4" hidden="1" x14ac:dyDescent="0.3">
      <c r="A439">
        <v>437</v>
      </c>
      <c r="B439" s="1" t="s">
        <v>647</v>
      </c>
      <c r="C439" t="s">
        <v>70</v>
      </c>
      <c r="D439" s="1" t="s">
        <v>648</v>
      </c>
    </row>
    <row r="440" spans="1:4" hidden="1" x14ac:dyDescent="0.3">
      <c r="A440">
        <v>438</v>
      </c>
      <c r="B440" t="s">
        <v>649</v>
      </c>
      <c r="C440" t="s">
        <v>73</v>
      </c>
      <c r="D440">
        <v>0.99997967195836401</v>
      </c>
    </row>
    <row r="441" spans="1:4" hidden="1" x14ac:dyDescent="0.3">
      <c r="A441">
        <v>439</v>
      </c>
      <c r="B441" t="s">
        <v>74</v>
      </c>
      <c r="C441" t="s">
        <v>75</v>
      </c>
      <c r="D441">
        <v>2.7397260273972599E-3</v>
      </c>
    </row>
    <row r="442" spans="1:4" hidden="1" x14ac:dyDescent="0.3">
      <c r="A442">
        <v>440</v>
      </c>
      <c r="B442" t="s">
        <v>76</v>
      </c>
      <c r="C442" t="s">
        <v>77</v>
      </c>
      <c r="D442">
        <v>0</v>
      </c>
    </row>
    <row r="443" spans="1:4" hidden="1" x14ac:dyDescent="0.3">
      <c r="A443">
        <v>441</v>
      </c>
      <c r="B443" t="s">
        <v>650</v>
      </c>
      <c r="C443" t="s">
        <v>79</v>
      </c>
      <c r="D443" s="2">
        <v>2.2204460492503101E-16</v>
      </c>
    </row>
    <row r="444" spans="1:4" hidden="1" x14ac:dyDescent="0.3">
      <c r="A444">
        <v>442</v>
      </c>
      <c r="B444" s="1" t="s">
        <v>651</v>
      </c>
      <c r="C444" t="s">
        <v>81</v>
      </c>
      <c r="D444" s="1" t="s">
        <v>652</v>
      </c>
    </row>
    <row r="445" spans="1:4" hidden="1" x14ac:dyDescent="0.3">
      <c r="A445">
        <v>443</v>
      </c>
      <c r="B445" t="s">
        <v>653</v>
      </c>
      <c r="C445" t="s">
        <v>84</v>
      </c>
      <c r="D445">
        <v>0.99997617146823103</v>
      </c>
    </row>
    <row r="446" spans="1:4" hidden="1" x14ac:dyDescent="0.3">
      <c r="A446">
        <v>444</v>
      </c>
      <c r="B446" s="1" t="s">
        <v>654</v>
      </c>
      <c r="C446" t="s">
        <v>86</v>
      </c>
      <c r="D446" s="1" t="s">
        <v>655</v>
      </c>
    </row>
    <row r="447" spans="1:4" hidden="1" x14ac:dyDescent="0.3">
      <c r="A447">
        <v>445</v>
      </c>
      <c r="B447" t="s">
        <v>656</v>
      </c>
      <c r="C447" t="s">
        <v>89</v>
      </c>
      <c r="D447">
        <v>100554443.49631201</v>
      </c>
    </row>
    <row r="448" spans="1:4" hidden="1" x14ac:dyDescent="0.3">
      <c r="A448">
        <v>446</v>
      </c>
      <c r="B448" s="1" t="s">
        <v>657</v>
      </c>
      <c r="C448" t="s">
        <v>91</v>
      </c>
      <c r="D448" s="1" t="s">
        <v>590</v>
      </c>
    </row>
    <row r="449" spans="1:4" hidden="1" x14ac:dyDescent="0.3">
      <c r="A449">
        <v>447</v>
      </c>
      <c r="B449" t="s">
        <v>658</v>
      </c>
      <c r="C449" t="s">
        <v>94</v>
      </c>
      <c r="D449">
        <v>81310606.650919497</v>
      </c>
    </row>
    <row r="450" spans="1:4" hidden="1" x14ac:dyDescent="0.3">
      <c r="A450">
        <v>448</v>
      </c>
      <c r="B450" t="s">
        <v>659</v>
      </c>
      <c r="C450" t="s">
        <v>96</v>
      </c>
      <c r="D450">
        <v>39881000.110146299</v>
      </c>
    </row>
    <row r="451" spans="1:4" hidden="1" x14ac:dyDescent="0.3">
      <c r="A451">
        <v>449</v>
      </c>
      <c r="B451" t="s">
        <v>660</v>
      </c>
      <c r="C451" t="s">
        <v>98</v>
      </c>
      <c r="D451">
        <v>29636464.386275198</v>
      </c>
    </row>
    <row r="452" spans="1:4" hidden="1" x14ac:dyDescent="0.3">
      <c r="A452">
        <v>450</v>
      </c>
      <c r="B452" s="1" t="s">
        <v>661</v>
      </c>
      <c r="C452" t="s">
        <v>100</v>
      </c>
      <c r="D452" s="1" t="s">
        <v>662</v>
      </c>
    </row>
    <row r="453" spans="1:4" hidden="1" x14ac:dyDescent="0.3">
      <c r="A453">
        <v>451</v>
      </c>
      <c r="B453" t="s">
        <v>663</v>
      </c>
      <c r="C453" t="s">
        <v>103</v>
      </c>
      <c r="D453">
        <v>9.53777251715319E-3</v>
      </c>
    </row>
    <row r="454" spans="1:4" hidden="1" x14ac:dyDescent="0.3">
      <c r="A454">
        <v>452</v>
      </c>
      <c r="B454" t="s">
        <v>664</v>
      </c>
      <c r="C454" t="s">
        <v>105</v>
      </c>
      <c r="D454">
        <v>1.70908548113792E-3</v>
      </c>
    </row>
    <row r="455" spans="1:4" hidden="1" x14ac:dyDescent="0.3">
      <c r="A455">
        <v>453</v>
      </c>
      <c r="B455" t="s">
        <v>665</v>
      </c>
      <c r="C455" t="s">
        <v>107</v>
      </c>
      <c r="D455">
        <v>1.1263679347699699E-2</v>
      </c>
    </row>
    <row r="456" spans="1:4" hidden="1" x14ac:dyDescent="0.3">
      <c r="A456">
        <v>454</v>
      </c>
      <c r="B456" s="1" t="s">
        <v>666</v>
      </c>
      <c r="C456" t="s">
        <v>109</v>
      </c>
      <c r="D456" s="1" t="s">
        <v>667</v>
      </c>
    </row>
    <row r="457" spans="1:4" x14ac:dyDescent="0.3">
      <c r="A457">
        <v>455</v>
      </c>
      <c r="B457" t="s">
        <v>668</v>
      </c>
      <c r="C457" t="s">
        <v>207</v>
      </c>
      <c r="D457">
        <v>150827949.140365</v>
      </c>
    </row>
    <row r="458" spans="1:4" hidden="1" x14ac:dyDescent="0.3">
      <c r="A458">
        <v>456</v>
      </c>
      <c r="B458" t="s">
        <v>669</v>
      </c>
      <c r="C458" t="s">
        <v>209</v>
      </c>
      <c r="D458">
        <v>306536.19762132003</v>
      </c>
    </row>
    <row r="459" spans="1:4" hidden="1" x14ac:dyDescent="0.3">
      <c r="A459">
        <v>457</v>
      </c>
      <c r="B459" t="s">
        <v>670</v>
      </c>
      <c r="C459" t="s">
        <v>211</v>
      </c>
      <c r="D459">
        <v>150349.124887816</v>
      </c>
    </row>
    <row r="460" spans="1:4" hidden="1" x14ac:dyDescent="0.3">
      <c r="A460">
        <v>458</v>
      </c>
      <c r="B460" s="1" t="s">
        <v>671</v>
      </c>
      <c r="C460" t="s">
        <v>213</v>
      </c>
      <c r="D460" s="1" t="s">
        <v>672</v>
      </c>
    </row>
    <row r="461" spans="1:4" hidden="1" x14ac:dyDescent="0.3">
      <c r="A461">
        <v>459</v>
      </c>
      <c r="B461" t="s">
        <v>673</v>
      </c>
      <c r="C461" t="s">
        <v>216</v>
      </c>
      <c r="D461">
        <v>81003979.212070301</v>
      </c>
    </row>
    <row r="462" spans="1:4" hidden="1" x14ac:dyDescent="0.3">
      <c r="A462">
        <v>460</v>
      </c>
      <c r="B462" t="s">
        <v>674</v>
      </c>
      <c r="C462" t="s">
        <v>218</v>
      </c>
      <c r="D462">
        <v>39730633.711359702</v>
      </c>
    </row>
    <row r="463" spans="1:4" hidden="1" x14ac:dyDescent="0.3">
      <c r="A463">
        <v>461</v>
      </c>
      <c r="B463" t="s">
        <v>675</v>
      </c>
      <c r="C463" t="s">
        <v>220</v>
      </c>
      <c r="D463">
        <v>29524723.094862301</v>
      </c>
    </row>
    <row r="464" spans="1:4" hidden="1" x14ac:dyDescent="0.3">
      <c r="A464">
        <v>462</v>
      </c>
      <c r="B464" s="1" t="s">
        <v>676</v>
      </c>
      <c r="C464" t="s">
        <v>222</v>
      </c>
      <c r="D464" s="1" t="s">
        <v>677</v>
      </c>
    </row>
    <row r="465" spans="1:4" hidden="1" x14ac:dyDescent="0.3">
      <c r="A465">
        <v>463</v>
      </c>
      <c r="B465" t="s">
        <v>678</v>
      </c>
      <c r="C465" t="s">
        <v>225</v>
      </c>
      <c r="D465">
        <v>100175358.741923</v>
      </c>
    </row>
    <row r="466" spans="1:4" hidden="1" x14ac:dyDescent="0.3">
      <c r="A466">
        <v>464</v>
      </c>
      <c r="B466" t="s">
        <v>679</v>
      </c>
      <c r="C466" t="s">
        <v>227</v>
      </c>
      <c r="D466">
        <v>379084.75438852602</v>
      </c>
    </row>
    <row r="467" spans="1:4" hidden="1" x14ac:dyDescent="0.3">
      <c r="A467">
        <v>465</v>
      </c>
      <c r="B467" s="1" t="s">
        <v>680</v>
      </c>
      <c r="C467" t="s">
        <v>229</v>
      </c>
      <c r="D467" s="1" t="s">
        <v>681</v>
      </c>
    </row>
    <row r="468" spans="1:4" hidden="1" x14ac:dyDescent="0.3">
      <c r="A468">
        <v>466</v>
      </c>
      <c r="B468" t="s">
        <v>682</v>
      </c>
      <c r="C468" t="s">
        <v>112</v>
      </c>
      <c r="D468">
        <v>-91.241227863789007</v>
      </c>
    </row>
    <row r="469" spans="1:4" hidden="1" x14ac:dyDescent="0.3">
      <c r="A469">
        <v>467</v>
      </c>
      <c r="B469" t="s">
        <v>683</v>
      </c>
      <c r="C469" t="s">
        <v>114</v>
      </c>
      <c r="D469">
        <v>-17.273898801217101</v>
      </c>
    </row>
    <row r="470" spans="1:4" hidden="1" x14ac:dyDescent="0.3">
      <c r="A470">
        <v>468</v>
      </c>
      <c r="B470" s="1" t="s">
        <v>684</v>
      </c>
      <c r="C470" t="s">
        <v>116</v>
      </c>
      <c r="D470" s="1" t="s">
        <v>685</v>
      </c>
    </row>
    <row r="471" spans="1:4" hidden="1" x14ac:dyDescent="0.3">
      <c r="A471">
        <v>469</v>
      </c>
      <c r="B471" t="s">
        <v>686</v>
      </c>
      <c r="C471" t="s">
        <v>119</v>
      </c>
      <c r="D471">
        <v>81003979.212070301</v>
      </c>
    </row>
    <row r="472" spans="1:4" hidden="1" x14ac:dyDescent="0.3">
      <c r="A472">
        <v>470</v>
      </c>
      <c r="B472" t="s">
        <v>687</v>
      </c>
      <c r="C472" t="s">
        <v>121</v>
      </c>
      <c r="D472">
        <v>39730633.711359702</v>
      </c>
    </row>
    <row r="473" spans="1:4" hidden="1" x14ac:dyDescent="0.3">
      <c r="A473">
        <v>471</v>
      </c>
      <c r="B473" s="1" t="s">
        <v>688</v>
      </c>
      <c r="C473" t="s">
        <v>123</v>
      </c>
      <c r="D473" s="1" t="s">
        <v>689</v>
      </c>
    </row>
    <row r="474" spans="1:4" hidden="1" x14ac:dyDescent="0.3">
      <c r="A474">
        <v>472</v>
      </c>
      <c r="B474" t="s">
        <v>690</v>
      </c>
      <c r="C474" t="s">
        <v>126</v>
      </c>
      <c r="D474">
        <v>0.80864107182933698</v>
      </c>
    </row>
    <row r="475" spans="1:4" hidden="1" x14ac:dyDescent="0.3">
      <c r="A475">
        <v>473</v>
      </c>
      <c r="B475" t="s">
        <v>691</v>
      </c>
      <c r="C475" t="s">
        <v>128</v>
      </c>
      <c r="D475">
        <v>0.396620296204231</v>
      </c>
    </row>
    <row r="476" spans="1:4" hidden="1" x14ac:dyDescent="0.3">
      <c r="A476">
        <v>474</v>
      </c>
      <c r="B476" s="1" t="s">
        <v>692</v>
      </c>
      <c r="C476" t="s">
        <v>130</v>
      </c>
      <c r="D476" s="1" t="s">
        <v>693</v>
      </c>
    </row>
    <row r="477" spans="1:4" hidden="1" x14ac:dyDescent="0.3">
      <c r="A477">
        <v>475</v>
      </c>
      <c r="B477" s="1" t="s">
        <v>694</v>
      </c>
      <c r="C477" t="s">
        <v>4</v>
      </c>
      <c r="D477" t="s">
        <v>695</v>
      </c>
    </row>
    <row r="478" spans="1:4" hidden="1" x14ac:dyDescent="0.3">
      <c r="A478">
        <v>476</v>
      </c>
      <c r="B478" t="s">
        <v>696</v>
      </c>
      <c r="C478" t="s">
        <v>7</v>
      </c>
      <c r="D478">
        <v>1877.21</v>
      </c>
    </row>
    <row r="479" spans="1:4" hidden="1" x14ac:dyDescent="0.3">
      <c r="A479">
        <v>477</v>
      </c>
      <c r="B479" s="1" t="s">
        <v>697</v>
      </c>
      <c r="C479" t="s">
        <v>9</v>
      </c>
      <c r="D479" s="1" t="s">
        <v>698</v>
      </c>
    </row>
    <row r="480" spans="1:4" hidden="1" x14ac:dyDescent="0.3">
      <c r="A480">
        <v>478</v>
      </c>
      <c r="B480" t="s">
        <v>699</v>
      </c>
      <c r="C480" t="s">
        <v>14</v>
      </c>
      <c r="D480">
        <v>98.33984375</v>
      </c>
    </row>
    <row r="481" spans="1:4" hidden="1" x14ac:dyDescent="0.3">
      <c r="A481">
        <v>479</v>
      </c>
      <c r="B481" t="s">
        <v>700</v>
      </c>
      <c r="C481" t="s">
        <v>16</v>
      </c>
      <c r="D481">
        <v>4.3707936498049396</v>
      </c>
    </row>
    <row r="482" spans="1:4" hidden="1" x14ac:dyDescent="0.3">
      <c r="A482">
        <v>480</v>
      </c>
      <c r="B482" s="1" t="s">
        <v>701</v>
      </c>
      <c r="C482" t="s">
        <v>140</v>
      </c>
      <c r="D482" s="1" t="s">
        <v>702</v>
      </c>
    </row>
    <row r="483" spans="1:4" hidden="1" x14ac:dyDescent="0.3">
      <c r="A483">
        <v>481</v>
      </c>
      <c r="B483" t="s">
        <v>703</v>
      </c>
      <c r="C483" t="s">
        <v>22</v>
      </c>
      <c r="D483">
        <v>74.05</v>
      </c>
    </row>
    <row r="484" spans="1:4" hidden="1" x14ac:dyDescent="0.3">
      <c r="A484">
        <v>482</v>
      </c>
      <c r="B484" t="s">
        <v>704</v>
      </c>
      <c r="C484" t="s">
        <v>24</v>
      </c>
      <c r="D484">
        <v>6.1201848337828997</v>
      </c>
    </row>
    <row r="485" spans="1:4" hidden="1" x14ac:dyDescent="0.3">
      <c r="A485">
        <v>483</v>
      </c>
      <c r="B485" s="1" t="s">
        <v>705</v>
      </c>
      <c r="C485" t="s">
        <v>145</v>
      </c>
      <c r="D485" s="1" t="s">
        <v>706</v>
      </c>
    </row>
    <row r="486" spans="1:4" hidden="1" x14ac:dyDescent="0.3">
      <c r="A486">
        <v>484</v>
      </c>
      <c r="B486" t="s">
        <v>707</v>
      </c>
      <c r="C486" t="s">
        <v>35</v>
      </c>
      <c r="D486">
        <v>-0.357950729251716</v>
      </c>
    </row>
    <row r="487" spans="1:4" hidden="1" x14ac:dyDescent="0.3">
      <c r="A487">
        <v>485</v>
      </c>
      <c r="B487" t="s">
        <v>708</v>
      </c>
      <c r="C487" t="s">
        <v>149</v>
      </c>
      <c r="D487">
        <v>0.70498933391219998</v>
      </c>
    </row>
    <row r="488" spans="1:4" hidden="1" x14ac:dyDescent="0.3">
      <c r="A488">
        <v>486</v>
      </c>
      <c r="B488" s="1" t="s">
        <v>709</v>
      </c>
      <c r="C488" t="s">
        <v>151</v>
      </c>
      <c r="D488" s="1" t="s">
        <v>710</v>
      </c>
    </row>
    <row r="489" spans="1:4" hidden="1" x14ac:dyDescent="0.3">
      <c r="A489">
        <v>487</v>
      </c>
      <c r="B489" t="s">
        <v>711</v>
      </c>
      <c r="C489" t="s">
        <v>30</v>
      </c>
      <c r="D489">
        <v>0.54803833148001802</v>
      </c>
    </row>
    <row r="490" spans="1:4" hidden="1" x14ac:dyDescent="0.3">
      <c r="A490">
        <v>488</v>
      </c>
      <c r="B490" t="s">
        <v>712</v>
      </c>
      <c r="C490" t="s">
        <v>32</v>
      </c>
      <c r="D490">
        <v>0.20928196428276</v>
      </c>
    </row>
    <row r="491" spans="1:4" hidden="1" x14ac:dyDescent="0.3">
      <c r="A491">
        <v>489</v>
      </c>
      <c r="B491" s="1" t="s">
        <v>713</v>
      </c>
      <c r="C491" t="s">
        <v>155</v>
      </c>
      <c r="D491" s="1" t="s">
        <v>714</v>
      </c>
    </row>
    <row r="492" spans="1:4" hidden="1" x14ac:dyDescent="0.3">
      <c r="A492">
        <v>490</v>
      </c>
      <c r="B492" t="s">
        <v>715</v>
      </c>
      <c r="C492" t="s">
        <v>40</v>
      </c>
      <c r="D492">
        <v>0.80991239777169699</v>
      </c>
    </row>
    <row r="493" spans="1:4" hidden="1" x14ac:dyDescent="0.3">
      <c r="A493">
        <v>491</v>
      </c>
      <c r="B493" t="s">
        <v>716</v>
      </c>
      <c r="C493" t="s">
        <v>42</v>
      </c>
      <c r="D493">
        <v>0.20917921221574801</v>
      </c>
    </row>
    <row r="494" spans="1:4" hidden="1" x14ac:dyDescent="0.3">
      <c r="A494">
        <v>492</v>
      </c>
      <c r="B494" s="1" t="s">
        <v>717</v>
      </c>
      <c r="C494" t="s">
        <v>159</v>
      </c>
      <c r="D494" s="1" t="s">
        <v>718</v>
      </c>
    </row>
    <row r="495" spans="1:4" hidden="1" x14ac:dyDescent="0.3">
      <c r="A495">
        <v>493</v>
      </c>
      <c r="B495" t="s">
        <v>719</v>
      </c>
      <c r="C495" t="s">
        <v>161</v>
      </c>
      <c r="D495">
        <v>1.00415632488873</v>
      </c>
    </row>
    <row r="496" spans="1:4" hidden="1" x14ac:dyDescent="0.3">
      <c r="A496">
        <v>494</v>
      </c>
      <c r="B496" t="s">
        <v>720</v>
      </c>
      <c r="C496" t="s">
        <v>163</v>
      </c>
      <c r="D496">
        <v>1.00027366739102</v>
      </c>
    </row>
    <row r="497" spans="1:4" hidden="1" x14ac:dyDescent="0.3">
      <c r="A497">
        <v>495</v>
      </c>
      <c r="B497" s="1" t="s">
        <v>721</v>
      </c>
      <c r="C497" t="s">
        <v>165</v>
      </c>
      <c r="D497" s="1" t="s">
        <v>722</v>
      </c>
    </row>
    <row r="498" spans="1:4" hidden="1" x14ac:dyDescent="0.3">
      <c r="A498">
        <v>496</v>
      </c>
      <c r="B498" t="s">
        <v>723</v>
      </c>
      <c r="C498" t="s">
        <v>168</v>
      </c>
      <c r="D498">
        <v>1.00051928686189</v>
      </c>
    </row>
    <row r="499" spans="1:4" hidden="1" x14ac:dyDescent="0.3">
      <c r="A499">
        <v>497</v>
      </c>
      <c r="B499" t="s">
        <v>724</v>
      </c>
      <c r="C499" t="s">
        <v>170</v>
      </c>
      <c r="D499">
        <v>0.99981256100110805</v>
      </c>
    </row>
    <row r="500" spans="1:4" hidden="1" x14ac:dyDescent="0.3">
      <c r="A500">
        <v>498</v>
      </c>
      <c r="B500" s="1" t="s">
        <v>725</v>
      </c>
      <c r="C500" t="s">
        <v>172</v>
      </c>
      <c r="D500" s="1" t="s">
        <v>726</v>
      </c>
    </row>
    <row r="501" spans="1:4" hidden="1" x14ac:dyDescent="0.3">
      <c r="A501">
        <v>499</v>
      </c>
      <c r="B501" s="1" t="s">
        <v>727</v>
      </c>
      <c r="C501" t="s">
        <v>55</v>
      </c>
      <c r="D501" s="1" t="s">
        <v>728</v>
      </c>
    </row>
    <row r="502" spans="1:4" hidden="1" x14ac:dyDescent="0.3">
      <c r="A502">
        <v>500</v>
      </c>
      <c r="B502" s="1" t="s">
        <v>729</v>
      </c>
      <c r="C502" t="s">
        <v>52</v>
      </c>
      <c r="D502" s="1" t="s">
        <v>730</v>
      </c>
    </row>
    <row r="503" spans="1:4" hidden="1" x14ac:dyDescent="0.3">
      <c r="A503">
        <v>501</v>
      </c>
      <c r="B503" s="1" t="s">
        <v>731</v>
      </c>
      <c r="C503" t="s">
        <v>58</v>
      </c>
      <c r="D503" s="1" t="s">
        <v>732</v>
      </c>
    </row>
    <row r="504" spans="1:4" hidden="1" x14ac:dyDescent="0.3">
      <c r="A504">
        <v>502</v>
      </c>
      <c r="B504" t="s">
        <v>733</v>
      </c>
      <c r="C504" t="s">
        <v>61</v>
      </c>
      <c r="D504">
        <v>150508439.63020799</v>
      </c>
    </row>
    <row r="505" spans="1:4" hidden="1" x14ac:dyDescent="0.3">
      <c r="A505">
        <v>503</v>
      </c>
      <c r="B505" t="s">
        <v>734</v>
      </c>
      <c r="C505" t="s">
        <v>63</v>
      </c>
      <c r="D505">
        <v>81340658.066956103</v>
      </c>
    </row>
    <row r="506" spans="1:4" hidden="1" x14ac:dyDescent="0.3">
      <c r="A506">
        <v>504</v>
      </c>
      <c r="B506" t="s">
        <v>735</v>
      </c>
      <c r="C506" t="s">
        <v>65</v>
      </c>
      <c r="D506">
        <v>39741506.690231398</v>
      </c>
    </row>
    <row r="507" spans="1:4" hidden="1" x14ac:dyDescent="0.3">
      <c r="A507">
        <v>505</v>
      </c>
      <c r="B507" s="1" t="s">
        <v>736</v>
      </c>
      <c r="C507" t="s">
        <v>67</v>
      </c>
      <c r="D507" s="1" t="s">
        <v>737</v>
      </c>
    </row>
    <row r="508" spans="1:4" hidden="1" x14ac:dyDescent="0.3">
      <c r="A508">
        <v>506</v>
      </c>
      <c r="B508" s="1" t="s">
        <v>738</v>
      </c>
      <c r="C508" t="s">
        <v>70</v>
      </c>
      <c r="D508" s="1" t="s">
        <v>739</v>
      </c>
    </row>
    <row r="509" spans="1:4" hidden="1" x14ac:dyDescent="0.3">
      <c r="A509">
        <v>507</v>
      </c>
      <c r="B509" t="s">
        <v>740</v>
      </c>
      <c r="C509" t="s">
        <v>73</v>
      </c>
      <c r="D509">
        <v>0.99997617146823103</v>
      </c>
    </row>
    <row r="510" spans="1:4" hidden="1" x14ac:dyDescent="0.3">
      <c r="A510">
        <v>508</v>
      </c>
      <c r="B510" t="s">
        <v>74</v>
      </c>
      <c r="C510" t="s">
        <v>75</v>
      </c>
      <c r="D510">
        <v>2.7397260273972599E-3</v>
      </c>
    </row>
    <row r="511" spans="1:4" hidden="1" x14ac:dyDescent="0.3">
      <c r="A511">
        <v>509</v>
      </c>
      <c r="B511" t="s">
        <v>76</v>
      </c>
      <c r="C511" t="s">
        <v>77</v>
      </c>
      <c r="D511">
        <v>0</v>
      </c>
    </row>
    <row r="512" spans="1:4" hidden="1" x14ac:dyDescent="0.3">
      <c r="A512">
        <v>510</v>
      </c>
      <c r="B512" t="s">
        <v>650</v>
      </c>
      <c r="C512" t="s">
        <v>79</v>
      </c>
      <c r="D512" s="2">
        <v>2.2204460492503101E-16</v>
      </c>
    </row>
    <row r="513" spans="1:4" hidden="1" x14ac:dyDescent="0.3">
      <c r="A513">
        <v>511</v>
      </c>
      <c r="B513" s="1" t="s">
        <v>741</v>
      </c>
      <c r="C513" t="s">
        <v>81</v>
      </c>
      <c r="D513" s="1" t="s">
        <v>742</v>
      </c>
    </row>
    <row r="514" spans="1:4" hidden="1" x14ac:dyDescent="0.3">
      <c r="A514">
        <v>512</v>
      </c>
      <c r="B514" t="s">
        <v>743</v>
      </c>
      <c r="C514" t="s">
        <v>84</v>
      </c>
      <c r="D514">
        <v>0.99994622968132096</v>
      </c>
    </row>
    <row r="515" spans="1:4" hidden="1" x14ac:dyDescent="0.3">
      <c r="A515">
        <v>513</v>
      </c>
      <c r="B515" s="1" t="s">
        <v>744</v>
      </c>
      <c r="C515" t="s">
        <v>86</v>
      </c>
      <c r="D515" s="1" t="s">
        <v>745</v>
      </c>
    </row>
    <row r="516" spans="1:4" hidden="1" x14ac:dyDescent="0.3">
      <c r="A516">
        <v>514</v>
      </c>
      <c r="B516" t="s">
        <v>746</v>
      </c>
      <c r="C516" t="s">
        <v>89</v>
      </c>
      <c r="D516">
        <v>100557454.437931</v>
      </c>
    </row>
    <row r="517" spans="1:4" hidden="1" x14ac:dyDescent="0.3">
      <c r="A517">
        <v>515</v>
      </c>
      <c r="B517" s="1" t="s">
        <v>747</v>
      </c>
      <c r="C517" t="s">
        <v>91</v>
      </c>
      <c r="D517" s="1" t="s">
        <v>681</v>
      </c>
    </row>
    <row r="518" spans="1:4" hidden="1" x14ac:dyDescent="0.3">
      <c r="A518">
        <v>516</v>
      </c>
      <c r="B518" t="s">
        <v>748</v>
      </c>
      <c r="C518" t="s">
        <v>94</v>
      </c>
      <c r="D518">
        <v>81340658.066956103</v>
      </c>
    </row>
    <row r="519" spans="1:4" hidden="1" x14ac:dyDescent="0.3">
      <c r="A519">
        <v>517</v>
      </c>
      <c r="B519" t="s">
        <v>749</v>
      </c>
      <c r="C519" t="s">
        <v>96</v>
      </c>
      <c r="D519">
        <v>39741506.690231398</v>
      </c>
    </row>
    <row r="520" spans="1:4" hidden="1" x14ac:dyDescent="0.3">
      <c r="A520">
        <v>518</v>
      </c>
      <c r="B520" t="s">
        <v>750</v>
      </c>
      <c r="C520" t="s">
        <v>98</v>
      </c>
      <c r="D520">
        <v>29426274.873021301</v>
      </c>
    </row>
    <row r="521" spans="1:4" hidden="1" x14ac:dyDescent="0.3">
      <c r="A521">
        <v>519</v>
      </c>
      <c r="B521" s="1" t="s">
        <v>751</v>
      </c>
      <c r="C521" t="s">
        <v>100</v>
      </c>
      <c r="D521" s="1" t="s">
        <v>752</v>
      </c>
    </row>
    <row r="522" spans="1:4" hidden="1" x14ac:dyDescent="0.3">
      <c r="A522">
        <v>520</v>
      </c>
      <c r="B522" t="s">
        <v>753</v>
      </c>
      <c r="C522" t="s">
        <v>103</v>
      </c>
      <c r="D522">
        <v>9.5364097627822601E-3</v>
      </c>
    </row>
    <row r="523" spans="1:4" hidden="1" x14ac:dyDescent="0.3">
      <c r="A523">
        <v>521</v>
      </c>
      <c r="B523" t="s">
        <v>754</v>
      </c>
      <c r="C523" t="s">
        <v>105</v>
      </c>
      <c r="D523">
        <v>1.70968072121102E-3</v>
      </c>
    </row>
    <row r="524" spans="1:4" hidden="1" x14ac:dyDescent="0.3">
      <c r="A524">
        <v>522</v>
      </c>
      <c r="B524" t="s">
        <v>755</v>
      </c>
      <c r="C524" t="s">
        <v>107</v>
      </c>
      <c r="D524">
        <v>1.1181370230265599E-2</v>
      </c>
    </row>
    <row r="525" spans="1:4" hidden="1" x14ac:dyDescent="0.3">
      <c r="A525">
        <v>523</v>
      </c>
      <c r="B525" s="1" t="s">
        <v>756</v>
      </c>
      <c r="C525" t="s">
        <v>109</v>
      </c>
      <c r="D525" s="1" t="s">
        <v>757</v>
      </c>
    </row>
    <row r="526" spans="1:4" x14ac:dyDescent="0.3">
      <c r="A526">
        <v>524</v>
      </c>
      <c r="B526" t="s">
        <v>758</v>
      </c>
      <c r="C526" t="s">
        <v>207</v>
      </c>
      <c r="D526">
        <v>150507395.08363301</v>
      </c>
    </row>
    <row r="527" spans="1:4" hidden="1" x14ac:dyDescent="0.3">
      <c r="A527">
        <v>525</v>
      </c>
      <c r="B527" t="s">
        <v>759</v>
      </c>
      <c r="C527" t="s">
        <v>209</v>
      </c>
      <c r="D527">
        <v>2435.51832525178</v>
      </c>
    </row>
    <row r="528" spans="1:4" hidden="1" x14ac:dyDescent="0.3">
      <c r="A528">
        <v>526</v>
      </c>
      <c r="B528" t="s">
        <v>760</v>
      </c>
      <c r="C528" t="s">
        <v>211</v>
      </c>
      <c r="D528">
        <v>1189.9555021963099</v>
      </c>
    </row>
    <row r="529" spans="1:4" hidden="1" x14ac:dyDescent="0.3">
      <c r="A529">
        <v>527</v>
      </c>
      <c r="B529" s="1" t="s">
        <v>761</v>
      </c>
      <c r="C529" t="s">
        <v>213</v>
      </c>
      <c r="D529" s="1" t="s">
        <v>762</v>
      </c>
    </row>
    <row r="530" spans="1:4" hidden="1" x14ac:dyDescent="0.3">
      <c r="A530">
        <v>528</v>
      </c>
      <c r="B530" t="s">
        <v>763</v>
      </c>
      <c r="C530" t="s">
        <v>216</v>
      </c>
      <c r="D530">
        <v>81337408.952604502</v>
      </c>
    </row>
    <row r="531" spans="1:4" hidden="1" x14ac:dyDescent="0.3">
      <c r="A531">
        <v>529</v>
      </c>
      <c r="B531" t="s">
        <v>764</v>
      </c>
      <c r="C531" t="s">
        <v>218</v>
      </c>
      <c r="D531">
        <v>39740163.855075002</v>
      </c>
    </row>
    <row r="532" spans="1:4" hidden="1" x14ac:dyDescent="0.3">
      <c r="A532">
        <v>530</v>
      </c>
      <c r="B532" t="s">
        <v>765</v>
      </c>
      <c r="C532" t="s">
        <v>220</v>
      </c>
      <c r="D532">
        <v>29425315.708217099</v>
      </c>
    </row>
    <row r="533" spans="1:4" hidden="1" x14ac:dyDescent="0.3">
      <c r="A533">
        <v>531</v>
      </c>
      <c r="B533" s="1" t="s">
        <v>766</v>
      </c>
      <c r="C533" t="s">
        <v>222</v>
      </c>
      <c r="D533" s="1" t="s">
        <v>767</v>
      </c>
    </row>
    <row r="534" spans="1:4" hidden="1" x14ac:dyDescent="0.3">
      <c r="A534">
        <v>532</v>
      </c>
      <c r="B534" t="s">
        <v>768</v>
      </c>
      <c r="C534" t="s">
        <v>225</v>
      </c>
      <c r="D534">
        <v>100554443.49631201</v>
      </c>
    </row>
    <row r="535" spans="1:4" hidden="1" x14ac:dyDescent="0.3">
      <c r="A535">
        <v>533</v>
      </c>
      <c r="B535" t="s">
        <v>769</v>
      </c>
      <c r="C535" t="s">
        <v>227</v>
      </c>
      <c r="D535">
        <v>3010.9416192919002</v>
      </c>
    </row>
    <row r="536" spans="1:4" hidden="1" x14ac:dyDescent="0.3">
      <c r="A536">
        <v>534</v>
      </c>
      <c r="B536" s="1" t="s">
        <v>770</v>
      </c>
      <c r="C536" t="s">
        <v>229</v>
      </c>
      <c r="D536" s="1" t="s">
        <v>771</v>
      </c>
    </row>
    <row r="537" spans="1:4" hidden="1" x14ac:dyDescent="0.3">
      <c r="A537">
        <v>535</v>
      </c>
      <c r="B537" t="s">
        <v>772</v>
      </c>
      <c r="C537" t="s">
        <v>112</v>
      </c>
      <c r="D537">
        <v>-813.59602631537996</v>
      </c>
    </row>
    <row r="538" spans="1:4" hidden="1" x14ac:dyDescent="0.3">
      <c r="A538">
        <v>536</v>
      </c>
      <c r="B538" t="s">
        <v>773</v>
      </c>
      <c r="C538" t="s">
        <v>114</v>
      </c>
      <c r="D538">
        <v>-152.87965417912801</v>
      </c>
    </row>
    <row r="539" spans="1:4" hidden="1" x14ac:dyDescent="0.3">
      <c r="A539">
        <v>537</v>
      </c>
      <c r="B539" s="1" t="s">
        <v>774</v>
      </c>
      <c r="C539" t="s">
        <v>116</v>
      </c>
      <c r="D539" s="1" t="s">
        <v>775</v>
      </c>
    </row>
    <row r="540" spans="1:4" hidden="1" x14ac:dyDescent="0.3">
      <c r="A540">
        <v>538</v>
      </c>
      <c r="B540" t="s">
        <v>776</v>
      </c>
      <c r="C540" t="s">
        <v>119</v>
      </c>
      <c r="D540">
        <v>81337408.952604502</v>
      </c>
    </row>
    <row r="541" spans="1:4" hidden="1" x14ac:dyDescent="0.3">
      <c r="A541">
        <v>539</v>
      </c>
      <c r="B541" t="s">
        <v>777</v>
      </c>
      <c r="C541" t="s">
        <v>121</v>
      </c>
      <c r="D541">
        <v>39740163.855075002</v>
      </c>
    </row>
    <row r="542" spans="1:4" hidden="1" x14ac:dyDescent="0.3">
      <c r="A542">
        <v>540</v>
      </c>
      <c r="B542" s="1" t="s">
        <v>778</v>
      </c>
      <c r="C542" t="s">
        <v>123</v>
      </c>
      <c r="D542" s="1" t="s">
        <v>779</v>
      </c>
    </row>
    <row r="543" spans="1:4" hidden="1" x14ac:dyDescent="0.3">
      <c r="A543">
        <v>541</v>
      </c>
      <c r="B543" t="s">
        <v>780</v>
      </c>
      <c r="C543" t="s">
        <v>126</v>
      </c>
      <c r="D543">
        <v>0.80893275222757199</v>
      </c>
    </row>
    <row r="544" spans="1:4" hidden="1" x14ac:dyDescent="0.3">
      <c r="A544">
        <v>542</v>
      </c>
      <c r="B544" t="s">
        <v>781</v>
      </c>
      <c r="C544" t="s">
        <v>128</v>
      </c>
      <c r="D544">
        <v>0.39523167181281399</v>
      </c>
    </row>
    <row r="545" spans="1:4" hidden="1" x14ac:dyDescent="0.3">
      <c r="A545">
        <v>543</v>
      </c>
      <c r="B545" s="1" t="s">
        <v>782</v>
      </c>
      <c r="C545" t="s">
        <v>130</v>
      </c>
      <c r="D545" s="1" t="s">
        <v>783</v>
      </c>
    </row>
    <row r="546" spans="1:4" hidden="1" x14ac:dyDescent="0.3">
      <c r="A546">
        <v>544</v>
      </c>
      <c r="B546" s="1" t="s">
        <v>784</v>
      </c>
      <c r="C546" t="s">
        <v>4</v>
      </c>
      <c r="D546" t="s">
        <v>785</v>
      </c>
    </row>
    <row r="547" spans="1:4" hidden="1" x14ac:dyDescent="0.3">
      <c r="A547">
        <v>545</v>
      </c>
      <c r="B547" t="s">
        <v>786</v>
      </c>
      <c r="C547" t="s">
        <v>7</v>
      </c>
      <c r="D547">
        <v>1881.25</v>
      </c>
    </row>
    <row r="548" spans="1:4" hidden="1" x14ac:dyDescent="0.3">
      <c r="A548">
        <v>546</v>
      </c>
      <c r="B548" s="1" t="s">
        <v>787</v>
      </c>
      <c r="C548" t="s">
        <v>9</v>
      </c>
      <c r="D548" s="1" t="s">
        <v>788</v>
      </c>
    </row>
    <row r="549" spans="1:4" hidden="1" x14ac:dyDescent="0.3">
      <c r="A549">
        <v>547</v>
      </c>
      <c r="B549" t="s">
        <v>789</v>
      </c>
      <c r="C549" t="s">
        <v>14</v>
      </c>
      <c r="D549">
        <v>98.3046875</v>
      </c>
    </row>
    <row r="550" spans="1:4" hidden="1" x14ac:dyDescent="0.3">
      <c r="A550">
        <v>548</v>
      </c>
      <c r="B550" t="s">
        <v>790</v>
      </c>
      <c r="C550" t="s">
        <v>16</v>
      </c>
      <c r="D550">
        <v>4.3708397643571004</v>
      </c>
    </row>
    <row r="551" spans="1:4" hidden="1" x14ac:dyDescent="0.3">
      <c r="A551">
        <v>549</v>
      </c>
      <c r="B551" s="1" t="s">
        <v>791</v>
      </c>
      <c r="C551" t="s">
        <v>140</v>
      </c>
      <c r="D551" s="1" t="s">
        <v>792</v>
      </c>
    </row>
    <row r="552" spans="1:4" hidden="1" x14ac:dyDescent="0.3">
      <c r="A552">
        <v>550</v>
      </c>
      <c r="B552" t="s">
        <v>793</v>
      </c>
      <c r="C552" t="s">
        <v>22</v>
      </c>
      <c r="D552">
        <v>73.7</v>
      </c>
    </row>
    <row r="553" spans="1:4" hidden="1" x14ac:dyDescent="0.3">
      <c r="A553">
        <v>551</v>
      </c>
      <c r="B553" t="s">
        <v>794</v>
      </c>
      <c r="C553" t="s">
        <v>24</v>
      </c>
      <c r="D553">
        <v>6.1319117576000997</v>
      </c>
    </row>
    <row r="554" spans="1:4" hidden="1" x14ac:dyDescent="0.3">
      <c r="A554">
        <v>552</v>
      </c>
      <c r="B554" s="1" t="s">
        <v>795</v>
      </c>
      <c r="C554" t="s">
        <v>145</v>
      </c>
      <c r="D554" s="1" t="s">
        <v>796</v>
      </c>
    </row>
    <row r="555" spans="1:4" hidden="1" x14ac:dyDescent="0.3">
      <c r="A555">
        <v>553</v>
      </c>
      <c r="B555" t="s">
        <v>797</v>
      </c>
      <c r="C555" t="s">
        <v>35</v>
      </c>
      <c r="D555">
        <v>-0.12928887419511401</v>
      </c>
    </row>
    <row r="556" spans="1:4" hidden="1" x14ac:dyDescent="0.3">
      <c r="A556">
        <v>554</v>
      </c>
      <c r="B556" t="s">
        <v>798</v>
      </c>
      <c r="C556" t="s">
        <v>149</v>
      </c>
      <c r="D556">
        <v>0.70624071475107997</v>
      </c>
    </row>
    <row r="557" spans="1:4" hidden="1" x14ac:dyDescent="0.3">
      <c r="A557">
        <v>555</v>
      </c>
      <c r="B557" s="1" t="s">
        <v>799</v>
      </c>
      <c r="C557" t="s">
        <v>151</v>
      </c>
      <c r="D557" s="1" t="s">
        <v>800</v>
      </c>
    </row>
    <row r="558" spans="1:4" hidden="1" x14ac:dyDescent="0.3">
      <c r="A558">
        <v>556</v>
      </c>
      <c r="B558" t="s">
        <v>801</v>
      </c>
      <c r="C558" t="s">
        <v>30</v>
      </c>
      <c r="D558">
        <v>0.45312895184076701</v>
      </c>
    </row>
    <row r="559" spans="1:4" hidden="1" x14ac:dyDescent="0.3">
      <c r="A559">
        <v>557</v>
      </c>
      <c r="B559" t="s">
        <v>802</v>
      </c>
      <c r="C559" t="s">
        <v>32</v>
      </c>
      <c r="D559">
        <v>0.20885925196161501</v>
      </c>
    </row>
    <row r="560" spans="1:4" hidden="1" x14ac:dyDescent="0.3">
      <c r="A560">
        <v>558</v>
      </c>
      <c r="B560" s="1" t="s">
        <v>803</v>
      </c>
      <c r="C560" t="s">
        <v>155</v>
      </c>
      <c r="D560" s="1" t="s">
        <v>804</v>
      </c>
    </row>
    <row r="561" spans="1:4" hidden="1" x14ac:dyDescent="0.3">
      <c r="A561">
        <v>559</v>
      </c>
      <c r="B561" t="s">
        <v>805</v>
      </c>
      <c r="C561" t="s">
        <v>40</v>
      </c>
      <c r="D561">
        <v>0.67615992235434697</v>
      </c>
    </row>
    <row r="562" spans="1:4" hidden="1" x14ac:dyDescent="0.3">
      <c r="A562">
        <v>560</v>
      </c>
      <c r="B562" t="s">
        <v>806</v>
      </c>
      <c r="C562" t="s">
        <v>42</v>
      </c>
      <c r="D562">
        <v>0.20708856740540599</v>
      </c>
    </row>
    <row r="563" spans="1:4" hidden="1" x14ac:dyDescent="0.3">
      <c r="A563">
        <v>561</v>
      </c>
      <c r="B563" s="1" t="s">
        <v>807</v>
      </c>
      <c r="C563" t="s">
        <v>159</v>
      </c>
      <c r="D563" s="1" t="s">
        <v>808</v>
      </c>
    </row>
    <row r="564" spans="1:4" hidden="1" x14ac:dyDescent="0.3">
      <c r="A564">
        <v>562</v>
      </c>
      <c r="B564" t="s">
        <v>809</v>
      </c>
      <c r="C564" t="s">
        <v>161</v>
      </c>
      <c r="D564">
        <v>1.0021521300227401</v>
      </c>
    </row>
    <row r="565" spans="1:4" hidden="1" x14ac:dyDescent="0.3">
      <c r="A565">
        <v>563</v>
      </c>
      <c r="B565" t="s">
        <v>810</v>
      </c>
      <c r="C565" t="s">
        <v>163</v>
      </c>
      <c r="D565">
        <v>0.99965816456467704</v>
      </c>
    </row>
    <row r="566" spans="1:4" hidden="1" x14ac:dyDescent="0.3">
      <c r="A566">
        <v>564</v>
      </c>
      <c r="B566" s="1" t="s">
        <v>811</v>
      </c>
      <c r="C566" t="s">
        <v>165</v>
      </c>
      <c r="D566" s="1" t="s">
        <v>812</v>
      </c>
    </row>
    <row r="567" spans="1:4" hidden="1" x14ac:dyDescent="0.3">
      <c r="A567">
        <v>565</v>
      </c>
      <c r="B567" t="s">
        <v>813</v>
      </c>
      <c r="C567" t="s">
        <v>168</v>
      </c>
      <c r="D567">
        <v>1.00073395229752</v>
      </c>
    </row>
    <row r="568" spans="1:4" hidden="1" x14ac:dyDescent="0.3">
      <c r="A568">
        <v>566</v>
      </c>
      <c r="B568" t="s">
        <v>814</v>
      </c>
      <c r="C568" t="s">
        <v>170</v>
      </c>
      <c r="D568">
        <v>0.99965044354118404</v>
      </c>
    </row>
    <row r="569" spans="1:4" hidden="1" x14ac:dyDescent="0.3">
      <c r="A569">
        <v>567</v>
      </c>
      <c r="B569" s="1" t="s">
        <v>815</v>
      </c>
      <c r="C569" t="s">
        <v>172</v>
      </c>
      <c r="D569" s="1" t="s">
        <v>816</v>
      </c>
    </row>
    <row r="570" spans="1:4" hidden="1" x14ac:dyDescent="0.3">
      <c r="A570">
        <v>568</v>
      </c>
      <c r="B570" s="1" t="s">
        <v>817</v>
      </c>
      <c r="C570" t="s">
        <v>55</v>
      </c>
      <c r="D570" s="1" t="s">
        <v>818</v>
      </c>
    </row>
    <row r="571" spans="1:4" hidden="1" x14ac:dyDescent="0.3">
      <c r="A571">
        <v>569</v>
      </c>
      <c r="B571" s="1" t="s">
        <v>819</v>
      </c>
      <c r="C571" t="s">
        <v>52</v>
      </c>
      <c r="D571" s="1" t="s">
        <v>820</v>
      </c>
    </row>
    <row r="572" spans="1:4" hidden="1" x14ac:dyDescent="0.3">
      <c r="A572">
        <v>570</v>
      </c>
      <c r="B572" s="1" t="s">
        <v>821</v>
      </c>
      <c r="C572" t="s">
        <v>58</v>
      </c>
      <c r="D572" s="1" t="s">
        <v>822</v>
      </c>
    </row>
    <row r="573" spans="1:4" hidden="1" x14ac:dyDescent="0.3">
      <c r="A573">
        <v>571</v>
      </c>
      <c r="B573" t="s">
        <v>823</v>
      </c>
      <c r="C573" t="s">
        <v>61</v>
      </c>
      <c r="D573">
        <v>150540194.32188401</v>
      </c>
    </row>
    <row r="574" spans="1:4" hidden="1" x14ac:dyDescent="0.3">
      <c r="A574">
        <v>572</v>
      </c>
      <c r="B574" t="s">
        <v>824</v>
      </c>
      <c r="C574" t="s">
        <v>63</v>
      </c>
      <c r="D574">
        <v>81512457.632383898</v>
      </c>
    </row>
    <row r="575" spans="1:4" hidden="1" x14ac:dyDescent="0.3">
      <c r="A575">
        <v>573</v>
      </c>
      <c r="B575" t="s">
        <v>825</v>
      </c>
      <c r="C575" t="s">
        <v>65</v>
      </c>
      <c r="D575">
        <v>39726579.258863799</v>
      </c>
    </row>
    <row r="576" spans="1:4" hidden="1" x14ac:dyDescent="0.3">
      <c r="A576">
        <v>574</v>
      </c>
      <c r="B576" s="1" t="s">
        <v>826</v>
      </c>
      <c r="C576" t="s">
        <v>67</v>
      </c>
      <c r="D576" s="1" t="s">
        <v>827</v>
      </c>
    </row>
    <row r="577" spans="1:4" hidden="1" x14ac:dyDescent="0.3">
      <c r="A577">
        <v>575</v>
      </c>
      <c r="B577" s="1" t="s">
        <v>828</v>
      </c>
      <c r="C577" t="s">
        <v>70</v>
      </c>
      <c r="D577" s="1" t="s">
        <v>829</v>
      </c>
    </row>
    <row r="578" spans="1:4" hidden="1" x14ac:dyDescent="0.3">
      <c r="A578">
        <v>576</v>
      </c>
      <c r="B578" t="s">
        <v>830</v>
      </c>
      <c r="C578" t="s">
        <v>73</v>
      </c>
      <c r="D578">
        <v>0.99994622968132096</v>
      </c>
    </row>
    <row r="579" spans="1:4" hidden="1" x14ac:dyDescent="0.3">
      <c r="A579">
        <v>577</v>
      </c>
      <c r="B579" t="s">
        <v>74</v>
      </c>
      <c r="C579" t="s">
        <v>75</v>
      </c>
      <c r="D579">
        <v>2.7397260273972599E-3</v>
      </c>
    </row>
    <row r="580" spans="1:4" hidden="1" x14ac:dyDescent="0.3">
      <c r="A580">
        <v>578</v>
      </c>
      <c r="B580" t="s">
        <v>76</v>
      </c>
      <c r="C580" t="s">
        <v>77</v>
      </c>
      <c r="D580">
        <v>0</v>
      </c>
    </row>
    <row r="581" spans="1:4" hidden="1" x14ac:dyDescent="0.3">
      <c r="A581">
        <v>579</v>
      </c>
      <c r="B581" t="s">
        <v>78</v>
      </c>
      <c r="C581" t="s">
        <v>79</v>
      </c>
      <c r="D581">
        <v>0</v>
      </c>
    </row>
    <row r="582" spans="1:4" hidden="1" x14ac:dyDescent="0.3">
      <c r="A582">
        <v>580</v>
      </c>
      <c r="B582" s="1" t="s">
        <v>831</v>
      </c>
      <c r="C582" t="s">
        <v>81</v>
      </c>
      <c r="D582" s="1" t="s">
        <v>832</v>
      </c>
    </row>
    <row r="583" spans="1:4" hidden="1" x14ac:dyDescent="0.3">
      <c r="A583">
        <v>581</v>
      </c>
      <c r="B583" t="s">
        <v>833</v>
      </c>
      <c r="C583" t="s">
        <v>84</v>
      </c>
      <c r="D583">
        <v>0.99993248537335999</v>
      </c>
    </row>
    <row r="584" spans="1:4" hidden="1" x14ac:dyDescent="0.3">
      <c r="A584">
        <v>582</v>
      </c>
      <c r="B584" s="1" t="s">
        <v>834</v>
      </c>
      <c r="C584" t="s">
        <v>86</v>
      </c>
      <c r="D584" s="1" t="s">
        <v>835</v>
      </c>
    </row>
    <row r="585" spans="1:4" hidden="1" x14ac:dyDescent="0.3">
      <c r="A585">
        <v>583</v>
      </c>
      <c r="B585" t="s">
        <v>836</v>
      </c>
      <c r="C585" t="s">
        <v>89</v>
      </c>
      <c r="D585">
        <v>100558836.62387</v>
      </c>
    </row>
    <row r="586" spans="1:4" hidden="1" x14ac:dyDescent="0.3">
      <c r="A586">
        <v>584</v>
      </c>
      <c r="B586" s="1" t="s">
        <v>837</v>
      </c>
      <c r="C586" t="s">
        <v>91</v>
      </c>
      <c r="D586" s="1" t="s">
        <v>771</v>
      </c>
    </row>
    <row r="587" spans="1:4" hidden="1" x14ac:dyDescent="0.3">
      <c r="A587">
        <v>585</v>
      </c>
      <c r="B587" t="s">
        <v>838</v>
      </c>
      <c r="C587" t="s">
        <v>94</v>
      </c>
      <c r="D587">
        <v>81512457.632383898</v>
      </c>
    </row>
    <row r="588" spans="1:4" hidden="1" x14ac:dyDescent="0.3">
      <c r="A588">
        <v>586</v>
      </c>
      <c r="B588" t="s">
        <v>839</v>
      </c>
      <c r="C588" t="s">
        <v>96</v>
      </c>
      <c r="D588">
        <v>39726579.258863799</v>
      </c>
    </row>
    <row r="589" spans="1:4" hidden="1" x14ac:dyDescent="0.3">
      <c r="A589">
        <v>587</v>
      </c>
      <c r="B589" t="s">
        <v>840</v>
      </c>
      <c r="C589" t="s">
        <v>98</v>
      </c>
      <c r="D589">
        <v>29301157.4306367</v>
      </c>
    </row>
    <row r="590" spans="1:4" hidden="1" x14ac:dyDescent="0.3">
      <c r="A590">
        <v>588</v>
      </c>
      <c r="B590" s="1" t="s">
        <v>841</v>
      </c>
      <c r="C590" t="s">
        <v>100</v>
      </c>
      <c r="D590" s="1" t="s">
        <v>842</v>
      </c>
    </row>
    <row r="591" spans="1:4" hidden="1" x14ac:dyDescent="0.3">
      <c r="A591">
        <v>589</v>
      </c>
      <c r="B591" t="s">
        <v>843</v>
      </c>
      <c r="C591" t="s">
        <v>103</v>
      </c>
      <c r="D591">
        <v>9.5425447775674705E-3</v>
      </c>
    </row>
    <row r="592" spans="1:4" hidden="1" x14ac:dyDescent="0.3">
      <c r="A592">
        <v>590</v>
      </c>
      <c r="B592" t="s">
        <v>844</v>
      </c>
      <c r="C592" t="s">
        <v>105</v>
      </c>
      <c r="D592">
        <v>1.70972645613713E-3</v>
      </c>
    </row>
    <row r="593" spans="1:4" hidden="1" x14ac:dyDescent="0.3">
      <c r="A593">
        <v>591</v>
      </c>
      <c r="B593" t="s">
        <v>845</v>
      </c>
      <c r="C593" t="s">
        <v>107</v>
      </c>
      <c r="D593">
        <v>1.11940005062869E-2</v>
      </c>
    </row>
    <row r="594" spans="1:4" hidden="1" x14ac:dyDescent="0.3">
      <c r="A594">
        <v>592</v>
      </c>
      <c r="B594" s="1" t="s">
        <v>846</v>
      </c>
      <c r="C594" t="s">
        <v>109</v>
      </c>
      <c r="D594" s="1" t="s">
        <v>847</v>
      </c>
    </row>
    <row r="595" spans="1:4" x14ac:dyDescent="0.3">
      <c r="A595">
        <v>593</v>
      </c>
      <c r="B595" t="s">
        <v>848</v>
      </c>
      <c r="C595" t="s">
        <v>207</v>
      </c>
      <c r="D595">
        <v>150539714.458711</v>
      </c>
    </row>
    <row r="596" spans="1:4" hidden="1" x14ac:dyDescent="0.3">
      <c r="A596">
        <v>594</v>
      </c>
      <c r="B596" t="s">
        <v>849</v>
      </c>
      <c r="C596" t="s">
        <v>209</v>
      </c>
      <c r="D596">
        <v>1120.3874210689301</v>
      </c>
    </row>
    <row r="597" spans="1:4" hidden="1" x14ac:dyDescent="0.3">
      <c r="A597">
        <v>595</v>
      </c>
      <c r="B597" t="s">
        <v>850</v>
      </c>
      <c r="C597" t="s">
        <v>211</v>
      </c>
      <c r="D597">
        <v>546.04273654791405</v>
      </c>
    </row>
    <row r="598" spans="1:4" hidden="1" x14ac:dyDescent="0.3">
      <c r="A598">
        <v>596</v>
      </c>
      <c r="B598" s="1" t="s">
        <v>851</v>
      </c>
      <c r="C598" t="s">
        <v>213</v>
      </c>
      <c r="D598" s="1" t="s">
        <v>852</v>
      </c>
    </row>
    <row r="599" spans="1:4" hidden="1" x14ac:dyDescent="0.3">
      <c r="A599">
        <v>597</v>
      </c>
      <c r="B599" t="s">
        <v>853</v>
      </c>
      <c r="C599" t="s">
        <v>216</v>
      </c>
      <c r="D599">
        <v>81510963.061458901</v>
      </c>
    </row>
    <row r="600" spans="1:4" hidden="1" x14ac:dyDescent="0.3">
      <c r="A600">
        <v>598</v>
      </c>
      <c r="B600" t="s">
        <v>854</v>
      </c>
      <c r="C600" t="s">
        <v>218</v>
      </c>
      <c r="D600">
        <v>39725963.083618499</v>
      </c>
    </row>
    <row r="601" spans="1:4" hidden="1" x14ac:dyDescent="0.3">
      <c r="A601">
        <v>599</v>
      </c>
      <c r="B601" t="s">
        <v>855</v>
      </c>
      <c r="C601" t="s">
        <v>220</v>
      </c>
      <c r="D601">
        <v>29300719.138177499</v>
      </c>
    </row>
    <row r="602" spans="1:4" hidden="1" x14ac:dyDescent="0.3">
      <c r="A602">
        <v>600</v>
      </c>
      <c r="B602" s="1" t="s">
        <v>856</v>
      </c>
      <c r="C602" t="s">
        <v>222</v>
      </c>
      <c r="D602" s="1" t="s">
        <v>857</v>
      </c>
    </row>
    <row r="603" spans="1:4" hidden="1" x14ac:dyDescent="0.3">
      <c r="A603">
        <v>601</v>
      </c>
      <c r="B603" t="s">
        <v>858</v>
      </c>
      <c r="C603" t="s">
        <v>225</v>
      </c>
      <c r="D603">
        <v>100557454.437931</v>
      </c>
    </row>
    <row r="604" spans="1:4" hidden="1" x14ac:dyDescent="0.3">
      <c r="A604">
        <v>602</v>
      </c>
      <c r="B604" t="s">
        <v>859</v>
      </c>
      <c r="C604" t="s">
        <v>227</v>
      </c>
      <c r="D604">
        <v>1382.1859393566799</v>
      </c>
    </row>
    <row r="605" spans="1:4" hidden="1" x14ac:dyDescent="0.3">
      <c r="A605">
        <v>603</v>
      </c>
      <c r="B605" s="1" t="s">
        <v>860</v>
      </c>
      <c r="C605" t="s">
        <v>229</v>
      </c>
      <c r="D605" s="1" t="s">
        <v>861</v>
      </c>
    </row>
    <row r="606" spans="1:4" hidden="1" x14ac:dyDescent="0.3">
      <c r="A606">
        <v>604</v>
      </c>
      <c r="B606" t="s">
        <v>862</v>
      </c>
      <c r="C606" t="s">
        <v>112</v>
      </c>
      <c r="D606">
        <v>-374.18350386864699</v>
      </c>
    </row>
    <row r="607" spans="1:4" hidden="1" x14ac:dyDescent="0.3">
      <c r="A607">
        <v>605</v>
      </c>
      <c r="B607" t="s">
        <v>863</v>
      </c>
      <c r="C607" t="s">
        <v>114</v>
      </c>
      <c r="D607">
        <v>-70.132508753920504</v>
      </c>
    </row>
    <row r="608" spans="1:4" hidden="1" x14ac:dyDescent="0.3">
      <c r="A608">
        <v>606</v>
      </c>
      <c r="B608" s="1" t="s">
        <v>864</v>
      </c>
      <c r="C608" t="s">
        <v>116</v>
      </c>
      <c r="D608" s="1" t="s">
        <v>865</v>
      </c>
    </row>
    <row r="609" spans="1:4" hidden="1" x14ac:dyDescent="0.3">
      <c r="A609">
        <v>607</v>
      </c>
      <c r="B609" t="s">
        <v>866</v>
      </c>
      <c r="C609" t="s">
        <v>119</v>
      </c>
      <c r="D609">
        <v>81510963.061458901</v>
      </c>
    </row>
    <row r="610" spans="1:4" hidden="1" x14ac:dyDescent="0.3">
      <c r="A610">
        <v>608</v>
      </c>
      <c r="B610" t="s">
        <v>867</v>
      </c>
      <c r="C610" t="s">
        <v>121</v>
      </c>
      <c r="D610">
        <v>39725963.083618499</v>
      </c>
    </row>
    <row r="611" spans="1:4" hidden="1" x14ac:dyDescent="0.3">
      <c r="A611">
        <v>609</v>
      </c>
      <c r="B611" s="1" t="s">
        <v>868</v>
      </c>
      <c r="C611" t="s">
        <v>123</v>
      </c>
      <c r="D611" s="1" t="s">
        <v>869</v>
      </c>
    </row>
    <row r="612" spans="1:4" hidden="1" x14ac:dyDescent="0.3">
      <c r="A612">
        <v>610</v>
      </c>
      <c r="B612" t="s">
        <v>870</v>
      </c>
      <c r="C612" t="s">
        <v>126</v>
      </c>
      <c r="D612">
        <v>0.81064568580127605</v>
      </c>
    </row>
    <row r="613" spans="1:4" hidden="1" x14ac:dyDescent="0.3">
      <c r="A613">
        <v>611</v>
      </c>
      <c r="B613" t="s">
        <v>871</v>
      </c>
      <c r="C613" t="s">
        <v>128</v>
      </c>
      <c r="D613">
        <v>0.39508403996839803</v>
      </c>
    </row>
    <row r="614" spans="1:4" hidden="1" x14ac:dyDescent="0.3">
      <c r="A614">
        <v>612</v>
      </c>
      <c r="B614" s="1" t="s">
        <v>872</v>
      </c>
      <c r="C614" t="s">
        <v>130</v>
      </c>
      <c r="D614" s="1" t="s">
        <v>873</v>
      </c>
    </row>
    <row r="615" spans="1:4" hidden="1" x14ac:dyDescent="0.3">
      <c r="A615">
        <v>613</v>
      </c>
      <c r="B615" s="1" t="s">
        <v>874</v>
      </c>
      <c r="C615" t="s">
        <v>4</v>
      </c>
      <c r="D615" t="s">
        <v>875</v>
      </c>
    </row>
    <row r="616" spans="1:4" hidden="1" x14ac:dyDescent="0.3">
      <c r="A616">
        <v>614</v>
      </c>
      <c r="B616" t="s">
        <v>876</v>
      </c>
      <c r="C616" t="s">
        <v>7</v>
      </c>
      <c r="D616">
        <v>1881.02</v>
      </c>
    </row>
    <row r="617" spans="1:4" hidden="1" x14ac:dyDescent="0.3">
      <c r="A617">
        <v>615</v>
      </c>
      <c r="B617" s="1" t="s">
        <v>877</v>
      </c>
      <c r="C617" t="s">
        <v>9</v>
      </c>
      <c r="D617" s="1" t="s">
        <v>878</v>
      </c>
    </row>
    <row r="618" spans="1:4" hidden="1" x14ac:dyDescent="0.3">
      <c r="A618">
        <v>616</v>
      </c>
      <c r="B618" t="s">
        <v>879</v>
      </c>
      <c r="C618" t="s">
        <v>14</v>
      </c>
      <c r="D618">
        <v>98.38671875</v>
      </c>
    </row>
    <row r="619" spans="1:4" hidden="1" x14ac:dyDescent="0.3">
      <c r="A619">
        <v>617</v>
      </c>
      <c r="B619" t="s">
        <v>880</v>
      </c>
      <c r="C619" t="s">
        <v>16</v>
      </c>
      <c r="D619">
        <v>4.3723192974296401</v>
      </c>
    </row>
    <row r="620" spans="1:4" hidden="1" x14ac:dyDescent="0.3">
      <c r="A620">
        <v>618</v>
      </c>
      <c r="B620" s="1" t="s">
        <v>881</v>
      </c>
      <c r="C620" t="s">
        <v>140</v>
      </c>
      <c r="D620" s="1" t="s">
        <v>882</v>
      </c>
    </row>
    <row r="621" spans="1:4" hidden="1" x14ac:dyDescent="0.3">
      <c r="A621">
        <v>619</v>
      </c>
      <c r="B621" t="s">
        <v>703</v>
      </c>
      <c r="C621" t="s">
        <v>22</v>
      </c>
      <c r="D621">
        <v>74.05</v>
      </c>
    </row>
    <row r="622" spans="1:4" hidden="1" x14ac:dyDescent="0.3">
      <c r="A622">
        <v>620</v>
      </c>
      <c r="B622" t="s">
        <v>883</v>
      </c>
      <c r="C622" t="s">
        <v>24</v>
      </c>
      <c r="D622">
        <v>6.13878455147798</v>
      </c>
    </row>
    <row r="623" spans="1:4" hidden="1" x14ac:dyDescent="0.3">
      <c r="A623">
        <v>621</v>
      </c>
      <c r="B623" s="1" t="s">
        <v>884</v>
      </c>
      <c r="C623" t="s">
        <v>145</v>
      </c>
      <c r="D623" s="1" t="s">
        <v>885</v>
      </c>
    </row>
    <row r="624" spans="1:4" hidden="1" x14ac:dyDescent="0.3">
      <c r="A624">
        <v>622</v>
      </c>
      <c r="B624" t="s">
        <v>886</v>
      </c>
      <c r="C624" t="s">
        <v>35</v>
      </c>
      <c r="D624">
        <v>-7.2396734269183999E-2</v>
      </c>
    </row>
    <row r="625" spans="1:4" hidden="1" x14ac:dyDescent="0.3">
      <c r="A625">
        <v>623</v>
      </c>
      <c r="B625" t="s">
        <v>887</v>
      </c>
      <c r="C625" t="s">
        <v>149</v>
      </c>
      <c r="D625">
        <v>0.70542678646845303</v>
      </c>
    </row>
    <row r="626" spans="1:4" hidden="1" x14ac:dyDescent="0.3">
      <c r="A626">
        <v>624</v>
      </c>
      <c r="B626" s="1" t="s">
        <v>888</v>
      </c>
      <c r="C626" t="s">
        <v>151</v>
      </c>
      <c r="D626" s="1" t="s">
        <v>889</v>
      </c>
    </row>
    <row r="627" spans="1:4" hidden="1" x14ac:dyDescent="0.3">
      <c r="A627">
        <v>625</v>
      </c>
      <c r="B627" t="s">
        <v>890</v>
      </c>
      <c r="C627" t="s">
        <v>30</v>
      </c>
      <c r="D627">
        <v>0.43451201773815901</v>
      </c>
    </row>
    <row r="628" spans="1:4" hidden="1" x14ac:dyDescent="0.3">
      <c r="A628">
        <v>626</v>
      </c>
      <c r="B628" t="s">
        <v>891</v>
      </c>
      <c r="C628" t="s">
        <v>32</v>
      </c>
      <c r="D628">
        <v>0.20875088143451101</v>
      </c>
    </row>
    <row r="629" spans="1:4" hidden="1" x14ac:dyDescent="0.3">
      <c r="A629">
        <v>627</v>
      </c>
      <c r="B629" s="1" t="s">
        <v>892</v>
      </c>
      <c r="C629" t="s">
        <v>155</v>
      </c>
      <c r="D629" s="1" t="s">
        <v>893</v>
      </c>
    </row>
    <row r="630" spans="1:4" hidden="1" x14ac:dyDescent="0.3">
      <c r="A630">
        <v>628</v>
      </c>
      <c r="B630" t="s">
        <v>894</v>
      </c>
      <c r="C630" t="s">
        <v>40</v>
      </c>
      <c r="D630">
        <v>0.63788471653102496</v>
      </c>
    </row>
    <row r="631" spans="1:4" hidden="1" x14ac:dyDescent="0.3">
      <c r="A631">
        <v>629</v>
      </c>
      <c r="B631" t="s">
        <v>895</v>
      </c>
      <c r="C631" t="s">
        <v>42</v>
      </c>
      <c r="D631">
        <v>0.208830672288809</v>
      </c>
    </row>
    <row r="632" spans="1:4" hidden="1" x14ac:dyDescent="0.3">
      <c r="A632">
        <v>630</v>
      </c>
      <c r="B632" s="1" t="s">
        <v>896</v>
      </c>
      <c r="C632" t="s">
        <v>159</v>
      </c>
      <c r="D632" s="1" t="s">
        <v>897</v>
      </c>
    </row>
    <row r="633" spans="1:4" hidden="1" x14ac:dyDescent="0.3">
      <c r="A633">
        <v>631</v>
      </c>
      <c r="B633" t="s">
        <v>898</v>
      </c>
      <c r="C633" t="s">
        <v>161</v>
      </c>
      <c r="D633">
        <v>0.999877740863787</v>
      </c>
    </row>
    <row r="634" spans="1:4" hidden="1" x14ac:dyDescent="0.3">
      <c r="A634">
        <v>632</v>
      </c>
      <c r="B634" t="s">
        <v>899</v>
      </c>
      <c r="C634" t="s">
        <v>163</v>
      </c>
      <c r="D634">
        <v>1.00081334652275</v>
      </c>
    </row>
    <row r="635" spans="1:4" hidden="1" x14ac:dyDescent="0.3">
      <c r="A635">
        <v>633</v>
      </c>
      <c r="B635" s="1" t="s">
        <v>900</v>
      </c>
      <c r="C635" t="s">
        <v>165</v>
      </c>
      <c r="D635" s="1" t="s">
        <v>901</v>
      </c>
    </row>
    <row r="636" spans="1:4" hidden="1" x14ac:dyDescent="0.3">
      <c r="A636">
        <v>634</v>
      </c>
      <c r="B636" t="s">
        <v>902</v>
      </c>
      <c r="C636" t="s">
        <v>168</v>
      </c>
      <c r="D636">
        <v>0.99952296983913702</v>
      </c>
    </row>
    <row r="637" spans="1:4" hidden="1" x14ac:dyDescent="0.3">
      <c r="A637">
        <v>635</v>
      </c>
      <c r="B637" t="s">
        <v>903</v>
      </c>
      <c r="C637" t="s">
        <v>170</v>
      </c>
      <c r="D637">
        <v>0.99991035306473497</v>
      </c>
    </row>
    <row r="638" spans="1:4" hidden="1" x14ac:dyDescent="0.3">
      <c r="A638">
        <v>636</v>
      </c>
      <c r="B638" s="1" t="s">
        <v>904</v>
      </c>
      <c r="C638" t="s">
        <v>172</v>
      </c>
      <c r="D638" s="1" t="s">
        <v>905</v>
      </c>
    </row>
    <row r="639" spans="1:4" hidden="1" x14ac:dyDescent="0.3">
      <c r="A639">
        <v>637</v>
      </c>
      <c r="B639" s="1" t="s">
        <v>906</v>
      </c>
      <c r="C639" t="s">
        <v>55</v>
      </c>
      <c r="D639" s="1" t="s">
        <v>907</v>
      </c>
    </row>
    <row r="640" spans="1:4" hidden="1" x14ac:dyDescent="0.3">
      <c r="A640">
        <v>638</v>
      </c>
      <c r="B640" s="1" t="s">
        <v>908</v>
      </c>
      <c r="C640" t="s">
        <v>52</v>
      </c>
      <c r="D640" s="1" t="s">
        <v>909</v>
      </c>
    </row>
    <row r="641" spans="1:4" hidden="1" x14ac:dyDescent="0.3">
      <c r="A641">
        <v>639</v>
      </c>
      <c r="B641" s="1" t="s">
        <v>910</v>
      </c>
      <c r="C641" t="s">
        <v>58</v>
      </c>
      <c r="D641" s="1" t="s">
        <v>911</v>
      </c>
    </row>
    <row r="642" spans="1:4" hidden="1" x14ac:dyDescent="0.3">
      <c r="A642">
        <v>640</v>
      </c>
      <c r="B642" t="s">
        <v>912</v>
      </c>
      <c r="C642" t="s">
        <v>61</v>
      </c>
      <c r="D642">
        <v>150690973.874966</v>
      </c>
    </row>
    <row r="643" spans="1:4" hidden="1" x14ac:dyDescent="0.3">
      <c r="A643">
        <v>641</v>
      </c>
      <c r="B643" t="s">
        <v>913</v>
      </c>
      <c r="C643" t="s">
        <v>63</v>
      </c>
      <c r="D643">
        <v>81500997.601523206</v>
      </c>
    </row>
    <row r="644" spans="1:4" hidden="1" x14ac:dyDescent="0.3">
      <c r="A644">
        <v>642</v>
      </c>
      <c r="B644" t="s">
        <v>914</v>
      </c>
      <c r="C644" t="s">
        <v>65</v>
      </c>
      <c r="D644">
        <v>39758274.057555698</v>
      </c>
    </row>
    <row r="645" spans="1:4" hidden="1" x14ac:dyDescent="0.3">
      <c r="A645">
        <v>643</v>
      </c>
      <c r="B645" s="1" t="s">
        <v>915</v>
      </c>
      <c r="C645" t="s">
        <v>67</v>
      </c>
      <c r="D645" s="1" t="s">
        <v>916</v>
      </c>
    </row>
    <row r="646" spans="1:4" hidden="1" x14ac:dyDescent="0.3">
      <c r="A646">
        <v>644</v>
      </c>
      <c r="B646" s="1" t="s">
        <v>917</v>
      </c>
      <c r="C646" t="s">
        <v>70</v>
      </c>
      <c r="D646" s="1" t="s">
        <v>918</v>
      </c>
    </row>
    <row r="647" spans="1:4" hidden="1" x14ac:dyDescent="0.3">
      <c r="A647">
        <v>645</v>
      </c>
      <c r="B647" t="s">
        <v>919</v>
      </c>
      <c r="C647" t="s">
        <v>73</v>
      </c>
      <c r="D647">
        <v>0.99993248537335999</v>
      </c>
    </row>
    <row r="648" spans="1:4" hidden="1" x14ac:dyDescent="0.3">
      <c r="A648">
        <v>646</v>
      </c>
      <c r="B648" t="s">
        <v>74</v>
      </c>
      <c r="C648" t="s">
        <v>75</v>
      </c>
      <c r="D648">
        <v>2.7397260273972599E-3</v>
      </c>
    </row>
    <row r="649" spans="1:4" hidden="1" x14ac:dyDescent="0.3">
      <c r="A649">
        <v>647</v>
      </c>
      <c r="B649" t="s">
        <v>76</v>
      </c>
      <c r="C649" t="s">
        <v>77</v>
      </c>
      <c r="D649">
        <v>0</v>
      </c>
    </row>
    <row r="650" spans="1:4" hidden="1" x14ac:dyDescent="0.3">
      <c r="A650">
        <v>648</v>
      </c>
      <c r="B650" t="s">
        <v>78</v>
      </c>
      <c r="C650" t="s">
        <v>79</v>
      </c>
      <c r="D650">
        <v>0</v>
      </c>
    </row>
    <row r="651" spans="1:4" hidden="1" x14ac:dyDescent="0.3">
      <c r="A651">
        <v>649</v>
      </c>
      <c r="B651" s="1" t="s">
        <v>920</v>
      </c>
      <c r="C651" t="s">
        <v>81</v>
      </c>
      <c r="D651" s="1" t="s">
        <v>921</v>
      </c>
    </row>
    <row r="652" spans="1:4" hidden="1" x14ac:dyDescent="0.3">
      <c r="A652">
        <v>650</v>
      </c>
      <c r="B652" t="s">
        <v>922</v>
      </c>
      <c r="C652" t="s">
        <v>84</v>
      </c>
      <c r="D652">
        <v>0.999958535659909</v>
      </c>
    </row>
    <row r="653" spans="1:4" hidden="1" x14ac:dyDescent="0.3">
      <c r="A653">
        <v>651</v>
      </c>
      <c r="B653" s="1" t="s">
        <v>923</v>
      </c>
      <c r="C653" t="s">
        <v>86</v>
      </c>
      <c r="D653" s="1" t="s">
        <v>924</v>
      </c>
    </row>
    <row r="654" spans="1:4" hidden="1" x14ac:dyDescent="0.3">
      <c r="A654">
        <v>652</v>
      </c>
      <c r="B654" t="s">
        <v>925</v>
      </c>
      <c r="C654" t="s">
        <v>89</v>
      </c>
      <c r="D654">
        <v>100556216.928737</v>
      </c>
    </row>
    <row r="655" spans="1:4" hidden="1" x14ac:dyDescent="0.3">
      <c r="A655">
        <v>653</v>
      </c>
      <c r="B655" s="1" t="s">
        <v>926</v>
      </c>
      <c r="C655" t="s">
        <v>91</v>
      </c>
      <c r="D655" s="1" t="s">
        <v>861</v>
      </c>
    </row>
    <row r="656" spans="1:4" hidden="1" x14ac:dyDescent="0.3">
      <c r="A656">
        <v>654</v>
      </c>
      <c r="B656" t="s">
        <v>927</v>
      </c>
      <c r="C656" t="s">
        <v>94</v>
      </c>
      <c r="D656">
        <v>81500997.601523206</v>
      </c>
    </row>
    <row r="657" spans="1:4" hidden="1" x14ac:dyDescent="0.3">
      <c r="A657">
        <v>655</v>
      </c>
      <c r="B657" t="s">
        <v>928</v>
      </c>
      <c r="C657" t="s">
        <v>96</v>
      </c>
      <c r="D657">
        <v>39758274.057555698</v>
      </c>
    </row>
    <row r="658" spans="1:4" hidden="1" x14ac:dyDescent="0.3">
      <c r="A658">
        <v>656</v>
      </c>
      <c r="B658" t="s">
        <v>929</v>
      </c>
      <c r="C658" t="s">
        <v>98</v>
      </c>
      <c r="D658">
        <v>29431702.215887301</v>
      </c>
    </row>
    <row r="659" spans="1:4" hidden="1" x14ac:dyDescent="0.3">
      <c r="A659">
        <v>657</v>
      </c>
      <c r="B659" s="1" t="s">
        <v>930</v>
      </c>
      <c r="C659" t="s">
        <v>100</v>
      </c>
      <c r="D659" s="1" t="s">
        <v>931</v>
      </c>
    </row>
    <row r="660" spans="1:4" hidden="1" x14ac:dyDescent="0.3">
      <c r="A660">
        <v>658</v>
      </c>
      <c r="B660" t="s">
        <v>932</v>
      </c>
      <c r="C660" t="s">
        <v>103</v>
      </c>
      <c r="D660">
        <v>9.5046805214696207E-3</v>
      </c>
    </row>
    <row r="661" spans="1:4" hidden="1" x14ac:dyDescent="0.3">
      <c r="A661">
        <v>659</v>
      </c>
      <c r="B661" t="s">
        <v>933</v>
      </c>
      <c r="C661" t="s">
        <v>105</v>
      </c>
      <c r="D661">
        <v>1.7126732190181201E-3</v>
      </c>
    </row>
    <row r="662" spans="1:4" hidden="1" x14ac:dyDescent="0.3">
      <c r="A662">
        <v>660</v>
      </c>
      <c r="B662" t="s">
        <v>934</v>
      </c>
      <c r="C662" t="s">
        <v>107</v>
      </c>
      <c r="D662">
        <v>1.1159919207152799E-2</v>
      </c>
    </row>
    <row r="663" spans="1:4" hidden="1" x14ac:dyDescent="0.3">
      <c r="A663">
        <v>661</v>
      </c>
      <c r="B663" s="1" t="s">
        <v>935</v>
      </c>
      <c r="C663" t="s">
        <v>109</v>
      </c>
      <c r="D663" s="1" t="s">
        <v>936</v>
      </c>
    </row>
    <row r="664" spans="1:4" x14ac:dyDescent="0.3">
      <c r="A664">
        <v>662</v>
      </c>
      <c r="B664" t="s">
        <v>937</v>
      </c>
      <c r="C664" t="s">
        <v>207</v>
      </c>
      <c r="D664">
        <v>150691883.04844299</v>
      </c>
    </row>
    <row r="665" spans="1:4" hidden="1" x14ac:dyDescent="0.3">
      <c r="A665">
        <v>663</v>
      </c>
      <c r="B665" t="s">
        <v>938</v>
      </c>
      <c r="C665" t="s">
        <v>209</v>
      </c>
      <c r="D665">
        <v>-2123.2861479696098</v>
      </c>
    </row>
    <row r="666" spans="1:4" hidden="1" x14ac:dyDescent="0.3">
      <c r="A666">
        <v>664</v>
      </c>
      <c r="B666" t="s">
        <v>939</v>
      </c>
      <c r="C666" t="s">
        <v>211</v>
      </c>
      <c r="D666">
        <v>-1035.7878289176299</v>
      </c>
    </row>
    <row r="667" spans="1:4" hidden="1" x14ac:dyDescent="0.3">
      <c r="A667">
        <v>665</v>
      </c>
      <c r="B667" s="1" t="s">
        <v>940</v>
      </c>
      <c r="C667" t="s">
        <v>213</v>
      </c>
      <c r="D667" s="1" t="s">
        <v>941</v>
      </c>
    </row>
    <row r="668" spans="1:4" hidden="1" x14ac:dyDescent="0.3">
      <c r="A668">
        <v>666</v>
      </c>
      <c r="B668" t="s">
        <v>942</v>
      </c>
      <c r="C668" t="s">
        <v>216</v>
      </c>
      <c r="D668">
        <v>81503829.269023895</v>
      </c>
    </row>
    <row r="669" spans="1:4" hidden="1" x14ac:dyDescent="0.3">
      <c r="A669">
        <v>667</v>
      </c>
      <c r="B669" t="s">
        <v>943</v>
      </c>
      <c r="C669" t="s">
        <v>218</v>
      </c>
      <c r="D669">
        <v>39759442.903050698</v>
      </c>
    </row>
    <row r="670" spans="1:4" hidden="1" x14ac:dyDescent="0.3">
      <c r="A670">
        <v>668</v>
      </c>
      <c r="B670" t="s">
        <v>944</v>
      </c>
      <c r="C670" t="s">
        <v>220</v>
      </c>
      <c r="D670">
        <v>29432536.708153501</v>
      </c>
    </row>
    <row r="671" spans="1:4" hidden="1" x14ac:dyDescent="0.3">
      <c r="A671">
        <v>669</v>
      </c>
      <c r="B671" s="1" t="s">
        <v>945</v>
      </c>
      <c r="C671" t="s">
        <v>222</v>
      </c>
      <c r="D671" s="1" t="s">
        <v>946</v>
      </c>
    </row>
    <row r="672" spans="1:4" hidden="1" x14ac:dyDescent="0.3">
      <c r="A672">
        <v>670</v>
      </c>
      <c r="B672" t="s">
        <v>947</v>
      </c>
      <c r="C672" t="s">
        <v>225</v>
      </c>
      <c r="D672">
        <v>100558836.62387</v>
      </c>
    </row>
    <row r="673" spans="1:4" hidden="1" x14ac:dyDescent="0.3">
      <c r="A673">
        <v>671</v>
      </c>
      <c r="B673" t="s">
        <v>948</v>
      </c>
      <c r="C673" t="s">
        <v>227</v>
      </c>
      <c r="D673">
        <v>-2619.69513303041</v>
      </c>
    </row>
    <row r="674" spans="1:4" hidden="1" x14ac:dyDescent="0.3">
      <c r="A674">
        <v>672</v>
      </c>
      <c r="B674" s="1" t="s">
        <v>949</v>
      </c>
      <c r="C674" t="s">
        <v>229</v>
      </c>
      <c r="D674" s="1" t="s">
        <v>950</v>
      </c>
    </row>
    <row r="675" spans="1:4" hidden="1" x14ac:dyDescent="0.3">
      <c r="A675">
        <v>673</v>
      </c>
      <c r="B675" t="s">
        <v>951</v>
      </c>
      <c r="C675" t="s">
        <v>112</v>
      </c>
      <c r="D675">
        <v>708.381352802538</v>
      </c>
    </row>
    <row r="676" spans="1:4" hidden="1" x14ac:dyDescent="0.3">
      <c r="A676">
        <v>674</v>
      </c>
      <c r="B676" t="s">
        <v>952</v>
      </c>
      <c r="C676" t="s">
        <v>114</v>
      </c>
      <c r="D676">
        <v>133.057666125628</v>
      </c>
    </row>
    <row r="677" spans="1:4" hidden="1" x14ac:dyDescent="0.3">
      <c r="A677">
        <v>675</v>
      </c>
      <c r="B677" s="1" t="s">
        <v>953</v>
      </c>
      <c r="C677" t="s">
        <v>116</v>
      </c>
      <c r="D677" s="1" t="s">
        <v>954</v>
      </c>
    </row>
    <row r="678" spans="1:4" hidden="1" x14ac:dyDescent="0.3">
      <c r="A678">
        <v>676</v>
      </c>
      <c r="B678" t="s">
        <v>955</v>
      </c>
      <c r="C678" t="s">
        <v>119</v>
      </c>
      <c r="D678">
        <v>81503829.269023895</v>
      </c>
    </row>
    <row r="679" spans="1:4" hidden="1" x14ac:dyDescent="0.3">
      <c r="A679">
        <v>677</v>
      </c>
      <c r="B679" t="s">
        <v>956</v>
      </c>
      <c r="C679" t="s">
        <v>121</v>
      </c>
      <c r="D679">
        <v>39759442.903050698</v>
      </c>
    </row>
    <row r="680" spans="1:4" hidden="1" x14ac:dyDescent="0.3">
      <c r="A680">
        <v>678</v>
      </c>
      <c r="B680" s="1" t="s">
        <v>957</v>
      </c>
      <c r="C680" t="s">
        <v>123</v>
      </c>
      <c r="D680" s="1" t="s">
        <v>958</v>
      </c>
    </row>
    <row r="681" spans="1:4" hidden="1" x14ac:dyDescent="0.3">
      <c r="A681">
        <v>679</v>
      </c>
      <c r="B681" t="s">
        <v>959</v>
      </c>
      <c r="C681" t="s">
        <v>126</v>
      </c>
      <c r="D681">
        <v>0.81054248088134495</v>
      </c>
    </row>
    <row r="682" spans="1:4" hidden="1" x14ac:dyDescent="0.3">
      <c r="A682">
        <v>680</v>
      </c>
      <c r="B682" t="s">
        <v>960</v>
      </c>
      <c r="C682" t="s">
        <v>128</v>
      </c>
      <c r="D682">
        <v>0.39540126860452801</v>
      </c>
    </row>
    <row r="683" spans="1:4" hidden="1" x14ac:dyDescent="0.3">
      <c r="A683">
        <v>681</v>
      </c>
      <c r="B683" s="1" t="s">
        <v>961</v>
      </c>
      <c r="C683" t="s">
        <v>130</v>
      </c>
      <c r="D683" s="1" t="s">
        <v>962</v>
      </c>
    </row>
    <row r="684" spans="1:4" hidden="1" x14ac:dyDescent="0.3">
      <c r="A684">
        <v>682</v>
      </c>
      <c r="B684" s="1" t="s">
        <v>963</v>
      </c>
      <c r="C684" t="s">
        <v>4</v>
      </c>
      <c r="D684" t="s">
        <v>964</v>
      </c>
    </row>
    <row r="685" spans="1:4" hidden="1" x14ac:dyDescent="0.3">
      <c r="A685">
        <v>683</v>
      </c>
      <c r="B685" t="s">
        <v>965</v>
      </c>
      <c r="C685" t="s">
        <v>7</v>
      </c>
      <c r="D685">
        <v>1899.25</v>
      </c>
    </row>
    <row r="686" spans="1:4" hidden="1" x14ac:dyDescent="0.3">
      <c r="A686">
        <v>684</v>
      </c>
      <c r="B686" s="1" t="s">
        <v>966</v>
      </c>
      <c r="C686" t="s">
        <v>9</v>
      </c>
      <c r="D686" s="1" t="s">
        <v>967</v>
      </c>
    </row>
    <row r="687" spans="1:4" hidden="1" x14ac:dyDescent="0.3">
      <c r="A687">
        <v>685</v>
      </c>
      <c r="B687" t="s">
        <v>968</v>
      </c>
      <c r="C687" t="s">
        <v>14</v>
      </c>
      <c r="D687">
        <v>98.5234375</v>
      </c>
    </row>
    <row r="688" spans="1:4" hidden="1" x14ac:dyDescent="0.3">
      <c r="A688">
        <v>686</v>
      </c>
      <c r="B688" t="s">
        <v>969</v>
      </c>
      <c r="C688" t="s">
        <v>16</v>
      </c>
      <c r="D688">
        <v>4.3761153921142002</v>
      </c>
    </row>
    <row r="689" spans="1:4" hidden="1" x14ac:dyDescent="0.3">
      <c r="A689">
        <v>687</v>
      </c>
      <c r="B689" s="1" t="s">
        <v>970</v>
      </c>
      <c r="C689" t="s">
        <v>140</v>
      </c>
      <c r="D689" s="1" t="s">
        <v>971</v>
      </c>
    </row>
    <row r="690" spans="1:4" hidden="1" x14ac:dyDescent="0.3">
      <c r="A690">
        <v>688</v>
      </c>
      <c r="B690" t="s">
        <v>972</v>
      </c>
      <c r="C690" t="s">
        <v>22</v>
      </c>
      <c r="D690">
        <v>74.7</v>
      </c>
    </row>
    <row r="691" spans="1:4" hidden="1" x14ac:dyDescent="0.3">
      <c r="A691">
        <v>689</v>
      </c>
      <c r="B691" t="s">
        <v>973</v>
      </c>
      <c r="C691" t="s">
        <v>24</v>
      </c>
      <c r="D691">
        <v>6.1551795411931298</v>
      </c>
    </row>
    <row r="692" spans="1:4" hidden="1" x14ac:dyDescent="0.3">
      <c r="A692">
        <v>690</v>
      </c>
      <c r="B692" s="1" t="s">
        <v>974</v>
      </c>
      <c r="C692" t="s">
        <v>145</v>
      </c>
      <c r="D692" s="1" t="s">
        <v>975</v>
      </c>
    </row>
    <row r="693" spans="1:4" hidden="1" x14ac:dyDescent="0.3">
      <c r="A693">
        <v>691</v>
      </c>
      <c r="B693" t="s">
        <v>976</v>
      </c>
      <c r="C693" t="s">
        <v>35</v>
      </c>
      <c r="D693">
        <v>-0.33371817361114597</v>
      </c>
    </row>
    <row r="694" spans="1:4" hidden="1" x14ac:dyDescent="0.3">
      <c r="A694">
        <v>692</v>
      </c>
      <c r="B694" t="s">
        <v>977</v>
      </c>
      <c r="C694" t="s">
        <v>149</v>
      </c>
      <c r="D694">
        <v>0.70454365832600296</v>
      </c>
    </row>
    <row r="695" spans="1:4" hidden="1" x14ac:dyDescent="0.3">
      <c r="A695">
        <v>693</v>
      </c>
      <c r="B695" s="1" t="s">
        <v>978</v>
      </c>
      <c r="C695" t="s">
        <v>151</v>
      </c>
      <c r="D695" s="1" t="s">
        <v>979</v>
      </c>
    </row>
    <row r="696" spans="1:4" hidden="1" x14ac:dyDescent="0.3">
      <c r="A696">
        <v>694</v>
      </c>
      <c r="B696" t="s">
        <v>980</v>
      </c>
      <c r="C696" t="s">
        <v>30</v>
      </c>
      <c r="D696">
        <v>0.53580739308904402</v>
      </c>
    </row>
    <row r="697" spans="1:4" hidden="1" x14ac:dyDescent="0.3">
      <c r="A697">
        <v>695</v>
      </c>
      <c r="B697" t="s">
        <v>981</v>
      </c>
      <c r="C697" t="s">
        <v>32</v>
      </c>
      <c r="D697">
        <v>0.20968114000347199</v>
      </c>
    </row>
    <row r="698" spans="1:4" hidden="1" x14ac:dyDescent="0.3">
      <c r="A698">
        <v>696</v>
      </c>
      <c r="B698" s="1" t="s">
        <v>982</v>
      </c>
      <c r="C698" t="s">
        <v>155</v>
      </c>
      <c r="D698" s="1" t="s">
        <v>983</v>
      </c>
    </row>
    <row r="699" spans="1:4" hidden="1" x14ac:dyDescent="0.3">
      <c r="A699">
        <v>697</v>
      </c>
      <c r="B699" t="s">
        <v>984</v>
      </c>
      <c r="C699" t="s">
        <v>40</v>
      </c>
      <c r="D699">
        <v>0.79791078052210196</v>
      </c>
    </row>
    <row r="700" spans="1:4" hidden="1" x14ac:dyDescent="0.3">
      <c r="A700">
        <v>698</v>
      </c>
      <c r="B700" t="s">
        <v>985</v>
      </c>
      <c r="C700" t="s">
        <v>42</v>
      </c>
      <c r="D700">
        <v>0.209677317321941</v>
      </c>
    </row>
    <row r="701" spans="1:4" hidden="1" x14ac:dyDescent="0.3">
      <c r="A701">
        <v>699</v>
      </c>
      <c r="B701" s="1" t="s">
        <v>986</v>
      </c>
      <c r="C701" t="s">
        <v>159</v>
      </c>
      <c r="D701" s="1" t="s">
        <v>987</v>
      </c>
    </row>
    <row r="702" spans="1:4" hidden="1" x14ac:dyDescent="0.3">
      <c r="A702">
        <v>700</v>
      </c>
      <c r="B702" t="s">
        <v>988</v>
      </c>
      <c r="C702" t="s">
        <v>161</v>
      </c>
      <c r="D702">
        <v>1.00969155032907</v>
      </c>
    </row>
    <row r="703" spans="1:4" hidden="1" x14ac:dyDescent="0.3">
      <c r="A703">
        <v>701</v>
      </c>
      <c r="B703" t="s">
        <v>989</v>
      </c>
      <c r="C703" t="s">
        <v>163</v>
      </c>
      <c r="D703">
        <v>1.00136742078706</v>
      </c>
    </row>
    <row r="704" spans="1:4" hidden="1" x14ac:dyDescent="0.3">
      <c r="A704">
        <v>702</v>
      </c>
      <c r="B704" s="1" t="s">
        <v>990</v>
      </c>
      <c r="C704" t="s">
        <v>165</v>
      </c>
      <c r="D704" s="1" t="s">
        <v>991</v>
      </c>
    </row>
    <row r="705" spans="1:4" hidden="1" x14ac:dyDescent="0.3">
      <c r="A705">
        <v>703</v>
      </c>
      <c r="B705" t="s">
        <v>992</v>
      </c>
      <c r="C705" t="s">
        <v>168</v>
      </c>
      <c r="D705">
        <v>0.99948216590154604</v>
      </c>
    </row>
    <row r="706" spans="1:4" hidden="1" x14ac:dyDescent="0.3">
      <c r="A706">
        <v>704</v>
      </c>
      <c r="B706" t="s">
        <v>993</v>
      </c>
      <c r="C706" t="s">
        <v>170</v>
      </c>
      <c r="D706">
        <v>1.0007696032186999</v>
      </c>
    </row>
    <row r="707" spans="1:4" hidden="1" x14ac:dyDescent="0.3">
      <c r="A707">
        <v>705</v>
      </c>
      <c r="B707" s="1" t="s">
        <v>994</v>
      </c>
      <c r="C707" t="s">
        <v>172</v>
      </c>
      <c r="D707" s="1" t="s">
        <v>995</v>
      </c>
    </row>
    <row r="708" spans="1:4" hidden="1" x14ac:dyDescent="0.3">
      <c r="A708">
        <v>706</v>
      </c>
      <c r="B708" s="1" t="s">
        <v>996</v>
      </c>
      <c r="C708" t="s">
        <v>55</v>
      </c>
      <c r="D708" s="1" t="s">
        <v>997</v>
      </c>
    </row>
    <row r="709" spans="1:4" hidden="1" x14ac:dyDescent="0.3">
      <c r="A709">
        <v>707</v>
      </c>
      <c r="B709" s="1" t="s">
        <v>998</v>
      </c>
      <c r="C709" t="s">
        <v>52</v>
      </c>
      <c r="D709" s="1" t="s">
        <v>999</v>
      </c>
    </row>
    <row r="710" spans="1:4" hidden="1" x14ac:dyDescent="0.3">
      <c r="A710">
        <v>708</v>
      </c>
      <c r="B710" s="1" t="s">
        <v>1000</v>
      </c>
      <c r="C710" t="s">
        <v>58</v>
      </c>
      <c r="D710" s="1" t="s">
        <v>1001</v>
      </c>
    </row>
    <row r="711" spans="1:4" hidden="1" x14ac:dyDescent="0.3">
      <c r="A711">
        <v>709</v>
      </c>
      <c r="B711" t="s">
        <v>1002</v>
      </c>
      <c r="C711" t="s">
        <v>61</v>
      </c>
      <c r="D711">
        <v>151784669.22518</v>
      </c>
    </row>
    <row r="712" spans="1:4" hidden="1" x14ac:dyDescent="0.3">
      <c r="A712">
        <v>710</v>
      </c>
      <c r="B712" t="s">
        <v>1003</v>
      </c>
      <c r="C712" t="s">
        <v>63</v>
      </c>
      <c r="D712">
        <v>82293727.732397199</v>
      </c>
    </row>
    <row r="713" spans="1:4" hidden="1" x14ac:dyDescent="0.3">
      <c r="A713">
        <v>711</v>
      </c>
      <c r="B713" t="s">
        <v>1004</v>
      </c>
      <c r="C713" t="s">
        <v>65</v>
      </c>
      <c r="D713">
        <v>39813810.791758299</v>
      </c>
    </row>
    <row r="714" spans="1:4" hidden="1" x14ac:dyDescent="0.3">
      <c r="A714">
        <v>712</v>
      </c>
      <c r="B714" s="1" t="s">
        <v>1005</v>
      </c>
      <c r="C714" t="s">
        <v>67</v>
      </c>
      <c r="D714" s="1" t="s">
        <v>1006</v>
      </c>
    </row>
    <row r="715" spans="1:4" hidden="1" x14ac:dyDescent="0.3">
      <c r="A715">
        <v>713</v>
      </c>
      <c r="B715" s="1" t="s">
        <v>1007</v>
      </c>
      <c r="C715" t="s">
        <v>70</v>
      </c>
      <c r="D715" s="1" t="s">
        <v>1008</v>
      </c>
    </row>
    <row r="716" spans="1:4" hidden="1" x14ac:dyDescent="0.3">
      <c r="A716">
        <v>714</v>
      </c>
      <c r="B716" t="s">
        <v>1009</v>
      </c>
      <c r="C716" t="s">
        <v>73</v>
      </c>
      <c r="D716">
        <v>0.999958535659909</v>
      </c>
    </row>
    <row r="717" spans="1:4" hidden="1" x14ac:dyDescent="0.3">
      <c r="A717">
        <v>715</v>
      </c>
      <c r="B717" t="s">
        <v>74</v>
      </c>
      <c r="C717" t="s">
        <v>75</v>
      </c>
      <c r="D717">
        <v>2.7397260273972599E-3</v>
      </c>
    </row>
    <row r="718" spans="1:4" hidden="1" x14ac:dyDescent="0.3">
      <c r="A718">
        <v>716</v>
      </c>
      <c r="B718" t="s">
        <v>76</v>
      </c>
      <c r="C718" t="s">
        <v>77</v>
      </c>
      <c r="D718">
        <v>0</v>
      </c>
    </row>
    <row r="719" spans="1:4" hidden="1" x14ac:dyDescent="0.3">
      <c r="A719">
        <v>717</v>
      </c>
      <c r="B719" t="s">
        <v>78</v>
      </c>
      <c r="C719" t="s">
        <v>79</v>
      </c>
      <c r="D719">
        <v>0</v>
      </c>
    </row>
    <row r="720" spans="1:4" hidden="1" x14ac:dyDescent="0.3">
      <c r="A720">
        <v>718</v>
      </c>
      <c r="B720" s="1" t="s">
        <v>1010</v>
      </c>
      <c r="C720" t="s">
        <v>81</v>
      </c>
      <c r="D720" s="1" t="s">
        <v>1011</v>
      </c>
    </row>
    <row r="721" spans="1:4" hidden="1" x14ac:dyDescent="0.3">
      <c r="A721">
        <v>719</v>
      </c>
      <c r="B721" t="s">
        <v>1012</v>
      </c>
      <c r="C721" t="s">
        <v>84</v>
      </c>
      <c r="D721">
        <v>0.99995121489019401</v>
      </c>
    </row>
    <row r="722" spans="1:4" hidden="1" x14ac:dyDescent="0.3">
      <c r="A722">
        <v>720</v>
      </c>
      <c r="B722" s="1" t="s">
        <v>1013</v>
      </c>
      <c r="C722" t="s">
        <v>86</v>
      </c>
      <c r="D722" s="1" t="s">
        <v>1014</v>
      </c>
    </row>
    <row r="723" spans="1:4" hidden="1" x14ac:dyDescent="0.3">
      <c r="A723">
        <v>721</v>
      </c>
      <c r="B723" t="s">
        <v>1015</v>
      </c>
      <c r="C723" t="s">
        <v>89</v>
      </c>
      <c r="D723">
        <v>101194716.278798</v>
      </c>
    </row>
    <row r="724" spans="1:4" hidden="1" x14ac:dyDescent="0.3">
      <c r="A724">
        <v>722</v>
      </c>
      <c r="B724" s="1" t="s">
        <v>1016</v>
      </c>
      <c r="C724" t="s">
        <v>91</v>
      </c>
      <c r="D724" s="1" t="s">
        <v>950</v>
      </c>
    </row>
    <row r="725" spans="1:4" hidden="1" x14ac:dyDescent="0.3">
      <c r="A725">
        <v>723</v>
      </c>
      <c r="B725" t="s">
        <v>1017</v>
      </c>
      <c r="C725" t="s">
        <v>94</v>
      </c>
      <c r="D725">
        <v>82293727.732397199</v>
      </c>
    </row>
    <row r="726" spans="1:4" hidden="1" x14ac:dyDescent="0.3">
      <c r="A726">
        <v>724</v>
      </c>
      <c r="B726" t="s">
        <v>1018</v>
      </c>
      <c r="C726" t="s">
        <v>96</v>
      </c>
      <c r="D726">
        <v>39813810.791758299</v>
      </c>
    </row>
    <row r="727" spans="1:4" hidden="1" x14ac:dyDescent="0.3">
      <c r="A727">
        <v>725</v>
      </c>
      <c r="B727" t="s">
        <v>1019</v>
      </c>
      <c r="C727" t="s">
        <v>98</v>
      </c>
      <c r="D727">
        <v>29677130.701024599</v>
      </c>
    </row>
    <row r="728" spans="1:4" hidden="1" x14ac:dyDescent="0.3">
      <c r="A728">
        <v>726</v>
      </c>
      <c r="B728" s="1" t="s">
        <v>1020</v>
      </c>
      <c r="C728" t="s">
        <v>100</v>
      </c>
      <c r="D728" s="1" t="s">
        <v>1021</v>
      </c>
    </row>
    <row r="729" spans="1:4" hidden="1" x14ac:dyDescent="0.3">
      <c r="A729">
        <v>727</v>
      </c>
      <c r="B729" t="s">
        <v>1022</v>
      </c>
      <c r="C729" t="s">
        <v>103</v>
      </c>
      <c r="D729">
        <v>9.4830256046964205E-3</v>
      </c>
    </row>
    <row r="730" spans="1:4" hidden="1" x14ac:dyDescent="0.3">
      <c r="A730">
        <v>728</v>
      </c>
      <c r="B730" t="s">
        <v>1023</v>
      </c>
      <c r="C730" t="s">
        <v>105</v>
      </c>
      <c r="D730">
        <v>1.71970306186081E-3</v>
      </c>
    </row>
    <row r="731" spans="1:4" hidden="1" x14ac:dyDescent="0.3">
      <c r="A731">
        <v>729</v>
      </c>
      <c r="B731" t="s">
        <v>1024</v>
      </c>
      <c r="C731" t="s">
        <v>107</v>
      </c>
      <c r="D731">
        <v>1.11418756378312E-2</v>
      </c>
    </row>
    <row r="732" spans="1:4" hidden="1" x14ac:dyDescent="0.3">
      <c r="A732">
        <v>730</v>
      </c>
      <c r="B732" s="1" t="s">
        <v>1025</v>
      </c>
      <c r="C732" t="s">
        <v>109</v>
      </c>
      <c r="D732" s="1" t="s">
        <v>1026</v>
      </c>
    </row>
    <row r="733" spans="1:4" x14ac:dyDescent="0.3">
      <c r="A733">
        <v>731</v>
      </c>
      <c r="B733" t="s">
        <v>1027</v>
      </c>
      <c r="C733" t="s">
        <v>207</v>
      </c>
      <c r="D733">
        <v>151784412.346003</v>
      </c>
    </row>
    <row r="734" spans="1:4" hidden="1" x14ac:dyDescent="0.3">
      <c r="A734">
        <v>732</v>
      </c>
      <c r="B734" t="s">
        <v>1028</v>
      </c>
      <c r="C734" t="s">
        <v>209</v>
      </c>
      <c r="D734">
        <v>519240.18738469202</v>
      </c>
    </row>
    <row r="735" spans="1:4" hidden="1" x14ac:dyDescent="0.3">
      <c r="A735">
        <v>733</v>
      </c>
      <c r="B735" t="s">
        <v>1029</v>
      </c>
      <c r="C735" t="s">
        <v>211</v>
      </c>
      <c r="D735">
        <v>251209.45601957801</v>
      </c>
    </row>
    <row r="736" spans="1:4" hidden="1" x14ac:dyDescent="0.3">
      <c r="A736">
        <v>734</v>
      </c>
      <c r="B736" s="1" t="s">
        <v>1030</v>
      </c>
      <c r="C736" t="s">
        <v>213</v>
      </c>
      <c r="D736" s="1" t="s">
        <v>1031</v>
      </c>
    </row>
    <row r="737" spans="1:4" hidden="1" x14ac:dyDescent="0.3">
      <c r="A737">
        <v>735</v>
      </c>
      <c r="B737" t="s">
        <v>1032</v>
      </c>
      <c r="C737" t="s">
        <v>216</v>
      </c>
      <c r="D737">
        <v>81774286.7174052</v>
      </c>
    </row>
    <row r="738" spans="1:4" hidden="1" x14ac:dyDescent="0.3">
      <c r="A738">
        <v>736</v>
      </c>
      <c r="B738" t="s">
        <v>1033</v>
      </c>
      <c r="C738" t="s">
        <v>218</v>
      </c>
      <c r="D738">
        <v>39562565.806272902</v>
      </c>
    </row>
    <row r="739" spans="1:4" hidden="1" x14ac:dyDescent="0.3">
      <c r="A739">
        <v>737</v>
      </c>
      <c r="B739" t="s">
        <v>1034</v>
      </c>
      <c r="C739" t="s">
        <v>220</v>
      </c>
      <c r="D739">
        <v>29489859.141933199</v>
      </c>
    </row>
    <row r="740" spans="1:4" hidden="1" x14ac:dyDescent="0.3">
      <c r="A740">
        <v>738</v>
      </c>
      <c r="B740" s="1" t="s">
        <v>1035</v>
      </c>
      <c r="C740" t="s">
        <v>222</v>
      </c>
      <c r="D740" s="1" t="s">
        <v>1036</v>
      </c>
    </row>
    <row r="741" spans="1:4" hidden="1" x14ac:dyDescent="0.3">
      <c r="A741">
        <v>739</v>
      </c>
      <c r="B741" t="s">
        <v>1037</v>
      </c>
      <c r="C741" t="s">
        <v>225</v>
      </c>
      <c r="D741">
        <v>100556216.928737</v>
      </c>
    </row>
    <row r="742" spans="1:4" hidden="1" x14ac:dyDescent="0.3">
      <c r="A742">
        <v>740</v>
      </c>
      <c r="B742" t="s">
        <v>1038</v>
      </c>
      <c r="C742" t="s">
        <v>227</v>
      </c>
      <c r="D742">
        <v>638499.350061103</v>
      </c>
    </row>
    <row r="743" spans="1:4" hidden="1" x14ac:dyDescent="0.3">
      <c r="A743">
        <v>741</v>
      </c>
      <c r="B743" s="1" t="s">
        <v>1039</v>
      </c>
      <c r="C743" t="s">
        <v>229</v>
      </c>
      <c r="D743" s="1" t="s">
        <v>1040</v>
      </c>
    </row>
    <row r="744" spans="1:4" hidden="1" x14ac:dyDescent="0.3">
      <c r="A744">
        <v>742</v>
      </c>
      <c r="B744" t="s">
        <v>1041</v>
      </c>
      <c r="C744" t="s">
        <v>112</v>
      </c>
      <c r="D744">
        <v>-200.827607299519</v>
      </c>
    </row>
    <row r="745" spans="1:4" hidden="1" x14ac:dyDescent="0.3">
      <c r="A745">
        <v>743</v>
      </c>
      <c r="B745" t="s">
        <v>1042</v>
      </c>
      <c r="C745" t="s">
        <v>114</v>
      </c>
      <c r="D745">
        <v>-35.529465887163703</v>
      </c>
    </row>
    <row r="746" spans="1:4" hidden="1" x14ac:dyDescent="0.3">
      <c r="A746">
        <v>744</v>
      </c>
      <c r="B746" s="1" t="s">
        <v>1043</v>
      </c>
      <c r="C746" t="s">
        <v>116</v>
      </c>
      <c r="D746" s="1" t="s">
        <v>1044</v>
      </c>
    </row>
    <row r="747" spans="1:4" hidden="1" x14ac:dyDescent="0.3">
      <c r="A747">
        <v>745</v>
      </c>
      <c r="B747" t="s">
        <v>1045</v>
      </c>
      <c r="C747" t="s">
        <v>119</v>
      </c>
      <c r="D747">
        <v>81774286.7174052</v>
      </c>
    </row>
    <row r="748" spans="1:4" hidden="1" x14ac:dyDescent="0.3">
      <c r="A748">
        <v>746</v>
      </c>
      <c r="B748" t="s">
        <v>1046</v>
      </c>
      <c r="C748" t="s">
        <v>121</v>
      </c>
      <c r="D748">
        <v>39562565.806272902</v>
      </c>
    </row>
    <row r="749" spans="1:4" hidden="1" x14ac:dyDescent="0.3">
      <c r="A749">
        <v>747</v>
      </c>
      <c r="B749" s="1" t="s">
        <v>1047</v>
      </c>
      <c r="C749" t="s">
        <v>123</v>
      </c>
      <c r="D749" s="1" t="s">
        <v>1048</v>
      </c>
    </row>
    <row r="750" spans="1:4" hidden="1" x14ac:dyDescent="0.3">
      <c r="A750">
        <v>748</v>
      </c>
      <c r="B750" t="s">
        <v>1049</v>
      </c>
      <c r="C750" t="s">
        <v>126</v>
      </c>
      <c r="D750">
        <v>0.81325927702260203</v>
      </c>
    </row>
    <row r="751" spans="1:4" hidden="1" x14ac:dyDescent="0.3">
      <c r="A751">
        <v>749</v>
      </c>
      <c r="B751" t="s">
        <v>1050</v>
      </c>
      <c r="C751" t="s">
        <v>128</v>
      </c>
      <c r="D751">
        <v>0.39345648805176803</v>
      </c>
    </row>
    <row r="752" spans="1:4" hidden="1" x14ac:dyDescent="0.3">
      <c r="A752">
        <v>750</v>
      </c>
      <c r="B752" s="1" t="s">
        <v>1051</v>
      </c>
      <c r="C752" t="s">
        <v>130</v>
      </c>
      <c r="D752" s="1" t="s">
        <v>1052</v>
      </c>
    </row>
    <row r="753" spans="1:4" hidden="1" x14ac:dyDescent="0.3">
      <c r="A753">
        <v>751</v>
      </c>
      <c r="B753" s="1" t="s">
        <v>1053</v>
      </c>
      <c r="C753" t="s">
        <v>4</v>
      </c>
      <c r="D753" t="s">
        <v>1054</v>
      </c>
    </row>
    <row r="754" spans="1:4" hidden="1" x14ac:dyDescent="0.3">
      <c r="A754">
        <v>752</v>
      </c>
      <c r="B754" t="s">
        <v>1055</v>
      </c>
      <c r="C754" t="s">
        <v>7</v>
      </c>
      <c r="D754">
        <v>1896.67</v>
      </c>
    </row>
    <row r="755" spans="1:4" hidden="1" x14ac:dyDescent="0.3">
      <c r="A755">
        <v>753</v>
      </c>
      <c r="B755" s="1" t="s">
        <v>1056</v>
      </c>
      <c r="C755" t="s">
        <v>9</v>
      </c>
      <c r="D755" s="1" t="s">
        <v>1057</v>
      </c>
    </row>
    <row r="756" spans="1:4" hidden="1" x14ac:dyDescent="0.3">
      <c r="A756">
        <v>754</v>
      </c>
      <c r="B756" t="s">
        <v>1058</v>
      </c>
      <c r="C756" t="s">
        <v>14</v>
      </c>
      <c r="D756">
        <v>98.484375</v>
      </c>
    </row>
    <row r="757" spans="1:4" hidden="1" x14ac:dyDescent="0.3">
      <c r="A757">
        <v>755</v>
      </c>
      <c r="B757" t="s">
        <v>1059</v>
      </c>
      <c r="C757" t="s">
        <v>16</v>
      </c>
      <c r="D757">
        <v>4.3745757860327004</v>
      </c>
    </row>
    <row r="758" spans="1:4" hidden="1" x14ac:dyDescent="0.3">
      <c r="A758">
        <v>756</v>
      </c>
      <c r="B758" s="1" t="s">
        <v>1060</v>
      </c>
      <c r="C758" t="s">
        <v>140</v>
      </c>
      <c r="D758" s="1" t="s">
        <v>1061</v>
      </c>
    </row>
    <row r="759" spans="1:4" hidden="1" x14ac:dyDescent="0.3">
      <c r="A759">
        <v>757</v>
      </c>
      <c r="B759" t="s">
        <v>1062</v>
      </c>
      <c r="C759" t="s">
        <v>22</v>
      </c>
      <c r="D759">
        <v>75.3</v>
      </c>
    </row>
    <row r="760" spans="1:4" hidden="1" x14ac:dyDescent="0.3">
      <c r="A760">
        <v>758</v>
      </c>
      <c r="B760" t="s">
        <v>1063</v>
      </c>
      <c r="C760" t="s">
        <v>24</v>
      </c>
      <c r="D760">
        <v>6.1135806170143896</v>
      </c>
    </row>
    <row r="761" spans="1:4" hidden="1" x14ac:dyDescent="0.3">
      <c r="A761">
        <v>759</v>
      </c>
      <c r="B761" s="1" t="s">
        <v>1064</v>
      </c>
      <c r="C761" t="s">
        <v>145</v>
      </c>
      <c r="D761" s="1" t="s">
        <v>1065</v>
      </c>
    </row>
    <row r="762" spans="1:4" hidden="1" x14ac:dyDescent="0.3">
      <c r="A762">
        <v>760</v>
      </c>
      <c r="B762" t="s">
        <v>1066</v>
      </c>
      <c r="C762" t="s">
        <v>35</v>
      </c>
      <c r="D762">
        <v>-2.07381888122059</v>
      </c>
    </row>
    <row r="763" spans="1:4" hidden="1" x14ac:dyDescent="0.3">
      <c r="A763">
        <v>761</v>
      </c>
      <c r="B763" t="s">
        <v>1067</v>
      </c>
      <c r="C763" t="s">
        <v>149</v>
      </c>
      <c r="D763">
        <v>0.70280090392323502</v>
      </c>
    </row>
    <row r="764" spans="1:4" hidden="1" x14ac:dyDescent="0.3">
      <c r="A764">
        <v>762</v>
      </c>
      <c r="B764" s="1" t="s">
        <v>1068</v>
      </c>
      <c r="C764" t="s">
        <v>151</v>
      </c>
      <c r="D764" s="1" t="s">
        <v>1069</v>
      </c>
    </row>
    <row r="765" spans="1:4" hidden="1" x14ac:dyDescent="0.3">
      <c r="A765">
        <v>763</v>
      </c>
      <c r="B765" t="s">
        <v>1070</v>
      </c>
      <c r="C765" t="s">
        <v>30</v>
      </c>
      <c r="D765">
        <v>1.25385791739885</v>
      </c>
    </row>
    <row r="766" spans="1:4" hidden="1" x14ac:dyDescent="0.3">
      <c r="A766">
        <v>764</v>
      </c>
      <c r="B766" t="s">
        <v>1071</v>
      </c>
      <c r="C766" t="s">
        <v>32</v>
      </c>
      <c r="D766">
        <v>0.20928246353673999</v>
      </c>
    </row>
    <row r="767" spans="1:4" hidden="1" x14ac:dyDescent="0.3">
      <c r="A767">
        <v>765</v>
      </c>
      <c r="B767" s="1" t="s">
        <v>1072</v>
      </c>
      <c r="C767" t="s">
        <v>155</v>
      </c>
      <c r="D767" s="1" t="s">
        <v>1073</v>
      </c>
    </row>
    <row r="768" spans="1:4" hidden="1" x14ac:dyDescent="0.3">
      <c r="A768">
        <v>766</v>
      </c>
      <c r="B768" t="s">
        <v>1074</v>
      </c>
      <c r="C768" t="s">
        <v>40</v>
      </c>
      <c r="D768">
        <v>1.81996096382173</v>
      </c>
    </row>
    <row r="769" spans="1:4" hidden="1" x14ac:dyDescent="0.3">
      <c r="A769">
        <v>767</v>
      </c>
      <c r="B769" t="s">
        <v>1075</v>
      </c>
      <c r="C769" t="s">
        <v>42</v>
      </c>
      <c r="D769">
        <v>0.21359561532985499</v>
      </c>
    </row>
    <row r="770" spans="1:4" hidden="1" x14ac:dyDescent="0.3">
      <c r="A770">
        <v>768</v>
      </c>
      <c r="B770" s="1" t="s">
        <v>1076</v>
      </c>
      <c r="C770" t="s">
        <v>159</v>
      </c>
      <c r="D770" s="1" t="s">
        <v>1077</v>
      </c>
    </row>
    <row r="771" spans="1:4" hidden="1" x14ac:dyDescent="0.3">
      <c r="A771">
        <v>769</v>
      </c>
      <c r="B771" t="s">
        <v>1078</v>
      </c>
      <c r="C771" t="s">
        <v>161</v>
      </c>
      <c r="D771">
        <v>0.99864156904041002</v>
      </c>
    </row>
    <row r="772" spans="1:4" hidden="1" x14ac:dyDescent="0.3">
      <c r="A772">
        <v>770</v>
      </c>
      <c r="B772" t="s">
        <v>1079</v>
      </c>
      <c r="C772" t="s">
        <v>163</v>
      </c>
      <c r="D772">
        <v>0.99960541999512798</v>
      </c>
    </row>
    <row r="773" spans="1:4" hidden="1" x14ac:dyDescent="0.3">
      <c r="A773">
        <v>771</v>
      </c>
      <c r="B773" s="1" t="s">
        <v>1080</v>
      </c>
      <c r="C773" t="s">
        <v>165</v>
      </c>
      <c r="D773" s="1" t="s">
        <v>1081</v>
      </c>
    </row>
    <row r="774" spans="1:4" hidden="1" x14ac:dyDescent="0.3">
      <c r="A774">
        <v>772</v>
      </c>
      <c r="B774" t="s">
        <v>1082</v>
      </c>
      <c r="C774" t="s">
        <v>168</v>
      </c>
      <c r="D774">
        <v>0.99897758300630402</v>
      </c>
    </row>
    <row r="775" spans="1:4" hidden="1" x14ac:dyDescent="0.3">
      <c r="A775">
        <v>773</v>
      </c>
      <c r="B775" t="s">
        <v>1083</v>
      </c>
      <c r="C775" t="s">
        <v>170</v>
      </c>
      <c r="D775">
        <v>0.99967042846784304</v>
      </c>
    </row>
    <row r="776" spans="1:4" hidden="1" x14ac:dyDescent="0.3">
      <c r="A776">
        <v>774</v>
      </c>
      <c r="B776" s="1" t="s">
        <v>1084</v>
      </c>
      <c r="C776" t="s">
        <v>172</v>
      </c>
      <c r="D776" s="1" t="s">
        <v>1085</v>
      </c>
    </row>
    <row r="777" spans="1:4" hidden="1" x14ac:dyDescent="0.3">
      <c r="A777">
        <v>775</v>
      </c>
      <c r="B777" s="1" t="s">
        <v>1086</v>
      </c>
      <c r="C777" t="s">
        <v>55</v>
      </c>
      <c r="D777" s="1" t="s">
        <v>1087</v>
      </c>
    </row>
    <row r="778" spans="1:4" hidden="1" x14ac:dyDescent="0.3">
      <c r="A778">
        <v>776</v>
      </c>
      <c r="B778" s="1" t="s">
        <v>1088</v>
      </c>
      <c r="C778" t="s">
        <v>52</v>
      </c>
      <c r="D778" s="1" t="s">
        <v>1089</v>
      </c>
    </row>
    <row r="779" spans="1:4" hidden="1" x14ac:dyDescent="0.3">
      <c r="A779">
        <v>777</v>
      </c>
      <c r="B779" s="1" t="s">
        <v>1090</v>
      </c>
      <c r="C779" t="s">
        <v>58</v>
      </c>
      <c r="D779" s="1" t="s">
        <v>1091</v>
      </c>
    </row>
    <row r="780" spans="1:4" hidden="1" x14ac:dyDescent="0.3">
      <c r="A780">
        <v>778</v>
      </c>
      <c r="B780" t="s">
        <v>1092</v>
      </c>
      <c r="C780" t="s">
        <v>61</v>
      </c>
      <c r="D780">
        <v>150903678.858628</v>
      </c>
    </row>
    <row r="781" spans="1:4" hidden="1" x14ac:dyDescent="0.3">
      <c r="A781">
        <v>779</v>
      </c>
      <c r="B781" t="s">
        <v>1093</v>
      </c>
      <c r="C781" t="s">
        <v>63</v>
      </c>
      <c r="D781">
        <v>81663201.994629905</v>
      </c>
    </row>
    <row r="782" spans="1:4" hidden="1" x14ac:dyDescent="0.3">
      <c r="A782">
        <v>780</v>
      </c>
      <c r="B782" t="s">
        <v>1094</v>
      </c>
      <c r="C782" t="s">
        <v>65</v>
      </c>
      <c r="D782">
        <v>39546955.208864301</v>
      </c>
    </row>
    <row r="783" spans="1:4" hidden="1" x14ac:dyDescent="0.3">
      <c r="A783">
        <v>781</v>
      </c>
      <c r="B783" s="1" t="s">
        <v>1095</v>
      </c>
      <c r="C783" t="s">
        <v>67</v>
      </c>
      <c r="D783" s="1" t="s">
        <v>1096</v>
      </c>
    </row>
    <row r="784" spans="1:4" hidden="1" x14ac:dyDescent="0.3">
      <c r="A784">
        <v>782</v>
      </c>
      <c r="B784" s="1" t="s">
        <v>1097</v>
      </c>
      <c r="C784" t="s">
        <v>70</v>
      </c>
      <c r="D784" s="1" t="s">
        <v>1098</v>
      </c>
    </row>
    <row r="785" spans="1:4" hidden="1" x14ac:dyDescent="0.3">
      <c r="A785">
        <v>783</v>
      </c>
      <c r="B785" t="s">
        <v>1099</v>
      </c>
      <c r="C785" t="s">
        <v>73</v>
      </c>
      <c r="D785">
        <v>0.99995121489019401</v>
      </c>
    </row>
    <row r="786" spans="1:4" hidden="1" x14ac:dyDescent="0.3">
      <c r="A786">
        <v>784</v>
      </c>
      <c r="B786" t="s">
        <v>74</v>
      </c>
      <c r="C786" t="s">
        <v>75</v>
      </c>
      <c r="D786">
        <v>2.7397260273972599E-3</v>
      </c>
    </row>
    <row r="787" spans="1:4" hidden="1" x14ac:dyDescent="0.3">
      <c r="A787">
        <v>785</v>
      </c>
      <c r="B787" t="s">
        <v>76</v>
      </c>
      <c r="C787" t="s">
        <v>77</v>
      </c>
      <c r="D787">
        <v>0</v>
      </c>
    </row>
    <row r="788" spans="1:4" hidden="1" x14ac:dyDescent="0.3">
      <c r="A788">
        <v>786</v>
      </c>
      <c r="B788" t="s">
        <v>78</v>
      </c>
      <c r="C788" t="s">
        <v>79</v>
      </c>
      <c r="D788">
        <v>0</v>
      </c>
    </row>
    <row r="789" spans="1:4" hidden="1" x14ac:dyDescent="0.3">
      <c r="A789">
        <v>787</v>
      </c>
      <c r="B789" s="1" t="s">
        <v>1100</v>
      </c>
      <c r="C789" t="s">
        <v>81</v>
      </c>
      <c r="D789" s="1" t="s">
        <v>1101</v>
      </c>
    </row>
    <row r="790" spans="1:4" hidden="1" x14ac:dyDescent="0.3">
      <c r="A790">
        <v>788</v>
      </c>
      <c r="B790" t="s">
        <v>1102</v>
      </c>
      <c r="C790" t="s">
        <v>84</v>
      </c>
      <c r="D790">
        <v>0.99996231344713105</v>
      </c>
    </row>
    <row r="791" spans="1:4" hidden="1" x14ac:dyDescent="0.3">
      <c r="A791">
        <v>789</v>
      </c>
      <c r="B791" s="1" t="s">
        <v>1103</v>
      </c>
      <c r="C791" t="s">
        <v>86</v>
      </c>
      <c r="D791" s="1" t="s">
        <v>1104</v>
      </c>
    </row>
    <row r="792" spans="1:4" hidden="1" x14ac:dyDescent="0.3">
      <c r="A792">
        <v>790</v>
      </c>
      <c r="B792" t="s">
        <v>1105</v>
      </c>
      <c r="C792" t="s">
        <v>89</v>
      </c>
      <c r="D792">
        <v>101193593.12115</v>
      </c>
    </row>
    <row r="793" spans="1:4" hidden="1" x14ac:dyDescent="0.3">
      <c r="A793">
        <v>791</v>
      </c>
      <c r="B793" s="1" t="s">
        <v>1106</v>
      </c>
      <c r="C793" t="s">
        <v>91</v>
      </c>
      <c r="D793" s="1" t="s">
        <v>1040</v>
      </c>
    </row>
    <row r="794" spans="1:4" hidden="1" x14ac:dyDescent="0.3">
      <c r="A794">
        <v>792</v>
      </c>
      <c r="B794" t="s">
        <v>1107</v>
      </c>
      <c r="C794" t="s">
        <v>94</v>
      </c>
      <c r="D794">
        <v>81663201.994629905</v>
      </c>
    </row>
    <row r="795" spans="1:4" hidden="1" x14ac:dyDescent="0.3">
      <c r="A795">
        <v>793</v>
      </c>
      <c r="B795" t="s">
        <v>1108</v>
      </c>
      <c r="C795" t="s">
        <v>96</v>
      </c>
      <c r="D795">
        <v>39546955.208864301</v>
      </c>
    </row>
    <row r="796" spans="1:4" hidden="1" x14ac:dyDescent="0.3">
      <c r="A796">
        <v>794</v>
      </c>
      <c r="B796" t="s">
        <v>1109</v>
      </c>
      <c r="C796" t="s">
        <v>98</v>
      </c>
      <c r="D796">
        <v>29693521.6551341</v>
      </c>
    </row>
    <row r="797" spans="1:4" hidden="1" x14ac:dyDescent="0.3">
      <c r="A797">
        <v>795</v>
      </c>
      <c r="B797" s="1" t="s">
        <v>1110</v>
      </c>
      <c r="C797" t="s">
        <v>100</v>
      </c>
      <c r="D797" s="1" t="s">
        <v>1111</v>
      </c>
    </row>
    <row r="798" spans="1:4" hidden="1" x14ac:dyDescent="0.3">
      <c r="A798">
        <v>796</v>
      </c>
      <c r="B798" t="s">
        <v>1112</v>
      </c>
      <c r="C798" t="s">
        <v>103</v>
      </c>
      <c r="D798">
        <v>9.51588717997961E-3</v>
      </c>
    </row>
    <row r="799" spans="1:4" hidden="1" x14ac:dyDescent="0.3">
      <c r="A799">
        <v>797</v>
      </c>
      <c r="B799" t="s">
        <v>1113</v>
      </c>
      <c r="C799" t="s">
        <v>105</v>
      </c>
      <c r="D799">
        <v>1.71987198646506E-3</v>
      </c>
    </row>
    <row r="800" spans="1:4" hidden="1" x14ac:dyDescent="0.3">
      <c r="A800">
        <v>798</v>
      </c>
      <c r="B800" t="s">
        <v>1114</v>
      </c>
      <c r="C800" t="s">
        <v>107</v>
      </c>
      <c r="D800">
        <v>1.11623117789732E-2</v>
      </c>
    </row>
    <row r="801" spans="1:4" hidden="1" x14ac:dyDescent="0.3">
      <c r="A801">
        <v>799</v>
      </c>
      <c r="B801" s="1" t="s">
        <v>1115</v>
      </c>
      <c r="C801" t="s">
        <v>109</v>
      </c>
      <c r="D801" s="1" t="s">
        <v>1116</v>
      </c>
    </row>
    <row r="802" spans="1:4" x14ac:dyDescent="0.3">
      <c r="A802">
        <v>800</v>
      </c>
      <c r="B802" t="s">
        <v>1117</v>
      </c>
      <c r="C802" t="s">
        <v>207</v>
      </c>
      <c r="D802">
        <v>150904068.535685</v>
      </c>
    </row>
    <row r="803" spans="1:4" hidden="1" x14ac:dyDescent="0.3">
      <c r="A803">
        <v>801</v>
      </c>
      <c r="B803" t="s">
        <v>1118</v>
      </c>
      <c r="C803" t="s">
        <v>209</v>
      </c>
      <c r="D803">
        <v>-906.39128809280203</v>
      </c>
    </row>
    <row r="804" spans="1:4" hidden="1" x14ac:dyDescent="0.3">
      <c r="A804">
        <v>802</v>
      </c>
      <c r="B804" t="s">
        <v>1119</v>
      </c>
      <c r="C804" t="s">
        <v>211</v>
      </c>
      <c r="D804">
        <v>-438.93617270256402</v>
      </c>
    </row>
    <row r="805" spans="1:4" hidden="1" x14ac:dyDescent="0.3">
      <c r="A805">
        <v>803</v>
      </c>
      <c r="B805" s="1" t="s">
        <v>1120</v>
      </c>
      <c r="C805" t="s">
        <v>213</v>
      </c>
      <c r="D805" s="1" t="s">
        <v>1121</v>
      </c>
    </row>
    <row r="806" spans="1:4" hidden="1" x14ac:dyDescent="0.3">
      <c r="A806">
        <v>804</v>
      </c>
      <c r="B806" t="s">
        <v>1122</v>
      </c>
      <c r="C806" t="s">
        <v>216</v>
      </c>
      <c r="D806">
        <v>81664412.275710493</v>
      </c>
    </row>
    <row r="807" spans="1:4" hidden="1" x14ac:dyDescent="0.3">
      <c r="A807">
        <v>805</v>
      </c>
      <c r="B807" t="s">
        <v>1123</v>
      </c>
      <c r="C807" t="s">
        <v>218</v>
      </c>
      <c r="D807">
        <v>39547450.467810102</v>
      </c>
    </row>
    <row r="808" spans="1:4" hidden="1" x14ac:dyDescent="0.3">
      <c r="A808">
        <v>806</v>
      </c>
      <c r="B808" t="s">
        <v>1124</v>
      </c>
      <c r="C808" t="s">
        <v>220</v>
      </c>
      <c r="D808">
        <v>29693880.6912711</v>
      </c>
    </row>
    <row r="809" spans="1:4" hidden="1" x14ac:dyDescent="0.3">
      <c r="A809">
        <v>807</v>
      </c>
      <c r="B809" s="1" t="s">
        <v>1125</v>
      </c>
      <c r="C809" t="s">
        <v>222</v>
      </c>
      <c r="D809" s="1" t="s">
        <v>1126</v>
      </c>
    </row>
    <row r="810" spans="1:4" hidden="1" x14ac:dyDescent="0.3">
      <c r="A810">
        <v>808</v>
      </c>
      <c r="B810" t="s">
        <v>1127</v>
      </c>
      <c r="C810" t="s">
        <v>225</v>
      </c>
      <c r="D810">
        <v>101194716.278798</v>
      </c>
    </row>
    <row r="811" spans="1:4" hidden="1" x14ac:dyDescent="0.3">
      <c r="A811">
        <v>809</v>
      </c>
      <c r="B811" t="s">
        <v>1128</v>
      </c>
      <c r="C811" t="s">
        <v>227</v>
      </c>
      <c r="D811">
        <v>-1123.1576482355499</v>
      </c>
    </row>
    <row r="812" spans="1:4" hidden="1" x14ac:dyDescent="0.3">
      <c r="A812">
        <v>810</v>
      </c>
      <c r="B812" s="1" t="s">
        <v>1129</v>
      </c>
      <c r="C812" t="s">
        <v>229</v>
      </c>
      <c r="D812" s="1" t="s">
        <v>1130</v>
      </c>
    </row>
    <row r="813" spans="1:4" hidden="1" x14ac:dyDescent="0.3">
      <c r="A813">
        <v>811</v>
      </c>
      <c r="B813" t="s">
        <v>1131</v>
      </c>
      <c r="C813" t="s">
        <v>112</v>
      </c>
      <c r="D813">
        <v>303.88979245873497</v>
      </c>
    </row>
    <row r="814" spans="1:4" hidden="1" x14ac:dyDescent="0.3">
      <c r="A814">
        <v>812</v>
      </c>
      <c r="B814" t="s">
        <v>1132</v>
      </c>
      <c r="C814" t="s">
        <v>114</v>
      </c>
      <c r="D814">
        <v>56.322773067721698</v>
      </c>
    </row>
    <row r="815" spans="1:4" hidden="1" x14ac:dyDescent="0.3">
      <c r="A815">
        <v>813</v>
      </c>
      <c r="B815" s="1" t="s">
        <v>1133</v>
      </c>
      <c r="C815" t="s">
        <v>116</v>
      </c>
      <c r="D815" s="1" t="s">
        <v>1134</v>
      </c>
    </row>
    <row r="816" spans="1:4" hidden="1" x14ac:dyDescent="0.3">
      <c r="A816">
        <v>814</v>
      </c>
      <c r="B816" t="s">
        <v>1135</v>
      </c>
      <c r="C816" t="s">
        <v>119</v>
      </c>
      <c r="D816">
        <v>81664412.275710493</v>
      </c>
    </row>
    <row r="817" spans="1:4" hidden="1" x14ac:dyDescent="0.3">
      <c r="A817">
        <v>815</v>
      </c>
      <c r="B817" t="s">
        <v>1136</v>
      </c>
      <c r="C817" t="s">
        <v>121</v>
      </c>
      <c r="D817">
        <v>39547450.467810102</v>
      </c>
    </row>
    <row r="818" spans="1:4" hidden="1" x14ac:dyDescent="0.3">
      <c r="A818">
        <v>816</v>
      </c>
      <c r="B818" s="1" t="s">
        <v>1137</v>
      </c>
      <c r="C818" t="s">
        <v>123</v>
      </c>
      <c r="D818" s="1" t="s">
        <v>1138</v>
      </c>
    </row>
    <row r="819" spans="1:4" hidden="1" x14ac:dyDescent="0.3">
      <c r="A819">
        <v>817</v>
      </c>
      <c r="B819" t="s">
        <v>1139</v>
      </c>
      <c r="C819" t="s">
        <v>126</v>
      </c>
      <c r="D819">
        <v>0.80703314407139304</v>
      </c>
    </row>
    <row r="820" spans="1:4" hidden="1" x14ac:dyDescent="0.3">
      <c r="A820">
        <v>818</v>
      </c>
      <c r="B820" t="s">
        <v>1140</v>
      </c>
      <c r="C820" t="s">
        <v>128</v>
      </c>
      <c r="D820">
        <v>0.39082021656252403</v>
      </c>
    </row>
    <row r="821" spans="1:4" hidden="1" x14ac:dyDescent="0.3">
      <c r="A821">
        <v>819</v>
      </c>
      <c r="B821" s="1" t="s">
        <v>1141</v>
      </c>
      <c r="C821" t="s">
        <v>130</v>
      </c>
      <c r="D821" s="1" t="s">
        <v>1142</v>
      </c>
    </row>
    <row r="822" spans="1:4" hidden="1" x14ac:dyDescent="0.3">
      <c r="A822">
        <v>820</v>
      </c>
      <c r="B822" s="1" t="s">
        <v>1143</v>
      </c>
      <c r="C822" t="s">
        <v>4</v>
      </c>
      <c r="D822" t="s">
        <v>1144</v>
      </c>
    </row>
    <row r="823" spans="1:4" hidden="1" x14ac:dyDescent="0.3">
      <c r="A823">
        <v>821</v>
      </c>
      <c r="B823" t="s">
        <v>1145</v>
      </c>
      <c r="C823" t="s">
        <v>7</v>
      </c>
      <c r="D823">
        <v>1896.54</v>
      </c>
    </row>
    <row r="824" spans="1:4" hidden="1" x14ac:dyDescent="0.3">
      <c r="A824">
        <v>822</v>
      </c>
      <c r="B824" s="1" t="s">
        <v>1146</v>
      </c>
      <c r="C824" t="s">
        <v>9</v>
      </c>
      <c r="D824" s="1" t="s">
        <v>1147</v>
      </c>
    </row>
    <row r="825" spans="1:4" hidden="1" x14ac:dyDescent="0.3">
      <c r="A825">
        <v>823</v>
      </c>
      <c r="B825" t="s">
        <v>1148</v>
      </c>
      <c r="C825" t="s">
        <v>14</v>
      </c>
      <c r="D825">
        <v>98.42578125</v>
      </c>
    </row>
    <row r="826" spans="1:4" hidden="1" x14ac:dyDescent="0.3">
      <c r="A826">
        <v>824</v>
      </c>
      <c r="B826" t="s">
        <v>1149</v>
      </c>
      <c r="C826" t="s">
        <v>16</v>
      </c>
      <c r="D826">
        <v>4.3722686881373702</v>
      </c>
    </row>
    <row r="827" spans="1:4" hidden="1" x14ac:dyDescent="0.3">
      <c r="A827">
        <v>825</v>
      </c>
      <c r="B827" s="1" t="s">
        <v>1150</v>
      </c>
      <c r="C827" t="s">
        <v>140</v>
      </c>
      <c r="D827" s="1" t="s">
        <v>1151</v>
      </c>
    </row>
    <row r="828" spans="1:4" hidden="1" x14ac:dyDescent="0.3">
      <c r="A828">
        <v>826</v>
      </c>
      <c r="B828" t="s">
        <v>1152</v>
      </c>
      <c r="C828" t="s">
        <v>22</v>
      </c>
      <c r="D828">
        <v>74.849999999999994</v>
      </c>
    </row>
    <row r="829" spans="1:4" hidden="1" x14ac:dyDescent="0.3">
      <c r="A829">
        <v>827</v>
      </c>
      <c r="B829" t="s">
        <v>1153</v>
      </c>
      <c r="C829" t="s">
        <v>24</v>
      </c>
      <c r="D829">
        <v>6.12002759579235</v>
      </c>
    </row>
    <row r="830" spans="1:4" hidden="1" x14ac:dyDescent="0.3">
      <c r="A830">
        <v>828</v>
      </c>
      <c r="B830" s="1" t="s">
        <v>1154</v>
      </c>
      <c r="C830" t="s">
        <v>145</v>
      </c>
      <c r="D830" s="1" t="s">
        <v>1155</v>
      </c>
    </row>
    <row r="831" spans="1:4" hidden="1" x14ac:dyDescent="0.3">
      <c r="A831">
        <v>829</v>
      </c>
      <c r="B831" t="s">
        <v>1156</v>
      </c>
      <c r="C831" t="s">
        <v>35</v>
      </c>
      <c r="D831">
        <v>0.25578592249095</v>
      </c>
    </row>
    <row r="832" spans="1:4" hidden="1" x14ac:dyDescent="0.3">
      <c r="A832">
        <v>830</v>
      </c>
      <c r="B832" t="s">
        <v>1157</v>
      </c>
      <c r="C832" t="s">
        <v>149</v>
      </c>
      <c r="D832">
        <v>0.70421318893043805</v>
      </c>
    </row>
    <row r="833" spans="1:4" hidden="1" x14ac:dyDescent="0.3">
      <c r="A833">
        <v>831</v>
      </c>
      <c r="B833" s="1" t="s">
        <v>1158</v>
      </c>
      <c r="C833" t="s">
        <v>151</v>
      </c>
      <c r="D833" s="1" t="s">
        <v>1159</v>
      </c>
    </row>
    <row r="834" spans="1:4" hidden="1" x14ac:dyDescent="0.3">
      <c r="A834">
        <v>832</v>
      </c>
      <c r="B834" t="s">
        <v>1160</v>
      </c>
      <c r="C834" t="s">
        <v>30</v>
      </c>
      <c r="D834">
        <v>0.30250584693798599</v>
      </c>
    </row>
    <row r="835" spans="1:4" hidden="1" x14ac:dyDescent="0.3">
      <c r="A835">
        <v>833</v>
      </c>
      <c r="B835" t="s">
        <v>1161</v>
      </c>
      <c r="C835" t="s">
        <v>32</v>
      </c>
      <c r="D835">
        <v>0.208843817415586</v>
      </c>
    </row>
    <row r="836" spans="1:4" hidden="1" x14ac:dyDescent="0.3">
      <c r="A836">
        <v>834</v>
      </c>
      <c r="B836" s="1" t="s">
        <v>1162</v>
      </c>
      <c r="C836" t="s">
        <v>155</v>
      </c>
      <c r="D836" s="1" t="s">
        <v>1163</v>
      </c>
    </row>
    <row r="837" spans="1:4" hidden="1" x14ac:dyDescent="0.3">
      <c r="A837">
        <v>835</v>
      </c>
      <c r="B837" t="s">
        <v>1164</v>
      </c>
      <c r="C837" t="s">
        <v>40</v>
      </c>
      <c r="D837">
        <v>0.44170823057106201</v>
      </c>
    </row>
    <row r="838" spans="1:4" hidden="1" x14ac:dyDescent="0.3">
      <c r="A838">
        <v>836</v>
      </c>
      <c r="B838" t="s">
        <v>1165</v>
      </c>
      <c r="C838" t="s">
        <v>42</v>
      </c>
      <c r="D838">
        <v>0.211180708848687</v>
      </c>
    </row>
    <row r="839" spans="1:4" hidden="1" x14ac:dyDescent="0.3">
      <c r="A839">
        <v>837</v>
      </c>
      <c r="B839" s="1" t="s">
        <v>1166</v>
      </c>
      <c r="C839" t="s">
        <v>159</v>
      </c>
      <c r="D839" s="1" t="s">
        <v>1167</v>
      </c>
    </row>
    <row r="840" spans="1:4" hidden="1" x14ac:dyDescent="0.3">
      <c r="A840">
        <v>838</v>
      </c>
      <c r="B840" t="s">
        <v>1168</v>
      </c>
      <c r="C840" t="s">
        <v>161</v>
      </c>
      <c r="D840">
        <v>0.99993145881993095</v>
      </c>
    </row>
    <row r="841" spans="1:4" hidden="1" x14ac:dyDescent="0.3">
      <c r="A841">
        <v>839</v>
      </c>
      <c r="B841" t="s">
        <v>1169</v>
      </c>
      <c r="C841" t="s">
        <v>163</v>
      </c>
      <c r="D841">
        <v>0.999407918830301</v>
      </c>
    </row>
    <row r="842" spans="1:4" hidden="1" x14ac:dyDescent="0.3">
      <c r="A842">
        <v>840</v>
      </c>
      <c r="B842" s="1" t="s">
        <v>1170</v>
      </c>
      <c r="C842" t="s">
        <v>165</v>
      </c>
      <c r="D842" s="1" t="s">
        <v>1171</v>
      </c>
    </row>
    <row r="843" spans="1:4" hidden="1" x14ac:dyDescent="0.3">
      <c r="A843">
        <v>841</v>
      </c>
      <c r="B843" t="s">
        <v>1172</v>
      </c>
      <c r="C843" t="s">
        <v>168</v>
      </c>
      <c r="D843">
        <v>1.00082938939247</v>
      </c>
    </row>
    <row r="844" spans="1:4" hidden="1" x14ac:dyDescent="0.3">
      <c r="A844">
        <v>842</v>
      </c>
      <c r="B844" t="s">
        <v>1173</v>
      </c>
      <c r="C844" t="s">
        <v>170</v>
      </c>
      <c r="D844">
        <v>0.99963726744215597</v>
      </c>
    </row>
    <row r="845" spans="1:4" hidden="1" x14ac:dyDescent="0.3">
      <c r="A845">
        <v>843</v>
      </c>
      <c r="B845" s="1" t="s">
        <v>1174</v>
      </c>
      <c r="C845" t="s">
        <v>172</v>
      </c>
      <c r="D845" s="1" t="s">
        <v>1175</v>
      </c>
    </row>
    <row r="846" spans="1:4" hidden="1" x14ac:dyDescent="0.3">
      <c r="A846">
        <v>844</v>
      </c>
      <c r="B846" s="1" t="s">
        <v>1176</v>
      </c>
      <c r="C846" t="s">
        <v>55</v>
      </c>
      <c r="D846" s="1" t="s">
        <v>1177</v>
      </c>
    </row>
    <row r="847" spans="1:4" hidden="1" x14ac:dyDescent="0.3">
      <c r="A847">
        <v>845</v>
      </c>
      <c r="B847" s="1" t="s">
        <v>1178</v>
      </c>
      <c r="C847" t="s">
        <v>52</v>
      </c>
      <c r="D847" s="1" t="s">
        <v>1179</v>
      </c>
    </row>
    <row r="848" spans="1:4" hidden="1" x14ac:dyDescent="0.3">
      <c r="A848">
        <v>846</v>
      </c>
      <c r="B848" s="1" t="s">
        <v>1180</v>
      </c>
      <c r="C848" t="s">
        <v>58</v>
      </c>
      <c r="D848" s="1" t="s">
        <v>1181</v>
      </c>
    </row>
    <row r="849" spans="1:4" hidden="1" x14ac:dyDescent="0.3">
      <c r="A849">
        <v>847</v>
      </c>
      <c r="B849" t="s">
        <v>1182</v>
      </c>
      <c r="C849" t="s">
        <v>61</v>
      </c>
      <c r="D849">
        <v>150714954.18065801</v>
      </c>
    </row>
    <row r="850" spans="1:4" hidden="1" x14ac:dyDescent="0.3">
      <c r="A850">
        <v>848</v>
      </c>
      <c r="B850" t="s">
        <v>1183</v>
      </c>
      <c r="C850" t="s">
        <v>63</v>
      </c>
      <c r="D850">
        <v>81658814.900523499</v>
      </c>
    </row>
    <row r="851" spans="1:4" hidden="1" x14ac:dyDescent="0.3">
      <c r="A851">
        <v>849</v>
      </c>
      <c r="B851" t="s">
        <v>1184</v>
      </c>
      <c r="C851" t="s">
        <v>65</v>
      </c>
      <c r="D851">
        <v>39524035.167078502</v>
      </c>
    </row>
    <row r="852" spans="1:4" hidden="1" x14ac:dyDescent="0.3">
      <c r="A852">
        <v>850</v>
      </c>
      <c r="B852" s="1" t="s">
        <v>1185</v>
      </c>
      <c r="C852" t="s">
        <v>67</v>
      </c>
      <c r="D852" s="1" t="s">
        <v>1186</v>
      </c>
    </row>
    <row r="853" spans="1:4" hidden="1" x14ac:dyDescent="0.3">
      <c r="A853">
        <v>851</v>
      </c>
      <c r="B853" s="1" t="s">
        <v>1187</v>
      </c>
      <c r="C853" t="s">
        <v>70</v>
      </c>
      <c r="D853" s="1" t="s">
        <v>1188</v>
      </c>
    </row>
    <row r="854" spans="1:4" hidden="1" x14ac:dyDescent="0.3">
      <c r="A854">
        <v>852</v>
      </c>
      <c r="B854" t="s">
        <v>1189</v>
      </c>
      <c r="C854" t="s">
        <v>73</v>
      </c>
      <c r="D854">
        <v>0.99996231344713105</v>
      </c>
    </row>
    <row r="855" spans="1:4" hidden="1" x14ac:dyDescent="0.3">
      <c r="A855">
        <v>853</v>
      </c>
      <c r="B855" t="s">
        <v>74</v>
      </c>
      <c r="C855" t="s">
        <v>75</v>
      </c>
      <c r="D855">
        <v>2.7397260273972599E-3</v>
      </c>
    </row>
    <row r="856" spans="1:4" hidden="1" x14ac:dyDescent="0.3">
      <c r="A856">
        <v>854</v>
      </c>
      <c r="B856" t="s">
        <v>76</v>
      </c>
      <c r="C856" t="s">
        <v>77</v>
      </c>
      <c r="D856">
        <v>0</v>
      </c>
    </row>
    <row r="857" spans="1:4" hidden="1" x14ac:dyDescent="0.3">
      <c r="A857">
        <v>855</v>
      </c>
      <c r="B857" t="s">
        <v>78</v>
      </c>
      <c r="C857" t="s">
        <v>79</v>
      </c>
      <c r="D857">
        <v>0</v>
      </c>
    </row>
    <row r="858" spans="1:4" hidden="1" x14ac:dyDescent="0.3">
      <c r="A858">
        <v>856</v>
      </c>
      <c r="B858" s="1" t="s">
        <v>1190</v>
      </c>
      <c r="C858" t="s">
        <v>81</v>
      </c>
      <c r="D858" s="1" t="s">
        <v>1191</v>
      </c>
    </row>
    <row r="859" spans="1:4" hidden="1" x14ac:dyDescent="0.3">
      <c r="A859">
        <v>857</v>
      </c>
      <c r="B859" t="s">
        <v>1192</v>
      </c>
      <c r="C859" t="s">
        <v>84</v>
      </c>
      <c r="D859">
        <v>0.99995358067012396</v>
      </c>
    </row>
    <row r="860" spans="1:4" hidden="1" x14ac:dyDescent="0.3">
      <c r="A860">
        <v>858</v>
      </c>
      <c r="B860" s="1" t="s">
        <v>1193</v>
      </c>
      <c r="C860" t="s">
        <v>86</v>
      </c>
      <c r="D860" s="1" t="s">
        <v>1194</v>
      </c>
    </row>
    <row r="861" spans="1:4" hidden="1" x14ac:dyDescent="0.3">
      <c r="A861">
        <v>859</v>
      </c>
      <c r="B861" t="s">
        <v>1195</v>
      </c>
      <c r="C861" t="s">
        <v>89</v>
      </c>
      <c r="D861">
        <v>101194476.86325601</v>
      </c>
    </row>
    <row r="862" spans="1:4" hidden="1" x14ac:dyDescent="0.3">
      <c r="A862">
        <v>860</v>
      </c>
      <c r="B862" s="1" t="s">
        <v>1196</v>
      </c>
      <c r="C862" t="s">
        <v>91</v>
      </c>
      <c r="D862" s="1" t="s">
        <v>1130</v>
      </c>
    </row>
    <row r="863" spans="1:4" hidden="1" x14ac:dyDescent="0.3">
      <c r="A863">
        <v>861</v>
      </c>
      <c r="B863" t="s">
        <v>1197</v>
      </c>
      <c r="C863" t="s">
        <v>94</v>
      </c>
      <c r="D863">
        <v>81658814.900523499</v>
      </c>
    </row>
    <row r="864" spans="1:4" hidden="1" x14ac:dyDescent="0.3">
      <c r="A864">
        <v>862</v>
      </c>
      <c r="B864" t="s">
        <v>1198</v>
      </c>
      <c r="C864" t="s">
        <v>96</v>
      </c>
      <c r="D864">
        <v>39524035.167078502</v>
      </c>
    </row>
    <row r="865" spans="1:4" hidden="1" x14ac:dyDescent="0.3">
      <c r="A865">
        <v>863</v>
      </c>
      <c r="B865" t="s">
        <v>1199</v>
      </c>
      <c r="C865" t="s">
        <v>98</v>
      </c>
      <c r="D865">
        <v>29532104.1130565</v>
      </c>
    </row>
    <row r="866" spans="1:4" hidden="1" x14ac:dyDescent="0.3">
      <c r="A866">
        <v>864</v>
      </c>
      <c r="B866" s="1" t="s">
        <v>1200</v>
      </c>
      <c r="C866" t="s">
        <v>100</v>
      </c>
      <c r="D866" s="1" t="s">
        <v>1201</v>
      </c>
    </row>
    <row r="867" spans="1:4" hidden="1" x14ac:dyDescent="0.3">
      <c r="A867">
        <v>865</v>
      </c>
      <c r="B867" t="s">
        <v>1202</v>
      </c>
      <c r="C867" t="s">
        <v>103</v>
      </c>
      <c r="D867">
        <v>9.5018228772036605E-3</v>
      </c>
    </row>
    <row r="868" spans="1:4" hidden="1" x14ac:dyDescent="0.3">
      <c r="A868">
        <v>866</v>
      </c>
      <c r="B868" t="s">
        <v>1203</v>
      </c>
      <c r="C868" t="s">
        <v>105</v>
      </c>
      <c r="D868">
        <v>1.7202121484866601E-3</v>
      </c>
    </row>
    <row r="869" spans="1:4" hidden="1" x14ac:dyDescent="0.3">
      <c r="A869">
        <v>867</v>
      </c>
      <c r="B869" t="s">
        <v>1204</v>
      </c>
      <c r="C869" t="s">
        <v>107</v>
      </c>
      <c r="D869">
        <v>1.10796924221345E-2</v>
      </c>
    </row>
    <row r="870" spans="1:4" hidden="1" x14ac:dyDescent="0.3">
      <c r="A870">
        <v>868</v>
      </c>
      <c r="B870" s="1" t="s">
        <v>1205</v>
      </c>
      <c r="C870" t="s">
        <v>109</v>
      </c>
      <c r="D870" s="1" t="s">
        <v>1206</v>
      </c>
    </row>
    <row r="871" spans="1:4" x14ac:dyDescent="0.3">
      <c r="A871">
        <v>869</v>
      </c>
      <c r="B871" t="s">
        <v>1207</v>
      </c>
      <c r="C871" t="s">
        <v>207</v>
      </c>
      <c r="D871">
        <v>150714647.371135</v>
      </c>
    </row>
    <row r="872" spans="1:4" hidden="1" x14ac:dyDescent="0.3">
      <c r="A872">
        <v>870</v>
      </c>
      <c r="B872" t="s">
        <v>1208</v>
      </c>
      <c r="C872" t="s">
        <v>209</v>
      </c>
      <c r="D872">
        <v>713.13300605577194</v>
      </c>
    </row>
    <row r="873" spans="1:4" hidden="1" x14ac:dyDescent="0.3">
      <c r="A873">
        <v>871</v>
      </c>
      <c r="B873" t="s">
        <v>1209</v>
      </c>
      <c r="C873" t="s">
        <v>211</v>
      </c>
      <c r="D873">
        <v>345.16720659423601</v>
      </c>
    </row>
    <row r="874" spans="1:4" hidden="1" x14ac:dyDescent="0.3">
      <c r="A874">
        <v>872</v>
      </c>
      <c r="B874" s="1" t="s">
        <v>1210</v>
      </c>
      <c r="C874" t="s">
        <v>213</v>
      </c>
      <c r="D874" s="1" t="s">
        <v>1211</v>
      </c>
    </row>
    <row r="875" spans="1:4" hidden="1" x14ac:dyDescent="0.3">
      <c r="A875">
        <v>873</v>
      </c>
      <c r="B875" t="s">
        <v>1212</v>
      </c>
      <c r="C875" t="s">
        <v>216</v>
      </c>
      <c r="D875">
        <v>81657862.366544306</v>
      </c>
    </row>
    <row r="876" spans="1:4" hidden="1" x14ac:dyDescent="0.3">
      <c r="A876">
        <v>874</v>
      </c>
      <c r="B876" t="s">
        <v>1213</v>
      </c>
      <c r="C876" t="s">
        <v>218</v>
      </c>
      <c r="D876">
        <v>39523645.673626803</v>
      </c>
    </row>
    <row r="877" spans="1:4" hidden="1" x14ac:dyDescent="0.3">
      <c r="A877">
        <v>875</v>
      </c>
      <c r="B877" t="s">
        <v>1214</v>
      </c>
      <c r="C877" t="s">
        <v>220</v>
      </c>
      <c r="D877">
        <v>29531823.1239537</v>
      </c>
    </row>
    <row r="878" spans="1:4" hidden="1" x14ac:dyDescent="0.3">
      <c r="A878">
        <v>876</v>
      </c>
      <c r="B878" s="1" t="s">
        <v>1215</v>
      </c>
      <c r="C878" t="s">
        <v>222</v>
      </c>
      <c r="D878" s="1" t="s">
        <v>1216</v>
      </c>
    </row>
    <row r="879" spans="1:4" hidden="1" x14ac:dyDescent="0.3">
      <c r="A879">
        <v>877</v>
      </c>
      <c r="B879" t="s">
        <v>1217</v>
      </c>
      <c r="C879" t="s">
        <v>225</v>
      </c>
      <c r="D879">
        <v>101193593.12115</v>
      </c>
    </row>
    <row r="880" spans="1:4" hidden="1" x14ac:dyDescent="0.3">
      <c r="A880">
        <v>878</v>
      </c>
      <c r="B880" t="s">
        <v>1218</v>
      </c>
      <c r="C880" t="s">
        <v>227</v>
      </c>
      <c r="D880">
        <v>883.74210596084595</v>
      </c>
    </row>
    <row r="881" spans="1:4" hidden="1" x14ac:dyDescent="0.3">
      <c r="A881">
        <v>879</v>
      </c>
      <c r="B881" s="1" t="s">
        <v>1219</v>
      </c>
      <c r="C881" t="s">
        <v>229</v>
      </c>
      <c r="D881" s="1" t="s">
        <v>1220</v>
      </c>
    </row>
    <row r="882" spans="1:4" hidden="1" x14ac:dyDescent="0.3">
      <c r="A882">
        <v>880</v>
      </c>
      <c r="B882" t="s">
        <v>1221</v>
      </c>
      <c r="C882" t="s">
        <v>112</v>
      </c>
      <c r="D882">
        <v>-239.40097311694601</v>
      </c>
    </row>
    <row r="883" spans="1:4" hidden="1" x14ac:dyDescent="0.3">
      <c r="A883">
        <v>881</v>
      </c>
      <c r="B883" t="s">
        <v>1222</v>
      </c>
      <c r="C883" t="s">
        <v>114</v>
      </c>
      <c r="D883">
        <v>-44.3262450828298</v>
      </c>
    </row>
    <row r="884" spans="1:4" hidden="1" x14ac:dyDescent="0.3">
      <c r="A884">
        <v>882</v>
      </c>
      <c r="B884" s="1" t="s">
        <v>1223</v>
      </c>
      <c r="C884" t="s">
        <v>116</v>
      </c>
      <c r="D884" s="1" t="s">
        <v>1224</v>
      </c>
    </row>
    <row r="885" spans="1:4" hidden="1" x14ac:dyDescent="0.3">
      <c r="A885">
        <v>883</v>
      </c>
      <c r="B885" t="s">
        <v>1225</v>
      </c>
      <c r="C885" t="s">
        <v>119</v>
      </c>
      <c r="D885">
        <v>81657862.366544306</v>
      </c>
    </row>
    <row r="886" spans="1:4" hidden="1" x14ac:dyDescent="0.3">
      <c r="A886">
        <v>884</v>
      </c>
      <c r="B886" t="s">
        <v>1226</v>
      </c>
      <c r="C886" t="s">
        <v>121</v>
      </c>
      <c r="D886">
        <v>39523645.673626803</v>
      </c>
    </row>
    <row r="887" spans="1:4" hidden="1" x14ac:dyDescent="0.3">
      <c r="A887">
        <v>885</v>
      </c>
      <c r="B887" s="1" t="s">
        <v>1227</v>
      </c>
      <c r="C887" t="s">
        <v>123</v>
      </c>
      <c r="D887" s="1" t="s">
        <v>1228</v>
      </c>
    </row>
    <row r="888" spans="1:4" hidden="1" x14ac:dyDescent="0.3">
      <c r="A888">
        <v>886</v>
      </c>
      <c r="B888" t="s">
        <v>1229</v>
      </c>
      <c r="C888" t="s">
        <v>126</v>
      </c>
      <c r="D888">
        <v>0.80698441993248105</v>
      </c>
    </row>
    <row r="889" spans="1:4" hidden="1" x14ac:dyDescent="0.3">
      <c r="A889">
        <v>887</v>
      </c>
      <c r="B889" t="s">
        <v>1230</v>
      </c>
      <c r="C889" t="s">
        <v>128</v>
      </c>
      <c r="D889">
        <v>0.39059271640468801</v>
      </c>
    </row>
    <row r="890" spans="1:4" hidden="1" x14ac:dyDescent="0.3">
      <c r="A890">
        <v>888</v>
      </c>
      <c r="B890" s="1" t="s">
        <v>1231</v>
      </c>
      <c r="C890" t="s">
        <v>130</v>
      </c>
      <c r="D890" s="1" t="s">
        <v>1232</v>
      </c>
    </row>
    <row r="891" spans="1:4" hidden="1" x14ac:dyDescent="0.3">
      <c r="A891">
        <v>889</v>
      </c>
      <c r="B891" s="1" t="s">
        <v>1233</v>
      </c>
      <c r="C891" t="s">
        <v>4</v>
      </c>
      <c r="D891" t="s">
        <v>1234</v>
      </c>
    </row>
    <row r="892" spans="1:4" hidden="1" x14ac:dyDescent="0.3">
      <c r="A892">
        <v>890</v>
      </c>
      <c r="B892" t="s">
        <v>1235</v>
      </c>
      <c r="C892" t="s">
        <v>7</v>
      </c>
      <c r="D892">
        <v>1903.77</v>
      </c>
    </row>
    <row r="893" spans="1:4" hidden="1" x14ac:dyDescent="0.3">
      <c r="A893">
        <v>891</v>
      </c>
      <c r="B893" s="1" t="s">
        <v>1236</v>
      </c>
      <c r="C893" t="s">
        <v>9</v>
      </c>
      <c r="D893" s="1" t="s">
        <v>1237</v>
      </c>
    </row>
    <row r="894" spans="1:4" hidden="1" x14ac:dyDescent="0.3">
      <c r="A894">
        <v>892</v>
      </c>
      <c r="B894" t="s">
        <v>1238</v>
      </c>
      <c r="C894" t="s">
        <v>14</v>
      </c>
      <c r="D894">
        <v>98.48828125</v>
      </c>
    </row>
    <row r="895" spans="1:4" hidden="1" x14ac:dyDescent="0.3">
      <c r="A895">
        <v>893</v>
      </c>
      <c r="B895" t="s">
        <v>1239</v>
      </c>
      <c r="C895" t="s">
        <v>16</v>
      </c>
      <c r="D895">
        <v>4.3745708194664203</v>
      </c>
    </row>
    <row r="896" spans="1:4" hidden="1" x14ac:dyDescent="0.3">
      <c r="A896">
        <v>894</v>
      </c>
      <c r="B896" s="1" t="s">
        <v>1240</v>
      </c>
      <c r="C896" t="s">
        <v>140</v>
      </c>
      <c r="D896" s="1" t="s">
        <v>1241</v>
      </c>
    </row>
    <row r="897" spans="1:4" hidden="1" x14ac:dyDescent="0.3">
      <c r="A897">
        <v>895</v>
      </c>
      <c r="B897" t="s">
        <v>1152</v>
      </c>
      <c r="C897" t="s">
        <v>22</v>
      </c>
      <c r="D897">
        <v>74.849999999999994</v>
      </c>
    </row>
    <row r="898" spans="1:4" hidden="1" x14ac:dyDescent="0.3">
      <c r="A898">
        <v>896</v>
      </c>
      <c r="B898" t="s">
        <v>1242</v>
      </c>
      <c r="C898" t="s">
        <v>24</v>
      </c>
      <c r="D898">
        <v>6.1535907339517797</v>
      </c>
    </row>
    <row r="899" spans="1:4" hidden="1" x14ac:dyDescent="0.3">
      <c r="A899">
        <v>897</v>
      </c>
      <c r="B899" s="1" t="s">
        <v>1243</v>
      </c>
      <c r="C899" t="s">
        <v>145</v>
      </c>
      <c r="D899" s="1" t="s">
        <v>1244</v>
      </c>
    </row>
    <row r="900" spans="1:4" hidden="1" x14ac:dyDescent="0.3">
      <c r="A900">
        <v>898</v>
      </c>
      <c r="B900" t="s">
        <v>1245</v>
      </c>
      <c r="C900" t="s">
        <v>35</v>
      </c>
      <c r="D900">
        <v>-0.131000154853985</v>
      </c>
    </row>
    <row r="901" spans="1:4" hidden="1" x14ac:dyDescent="0.3">
      <c r="A901">
        <v>899</v>
      </c>
      <c r="B901" t="s">
        <v>1246</v>
      </c>
      <c r="C901" t="s">
        <v>149</v>
      </c>
      <c r="D901">
        <v>0.70468826688928099</v>
      </c>
    </row>
    <row r="902" spans="1:4" hidden="1" x14ac:dyDescent="0.3">
      <c r="A902">
        <v>900</v>
      </c>
      <c r="B902" s="1" t="s">
        <v>1247</v>
      </c>
      <c r="C902" t="s">
        <v>151</v>
      </c>
      <c r="D902" s="1" t="s">
        <v>1248</v>
      </c>
    </row>
    <row r="903" spans="1:4" hidden="1" x14ac:dyDescent="0.3">
      <c r="A903">
        <v>901</v>
      </c>
      <c r="B903" t="s">
        <v>1249</v>
      </c>
      <c r="C903" t="s">
        <v>30</v>
      </c>
      <c r="D903">
        <v>0.45838198280902198</v>
      </c>
    </row>
    <row r="904" spans="1:4" hidden="1" x14ac:dyDescent="0.3">
      <c r="A904">
        <v>902</v>
      </c>
      <c r="B904" t="s">
        <v>1250</v>
      </c>
      <c r="C904" t="s">
        <v>32</v>
      </c>
      <c r="D904">
        <v>0.208952151219334</v>
      </c>
    </row>
    <row r="905" spans="1:4" hidden="1" x14ac:dyDescent="0.3">
      <c r="A905">
        <v>903</v>
      </c>
      <c r="B905" s="1" t="s">
        <v>1251</v>
      </c>
      <c r="C905" t="s">
        <v>155</v>
      </c>
      <c r="D905" s="1" t="s">
        <v>1252</v>
      </c>
    </row>
    <row r="906" spans="1:4" hidden="1" x14ac:dyDescent="0.3">
      <c r="A906">
        <v>904</v>
      </c>
      <c r="B906" t="s">
        <v>1253</v>
      </c>
      <c r="C906" t="s">
        <v>40</v>
      </c>
      <c r="D906">
        <v>0.67261817204496299</v>
      </c>
    </row>
    <row r="907" spans="1:4" hidden="1" x14ac:dyDescent="0.3">
      <c r="A907">
        <v>905</v>
      </c>
      <c r="B907" t="s">
        <v>1254</v>
      </c>
      <c r="C907" t="s">
        <v>42</v>
      </c>
      <c r="D907">
        <v>0.21011504059630101</v>
      </c>
    </row>
    <row r="908" spans="1:4" hidden="1" x14ac:dyDescent="0.3">
      <c r="A908">
        <v>906</v>
      </c>
      <c r="B908" s="1" t="s">
        <v>1255</v>
      </c>
      <c r="C908" t="s">
        <v>159</v>
      </c>
      <c r="D908" s="1" t="s">
        <v>1256</v>
      </c>
    </row>
    <row r="909" spans="1:4" hidden="1" x14ac:dyDescent="0.3">
      <c r="A909">
        <v>907</v>
      </c>
      <c r="B909" t="s">
        <v>1257</v>
      </c>
      <c r="C909" t="s">
        <v>161</v>
      </c>
      <c r="D909">
        <v>1.00381220538454</v>
      </c>
    </row>
    <row r="910" spans="1:4" hidden="1" x14ac:dyDescent="0.3">
      <c r="A910">
        <v>908</v>
      </c>
      <c r="B910" t="s">
        <v>1258</v>
      </c>
      <c r="C910" t="s">
        <v>163</v>
      </c>
      <c r="D910">
        <v>1.00063038288535</v>
      </c>
    </row>
    <row r="911" spans="1:4" hidden="1" x14ac:dyDescent="0.3">
      <c r="A911">
        <v>909</v>
      </c>
      <c r="B911" s="1" t="s">
        <v>1259</v>
      </c>
      <c r="C911" t="s">
        <v>165</v>
      </c>
      <c r="D911" s="1" t="s">
        <v>1260</v>
      </c>
    </row>
    <row r="912" spans="1:4" hidden="1" x14ac:dyDescent="0.3">
      <c r="A912">
        <v>910</v>
      </c>
      <c r="B912" t="s">
        <v>1261</v>
      </c>
      <c r="C912" t="s">
        <v>168</v>
      </c>
      <c r="D912">
        <v>1.0002787667422799</v>
      </c>
    </row>
    <row r="913" spans="1:4" hidden="1" x14ac:dyDescent="0.3">
      <c r="A913">
        <v>911</v>
      </c>
      <c r="B913" t="s">
        <v>1262</v>
      </c>
      <c r="C913" t="s">
        <v>170</v>
      </c>
      <c r="D913">
        <v>1.0000896177009599</v>
      </c>
    </row>
    <row r="914" spans="1:4" hidden="1" x14ac:dyDescent="0.3">
      <c r="A914">
        <v>912</v>
      </c>
      <c r="B914" s="1" t="s">
        <v>1263</v>
      </c>
      <c r="C914" t="s">
        <v>172</v>
      </c>
      <c r="D914" s="1" t="s">
        <v>1264</v>
      </c>
    </row>
    <row r="915" spans="1:4" hidden="1" x14ac:dyDescent="0.3">
      <c r="A915">
        <v>913</v>
      </c>
      <c r="B915" s="1" t="s">
        <v>1265</v>
      </c>
      <c r="C915" t="s">
        <v>55</v>
      </c>
      <c r="D915" s="1" t="s">
        <v>1266</v>
      </c>
    </row>
    <row r="916" spans="1:4" hidden="1" x14ac:dyDescent="0.3">
      <c r="A916">
        <v>914</v>
      </c>
      <c r="B916" s="1" t="s">
        <v>1267</v>
      </c>
      <c r="C916" t="s">
        <v>52</v>
      </c>
      <c r="D916" s="1" t="s">
        <v>1268</v>
      </c>
    </row>
    <row r="917" spans="1:4" hidden="1" x14ac:dyDescent="0.3">
      <c r="A917">
        <v>915</v>
      </c>
      <c r="B917" s="1" t="s">
        <v>1269</v>
      </c>
      <c r="C917" t="s">
        <v>58</v>
      </c>
      <c r="D917" s="1" t="s">
        <v>1270</v>
      </c>
    </row>
    <row r="918" spans="1:4" hidden="1" x14ac:dyDescent="0.3">
      <c r="A918">
        <v>916</v>
      </c>
      <c r="B918" t="s">
        <v>1271</v>
      </c>
      <c r="C918" t="s">
        <v>61</v>
      </c>
      <c r="D918">
        <v>151061784.06444901</v>
      </c>
    </row>
    <row r="919" spans="1:4" hidden="1" x14ac:dyDescent="0.3">
      <c r="A919">
        <v>917</v>
      </c>
      <c r="B919" t="s">
        <v>1272</v>
      </c>
      <c r="C919" t="s">
        <v>63</v>
      </c>
      <c r="D919">
        <v>81969158.909148306</v>
      </c>
    </row>
    <row r="920" spans="1:4" hidden="1" x14ac:dyDescent="0.3">
      <c r="A920">
        <v>918</v>
      </c>
      <c r="B920" t="s">
        <v>1273</v>
      </c>
      <c r="C920" t="s">
        <v>65</v>
      </c>
      <c r="D920">
        <v>39548560.703426398</v>
      </c>
    </row>
    <row r="921" spans="1:4" hidden="1" x14ac:dyDescent="0.3">
      <c r="A921">
        <v>919</v>
      </c>
      <c r="B921" s="1" t="s">
        <v>1274</v>
      </c>
      <c r="C921" t="s">
        <v>67</v>
      </c>
      <c r="D921" s="1" t="s">
        <v>1275</v>
      </c>
    </row>
    <row r="922" spans="1:4" hidden="1" x14ac:dyDescent="0.3">
      <c r="A922">
        <v>920</v>
      </c>
      <c r="B922" s="1" t="s">
        <v>1276</v>
      </c>
      <c r="C922" t="s">
        <v>70</v>
      </c>
      <c r="D922" s="1" t="s">
        <v>1277</v>
      </c>
    </row>
    <row r="923" spans="1:4" hidden="1" x14ac:dyDescent="0.3">
      <c r="A923">
        <v>921</v>
      </c>
      <c r="B923" t="s">
        <v>1278</v>
      </c>
      <c r="C923" t="s">
        <v>73</v>
      </c>
      <c r="D923">
        <v>0.99995358067012396</v>
      </c>
    </row>
    <row r="924" spans="1:4" hidden="1" x14ac:dyDescent="0.3">
      <c r="A924">
        <v>922</v>
      </c>
      <c r="B924" t="s">
        <v>74</v>
      </c>
      <c r="C924" t="s">
        <v>75</v>
      </c>
      <c r="D924">
        <v>2.7397260273972599E-3</v>
      </c>
    </row>
    <row r="925" spans="1:4" hidden="1" x14ac:dyDescent="0.3">
      <c r="A925">
        <v>923</v>
      </c>
      <c r="B925" t="s">
        <v>76</v>
      </c>
      <c r="C925" t="s">
        <v>77</v>
      </c>
      <c r="D925">
        <v>0</v>
      </c>
    </row>
    <row r="926" spans="1:4" hidden="1" x14ac:dyDescent="0.3">
      <c r="A926">
        <v>924</v>
      </c>
      <c r="B926" t="s">
        <v>78</v>
      </c>
      <c r="C926" t="s">
        <v>79</v>
      </c>
      <c r="D926">
        <v>0</v>
      </c>
    </row>
    <row r="927" spans="1:4" hidden="1" x14ac:dyDescent="0.3">
      <c r="A927">
        <v>925</v>
      </c>
      <c r="B927" s="1" t="s">
        <v>1279</v>
      </c>
      <c r="C927" t="s">
        <v>81</v>
      </c>
      <c r="D927" s="1" t="s">
        <v>1280</v>
      </c>
    </row>
    <row r="928" spans="1:4" hidden="1" x14ac:dyDescent="0.3">
      <c r="A928">
        <v>926</v>
      </c>
      <c r="B928" t="s">
        <v>1281</v>
      </c>
      <c r="C928" t="s">
        <v>84</v>
      </c>
      <c r="D928">
        <v>0.999991214376724</v>
      </c>
    </row>
    <row r="929" spans="1:4" hidden="1" x14ac:dyDescent="0.3">
      <c r="A929">
        <v>927</v>
      </c>
      <c r="B929" s="1" t="s">
        <v>1282</v>
      </c>
      <c r="C929" t="s">
        <v>86</v>
      </c>
      <c r="D929" s="1" t="s">
        <v>1283</v>
      </c>
    </row>
    <row r="930" spans="1:4" hidden="1" x14ac:dyDescent="0.3">
      <c r="A930">
        <v>928</v>
      </c>
      <c r="B930" t="s">
        <v>1284</v>
      </c>
      <c r="C930" t="s">
        <v>89</v>
      </c>
      <c r="D930">
        <v>101190668.50654501</v>
      </c>
    </row>
    <row r="931" spans="1:4" hidden="1" x14ac:dyDescent="0.3">
      <c r="A931">
        <v>929</v>
      </c>
      <c r="B931" s="1" t="s">
        <v>1285</v>
      </c>
      <c r="C931" t="s">
        <v>91</v>
      </c>
      <c r="D931" s="1" t="s">
        <v>1220</v>
      </c>
    </row>
    <row r="932" spans="1:4" hidden="1" x14ac:dyDescent="0.3">
      <c r="A932">
        <v>930</v>
      </c>
      <c r="B932" t="s">
        <v>1286</v>
      </c>
      <c r="C932" t="s">
        <v>94</v>
      </c>
      <c r="D932">
        <v>81969158.909148306</v>
      </c>
    </row>
    <row r="933" spans="1:4" hidden="1" x14ac:dyDescent="0.3">
      <c r="A933">
        <v>931</v>
      </c>
      <c r="B933" t="s">
        <v>1287</v>
      </c>
      <c r="C933" t="s">
        <v>96</v>
      </c>
      <c r="D933">
        <v>39548560.703426398</v>
      </c>
    </row>
    <row r="934" spans="1:4" hidden="1" x14ac:dyDescent="0.3">
      <c r="A934">
        <v>932</v>
      </c>
      <c r="B934" t="s">
        <v>1288</v>
      </c>
      <c r="C934" t="s">
        <v>98</v>
      </c>
      <c r="D934">
        <v>29544064.451875102</v>
      </c>
    </row>
    <row r="935" spans="1:4" hidden="1" x14ac:dyDescent="0.3">
      <c r="A935">
        <v>933</v>
      </c>
      <c r="B935" s="1" t="s">
        <v>1289</v>
      </c>
      <c r="C935" t="s">
        <v>100</v>
      </c>
      <c r="D935" s="1" t="s">
        <v>1290</v>
      </c>
    </row>
    <row r="936" spans="1:4" hidden="1" x14ac:dyDescent="0.3">
      <c r="A936">
        <v>934</v>
      </c>
      <c r="B936" t="s">
        <v>1291</v>
      </c>
      <c r="C936" t="s">
        <v>103</v>
      </c>
      <c r="D936">
        <v>9.4991574691869907E-3</v>
      </c>
    </row>
    <row r="937" spans="1:4" hidden="1" x14ac:dyDescent="0.3">
      <c r="A937">
        <v>935</v>
      </c>
      <c r="B937" t="s">
        <v>1292</v>
      </c>
      <c r="C937" t="s">
        <v>105</v>
      </c>
      <c r="D937">
        <v>1.72182717033073E-3</v>
      </c>
    </row>
    <row r="938" spans="1:4" hidden="1" x14ac:dyDescent="0.3">
      <c r="A938">
        <v>936</v>
      </c>
      <c r="B938" t="s">
        <v>1293</v>
      </c>
      <c r="C938" t="s">
        <v>107</v>
      </c>
      <c r="D938">
        <v>1.10120229452148E-2</v>
      </c>
    </row>
    <row r="939" spans="1:4" hidden="1" x14ac:dyDescent="0.3">
      <c r="A939">
        <v>937</v>
      </c>
      <c r="B939" s="1" t="s">
        <v>1294</v>
      </c>
      <c r="C939" t="s">
        <v>109</v>
      </c>
      <c r="D939" s="1" t="s">
        <v>1295</v>
      </c>
    </row>
    <row r="940" spans="1:4" x14ac:dyDescent="0.3">
      <c r="A940">
        <v>938</v>
      </c>
      <c r="B940" t="s">
        <v>1296</v>
      </c>
      <c r="C940" t="s">
        <v>207</v>
      </c>
      <c r="D940">
        <v>151063105.82024899</v>
      </c>
    </row>
    <row r="941" spans="1:4" hidden="1" x14ac:dyDescent="0.3">
      <c r="A941">
        <v>939</v>
      </c>
      <c r="B941" t="s">
        <v>1297</v>
      </c>
      <c r="C941" t="s">
        <v>209</v>
      </c>
      <c r="D941">
        <v>-3084.98131918327</v>
      </c>
    </row>
    <row r="942" spans="1:4" hidden="1" x14ac:dyDescent="0.3">
      <c r="A942">
        <v>940</v>
      </c>
      <c r="B942" t="s">
        <v>1298</v>
      </c>
      <c r="C942" t="s">
        <v>211</v>
      </c>
      <c r="D942">
        <v>-1488.4374496877999</v>
      </c>
    </row>
    <row r="943" spans="1:4" hidden="1" x14ac:dyDescent="0.3">
      <c r="A943">
        <v>941</v>
      </c>
      <c r="B943" s="1" t="s">
        <v>1299</v>
      </c>
      <c r="C943" t="s">
        <v>213</v>
      </c>
      <c r="D943" s="1" t="s">
        <v>1300</v>
      </c>
    </row>
    <row r="944" spans="1:4" hidden="1" x14ac:dyDescent="0.3">
      <c r="A944">
        <v>942</v>
      </c>
      <c r="B944" t="s">
        <v>1301</v>
      </c>
      <c r="C944" t="s">
        <v>216</v>
      </c>
      <c r="D944">
        <v>81973169.650234595</v>
      </c>
    </row>
    <row r="945" spans="1:4" hidden="1" x14ac:dyDescent="0.3">
      <c r="A945">
        <v>943</v>
      </c>
      <c r="B945" t="s">
        <v>1302</v>
      </c>
      <c r="C945" t="s">
        <v>218</v>
      </c>
      <c r="D945">
        <v>39550299.646327302</v>
      </c>
    </row>
    <row r="946" spans="1:4" hidden="1" x14ac:dyDescent="0.3">
      <c r="A946">
        <v>944</v>
      </c>
      <c r="B946" t="s">
        <v>1303</v>
      </c>
      <c r="C946" t="s">
        <v>220</v>
      </c>
      <c r="D946">
        <v>29545321.8521991</v>
      </c>
    </row>
    <row r="947" spans="1:4" hidden="1" x14ac:dyDescent="0.3">
      <c r="A947">
        <v>945</v>
      </c>
      <c r="B947" s="1" t="s">
        <v>1304</v>
      </c>
      <c r="C947" t="s">
        <v>222</v>
      </c>
      <c r="D947" s="1" t="s">
        <v>1305</v>
      </c>
    </row>
    <row r="948" spans="1:4" hidden="1" x14ac:dyDescent="0.3">
      <c r="A948">
        <v>946</v>
      </c>
      <c r="B948" t="s">
        <v>1306</v>
      </c>
      <c r="C948" t="s">
        <v>225</v>
      </c>
      <c r="D948">
        <v>101194476.86325601</v>
      </c>
    </row>
    <row r="949" spans="1:4" hidden="1" x14ac:dyDescent="0.3">
      <c r="A949">
        <v>947</v>
      </c>
      <c r="B949" t="s">
        <v>1307</v>
      </c>
      <c r="C949" t="s">
        <v>227</v>
      </c>
      <c r="D949">
        <v>-3808.3567106127698</v>
      </c>
    </row>
    <row r="950" spans="1:4" hidden="1" x14ac:dyDescent="0.3">
      <c r="A950">
        <v>948</v>
      </c>
      <c r="B950" s="1" t="s">
        <v>1308</v>
      </c>
      <c r="C950" t="s">
        <v>229</v>
      </c>
      <c r="D950" s="1" t="s">
        <v>1309</v>
      </c>
    </row>
    <row r="951" spans="1:4" hidden="1" x14ac:dyDescent="0.3">
      <c r="A951">
        <v>949</v>
      </c>
      <c r="B951" t="s">
        <v>1310</v>
      </c>
      <c r="C951" t="s">
        <v>112</v>
      </c>
      <c r="D951">
        <v>925.75976708795497</v>
      </c>
    </row>
    <row r="952" spans="1:4" hidden="1" x14ac:dyDescent="0.3">
      <c r="A952">
        <v>950</v>
      </c>
      <c r="B952" t="s">
        <v>1311</v>
      </c>
      <c r="C952" t="s">
        <v>114</v>
      </c>
      <c r="D952">
        <v>250.50545125657499</v>
      </c>
    </row>
    <row r="953" spans="1:4" hidden="1" x14ac:dyDescent="0.3">
      <c r="A953">
        <v>951</v>
      </c>
      <c r="B953" s="1" t="s">
        <v>1312</v>
      </c>
      <c r="C953" t="s">
        <v>116</v>
      </c>
      <c r="D953" s="1" t="s">
        <v>1313</v>
      </c>
    </row>
    <row r="954" spans="1:4" hidden="1" x14ac:dyDescent="0.3">
      <c r="A954">
        <v>952</v>
      </c>
      <c r="B954" t="s">
        <v>1314</v>
      </c>
      <c r="C954" t="s">
        <v>119</v>
      </c>
      <c r="D954">
        <v>81973169.650234595</v>
      </c>
    </row>
    <row r="955" spans="1:4" hidden="1" x14ac:dyDescent="0.3">
      <c r="A955">
        <v>953</v>
      </c>
      <c r="B955" t="s">
        <v>1315</v>
      </c>
      <c r="C955" t="s">
        <v>121</v>
      </c>
      <c r="D955">
        <v>39550299.646327302</v>
      </c>
    </row>
    <row r="956" spans="1:4" hidden="1" x14ac:dyDescent="0.3">
      <c r="A956">
        <v>954</v>
      </c>
      <c r="B956" s="1" t="s">
        <v>1316</v>
      </c>
      <c r="C956" t="s">
        <v>123</v>
      </c>
      <c r="D956" s="1" t="s">
        <v>1317</v>
      </c>
    </row>
    <row r="957" spans="1:4" hidden="1" x14ac:dyDescent="0.3">
      <c r="A957">
        <v>955</v>
      </c>
      <c r="B957" t="s">
        <v>1318</v>
      </c>
      <c r="C957" t="s">
        <v>126</v>
      </c>
      <c r="D957">
        <v>0.81006288468411103</v>
      </c>
    </row>
    <row r="958" spans="1:4" hidden="1" x14ac:dyDescent="0.3">
      <c r="A958">
        <v>956</v>
      </c>
      <c r="B958" t="s">
        <v>1319</v>
      </c>
      <c r="C958" t="s">
        <v>128</v>
      </c>
      <c r="D958">
        <v>0.39083800173064598</v>
      </c>
    </row>
    <row r="959" spans="1:4" hidden="1" x14ac:dyDescent="0.3">
      <c r="A959">
        <v>957</v>
      </c>
      <c r="B959" s="1" t="s">
        <v>1320</v>
      </c>
      <c r="C959" t="s">
        <v>130</v>
      </c>
      <c r="D959" s="1" t="s">
        <v>1321</v>
      </c>
    </row>
    <row r="960" spans="1:4" hidden="1" x14ac:dyDescent="0.3">
      <c r="A960">
        <v>958</v>
      </c>
      <c r="B960" s="1" t="s">
        <v>1322</v>
      </c>
      <c r="C960" t="s">
        <v>4</v>
      </c>
      <c r="D960" t="s">
        <v>1323</v>
      </c>
    </row>
    <row r="961" spans="1:4" hidden="1" x14ac:dyDescent="0.3">
      <c r="A961">
        <v>959</v>
      </c>
      <c r="B961" t="s">
        <v>1324</v>
      </c>
      <c r="C961" t="s">
        <v>7</v>
      </c>
      <c r="D961">
        <v>1900.44</v>
      </c>
    </row>
    <row r="962" spans="1:4" hidden="1" x14ac:dyDescent="0.3">
      <c r="A962">
        <v>960</v>
      </c>
      <c r="B962" s="1" t="s">
        <v>1325</v>
      </c>
      <c r="C962" t="s">
        <v>9</v>
      </c>
      <c r="D962" s="1" t="s">
        <v>1326</v>
      </c>
    </row>
    <row r="963" spans="1:4" hidden="1" x14ac:dyDescent="0.3">
      <c r="A963">
        <v>961</v>
      </c>
      <c r="B963" t="s">
        <v>1327</v>
      </c>
      <c r="C963" t="s">
        <v>14</v>
      </c>
      <c r="D963">
        <v>98.48046875</v>
      </c>
    </row>
    <row r="964" spans="1:4" hidden="1" x14ac:dyDescent="0.3">
      <c r="A964">
        <v>962</v>
      </c>
      <c r="B964" t="s">
        <v>1328</v>
      </c>
      <c r="C964" t="s">
        <v>16</v>
      </c>
      <c r="D964">
        <v>4.3714035165507497</v>
      </c>
    </row>
    <row r="965" spans="1:4" hidden="1" x14ac:dyDescent="0.3">
      <c r="A965">
        <v>963</v>
      </c>
      <c r="B965" s="1" t="s">
        <v>1329</v>
      </c>
      <c r="C965" t="s">
        <v>140</v>
      </c>
      <c r="D965" s="1" t="s">
        <v>1330</v>
      </c>
    </row>
    <row r="966" spans="1:4" hidden="1" x14ac:dyDescent="0.3">
      <c r="A966">
        <v>964</v>
      </c>
      <c r="B966" t="s">
        <v>1331</v>
      </c>
      <c r="C966" t="s">
        <v>22</v>
      </c>
      <c r="D966">
        <v>74.3</v>
      </c>
    </row>
    <row r="967" spans="1:4" hidden="1" x14ac:dyDescent="0.3">
      <c r="A967">
        <v>965</v>
      </c>
      <c r="B967" t="s">
        <v>1332</v>
      </c>
      <c r="C967" t="s">
        <v>24</v>
      </c>
      <c r="D967">
        <v>6.1496486003299902</v>
      </c>
    </row>
    <row r="968" spans="1:4" hidden="1" x14ac:dyDescent="0.3">
      <c r="A968">
        <v>966</v>
      </c>
      <c r="B968" s="1" t="s">
        <v>1333</v>
      </c>
      <c r="C968" t="s">
        <v>145</v>
      </c>
      <c r="D968" s="1" t="s">
        <v>1334</v>
      </c>
    </row>
    <row r="969" spans="1:4" hidden="1" x14ac:dyDescent="0.3">
      <c r="A969">
        <v>967</v>
      </c>
      <c r="B969" t="s">
        <v>1335</v>
      </c>
      <c r="C969" t="s">
        <v>35</v>
      </c>
      <c r="D969">
        <v>-0.40310082816029102</v>
      </c>
    </row>
    <row r="970" spans="1:4" hidden="1" x14ac:dyDescent="0.3">
      <c r="A970">
        <v>968</v>
      </c>
      <c r="B970" t="s">
        <v>1336</v>
      </c>
      <c r="C970" t="s">
        <v>149</v>
      </c>
      <c r="D970">
        <v>0.70538409999398599</v>
      </c>
    </row>
    <row r="971" spans="1:4" hidden="1" x14ac:dyDescent="0.3">
      <c r="A971">
        <v>969</v>
      </c>
      <c r="B971" s="1" t="s">
        <v>1337</v>
      </c>
      <c r="C971" t="s">
        <v>151</v>
      </c>
      <c r="D971" s="1" t="s">
        <v>1338</v>
      </c>
    </row>
    <row r="972" spans="1:4" hidden="1" x14ac:dyDescent="0.3">
      <c r="A972">
        <v>970</v>
      </c>
      <c r="B972" t="s">
        <v>1339</v>
      </c>
      <c r="C972" t="s">
        <v>30</v>
      </c>
      <c r="D972">
        <v>0.57059795709110095</v>
      </c>
    </row>
    <row r="973" spans="1:4" hidden="1" x14ac:dyDescent="0.3">
      <c r="A973">
        <v>971</v>
      </c>
      <c r="B973" t="s">
        <v>1340</v>
      </c>
      <c r="C973" t="s">
        <v>32</v>
      </c>
      <c r="D973">
        <v>0.209199949796913</v>
      </c>
    </row>
    <row r="974" spans="1:4" hidden="1" x14ac:dyDescent="0.3">
      <c r="A974">
        <v>972</v>
      </c>
      <c r="B974" s="1" t="s">
        <v>1341</v>
      </c>
      <c r="C974" t="s">
        <v>155</v>
      </c>
      <c r="D974" s="1" t="s">
        <v>1342</v>
      </c>
    </row>
    <row r="975" spans="1:4" hidden="1" x14ac:dyDescent="0.3">
      <c r="A975">
        <v>973</v>
      </c>
      <c r="B975" t="s">
        <v>1343</v>
      </c>
      <c r="C975" t="s">
        <v>40</v>
      </c>
      <c r="D975">
        <v>0.83250287106918996</v>
      </c>
    </row>
    <row r="976" spans="1:4" hidden="1" x14ac:dyDescent="0.3">
      <c r="A976">
        <v>974</v>
      </c>
      <c r="B976" t="s">
        <v>1344</v>
      </c>
      <c r="C976" t="s">
        <v>42</v>
      </c>
      <c r="D976">
        <v>0.20846738918694699</v>
      </c>
    </row>
    <row r="977" spans="1:4" hidden="1" x14ac:dyDescent="0.3">
      <c r="A977">
        <v>975</v>
      </c>
      <c r="B977" s="1" t="s">
        <v>1345</v>
      </c>
      <c r="C977" t="s">
        <v>159</v>
      </c>
      <c r="D977" s="1" t="s">
        <v>1346</v>
      </c>
    </row>
    <row r="978" spans="1:4" hidden="1" x14ac:dyDescent="0.3">
      <c r="A978">
        <v>976</v>
      </c>
      <c r="B978" t="s">
        <v>1347</v>
      </c>
      <c r="C978" t="s">
        <v>161</v>
      </c>
      <c r="D978">
        <v>0.99825083912447399</v>
      </c>
    </row>
    <row r="979" spans="1:4" hidden="1" x14ac:dyDescent="0.3">
      <c r="A979">
        <v>977</v>
      </c>
      <c r="B979" t="s">
        <v>1348</v>
      </c>
      <c r="C979" t="s">
        <v>163</v>
      </c>
      <c r="D979">
        <v>0.99989325784095195</v>
      </c>
    </row>
    <row r="980" spans="1:4" hidden="1" x14ac:dyDescent="0.3">
      <c r="A980">
        <v>978</v>
      </c>
      <c r="B980" s="1" t="s">
        <v>1349</v>
      </c>
      <c r="C980" t="s">
        <v>165</v>
      </c>
      <c r="D980" s="1" t="s">
        <v>1350</v>
      </c>
    </row>
    <row r="981" spans="1:4" hidden="1" x14ac:dyDescent="0.3">
      <c r="A981">
        <v>979</v>
      </c>
      <c r="B981" t="s">
        <v>1351</v>
      </c>
      <c r="C981" t="s">
        <v>168</v>
      </c>
      <c r="D981">
        <v>1.0004081878887801</v>
      </c>
    </row>
    <row r="982" spans="1:4" hidden="1" x14ac:dyDescent="0.3">
      <c r="A982">
        <v>980</v>
      </c>
      <c r="B982" t="s">
        <v>1352</v>
      </c>
      <c r="C982" t="s">
        <v>170</v>
      </c>
      <c r="D982">
        <v>1.0002049697147399</v>
      </c>
    </row>
    <row r="983" spans="1:4" hidden="1" x14ac:dyDescent="0.3">
      <c r="A983">
        <v>981</v>
      </c>
      <c r="B983" s="1" t="s">
        <v>1353</v>
      </c>
      <c r="C983" t="s">
        <v>172</v>
      </c>
      <c r="D983" s="1" t="s">
        <v>1354</v>
      </c>
    </row>
    <row r="984" spans="1:4" hidden="1" x14ac:dyDescent="0.3">
      <c r="A984">
        <v>982</v>
      </c>
      <c r="B984" s="1" t="s">
        <v>1355</v>
      </c>
      <c r="C984" t="s">
        <v>55</v>
      </c>
      <c r="D984" s="1" t="s">
        <v>1356</v>
      </c>
    </row>
    <row r="985" spans="1:4" hidden="1" x14ac:dyDescent="0.3">
      <c r="A985">
        <v>983</v>
      </c>
      <c r="B985" s="1" t="s">
        <v>1357</v>
      </c>
      <c r="C985" t="s">
        <v>52</v>
      </c>
      <c r="D985" s="1" t="s">
        <v>1358</v>
      </c>
    </row>
    <row r="986" spans="1:4" hidden="1" x14ac:dyDescent="0.3">
      <c r="A986">
        <v>984</v>
      </c>
      <c r="B986" s="1" t="s">
        <v>1359</v>
      </c>
      <c r="C986" t="s">
        <v>58</v>
      </c>
      <c r="D986" s="1" t="s">
        <v>1360</v>
      </c>
    </row>
    <row r="987" spans="1:4" hidden="1" x14ac:dyDescent="0.3">
      <c r="A987">
        <v>985</v>
      </c>
      <c r="B987" t="s">
        <v>1361</v>
      </c>
      <c r="C987" t="s">
        <v>61</v>
      </c>
      <c r="D987">
        <v>150719139.855854</v>
      </c>
    </row>
    <row r="988" spans="1:4" hidden="1" x14ac:dyDescent="0.3">
      <c r="A988">
        <v>986</v>
      </c>
      <c r="B988" t="s">
        <v>1362</v>
      </c>
      <c r="C988" t="s">
        <v>63</v>
      </c>
      <c r="D988">
        <v>81829785.389039502</v>
      </c>
    </row>
    <row r="989" spans="1:4" hidden="1" x14ac:dyDescent="0.3">
      <c r="A989">
        <v>987</v>
      </c>
      <c r="B989" t="s">
        <v>1363</v>
      </c>
      <c r="C989" t="s">
        <v>65</v>
      </c>
      <c r="D989">
        <v>39546077.961952098</v>
      </c>
    </row>
    <row r="990" spans="1:4" hidden="1" x14ac:dyDescent="0.3">
      <c r="A990">
        <v>988</v>
      </c>
      <c r="B990" s="1" t="s">
        <v>1364</v>
      </c>
      <c r="C990" t="s">
        <v>67</v>
      </c>
      <c r="D990" s="1" t="s">
        <v>1365</v>
      </c>
    </row>
    <row r="991" spans="1:4" hidden="1" x14ac:dyDescent="0.3">
      <c r="A991">
        <v>989</v>
      </c>
      <c r="B991" s="1" t="s">
        <v>1366</v>
      </c>
      <c r="C991" t="s">
        <v>70</v>
      </c>
      <c r="D991" s="1" t="s">
        <v>1367</v>
      </c>
    </row>
    <row r="992" spans="1:4" hidden="1" x14ac:dyDescent="0.3">
      <c r="A992">
        <v>990</v>
      </c>
      <c r="B992" t="s">
        <v>1368</v>
      </c>
      <c r="C992" t="s">
        <v>73</v>
      </c>
      <c r="D992">
        <v>0.999991214376724</v>
      </c>
    </row>
    <row r="993" spans="1:4" hidden="1" x14ac:dyDescent="0.3">
      <c r="A993">
        <v>991</v>
      </c>
      <c r="B993" t="s">
        <v>74</v>
      </c>
      <c r="C993" t="s">
        <v>75</v>
      </c>
      <c r="D993">
        <v>2.7397260273972599E-3</v>
      </c>
    </row>
    <row r="994" spans="1:4" hidden="1" x14ac:dyDescent="0.3">
      <c r="A994">
        <v>992</v>
      </c>
      <c r="B994" t="s">
        <v>76</v>
      </c>
      <c r="C994" t="s">
        <v>77</v>
      </c>
      <c r="D994">
        <v>0</v>
      </c>
    </row>
    <row r="995" spans="1:4" hidden="1" x14ac:dyDescent="0.3">
      <c r="A995">
        <v>993</v>
      </c>
      <c r="B995" t="s">
        <v>78</v>
      </c>
      <c r="C995" t="s">
        <v>79</v>
      </c>
      <c r="D995">
        <v>0</v>
      </c>
    </row>
    <row r="996" spans="1:4" hidden="1" x14ac:dyDescent="0.3">
      <c r="A996">
        <v>994</v>
      </c>
      <c r="B996" s="1" t="s">
        <v>1369</v>
      </c>
      <c r="C996" t="s">
        <v>81</v>
      </c>
      <c r="D996" s="1" t="s">
        <v>1370</v>
      </c>
    </row>
    <row r="997" spans="1:4" hidden="1" x14ac:dyDescent="0.3">
      <c r="A997">
        <v>995</v>
      </c>
      <c r="B997" t="s">
        <v>1371</v>
      </c>
      <c r="C997" t="s">
        <v>84</v>
      </c>
      <c r="D997">
        <v>1.0000012579936699</v>
      </c>
    </row>
    <row r="998" spans="1:4" hidden="1" x14ac:dyDescent="0.3">
      <c r="A998">
        <v>996</v>
      </c>
      <c r="B998" s="1" t="s">
        <v>1372</v>
      </c>
      <c r="C998" t="s">
        <v>86</v>
      </c>
      <c r="D998" s="1" t="s">
        <v>1373</v>
      </c>
    </row>
    <row r="999" spans="1:4" hidden="1" x14ac:dyDescent="0.3">
      <c r="A999">
        <v>997</v>
      </c>
      <c r="B999" t="s">
        <v>1374</v>
      </c>
      <c r="C999" t="s">
        <v>89</v>
      </c>
      <c r="D999">
        <v>101189652.187511</v>
      </c>
    </row>
    <row r="1000" spans="1:4" hidden="1" x14ac:dyDescent="0.3">
      <c r="A1000">
        <v>998</v>
      </c>
      <c r="B1000" s="1" t="s">
        <v>1375</v>
      </c>
      <c r="C1000" t="s">
        <v>91</v>
      </c>
      <c r="D1000" s="1" t="s">
        <v>1309</v>
      </c>
    </row>
    <row r="1001" spans="1:4" hidden="1" x14ac:dyDescent="0.3">
      <c r="A1001">
        <v>999</v>
      </c>
      <c r="B1001" t="s">
        <v>1376</v>
      </c>
      <c r="C1001" t="s">
        <v>94</v>
      </c>
      <c r="D1001">
        <v>81829785.389039502</v>
      </c>
    </row>
    <row r="1002" spans="1:4" hidden="1" x14ac:dyDescent="0.3">
      <c r="A1002">
        <v>1000</v>
      </c>
      <c r="B1002" t="s">
        <v>1377</v>
      </c>
      <c r="C1002" t="s">
        <v>96</v>
      </c>
      <c r="D1002">
        <v>39546077.961952098</v>
      </c>
    </row>
    <row r="1003" spans="1:4" hidden="1" x14ac:dyDescent="0.3">
      <c r="A1003">
        <v>1001</v>
      </c>
      <c r="B1003" t="s">
        <v>1378</v>
      </c>
      <c r="C1003" t="s">
        <v>98</v>
      </c>
      <c r="D1003">
        <v>29343276.504862599</v>
      </c>
    </row>
    <row r="1004" spans="1:4" hidden="1" x14ac:dyDescent="0.3">
      <c r="A1004">
        <v>1002</v>
      </c>
      <c r="B1004" s="1" t="s">
        <v>1379</v>
      </c>
      <c r="C1004" t="s">
        <v>100</v>
      </c>
      <c r="D1004" s="1" t="s">
        <v>1380</v>
      </c>
    </row>
    <row r="1005" spans="1:4" hidden="1" x14ac:dyDescent="0.3">
      <c r="A1005">
        <v>1003</v>
      </c>
      <c r="B1005" t="s">
        <v>1381</v>
      </c>
      <c r="C1005" t="s">
        <v>103</v>
      </c>
      <c r="D1005">
        <v>9.4675230131945395E-3</v>
      </c>
    </row>
    <row r="1006" spans="1:4" hidden="1" x14ac:dyDescent="0.3">
      <c r="A1006">
        <v>1004</v>
      </c>
      <c r="B1006" t="s">
        <v>1382</v>
      </c>
      <c r="C1006" t="s">
        <v>105</v>
      </c>
      <c r="D1006">
        <v>1.7205601401746699E-3</v>
      </c>
    </row>
    <row r="1007" spans="1:4" hidden="1" x14ac:dyDescent="0.3">
      <c r="A1007">
        <v>1005</v>
      </c>
      <c r="B1007" t="s">
        <v>1383</v>
      </c>
      <c r="C1007" t="s">
        <v>107</v>
      </c>
      <c r="D1007">
        <v>1.0972130437460301E-2</v>
      </c>
    </row>
    <row r="1008" spans="1:4" hidden="1" x14ac:dyDescent="0.3">
      <c r="A1008">
        <v>1006</v>
      </c>
      <c r="B1008" s="1" t="s">
        <v>1384</v>
      </c>
      <c r="C1008" t="s">
        <v>109</v>
      </c>
      <c r="D1008" s="1" t="s">
        <v>1385</v>
      </c>
    </row>
    <row r="1009" spans="1:4" x14ac:dyDescent="0.3">
      <c r="A1009">
        <v>1007</v>
      </c>
      <c r="B1009" t="s">
        <v>1386</v>
      </c>
      <c r="C1009" t="s">
        <v>207</v>
      </c>
      <c r="D1009">
        <v>150719492.951931</v>
      </c>
    </row>
    <row r="1010" spans="1:4" hidden="1" x14ac:dyDescent="0.3">
      <c r="A1010">
        <v>1008</v>
      </c>
      <c r="B1010" t="s">
        <v>1387</v>
      </c>
      <c r="C1010" t="s">
        <v>209</v>
      </c>
      <c r="D1010">
        <v>-821.87690569185099</v>
      </c>
    </row>
    <row r="1011" spans="1:4" hidden="1" x14ac:dyDescent="0.3">
      <c r="A1011">
        <v>1009</v>
      </c>
      <c r="B1011" t="s">
        <v>1388</v>
      </c>
      <c r="C1011" t="s">
        <v>211</v>
      </c>
      <c r="D1011">
        <v>-397.189641250845</v>
      </c>
    </row>
    <row r="1012" spans="1:4" hidden="1" x14ac:dyDescent="0.3">
      <c r="A1012">
        <v>1010</v>
      </c>
      <c r="B1012" s="1" t="s">
        <v>1389</v>
      </c>
      <c r="C1012" t="s">
        <v>213</v>
      </c>
      <c r="D1012" s="1" t="s">
        <v>1390</v>
      </c>
    </row>
    <row r="1013" spans="1:4" hidden="1" x14ac:dyDescent="0.3">
      <c r="A1013">
        <v>1011</v>
      </c>
      <c r="B1013" t="s">
        <v>1391</v>
      </c>
      <c r="C1013" t="s">
        <v>216</v>
      </c>
      <c r="D1013">
        <v>81830872.676424906</v>
      </c>
    </row>
    <row r="1014" spans="1:4" hidden="1" x14ac:dyDescent="0.3">
      <c r="A1014">
        <v>1012</v>
      </c>
      <c r="B1014" t="s">
        <v>1392</v>
      </c>
      <c r="C1014" t="s">
        <v>218</v>
      </c>
      <c r="D1014">
        <v>39546524.225829802</v>
      </c>
    </row>
    <row r="1015" spans="1:4" hidden="1" x14ac:dyDescent="0.3">
      <c r="A1015">
        <v>1013</v>
      </c>
      <c r="B1015" t="s">
        <v>1393</v>
      </c>
      <c r="C1015" t="s">
        <v>220</v>
      </c>
      <c r="D1015">
        <v>29343609.831830099</v>
      </c>
    </row>
    <row r="1016" spans="1:4" hidden="1" x14ac:dyDescent="0.3">
      <c r="A1016">
        <v>1014</v>
      </c>
      <c r="B1016" s="1" t="s">
        <v>1394</v>
      </c>
      <c r="C1016" t="s">
        <v>222</v>
      </c>
      <c r="D1016" s="1" t="s">
        <v>1395</v>
      </c>
    </row>
    <row r="1017" spans="1:4" hidden="1" x14ac:dyDescent="0.3">
      <c r="A1017">
        <v>1015</v>
      </c>
      <c r="B1017" t="s">
        <v>1396</v>
      </c>
      <c r="C1017" t="s">
        <v>225</v>
      </c>
      <c r="D1017">
        <v>101190668.50654501</v>
      </c>
    </row>
    <row r="1018" spans="1:4" hidden="1" x14ac:dyDescent="0.3">
      <c r="A1018">
        <v>1016</v>
      </c>
      <c r="B1018" t="s">
        <v>1397</v>
      </c>
      <c r="C1018" t="s">
        <v>227</v>
      </c>
      <c r="D1018">
        <v>-1016.31903457641</v>
      </c>
    </row>
    <row r="1019" spans="1:4" hidden="1" x14ac:dyDescent="0.3">
      <c r="A1019">
        <v>1017</v>
      </c>
      <c r="B1019" s="1" t="s">
        <v>1398</v>
      </c>
      <c r="C1019" t="s">
        <v>229</v>
      </c>
      <c r="D1019" s="1" t="s">
        <v>1399</v>
      </c>
    </row>
    <row r="1020" spans="1:4" hidden="1" x14ac:dyDescent="0.3">
      <c r="A1020">
        <v>1018</v>
      </c>
      <c r="B1020" t="s">
        <v>1400</v>
      </c>
      <c r="C1020" t="s">
        <v>112</v>
      </c>
      <c r="D1020">
        <v>265.41047971585402</v>
      </c>
    </row>
    <row r="1021" spans="1:4" hidden="1" x14ac:dyDescent="0.3">
      <c r="A1021">
        <v>1019</v>
      </c>
      <c r="B1021" t="s">
        <v>1401</v>
      </c>
      <c r="C1021" t="s">
        <v>114</v>
      </c>
      <c r="D1021">
        <v>49.074236427932298</v>
      </c>
    </row>
    <row r="1022" spans="1:4" hidden="1" x14ac:dyDescent="0.3">
      <c r="A1022">
        <v>1020</v>
      </c>
      <c r="B1022" s="1" t="s">
        <v>1402</v>
      </c>
      <c r="C1022" t="s">
        <v>116</v>
      </c>
      <c r="D1022" s="1" t="s">
        <v>1403</v>
      </c>
    </row>
    <row r="1023" spans="1:4" hidden="1" x14ac:dyDescent="0.3">
      <c r="A1023">
        <v>1021</v>
      </c>
      <c r="B1023" t="s">
        <v>1404</v>
      </c>
      <c r="C1023" t="s">
        <v>119</v>
      </c>
      <c r="D1023">
        <v>81830872.676424906</v>
      </c>
    </row>
    <row r="1024" spans="1:4" hidden="1" x14ac:dyDescent="0.3">
      <c r="A1024">
        <v>1022</v>
      </c>
      <c r="B1024" t="s">
        <v>1405</v>
      </c>
      <c r="C1024" t="s">
        <v>121</v>
      </c>
      <c r="D1024">
        <v>39546524.225829802</v>
      </c>
    </row>
    <row r="1025" spans="1:4" hidden="1" x14ac:dyDescent="0.3">
      <c r="A1025">
        <v>1023</v>
      </c>
      <c r="B1025" s="1" t="s">
        <v>1406</v>
      </c>
      <c r="C1025" t="s">
        <v>123</v>
      </c>
      <c r="D1025" s="1" t="s">
        <v>1407</v>
      </c>
    </row>
    <row r="1026" spans="1:4" hidden="1" x14ac:dyDescent="0.3">
      <c r="A1026">
        <v>1024</v>
      </c>
      <c r="B1026" t="s">
        <v>1408</v>
      </c>
      <c r="C1026" t="s">
        <v>126</v>
      </c>
      <c r="D1026">
        <v>0.80867901103490503</v>
      </c>
    </row>
    <row r="1027" spans="1:4" hidden="1" x14ac:dyDescent="0.3">
      <c r="A1027">
        <v>1025</v>
      </c>
      <c r="B1027" t="s">
        <v>1409</v>
      </c>
      <c r="C1027" t="s">
        <v>128</v>
      </c>
      <c r="D1027">
        <v>0.39081147560614199</v>
      </c>
    </row>
    <row r="1028" spans="1:4" hidden="1" x14ac:dyDescent="0.3">
      <c r="A1028">
        <v>1026</v>
      </c>
      <c r="B1028" s="1" t="s">
        <v>1410</v>
      </c>
      <c r="C1028" t="s">
        <v>130</v>
      </c>
      <c r="D1028" s="1" t="s">
        <v>1411</v>
      </c>
    </row>
    <row r="1029" spans="1:4" hidden="1" x14ac:dyDescent="0.3">
      <c r="A1029">
        <v>1027</v>
      </c>
      <c r="B1029" s="1" t="s">
        <v>1412</v>
      </c>
      <c r="C1029" t="s">
        <v>4</v>
      </c>
      <c r="D1029" t="s">
        <v>1413</v>
      </c>
    </row>
    <row r="1030" spans="1:4" hidden="1" x14ac:dyDescent="0.3">
      <c r="A1030">
        <v>1028</v>
      </c>
      <c r="B1030" t="s">
        <v>1414</v>
      </c>
      <c r="C1030" t="s">
        <v>7</v>
      </c>
      <c r="D1030">
        <v>1908.38</v>
      </c>
    </row>
    <row r="1031" spans="1:4" hidden="1" x14ac:dyDescent="0.3">
      <c r="A1031">
        <v>1029</v>
      </c>
      <c r="B1031" s="1" t="s">
        <v>1415</v>
      </c>
      <c r="C1031" t="s">
        <v>9</v>
      </c>
      <c r="D1031" s="1" t="s">
        <v>1416</v>
      </c>
    </row>
    <row r="1032" spans="1:4" hidden="1" x14ac:dyDescent="0.3">
      <c r="A1032">
        <v>1030</v>
      </c>
      <c r="B1032" t="s">
        <v>1417</v>
      </c>
      <c r="C1032" t="s">
        <v>14</v>
      </c>
      <c r="D1032">
        <v>98.53125</v>
      </c>
    </row>
    <row r="1033" spans="1:4" hidden="1" x14ac:dyDescent="0.3">
      <c r="A1033">
        <v>1031</v>
      </c>
      <c r="B1033" t="s">
        <v>1418</v>
      </c>
      <c r="C1033" t="s">
        <v>16</v>
      </c>
      <c r="D1033">
        <v>4.3737214788878402</v>
      </c>
    </row>
    <row r="1034" spans="1:4" hidden="1" x14ac:dyDescent="0.3">
      <c r="A1034">
        <v>1032</v>
      </c>
      <c r="B1034" s="1" t="s">
        <v>1419</v>
      </c>
      <c r="C1034" t="s">
        <v>140</v>
      </c>
      <c r="D1034" s="1" t="s">
        <v>1420</v>
      </c>
    </row>
    <row r="1035" spans="1:4" hidden="1" x14ac:dyDescent="0.3">
      <c r="A1035">
        <v>1033</v>
      </c>
      <c r="B1035" t="s">
        <v>1421</v>
      </c>
      <c r="C1035" t="s">
        <v>22</v>
      </c>
      <c r="D1035">
        <v>74.75</v>
      </c>
    </row>
    <row r="1036" spans="1:4" hidden="1" x14ac:dyDescent="0.3">
      <c r="A1036">
        <v>1034</v>
      </c>
      <c r="B1036" t="s">
        <v>1422</v>
      </c>
      <c r="C1036" t="s">
        <v>24</v>
      </c>
      <c r="D1036">
        <v>6.1743123121050001</v>
      </c>
    </row>
    <row r="1037" spans="1:4" hidden="1" x14ac:dyDescent="0.3">
      <c r="A1037">
        <v>1035</v>
      </c>
      <c r="B1037" s="1" t="s">
        <v>1423</v>
      </c>
      <c r="C1037" t="s">
        <v>145</v>
      </c>
      <c r="D1037" s="1" t="s">
        <v>1424</v>
      </c>
    </row>
    <row r="1038" spans="1:4" hidden="1" x14ac:dyDescent="0.3">
      <c r="A1038">
        <v>1036</v>
      </c>
      <c r="B1038" t="s">
        <v>1425</v>
      </c>
      <c r="C1038" t="s">
        <v>35</v>
      </c>
      <c r="D1038">
        <v>0.140511806904319</v>
      </c>
    </row>
    <row r="1039" spans="1:4" hidden="1" x14ac:dyDescent="0.3">
      <c r="A1039">
        <v>1037</v>
      </c>
      <c r="B1039" t="s">
        <v>1426</v>
      </c>
      <c r="C1039" t="s">
        <v>149</v>
      </c>
      <c r="D1039">
        <v>0.70560717056338595</v>
      </c>
    </row>
    <row r="1040" spans="1:4" hidden="1" x14ac:dyDescent="0.3">
      <c r="A1040">
        <v>1038</v>
      </c>
      <c r="B1040" s="1" t="s">
        <v>1427</v>
      </c>
      <c r="C1040" t="s">
        <v>151</v>
      </c>
      <c r="D1040" s="1" t="s">
        <v>1428</v>
      </c>
    </row>
    <row r="1041" spans="1:4" hidden="1" x14ac:dyDescent="0.3">
      <c r="A1041">
        <v>1039</v>
      </c>
      <c r="B1041" t="s">
        <v>1429</v>
      </c>
      <c r="C1041" t="s">
        <v>30</v>
      </c>
      <c r="D1041">
        <v>0.34572171715428801</v>
      </c>
    </row>
    <row r="1042" spans="1:4" hidden="1" x14ac:dyDescent="0.3">
      <c r="A1042">
        <v>1040</v>
      </c>
      <c r="B1042" t="s">
        <v>1430</v>
      </c>
      <c r="C1042" t="s">
        <v>32</v>
      </c>
      <c r="D1042">
        <v>0.20960736773676</v>
      </c>
    </row>
    <row r="1043" spans="1:4" hidden="1" x14ac:dyDescent="0.3">
      <c r="A1043">
        <v>1041</v>
      </c>
      <c r="B1043" s="1" t="s">
        <v>1431</v>
      </c>
      <c r="C1043" t="s">
        <v>155</v>
      </c>
      <c r="D1043" s="1" t="s">
        <v>1432</v>
      </c>
    </row>
    <row r="1044" spans="1:4" hidden="1" x14ac:dyDescent="0.3">
      <c r="A1044">
        <v>1042</v>
      </c>
      <c r="B1044" t="s">
        <v>1433</v>
      </c>
      <c r="C1044" t="s">
        <v>40</v>
      </c>
      <c r="D1044">
        <v>0.51376647594139202</v>
      </c>
    </row>
    <row r="1045" spans="1:4" hidden="1" x14ac:dyDescent="0.3">
      <c r="A1045">
        <v>1043</v>
      </c>
      <c r="B1045" t="s">
        <v>1434</v>
      </c>
      <c r="C1045" t="s">
        <v>42</v>
      </c>
      <c r="D1045">
        <v>0.20761179005830199</v>
      </c>
    </row>
    <row r="1046" spans="1:4" hidden="1" x14ac:dyDescent="0.3">
      <c r="A1046">
        <v>1044</v>
      </c>
      <c r="B1046" s="1" t="s">
        <v>1435</v>
      </c>
      <c r="C1046" t="s">
        <v>159</v>
      </c>
      <c r="D1046" s="1" t="s">
        <v>1436</v>
      </c>
    </row>
    <row r="1047" spans="1:4" hidden="1" x14ac:dyDescent="0.3">
      <c r="A1047">
        <v>1045</v>
      </c>
      <c r="B1047" t="s">
        <v>1437</v>
      </c>
      <c r="C1047" t="s">
        <v>161</v>
      </c>
      <c r="D1047">
        <v>1.00417797983624</v>
      </c>
    </row>
    <row r="1048" spans="1:4" hidden="1" x14ac:dyDescent="0.3">
      <c r="A1048">
        <v>1046</v>
      </c>
      <c r="B1048" t="s">
        <v>1438</v>
      </c>
      <c r="C1048" t="s">
        <v>163</v>
      </c>
      <c r="D1048">
        <v>1.0005162687967299</v>
      </c>
    </row>
    <row r="1049" spans="1:4" hidden="1" x14ac:dyDescent="0.3">
      <c r="A1049">
        <v>1047</v>
      </c>
      <c r="B1049" s="1" t="s">
        <v>1439</v>
      </c>
      <c r="C1049" t="s">
        <v>165</v>
      </c>
      <c r="D1049" s="1" t="s">
        <v>1440</v>
      </c>
    </row>
    <row r="1050" spans="1:4" hidden="1" x14ac:dyDescent="0.3">
      <c r="A1050">
        <v>1048</v>
      </c>
      <c r="B1050" t="s">
        <v>1441</v>
      </c>
      <c r="C1050" t="s">
        <v>168</v>
      </c>
      <c r="D1050">
        <v>1.00013080371125</v>
      </c>
    </row>
    <row r="1051" spans="1:4" hidden="1" x14ac:dyDescent="0.3">
      <c r="A1051">
        <v>1049</v>
      </c>
      <c r="B1051" t="s">
        <v>1442</v>
      </c>
      <c r="C1051" t="s">
        <v>170</v>
      </c>
      <c r="D1051">
        <v>1.0003369318200099</v>
      </c>
    </row>
    <row r="1052" spans="1:4" hidden="1" x14ac:dyDescent="0.3">
      <c r="A1052">
        <v>1050</v>
      </c>
      <c r="B1052" s="1" t="s">
        <v>1443</v>
      </c>
      <c r="C1052" t="s">
        <v>172</v>
      </c>
      <c r="D1052" s="1" t="s">
        <v>1444</v>
      </c>
    </row>
    <row r="1053" spans="1:4" hidden="1" x14ac:dyDescent="0.3">
      <c r="A1053">
        <v>1051</v>
      </c>
      <c r="B1053" s="1" t="s">
        <v>1445</v>
      </c>
      <c r="C1053" t="s">
        <v>55</v>
      </c>
      <c r="D1053" s="1" t="s">
        <v>1446</v>
      </c>
    </row>
    <row r="1054" spans="1:4" hidden="1" x14ac:dyDescent="0.3">
      <c r="A1054">
        <v>1052</v>
      </c>
      <c r="B1054" s="1" t="s">
        <v>1447</v>
      </c>
      <c r="C1054" t="s">
        <v>52</v>
      </c>
      <c r="D1054" s="1" t="s">
        <v>1448</v>
      </c>
    </row>
    <row r="1055" spans="1:4" hidden="1" x14ac:dyDescent="0.3">
      <c r="A1055">
        <v>1053</v>
      </c>
      <c r="B1055" s="1" t="s">
        <v>1449</v>
      </c>
      <c r="C1055" t="s">
        <v>58</v>
      </c>
      <c r="D1055" s="1" t="s">
        <v>1450</v>
      </c>
    </row>
    <row r="1056" spans="1:4" hidden="1" x14ac:dyDescent="0.3">
      <c r="A1056">
        <v>1054</v>
      </c>
      <c r="B1056" t="s">
        <v>1451</v>
      </c>
      <c r="C1056" t="s">
        <v>61</v>
      </c>
      <c r="D1056">
        <v>151256442.33838099</v>
      </c>
    </row>
    <row r="1057" spans="1:4" hidden="1" x14ac:dyDescent="0.3">
      <c r="A1057">
        <v>1055</v>
      </c>
      <c r="B1057" t="s">
        <v>1452</v>
      </c>
      <c r="C1057" t="s">
        <v>63</v>
      </c>
      <c r="D1057">
        <v>82172760.412449703</v>
      </c>
    </row>
    <row r="1058" spans="1:4" hidden="1" x14ac:dyDescent="0.3">
      <c r="A1058">
        <v>1056</v>
      </c>
      <c r="B1058" t="s">
        <v>1453</v>
      </c>
      <c r="C1058" t="s">
        <v>65</v>
      </c>
      <c r="D1058">
        <v>39566940.8623069</v>
      </c>
    </row>
    <row r="1059" spans="1:4" hidden="1" x14ac:dyDescent="0.3">
      <c r="A1059">
        <v>1057</v>
      </c>
      <c r="B1059" s="1" t="s">
        <v>1454</v>
      </c>
      <c r="C1059" t="s">
        <v>67</v>
      </c>
      <c r="D1059" s="1" t="s">
        <v>1455</v>
      </c>
    </row>
    <row r="1060" spans="1:4" hidden="1" x14ac:dyDescent="0.3">
      <c r="A1060">
        <v>1058</v>
      </c>
      <c r="B1060" s="1" t="s">
        <v>1456</v>
      </c>
      <c r="C1060" t="s">
        <v>70</v>
      </c>
      <c r="D1060" s="1" t="s">
        <v>1457</v>
      </c>
    </row>
    <row r="1061" spans="1:4" hidden="1" x14ac:dyDescent="0.3">
      <c r="A1061">
        <v>1059</v>
      </c>
      <c r="B1061" t="s">
        <v>1458</v>
      </c>
      <c r="C1061" t="s">
        <v>73</v>
      </c>
      <c r="D1061">
        <v>1.0000012579936699</v>
      </c>
    </row>
    <row r="1062" spans="1:4" hidden="1" x14ac:dyDescent="0.3">
      <c r="A1062">
        <v>1060</v>
      </c>
      <c r="B1062" t="s">
        <v>74</v>
      </c>
      <c r="C1062" t="s">
        <v>75</v>
      </c>
      <c r="D1062">
        <v>2.7397260273972599E-3</v>
      </c>
    </row>
    <row r="1063" spans="1:4" hidden="1" x14ac:dyDescent="0.3">
      <c r="A1063">
        <v>1061</v>
      </c>
      <c r="B1063" t="s">
        <v>76</v>
      </c>
      <c r="C1063" t="s">
        <v>77</v>
      </c>
      <c r="D1063">
        <v>0</v>
      </c>
    </row>
    <row r="1064" spans="1:4" hidden="1" x14ac:dyDescent="0.3">
      <c r="A1064">
        <v>1062</v>
      </c>
      <c r="B1064" t="s">
        <v>1459</v>
      </c>
      <c r="C1064" t="s">
        <v>79</v>
      </c>
      <c r="D1064" s="2">
        <v>-2.2204460492503101E-16</v>
      </c>
    </row>
    <row r="1065" spans="1:4" hidden="1" x14ac:dyDescent="0.3">
      <c r="A1065">
        <v>1063</v>
      </c>
      <c r="B1065" s="1" t="s">
        <v>1460</v>
      </c>
      <c r="C1065" t="s">
        <v>81</v>
      </c>
      <c r="D1065" s="1" t="s">
        <v>1461</v>
      </c>
    </row>
    <row r="1066" spans="1:4" hidden="1" x14ac:dyDescent="0.3">
      <c r="A1066">
        <v>1064</v>
      </c>
      <c r="B1066" t="s">
        <v>1462</v>
      </c>
      <c r="C1066" t="s">
        <v>84</v>
      </c>
      <c r="D1066">
        <v>0.99999534448266103</v>
      </c>
    </row>
    <row r="1067" spans="1:4" hidden="1" x14ac:dyDescent="0.3">
      <c r="A1067">
        <v>1065</v>
      </c>
      <c r="B1067" s="1" t="s">
        <v>1463</v>
      </c>
      <c r="C1067" t="s">
        <v>86</v>
      </c>
      <c r="D1067" s="1" t="s">
        <v>1464</v>
      </c>
    </row>
    <row r="1068" spans="1:4" hidden="1" x14ac:dyDescent="0.3">
      <c r="A1068">
        <v>1066</v>
      </c>
      <c r="B1068" t="s">
        <v>1465</v>
      </c>
      <c r="C1068" t="s">
        <v>89</v>
      </c>
      <c r="D1068">
        <v>101190250.576419</v>
      </c>
    </row>
    <row r="1069" spans="1:4" hidden="1" x14ac:dyDescent="0.3">
      <c r="A1069">
        <v>1067</v>
      </c>
      <c r="B1069" s="1" t="s">
        <v>1466</v>
      </c>
      <c r="C1069" t="s">
        <v>91</v>
      </c>
      <c r="D1069" s="1" t="s">
        <v>1399</v>
      </c>
    </row>
    <row r="1070" spans="1:4" hidden="1" x14ac:dyDescent="0.3">
      <c r="A1070">
        <v>1068</v>
      </c>
      <c r="B1070" t="s">
        <v>1467</v>
      </c>
      <c r="C1070" t="s">
        <v>94</v>
      </c>
      <c r="D1070">
        <v>82172760.412449703</v>
      </c>
    </row>
    <row r="1071" spans="1:4" hidden="1" x14ac:dyDescent="0.3">
      <c r="A1071">
        <v>1069</v>
      </c>
      <c r="B1071" t="s">
        <v>1468</v>
      </c>
      <c r="C1071" t="s">
        <v>96</v>
      </c>
      <c r="D1071">
        <v>39566940.8623069</v>
      </c>
    </row>
    <row r="1072" spans="1:4" hidden="1" x14ac:dyDescent="0.3">
      <c r="A1072">
        <v>1070</v>
      </c>
      <c r="B1072" t="s">
        <v>1469</v>
      </c>
      <c r="C1072" t="s">
        <v>98</v>
      </c>
      <c r="D1072">
        <v>29516741.063625101</v>
      </c>
    </row>
    <row r="1073" spans="1:4" hidden="1" x14ac:dyDescent="0.3">
      <c r="A1073">
        <v>1071</v>
      </c>
      <c r="B1073" s="1" t="s">
        <v>1470</v>
      </c>
      <c r="C1073" t="s">
        <v>100</v>
      </c>
      <c r="D1073" s="1" t="s">
        <v>1471</v>
      </c>
    </row>
    <row r="1074" spans="1:4" hidden="1" x14ac:dyDescent="0.3">
      <c r="A1074">
        <v>1072</v>
      </c>
      <c r="B1074" t="s">
        <v>1472</v>
      </c>
      <c r="C1074" t="s">
        <v>103</v>
      </c>
      <c r="D1074">
        <v>9.4671189586287702E-3</v>
      </c>
    </row>
    <row r="1075" spans="1:4" hidden="1" x14ac:dyDescent="0.3">
      <c r="A1075">
        <v>1073</v>
      </c>
      <c r="B1075" t="s">
        <v>1473</v>
      </c>
      <c r="C1075" t="s">
        <v>105</v>
      </c>
      <c r="D1075">
        <v>1.7211278583750701E-3</v>
      </c>
    </row>
    <row r="1076" spans="1:4" hidden="1" x14ac:dyDescent="0.3">
      <c r="A1076">
        <v>1074</v>
      </c>
      <c r="B1076" t="s">
        <v>1474</v>
      </c>
      <c r="C1076" t="s">
        <v>107</v>
      </c>
      <c r="D1076">
        <v>1.08488323568629E-2</v>
      </c>
    </row>
    <row r="1077" spans="1:4" hidden="1" x14ac:dyDescent="0.3">
      <c r="A1077">
        <v>1075</v>
      </c>
      <c r="B1077" s="1" t="s">
        <v>1475</v>
      </c>
      <c r="C1077" t="s">
        <v>109</v>
      </c>
      <c r="D1077" s="1" t="s">
        <v>1476</v>
      </c>
    </row>
    <row r="1078" spans="1:4" x14ac:dyDescent="0.3">
      <c r="A1078">
        <v>1076</v>
      </c>
      <c r="B1078" t="s">
        <v>1477</v>
      </c>
      <c r="C1078" t="s">
        <v>207</v>
      </c>
      <c r="D1078">
        <v>151256234.607108</v>
      </c>
    </row>
    <row r="1079" spans="1:4" hidden="1" x14ac:dyDescent="0.3">
      <c r="A1079">
        <v>1077</v>
      </c>
      <c r="B1079" t="s">
        <v>1478</v>
      </c>
      <c r="C1079" t="s">
        <v>209</v>
      </c>
      <c r="D1079">
        <v>485.92798748604298</v>
      </c>
    </row>
    <row r="1080" spans="1:4" hidden="1" x14ac:dyDescent="0.3">
      <c r="A1080">
        <v>1078</v>
      </c>
      <c r="B1080" t="s">
        <v>1479</v>
      </c>
      <c r="C1080" t="s">
        <v>211</v>
      </c>
      <c r="D1080">
        <v>233.979076859511</v>
      </c>
    </row>
    <row r="1081" spans="1:4" hidden="1" x14ac:dyDescent="0.3">
      <c r="A1081">
        <v>1079</v>
      </c>
      <c r="B1081" s="1" t="s">
        <v>1480</v>
      </c>
      <c r="C1081" t="s">
        <v>213</v>
      </c>
      <c r="D1081" s="1" t="s">
        <v>1481</v>
      </c>
    </row>
    <row r="1082" spans="1:4" hidden="1" x14ac:dyDescent="0.3">
      <c r="A1082">
        <v>1080</v>
      </c>
      <c r="B1082" t="s">
        <v>1482</v>
      </c>
      <c r="C1082" t="s">
        <v>216</v>
      </c>
      <c r="D1082">
        <v>82172118.121829495</v>
      </c>
    </row>
    <row r="1083" spans="1:4" hidden="1" x14ac:dyDescent="0.3">
      <c r="A1083">
        <v>1081</v>
      </c>
      <c r="B1083" t="s">
        <v>1483</v>
      </c>
      <c r="C1083" t="s">
        <v>218</v>
      </c>
      <c r="D1083">
        <v>39566678.266887501</v>
      </c>
    </row>
    <row r="1084" spans="1:4" hidden="1" x14ac:dyDescent="0.3">
      <c r="A1084">
        <v>1082</v>
      </c>
      <c r="B1084" t="s">
        <v>1484</v>
      </c>
      <c r="C1084" t="s">
        <v>220</v>
      </c>
      <c r="D1084">
        <v>29516543.764107499</v>
      </c>
    </row>
    <row r="1085" spans="1:4" hidden="1" x14ac:dyDescent="0.3">
      <c r="A1085">
        <v>1083</v>
      </c>
      <c r="B1085" s="1" t="s">
        <v>1485</v>
      </c>
      <c r="C1085" t="s">
        <v>222</v>
      </c>
      <c r="D1085" s="1" t="s">
        <v>1486</v>
      </c>
    </row>
    <row r="1086" spans="1:4" hidden="1" x14ac:dyDescent="0.3">
      <c r="A1086">
        <v>1084</v>
      </c>
      <c r="B1086" t="s">
        <v>1487</v>
      </c>
      <c r="C1086" t="s">
        <v>225</v>
      </c>
      <c r="D1086">
        <v>101189652.187511</v>
      </c>
    </row>
    <row r="1087" spans="1:4" hidden="1" x14ac:dyDescent="0.3">
      <c r="A1087">
        <v>1085</v>
      </c>
      <c r="B1087" t="s">
        <v>1488</v>
      </c>
      <c r="C1087" t="s">
        <v>227</v>
      </c>
      <c r="D1087">
        <v>598.38890813291005</v>
      </c>
    </row>
    <row r="1088" spans="1:4" hidden="1" x14ac:dyDescent="0.3">
      <c r="A1088">
        <v>1086</v>
      </c>
      <c r="B1088" s="1" t="s">
        <v>1489</v>
      </c>
      <c r="C1088" t="s">
        <v>229</v>
      </c>
      <c r="D1088" s="1" t="s">
        <v>1490</v>
      </c>
    </row>
    <row r="1089" spans="1:4" hidden="1" x14ac:dyDescent="0.3">
      <c r="A1089">
        <v>1087</v>
      </c>
      <c r="B1089" t="s">
        <v>1491</v>
      </c>
      <c r="C1089" t="s">
        <v>112</v>
      </c>
      <c r="D1089">
        <v>-156.362632673593</v>
      </c>
    </row>
    <row r="1090" spans="1:4" hidden="1" x14ac:dyDescent="0.3">
      <c r="A1090">
        <v>1088</v>
      </c>
      <c r="B1090" t="s">
        <v>1492</v>
      </c>
      <c r="C1090" t="s">
        <v>114</v>
      </c>
      <c r="D1090">
        <v>-28.616342595086699</v>
      </c>
    </row>
    <row r="1091" spans="1:4" hidden="1" x14ac:dyDescent="0.3">
      <c r="A1091">
        <v>1089</v>
      </c>
      <c r="B1091" s="1" t="s">
        <v>1493</v>
      </c>
      <c r="C1091" t="s">
        <v>116</v>
      </c>
      <c r="D1091" s="1" t="s">
        <v>1494</v>
      </c>
    </row>
    <row r="1092" spans="1:4" hidden="1" x14ac:dyDescent="0.3">
      <c r="A1092">
        <v>1090</v>
      </c>
      <c r="B1092" t="s">
        <v>1495</v>
      </c>
      <c r="C1092" t="s">
        <v>119</v>
      </c>
      <c r="D1092">
        <v>82172118.121829495</v>
      </c>
    </row>
    <row r="1093" spans="1:4" hidden="1" x14ac:dyDescent="0.3">
      <c r="A1093">
        <v>1091</v>
      </c>
      <c r="B1093" t="s">
        <v>1496</v>
      </c>
      <c r="C1093" t="s">
        <v>121</v>
      </c>
      <c r="D1093">
        <v>39566678.266887501</v>
      </c>
    </row>
    <row r="1094" spans="1:4" hidden="1" x14ac:dyDescent="0.3">
      <c r="A1094">
        <v>1092</v>
      </c>
      <c r="B1094" s="1" t="s">
        <v>1497</v>
      </c>
      <c r="C1094" t="s">
        <v>123</v>
      </c>
      <c r="D1094" s="1" t="s">
        <v>1498</v>
      </c>
    </row>
    <row r="1095" spans="1:4" hidden="1" x14ac:dyDescent="0.3">
      <c r="A1095">
        <v>1093</v>
      </c>
      <c r="B1095" t="s">
        <v>1499</v>
      </c>
      <c r="C1095" t="s">
        <v>126</v>
      </c>
      <c r="D1095">
        <v>0.81206426646333196</v>
      </c>
    </row>
    <row r="1096" spans="1:4" hidden="1" x14ac:dyDescent="0.3">
      <c r="A1096">
        <v>1094</v>
      </c>
      <c r="B1096" t="s">
        <v>1500</v>
      </c>
      <c r="C1096" t="s">
        <v>128</v>
      </c>
      <c r="D1096">
        <v>0.39101688379936</v>
      </c>
    </row>
    <row r="1097" spans="1:4" hidden="1" x14ac:dyDescent="0.3">
      <c r="A1097">
        <v>1095</v>
      </c>
      <c r="B1097" s="1" t="s">
        <v>1501</v>
      </c>
      <c r="C1097" t="s">
        <v>130</v>
      </c>
      <c r="D1097" s="1" t="s">
        <v>1502</v>
      </c>
    </row>
    <row r="1098" spans="1:4" hidden="1" x14ac:dyDescent="0.3">
      <c r="A1098">
        <v>1096</v>
      </c>
      <c r="B1098" s="1" t="s">
        <v>1503</v>
      </c>
      <c r="C1098" t="s">
        <v>4</v>
      </c>
      <c r="D1098" t="s">
        <v>1504</v>
      </c>
    </row>
    <row r="1099" spans="1:4" hidden="1" x14ac:dyDescent="0.3">
      <c r="A1099">
        <v>1097</v>
      </c>
      <c r="B1099" t="s">
        <v>1505</v>
      </c>
      <c r="C1099" t="s">
        <v>7</v>
      </c>
      <c r="D1099">
        <v>1870.76</v>
      </c>
    </row>
    <row r="1100" spans="1:4" hidden="1" x14ac:dyDescent="0.3">
      <c r="A1100">
        <v>1098</v>
      </c>
      <c r="B1100" s="1" t="s">
        <v>1506</v>
      </c>
      <c r="C1100" t="s">
        <v>9</v>
      </c>
      <c r="D1100" s="1" t="s">
        <v>1507</v>
      </c>
    </row>
    <row r="1101" spans="1:4" hidden="1" x14ac:dyDescent="0.3">
      <c r="A1101">
        <v>1099</v>
      </c>
      <c r="B1101" t="s">
        <v>1508</v>
      </c>
      <c r="C1101" t="s">
        <v>14</v>
      </c>
      <c r="D1101">
        <v>98.32421875</v>
      </c>
    </row>
    <row r="1102" spans="1:4" hidden="1" x14ac:dyDescent="0.3">
      <c r="A1102">
        <v>1100</v>
      </c>
      <c r="B1102" t="s">
        <v>1509</v>
      </c>
      <c r="C1102" t="s">
        <v>16</v>
      </c>
      <c r="D1102">
        <v>4.3708141451614599</v>
      </c>
    </row>
    <row r="1103" spans="1:4" hidden="1" x14ac:dyDescent="0.3">
      <c r="A1103">
        <v>1101</v>
      </c>
      <c r="B1103" s="1" t="s">
        <v>1510</v>
      </c>
      <c r="C1103" t="s">
        <v>140</v>
      </c>
      <c r="D1103" s="1" t="s">
        <v>1511</v>
      </c>
    </row>
    <row r="1104" spans="1:4" hidden="1" x14ac:dyDescent="0.3">
      <c r="A1104">
        <v>1102</v>
      </c>
      <c r="B1104" t="s">
        <v>1512</v>
      </c>
      <c r="C1104" t="s">
        <v>22</v>
      </c>
      <c r="D1104">
        <v>74.400000000000006</v>
      </c>
    </row>
    <row r="1105" spans="1:4" hidden="1" x14ac:dyDescent="0.3">
      <c r="A1105">
        <v>1103</v>
      </c>
      <c r="B1105" t="s">
        <v>1513</v>
      </c>
      <c r="C1105" t="s">
        <v>24</v>
      </c>
      <c r="D1105">
        <v>6.1722279454280704</v>
      </c>
    </row>
    <row r="1106" spans="1:4" hidden="1" x14ac:dyDescent="0.3">
      <c r="A1106">
        <v>1104</v>
      </c>
      <c r="B1106" s="1" t="s">
        <v>1514</v>
      </c>
      <c r="C1106" t="s">
        <v>145</v>
      </c>
      <c r="D1106" s="1" t="s">
        <v>1515</v>
      </c>
    </row>
    <row r="1107" spans="1:4" hidden="1" x14ac:dyDescent="0.3">
      <c r="A1107">
        <v>1105</v>
      </c>
      <c r="B1107" t="s">
        <v>1516</v>
      </c>
      <c r="C1107" t="s">
        <v>35</v>
      </c>
      <c r="D1107">
        <v>0.433990159758532</v>
      </c>
    </row>
    <row r="1108" spans="1:4" hidden="1" x14ac:dyDescent="0.3">
      <c r="A1108">
        <v>1106</v>
      </c>
      <c r="B1108" t="s">
        <v>1517</v>
      </c>
      <c r="C1108" t="s">
        <v>149</v>
      </c>
      <c r="D1108">
        <v>0.70116899524823095</v>
      </c>
    </row>
    <row r="1109" spans="1:4" hidden="1" x14ac:dyDescent="0.3">
      <c r="A1109">
        <v>1107</v>
      </c>
      <c r="B1109" s="1" t="s">
        <v>1518</v>
      </c>
      <c r="C1109" t="s">
        <v>151</v>
      </c>
      <c r="D1109" s="1" t="s">
        <v>1519</v>
      </c>
    </row>
    <row r="1110" spans="1:4" hidden="1" x14ac:dyDescent="0.3">
      <c r="A1110">
        <v>1108</v>
      </c>
      <c r="B1110" t="s">
        <v>1520</v>
      </c>
      <c r="C1110" t="s">
        <v>30</v>
      </c>
      <c r="D1110">
        <v>0.22758263971253001</v>
      </c>
    </row>
    <row r="1111" spans="1:4" hidden="1" x14ac:dyDescent="0.3">
      <c r="A1111">
        <v>1109</v>
      </c>
      <c r="B1111" t="s">
        <v>1521</v>
      </c>
      <c r="C1111" t="s">
        <v>32</v>
      </c>
      <c r="D1111">
        <v>0.214581263134414</v>
      </c>
    </row>
    <row r="1112" spans="1:4" hidden="1" x14ac:dyDescent="0.3">
      <c r="A1112">
        <v>1110</v>
      </c>
      <c r="B1112" s="1" t="s">
        <v>1522</v>
      </c>
      <c r="C1112" t="s">
        <v>155</v>
      </c>
      <c r="D1112" s="1" t="s">
        <v>1523</v>
      </c>
    </row>
    <row r="1113" spans="1:4" hidden="1" x14ac:dyDescent="0.3">
      <c r="A1113">
        <v>1111</v>
      </c>
      <c r="B1113" t="s">
        <v>1524</v>
      </c>
      <c r="C1113" t="s">
        <v>40</v>
      </c>
      <c r="D1113">
        <v>0.33842720052893599</v>
      </c>
    </row>
    <row r="1114" spans="1:4" hidden="1" x14ac:dyDescent="0.3">
      <c r="A1114">
        <v>1112</v>
      </c>
      <c r="B1114" t="s">
        <v>1525</v>
      </c>
      <c r="C1114" t="s">
        <v>42</v>
      </c>
      <c r="D1114">
        <v>0.21160843831691001</v>
      </c>
    </row>
    <row r="1115" spans="1:4" hidden="1" x14ac:dyDescent="0.3">
      <c r="A1115">
        <v>1113</v>
      </c>
      <c r="B1115" s="1" t="s">
        <v>1526</v>
      </c>
      <c r="C1115" t="s">
        <v>159</v>
      </c>
      <c r="D1115" s="1" t="s">
        <v>1527</v>
      </c>
    </row>
    <row r="1116" spans="1:4" hidden="1" x14ac:dyDescent="0.3">
      <c r="A1116">
        <v>1114</v>
      </c>
      <c r="B1116" t="s">
        <v>1528</v>
      </c>
      <c r="C1116" t="s">
        <v>161</v>
      </c>
      <c r="D1116">
        <v>0.980286944948071</v>
      </c>
    </row>
    <row r="1117" spans="1:4" hidden="1" x14ac:dyDescent="0.3">
      <c r="A1117">
        <v>1115</v>
      </c>
      <c r="B1117" t="s">
        <v>1529</v>
      </c>
      <c r="C1117" t="s">
        <v>163</v>
      </c>
      <c r="D1117">
        <v>0.99795987909321304</v>
      </c>
    </row>
    <row r="1118" spans="1:4" hidden="1" x14ac:dyDescent="0.3">
      <c r="A1118">
        <v>1116</v>
      </c>
      <c r="B1118" s="1" t="s">
        <v>1530</v>
      </c>
      <c r="C1118" t="s">
        <v>165</v>
      </c>
      <c r="D1118" s="1" t="s">
        <v>1531</v>
      </c>
    </row>
    <row r="1119" spans="1:4" hidden="1" x14ac:dyDescent="0.3">
      <c r="A1119">
        <v>1117</v>
      </c>
      <c r="B1119" t="s">
        <v>1532</v>
      </c>
      <c r="C1119" t="s">
        <v>168</v>
      </c>
      <c r="D1119">
        <v>0.99739789126608203</v>
      </c>
    </row>
    <row r="1120" spans="1:4" hidden="1" x14ac:dyDescent="0.3">
      <c r="A1120">
        <v>1118</v>
      </c>
      <c r="B1120" t="s">
        <v>1533</v>
      </c>
      <c r="C1120" t="s">
        <v>170</v>
      </c>
      <c r="D1120">
        <v>1.0041119916514401</v>
      </c>
    </row>
    <row r="1121" spans="1:4" hidden="1" x14ac:dyDescent="0.3">
      <c r="A1121">
        <v>1119</v>
      </c>
      <c r="B1121" s="1" t="s">
        <v>1534</v>
      </c>
      <c r="C1121" t="s">
        <v>172</v>
      </c>
      <c r="D1121" s="1" t="s">
        <v>1535</v>
      </c>
    </row>
    <row r="1122" spans="1:4" hidden="1" x14ac:dyDescent="0.3">
      <c r="A1122">
        <v>1120</v>
      </c>
      <c r="B1122" s="1" t="s">
        <v>1536</v>
      </c>
      <c r="C1122" t="s">
        <v>55</v>
      </c>
      <c r="D1122" s="1" t="s">
        <v>1537</v>
      </c>
    </row>
    <row r="1123" spans="1:4" hidden="1" x14ac:dyDescent="0.3">
      <c r="A1123">
        <v>1121</v>
      </c>
      <c r="B1123" s="1" t="s">
        <v>1538</v>
      </c>
      <c r="C1123" t="s">
        <v>52</v>
      </c>
      <c r="D1123" s="1" t="s">
        <v>1539</v>
      </c>
    </row>
    <row r="1124" spans="1:4" hidden="1" x14ac:dyDescent="0.3">
      <c r="A1124">
        <v>1122</v>
      </c>
      <c r="B1124" s="1" t="s">
        <v>1540</v>
      </c>
      <c r="C1124" t="s">
        <v>58</v>
      </c>
      <c r="D1124" s="1" t="s">
        <v>1541</v>
      </c>
    </row>
    <row r="1125" spans="1:4" hidden="1" x14ac:dyDescent="0.3">
      <c r="A1125">
        <v>1123</v>
      </c>
      <c r="B1125" t="s">
        <v>1542</v>
      </c>
      <c r="C1125" t="s">
        <v>61</v>
      </c>
      <c r="D1125">
        <v>149426335.691046</v>
      </c>
    </row>
    <row r="1126" spans="1:4" hidden="1" x14ac:dyDescent="0.3">
      <c r="A1126">
        <v>1124</v>
      </c>
      <c r="B1126" t="s">
        <v>1543</v>
      </c>
      <c r="C1126" t="s">
        <v>63</v>
      </c>
      <c r="D1126">
        <v>80552254.6335603</v>
      </c>
    </row>
    <row r="1127" spans="1:4" hidden="1" x14ac:dyDescent="0.3">
      <c r="A1127">
        <v>1125</v>
      </c>
      <c r="B1127" t="s">
        <v>1544</v>
      </c>
      <c r="C1127" t="s">
        <v>65</v>
      </c>
      <c r="D1127">
        <v>39485957.459343098</v>
      </c>
    </row>
    <row r="1128" spans="1:4" hidden="1" x14ac:dyDescent="0.3">
      <c r="A1128">
        <v>1126</v>
      </c>
      <c r="B1128" s="1" t="s">
        <v>1545</v>
      </c>
      <c r="C1128" t="s">
        <v>67</v>
      </c>
      <c r="D1128" s="1" t="s">
        <v>1546</v>
      </c>
    </row>
    <row r="1129" spans="1:4" hidden="1" x14ac:dyDescent="0.3">
      <c r="A1129">
        <v>1127</v>
      </c>
      <c r="B1129" s="1" t="s">
        <v>1547</v>
      </c>
      <c r="C1129" t="s">
        <v>70</v>
      </c>
      <c r="D1129" s="1" t="s">
        <v>1548</v>
      </c>
    </row>
    <row r="1130" spans="1:4" hidden="1" x14ac:dyDescent="0.3">
      <c r="A1130">
        <v>1128</v>
      </c>
      <c r="B1130" t="s">
        <v>1549</v>
      </c>
      <c r="C1130" t="s">
        <v>73</v>
      </c>
      <c r="D1130">
        <v>0.99999534448266103</v>
      </c>
    </row>
    <row r="1131" spans="1:4" hidden="1" x14ac:dyDescent="0.3">
      <c r="A1131">
        <v>1129</v>
      </c>
      <c r="B1131" t="s">
        <v>74</v>
      </c>
      <c r="C1131" t="s">
        <v>75</v>
      </c>
      <c r="D1131">
        <v>2.7397260273972599E-3</v>
      </c>
    </row>
    <row r="1132" spans="1:4" hidden="1" x14ac:dyDescent="0.3">
      <c r="A1132">
        <v>1130</v>
      </c>
      <c r="B1132" t="s">
        <v>76</v>
      </c>
      <c r="C1132" t="s">
        <v>77</v>
      </c>
      <c r="D1132">
        <v>0</v>
      </c>
    </row>
    <row r="1133" spans="1:4" hidden="1" x14ac:dyDescent="0.3">
      <c r="A1133">
        <v>1131</v>
      </c>
      <c r="B1133" t="s">
        <v>78</v>
      </c>
      <c r="C1133" t="s">
        <v>79</v>
      </c>
      <c r="D1133">
        <v>0</v>
      </c>
    </row>
    <row r="1134" spans="1:4" hidden="1" x14ac:dyDescent="0.3">
      <c r="A1134">
        <v>1132</v>
      </c>
      <c r="B1134" s="1" t="s">
        <v>1550</v>
      </c>
      <c r="C1134" t="s">
        <v>81</v>
      </c>
      <c r="D1134" s="1" t="s">
        <v>1551</v>
      </c>
    </row>
    <row r="1135" spans="1:4" hidden="1" x14ac:dyDescent="0.3">
      <c r="A1135">
        <v>1133</v>
      </c>
      <c r="B1135" t="s">
        <v>1552</v>
      </c>
      <c r="C1135" t="s">
        <v>84</v>
      </c>
      <c r="D1135">
        <v>1.0000102168873699</v>
      </c>
    </row>
    <row r="1136" spans="1:4" hidden="1" x14ac:dyDescent="0.3">
      <c r="A1136">
        <v>1134</v>
      </c>
      <c r="B1136" s="1" t="s">
        <v>1553</v>
      </c>
      <c r="C1136" t="s">
        <v>86</v>
      </c>
      <c r="D1136" s="1" t="s">
        <v>1554</v>
      </c>
    </row>
    <row r="1137" spans="1:4" hidden="1" x14ac:dyDescent="0.3">
      <c r="A1137">
        <v>1135</v>
      </c>
      <c r="B1137" t="s">
        <v>1555</v>
      </c>
      <c r="C1137" t="s">
        <v>89</v>
      </c>
      <c r="D1137">
        <v>101188745.649435</v>
      </c>
    </row>
    <row r="1138" spans="1:4" hidden="1" x14ac:dyDescent="0.3">
      <c r="A1138">
        <v>1136</v>
      </c>
      <c r="B1138" s="1" t="s">
        <v>1556</v>
      </c>
      <c r="C1138" t="s">
        <v>91</v>
      </c>
      <c r="D1138" s="1" t="s">
        <v>1490</v>
      </c>
    </row>
    <row r="1139" spans="1:4" hidden="1" x14ac:dyDescent="0.3">
      <c r="A1139">
        <v>1137</v>
      </c>
      <c r="B1139" t="s">
        <v>1557</v>
      </c>
      <c r="C1139" t="s">
        <v>94</v>
      </c>
      <c r="D1139">
        <v>80552254.6335603</v>
      </c>
    </row>
    <row r="1140" spans="1:4" hidden="1" x14ac:dyDescent="0.3">
      <c r="A1140">
        <v>1138</v>
      </c>
      <c r="B1140" t="s">
        <v>1558</v>
      </c>
      <c r="C1140" t="s">
        <v>96</v>
      </c>
      <c r="D1140">
        <v>39485957.459343098</v>
      </c>
    </row>
    <row r="1141" spans="1:4" hidden="1" x14ac:dyDescent="0.3">
      <c r="A1141">
        <v>1139</v>
      </c>
      <c r="B1141" t="s">
        <v>1559</v>
      </c>
      <c r="C1141" t="s">
        <v>98</v>
      </c>
      <c r="D1141">
        <v>29388123.598143101</v>
      </c>
    </row>
    <row r="1142" spans="1:4" hidden="1" x14ac:dyDescent="0.3">
      <c r="A1142">
        <v>1140</v>
      </c>
      <c r="B1142" s="1" t="s">
        <v>1560</v>
      </c>
      <c r="C1142" t="s">
        <v>100</v>
      </c>
      <c r="D1142" s="1" t="s">
        <v>1561</v>
      </c>
    </row>
    <row r="1143" spans="1:4" hidden="1" x14ac:dyDescent="0.3">
      <c r="A1143">
        <v>1141</v>
      </c>
      <c r="B1143" t="s">
        <v>1562</v>
      </c>
      <c r="C1143" t="s">
        <v>103</v>
      </c>
      <c r="D1143">
        <v>9.1744570616917702E-3</v>
      </c>
    </row>
    <row r="1144" spans="1:4" hidden="1" x14ac:dyDescent="0.3">
      <c r="A1144">
        <v>1142</v>
      </c>
      <c r="B1144" t="s">
        <v>1563</v>
      </c>
      <c r="C1144" t="s">
        <v>105</v>
      </c>
      <c r="D1144">
        <v>1.7305696247193799E-3</v>
      </c>
    </row>
    <row r="1145" spans="1:4" hidden="1" x14ac:dyDescent="0.3">
      <c r="A1145">
        <v>1143</v>
      </c>
      <c r="B1145" t="s">
        <v>1564</v>
      </c>
      <c r="C1145" t="s">
        <v>107</v>
      </c>
      <c r="D1145">
        <v>1.07453691934999E-2</v>
      </c>
    </row>
    <row r="1146" spans="1:4" hidden="1" x14ac:dyDescent="0.3">
      <c r="A1146">
        <v>1144</v>
      </c>
      <c r="B1146" s="1" t="s">
        <v>1565</v>
      </c>
      <c r="C1146" t="s">
        <v>109</v>
      </c>
      <c r="D1146" s="1" t="s">
        <v>1566</v>
      </c>
    </row>
    <row r="1147" spans="1:4" x14ac:dyDescent="0.3">
      <c r="A1147">
        <v>1145</v>
      </c>
      <c r="B1147" t="s">
        <v>1567</v>
      </c>
      <c r="C1147" t="s">
        <v>207</v>
      </c>
      <c r="D1147">
        <v>149426858.45805401</v>
      </c>
    </row>
    <row r="1148" spans="1:4" hidden="1" x14ac:dyDescent="0.3">
      <c r="A1148">
        <v>1146</v>
      </c>
      <c r="B1148" t="s">
        <v>1568</v>
      </c>
      <c r="C1148" t="s">
        <v>209</v>
      </c>
      <c r="D1148">
        <v>-1198.01734202799</v>
      </c>
    </row>
    <row r="1149" spans="1:4" hidden="1" x14ac:dyDescent="0.3">
      <c r="A1149">
        <v>1147</v>
      </c>
      <c r="B1149" t="s">
        <v>1569</v>
      </c>
      <c r="C1149" t="s">
        <v>211</v>
      </c>
      <c r="D1149">
        <v>-587.25497876363704</v>
      </c>
    </row>
    <row r="1150" spans="1:4" hidden="1" x14ac:dyDescent="0.3">
      <c r="A1150">
        <v>1148</v>
      </c>
      <c r="B1150" s="1" t="s">
        <v>1570</v>
      </c>
      <c r="C1150" t="s">
        <v>213</v>
      </c>
      <c r="D1150" s="1" t="s">
        <v>1571</v>
      </c>
    </row>
    <row r="1151" spans="1:4" hidden="1" x14ac:dyDescent="0.3">
      <c r="A1151">
        <v>1149</v>
      </c>
      <c r="B1151" t="s">
        <v>1572</v>
      </c>
      <c r="C1151" t="s">
        <v>216</v>
      </c>
      <c r="D1151">
        <v>80553858.284543499</v>
      </c>
    </row>
    <row r="1152" spans="1:4" hidden="1" x14ac:dyDescent="0.3">
      <c r="A1152">
        <v>1150</v>
      </c>
      <c r="B1152" t="s">
        <v>1573</v>
      </c>
      <c r="C1152" t="s">
        <v>218</v>
      </c>
      <c r="D1152">
        <v>39486618.996800102</v>
      </c>
    </row>
    <row r="1153" spans="1:4" hidden="1" x14ac:dyDescent="0.3">
      <c r="A1153">
        <v>1151</v>
      </c>
      <c r="B1153" t="s">
        <v>1574</v>
      </c>
      <c r="C1153" t="s">
        <v>220</v>
      </c>
      <c r="D1153">
        <v>29388603.523771301</v>
      </c>
    </row>
    <row r="1154" spans="1:4" hidden="1" x14ac:dyDescent="0.3">
      <c r="A1154">
        <v>1152</v>
      </c>
      <c r="B1154" s="1" t="s">
        <v>1575</v>
      </c>
      <c r="C1154" t="s">
        <v>222</v>
      </c>
      <c r="D1154" s="1" t="s">
        <v>1576</v>
      </c>
    </row>
    <row r="1155" spans="1:4" hidden="1" x14ac:dyDescent="0.3">
      <c r="A1155">
        <v>1153</v>
      </c>
      <c r="B1155" t="s">
        <v>1577</v>
      </c>
      <c r="C1155" t="s">
        <v>225</v>
      </c>
      <c r="D1155">
        <v>101190250.576419</v>
      </c>
    </row>
    <row r="1156" spans="1:4" hidden="1" x14ac:dyDescent="0.3">
      <c r="A1156">
        <v>1154</v>
      </c>
      <c r="B1156" t="s">
        <v>1578</v>
      </c>
      <c r="C1156" t="s">
        <v>227</v>
      </c>
      <c r="D1156">
        <v>-1504.9269844591599</v>
      </c>
    </row>
    <row r="1157" spans="1:4" hidden="1" x14ac:dyDescent="0.3">
      <c r="A1157">
        <v>1155</v>
      </c>
      <c r="B1157" s="1" t="s">
        <v>1579</v>
      </c>
      <c r="C1157" t="s">
        <v>229</v>
      </c>
      <c r="D1157" s="1" t="s">
        <v>1580</v>
      </c>
    </row>
    <row r="1158" spans="1:4" hidden="1" x14ac:dyDescent="0.3">
      <c r="A1158">
        <v>1156</v>
      </c>
      <c r="B1158" t="s">
        <v>1581</v>
      </c>
      <c r="C1158" t="s">
        <v>112</v>
      </c>
      <c r="D1158">
        <v>405.63364125020502</v>
      </c>
    </row>
    <row r="1159" spans="1:4" hidden="1" x14ac:dyDescent="0.3">
      <c r="A1159">
        <v>1157</v>
      </c>
      <c r="B1159" t="s">
        <v>1582</v>
      </c>
      <c r="C1159" t="s">
        <v>114</v>
      </c>
      <c r="D1159">
        <v>74.2824782852488</v>
      </c>
    </row>
    <row r="1160" spans="1:4" hidden="1" x14ac:dyDescent="0.3">
      <c r="A1160">
        <v>1158</v>
      </c>
      <c r="B1160" s="1" t="s">
        <v>1583</v>
      </c>
      <c r="C1160" t="s">
        <v>116</v>
      </c>
      <c r="D1160" s="1" t="s">
        <v>1584</v>
      </c>
    </row>
    <row r="1161" spans="1:4" hidden="1" x14ac:dyDescent="0.3">
      <c r="A1161">
        <v>1159</v>
      </c>
      <c r="B1161" t="s">
        <v>1585</v>
      </c>
      <c r="C1161" t="s">
        <v>119</v>
      </c>
      <c r="D1161">
        <v>80553858.284543499</v>
      </c>
    </row>
    <row r="1162" spans="1:4" hidden="1" x14ac:dyDescent="0.3">
      <c r="A1162">
        <v>1160</v>
      </c>
      <c r="B1162" t="s">
        <v>1586</v>
      </c>
      <c r="C1162" t="s">
        <v>121</v>
      </c>
      <c r="D1162">
        <v>39486618.996800102</v>
      </c>
    </row>
    <row r="1163" spans="1:4" hidden="1" x14ac:dyDescent="0.3">
      <c r="A1163">
        <v>1161</v>
      </c>
      <c r="B1163" s="1" t="s">
        <v>1587</v>
      </c>
      <c r="C1163" t="s">
        <v>123</v>
      </c>
      <c r="D1163" s="1" t="s">
        <v>1588</v>
      </c>
    </row>
    <row r="1164" spans="1:4" hidden="1" x14ac:dyDescent="0.3">
      <c r="A1164">
        <v>1162</v>
      </c>
      <c r="B1164" t="s">
        <v>1589</v>
      </c>
      <c r="C1164" t="s">
        <v>126</v>
      </c>
      <c r="D1164">
        <v>0.79605530003525204</v>
      </c>
    </row>
    <row r="1165" spans="1:4" hidden="1" x14ac:dyDescent="0.3">
      <c r="A1165">
        <v>1163</v>
      </c>
      <c r="B1165" t="s">
        <v>1590</v>
      </c>
      <c r="C1165" t="s">
        <v>128</v>
      </c>
      <c r="D1165">
        <v>0.390217588608128</v>
      </c>
    </row>
    <row r="1166" spans="1:4" hidden="1" x14ac:dyDescent="0.3">
      <c r="A1166">
        <v>1164</v>
      </c>
      <c r="B1166" s="1" t="s">
        <v>1591</v>
      </c>
      <c r="C1166" t="s">
        <v>130</v>
      </c>
      <c r="D1166" s="1" t="s">
        <v>1592</v>
      </c>
    </row>
    <row r="1167" spans="1:4" hidden="1" x14ac:dyDescent="0.3">
      <c r="A1167">
        <v>1165</v>
      </c>
      <c r="B1167" s="1" t="s">
        <v>1593</v>
      </c>
      <c r="C1167" t="s">
        <v>4</v>
      </c>
      <c r="D1167" t="s">
        <v>1594</v>
      </c>
    </row>
    <row r="1168" spans="1:4" hidden="1" x14ac:dyDescent="0.3">
      <c r="A1168">
        <v>1166</v>
      </c>
      <c r="B1168" t="s">
        <v>1595</v>
      </c>
      <c r="C1168" t="s">
        <v>7</v>
      </c>
      <c r="D1168">
        <v>1891.59</v>
      </c>
    </row>
    <row r="1169" spans="1:4" hidden="1" x14ac:dyDescent="0.3">
      <c r="A1169">
        <v>1167</v>
      </c>
      <c r="B1169" s="1" t="s">
        <v>1596</v>
      </c>
      <c r="C1169" t="s">
        <v>9</v>
      </c>
      <c r="D1169" s="1" t="s">
        <v>1597</v>
      </c>
    </row>
    <row r="1170" spans="1:4" hidden="1" x14ac:dyDescent="0.3">
      <c r="A1170">
        <v>1168</v>
      </c>
      <c r="B1170" t="s">
        <v>1598</v>
      </c>
      <c r="C1170" t="s">
        <v>14</v>
      </c>
      <c r="D1170">
        <v>98.58203125</v>
      </c>
    </row>
    <row r="1171" spans="1:4" hidden="1" x14ac:dyDescent="0.3">
      <c r="A1171">
        <v>1169</v>
      </c>
      <c r="B1171" t="s">
        <v>1599</v>
      </c>
      <c r="C1171" t="s">
        <v>16</v>
      </c>
      <c r="D1171">
        <v>4.3760418372306598</v>
      </c>
    </row>
    <row r="1172" spans="1:4" hidden="1" x14ac:dyDescent="0.3">
      <c r="A1172">
        <v>1170</v>
      </c>
      <c r="B1172" s="1" t="s">
        <v>1600</v>
      </c>
      <c r="C1172" t="s">
        <v>140</v>
      </c>
      <c r="D1172" s="1" t="s">
        <v>1601</v>
      </c>
    </row>
    <row r="1173" spans="1:4" hidden="1" x14ac:dyDescent="0.3">
      <c r="A1173">
        <v>1171</v>
      </c>
      <c r="B1173" t="s">
        <v>1602</v>
      </c>
      <c r="C1173" t="s">
        <v>22</v>
      </c>
      <c r="D1173">
        <v>74.099999999999994</v>
      </c>
    </row>
    <row r="1174" spans="1:4" hidden="1" x14ac:dyDescent="0.3">
      <c r="A1174">
        <v>1172</v>
      </c>
      <c r="B1174" t="s">
        <v>1603</v>
      </c>
      <c r="C1174" t="s">
        <v>24</v>
      </c>
      <c r="D1174">
        <v>6.2604063391724596</v>
      </c>
    </row>
    <row r="1175" spans="1:4" hidden="1" x14ac:dyDescent="0.3">
      <c r="A1175">
        <v>1173</v>
      </c>
      <c r="B1175" s="1" t="s">
        <v>1604</v>
      </c>
      <c r="C1175" t="s">
        <v>145</v>
      </c>
      <c r="D1175" s="1" t="s">
        <v>1605</v>
      </c>
    </row>
    <row r="1176" spans="1:4" hidden="1" x14ac:dyDescent="0.3">
      <c r="A1176">
        <v>1174</v>
      </c>
      <c r="B1176" t="s">
        <v>1606</v>
      </c>
      <c r="C1176" t="s">
        <v>35</v>
      </c>
      <c r="D1176">
        <v>-2.8507787637715699E-2</v>
      </c>
    </row>
    <row r="1177" spans="1:4" hidden="1" x14ac:dyDescent="0.3">
      <c r="A1177">
        <v>1175</v>
      </c>
      <c r="B1177" t="s">
        <v>1607</v>
      </c>
      <c r="C1177" t="s">
        <v>149</v>
      </c>
      <c r="D1177">
        <v>0.70604508634732799</v>
      </c>
    </row>
    <row r="1178" spans="1:4" hidden="1" x14ac:dyDescent="0.3">
      <c r="A1178">
        <v>1176</v>
      </c>
      <c r="B1178" s="1" t="s">
        <v>1608</v>
      </c>
      <c r="C1178" t="s">
        <v>151</v>
      </c>
      <c r="D1178" s="1" t="s">
        <v>1609</v>
      </c>
    </row>
    <row r="1179" spans="1:4" hidden="1" x14ac:dyDescent="0.3">
      <c r="A1179">
        <v>1177</v>
      </c>
      <c r="B1179" t="s">
        <v>1610</v>
      </c>
      <c r="C1179" t="s">
        <v>30</v>
      </c>
      <c r="D1179">
        <v>0.40525759855765497</v>
      </c>
    </row>
    <row r="1180" spans="1:4" hidden="1" x14ac:dyDescent="0.3">
      <c r="A1180">
        <v>1178</v>
      </c>
      <c r="B1180" t="s">
        <v>1611</v>
      </c>
      <c r="C1180" t="s">
        <v>32</v>
      </c>
      <c r="D1180">
        <v>0.212284482000376</v>
      </c>
    </row>
    <row r="1181" spans="1:4" hidden="1" x14ac:dyDescent="0.3">
      <c r="A1181">
        <v>1179</v>
      </c>
      <c r="B1181" s="1" t="s">
        <v>1612</v>
      </c>
      <c r="C1181" t="s">
        <v>155</v>
      </c>
      <c r="D1181" s="1" t="s">
        <v>1613</v>
      </c>
    </row>
    <row r="1182" spans="1:4" hidden="1" x14ac:dyDescent="0.3">
      <c r="A1182">
        <v>1180</v>
      </c>
      <c r="B1182" t="s">
        <v>1614</v>
      </c>
      <c r="C1182" t="s">
        <v>40</v>
      </c>
      <c r="D1182">
        <v>0.62325018908006002</v>
      </c>
    </row>
    <row r="1183" spans="1:4" hidden="1" x14ac:dyDescent="0.3">
      <c r="A1183">
        <v>1181</v>
      </c>
      <c r="B1183" t="s">
        <v>1615</v>
      </c>
      <c r="C1183" t="s">
        <v>42</v>
      </c>
      <c r="D1183">
        <v>0.20405566303685499</v>
      </c>
    </row>
    <row r="1184" spans="1:4" hidden="1" x14ac:dyDescent="0.3">
      <c r="A1184">
        <v>1182</v>
      </c>
      <c r="B1184" s="1" t="s">
        <v>1616</v>
      </c>
      <c r="C1184" t="s">
        <v>159</v>
      </c>
      <c r="D1184" s="1" t="s">
        <v>1617</v>
      </c>
    </row>
    <row r="1185" spans="1:4" hidden="1" x14ac:dyDescent="0.3">
      <c r="A1185">
        <v>1183</v>
      </c>
      <c r="B1185" t="s">
        <v>1618</v>
      </c>
      <c r="C1185" t="s">
        <v>161</v>
      </c>
      <c r="D1185">
        <v>1.01113451217686</v>
      </c>
    </row>
    <row r="1186" spans="1:4" hidden="1" x14ac:dyDescent="0.3">
      <c r="A1186">
        <v>1184</v>
      </c>
      <c r="B1186" t="s">
        <v>1619</v>
      </c>
      <c r="C1186" t="s">
        <v>163</v>
      </c>
      <c r="D1186">
        <v>1.0025613721000199</v>
      </c>
    </row>
    <row r="1187" spans="1:4" hidden="1" x14ac:dyDescent="0.3">
      <c r="A1187">
        <v>1185</v>
      </c>
      <c r="B1187" s="1" t="s">
        <v>1620</v>
      </c>
      <c r="C1187" t="s">
        <v>165</v>
      </c>
      <c r="D1187" s="1" t="s">
        <v>1621</v>
      </c>
    </row>
    <row r="1188" spans="1:4" hidden="1" x14ac:dyDescent="0.3">
      <c r="A1188">
        <v>1186</v>
      </c>
      <c r="B1188" t="s">
        <v>1622</v>
      </c>
      <c r="C1188" t="s">
        <v>168</v>
      </c>
      <c r="D1188">
        <v>1.0028663178747701</v>
      </c>
    </row>
    <row r="1189" spans="1:4" hidden="1" x14ac:dyDescent="0.3">
      <c r="A1189">
        <v>1187</v>
      </c>
      <c r="B1189" t="s">
        <v>1623</v>
      </c>
      <c r="C1189" t="s">
        <v>170</v>
      </c>
      <c r="D1189">
        <v>0.99810899344181303</v>
      </c>
    </row>
    <row r="1190" spans="1:4" hidden="1" x14ac:dyDescent="0.3">
      <c r="A1190">
        <v>1188</v>
      </c>
      <c r="B1190" s="1" t="s">
        <v>1624</v>
      </c>
      <c r="C1190" t="s">
        <v>172</v>
      </c>
      <c r="D1190" s="1" t="s">
        <v>1625</v>
      </c>
    </row>
    <row r="1191" spans="1:4" hidden="1" x14ac:dyDescent="0.3">
      <c r="A1191">
        <v>1189</v>
      </c>
      <c r="B1191" s="1" t="s">
        <v>1626</v>
      </c>
      <c r="C1191" t="s">
        <v>55</v>
      </c>
      <c r="D1191" s="1" t="s">
        <v>1627</v>
      </c>
    </row>
    <row r="1192" spans="1:4" hidden="1" x14ac:dyDescent="0.3">
      <c r="A1192">
        <v>1190</v>
      </c>
      <c r="B1192" s="1" t="s">
        <v>1628</v>
      </c>
      <c r="C1192" t="s">
        <v>52</v>
      </c>
      <c r="D1192" s="1" t="s">
        <v>1629</v>
      </c>
    </row>
    <row r="1193" spans="1:4" hidden="1" x14ac:dyDescent="0.3">
      <c r="A1193">
        <v>1191</v>
      </c>
      <c r="B1193" s="1" t="s">
        <v>1630</v>
      </c>
      <c r="C1193" t="s">
        <v>58</v>
      </c>
      <c r="D1193" s="1" t="s">
        <v>1631</v>
      </c>
    </row>
    <row r="1194" spans="1:4" hidden="1" x14ac:dyDescent="0.3">
      <c r="A1194">
        <v>1192</v>
      </c>
      <c r="B1194" t="s">
        <v>1632</v>
      </c>
      <c r="C1194" t="s">
        <v>61</v>
      </c>
      <c r="D1194">
        <v>150349887.021007</v>
      </c>
    </row>
    <row r="1195" spans="1:4" hidden="1" x14ac:dyDescent="0.3">
      <c r="A1195">
        <v>1193</v>
      </c>
      <c r="B1195" t="s">
        <v>1633</v>
      </c>
      <c r="C1195" t="s">
        <v>63</v>
      </c>
      <c r="D1195">
        <v>81450786.200506598</v>
      </c>
    </row>
    <row r="1196" spans="1:4" hidden="1" x14ac:dyDescent="0.3">
      <c r="A1196">
        <v>1194</v>
      </c>
      <c r="B1196" t="s">
        <v>1634</v>
      </c>
      <c r="C1196" t="s">
        <v>65</v>
      </c>
      <c r="D1196">
        <v>39587758.921022996</v>
      </c>
    </row>
    <row r="1197" spans="1:4" hidden="1" x14ac:dyDescent="0.3">
      <c r="A1197">
        <v>1195</v>
      </c>
      <c r="B1197" s="1" t="s">
        <v>1635</v>
      </c>
      <c r="C1197" t="s">
        <v>67</v>
      </c>
      <c r="D1197" s="1" t="s">
        <v>1636</v>
      </c>
    </row>
    <row r="1198" spans="1:4" hidden="1" x14ac:dyDescent="0.3">
      <c r="A1198">
        <v>1196</v>
      </c>
      <c r="B1198" s="1" t="s">
        <v>1637</v>
      </c>
      <c r="C1198" t="s">
        <v>70</v>
      </c>
      <c r="D1198" s="1" t="s">
        <v>1638</v>
      </c>
    </row>
    <row r="1199" spans="1:4" hidden="1" x14ac:dyDescent="0.3">
      <c r="A1199">
        <v>1197</v>
      </c>
      <c r="B1199" t="s">
        <v>1639</v>
      </c>
      <c r="C1199" t="s">
        <v>73</v>
      </c>
      <c r="D1199">
        <v>1.0000102168873699</v>
      </c>
    </row>
    <row r="1200" spans="1:4" hidden="1" x14ac:dyDescent="0.3">
      <c r="A1200">
        <v>1198</v>
      </c>
      <c r="B1200" t="s">
        <v>74</v>
      </c>
      <c r="C1200" t="s">
        <v>75</v>
      </c>
      <c r="D1200">
        <v>2.7397260273972599E-3</v>
      </c>
    </row>
    <row r="1201" spans="1:4" hidden="1" x14ac:dyDescent="0.3">
      <c r="A1201">
        <v>1199</v>
      </c>
      <c r="B1201" t="s">
        <v>76</v>
      </c>
      <c r="C1201" t="s">
        <v>77</v>
      </c>
      <c r="D1201">
        <v>0</v>
      </c>
    </row>
    <row r="1202" spans="1:4" hidden="1" x14ac:dyDescent="0.3">
      <c r="A1202">
        <v>1200</v>
      </c>
      <c r="B1202" t="s">
        <v>78</v>
      </c>
      <c r="C1202" t="s">
        <v>79</v>
      </c>
      <c r="D1202">
        <v>0</v>
      </c>
    </row>
    <row r="1203" spans="1:4" hidden="1" x14ac:dyDescent="0.3">
      <c r="A1203">
        <v>1201</v>
      </c>
      <c r="B1203" s="1" t="s">
        <v>1640</v>
      </c>
      <c r="C1203" t="s">
        <v>81</v>
      </c>
      <c r="D1203" s="1" t="s">
        <v>1641</v>
      </c>
    </row>
    <row r="1204" spans="1:4" hidden="1" x14ac:dyDescent="0.3">
      <c r="A1204">
        <v>1202</v>
      </c>
      <c r="B1204" t="s">
        <v>1642</v>
      </c>
      <c r="C1204" t="s">
        <v>84</v>
      </c>
      <c r="D1204">
        <v>1.0000302245873001</v>
      </c>
    </row>
    <row r="1205" spans="1:4" hidden="1" x14ac:dyDescent="0.3">
      <c r="A1205">
        <v>1203</v>
      </c>
      <c r="B1205" s="1" t="s">
        <v>1643</v>
      </c>
      <c r="C1205" t="s">
        <v>86</v>
      </c>
      <c r="D1205" s="1" t="s">
        <v>1644</v>
      </c>
    </row>
    <row r="1206" spans="1:4" hidden="1" x14ac:dyDescent="0.3">
      <c r="A1206">
        <v>1204</v>
      </c>
      <c r="B1206" t="s">
        <v>1645</v>
      </c>
      <c r="C1206" t="s">
        <v>89</v>
      </c>
      <c r="D1206">
        <v>101186721.15656599</v>
      </c>
    </row>
    <row r="1207" spans="1:4" hidden="1" x14ac:dyDescent="0.3">
      <c r="A1207">
        <v>1205</v>
      </c>
      <c r="B1207" s="1" t="s">
        <v>1646</v>
      </c>
      <c r="C1207" t="s">
        <v>91</v>
      </c>
      <c r="D1207" s="1" t="s">
        <v>1580</v>
      </c>
    </row>
    <row r="1208" spans="1:4" hidden="1" x14ac:dyDescent="0.3">
      <c r="A1208">
        <v>1206</v>
      </c>
      <c r="B1208" t="s">
        <v>1647</v>
      </c>
      <c r="C1208" t="s">
        <v>94</v>
      </c>
      <c r="D1208">
        <v>81450786.200506598</v>
      </c>
    </row>
    <row r="1209" spans="1:4" hidden="1" x14ac:dyDescent="0.3">
      <c r="A1209">
        <v>1207</v>
      </c>
      <c r="B1209" t="s">
        <v>1648</v>
      </c>
      <c r="C1209" t="s">
        <v>96</v>
      </c>
      <c r="D1209">
        <v>39587758.921022996</v>
      </c>
    </row>
    <row r="1210" spans="1:4" hidden="1" x14ac:dyDescent="0.3">
      <c r="A1210">
        <v>1208</v>
      </c>
      <c r="B1210" t="s">
        <v>1649</v>
      </c>
      <c r="C1210" t="s">
        <v>98</v>
      </c>
      <c r="D1210">
        <v>29311341.899477702</v>
      </c>
    </row>
    <row r="1211" spans="1:4" hidden="1" x14ac:dyDescent="0.3">
      <c r="A1211">
        <v>1209</v>
      </c>
      <c r="B1211" s="1" t="s">
        <v>1650</v>
      </c>
      <c r="C1211" t="s">
        <v>100</v>
      </c>
      <c r="D1211" s="1" t="s">
        <v>1651</v>
      </c>
    </row>
    <row r="1212" spans="1:4" hidden="1" x14ac:dyDescent="0.3">
      <c r="A1212">
        <v>1210</v>
      </c>
      <c r="B1212" t="s">
        <v>1652</v>
      </c>
      <c r="C1212" t="s">
        <v>103</v>
      </c>
      <c r="D1212">
        <v>9.3741877582874805E-3</v>
      </c>
    </row>
    <row r="1213" spans="1:4" hidden="1" x14ac:dyDescent="0.3">
      <c r="A1213">
        <v>1211</v>
      </c>
      <c r="B1213" t="s">
        <v>1653</v>
      </c>
      <c r="C1213" t="s">
        <v>105</v>
      </c>
      <c r="D1213">
        <v>1.74912092033717E-3</v>
      </c>
    </row>
    <row r="1214" spans="1:4" hidden="1" x14ac:dyDescent="0.3">
      <c r="A1214">
        <v>1212</v>
      </c>
      <c r="B1214" t="s">
        <v>1654</v>
      </c>
      <c r="C1214" t="s">
        <v>107</v>
      </c>
      <c r="D1214">
        <v>1.0592150146060599E-2</v>
      </c>
    </row>
    <row r="1215" spans="1:4" hidden="1" x14ac:dyDescent="0.3">
      <c r="A1215">
        <v>1213</v>
      </c>
      <c r="B1215" s="1" t="s">
        <v>1655</v>
      </c>
      <c r="C1215" t="s">
        <v>109</v>
      </c>
      <c r="D1215" s="1" t="s">
        <v>1656</v>
      </c>
    </row>
    <row r="1216" spans="1:4" x14ac:dyDescent="0.3">
      <c r="A1216">
        <v>1214</v>
      </c>
      <c r="B1216" t="s">
        <v>1657</v>
      </c>
      <c r="C1216" t="s">
        <v>207</v>
      </c>
      <c r="D1216">
        <v>150350589.539747</v>
      </c>
    </row>
    <row r="1217" spans="1:4" hidden="1" x14ac:dyDescent="0.3">
      <c r="A1217">
        <v>1215</v>
      </c>
      <c r="B1217" t="s">
        <v>1658</v>
      </c>
      <c r="C1217" t="s">
        <v>209</v>
      </c>
      <c r="D1217">
        <v>-1629.6360650189899</v>
      </c>
    </row>
    <row r="1218" spans="1:4" hidden="1" x14ac:dyDescent="0.3">
      <c r="A1218">
        <v>1216</v>
      </c>
      <c r="B1218" t="s">
        <v>1659</v>
      </c>
      <c r="C1218" t="s">
        <v>211</v>
      </c>
      <c r="D1218">
        <v>-792.05459867949298</v>
      </c>
    </row>
    <row r="1219" spans="1:4" hidden="1" x14ac:dyDescent="0.3">
      <c r="A1219">
        <v>1217</v>
      </c>
      <c r="B1219" s="1" t="s">
        <v>1660</v>
      </c>
      <c r="C1219" t="s">
        <v>213</v>
      </c>
      <c r="D1219" s="1" t="s">
        <v>1661</v>
      </c>
    </row>
    <row r="1220" spans="1:4" hidden="1" x14ac:dyDescent="0.3">
      <c r="A1220">
        <v>1218</v>
      </c>
      <c r="B1220" t="s">
        <v>1662</v>
      </c>
      <c r="C1220" t="s">
        <v>216</v>
      </c>
      <c r="D1220">
        <v>81452906.956361502</v>
      </c>
    </row>
    <row r="1221" spans="1:4" hidden="1" x14ac:dyDescent="0.3">
      <c r="A1221">
        <v>1219</v>
      </c>
      <c r="B1221" t="s">
        <v>1663</v>
      </c>
      <c r="C1221" t="s">
        <v>218</v>
      </c>
      <c r="D1221">
        <v>39588685.4221325</v>
      </c>
    </row>
    <row r="1222" spans="1:4" hidden="1" x14ac:dyDescent="0.3">
      <c r="A1222">
        <v>1220</v>
      </c>
      <c r="B1222" t="s">
        <v>1664</v>
      </c>
      <c r="C1222" t="s">
        <v>220</v>
      </c>
      <c r="D1222">
        <v>29312005.299998201</v>
      </c>
    </row>
    <row r="1223" spans="1:4" hidden="1" x14ac:dyDescent="0.3">
      <c r="A1223">
        <v>1221</v>
      </c>
      <c r="B1223" s="1" t="s">
        <v>1665</v>
      </c>
      <c r="C1223" t="s">
        <v>222</v>
      </c>
      <c r="D1223" s="1" t="s">
        <v>1666</v>
      </c>
    </row>
    <row r="1224" spans="1:4" hidden="1" x14ac:dyDescent="0.3">
      <c r="A1224">
        <v>1222</v>
      </c>
      <c r="B1224" t="s">
        <v>1667</v>
      </c>
      <c r="C1224" t="s">
        <v>225</v>
      </c>
      <c r="D1224">
        <v>101188745.649435</v>
      </c>
    </row>
    <row r="1225" spans="1:4" hidden="1" x14ac:dyDescent="0.3">
      <c r="A1225">
        <v>1223</v>
      </c>
      <c r="B1225" t="s">
        <v>1668</v>
      </c>
      <c r="C1225" t="s">
        <v>227</v>
      </c>
      <c r="D1225">
        <v>-2024.49286890029</v>
      </c>
    </row>
    <row r="1226" spans="1:4" hidden="1" x14ac:dyDescent="0.3">
      <c r="A1226">
        <v>1224</v>
      </c>
      <c r="B1226" s="1" t="s">
        <v>1669</v>
      </c>
      <c r="C1226" t="s">
        <v>229</v>
      </c>
      <c r="D1226" s="1" t="s">
        <v>1670</v>
      </c>
    </row>
    <row r="1227" spans="1:4" hidden="1" x14ac:dyDescent="0.3">
      <c r="A1227">
        <v>1225</v>
      </c>
      <c r="B1227" t="s">
        <v>1671</v>
      </c>
      <c r="C1227" t="s">
        <v>112</v>
      </c>
      <c r="D1227">
        <v>491.11978991342198</v>
      </c>
    </row>
    <row r="1228" spans="1:4" hidden="1" x14ac:dyDescent="0.3">
      <c r="A1228">
        <v>1226</v>
      </c>
      <c r="B1228" t="s">
        <v>1672</v>
      </c>
      <c r="C1228" t="s">
        <v>114</v>
      </c>
      <c r="D1228">
        <v>134.44651081051799</v>
      </c>
    </row>
    <row r="1229" spans="1:4" hidden="1" x14ac:dyDescent="0.3">
      <c r="A1229">
        <v>1227</v>
      </c>
      <c r="B1229" s="1" t="s">
        <v>1673</v>
      </c>
      <c r="C1229" t="s">
        <v>116</v>
      </c>
      <c r="D1229" s="1" t="s">
        <v>1674</v>
      </c>
    </row>
    <row r="1230" spans="1:4" hidden="1" x14ac:dyDescent="0.3">
      <c r="A1230">
        <v>1228</v>
      </c>
      <c r="B1230" t="s">
        <v>1675</v>
      </c>
      <c r="C1230" t="s">
        <v>119</v>
      </c>
      <c r="D1230">
        <v>81452906.956361502</v>
      </c>
    </row>
    <row r="1231" spans="1:4" hidden="1" x14ac:dyDescent="0.3">
      <c r="A1231">
        <v>1229</v>
      </c>
      <c r="B1231" t="s">
        <v>1676</v>
      </c>
      <c r="C1231" t="s">
        <v>121</v>
      </c>
      <c r="D1231">
        <v>39588685.4221325</v>
      </c>
    </row>
    <row r="1232" spans="1:4" hidden="1" x14ac:dyDescent="0.3">
      <c r="A1232">
        <v>1230</v>
      </c>
      <c r="B1232" s="1" t="s">
        <v>1677</v>
      </c>
      <c r="C1232" t="s">
        <v>123</v>
      </c>
      <c r="D1232" s="1" t="s">
        <v>1678</v>
      </c>
    </row>
    <row r="1233" spans="1:4" hidden="1" x14ac:dyDescent="0.3">
      <c r="A1233">
        <v>1231</v>
      </c>
      <c r="B1233" t="s">
        <v>1679</v>
      </c>
      <c r="C1233" t="s">
        <v>126</v>
      </c>
      <c r="D1233">
        <v>0.80493581205615194</v>
      </c>
    </row>
    <row r="1234" spans="1:4" hidden="1" x14ac:dyDescent="0.3">
      <c r="A1234">
        <v>1232</v>
      </c>
      <c r="B1234" t="s">
        <v>1680</v>
      </c>
      <c r="C1234" t="s">
        <v>128</v>
      </c>
      <c r="D1234">
        <v>0.39122422807539797</v>
      </c>
    </row>
    <row r="1235" spans="1:4" hidden="1" x14ac:dyDescent="0.3">
      <c r="A1235">
        <v>1233</v>
      </c>
      <c r="B1235" s="1" t="s">
        <v>1681</v>
      </c>
      <c r="C1235" t="s">
        <v>130</v>
      </c>
      <c r="D1235" s="1" t="s">
        <v>1682</v>
      </c>
    </row>
    <row r="1236" spans="1:4" hidden="1" x14ac:dyDescent="0.3">
      <c r="A1236">
        <v>1234</v>
      </c>
      <c r="B1236" s="1" t="s">
        <v>1683</v>
      </c>
      <c r="C1236" t="s">
        <v>4</v>
      </c>
      <c r="D1236" t="s">
        <v>1684</v>
      </c>
    </row>
    <row r="1237" spans="1:4" hidden="1" x14ac:dyDescent="0.3">
      <c r="A1237">
        <v>1235</v>
      </c>
      <c r="B1237" t="s">
        <v>1685</v>
      </c>
      <c r="C1237" t="s">
        <v>7</v>
      </c>
      <c r="D1237">
        <v>1899.21</v>
      </c>
    </row>
    <row r="1238" spans="1:4" hidden="1" x14ac:dyDescent="0.3">
      <c r="A1238">
        <v>1236</v>
      </c>
      <c r="B1238" s="1" t="s">
        <v>1686</v>
      </c>
      <c r="C1238" t="s">
        <v>9</v>
      </c>
      <c r="D1238" s="1" t="s">
        <v>1687</v>
      </c>
    </row>
    <row r="1239" spans="1:4" hidden="1" x14ac:dyDescent="0.3">
      <c r="A1239">
        <v>1237</v>
      </c>
      <c r="B1239" t="s">
        <v>968</v>
      </c>
      <c r="C1239" t="s">
        <v>14</v>
      </c>
      <c r="D1239">
        <v>98.5234375</v>
      </c>
    </row>
    <row r="1240" spans="1:4" hidden="1" x14ac:dyDescent="0.3">
      <c r="A1240">
        <v>1238</v>
      </c>
      <c r="B1240" t="s">
        <v>1688</v>
      </c>
      <c r="C1240" t="s">
        <v>16</v>
      </c>
      <c r="D1240">
        <v>4.3753207594318297</v>
      </c>
    </row>
    <row r="1241" spans="1:4" hidden="1" x14ac:dyDescent="0.3">
      <c r="A1241">
        <v>1239</v>
      </c>
      <c r="B1241" s="1" t="s">
        <v>1689</v>
      </c>
      <c r="C1241" t="s">
        <v>140</v>
      </c>
      <c r="D1241" s="1" t="s">
        <v>1690</v>
      </c>
    </row>
    <row r="1242" spans="1:4" hidden="1" x14ac:dyDescent="0.3">
      <c r="A1242">
        <v>1240</v>
      </c>
      <c r="B1242" t="s">
        <v>612</v>
      </c>
      <c r="C1242" t="s">
        <v>22</v>
      </c>
      <c r="D1242">
        <v>74.349999999999994</v>
      </c>
    </row>
    <row r="1243" spans="1:4" hidden="1" x14ac:dyDescent="0.3">
      <c r="A1243">
        <v>1241</v>
      </c>
      <c r="B1243" t="s">
        <v>1691</v>
      </c>
      <c r="C1243" t="s">
        <v>24</v>
      </c>
      <c r="D1243">
        <v>6.2445548850453001</v>
      </c>
    </row>
    <row r="1244" spans="1:4" hidden="1" x14ac:dyDescent="0.3">
      <c r="A1244">
        <v>1242</v>
      </c>
      <c r="B1244" s="1" t="s">
        <v>1692</v>
      </c>
      <c r="C1244" t="s">
        <v>145</v>
      </c>
      <c r="D1244" s="1" t="s">
        <v>1693</v>
      </c>
    </row>
    <row r="1245" spans="1:4" hidden="1" x14ac:dyDescent="0.3">
      <c r="A1245">
        <v>1243</v>
      </c>
      <c r="B1245" t="s">
        <v>1694</v>
      </c>
      <c r="C1245" t="s">
        <v>35</v>
      </c>
      <c r="D1245">
        <v>-0.24806975439471099</v>
      </c>
    </row>
    <row r="1246" spans="1:4" hidden="1" x14ac:dyDescent="0.3">
      <c r="A1246">
        <v>1244</v>
      </c>
      <c r="B1246" t="s">
        <v>1695</v>
      </c>
      <c r="C1246" t="s">
        <v>149</v>
      </c>
      <c r="D1246">
        <v>0.70565231376192505</v>
      </c>
    </row>
    <row r="1247" spans="1:4" hidden="1" x14ac:dyDescent="0.3">
      <c r="A1247">
        <v>1245</v>
      </c>
      <c r="B1247" s="1" t="s">
        <v>1696</v>
      </c>
      <c r="C1247" t="s">
        <v>151</v>
      </c>
      <c r="D1247" s="1" t="s">
        <v>1697</v>
      </c>
    </row>
    <row r="1248" spans="1:4" hidden="1" x14ac:dyDescent="0.3">
      <c r="A1248">
        <v>1246</v>
      </c>
      <c r="B1248" t="s">
        <v>1698</v>
      </c>
      <c r="C1248" t="s">
        <v>30</v>
      </c>
      <c r="D1248">
        <v>0.495229551229179</v>
      </c>
    </row>
    <row r="1249" spans="1:4" hidden="1" x14ac:dyDescent="0.3">
      <c r="A1249">
        <v>1247</v>
      </c>
      <c r="B1249" t="s">
        <v>1699</v>
      </c>
      <c r="C1249" t="s">
        <v>32</v>
      </c>
      <c r="D1249">
        <v>0.21183491128384099</v>
      </c>
    </row>
    <row r="1250" spans="1:4" hidden="1" x14ac:dyDescent="0.3">
      <c r="A1250">
        <v>1248</v>
      </c>
      <c r="B1250" s="1" t="s">
        <v>1700</v>
      </c>
      <c r="C1250" t="s">
        <v>155</v>
      </c>
      <c r="D1250" s="1" t="s">
        <v>1701</v>
      </c>
    </row>
    <row r="1251" spans="1:4" hidden="1" x14ac:dyDescent="0.3">
      <c r="A1251">
        <v>1249</v>
      </c>
      <c r="B1251" t="s">
        <v>1702</v>
      </c>
      <c r="C1251" t="s">
        <v>40</v>
      </c>
      <c r="D1251">
        <v>0.75284020316553102</v>
      </c>
    </row>
    <row r="1252" spans="1:4" hidden="1" x14ac:dyDescent="0.3">
      <c r="A1252">
        <v>1250</v>
      </c>
      <c r="B1252" t="s">
        <v>1703</v>
      </c>
      <c r="C1252" t="s">
        <v>42</v>
      </c>
      <c r="D1252">
        <v>0.20529358173968201</v>
      </c>
    </row>
    <row r="1253" spans="1:4" hidden="1" x14ac:dyDescent="0.3">
      <c r="A1253">
        <v>1251</v>
      </c>
      <c r="B1253" s="1" t="s">
        <v>1704</v>
      </c>
      <c r="C1253" t="s">
        <v>159</v>
      </c>
      <c r="D1253" s="1" t="s">
        <v>1705</v>
      </c>
    </row>
    <row r="1254" spans="1:4" hidden="1" x14ac:dyDescent="0.3">
      <c r="A1254">
        <v>1252</v>
      </c>
      <c r="B1254" t="s">
        <v>1706</v>
      </c>
      <c r="C1254" t="s">
        <v>161</v>
      </c>
      <c r="D1254">
        <v>1.0040283570964099</v>
      </c>
    </row>
    <row r="1255" spans="1:4" hidden="1" x14ac:dyDescent="0.3">
      <c r="A1255">
        <v>1253</v>
      </c>
      <c r="B1255" t="s">
        <v>1707</v>
      </c>
      <c r="C1255" t="s">
        <v>163</v>
      </c>
      <c r="D1255">
        <v>0.99942389337698101</v>
      </c>
    </row>
    <row r="1256" spans="1:4" hidden="1" x14ac:dyDescent="0.3">
      <c r="A1256">
        <v>1254</v>
      </c>
      <c r="B1256" s="1" t="s">
        <v>1708</v>
      </c>
      <c r="C1256" t="s">
        <v>165</v>
      </c>
      <c r="D1256" s="1" t="s">
        <v>1709</v>
      </c>
    </row>
    <row r="1257" spans="1:4" hidden="1" x14ac:dyDescent="0.3">
      <c r="A1257">
        <v>1255</v>
      </c>
      <c r="B1257" t="s">
        <v>1710</v>
      </c>
      <c r="C1257" t="s">
        <v>168</v>
      </c>
      <c r="D1257">
        <v>0.99976977596398398</v>
      </c>
    </row>
    <row r="1258" spans="1:4" hidden="1" x14ac:dyDescent="0.3">
      <c r="A1258">
        <v>1256</v>
      </c>
      <c r="B1258" t="s">
        <v>1711</v>
      </c>
      <c r="C1258" t="s">
        <v>170</v>
      </c>
      <c r="D1258">
        <v>0.99962915411092801</v>
      </c>
    </row>
    <row r="1259" spans="1:4" hidden="1" x14ac:dyDescent="0.3">
      <c r="A1259">
        <v>1257</v>
      </c>
      <c r="B1259" s="1" t="s">
        <v>1712</v>
      </c>
      <c r="C1259" t="s">
        <v>172</v>
      </c>
      <c r="D1259" s="1" t="s">
        <v>1713</v>
      </c>
    </row>
    <row r="1260" spans="1:4" hidden="1" x14ac:dyDescent="0.3">
      <c r="A1260">
        <v>1258</v>
      </c>
      <c r="B1260" s="1" t="s">
        <v>1714</v>
      </c>
      <c r="C1260" t="s">
        <v>55</v>
      </c>
      <c r="D1260" s="1" t="s">
        <v>1715</v>
      </c>
    </row>
    <row r="1261" spans="1:4" hidden="1" x14ac:dyDescent="0.3">
      <c r="A1261">
        <v>1259</v>
      </c>
      <c r="B1261" s="1" t="s">
        <v>1716</v>
      </c>
      <c r="C1261" t="s">
        <v>52</v>
      </c>
      <c r="D1261" s="1" t="s">
        <v>1717</v>
      </c>
    </row>
    <row r="1262" spans="1:4" hidden="1" x14ac:dyDescent="0.3">
      <c r="A1262">
        <v>1260</v>
      </c>
      <c r="B1262" s="1" t="s">
        <v>1718</v>
      </c>
      <c r="C1262" t="s">
        <v>58</v>
      </c>
      <c r="D1262" s="1" t="s">
        <v>1719</v>
      </c>
    </row>
    <row r="1263" spans="1:4" hidden="1" x14ac:dyDescent="0.3">
      <c r="A1263">
        <v>1261</v>
      </c>
      <c r="B1263" t="s">
        <v>1720</v>
      </c>
      <c r="C1263" t="s">
        <v>61</v>
      </c>
      <c r="D1263">
        <v>150744319.04655799</v>
      </c>
    </row>
    <row r="1264" spans="1:4" hidden="1" x14ac:dyDescent="0.3">
      <c r="A1264">
        <v>1262</v>
      </c>
      <c r="B1264" t="s">
        <v>1721</v>
      </c>
      <c r="C1264" t="s">
        <v>63</v>
      </c>
      <c r="D1264">
        <v>81781028.352122501</v>
      </c>
    </row>
    <row r="1265" spans="1:4" hidden="1" x14ac:dyDescent="0.3">
      <c r="A1265">
        <v>1263</v>
      </c>
      <c r="B1265" t="s">
        <v>1722</v>
      </c>
      <c r="C1265" t="s">
        <v>65</v>
      </c>
      <c r="D1265">
        <v>39565878.118264198</v>
      </c>
    </row>
    <row r="1266" spans="1:4" hidden="1" x14ac:dyDescent="0.3">
      <c r="A1266">
        <v>1264</v>
      </c>
      <c r="B1266" s="1" t="s">
        <v>1723</v>
      </c>
      <c r="C1266" t="s">
        <v>67</v>
      </c>
      <c r="D1266" s="1" t="s">
        <v>1724</v>
      </c>
    </row>
    <row r="1267" spans="1:4" hidden="1" x14ac:dyDescent="0.3">
      <c r="A1267">
        <v>1265</v>
      </c>
      <c r="B1267" s="1" t="s">
        <v>1725</v>
      </c>
      <c r="C1267" t="s">
        <v>70</v>
      </c>
      <c r="D1267" s="1" t="s">
        <v>1726</v>
      </c>
    </row>
    <row r="1268" spans="1:4" hidden="1" x14ac:dyDescent="0.3">
      <c r="A1268">
        <v>1266</v>
      </c>
      <c r="B1268" t="s">
        <v>1727</v>
      </c>
      <c r="C1268" t="s">
        <v>73</v>
      </c>
      <c r="D1268">
        <v>1.0000302245873001</v>
      </c>
    </row>
    <row r="1269" spans="1:4" hidden="1" x14ac:dyDescent="0.3">
      <c r="A1269">
        <v>1267</v>
      </c>
      <c r="B1269" t="s">
        <v>74</v>
      </c>
      <c r="C1269" t="s">
        <v>75</v>
      </c>
      <c r="D1269">
        <v>2.7397260273972599E-3</v>
      </c>
    </row>
    <row r="1270" spans="1:4" hidden="1" x14ac:dyDescent="0.3">
      <c r="A1270">
        <v>1268</v>
      </c>
      <c r="B1270" t="s">
        <v>76</v>
      </c>
      <c r="C1270" t="s">
        <v>77</v>
      </c>
      <c r="D1270">
        <v>0</v>
      </c>
    </row>
    <row r="1271" spans="1:4" hidden="1" x14ac:dyDescent="0.3">
      <c r="A1271">
        <v>1269</v>
      </c>
      <c r="B1271" t="s">
        <v>78</v>
      </c>
      <c r="C1271" t="s">
        <v>79</v>
      </c>
      <c r="D1271">
        <v>0</v>
      </c>
    </row>
    <row r="1272" spans="1:4" hidden="1" x14ac:dyDescent="0.3">
      <c r="A1272">
        <v>1270</v>
      </c>
      <c r="B1272" s="1" t="s">
        <v>1728</v>
      </c>
      <c r="C1272" t="s">
        <v>81</v>
      </c>
      <c r="D1272" s="1" t="s">
        <v>1729</v>
      </c>
    </row>
    <row r="1273" spans="1:4" hidden="1" x14ac:dyDescent="0.3">
      <c r="A1273">
        <v>1271</v>
      </c>
      <c r="B1273" t="s">
        <v>1730</v>
      </c>
      <c r="C1273" t="s">
        <v>84</v>
      </c>
      <c r="D1273">
        <v>1.0000236129047799</v>
      </c>
    </row>
    <row r="1274" spans="1:4" hidden="1" x14ac:dyDescent="0.3">
      <c r="A1274">
        <v>1272</v>
      </c>
      <c r="B1274" s="1" t="s">
        <v>1731</v>
      </c>
      <c r="C1274" t="s">
        <v>86</v>
      </c>
      <c r="D1274" s="1" t="s">
        <v>1732</v>
      </c>
    </row>
    <row r="1275" spans="1:4" hidden="1" x14ac:dyDescent="0.3">
      <c r="A1275">
        <v>1273</v>
      </c>
      <c r="B1275" t="s">
        <v>1733</v>
      </c>
      <c r="C1275" t="s">
        <v>89</v>
      </c>
      <c r="D1275">
        <v>101187390.15524399</v>
      </c>
    </row>
    <row r="1276" spans="1:4" hidden="1" x14ac:dyDescent="0.3">
      <c r="A1276">
        <v>1274</v>
      </c>
      <c r="B1276" s="1" t="s">
        <v>1734</v>
      </c>
      <c r="C1276" t="s">
        <v>91</v>
      </c>
      <c r="D1276" s="1" t="s">
        <v>1670</v>
      </c>
    </row>
    <row r="1277" spans="1:4" hidden="1" x14ac:dyDescent="0.3">
      <c r="A1277">
        <v>1275</v>
      </c>
      <c r="B1277" t="s">
        <v>1735</v>
      </c>
      <c r="C1277" t="s">
        <v>94</v>
      </c>
      <c r="D1277">
        <v>81781028.352122501</v>
      </c>
    </row>
    <row r="1278" spans="1:4" hidden="1" x14ac:dyDescent="0.3">
      <c r="A1278">
        <v>1276</v>
      </c>
      <c r="B1278" t="s">
        <v>1736</v>
      </c>
      <c r="C1278" t="s">
        <v>96</v>
      </c>
      <c r="D1278">
        <v>39565878.118264198</v>
      </c>
    </row>
    <row r="1279" spans="1:4" hidden="1" x14ac:dyDescent="0.3">
      <c r="A1279">
        <v>1277</v>
      </c>
      <c r="B1279" t="s">
        <v>1737</v>
      </c>
      <c r="C1279" t="s">
        <v>98</v>
      </c>
      <c r="D1279">
        <v>29397412.576171499</v>
      </c>
    </row>
    <row r="1280" spans="1:4" hidden="1" x14ac:dyDescent="0.3">
      <c r="A1280">
        <v>1278</v>
      </c>
      <c r="B1280" s="1" t="s">
        <v>1738</v>
      </c>
      <c r="C1280" t="s">
        <v>100</v>
      </c>
      <c r="D1280" s="1" t="s">
        <v>1739</v>
      </c>
    </row>
    <row r="1281" spans="1:4" hidden="1" x14ac:dyDescent="0.3">
      <c r="A1281">
        <v>1279</v>
      </c>
      <c r="B1281" t="s">
        <v>1740</v>
      </c>
      <c r="C1281" t="s">
        <v>103</v>
      </c>
      <c r="D1281">
        <v>9.3074250554045796E-3</v>
      </c>
    </row>
    <row r="1282" spans="1:4" hidden="1" x14ac:dyDescent="0.3">
      <c r="A1282">
        <v>1280</v>
      </c>
      <c r="B1282" t="s">
        <v>1741</v>
      </c>
      <c r="C1282" t="s">
        <v>105</v>
      </c>
      <c r="D1282">
        <v>1.73453632859672E-3</v>
      </c>
    </row>
    <row r="1283" spans="1:4" hidden="1" x14ac:dyDescent="0.3">
      <c r="A1283">
        <v>1281</v>
      </c>
      <c r="B1283" t="s">
        <v>1742</v>
      </c>
      <c r="C1283" t="s">
        <v>107</v>
      </c>
      <c r="D1283">
        <v>1.05848206338565E-2</v>
      </c>
    </row>
    <row r="1284" spans="1:4" hidden="1" x14ac:dyDescent="0.3">
      <c r="A1284">
        <v>1282</v>
      </c>
      <c r="B1284" s="1" t="s">
        <v>1743</v>
      </c>
      <c r="C1284" t="s">
        <v>109</v>
      </c>
      <c r="D1284" s="1" t="s">
        <v>1744</v>
      </c>
    </row>
    <row r="1285" spans="1:4" x14ac:dyDescent="0.3">
      <c r="A1285">
        <v>1283</v>
      </c>
      <c r="B1285" t="s">
        <v>1745</v>
      </c>
      <c r="C1285" t="s">
        <v>207</v>
      </c>
      <c r="D1285">
        <v>150744086.833774</v>
      </c>
    </row>
    <row r="1286" spans="1:4" hidden="1" x14ac:dyDescent="0.3">
      <c r="A1286">
        <v>1284</v>
      </c>
      <c r="B1286" t="s">
        <v>1746</v>
      </c>
      <c r="C1286" t="s">
        <v>209</v>
      </c>
      <c r="D1286">
        <v>540.69265355547395</v>
      </c>
    </row>
    <row r="1287" spans="1:4" hidden="1" x14ac:dyDescent="0.3">
      <c r="A1287">
        <v>1285</v>
      </c>
      <c r="B1287" t="s">
        <v>1747</v>
      </c>
      <c r="C1287" t="s">
        <v>211</v>
      </c>
      <c r="D1287">
        <v>261.58890507296098</v>
      </c>
    </row>
    <row r="1288" spans="1:4" hidden="1" x14ac:dyDescent="0.3">
      <c r="A1288">
        <v>1286</v>
      </c>
      <c r="B1288" s="1" t="s">
        <v>1748</v>
      </c>
      <c r="C1288" t="s">
        <v>213</v>
      </c>
      <c r="D1288" s="1" t="s">
        <v>1749</v>
      </c>
    </row>
    <row r="1289" spans="1:4" hidden="1" x14ac:dyDescent="0.3">
      <c r="A1289">
        <v>1287</v>
      </c>
      <c r="B1289" t="s">
        <v>1750</v>
      </c>
      <c r="C1289" t="s">
        <v>216</v>
      </c>
      <c r="D1289">
        <v>81780306.183132499</v>
      </c>
    </row>
    <row r="1290" spans="1:4" hidden="1" x14ac:dyDescent="0.3">
      <c r="A1290">
        <v>1288</v>
      </c>
      <c r="B1290" t="s">
        <v>1751</v>
      </c>
      <c r="C1290" t="s">
        <v>218</v>
      </c>
      <c r="D1290">
        <v>39565584.2747311</v>
      </c>
    </row>
    <row r="1291" spans="1:4" hidden="1" x14ac:dyDescent="0.3">
      <c r="A1291">
        <v>1289</v>
      </c>
      <c r="B1291" t="s">
        <v>1752</v>
      </c>
      <c r="C1291" t="s">
        <v>220</v>
      </c>
      <c r="D1291">
        <v>29397199.733990099</v>
      </c>
    </row>
    <row r="1292" spans="1:4" hidden="1" x14ac:dyDescent="0.3">
      <c r="A1292">
        <v>1290</v>
      </c>
      <c r="B1292" s="1" t="s">
        <v>1753</v>
      </c>
      <c r="C1292" t="s">
        <v>222</v>
      </c>
      <c r="D1292" s="1" t="s">
        <v>1754</v>
      </c>
    </row>
    <row r="1293" spans="1:4" hidden="1" x14ac:dyDescent="0.3">
      <c r="A1293">
        <v>1291</v>
      </c>
      <c r="B1293" t="s">
        <v>1755</v>
      </c>
      <c r="C1293" t="s">
        <v>225</v>
      </c>
      <c r="D1293">
        <v>101186721.15656599</v>
      </c>
    </row>
    <row r="1294" spans="1:4" hidden="1" x14ac:dyDescent="0.3">
      <c r="A1294">
        <v>1292</v>
      </c>
      <c r="B1294" t="s">
        <v>1756</v>
      </c>
      <c r="C1294" t="s">
        <v>227</v>
      </c>
      <c r="D1294">
        <v>668.99867853522301</v>
      </c>
    </row>
    <row r="1295" spans="1:4" hidden="1" x14ac:dyDescent="0.3">
      <c r="A1295">
        <v>1293</v>
      </c>
      <c r="B1295" s="1" t="s">
        <v>1757</v>
      </c>
      <c r="C1295" t="s">
        <v>229</v>
      </c>
      <c r="D1295" s="1" t="s">
        <v>1758</v>
      </c>
    </row>
    <row r="1296" spans="1:4" hidden="1" x14ac:dyDescent="0.3">
      <c r="A1296">
        <v>1294</v>
      </c>
      <c r="B1296" t="s">
        <v>1759</v>
      </c>
      <c r="C1296" t="s">
        <v>112</v>
      </c>
      <c r="D1296">
        <v>-181.47633646389301</v>
      </c>
    </row>
    <row r="1297" spans="1:4" hidden="1" x14ac:dyDescent="0.3">
      <c r="A1297">
        <v>1295</v>
      </c>
      <c r="B1297" t="s">
        <v>1760</v>
      </c>
      <c r="C1297" t="s">
        <v>114</v>
      </c>
      <c r="D1297">
        <v>-32.254627998508703</v>
      </c>
    </row>
    <row r="1298" spans="1:4" hidden="1" x14ac:dyDescent="0.3">
      <c r="A1298">
        <v>1296</v>
      </c>
      <c r="B1298" s="1" t="s">
        <v>1761</v>
      </c>
      <c r="C1298" t="s">
        <v>116</v>
      </c>
      <c r="D1298" s="1" t="s">
        <v>1762</v>
      </c>
    </row>
    <row r="1299" spans="1:4" hidden="1" x14ac:dyDescent="0.3">
      <c r="A1299">
        <v>1297</v>
      </c>
      <c r="B1299" t="s">
        <v>1763</v>
      </c>
      <c r="C1299" t="s">
        <v>119</v>
      </c>
      <c r="D1299">
        <v>81780306.183132499</v>
      </c>
    </row>
    <row r="1300" spans="1:4" hidden="1" x14ac:dyDescent="0.3">
      <c r="A1300">
        <v>1298</v>
      </c>
      <c r="B1300" t="s">
        <v>1764</v>
      </c>
      <c r="C1300" t="s">
        <v>121</v>
      </c>
      <c r="D1300">
        <v>39565584.2747311</v>
      </c>
    </row>
    <row r="1301" spans="1:4" hidden="1" x14ac:dyDescent="0.3">
      <c r="A1301">
        <v>1299</v>
      </c>
      <c r="B1301" s="1" t="s">
        <v>1765</v>
      </c>
      <c r="C1301" t="s">
        <v>123</v>
      </c>
      <c r="D1301" s="1" t="s">
        <v>1766</v>
      </c>
    </row>
    <row r="1302" spans="1:4" hidden="1" x14ac:dyDescent="0.3">
      <c r="A1302">
        <v>1300</v>
      </c>
      <c r="B1302" t="s">
        <v>1767</v>
      </c>
      <c r="C1302" t="s">
        <v>126</v>
      </c>
      <c r="D1302">
        <v>0.80819275714657401</v>
      </c>
    </row>
    <row r="1303" spans="1:4" hidden="1" x14ac:dyDescent="0.3">
      <c r="A1303">
        <v>1301</v>
      </c>
      <c r="B1303" t="s">
        <v>1768</v>
      </c>
      <c r="C1303" t="s">
        <v>128</v>
      </c>
      <c r="D1303">
        <v>0.39100634536026502</v>
      </c>
    </row>
    <row r="1304" spans="1:4" hidden="1" x14ac:dyDescent="0.3">
      <c r="A1304">
        <v>1302</v>
      </c>
      <c r="B1304" s="1" t="s">
        <v>1769</v>
      </c>
      <c r="C1304" t="s">
        <v>130</v>
      </c>
      <c r="D1304" s="1" t="s">
        <v>1770</v>
      </c>
    </row>
    <row r="1305" spans="1:4" hidden="1" x14ac:dyDescent="0.3">
      <c r="A1305">
        <v>1303</v>
      </c>
      <c r="B1305" s="1" t="s">
        <v>1771</v>
      </c>
      <c r="C1305" t="s">
        <v>4</v>
      </c>
      <c r="D1305" t="s">
        <v>1772</v>
      </c>
    </row>
    <row r="1306" spans="1:4" hidden="1" x14ac:dyDescent="0.3">
      <c r="A1306">
        <v>1304</v>
      </c>
      <c r="B1306" t="s">
        <v>1773</v>
      </c>
      <c r="C1306" t="s">
        <v>7</v>
      </c>
      <c r="D1306">
        <v>1892.89</v>
      </c>
    </row>
    <row r="1307" spans="1:4" hidden="1" x14ac:dyDescent="0.3">
      <c r="A1307">
        <v>1305</v>
      </c>
      <c r="B1307" s="1" t="s">
        <v>1774</v>
      </c>
      <c r="C1307" t="s">
        <v>9</v>
      </c>
      <c r="D1307" s="1" t="s">
        <v>1775</v>
      </c>
    </row>
    <row r="1308" spans="1:4" hidden="1" x14ac:dyDescent="0.3">
      <c r="A1308">
        <v>1306</v>
      </c>
      <c r="B1308" t="s">
        <v>1776</v>
      </c>
      <c r="C1308" t="s">
        <v>14</v>
      </c>
      <c r="D1308">
        <v>98.59375</v>
      </c>
    </row>
    <row r="1309" spans="1:4" hidden="1" x14ac:dyDescent="0.3">
      <c r="A1309">
        <v>1307</v>
      </c>
      <c r="B1309" t="s">
        <v>1777</v>
      </c>
      <c r="C1309" t="s">
        <v>16</v>
      </c>
      <c r="D1309">
        <v>4.3784126844892697</v>
      </c>
    </row>
    <row r="1310" spans="1:4" hidden="1" x14ac:dyDescent="0.3">
      <c r="A1310">
        <v>1308</v>
      </c>
      <c r="B1310" s="1" t="s">
        <v>1778</v>
      </c>
      <c r="C1310" t="s">
        <v>140</v>
      </c>
      <c r="D1310" s="1" t="s">
        <v>1779</v>
      </c>
    </row>
    <row r="1311" spans="1:4" hidden="1" x14ac:dyDescent="0.3">
      <c r="A1311">
        <v>1309</v>
      </c>
      <c r="B1311" t="s">
        <v>1780</v>
      </c>
      <c r="C1311" t="s">
        <v>22</v>
      </c>
      <c r="D1311">
        <v>75.75</v>
      </c>
    </row>
    <row r="1312" spans="1:4" hidden="1" x14ac:dyDescent="0.3">
      <c r="A1312">
        <v>1310</v>
      </c>
      <c r="B1312" t="s">
        <v>1781</v>
      </c>
      <c r="C1312" t="s">
        <v>24</v>
      </c>
      <c r="D1312">
        <v>6.2239831331654303</v>
      </c>
    </row>
    <row r="1313" spans="1:4" hidden="1" x14ac:dyDescent="0.3">
      <c r="A1313">
        <v>1311</v>
      </c>
      <c r="B1313" s="1" t="s">
        <v>1782</v>
      </c>
      <c r="C1313" t="s">
        <v>145</v>
      </c>
      <c r="D1313" s="1" t="s">
        <v>1783</v>
      </c>
    </row>
    <row r="1314" spans="1:4" hidden="1" x14ac:dyDescent="0.3">
      <c r="A1314">
        <v>1312</v>
      </c>
      <c r="B1314" t="s">
        <v>1784</v>
      </c>
      <c r="C1314" t="s">
        <v>35</v>
      </c>
      <c r="D1314">
        <v>-0.393223897244868</v>
      </c>
    </row>
    <row r="1315" spans="1:4" hidden="1" x14ac:dyDescent="0.3">
      <c r="A1315">
        <v>1313</v>
      </c>
      <c r="B1315" t="s">
        <v>1785</v>
      </c>
      <c r="C1315" t="s">
        <v>149</v>
      </c>
      <c r="D1315">
        <v>0.70520864555245599</v>
      </c>
    </row>
    <row r="1316" spans="1:4" hidden="1" x14ac:dyDescent="0.3">
      <c r="A1316">
        <v>1314</v>
      </c>
      <c r="B1316" s="1" t="s">
        <v>1786</v>
      </c>
      <c r="C1316" t="s">
        <v>151</v>
      </c>
      <c r="D1316" s="1" t="s">
        <v>1787</v>
      </c>
    </row>
    <row r="1317" spans="1:4" hidden="1" x14ac:dyDescent="0.3">
      <c r="A1317">
        <v>1315</v>
      </c>
      <c r="B1317" t="s">
        <v>1788</v>
      </c>
      <c r="C1317" t="s">
        <v>30</v>
      </c>
      <c r="D1317">
        <v>0.55181961602658403</v>
      </c>
    </row>
    <row r="1318" spans="1:4" hidden="1" x14ac:dyDescent="0.3">
      <c r="A1318">
        <v>1316</v>
      </c>
      <c r="B1318" t="s">
        <v>1789</v>
      </c>
      <c r="C1318" t="s">
        <v>32</v>
      </c>
      <c r="D1318">
        <v>0.21067439069183799</v>
      </c>
    </row>
    <row r="1319" spans="1:4" hidden="1" x14ac:dyDescent="0.3">
      <c r="A1319">
        <v>1317</v>
      </c>
      <c r="B1319" s="1" t="s">
        <v>1790</v>
      </c>
      <c r="C1319" t="s">
        <v>155</v>
      </c>
      <c r="D1319" s="1" t="s">
        <v>1791</v>
      </c>
    </row>
    <row r="1320" spans="1:4" hidden="1" x14ac:dyDescent="0.3">
      <c r="A1320">
        <v>1318</v>
      </c>
      <c r="B1320" t="s">
        <v>1792</v>
      </c>
      <c r="C1320" t="s">
        <v>40</v>
      </c>
      <c r="D1320">
        <v>0.84140428121828303</v>
      </c>
    </row>
    <row r="1321" spans="1:4" hidden="1" x14ac:dyDescent="0.3">
      <c r="A1321">
        <v>1319</v>
      </c>
      <c r="B1321" t="s">
        <v>1793</v>
      </c>
      <c r="C1321" t="s">
        <v>42</v>
      </c>
      <c r="D1321">
        <v>0.207345660971887</v>
      </c>
    </row>
    <row r="1322" spans="1:4" hidden="1" x14ac:dyDescent="0.3">
      <c r="A1322">
        <v>1320</v>
      </c>
      <c r="B1322" s="1" t="s">
        <v>1794</v>
      </c>
      <c r="C1322" t="s">
        <v>159</v>
      </c>
      <c r="D1322" s="1" t="s">
        <v>1795</v>
      </c>
    </row>
    <row r="1323" spans="1:4" hidden="1" x14ac:dyDescent="0.3">
      <c r="A1323">
        <v>1321</v>
      </c>
      <c r="B1323" t="s">
        <v>1796</v>
      </c>
      <c r="C1323" t="s">
        <v>161</v>
      </c>
      <c r="D1323">
        <v>0.99667230058813905</v>
      </c>
    </row>
    <row r="1324" spans="1:4" hidden="1" x14ac:dyDescent="0.3">
      <c r="A1324">
        <v>1322</v>
      </c>
      <c r="B1324" t="s">
        <v>1797</v>
      </c>
      <c r="C1324" t="s">
        <v>163</v>
      </c>
      <c r="D1324">
        <v>1.00071336550896</v>
      </c>
    </row>
    <row r="1325" spans="1:4" hidden="1" x14ac:dyDescent="0.3">
      <c r="A1325">
        <v>1323</v>
      </c>
      <c r="B1325" s="1" t="s">
        <v>1798</v>
      </c>
      <c r="C1325" t="s">
        <v>165</v>
      </c>
      <c r="D1325" s="1" t="s">
        <v>1799</v>
      </c>
    </row>
    <row r="1326" spans="1:4" hidden="1" x14ac:dyDescent="0.3">
      <c r="A1326">
        <v>1324</v>
      </c>
      <c r="B1326" t="s">
        <v>1800</v>
      </c>
      <c r="C1326" t="s">
        <v>168</v>
      </c>
      <c r="D1326">
        <v>0.99973988355898202</v>
      </c>
    </row>
    <row r="1327" spans="1:4" hidden="1" x14ac:dyDescent="0.3">
      <c r="A1327">
        <v>1325</v>
      </c>
      <c r="B1327" t="s">
        <v>1801</v>
      </c>
      <c r="C1327" t="s">
        <v>170</v>
      </c>
      <c r="D1327">
        <v>0.99904234431505601</v>
      </c>
    </row>
    <row r="1328" spans="1:4" hidden="1" x14ac:dyDescent="0.3">
      <c r="A1328">
        <v>1326</v>
      </c>
      <c r="B1328" s="1" t="s">
        <v>1802</v>
      </c>
      <c r="C1328" t="s">
        <v>172</v>
      </c>
      <c r="D1328" s="1" t="s">
        <v>1803</v>
      </c>
    </row>
    <row r="1329" spans="1:4" hidden="1" x14ac:dyDescent="0.3">
      <c r="A1329">
        <v>1327</v>
      </c>
      <c r="B1329" s="1" t="s">
        <v>1804</v>
      </c>
      <c r="C1329" t="s">
        <v>55</v>
      </c>
      <c r="D1329" s="1" t="s">
        <v>1805</v>
      </c>
    </row>
    <row r="1330" spans="1:4" hidden="1" x14ac:dyDescent="0.3">
      <c r="A1330">
        <v>1328</v>
      </c>
      <c r="B1330" s="1" t="s">
        <v>1806</v>
      </c>
      <c r="C1330" t="s">
        <v>52</v>
      </c>
      <c r="D1330" s="1" t="s">
        <v>1807</v>
      </c>
    </row>
    <row r="1331" spans="1:4" hidden="1" x14ac:dyDescent="0.3">
      <c r="A1331">
        <v>1329</v>
      </c>
      <c r="B1331" s="1" t="s">
        <v>1808</v>
      </c>
      <c r="C1331" t="s">
        <v>58</v>
      </c>
      <c r="D1331" s="1" t="s">
        <v>1809</v>
      </c>
    </row>
    <row r="1332" spans="1:4" hidden="1" x14ac:dyDescent="0.3">
      <c r="A1332">
        <v>1330</v>
      </c>
      <c r="B1332" t="s">
        <v>1810</v>
      </c>
      <c r="C1332" t="s">
        <v>61</v>
      </c>
      <c r="D1332">
        <v>151002326.83984599</v>
      </c>
    </row>
    <row r="1333" spans="1:4" hidden="1" x14ac:dyDescent="0.3">
      <c r="A1333">
        <v>1331</v>
      </c>
      <c r="B1333" t="s">
        <v>1811</v>
      </c>
      <c r="C1333" t="s">
        <v>63</v>
      </c>
      <c r="D1333">
        <v>81508165.906345099</v>
      </c>
    </row>
    <row r="1334" spans="1:4" hidden="1" x14ac:dyDescent="0.3">
      <c r="A1334">
        <v>1332</v>
      </c>
      <c r="B1334" t="s">
        <v>1812</v>
      </c>
      <c r="C1334" t="s">
        <v>65</v>
      </c>
      <c r="D1334">
        <v>39593808.997894697</v>
      </c>
    </row>
    <row r="1335" spans="1:4" hidden="1" x14ac:dyDescent="0.3">
      <c r="A1335">
        <v>1333</v>
      </c>
      <c r="B1335" s="1" t="s">
        <v>1813</v>
      </c>
      <c r="C1335" t="s">
        <v>67</v>
      </c>
      <c r="D1335" s="1" t="s">
        <v>1814</v>
      </c>
    </row>
    <row r="1336" spans="1:4" hidden="1" x14ac:dyDescent="0.3">
      <c r="A1336">
        <v>1334</v>
      </c>
      <c r="B1336" s="1" t="s">
        <v>1815</v>
      </c>
      <c r="C1336" t="s">
        <v>70</v>
      </c>
      <c r="D1336" s="1" t="s">
        <v>1816</v>
      </c>
    </row>
    <row r="1337" spans="1:4" hidden="1" x14ac:dyDescent="0.3">
      <c r="A1337">
        <v>1335</v>
      </c>
      <c r="B1337" t="s">
        <v>1817</v>
      </c>
      <c r="C1337" t="s">
        <v>73</v>
      </c>
      <c r="D1337">
        <v>1.0000236129047799</v>
      </c>
    </row>
    <row r="1338" spans="1:4" hidden="1" x14ac:dyDescent="0.3">
      <c r="A1338">
        <v>1336</v>
      </c>
      <c r="B1338" t="s">
        <v>74</v>
      </c>
      <c r="C1338" t="s">
        <v>75</v>
      </c>
      <c r="D1338">
        <v>2.7397260273972599E-3</v>
      </c>
    </row>
    <row r="1339" spans="1:4" hidden="1" x14ac:dyDescent="0.3">
      <c r="A1339">
        <v>1337</v>
      </c>
      <c r="B1339" t="s">
        <v>76</v>
      </c>
      <c r="C1339" t="s">
        <v>77</v>
      </c>
      <c r="D1339">
        <v>0</v>
      </c>
    </row>
    <row r="1340" spans="1:4" hidden="1" x14ac:dyDescent="0.3">
      <c r="A1340">
        <v>1338</v>
      </c>
      <c r="B1340" t="s">
        <v>78</v>
      </c>
      <c r="C1340" t="s">
        <v>79</v>
      </c>
      <c r="D1340">
        <v>0</v>
      </c>
    </row>
    <row r="1341" spans="1:4" hidden="1" x14ac:dyDescent="0.3">
      <c r="A1341">
        <v>1339</v>
      </c>
      <c r="B1341" s="1" t="s">
        <v>1818</v>
      </c>
      <c r="C1341" t="s">
        <v>81</v>
      </c>
      <c r="D1341" s="1" t="s">
        <v>1819</v>
      </c>
    </row>
    <row r="1342" spans="1:4" hidden="1" x14ac:dyDescent="0.3">
      <c r="A1342">
        <v>1340</v>
      </c>
      <c r="B1342" t="s">
        <v>1820</v>
      </c>
      <c r="C1342" t="s">
        <v>84</v>
      </c>
      <c r="D1342">
        <v>1.00001564512602</v>
      </c>
    </row>
    <row r="1343" spans="1:4" hidden="1" x14ac:dyDescent="0.3">
      <c r="A1343">
        <v>1341</v>
      </c>
      <c r="B1343" s="1" t="s">
        <v>1821</v>
      </c>
      <c r="C1343" t="s">
        <v>86</v>
      </c>
      <c r="D1343" s="1" t="s">
        <v>1822</v>
      </c>
    </row>
    <row r="1344" spans="1:4" hidden="1" x14ac:dyDescent="0.3">
      <c r="A1344">
        <v>1342</v>
      </c>
      <c r="B1344" t="s">
        <v>1823</v>
      </c>
      <c r="C1344" t="s">
        <v>89</v>
      </c>
      <c r="D1344">
        <v>101188196.381368</v>
      </c>
    </row>
    <row r="1345" spans="1:4" hidden="1" x14ac:dyDescent="0.3">
      <c r="A1345">
        <v>1343</v>
      </c>
      <c r="B1345" s="1" t="s">
        <v>1824</v>
      </c>
      <c r="C1345" t="s">
        <v>91</v>
      </c>
      <c r="D1345" s="1" t="s">
        <v>1758</v>
      </c>
    </row>
    <row r="1346" spans="1:4" hidden="1" x14ac:dyDescent="0.3">
      <c r="A1346">
        <v>1344</v>
      </c>
      <c r="B1346" t="s">
        <v>1825</v>
      </c>
      <c r="C1346" t="s">
        <v>94</v>
      </c>
      <c r="D1346">
        <v>81508165.906345099</v>
      </c>
    </row>
    <row r="1347" spans="1:4" hidden="1" x14ac:dyDescent="0.3">
      <c r="A1347">
        <v>1345</v>
      </c>
      <c r="B1347" t="s">
        <v>1826</v>
      </c>
      <c r="C1347" t="s">
        <v>96</v>
      </c>
      <c r="D1347">
        <v>39593808.997894697</v>
      </c>
    </row>
    <row r="1348" spans="1:4" hidden="1" x14ac:dyDescent="0.3">
      <c r="A1348">
        <v>1346</v>
      </c>
      <c r="B1348" t="s">
        <v>1827</v>
      </c>
      <c r="C1348" t="s">
        <v>98</v>
      </c>
      <c r="D1348">
        <v>29900351.935606401</v>
      </c>
    </row>
    <row r="1349" spans="1:4" hidden="1" x14ac:dyDescent="0.3">
      <c r="A1349">
        <v>1347</v>
      </c>
      <c r="B1349" s="1" t="s">
        <v>1828</v>
      </c>
      <c r="C1349" t="s">
        <v>100</v>
      </c>
      <c r="D1349" s="1" t="s">
        <v>1829</v>
      </c>
    </row>
    <row r="1350" spans="1:4" hidden="1" x14ac:dyDescent="0.3">
      <c r="A1350">
        <v>1348</v>
      </c>
      <c r="B1350" t="s">
        <v>1830</v>
      </c>
      <c r="C1350" t="s">
        <v>103</v>
      </c>
      <c r="D1350">
        <v>9.31356803238652E-3</v>
      </c>
    </row>
    <row r="1351" spans="1:4" hidden="1" x14ac:dyDescent="0.3">
      <c r="A1351">
        <v>1349</v>
      </c>
      <c r="B1351" t="s">
        <v>1831</v>
      </c>
      <c r="C1351" t="s">
        <v>105</v>
      </c>
      <c r="D1351">
        <v>1.7296617756553099E-3</v>
      </c>
    </row>
    <row r="1352" spans="1:4" hidden="1" x14ac:dyDescent="0.3">
      <c r="A1352">
        <v>1350</v>
      </c>
      <c r="B1352" t="s">
        <v>1832</v>
      </c>
      <c r="C1352" t="s">
        <v>107</v>
      </c>
      <c r="D1352">
        <v>1.0585498435466099E-2</v>
      </c>
    </row>
    <row r="1353" spans="1:4" hidden="1" x14ac:dyDescent="0.3">
      <c r="A1353">
        <v>1351</v>
      </c>
      <c r="B1353" s="1" t="s">
        <v>1833</v>
      </c>
      <c r="C1353" t="s">
        <v>109</v>
      </c>
      <c r="D1353" s="1" t="s">
        <v>1834</v>
      </c>
    </row>
    <row r="1354" spans="1:4" x14ac:dyDescent="0.3">
      <c r="A1354">
        <v>1352</v>
      </c>
      <c r="B1354" t="s">
        <v>1835</v>
      </c>
      <c r="C1354" t="s">
        <v>207</v>
      </c>
      <c r="D1354">
        <v>151002047.17163101</v>
      </c>
    </row>
    <row r="1355" spans="1:4" hidden="1" x14ac:dyDescent="0.3">
      <c r="A1355">
        <v>1353</v>
      </c>
      <c r="B1355" t="s">
        <v>1836</v>
      </c>
      <c r="C1355" t="s">
        <v>209</v>
      </c>
      <c r="D1355">
        <v>649.42214717940396</v>
      </c>
    </row>
    <row r="1356" spans="1:4" hidden="1" x14ac:dyDescent="0.3">
      <c r="A1356">
        <v>1354</v>
      </c>
      <c r="B1356" t="s">
        <v>1837</v>
      </c>
      <c r="C1356" t="s">
        <v>211</v>
      </c>
      <c r="D1356">
        <v>315.46683568204099</v>
      </c>
    </row>
    <row r="1357" spans="1:4" hidden="1" x14ac:dyDescent="0.3">
      <c r="A1357">
        <v>1355</v>
      </c>
      <c r="B1357" s="1" t="s">
        <v>1838</v>
      </c>
      <c r="C1357" t="s">
        <v>213</v>
      </c>
      <c r="D1357" s="1" t="s">
        <v>1839</v>
      </c>
    </row>
    <row r="1358" spans="1:4" hidden="1" x14ac:dyDescent="0.3">
      <c r="A1358">
        <v>1356</v>
      </c>
      <c r="B1358" t="s">
        <v>1840</v>
      </c>
      <c r="C1358" t="s">
        <v>216</v>
      </c>
      <c r="D1358">
        <v>81507321.831114903</v>
      </c>
    </row>
    <row r="1359" spans="1:4" hidden="1" x14ac:dyDescent="0.3">
      <c r="A1359">
        <v>1357</v>
      </c>
      <c r="B1359" t="s">
        <v>1841</v>
      </c>
      <c r="C1359" t="s">
        <v>218</v>
      </c>
      <c r="D1359">
        <v>39593440.129285201</v>
      </c>
    </row>
    <row r="1360" spans="1:4" hidden="1" x14ac:dyDescent="0.3">
      <c r="A1360">
        <v>1358</v>
      </c>
      <c r="B1360" t="s">
        <v>1842</v>
      </c>
      <c r="C1360" t="s">
        <v>220</v>
      </c>
      <c r="D1360">
        <v>29900082.088736799</v>
      </c>
    </row>
    <row r="1361" spans="1:4" hidden="1" x14ac:dyDescent="0.3">
      <c r="A1361">
        <v>1359</v>
      </c>
      <c r="B1361" s="1" t="s">
        <v>1843</v>
      </c>
      <c r="C1361" t="s">
        <v>222</v>
      </c>
      <c r="D1361" s="1" t="s">
        <v>1844</v>
      </c>
    </row>
    <row r="1362" spans="1:4" hidden="1" x14ac:dyDescent="0.3">
      <c r="A1362">
        <v>1360</v>
      </c>
      <c r="B1362" t="s">
        <v>1845</v>
      </c>
      <c r="C1362" t="s">
        <v>225</v>
      </c>
      <c r="D1362">
        <v>101187390.15524399</v>
      </c>
    </row>
    <row r="1363" spans="1:4" hidden="1" x14ac:dyDescent="0.3">
      <c r="A1363">
        <v>1361</v>
      </c>
      <c r="B1363" t="s">
        <v>1846</v>
      </c>
      <c r="C1363" t="s">
        <v>227</v>
      </c>
      <c r="D1363">
        <v>806.22612430155198</v>
      </c>
    </row>
    <row r="1364" spans="1:4" hidden="1" x14ac:dyDescent="0.3">
      <c r="A1364">
        <v>1362</v>
      </c>
      <c r="B1364" s="1" t="s">
        <v>1847</v>
      </c>
      <c r="C1364" t="s">
        <v>229</v>
      </c>
      <c r="D1364" s="1" t="s">
        <v>1848</v>
      </c>
    </row>
    <row r="1365" spans="1:4" hidden="1" x14ac:dyDescent="0.3">
      <c r="A1365">
        <v>1363</v>
      </c>
      <c r="B1365" t="s">
        <v>1849</v>
      </c>
      <c r="C1365" t="s">
        <v>112</v>
      </c>
      <c r="D1365">
        <v>-194.65308304790099</v>
      </c>
    </row>
    <row r="1366" spans="1:4" hidden="1" x14ac:dyDescent="0.3">
      <c r="A1366">
        <v>1364</v>
      </c>
      <c r="B1366" t="s">
        <v>1850</v>
      </c>
      <c r="C1366" t="s">
        <v>114</v>
      </c>
      <c r="D1366">
        <v>-53.401773831278703</v>
      </c>
    </row>
    <row r="1367" spans="1:4" hidden="1" x14ac:dyDescent="0.3">
      <c r="A1367">
        <v>1365</v>
      </c>
      <c r="B1367" s="1" t="s">
        <v>1851</v>
      </c>
      <c r="C1367" t="s">
        <v>116</v>
      </c>
      <c r="D1367" s="1" t="s">
        <v>1852</v>
      </c>
    </row>
    <row r="1368" spans="1:4" hidden="1" x14ac:dyDescent="0.3">
      <c r="A1368">
        <v>1366</v>
      </c>
      <c r="B1368" t="s">
        <v>1853</v>
      </c>
      <c r="C1368" t="s">
        <v>119</v>
      </c>
      <c r="D1368">
        <v>81507321.831114903</v>
      </c>
    </row>
    <row r="1369" spans="1:4" hidden="1" x14ac:dyDescent="0.3">
      <c r="A1369">
        <v>1367</v>
      </c>
      <c r="B1369" t="s">
        <v>1854</v>
      </c>
      <c r="C1369" t="s">
        <v>121</v>
      </c>
      <c r="D1369">
        <v>39593440.129285201</v>
      </c>
    </row>
    <row r="1370" spans="1:4" hidden="1" x14ac:dyDescent="0.3">
      <c r="A1370">
        <v>1368</v>
      </c>
      <c r="B1370" s="1" t="s">
        <v>1855</v>
      </c>
      <c r="C1370" t="s">
        <v>123</v>
      </c>
      <c r="D1370" s="1" t="s">
        <v>1856</v>
      </c>
    </row>
    <row r="1371" spans="1:4" hidden="1" x14ac:dyDescent="0.3">
      <c r="A1371">
        <v>1369</v>
      </c>
      <c r="B1371" t="s">
        <v>1857</v>
      </c>
      <c r="C1371" t="s">
        <v>126</v>
      </c>
      <c r="D1371">
        <v>0.80549608536888095</v>
      </c>
    </row>
    <row r="1372" spans="1:4" hidden="1" x14ac:dyDescent="0.3">
      <c r="A1372">
        <v>1370</v>
      </c>
      <c r="B1372" t="s">
        <v>1858</v>
      </c>
      <c r="C1372" t="s">
        <v>128</v>
      </c>
      <c r="D1372">
        <v>0.39128216108619202</v>
      </c>
    </row>
    <row r="1373" spans="1:4" hidden="1" x14ac:dyDescent="0.3">
      <c r="A1373">
        <v>1371</v>
      </c>
      <c r="B1373" s="1" t="s">
        <v>1859</v>
      </c>
      <c r="C1373" t="s">
        <v>130</v>
      </c>
      <c r="D1373" s="1" t="s">
        <v>1860</v>
      </c>
    </row>
    <row r="1374" spans="1:4" hidden="1" x14ac:dyDescent="0.3">
      <c r="A1374">
        <v>1372</v>
      </c>
      <c r="B1374" s="1" t="s">
        <v>1861</v>
      </c>
      <c r="C1374" t="s">
        <v>4</v>
      </c>
      <c r="D1374" t="s">
        <v>1862</v>
      </c>
    </row>
    <row r="1375" spans="1:4" hidden="1" x14ac:dyDescent="0.3">
      <c r="A1375">
        <v>1373</v>
      </c>
      <c r="B1375" t="s">
        <v>1863</v>
      </c>
      <c r="C1375" t="s">
        <v>7</v>
      </c>
      <c r="D1375">
        <v>1888.57</v>
      </c>
    </row>
    <row r="1376" spans="1:4" hidden="1" x14ac:dyDescent="0.3">
      <c r="A1376">
        <v>1374</v>
      </c>
      <c r="B1376" s="1" t="s">
        <v>1864</v>
      </c>
      <c r="C1376" t="s">
        <v>9</v>
      </c>
      <c r="D1376" s="1" t="s">
        <v>1865</v>
      </c>
    </row>
    <row r="1377" spans="1:4" hidden="1" x14ac:dyDescent="0.3">
      <c r="A1377">
        <v>1375</v>
      </c>
      <c r="B1377" t="s">
        <v>1866</v>
      </c>
      <c r="C1377" t="s">
        <v>14</v>
      </c>
      <c r="D1377">
        <v>98.69140625</v>
      </c>
    </row>
    <row r="1378" spans="1:4" hidden="1" x14ac:dyDescent="0.3">
      <c r="A1378">
        <v>1376</v>
      </c>
      <c r="B1378" t="s">
        <v>1867</v>
      </c>
      <c r="C1378" t="s">
        <v>16</v>
      </c>
      <c r="D1378">
        <v>4.3806803116982502</v>
      </c>
    </row>
    <row r="1379" spans="1:4" hidden="1" x14ac:dyDescent="0.3">
      <c r="A1379">
        <v>1377</v>
      </c>
      <c r="B1379" s="1" t="s">
        <v>1868</v>
      </c>
      <c r="C1379" t="s">
        <v>140</v>
      </c>
      <c r="D1379" s="1" t="s">
        <v>1869</v>
      </c>
    </row>
    <row r="1380" spans="1:4" hidden="1" x14ac:dyDescent="0.3">
      <c r="A1380">
        <v>1378</v>
      </c>
      <c r="B1380" t="s">
        <v>1780</v>
      </c>
      <c r="C1380" t="s">
        <v>22</v>
      </c>
      <c r="D1380">
        <v>75.75</v>
      </c>
    </row>
    <row r="1381" spans="1:4" hidden="1" x14ac:dyDescent="0.3">
      <c r="A1381">
        <v>1379</v>
      </c>
      <c r="B1381" t="s">
        <v>1870</v>
      </c>
      <c r="C1381" t="s">
        <v>24</v>
      </c>
      <c r="D1381">
        <v>6.2578724108473898</v>
      </c>
    </row>
    <row r="1382" spans="1:4" hidden="1" x14ac:dyDescent="0.3">
      <c r="A1382">
        <v>1380</v>
      </c>
      <c r="B1382" s="1" t="s">
        <v>1871</v>
      </c>
      <c r="C1382" t="s">
        <v>145</v>
      </c>
      <c r="D1382" s="1" t="s">
        <v>1872</v>
      </c>
    </row>
    <row r="1383" spans="1:4" hidden="1" x14ac:dyDescent="0.3">
      <c r="A1383">
        <v>1381</v>
      </c>
      <c r="B1383" t="s">
        <v>1873</v>
      </c>
      <c r="C1383" t="s">
        <v>35</v>
      </c>
      <c r="D1383">
        <v>2.85406912213481E-3</v>
      </c>
    </row>
    <row r="1384" spans="1:4" hidden="1" x14ac:dyDescent="0.3">
      <c r="A1384">
        <v>1382</v>
      </c>
      <c r="B1384" t="s">
        <v>1874</v>
      </c>
      <c r="C1384" t="s">
        <v>149</v>
      </c>
      <c r="D1384">
        <v>0.68089639422752002</v>
      </c>
    </row>
    <row r="1385" spans="1:4" hidden="1" x14ac:dyDescent="0.3">
      <c r="A1385">
        <v>1383</v>
      </c>
      <c r="B1385" s="1" t="s">
        <v>1875</v>
      </c>
      <c r="C1385" t="s">
        <v>151</v>
      </c>
      <c r="D1385" s="1" t="s">
        <v>1876</v>
      </c>
    </row>
    <row r="1386" spans="1:4" hidden="1" x14ac:dyDescent="0.3">
      <c r="A1386">
        <v>1384</v>
      </c>
      <c r="B1386" t="s">
        <v>1877</v>
      </c>
      <c r="C1386" t="s">
        <v>30</v>
      </c>
      <c r="D1386">
        <v>0.39549971338541701</v>
      </c>
    </row>
    <row r="1387" spans="1:4" hidden="1" x14ac:dyDescent="0.3">
      <c r="A1387">
        <v>1385</v>
      </c>
      <c r="B1387" t="s">
        <v>1878</v>
      </c>
      <c r="C1387" t="s">
        <v>32</v>
      </c>
      <c r="D1387">
        <v>0.23655135884663001</v>
      </c>
    </row>
    <row r="1388" spans="1:4" hidden="1" x14ac:dyDescent="0.3">
      <c r="A1388">
        <v>1386</v>
      </c>
      <c r="B1388" s="1" t="s">
        <v>1879</v>
      </c>
      <c r="C1388" t="s">
        <v>155</v>
      </c>
      <c r="D1388" s="1" t="s">
        <v>1880</v>
      </c>
    </row>
    <row r="1389" spans="1:4" hidden="1" x14ac:dyDescent="0.3">
      <c r="A1389">
        <v>1387</v>
      </c>
      <c r="B1389" t="s">
        <v>1881</v>
      </c>
      <c r="C1389" t="s">
        <v>40</v>
      </c>
      <c r="D1389">
        <v>0.60164621749244795</v>
      </c>
    </row>
    <row r="1390" spans="1:4" hidden="1" x14ac:dyDescent="0.3">
      <c r="A1390">
        <v>1388</v>
      </c>
      <c r="B1390" t="s">
        <v>1882</v>
      </c>
      <c r="C1390" t="s">
        <v>42</v>
      </c>
      <c r="D1390">
        <v>0.23210085972548</v>
      </c>
    </row>
    <row r="1391" spans="1:4" hidden="1" x14ac:dyDescent="0.3">
      <c r="A1391">
        <v>1389</v>
      </c>
      <c r="B1391" s="1" t="s">
        <v>1883</v>
      </c>
      <c r="C1391" t="s">
        <v>159</v>
      </c>
      <c r="D1391" s="1" t="s">
        <v>1884</v>
      </c>
    </row>
    <row r="1392" spans="1:4" hidden="1" x14ac:dyDescent="0.3">
      <c r="A1392">
        <v>1390</v>
      </c>
      <c r="B1392" t="s">
        <v>1885</v>
      </c>
      <c r="C1392" t="s">
        <v>161</v>
      </c>
      <c r="D1392">
        <v>0.99771777546502904</v>
      </c>
    </row>
    <row r="1393" spans="1:4" hidden="1" x14ac:dyDescent="0.3">
      <c r="A1393">
        <v>1391</v>
      </c>
      <c r="B1393" t="s">
        <v>1886</v>
      </c>
      <c r="C1393" t="s">
        <v>163</v>
      </c>
      <c r="D1393">
        <v>1.0009703969947199</v>
      </c>
    </row>
    <row r="1394" spans="1:4" hidden="1" x14ac:dyDescent="0.3">
      <c r="A1394">
        <v>1392</v>
      </c>
      <c r="B1394" s="1" t="s">
        <v>1887</v>
      </c>
      <c r="C1394" t="s">
        <v>165</v>
      </c>
      <c r="D1394" s="1" t="s">
        <v>1888</v>
      </c>
    </row>
    <row r="1395" spans="1:4" hidden="1" x14ac:dyDescent="0.3">
      <c r="A1395">
        <v>1393</v>
      </c>
      <c r="B1395" t="s">
        <v>1889</v>
      </c>
      <c r="C1395" t="s">
        <v>168</v>
      </c>
      <c r="D1395">
        <v>0.985742359805442</v>
      </c>
    </row>
    <row r="1396" spans="1:4" hidden="1" x14ac:dyDescent="0.3">
      <c r="A1396">
        <v>1394</v>
      </c>
      <c r="B1396" t="s">
        <v>1890</v>
      </c>
      <c r="C1396" t="s">
        <v>170</v>
      </c>
      <c r="D1396">
        <v>1.02137401133925</v>
      </c>
    </row>
    <row r="1397" spans="1:4" hidden="1" x14ac:dyDescent="0.3">
      <c r="A1397">
        <v>1395</v>
      </c>
      <c r="B1397" s="1" t="s">
        <v>1891</v>
      </c>
      <c r="C1397" t="s">
        <v>172</v>
      </c>
      <c r="D1397" s="1" t="s">
        <v>1892</v>
      </c>
    </row>
    <row r="1398" spans="1:4" hidden="1" x14ac:dyDescent="0.3">
      <c r="A1398">
        <v>1396</v>
      </c>
      <c r="B1398" s="1" t="s">
        <v>1893</v>
      </c>
      <c r="C1398" t="s">
        <v>55</v>
      </c>
      <c r="D1398" s="1" t="s">
        <v>1894</v>
      </c>
    </row>
    <row r="1399" spans="1:4" hidden="1" x14ac:dyDescent="0.3">
      <c r="A1399">
        <v>1397</v>
      </c>
      <c r="B1399" s="1" t="s">
        <v>1895</v>
      </c>
      <c r="C1399" t="s">
        <v>52</v>
      </c>
      <c r="D1399" s="1" t="s">
        <v>1896</v>
      </c>
    </row>
    <row r="1400" spans="1:4" hidden="1" x14ac:dyDescent="0.3">
      <c r="A1400">
        <v>1398</v>
      </c>
      <c r="B1400" s="1" t="s">
        <v>1897</v>
      </c>
      <c r="C1400" t="s">
        <v>58</v>
      </c>
      <c r="D1400" s="1" t="s">
        <v>1898</v>
      </c>
    </row>
    <row r="1401" spans="1:4" hidden="1" x14ac:dyDescent="0.3">
      <c r="A1401">
        <v>1399</v>
      </c>
      <c r="B1401" t="s">
        <v>1899</v>
      </c>
      <c r="C1401" t="s">
        <v>61</v>
      </c>
      <c r="D1401">
        <v>150865608.538479</v>
      </c>
    </row>
    <row r="1402" spans="1:4" hidden="1" x14ac:dyDescent="0.3">
      <c r="A1402">
        <v>1400</v>
      </c>
      <c r="B1402" t="s">
        <v>1900</v>
      </c>
      <c r="C1402" t="s">
        <v>63</v>
      </c>
      <c r="D1402">
        <v>81321303.8214522</v>
      </c>
    </row>
    <row r="1403" spans="1:4" hidden="1" x14ac:dyDescent="0.3">
      <c r="A1403">
        <v>1401</v>
      </c>
      <c r="B1403" t="s">
        <v>1901</v>
      </c>
      <c r="C1403" t="s">
        <v>65</v>
      </c>
      <c r="D1403">
        <v>39631861.484597303</v>
      </c>
    </row>
    <row r="1404" spans="1:4" hidden="1" x14ac:dyDescent="0.3">
      <c r="A1404">
        <v>1402</v>
      </c>
      <c r="B1404" s="1" t="s">
        <v>1902</v>
      </c>
      <c r="C1404" t="s">
        <v>67</v>
      </c>
      <c r="D1404" s="1" t="s">
        <v>1903</v>
      </c>
    </row>
    <row r="1405" spans="1:4" hidden="1" x14ac:dyDescent="0.3">
      <c r="A1405">
        <v>1403</v>
      </c>
      <c r="B1405" s="1" t="s">
        <v>1904</v>
      </c>
      <c r="C1405" t="s">
        <v>70</v>
      </c>
      <c r="D1405" s="1" t="s">
        <v>1905</v>
      </c>
    </row>
    <row r="1406" spans="1:4" hidden="1" x14ac:dyDescent="0.3">
      <c r="A1406">
        <v>1404</v>
      </c>
      <c r="B1406" t="s">
        <v>1906</v>
      </c>
      <c r="C1406" t="s">
        <v>73</v>
      </c>
      <c r="D1406">
        <v>1.00001564512602</v>
      </c>
    </row>
    <row r="1407" spans="1:4" hidden="1" x14ac:dyDescent="0.3">
      <c r="A1407">
        <v>1405</v>
      </c>
      <c r="B1407" t="s">
        <v>74</v>
      </c>
      <c r="C1407" t="s">
        <v>75</v>
      </c>
      <c r="D1407">
        <v>2.7397260273972599E-3</v>
      </c>
    </row>
    <row r="1408" spans="1:4" hidden="1" x14ac:dyDescent="0.3">
      <c r="A1408">
        <v>1406</v>
      </c>
      <c r="B1408" t="s">
        <v>76</v>
      </c>
      <c r="C1408" t="s">
        <v>77</v>
      </c>
      <c r="D1408">
        <v>0</v>
      </c>
    </row>
    <row r="1409" spans="1:4" hidden="1" x14ac:dyDescent="0.3">
      <c r="A1409">
        <v>1407</v>
      </c>
      <c r="B1409" t="s">
        <v>78</v>
      </c>
      <c r="C1409" t="s">
        <v>79</v>
      </c>
      <c r="D1409">
        <v>0</v>
      </c>
    </row>
    <row r="1410" spans="1:4" hidden="1" x14ac:dyDescent="0.3">
      <c r="A1410">
        <v>1408</v>
      </c>
      <c r="B1410" s="1" t="s">
        <v>1907</v>
      </c>
      <c r="C1410" t="s">
        <v>81</v>
      </c>
      <c r="D1410" s="1" t="s">
        <v>1908</v>
      </c>
    </row>
    <row r="1411" spans="1:4" hidden="1" x14ac:dyDescent="0.3">
      <c r="A1411">
        <v>1409</v>
      </c>
      <c r="B1411" t="s">
        <v>1909</v>
      </c>
      <c r="C1411" t="s">
        <v>84</v>
      </c>
      <c r="D1411">
        <v>1.0000220620703899</v>
      </c>
    </row>
    <row r="1412" spans="1:4" hidden="1" x14ac:dyDescent="0.3">
      <c r="A1412">
        <v>1410</v>
      </c>
      <c r="B1412" s="1" t="s">
        <v>1910</v>
      </c>
      <c r="C1412" t="s">
        <v>86</v>
      </c>
      <c r="D1412" s="1" t="s">
        <v>1911</v>
      </c>
    </row>
    <row r="1413" spans="1:4" hidden="1" x14ac:dyDescent="0.3">
      <c r="A1413">
        <v>1411</v>
      </c>
      <c r="B1413" t="s">
        <v>1912</v>
      </c>
      <c r="C1413" t="s">
        <v>89</v>
      </c>
      <c r="D1413">
        <v>101187547.076667</v>
      </c>
    </row>
    <row r="1414" spans="1:4" hidden="1" x14ac:dyDescent="0.3">
      <c r="A1414">
        <v>1412</v>
      </c>
      <c r="B1414" s="1" t="s">
        <v>1913</v>
      </c>
      <c r="C1414" t="s">
        <v>91</v>
      </c>
      <c r="D1414" s="1" t="s">
        <v>1848</v>
      </c>
    </row>
    <row r="1415" spans="1:4" hidden="1" x14ac:dyDescent="0.3">
      <c r="A1415">
        <v>1413</v>
      </c>
      <c r="B1415" t="s">
        <v>1914</v>
      </c>
      <c r="C1415" t="s">
        <v>94</v>
      </c>
      <c r="D1415">
        <v>81321303.8214522</v>
      </c>
    </row>
    <row r="1416" spans="1:4" hidden="1" x14ac:dyDescent="0.3">
      <c r="A1416">
        <v>1414</v>
      </c>
      <c r="B1416" t="s">
        <v>1915</v>
      </c>
      <c r="C1416" t="s">
        <v>96</v>
      </c>
      <c r="D1416">
        <v>39631861.484597303</v>
      </c>
    </row>
    <row r="1417" spans="1:4" hidden="1" x14ac:dyDescent="0.3">
      <c r="A1417">
        <v>1415</v>
      </c>
      <c r="B1417" t="s">
        <v>1916</v>
      </c>
      <c r="C1417" t="s">
        <v>98</v>
      </c>
      <c r="D1417">
        <v>29912443.2324301</v>
      </c>
    </row>
    <row r="1418" spans="1:4" hidden="1" x14ac:dyDescent="0.3">
      <c r="A1418">
        <v>1416</v>
      </c>
      <c r="B1418" s="1" t="s">
        <v>1917</v>
      </c>
      <c r="C1418" t="s">
        <v>100</v>
      </c>
      <c r="D1418" s="1" t="s">
        <v>1918</v>
      </c>
    </row>
    <row r="1419" spans="1:4" hidden="1" x14ac:dyDescent="0.3">
      <c r="A1419">
        <v>1417</v>
      </c>
      <c r="B1419" t="s">
        <v>1919</v>
      </c>
      <c r="C1419" t="s">
        <v>103</v>
      </c>
      <c r="D1419">
        <v>8.6621485022518908E-3</v>
      </c>
    </row>
    <row r="1420" spans="1:4" hidden="1" x14ac:dyDescent="0.3">
      <c r="A1420">
        <v>1418</v>
      </c>
      <c r="B1420" t="s">
        <v>1920</v>
      </c>
      <c r="C1420" t="s">
        <v>105</v>
      </c>
      <c r="D1420">
        <v>1.7296003222861101E-3</v>
      </c>
    </row>
    <row r="1421" spans="1:4" hidden="1" x14ac:dyDescent="0.3">
      <c r="A1421">
        <v>1419</v>
      </c>
      <c r="B1421" t="s">
        <v>1921</v>
      </c>
      <c r="C1421" t="s">
        <v>107</v>
      </c>
      <c r="D1421">
        <v>1.05179610375767E-2</v>
      </c>
    </row>
    <row r="1422" spans="1:4" hidden="1" x14ac:dyDescent="0.3">
      <c r="A1422">
        <v>1420</v>
      </c>
      <c r="B1422" s="1" t="s">
        <v>1922</v>
      </c>
      <c r="C1422" t="s">
        <v>109</v>
      </c>
      <c r="D1422" s="1" t="s">
        <v>1923</v>
      </c>
    </row>
    <row r="1423" spans="1:4" x14ac:dyDescent="0.3">
      <c r="A1423">
        <v>1421</v>
      </c>
      <c r="B1423" t="s">
        <v>1924</v>
      </c>
      <c r="C1423" t="s">
        <v>207</v>
      </c>
      <c r="D1423">
        <v>150865832.76394901</v>
      </c>
    </row>
    <row r="1424" spans="1:4" hidden="1" x14ac:dyDescent="0.3">
      <c r="A1424">
        <v>1422</v>
      </c>
      <c r="B1424" t="s">
        <v>1925</v>
      </c>
      <c r="C1424" t="s">
        <v>209</v>
      </c>
      <c r="D1424">
        <v>-521.82724146594501</v>
      </c>
    </row>
    <row r="1425" spans="1:4" hidden="1" x14ac:dyDescent="0.3">
      <c r="A1425">
        <v>1423</v>
      </c>
      <c r="B1425" t="s">
        <v>1926</v>
      </c>
      <c r="C1425" t="s">
        <v>211</v>
      </c>
      <c r="D1425">
        <v>-254.31166988748299</v>
      </c>
    </row>
    <row r="1426" spans="1:4" hidden="1" x14ac:dyDescent="0.3">
      <c r="A1426">
        <v>1424</v>
      </c>
      <c r="B1426" s="1" t="s">
        <v>1927</v>
      </c>
      <c r="C1426" t="s">
        <v>213</v>
      </c>
      <c r="D1426" s="1" t="s">
        <v>1928</v>
      </c>
    </row>
    <row r="1427" spans="1:4" hidden="1" x14ac:dyDescent="0.3">
      <c r="A1427">
        <v>1425</v>
      </c>
      <c r="B1427" t="s">
        <v>1929</v>
      </c>
      <c r="C1427" t="s">
        <v>216</v>
      </c>
      <c r="D1427">
        <v>81322000.649250597</v>
      </c>
    </row>
    <row r="1428" spans="1:4" hidden="1" x14ac:dyDescent="0.3">
      <c r="A1428">
        <v>1426</v>
      </c>
      <c r="B1428" t="s">
        <v>1930</v>
      </c>
      <c r="C1428" t="s">
        <v>218</v>
      </c>
      <c r="D1428">
        <v>39632146.695912898</v>
      </c>
    </row>
    <row r="1429" spans="1:4" hidden="1" x14ac:dyDescent="0.3">
      <c r="A1429">
        <v>1427</v>
      </c>
      <c r="B1429" t="s">
        <v>1931</v>
      </c>
      <c r="C1429" t="s">
        <v>220</v>
      </c>
      <c r="D1429">
        <v>29912653.5012962</v>
      </c>
    </row>
    <row r="1430" spans="1:4" hidden="1" x14ac:dyDescent="0.3">
      <c r="A1430">
        <v>1428</v>
      </c>
      <c r="B1430" s="1" t="s">
        <v>1932</v>
      </c>
      <c r="C1430" t="s">
        <v>222</v>
      </c>
      <c r="D1430" s="1" t="s">
        <v>1933</v>
      </c>
    </row>
    <row r="1431" spans="1:4" hidden="1" x14ac:dyDescent="0.3">
      <c r="A1431">
        <v>1429</v>
      </c>
      <c r="B1431" t="s">
        <v>1934</v>
      </c>
      <c r="C1431" t="s">
        <v>225</v>
      </c>
      <c r="D1431">
        <v>101188196.381368</v>
      </c>
    </row>
    <row r="1432" spans="1:4" hidden="1" x14ac:dyDescent="0.3">
      <c r="A1432">
        <v>1430</v>
      </c>
      <c r="B1432" t="s">
        <v>1935</v>
      </c>
      <c r="C1432" t="s">
        <v>227</v>
      </c>
      <c r="D1432">
        <v>-649.30470186471905</v>
      </c>
    </row>
    <row r="1433" spans="1:4" hidden="1" x14ac:dyDescent="0.3">
      <c r="A1433">
        <v>1431</v>
      </c>
      <c r="B1433" s="1" t="s">
        <v>1936</v>
      </c>
      <c r="C1433" t="s">
        <v>229</v>
      </c>
      <c r="D1433" s="1" t="s">
        <v>1937</v>
      </c>
    </row>
    <row r="1434" spans="1:4" hidden="1" x14ac:dyDescent="0.3">
      <c r="A1434">
        <v>1432</v>
      </c>
      <c r="B1434" t="s">
        <v>1938</v>
      </c>
      <c r="C1434" t="s">
        <v>112</v>
      </c>
      <c r="D1434">
        <v>175.00055692868699</v>
      </c>
    </row>
    <row r="1435" spans="1:4" hidden="1" x14ac:dyDescent="0.3">
      <c r="A1435">
        <v>1433</v>
      </c>
      <c r="B1435" t="s">
        <v>1939</v>
      </c>
      <c r="C1435" t="s">
        <v>114</v>
      </c>
      <c r="D1435">
        <v>30.899645676660899</v>
      </c>
    </row>
    <row r="1436" spans="1:4" hidden="1" x14ac:dyDescent="0.3">
      <c r="A1436">
        <v>1434</v>
      </c>
      <c r="B1436" s="1" t="s">
        <v>1940</v>
      </c>
      <c r="C1436" t="s">
        <v>116</v>
      </c>
      <c r="D1436" s="1" t="s">
        <v>1941</v>
      </c>
    </row>
    <row r="1437" spans="1:4" hidden="1" x14ac:dyDescent="0.3">
      <c r="A1437">
        <v>1435</v>
      </c>
      <c r="B1437" t="s">
        <v>1942</v>
      </c>
      <c r="C1437" t="s">
        <v>119</v>
      </c>
      <c r="D1437">
        <v>81322000.649250597</v>
      </c>
    </row>
    <row r="1438" spans="1:4" hidden="1" x14ac:dyDescent="0.3">
      <c r="A1438">
        <v>1436</v>
      </c>
      <c r="B1438" t="s">
        <v>1943</v>
      </c>
      <c r="C1438" t="s">
        <v>121</v>
      </c>
      <c r="D1438">
        <v>39632146.695912898</v>
      </c>
    </row>
    <row r="1439" spans="1:4" hidden="1" x14ac:dyDescent="0.3">
      <c r="A1439">
        <v>1437</v>
      </c>
      <c r="B1439" s="1" t="s">
        <v>1944</v>
      </c>
      <c r="C1439" t="s">
        <v>123</v>
      </c>
      <c r="D1439" s="1" t="s">
        <v>1945</v>
      </c>
    </row>
    <row r="1440" spans="1:4" hidden="1" x14ac:dyDescent="0.3">
      <c r="A1440">
        <v>1438</v>
      </c>
      <c r="B1440" t="s">
        <v>1946</v>
      </c>
      <c r="C1440" t="s">
        <v>126</v>
      </c>
      <c r="D1440">
        <v>0.80365308865315599</v>
      </c>
    </row>
    <row r="1441" spans="1:4" hidden="1" x14ac:dyDescent="0.3">
      <c r="A1441">
        <v>1439</v>
      </c>
      <c r="B1441" t="s">
        <v>1947</v>
      </c>
      <c r="C1441" t="s">
        <v>128</v>
      </c>
      <c r="D1441">
        <v>0.39165904488134201</v>
      </c>
    </row>
    <row r="1442" spans="1:4" hidden="1" x14ac:dyDescent="0.3">
      <c r="A1442">
        <v>1440</v>
      </c>
      <c r="B1442" s="1" t="s">
        <v>1948</v>
      </c>
      <c r="C1442" t="s">
        <v>130</v>
      </c>
      <c r="D1442" s="1" t="s">
        <v>1949</v>
      </c>
    </row>
    <row r="1443" spans="1:4" hidden="1" x14ac:dyDescent="0.3">
      <c r="A1443">
        <v>1441</v>
      </c>
      <c r="B1443" s="1" t="s">
        <v>1950</v>
      </c>
      <c r="C1443" t="s">
        <v>4</v>
      </c>
      <c r="D1443" t="s">
        <v>1951</v>
      </c>
    </row>
    <row r="1444" spans="1:4" hidden="1" x14ac:dyDescent="0.3">
      <c r="A1444">
        <v>1442</v>
      </c>
      <c r="B1444" t="s">
        <v>1952</v>
      </c>
      <c r="C1444" t="s">
        <v>7</v>
      </c>
      <c r="D1444">
        <v>1898.51</v>
      </c>
    </row>
    <row r="1445" spans="1:4" hidden="1" x14ac:dyDescent="0.3">
      <c r="A1445">
        <v>1443</v>
      </c>
      <c r="B1445" s="1" t="s">
        <v>1953</v>
      </c>
      <c r="C1445" t="s">
        <v>9</v>
      </c>
      <c r="D1445" s="1" t="s">
        <v>1954</v>
      </c>
    </row>
    <row r="1446" spans="1:4" hidden="1" x14ac:dyDescent="0.3">
      <c r="A1446">
        <v>1444</v>
      </c>
      <c r="B1446" t="s">
        <v>1955</v>
      </c>
      <c r="C1446" t="s">
        <v>14</v>
      </c>
      <c r="D1446">
        <v>98.85546875</v>
      </c>
    </row>
    <row r="1447" spans="1:4" hidden="1" x14ac:dyDescent="0.3">
      <c r="A1447">
        <v>1445</v>
      </c>
      <c r="B1447" t="s">
        <v>1956</v>
      </c>
      <c r="C1447" t="s">
        <v>16</v>
      </c>
      <c r="D1447">
        <v>4.3844685272383002</v>
      </c>
    </row>
    <row r="1448" spans="1:4" hidden="1" x14ac:dyDescent="0.3">
      <c r="A1448">
        <v>1446</v>
      </c>
      <c r="B1448" s="1" t="s">
        <v>1957</v>
      </c>
      <c r="C1448" t="s">
        <v>140</v>
      </c>
      <c r="D1448" s="1" t="s">
        <v>1958</v>
      </c>
    </row>
    <row r="1449" spans="1:4" hidden="1" x14ac:dyDescent="0.3">
      <c r="A1449">
        <v>1447</v>
      </c>
      <c r="B1449" t="s">
        <v>1959</v>
      </c>
      <c r="C1449" t="s">
        <v>22</v>
      </c>
      <c r="D1449">
        <v>76.849999999999994</v>
      </c>
    </row>
    <row r="1450" spans="1:4" hidden="1" x14ac:dyDescent="0.3">
      <c r="A1450">
        <v>1448</v>
      </c>
      <c r="B1450" t="s">
        <v>1960</v>
      </c>
      <c r="C1450" t="s">
        <v>24</v>
      </c>
      <c r="D1450">
        <v>6.2538683413893397</v>
      </c>
    </row>
    <row r="1451" spans="1:4" hidden="1" x14ac:dyDescent="0.3">
      <c r="A1451">
        <v>1449</v>
      </c>
      <c r="B1451" s="1" t="s">
        <v>1961</v>
      </c>
      <c r="C1451" t="s">
        <v>145</v>
      </c>
      <c r="D1451" s="1" t="s">
        <v>1962</v>
      </c>
    </row>
    <row r="1452" spans="1:4" hidden="1" x14ac:dyDescent="0.3">
      <c r="A1452">
        <v>1450</v>
      </c>
      <c r="B1452" t="s">
        <v>1963</v>
      </c>
      <c r="C1452" t="s">
        <v>35</v>
      </c>
      <c r="D1452">
        <v>0.21848978783866499</v>
      </c>
    </row>
    <row r="1453" spans="1:4" hidden="1" x14ac:dyDescent="0.3">
      <c r="A1453">
        <v>1451</v>
      </c>
      <c r="B1453" t="s">
        <v>1964</v>
      </c>
      <c r="C1453" t="s">
        <v>149</v>
      </c>
      <c r="D1453">
        <v>0.67826982990196605</v>
      </c>
    </row>
    <row r="1454" spans="1:4" hidden="1" x14ac:dyDescent="0.3">
      <c r="A1454">
        <v>1452</v>
      </c>
      <c r="B1454" s="1" t="s">
        <v>1965</v>
      </c>
      <c r="C1454" t="s">
        <v>151</v>
      </c>
      <c r="D1454" s="1" t="s">
        <v>1966</v>
      </c>
    </row>
    <row r="1455" spans="1:4" hidden="1" x14ac:dyDescent="0.3">
      <c r="A1455">
        <v>1453</v>
      </c>
      <c r="B1455" t="s">
        <v>1967</v>
      </c>
      <c r="C1455" t="s">
        <v>30</v>
      </c>
      <c r="D1455">
        <v>0.313121693285144</v>
      </c>
    </row>
    <row r="1456" spans="1:4" hidden="1" x14ac:dyDescent="0.3">
      <c r="A1456">
        <v>1454</v>
      </c>
      <c r="B1456" t="s">
        <v>1968</v>
      </c>
      <c r="C1456" t="s">
        <v>32</v>
      </c>
      <c r="D1456">
        <v>0.237216319429397</v>
      </c>
    </row>
    <row r="1457" spans="1:4" hidden="1" x14ac:dyDescent="0.3">
      <c r="A1457">
        <v>1455</v>
      </c>
      <c r="B1457" s="1" t="s">
        <v>1969</v>
      </c>
      <c r="C1457" t="s">
        <v>155</v>
      </c>
      <c r="D1457" s="1" t="s">
        <v>1970</v>
      </c>
    </row>
    <row r="1458" spans="1:4" hidden="1" x14ac:dyDescent="0.3">
      <c r="A1458">
        <v>1456</v>
      </c>
      <c r="B1458" t="s">
        <v>1971</v>
      </c>
      <c r="C1458" t="s">
        <v>40</v>
      </c>
      <c r="D1458">
        <v>0.46838851887618899</v>
      </c>
    </row>
    <row r="1459" spans="1:4" hidden="1" x14ac:dyDescent="0.3">
      <c r="A1459">
        <v>1457</v>
      </c>
      <c r="B1459" t="s">
        <v>1972</v>
      </c>
      <c r="C1459" t="s">
        <v>42</v>
      </c>
      <c r="D1459">
        <v>0.23712317779479</v>
      </c>
    </row>
    <row r="1460" spans="1:4" hidden="1" x14ac:dyDescent="0.3">
      <c r="A1460">
        <v>1458</v>
      </c>
      <c r="B1460" s="1" t="s">
        <v>1973</v>
      </c>
      <c r="C1460" t="s">
        <v>159</v>
      </c>
      <c r="D1460" s="1" t="s">
        <v>1974</v>
      </c>
    </row>
    <row r="1461" spans="1:4" hidden="1" x14ac:dyDescent="0.3">
      <c r="A1461">
        <v>1459</v>
      </c>
      <c r="B1461" t="s">
        <v>1975</v>
      </c>
      <c r="C1461" t="s">
        <v>161</v>
      </c>
      <c r="D1461">
        <v>1.0052632415001801</v>
      </c>
    </row>
    <row r="1462" spans="1:4" hidden="1" x14ac:dyDescent="0.3">
      <c r="A1462">
        <v>1460</v>
      </c>
      <c r="B1462" t="s">
        <v>1976</v>
      </c>
      <c r="C1462" t="s">
        <v>163</v>
      </c>
      <c r="D1462">
        <v>1.0016284788747201</v>
      </c>
    </row>
    <row r="1463" spans="1:4" hidden="1" x14ac:dyDescent="0.3">
      <c r="A1463">
        <v>1461</v>
      </c>
      <c r="B1463" s="1" t="s">
        <v>1977</v>
      </c>
      <c r="C1463" t="s">
        <v>165</v>
      </c>
      <c r="D1463" s="1" t="s">
        <v>1978</v>
      </c>
    </row>
    <row r="1464" spans="1:4" hidden="1" x14ac:dyDescent="0.3">
      <c r="A1464">
        <v>1462</v>
      </c>
      <c r="B1464" t="s">
        <v>1979</v>
      </c>
      <c r="C1464" t="s">
        <v>168</v>
      </c>
      <c r="D1464">
        <v>0.99843740260579095</v>
      </c>
    </row>
    <row r="1465" spans="1:4" hidden="1" x14ac:dyDescent="0.3">
      <c r="A1465">
        <v>1463</v>
      </c>
      <c r="B1465" t="s">
        <v>1980</v>
      </c>
      <c r="C1465" t="s">
        <v>170</v>
      </c>
      <c r="D1465">
        <v>1.0005377541159199</v>
      </c>
    </row>
    <row r="1466" spans="1:4" hidden="1" x14ac:dyDescent="0.3">
      <c r="A1466">
        <v>1464</v>
      </c>
      <c r="B1466" s="1" t="s">
        <v>1981</v>
      </c>
      <c r="C1466" t="s">
        <v>172</v>
      </c>
      <c r="D1466" s="1" t="s">
        <v>1982</v>
      </c>
    </row>
    <row r="1467" spans="1:4" hidden="1" x14ac:dyDescent="0.3">
      <c r="A1467">
        <v>1465</v>
      </c>
      <c r="B1467" s="1" t="s">
        <v>1983</v>
      </c>
      <c r="C1467" t="s">
        <v>55</v>
      </c>
      <c r="D1467" s="1" t="s">
        <v>1984</v>
      </c>
    </row>
    <row r="1468" spans="1:4" hidden="1" x14ac:dyDescent="0.3">
      <c r="A1468">
        <v>1466</v>
      </c>
      <c r="B1468" s="1" t="s">
        <v>1985</v>
      </c>
      <c r="C1468" t="s">
        <v>52</v>
      </c>
      <c r="D1468" s="1" t="s">
        <v>1986</v>
      </c>
    </row>
    <row r="1469" spans="1:4" hidden="1" x14ac:dyDescent="0.3">
      <c r="A1469">
        <v>1467</v>
      </c>
      <c r="B1469" s="1" t="s">
        <v>1987</v>
      </c>
      <c r="C1469" t="s">
        <v>58</v>
      </c>
      <c r="D1469" s="1" t="s">
        <v>1988</v>
      </c>
    </row>
    <row r="1470" spans="1:4" hidden="1" x14ac:dyDescent="0.3">
      <c r="A1470">
        <v>1468</v>
      </c>
      <c r="B1470" t="s">
        <v>1989</v>
      </c>
      <c r="C1470" t="s">
        <v>61</v>
      </c>
      <c r="D1470">
        <v>151759126.573796</v>
      </c>
    </row>
    <row r="1471" spans="1:4" hidden="1" x14ac:dyDescent="0.3">
      <c r="A1471">
        <v>1469</v>
      </c>
      <c r="B1471" t="s">
        <v>1990</v>
      </c>
      <c r="C1471" t="s">
        <v>63</v>
      </c>
      <c r="D1471">
        <v>81750017.977945596</v>
      </c>
    </row>
    <row r="1472" spans="1:4" hidden="1" x14ac:dyDescent="0.3">
      <c r="A1472">
        <v>1470</v>
      </c>
      <c r="B1472" t="s">
        <v>1991</v>
      </c>
      <c r="C1472" t="s">
        <v>65</v>
      </c>
      <c r="D1472">
        <v>39696686.809567399</v>
      </c>
    </row>
    <row r="1473" spans="1:4" hidden="1" x14ac:dyDescent="0.3">
      <c r="A1473">
        <v>1471</v>
      </c>
      <c r="B1473" s="1" t="s">
        <v>1992</v>
      </c>
      <c r="C1473" t="s">
        <v>67</v>
      </c>
      <c r="D1473" s="1" t="s">
        <v>1993</v>
      </c>
    </row>
    <row r="1474" spans="1:4" hidden="1" x14ac:dyDescent="0.3">
      <c r="A1474">
        <v>1472</v>
      </c>
      <c r="B1474" s="1" t="s">
        <v>1994</v>
      </c>
      <c r="C1474" t="s">
        <v>70</v>
      </c>
      <c r="D1474" s="1" t="s">
        <v>1995</v>
      </c>
    </row>
    <row r="1475" spans="1:4" hidden="1" x14ac:dyDescent="0.3">
      <c r="A1475">
        <v>1473</v>
      </c>
      <c r="B1475" t="s">
        <v>1996</v>
      </c>
      <c r="C1475" t="s">
        <v>73</v>
      </c>
      <c r="D1475">
        <v>1.0000220620703899</v>
      </c>
    </row>
    <row r="1476" spans="1:4" hidden="1" x14ac:dyDescent="0.3">
      <c r="A1476">
        <v>1474</v>
      </c>
      <c r="B1476" t="s">
        <v>74</v>
      </c>
      <c r="C1476" t="s">
        <v>75</v>
      </c>
      <c r="D1476">
        <v>2.7397260273972599E-3</v>
      </c>
    </row>
    <row r="1477" spans="1:4" hidden="1" x14ac:dyDescent="0.3">
      <c r="A1477">
        <v>1475</v>
      </c>
      <c r="B1477" t="s">
        <v>76</v>
      </c>
      <c r="C1477" t="s">
        <v>77</v>
      </c>
      <c r="D1477">
        <v>0</v>
      </c>
    </row>
    <row r="1478" spans="1:4" hidden="1" x14ac:dyDescent="0.3">
      <c r="A1478">
        <v>1476</v>
      </c>
      <c r="B1478" t="s">
        <v>78</v>
      </c>
      <c r="C1478" t="s">
        <v>79</v>
      </c>
      <c r="D1478">
        <v>0</v>
      </c>
    </row>
    <row r="1479" spans="1:4" hidden="1" x14ac:dyDescent="0.3">
      <c r="A1479">
        <v>1477</v>
      </c>
      <c r="B1479" s="1" t="s">
        <v>1997</v>
      </c>
      <c r="C1479" t="s">
        <v>81</v>
      </c>
      <c r="D1479" s="1" t="s">
        <v>1998</v>
      </c>
    </row>
    <row r="1480" spans="1:4" hidden="1" x14ac:dyDescent="0.3">
      <c r="A1480">
        <v>1478</v>
      </c>
      <c r="B1480" t="s">
        <v>1999</v>
      </c>
      <c r="C1480" t="s">
        <v>84</v>
      </c>
      <c r="D1480">
        <v>1.0000251413808601</v>
      </c>
    </row>
    <row r="1481" spans="1:4" hidden="1" x14ac:dyDescent="0.3">
      <c r="A1481">
        <v>1479</v>
      </c>
      <c r="B1481" s="1" t="s">
        <v>2000</v>
      </c>
      <c r="C1481" t="s">
        <v>86</v>
      </c>
      <c r="D1481" s="1" t="s">
        <v>2001</v>
      </c>
    </row>
    <row r="1482" spans="1:4" hidden="1" x14ac:dyDescent="0.3">
      <c r="A1482">
        <v>1480</v>
      </c>
      <c r="B1482" t="s">
        <v>2002</v>
      </c>
      <c r="C1482" t="s">
        <v>89</v>
      </c>
      <c r="D1482">
        <v>101187235.496627</v>
      </c>
    </row>
    <row r="1483" spans="1:4" hidden="1" x14ac:dyDescent="0.3">
      <c r="A1483">
        <v>1481</v>
      </c>
      <c r="B1483" s="1" t="s">
        <v>2003</v>
      </c>
      <c r="C1483" t="s">
        <v>91</v>
      </c>
      <c r="D1483" s="1" t="s">
        <v>1937</v>
      </c>
    </row>
    <row r="1484" spans="1:4" hidden="1" x14ac:dyDescent="0.3">
      <c r="A1484">
        <v>1482</v>
      </c>
      <c r="B1484" t="s">
        <v>2004</v>
      </c>
      <c r="C1484" t="s">
        <v>94</v>
      </c>
      <c r="D1484">
        <v>81750017.977945596</v>
      </c>
    </row>
    <row r="1485" spans="1:4" hidden="1" x14ac:dyDescent="0.3">
      <c r="A1485">
        <v>1483</v>
      </c>
      <c r="B1485" t="s">
        <v>2005</v>
      </c>
      <c r="C1485" t="s">
        <v>96</v>
      </c>
      <c r="D1485">
        <v>39696686.809567399</v>
      </c>
    </row>
    <row r="1486" spans="1:4" hidden="1" x14ac:dyDescent="0.3">
      <c r="A1486">
        <v>1484</v>
      </c>
      <c r="B1486" t="s">
        <v>2006</v>
      </c>
      <c r="C1486" t="s">
        <v>98</v>
      </c>
      <c r="D1486">
        <v>30312421.7862834</v>
      </c>
    </row>
    <row r="1487" spans="1:4" hidden="1" x14ac:dyDescent="0.3">
      <c r="A1487">
        <v>1485</v>
      </c>
      <c r="B1487" s="1" t="s">
        <v>2007</v>
      </c>
      <c r="C1487" t="s">
        <v>100</v>
      </c>
      <c r="D1487" s="1" t="s">
        <v>2008</v>
      </c>
    </row>
    <row r="1488" spans="1:4" hidden="1" x14ac:dyDescent="0.3">
      <c r="A1488">
        <v>1486</v>
      </c>
      <c r="B1488" t="s">
        <v>2009</v>
      </c>
      <c r="C1488" t="s">
        <v>103</v>
      </c>
      <c r="D1488">
        <v>8.6605396955795697E-3</v>
      </c>
    </row>
    <row r="1489" spans="1:4" hidden="1" x14ac:dyDescent="0.3">
      <c r="A1489">
        <v>1487</v>
      </c>
      <c r="B1489" t="s">
        <v>2010</v>
      </c>
      <c r="C1489" t="s">
        <v>105</v>
      </c>
      <c r="D1489">
        <v>1.7351527233199599E-3</v>
      </c>
    </row>
    <row r="1490" spans="1:4" hidden="1" x14ac:dyDescent="0.3">
      <c r="A1490">
        <v>1488</v>
      </c>
      <c r="B1490" t="s">
        <v>2011</v>
      </c>
      <c r="C1490" t="s">
        <v>107</v>
      </c>
      <c r="D1490">
        <v>1.05436780636569E-2</v>
      </c>
    </row>
    <row r="1491" spans="1:4" hidden="1" x14ac:dyDescent="0.3">
      <c r="A1491">
        <v>1489</v>
      </c>
      <c r="B1491" s="1" t="s">
        <v>2012</v>
      </c>
      <c r="C1491" t="s">
        <v>109</v>
      </c>
      <c r="D1491" s="1" t="s">
        <v>2013</v>
      </c>
    </row>
    <row r="1492" spans="1:4" x14ac:dyDescent="0.3">
      <c r="A1492">
        <v>1490</v>
      </c>
      <c r="B1492" t="s">
        <v>2014</v>
      </c>
      <c r="C1492" t="s">
        <v>207</v>
      </c>
      <c r="D1492">
        <v>151759234.42972401</v>
      </c>
    </row>
    <row r="1493" spans="1:4" hidden="1" x14ac:dyDescent="0.3">
      <c r="A1493">
        <v>1491</v>
      </c>
      <c r="B1493" t="s">
        <v>2015</v>
      </c>
      <c r="C1493" t="s">
        <v>209</v>
      </c>
      <c r="D1493">
        <v>-251.728373828554</v>
      </c>
    </row>
    <row r="1494" spans="1:4" hidden="1" x14ac:dyDescent="0.3">
      <c r="A1494">
        <v>1492</v>
      </c>
      <c r="B1494" t="s">
        <v>2016</v>
      </c>
      <c r="C1494" t="s">
        <v>211</v>
      </c>
      <c r="D1494">
        <v>-122.235792169322</v>
      </c>
    </row>
    <row r="1495" spans="1:4" hidden="1" x14ac:dyDescent="0.3">
      <c r="A1495">
        <v>1493</v>
      </c>
      <c r="B1495" s="1" t="s">
        <v>2017</v>
      </c>
      <c r="C1495" t="s">
        <v>213</v>
      </c>
      <c r="D1495" s="1" t="s">
        <v>2018</v>
      </c>
    </row>
    <row r="1496" spans="1:4" hidden="1" x14ac:dyDescent="0.3">
      <c r="A1496">
        <v>1494</v>
      </c>
      <c r="B1496" t="s">
        <v>2019</v>
      </c>
      <c r="C1496" t="s">
        <v>216</v>
      </c>
      <c r="D1496">
        <v>81750347.906042799</v>
      </c>
    </row>
    <row r="1497" spans="1:4" hidden="1" x14ac:dyDescent="0.3">
      <c r="A1497">
        <v>1495</v>
      </c>
      <c r="B1497" t="s">
        <v>2020</v>
      </c>
      <c r="C1497" t="s">
        <v>218</v>
      </c>
      <c r="D1497">
        <v>39696830.295414902</v>
      </c>
    </row>
    <row r="1498" spans="1:4" hidden="1" x14ac:dyDescent="0.3">
      <c r="A1498">
        <v>1496</v>
      </c>
      <c r="B1498" t="s">
        <v>2021</v>
      </c>
      <c r="C1498" t="s">
        <v>220</v>
      </c>
      <c r="D1498">
        <v>30312523.531757299</v>
      </c>
    </row>
    <row r="1499" spans="1:4" hidden="1" x14ac:dyDescent="0.3">
      <c r="A1499">
        <v>1497</v>
      </c>
      <c r="B1499" s="1" t="s">
        <v>2022</v>
      </c>
      <c r="C1499" t="s">
        <v>222</v>
      </c>
      <c r="D1499" s="1" t="s">
        <v>2023</v>
      </c>
    </row>
    <row r="1500" spans="1:4" hidden="1" x14ac:dyDescent="0.3">
      <c r="A1500">
        <v>1498</v>
      </c>
      <c r="B1500" t="s">
        <v>2024</v>
      </c>
      <c r="C1500" t="s">
        <v>225</v>
      </c>
      <c r="D1500">
        <v>101187547.076667</v>
      </c>
    </row>
    <row r="1501" spans="1:4" hidden="1" x14ac:dyDescent="0.3">
      <c r="A1501">
        <v>1499</v>
      </c>
      <c r="B1501" t="s">
        <v>2025</v>
      </c>
      <c r="C1501" t="s">
        <v>227</v>
      </c>
      <c r="D1501">
        <v>-311.58004008233502</v>
      </c>
    </row>
    <row r="1502" spans="1:4" hidden="1" x14ac:dyDescent="0.3">
      <c r="A1502">
        <v>1500</v>
      </c>
      <c r="B1502" s="1" t="s">
        <v>2026</v>
      </c>
      <c r="C1502" t="s">
        <v>229</v>
      </c>
      <c r="D1502" s="1" t="s">
        <v>2027</v>
      </c>
    </row>
    <row r="1503" spans="1:4" hidden="1" x14ac:dyDescent="0.3">
      <c r="A1503">
        <v>1501</v>
      </c>
      <c r="B1503" t="s">
        <v>2028</v>
      </c>
      <c r="C1503" t="s">
        <v>112</v>
      </c>
      <c r="D1503">
        <v>78.199723350180193</v>
      </c>
    </row>
    <row r="1504" spans="1:4" hidden="1" x14ac:dyDescent="0.3">
      <c r="A1504">
        <v>1502</v>
      </c>
      <c r="B1504" t="s">
        <v>2029</v>
      </c>
      <c r="C1504" t="s">
        <v>114</v>
      </c>
      <c r="D1504">
        <v>21.250055367756101</v>
      </c>
    </row>
    <row r="1505" spans="1:4" hidden="1" x14ac:dyDescent="0.3">
      <c r="A1505">
        <v>1503</v>
      </c>
      <c r="B1505" s="1" t="s">
        <v>2030</v>
      </c>
      <c r="C1505" t="s">
        <v>116</v>
      </c>
      <c r="D1505" s="1" t="s">
        <v>2031</v>
      </c>
    </row>
    <row r="1506" spans="1:4" hidden="1" x14ac:dyDescent="0.3">
      <c r="A1506">
        <v>1504</v>
      </c>
      <c r="B1506" t="s">
        <v>2032</v>
      </c>
      <c r="C1506" t="s">
        <v>119</v>
      </c>
      <c r="D1506">
        <v>81750347.906042799</v>
      </c>
    </row>
    <row r="1507" spans="1:4" hidden="1" x14ac:dyDescent="0.3">
      <c r="A1507">
        <v>1505</v>
      </c>
      <c r="B1507" t="s">
        <v>2033</v>
      </c>
      <c r="C1507" t="s">
        <v>121</v>
      </c>
      <c r="D1507">
        <v>39696830.295414902</v>
      </c>
    </row>
    <row r="1508" spans="1:4" hidden="1" x14ac:dyDescent="0.3">
      <c r="A1508">
        <v>1506</v>
      </c>
      <c r="B1508" s="1" t="s">
        <v>2034</v>
      </c>
      <c r="C1508" t="s">
        <v>123</v>
      </c>
      <c r="D1508" s="1" t="s">
        <v>2035</v>
      </c>
    </row>
    <row r="1509" spans="1:4" hidden="1" x14ac:dyDescent="0.3">
      <c r="A1509">
        <v>1507</v>
      </c>
      <c r="B1509" t="s">
        <v>2036</v>
      </c>
      <c r="C1509" t="s">
        <v>126</v>
      </c>
      <c r="D1509">
        <v>0.80788886580226904</v>
      </c>
    </row>
    <row r="1510" spans="1:4" hidden="1" x14ac:dyDescent="0.3">
      <c r="A1510">
        <v>1508</v>
      </c>
      <c r="B1510" t="s">
        <v>2037</v>
      </c>
      <c r="C1510" t="s">
        <v>128</v>
      </c>
      <c r="D1510">
        <v>0.39229958067172099</v>
      </c>
    </row>
    <row r="1511" spans="1:4" hidden="1" x14ac:dyDescent="0.3">
      <c r="A1511">
        <v>1509</v>
      </c>
      <c r="B1511" s="1" t="s">
        <v>2038</v>
      </c>
      <c r="C1511" t="s">
        <v>130</v>
      </c>
      <c r="D1511" s="1" t="s">
        <v>2039</v>
      </c>
    </row>
    <row r="1512" spans="1:4" hidden="1" x14ac:dyDescent="0.3">
      <c r="A1512">
        <v>1510</v>
      </c>
      <c r="B1512" s="1" t="s">
        <v>2040</v>
      </c>
      <c r="C1512" t="s">
        <v>4</v>
      </c>
      <c r="D1512" t="s">
        <v>2041</v>
      </c>
    </row>
    <row r="1513" spans="1:4" hidden="1" x14ac:dyDescent="0.3">
      <c r="A1513">
        <v>1511</v>
      </c>
      <c r="B1513" t="s">
        <v>2042</v>
      </c>
      <c r="C1513" t="s">
        <v>7</v>
      </c>
      <c r="D1513">
        <v>1877.53</v>
      </c>
    </row>
    <row r="1514" spans="1:4" hidden="1" x14ac:dyDescent="0.3">
      <c r="A1514">
        <v>1512</v>
      </c>
      <c r="B1514" s="1" t="s">
        <v>2043</v>
      </c>
      <c r="C1514" t="s">
        <v>9</v>
      </c>
      <c r="D1514" s="1" t="s">
        <v>2044</v>
      </c>
    </row>
    <row r="1515" spans="1:4" hidden="1" x14ac:dyDescent="0.3">
      <c r="A1515">
        <v>1513</v>
      </c>
      <c r="B1515" t="s">
        <v>2045</v>
      </c>
      <c r="C1515" t="s">
        <v>14</v>
      </c>
      <c r="D1515">
        <v>98.73828125</v>
      </c>
    </row>
    <row r="1516" spans="1:4" hidden="1" x14ac:dyDescent="0.3">
      <c r="A1516">
        <v>1514</v>
      </c>
      <c r="B1516" t="s">
        <v>2046</v>
      </c>
      <c r="C1516" t="s">
        <v>16</v>
      </c>
      <c r="D1516">
        <v>4.3830126668314202</v>
      </c>
    </row>
    <row r="1517" spans="1:4" hidden="1" x14ac:dyDescent="0.3">
      <c r="A1517">
        <v>1515</v>
      </c>
      <c r="B1517" s="1" t="s">
        <v>2047</v>
      </c>
      <c r="C1517" t="s">
        <v>140</v>
      </c>
      <c r="D1517" s="1" t="s">
        <v>2048</v>
      </c>
    </row>
    <row r="1518" spans="1:4" hidden="1" x14ac:dyDescent="0.3">
      <c r="A1518">
        <v>1516</v>
      </c>
      <c r="B1518" t="s">
        <v>1959</v>
      </c>
      <c r="C1518" t="s">
        <v>22</v>
      </c>
      <c r="D1518">
        <v>76.849999999999994</v>
      </c>
    </row>
    <row r="1519" spans="1:4" hidden="1" x14ac:dyDescent="0.3">
      <c r="A1519">
        <v>1517</v>
      </c>
      <c r="B1519" t="s">
        <v>2049</v>
      </c>
      <c r="C1519" t="s">
        <v>24</v>
      </c>
      <c r="D1519">
        <v>6.2383693310200803</v>
      </c>
    </row>
    <row r="1520" spans="1:4" hidden="1" x14ac:dyDescent="0.3">
      <c r="A1520">
        <v>1518</v>
      </c>
      <c r="B1520" s="1" t="s">
        <v>2050</v>
      </c>
      <c r="C1520" t="s">
        <v>145</v>
      </c>
      <c r="D1520" s="1" t="s">
        <v>2051</v>
      </c>
    </row>
    <row r="1521" spans="1:4" hidden="1" x14ac:dyDescent="0.3">
      <c r="A1521">
        <v>1519</v>
      </c>
      <c r="B1521" t="s">
        <v>2052</v>
      </c>
      <c r="C1521" t="s">
        <v>35</v>
      </c>
      <c r="D1521">
        <v>-4.6487630345589899E-2</v>
      </c>
    </row>
    <row r="1522" spans="1:4" hidden="1" x14ac:dyDescent="0.3">
      <c r="A1522">
        <v>1520</v>
      </c>
      <c r="B1522" t="s">
        <v>2053</v>
      </c>
      <c r="C1522" t="s">
        <v>149</v>
      </c>
      <c r="D1522">
        <v>0.67879862402903002</v>
      </c>
    </row>
    <row r="1523" spans="1:4" hidden="1" x14ac:dyDescent="0.3">
      <c r="A1523">
        <v>1521</v>
      </c>
      <c r="B1523" s="1" t="s">
        <v>2054</v>
      </c>
      <c r="C1523" t="s">
        <v>151</v>
      </c>
      <c r="D1523" s="1" t="s">
        <v>2055</v>
      </c>
    </row>
    <row r="1524" spans="1:4" hidden="1" x14ac:dyDescent="0.3">
      <c r="A1524">
        <v>1522</v>
      </c>
      <c r="B1524" t="s">
        <v>2056</v>
      </c>
      <c r="C1524" t="s">
        <v>30</v>
      </c>
      <c r="D1524">
        <v>0.41214707623299801</v>
      </c>
    </row>
    <row r="1525" spans="1:4" hidden="1" x14ac:dyDescent="0.3">
      <c r="A1525">
        <v>1523</v>
      </c>
      <c r="B1525" t="s">
        <v>2057</v>
      </c>
      <c r="C1525" t="s">
        <v>32</v>
      </c>
      <c r="D1525">
        <v>0.237732374696078</v>
      </c>
    </row>
    <row r="1526" spans="1:4" hidden="1" x14ac:dyDescent="0.3">
      <c r="A1526">
        <v>1524</v>
      </c>
      <c r="B1526" s="1" t="s">
        <v>2058</v>
      </c>
      <c r="C1526" t="s">
        <v>155</v>
      </c>
      <c r="D1526" s="1" t="s">
        <v>2059</v>
      </c>
    </row>
    <row r="1527" spans="1:4" hidden="1" x14ac:dyDescent="0.3">
      <c r="A1527">
        <v>1525</v>
      </c>
      <c r="B1527" t="s">
        <v>2060</v>
      </c>
      <c r="C1527" t="s">
        <v>40</v>
      </c>
      <c r="D1527">
        <v>0.63434055411259105</v>
      </c>
    </row>
    <row r="1528" spans="1:4" hidden="1" x14ac:dyDescent="0.3">
      <c r="A1528">
        <v>1526</v>
      </c>
      <c r="B1528" t="s">
        <v>2061</v>
      </c>
      <c r="C1528" t="s">
        <v>42</v>
      </c>
      <c r="D1528">
        <v>0.23545859034222399</v>
      </c>
    </row>
    <row r="1529" spans="1:4" hidden="1" x14ac:dyDescent="0.3">
      <c r="A1529">
        <v>1527</v>
      </c>
      <c r="B1529" s="1" t="s">
        <v>2062</v>
      </c>
      <c r="C1529" t="s">
        <v>159</v>
      </c>
      <c r="D1529" s="1" t="s">
        <v>2063</v>
      </c>
    </row>
    <row r="1530" spans="1:4" hidden="1" x14ac:dyDescent="0.3">
      <c r="A1530">
        <v>1528</v>
      </c>
      <c r="B1530" t="s">
        <v>2064</v>
      </c>
      <c r="C1530" t="s">
        <v>161</v>
      </c>
      <c r="D1530">
        <v>0.98894922860558998</v>
      </c>
    </row>
    <row r="1531" spans="1:4" hidden="1" x14ac:dyDescent="0.3">
      <c r="A1531">
        <v>1529</v>
      </c>
      <c r="B1531" t="s">
        <v>2065</v>
      </c>
      <c r="C1531" t="s">
        <v>163</v>
      </c>
      <c r="D1531">
        <v>0.998850799762806</v>
      </c>
    </row>
    <row r="1532" spans="1:4" hidden="1" x14ac:dyDescent="0.3">
      <c r="A1532">
        <v>1530</v>
      </c>
      <c r="B1532" s="1" t="s">
        <v>2066</v>
      </c>
      <c r="C1532" t="s">
        <v>165</v>
      </c>
      <c r="D1532" s="1" t="s">
        <v>2067</v>
      </c>
    </row>
    <row r="1533" spans="1:4" hidden="1" x14ac:dyDescent="0.3">
      <c r="A1533">
        <v>1531</v>
      </c>
      <c r="B1533" t="s">
        <v>2068</v>
      </c>
      <c r="C1533" t="s">
        <v>168</v>
      </c>
      <c r="D1533">
        <v>1.0003150829012299</v>
      </c>
    </row>
    <row r="1534" spans="1:4" hidden="1" x14ac:dyDescent="0.3">
      <c r="A1534">
        <v>1532</v>
      </c>
      <c r="B1534" t="s">
        <v>2069</v>
      </c>
      <c r="C1534" t="s">
        <v>170</v>
      </c>
      <c r="D1534">
        <v>1.0004171099738799</v>
      </c>
    </row>
    <row r="1535" spans="1:4" hidden="1" x14ac:dyDescent="0.3">
      <c r="A1535">
        <v>1533</v>
      </c>
      <c r="B1535" s="1" t="s">
        <v>2070</v>
      </c>
      <c r="C1535" t="s">
        <v>172</v>
      </c>
      <c r="D1535" s="1" t="s">
        <v>2071</v>
      </c>
    </row>
    <row r="1536" spans="1:4" hidden="1" x14ac:dyDescent="0.3">
      <c r="A1536">
        <v>1534</v>
      </c>
      <c r="B1536" s="1" t="s">
        <v>2072</v>
      </c>
      <c r="C1536" t="s">
        <v>55</v>
      </c>
      <c r="D1536" s="1" t="s">
        <v>2073</v>
      </c>
    </row>
    <row r="1537" spans="1:4" hidden="1" x14ac:dyDescent="0.3">
      <c r="A1537">
        <v>1535</v>
      </c>
      <c r="B1537" s="1" t="s">
        <v>2074</v>
      </c>
      <c r="C1537" t="s">
        <v>52</v>
      </c>
      <c r="D1537" s="1" t="s">
        <v>2075</v>
      </c>
    </row>
    <row r="1538" spans="1:4" hidden="1" x14ac:dyDescent="0.3">
      <c r="A1538">
        <v>1536</v>
      </c>
      <c r="B1538" s="1" t="s">
        <v>2076</v>
      </c>
      <c r="C1538" t="s">
        <v>58</v>
      </c>
      <c r="D1538" s="1" t="s">
        <v>2077</v>
      </c>
    </row>
    <row r="1539" spans="1:4" hidden="1" x14ac:dyDescent="0.3">
      <c r="A1539">
        <v>1537</v>
      </c>
      <c r="B1539" t="s">
        <v>2078</v>
      </c>
      <c r="C1539" t="s">
        <v>61</v>
      </c>
      <c r="D1539">
        <v>150805024.38398799</v>
      </c>
    </row>
    <row r="1540" spans="1:4" hidden="1" x14ac:dyDescent="0.3">
      <c r="A1540">
        <v>1538</v>
      </c>
      <c r="B1540" t="s">
        <v>2079</v>
      </c>
      <c r="C1540" t="s">
        <v>63</v>
      </c>
      <c r="D1540">
        <v>80846943.499919593</v>
      </c>
    </row>
    <row r="1541" spans="1:4" hidden="1" x14ac:dyDescent="0.3">
      <c r="A1541">
        <v>1539</v>
      </c>
      <c r="B1541" t="s">
        <v>2080</v>
      </c>
      <c r="C1541" t="s">
        <v>65</v>
      </c>
      <c r="D1541">
        <v>39651210.6886236</v>
      </c>
    </row>
    <row r="1542" spans="1:4" hidden="1" x14ac:dyDescent="0.3">
      <c r="A1542">
        <v>1540</v>
      </c>
      <c r="B1542" s="1" t="s">
        <v>2081</v>
      </c>
      <c r="C1542" t="s">
        <v>67</v>
      </c>
      <c r="D1542" s="1" t="s">
        <v>2082</v>
      </c>
    </row>
    <row r="1543" spans="1:4" hidden="1" x14ac:dyDescent="0.3">
      <c r="A1543">
        <v>1541</v>
      </c>
      <c r="B1543" s="1" t="s">
        <v>2083</v>
      </c>
      <c r="C1543" t="s">
        <v>70</v>
      </c>
      <c r="D1543" s="1" t="s">
        <v>2084</v>
      </c>
    </row>
    <row r="1544" spans="1:4" hidden="1" x14ac:dyDescent="0.3">
      <c r="A1544">
        <v>1542</v>
      </c>
      <c r="B1544" t="s">
        <v>2085</v>
      </c>
      <c r="C1544" t="s">
        <v>73</v>
      </c>
      <c r="D1544">
        <v>1.0000251413808601</v>
      </c>
    </row>
    <row r="1545" spans="1:4" hidden="1" x14ac:dyDescent="0.3">
      <c r="A1545">
        <v>1543</v>
      </c>
      <c r="B1545" t="s">
        <v>74</v>
      </c>
      <c r="C1545" t="s">
        <v>75</v>
      </c>
      <c r="D1545">
        <v>2.7397260273972599E-3</v>
      </c>
    </row>
    <row r="1546" spans="1:4" hidden="1" x14ac:dyDescent="0.3">
      <c r="A1546">
        <v>1544</v>
      </c>
      <c r="B1546" t="s">
        <v>76</v>
      </c>
      <c r="C1546" t="s">
        <v>77</v>
      </c>
      <c r="D1546">
        <v>0</v>
      </c>
    </row>
    <row r="1547" spans="1:4" hidden="1" x14ac:dyDescent="0.3">
      <c r="A1547">
        <v>1545</v>
      </c>
      <c r="B1547" t="s">
        <v>1459</v>
      </c>
      <c r="C1547" t="s">
        <v>79</v>
      </c>
      <c r="D1547" s="2">
        <v>-2.2204460492503101E-16</v>
      </c>
    </row>
    <row r="1548" spans="1:4" hidden="1" x14ac:dyDescent="0.3">
      <c r="A1548">
        <v>1546</v>
      </c>
      <c r="B1548" s="1" t="s">
        <v>2086</v>
      </c>
      <c r="C1548" t="s">
        <v>81</v>
      </c>
      <c r="D1548" s="1" t="s">
        <v>2087</v>
      </c>
    </row>
    <row r="1549" spans="1:4" hidden="1" x14ac:dyDescent="0.3">
      <c r="A1549">
        <v>1547</v>
      </c>
      <c r="B1549" t="s">
        <v>2088</v>
      </c>
      <c r="C1549" t="s">
        <v>84</v>
      </c>
      <c r="D1549">
        <v>1.0000189459070099</v>
      </c>
    </row>
    <row r="1550" spans="1:4" hidden="1" x14ac:dyDescent="0.3">
      <c r="A1550">
        <v>1548</v>
      </c>
      <c r="B1550" s="1" t="s">
        <v>2089</v>
      </c>
      <c r="C1550" t="s">
        <v>86</v>
      </c>
      <c r="D1550" s="1" t="s">
        <v>2090</v>
      </c>
    </row>
    <row r="1551" spans="1:4" hidden="1" x14ac:dyDescent="0.3">
      <c r="A1551">
        <v>1549</v>
      </c>
      <c r="B1551" t="s">
        <v>2091</v>
      </c>
      <c r="C1551" t="s">
        <v>89</v>
      </c>
      <c r="D1551">
        <v>101187862.387621</v>
      </c>
    </row>
    <row r="1552" spans="1:4" hidden="1" x14ac:dyDescent="0.3">
      <c r="A1552">
        <v>1550</v>
      </c>
      <c r="B1552" s="1" t="s">
        <v>2092</v>
      </c>
      <c r="C1552" t="s">
        <v>91</v>
      </c>
      <c r="D1552" s="1" t="s">
        <v>2027</v>
      </c>
    </row>
    <row r="1553" spans="1:4" hidden="1" x14ac:dyDescent="0.3">
      <c r="A1553">
        <v>1551</v>
      </c>
      <c r="B1553" t="s">
        <v>2093</v>
      </c>
      <c r="C1553" t="s">
        <v>94</v>
      </c>
      <c r="D1553">
        <v>80846943.499919593</v>
      </c>
    </row>
    <row r="1554" spans="1:4" hidden="1" x14ac:dyDescent="0.3">
      <c r="A1554">
        <v>1552</v>
      </c>
      <c r="B1554" t="s">
        <v>2094</v>
      </c>
      <c r="C1554" t="s">
        <v>96</v>
      </c>
      <c r="D1554">
        <v>39651210.6886236</v>
      </c>
    </row>
    <row r="1555" spans="1:4" hidden="1" x14ac:dyDescent="0.3">
      <c r="A1555">
        <v>1553</v>
      </c>
      <c r="B1555" t="s">
        <v>2095</v>
      </c>
      <c r="C1555" t="s">
        <v>98</v>
      </c>
      <c r="D1555">
        <v>30306870.195445601</v>
      </c>
    </row>
    <row r="1556" spans="1:4" hidden="1" x14ac:dyDescent="0.3">
      <c r="A1556">
        <v>1554</v>
      </c>
      <c r="B1556" s="1" t="s">
        <v>2096</v>
      </c>
      <c r="C1556" t="s">
        <v>100</v>
      </c>
      <c r="D1556" s="1" t="s">
        <v>2097</v>
      </c>
    </row>
    <row r="1557" spans="1:4" hidden="1" x14ac:dyDescent="0.3">
      <c r="A1557">
        <v>1555</v>
      </c>
      <c r="B1557" t="s">
        <v>2098</v>
      </c>
      <c r="C1557" t="s">
        <v>103</v>
      </c>
      <c r="D1557">
        <v>8.6565564840426403E-3</v>
      </c>
    </row>
    <row r="1558" spans="1:4" hidden="1" x14ac:dyDescent="0.3">
      <c r="A1558">
        <v>1556</v>
      </c>
      <c r="B1558" t="s">
        <v>2099</v>
      </c>
      <c r="C1558" t="s">
        <v>105</v>
      </c>
      <c r="D1558">
        <v>1.7384540142668301E-3</v>
      </c>
    </row>
    <row r="1559" spans="1:4" hidden="1" x14ac:dyDescent="0.3">
      <c r="A1559">
        <v>1557</v>
      </c>
      <c r="B1559" t="s">
        <v>2100</v>
      </c>
      <c r="C1559" t="s">
        <v>107</v>
      </c>
      <c r="D1559">
        <v>1.0540960227191601E-2</v>
      </c>
    </row>
    <row r="1560" spans="1:4" hidden="1" x14ac:dyDescent="0.3">
      <c r="A1560">
        <v>1558</v>
      </c>
      <c r="B1560" s="1" t="s">
        <v>2101</v>
      </c>
      <c r="C1560" t="s">
        <v>109</v>
      </c>
      <c r="D1560" s="1" t="s">
        <v>2102</v>
      </c>
    </row>
    <row r="1561" spans="1:4" x14ac:dyDescent="0.3">
      <c r="A1561">
        <v>1559</v>
      </c>
      <c r="B1561" t="s">
        <v>2103</v>
      </c>
      <c r="C1561" t="s">
        <v>207</v>
      </c>
      <c r="D1561">
        <v>150804807.07215801</v>
      </c>
    </row>
    <row r="1562" spans="1:4" hidden="1" x14ac:dyDescent="0.3">
      <c r="A1562">
        <v>1560</v>
      </c>
      <c r="B1562" t="s">
        <v>2104</v>
      </c>
      <c r="C1562" t="s">
        <v>209</v>
      </c>
      <c r="D1562">
        <v>500.87160259856898</v>
      </c>
    </row>
    <row r="1563" spans="1:4" hidden="1" x14ac:dyDescent="0.3">
      <c r="A1563">
        <v>1561</v>
      </c>
      <c r="B1563" t="s">
        <v>2105</v>
      </c>
      <c r="C1563" t="s">
        <v>211</v>
      </c>
      <c r="D1563">
        <v>245.651604014968</v>
      </c>
    </row>
    <row r="1564" spans="1:4" hidden="1" x14ac:dyDescent="0.3">
      <c r="A1564">
        <v>1562</v>
      </c>
      <c r="B1564" s="1" t="s">
        <v>2106</v>
      </c>
      <c r="C1564" t="s">
        <v>213</v>
      </c>
      <c r="D1564" s="1" t="s">
        <v>2107</v>
      </c>
    </row>
    <row r="1565" spans="1:4" hidden="1" x14ac:dyDescent="0.3">
      <c r="A1565">
        <v>1563</v>
      </c>
      <c r="B1565" t="s">
        <v>2108</v>
      </c>
      <c r="C1565" t="s">
        <v>216</v>
      </c>
      <c r="D1565">
        <v>80846292.6281721</v>
      </c>
    </row>
    <row r="1566" spans="1:4" hidden="1" x14ac:dyDescent="0.3">
      <c r="A1566">
        <v>1564</v>
      </c>
      <c r="B1566" t="s">
        <v>2109</v>
      </c>
      <c r="C1566" t="s">
        <v>218</v>
      </c>
      <c r="D1566">
        <v>39650923.230101898</v>
      </c>
    </row>
    <row r="1567" spans="1:4" hidden="1" x14ac:dyDescent="0.3">
      <c r="A1567">
        <v>1565</v>
      </c>
      <c r="B1567" t="s">
        <v>2110</v>
      </c>
      <c r="C1567" t="s">
        <v>220</v>
      </c>
      <c r="D1567">
        <v>30306656.930134501</v>
      </c>
    </row>
    <row r="1568" spans="1:4" hidden="1" x14ac:dyDescent="0.3">
      <c r="A1568">
        <v>1566</v>
      </c>
      <c r="B1568" s="1" t="s">
        <v>2111</v>
      </c>
      <c r="C1568" t="s">
        <v>222</v>
      </c>
      <c r="D1568" s="1" t="s">
        <v>2112</v>
      </c>
    </row>
    <row r="1569" spans="1:4" hidden="1" x14ac:dyDescent="0.3">
      <c r="A1569">
        <v>1567</v>
      </c>
      <c r="B1569" t="s">
        <v>2113</v>
      </c>
      <c r="C1569" t="s">
        <v>225</v>
      </c>
      <c r="D1569">
        <v>101187235.496627</v>
      </c>
    </row>
    <row r="1570" spans="1:4" hidden="1" x14ac:dyDescent="0.3">
      <c r="A1570">
        <v>1568</v>
      </c>
      <c r="B1570" t="s">
        <v>2114</v>
      </c>
      <c r="C1570" t="s">
        <v>227</v>
      </c>
      <c r="D1570">
        <v>626.89099472761097</v>
      </c>
    </row>
    <row r="1571" spans="1:4" hidden="1" x14ac:dyDescent="0.3">
      <c r="A1571">
        <v>1569</v>
      </c>
      <c r="B1571" s="1" t="s">
        <v>2115</v>
      </c>
      <c r="C1571" t="s">
        <v>229</v>
      </c>
      <c r="D1571" s="1" t="s">
        <v>2116</v>
      </c>
    </row>
    <row r="1572" spans="1:4" hidden="1" x14ac:dyDescent="0.3">
      <c r="A1572">
        <v>1570</v>
      </c>
      <c r="B1572" t="s">
        <v>2117</v>
      </c>
      <c r="C1572" t="s">
        <v>112</v>
      </c>
      <c r="D1572">
        <v>-150.000144915676</v>
      </c>
    </row>
    <row r="1573" spans="1:4" hidden="1" x14ac:dyDescent="0.3">
      <c r="A1573">
        <v>1571</v>
      </c>
      <c r="B1573" t="s">
        <v>2118</v>
      </c>
      <c r="C1573" t="s">
        <v>114</v>
      </c>
      <c r="D1573">
        <v>-41.806917664607099</v>
      </c>
    </row>
    <row r="1574" spans="1:4" hidden="1" x14ac:dyDescent="0.3">
      <c r="A1574">
        <v>1572</v>
      </c>
      <c r="B1574" s="1" t="s">
        <v>2119</v>
      </c>
      <c r="C1574" t="s">
        <v>116</v>
      </c>
      <c r="D1574" s="1" t="s">
        <v>2120</v>
      </c>
    </row>
    <row r="1575" spans="1:4" hidden="1" x14ac:dyDescent="0.3">
      <c r="A1575">
        <v>1573</v>
      </c>
      <c r="B1575" t="s">
        <v>2121</v>
      </c>
      <c r="C1575" t="s">
        <v>119</v>
      </c>
      <c r="D1575">
        <v>80846292.6281721</v>
      </c>
    </row>
    <row r="1576" spans="1:4" hidden="1" x14ac:dyDescent="0.3">
      <c r="A1576">
        <v>1574</v>
      </c>
      <c r="B1576" t="s">
        <v>2122</v>
      </c>
      <c r="C1576" t="s">
        <v>121</v>
      </c>
      <c r="D1576">
        <v>39650923.230101898</v>
      </c>
    </row>
    <row r="1577" spans="1:4" hidden="1" x14ac:dyDescent="0.3">
      <c r="A1577">
        <v>1575</v>
      </c>
      <c r="B1577" s="1" t="s">
        <v>2123</v>
      </c>
      <c r="C1577" t="s">
        <v>123</v>
      </c>
      <c r="D1577" s="1" t="s">
        <v>2124</v>
      </c>
    </row>
    <row r="1578" spans="1:4" hidden="1" x14ac:dyDescent="0.3">
      <c r="A1578">
        <v>1576</v>
      </c>
      <c r="B1578" t="s">
        <v>2125</v>
      </c>
      <c r="C1578" t="s">
        <v>126</v>
      </c>
      <c r="D1578">
        <v>0.798962048464537</v>
      </c>
    </row>
    <row r="1579" spans="1:4" hidden="1" x14ac:dyDescent="0.3">
      <c r="A1579">
        <v>1577</v>
      </c>
      <c r="B1579" t="s">
        <v>2126</v>
      </c>
      <c r="C1579" t="s">
        <v>128</v>
      </c>
      <c r="D1579">
        <v>0.39184954334434202</v>
      </c>
    </row>
    <row r="1580" spans="1:4" hidden="1" x14ac:dyDescent="0.3">
      <c r="A1580">
        <v>1578</v>
      </c>
      <c r="B1580" s="1" t="s">
        <v>2127</v>
      </c>
      <c r="C1580" t="s">
        <v>130</v>
      </c>
      <c r="D1580" s="1" t="s">
        <v>2128</v>
      </c>
    </row>
    <row r="1581" spans="1:4" hidden="1" x14ac:dyDescent="0.3">
      <c r="A1581">
        <v>1579</v>
      </c>
      <c r="B1581" s="1" t="s">
        <v>2129</v>
      </c>
      <c r="C1581" t="s">
        <v>4</v>
      </c>
      <c r="D1581" t="s">
        <v>2130</v>
      </c>
    </row>
    <row r="1582" spans="1:4" hidden="1" x14ac:dyDescent="0.3">
      <c r="A1582">
        <v>1580</v>
      </c>
      <c r="B1582" t="s">
        <v>2131</v>
      </c>
      <c r="C1582" t="s">
        <v>7</v>
      </c>
      <c r="D1582">
        <v>1859.02</v>
      </c>
    </row>
    <row r="1583" spans="1:4" hidden="1" x14ac:dyDescent="0.3">
      <c r="A1583">
        <v>1581</v>
      </c>
      <c r="B1583" s="1" t="s">
        <v>2132</v>
      </c>
      <c r="C1583" t="s">
        <v>9</v>
      </c>
      <c r="D1583" s="1" t="s">
        <v>2133</v>
      </c>
    </row>
    <row r="1584" spans="1:4" hidden="1" x14ac:dyDescent="0.3">
      <c r="A1584">
        <v>1582</v>
      </c>
      <c r="B1584" t="s">
        <v>2134</v>
      </c>
      <c r="C1584" t="s">
        <v>14</v>
      </c>
      <c r="D1584">
        <v>98.5625</v>
      </c>
    </row>
    <row r="1585" spans="1:4" hidden="1" x14ac:dyDescent="0.3">
      <c r="A1585">
        <v>1583</v>
      </c>
      <c r="B1585" t="s">
        <v>2135</v>
      </c>
      <c r="C1585" t="s">
        <v>16</v>
      </c>
      <c r="D1585">
        <v>4.3800409958859401</v>
      </c>
    </row>
    <row r="1586" spans="1:4" hidden="1" x14ac:dyDescent="0.3">
      <c r="A1586">
        <v>1584</v>
      </c>
      <c r="B1586" s="1" t="s">
        <v>2136</v>
      </c>
      <c r="C1586" t="s">
        <v>140</v>
      </c>
      <c r="D1586" s="1" t="s">
        <v>2137</v>
      </c>
    </row>
    <row r="1587" spans="1:4" hidden="1" x14ac:dyDescent="0.3">
      <c r="A1587">
        <v>1585</v>
      </c>
      <c r="B1587" t="s">
        <v>2138</v>
      </c>
      <c r="C1587" t="s">
        <v>22</v>
      </c>
      <c r="D1587">
        <v>76.099999999999994</v>
      </c>
    </row>
    <row r="1588" spans="1:4" hidden="1" x14ac:dyDescent="0.3">
      <c r="A1588">
        <v>1586</v>
      </c>
      <c r="B1588" t="s">
        <v>2139</v>
      </c>
      <c r="C1588" t="s">
        <v>24</v>
      </c>
      <c r="D1588">
        <v>6.2276735152325902</v>
      </c>
    </row>
    <row r="1589" spans="1:4" hidden="1" x14ac:dyDescent="0.3">
      <c r="A1589">
        <v>1587</v>
      </c>
      <c r="B1589" s="1" t="s">
        <v>2140</v>
      </c>
      <c r="C1589" t="s">
        <v>145</v>
      </c>
      <c r="D1589" s="1" t="s">
        <v>2141</v>
      </c>
    </row>
    <row r="1590" spans="1:4" hidden="1" x14ac:dyDescent="0.3">
      <c r="A1590">
        <v>1588</v>
      </c>
      <c r="B1590" t="s">
        <v>2142</v>
      </c>
      <c r="C1590" t="s">
        <v>35</v>
      </c>
      <c r="D1590">
        <v>0.452359224196212</v>
      </c>
    </row>
    <row r="1591" spans="1:4" hidden="1" x14ac:dyDescent="0.3">
      <c r="A1591">
        <v>1589</v>
      </c>
      <c r="B1591" t="s">
        <v>2143</v>
      </c>
      <c r="C1591" t="s">
        <v>149</v>
      </c>
      <c r="D1591">
        <v>0.68074697864960099</v>
      </c>
    </row>
    <row r="1592" spans="1:4" hidden="1" x14ac:dyDescent="0.3">
      <c r="A1592">
        <v>1590</v>
      </c>
      <c r="B1592" s="1" t="s">
        <v>2144</v>
      </c>
      <c r="C1592" t="s">
        <v>151</v>
      </c>
      <c r="D1592" s="1" t="s">
        <v>2145</v>
      </c>
    </row>
    <row r="1593" spans="1:4" hidden="1" x14ac:dyDescent="0.3">
      <c r="A1593">
        <v>1591</v>
      </c>
      <c r="B1593" t="s">
        <v>2146</v>
      </c>
      <c r="C1593" t="s">
        <v>30</v>
      </c>
      <c r="D1593">
        <v>0.21489215696172301</v>
      </c>
    </row>
    <row r="1594" spans="1:4" hidden="1" x14ac:dyDescent="0.3">
      <c r="A1594">
        <v>1592</v>
      </c>
      <c r="B1594" t="s">
        <v>2147</v>
      </c>
      <c r="C1594" t="s">
        <v>32</v>
      </c>
      <c r="D1594">
        <v>0.236539047704343</v>
      </c>
    </row>
    <row r="1595" spans="1:4" hidden="1" x14ac:dyDescent="0.3">
      <c r="A1595">
        <v>1593</v>
      </c>
      <c r="B1595" s="1" t="s">
        <v>2148</v>
      </c>
      <c r="C1595" t="s">
        <v>155</v>
      </c>
      <c r="D1595" s="1" t="s">
        <v>2149</v>
      </c>
    </row>
    <row r="1596" spans="1:4" hidden="1" x14ac:dyDescent="0.3">
      <c r="A1596">
        <v>1594</v>
      </c>
      <c r="B1596" t="s">
        <v>2150</v>
      </c>
      <c r="C1596" t="s">
        <v>40</v>
      </c>
      <c r="D1596">
        <v>0.33274861884206403</v>
      </c>
    </row>
    <row r="1597" spans="1:4" hidden="1" x14ac:dyDescent="0.3">
      <c r="A1597">
        <v>1595</v>
      </c>
      <c r="B1597" t="s">
        <v>2151</v>
      </c>
      <c r="C1597" t="s">
        <v>42</v>
      </c>
      <c r="D1597">
        <v>0.232435521942223</v>
      </c>
    </row>
    <row r="1598" spans="1:4" hidden="1" x14ac:dyDescent="0.3">
      <c r="A1598">
        <v>1596</v>
      </c>
      <c r="B1598" s="1" t="s">
        <v>2152</v>
      </c>
      <c r="C1598" t="s">
        <v>159</v>
      </c>
      <c r="D1598" s="1" t="s">
        <v>2153</v>
      </c>
    </row>
    <row r="1599" spans="1:4" hidden="1" x14ac:dyDescent="0.3">
      <c r="A1599">
        <v>1597</v>
      </c>
      <c r="B1599" t="s">
        <v>2154</v>
      </c>
      <c r="C1599" t="s">
        <v>161</v>
      </c>
      <c r="D1599">
        <v>0.99014130266893197</v>
      </c>
    </row>
    <row r="1600" spans="1:4" hidden="1" x14ac:dyDescent="0.3">
      <c r="A1600">
        <v>1598</v>
      </c>
      <c r="B1600" t="s">
        <v>2155</v>
      </c>
      <c r="C1600" t="s">
        <v>163</v>
      </c>
      <c r="D1600">
        <v>0.99826657604694402</v>
      </c>
    </row>
    <row r="1601" spans="1:4" hidden="1" x14ac:dyDescent="0.3">
      <c r="A1601">
        <v>1599</v>
      </c>
      <c r="B1601" s="1" t="s">
        <v>2156</v>
      </c>
      <c r="C1601" t="s">
        <v>165</v>
      </c>
      <c r="D1601" s="1" t="s">
        <v>2157</v>
      </c>
    </row>
    <row r="1602" spans="1:4" hidden="1" x14ac:dyDescent="0.3">
      <c r="A1602">
        <v>1600</v>
      </c>
      <c r="B1602" t="s">
        <v>2158</v>
      </c>
      <c r="C1602" t="s">
        <v>168</v>
      </c>
      <c r="D1602">
        <v>1.0011605648185999</v>
      </c>
    </row>
    <row r="1603" spans="1:4" hidden="1" x14ac:dyDescent="0.3">
      <c r="A1603">
        <v>1601</v>
      </c>
      <c r="B1603" t="s">
        <v>2159</v>
      </c>
      <c r="C1603" t="s">
        <v>170</v>
      </c>
      <c r="D1603">
        <v>0.99903587640096403</v>
      </c>
    </row>
    <row r="1604" spans="1:4" hidden="1" x14ac:dyDescent="0.3">
      <c r="A1604">
        <v>1602</v>
      </c>
      <c r="B1604" s="1" t="s">
        <v>2160</v>
      </c>
      <c r="C1604" t="s">
        <v>172</v>
      </c>
      <c r="D1604" s="1" t="s">
        <v>2161</v>
      </c>
    </row>
    <row r="1605" spans="1:4" hidden="1" x14ac:dyDescent="0.3">
      <c r="A1605">
        <v>1603</v>
      </c>
      <c r="B1605" s="1" t="s">
        <v>2162</v>
      </c>
      <c r="C1605" t="s">
        <v>55</v>
      </c>
      <c r="D1605" s="1" t="s">
        <v>2163</v>
      </c>
    </row>
    <row r="1606" spans="1:4" hidden="1" x14ac:dyDescent="0.3">
      <c r="A1606">
        <v>1604</v>
      </c>
      <c r="B1606" s="1" t="s">
        <v>2164</v>
      </c>
      <c r="C1606" t="s">
        <v>52</v>
      </c>
      <c r="D1606" s="1" t="s">
        <v>2165</v>
      </c>
    </row>
    <row r="1607" spans="1:4" hidden="1" x14ac:dyDescent="0.3">
      <c r="A1607">
        <v>1605</v>
      </c>
      <c r="B1607" s="1" t="s">
        <v>2166</v>
      </c>
      <c r="C1607" t="s">
        <v>58</v>
      </c>
      <c r="D1607" s="1" t="s">
        <v>2167</v>
      </c>
    </row>
    <row r="1608" spans="1:4" hidden="1" x14ac:dyDescent="0.3">
      <c r="A1608">
        <v>1606</v>
      </c>
      <c r="B1608" t="s">
        <v>2168</v>
      </c>
      <c r="C1608" t="s">
        <v>61</v>
      </c>
      <c r="D1608">
        <v>149660636.40515301</v>
      </c>
    </row>
    <row r="1609" spans="1:4" hidden="1" x14ac:dyDescent="0.3">
      <c r="A1609">
        <v>1607</v>
      </c>
      <c r="B1609" t="s">
        <v>2169</v>
      </c>
      <c r="C1609" t="s">
        <v>63</v>
      </c>
      <c r="D1609">
        <v>80049253.498812005</v>
      </c>
    </row>
    <row r="1610" spans="1:4" hidden="1" x14ac:dyDescent="0.3">
      <c r="A1610">
        <v>1608</v>
      </c>
      <c r="B1610" t="s">
        <v>2170</v>
      </c>
      <c r="C1610" t="s">
        <v>65</v>
      </c>
      <c r="D1610">
        <v>39582191.370014101</v>
      </c>
    </row>
    <row r="1611" spans="1:4" hidden="1" x14ac:dyDescent="0.3">
      <c r="A1611">
        <v>1609</v>
      </c>
      <c r="B1611" s="1" t="s">
        <v>2171</v>
      </c>
      <c r="C1611" t="s">
        <v>67</v>
      </c>
      <c r="D1611" s="1" t="s">
        <v>2172</v>
      </c>
    </row>
    <row r="1612" spans="1:4" hidden="1" x14ac:dyDescent="0.3">
      <c r="A1612">
        <v>1610</v>
      </c>
      <c r="B1612" s="1" t="s">
        <v>2173</v>
      </c>
      <c r="C1612" t="s">
        <v>70</v>
      </c>
      <c r="D1612" s="1" t="s">
        <v>2174</v>
      </c>
    </row>
    <row r="1613" spans="1:4" hidden="1" x14ac:dyDescent="0.3">
      <c r="A1613">
        <v>1611</v>
      </c>
      <c r="B1613" t="s">
        <v>2175</v>
      </c>
      <c r="C1613" t="s">
        <v>73</v>
      </c>
      <c r="D1613">
        <v>1.0000189459070099</v>
      </c>
    </row>
    <row r="1614" spans="1:4" hidden="1" x14ac:dyDescent="0.3">
      <c r="A1614">
        <v>1612</v>
      </c>
      <c r="B1614" t="s">
        <v>74</v>
      </c>
      <c r="C1614" t="s">
        <v>75</v>
      </c>
      <c r="D1614">
        <v>2.7397260273972599E-3</v>
      </c>
    </row>
    <row r="1615" spans="1:4" hidden="1" x14ac:dyDescent="0.3">
      <c r="A1615">
        <v>1613</v>
      </c>
      <c r="B1615" t="s">
        <v>76</v>
      </c>
      <c r="C1615" t="s">
        <v>77</v>
      </c>
      <c r="D1615">
        <v>0</v>
      </c>
    </row>
    <row r="1616" spans="1:4" hidden="1" x14ac:dyDescent="0.3">
      <c r="A1616">
        <v>1614</v>
      </c>
      <c r="B1616" t="s">
        <v>78</v>
      </c>
      <c r="C1616" t="s">
        <v>79</v>
      </c>
      <c r="D1616">
        <v>0</v>
      </c>
    </row>
    <row r="1617" spans="1:4" hidden="1" x14ac:dyDescent="0.3">
      <c r="A1617">
        <v>1615</v>
      </c>
      <c r="B1617" s="1" t="s">
        <v>2176</v>
      </c>
      <c r="C1617" t="s">
        <v>81</v>
      </c>
      <c r="D1617" s="1" t="s">
        <v>2177</v>
      </c>
    </row>
    <row r="1618" spans="1:4" hidden="1" x14ac:dyDescent="0.3">
      <c r="A1618">
        <v>1616</v>
      </c>
      <c r="B1618" t="s">
        <v>2178</v>
      </c>
      <c r="C1618" t="s">
        <v>84</v>
      </c>
      <c r="D1618">
        <v>1.00003596882025</v>
      </c>
    </row>
    <row r="1619" spans="1:4" hidden="1" x14ac:dyDescent="0.3">
      <c r="A1619">
        <v>1617</v>
      </c>
      <c r="B1619" s="1" t="s">
        <v>2179</v>
      </c>
      <c r="C1619" t="s">
        <v>86</v>
      </c>
      <c r="D1619" s="1" t="s">
        <v>2180</v>
      </c>
    </row>
    <row r="1620" spans="1:4" hidden="1" x14ac:dyDescent="0.3">
      <c r="A1620">
        <v>1618</v>
      </c>
      <c r="B1620" t="s">
        <v>2181</v>
      </c>
      <c r="C1620" t="s">
        <v>89</v>
      </c>
      <c r="D1620">
        <v>101186139.937374</v>
      </c>
    </row>
    <row r="1621" spans="1:4" hidden="1" x14ac:dyDescent="0.3">
      <c r="A1621">
        <v>1619</v>
      </c>
      <c r="B1621" s="1" t="s">
        <v>2182</v>
      </c>
      <c r="C1621" t="s">
        <v>91</v>
      </c>
      <c r="D1621" s="1" t="s">
        <v>2116</v>
      </c>
    </row>
    <row r="1622" spans="1:4" hidden="1" x14ac:dyDescent="0.3">
      <c r="A1622">
        <v>1620</v>
      </c>
      <c r="B1622" t="s">
        <v>2183</v>
      </c>
      <c r="C1622" t="s">
        <v>94</v>
      </c>
      <c r="D1622">
        <v>80049253.498812005</v>
      </c>
    </row>
    <row r="1623" spans="1:4" hidden="1" x14ac:dyDescent="0.3">
      <c r="A1623">
        <v>1621</v>
      </c>
      <c r="B1623" t="s">
        <v>2184</v>
      </c>
      <c r="C1623" t="s">
        <v>96</v>
      </c>
      <c r="D1623">
        <v>39582191.370014101</v>
      </c>
    </row>
    <row r="1624" spans="1:4" hidden="1" x14ac:dyDescent="0.3">
      <c r="A1624">
        <v>1622</v>
      </c>
      <c r="B1624" t="s">
        <v>2185</v>
      </c>
      <c r="C1624" t="s">
        <v>98</v>
      </c>
      <c r="D1624">
        <v>30029191.536327001</v>
      </c>
    </row>
    <row r="1625" spans="1:4" hidden="1" x14ac:dyDescent="0.3">
      <c r="A1625">
        <v>1623</v>
      </c>
      <c r="B1625" s="1" t="s">
        <v>2186</v>
      </c>
      <c r="C1625" t="s">
        <v>100</v>
      </c>
      <c r="D1625" s="1" t="s">
        <v>2187</v>
      </c>
    </row>
    <row r="1626" spans="1:4" hidden="1" x14ac:dyDescent="0.3">
      <c r="A1626">
        <v>1624</v>
      </c>
      <c r="B1626" t="s">
        <v>2188</v>
      </c>
      <c r="C1626" t="s">
        <v>103</v>
      </c>
      <c r="D1626">
        <v>8.7153873275836007E-3</v>
      </c>
    </row>
    <row r="1627" spans="1:4" hidden="1" x14ac:dyDescent="0.3">
      <c r="A1627">
        <v>1625</v>
      </c>
      <c r="B1627" t="s">
        <v>2189</v>
      </c>
      <c r="C1627" t="s">
        <v>105</v>
      </c>
      <c r="D1627">
        <v>1.73963741485844E-3</v>
      </c>
    </row>
    <row r="1628" spans="1:4" hidden="1" x14ac:dyDescent="0.3">
      <c r="A1628">
        <v>1626</v>
      </c>
      <c r="B1628" t="s">
        <v>2190</v>
      </c>
      <c r="C1628" t="s">
        <v>107</v>
      </c>
      <c r="D1628">
        <v>1.0580681239679901E-2</v>
      </c>
    </row>
    <row r="1629" spans="1:4" hidden="1" x14ac:dyDescent="0.3">
      <c r="A1629">
        <v>1627</v>
      </c>
      <c r="B1629" s="1" t="s">
        <v>2191</v>
      </c>
      <c r="C1629" t="s">
        <v>109</v>
      </c>
      <c r="D1629" s="1" t="s">
        <v>2192</v>
      </c>
    </row>
    <row r="1630" spans="1:4" x14ac:dyDescent="0.3">
      <c r="A1630">
        <v>1628</v>
      </c>
      <c r="B1630" t="s">
        <v>2193</v>
      </c>
      <c r="C1630" t="s">
        <v>207</v>
      </c>
      <c r="D1630">
        <v>149661233.45096299</v>
      </c>
    </row>
    <row r="1631" spans="1:4" hidden="1" x14ac:dyDescent="0.3">
      <c r="A1631">
        <v>1629</v>
      </c>
      <c r="B1631" t="s">
        <v>2194</v>
      </c>
      <c r="C1631" t="s">
        <v>209</v>
      </c>
      <c r="D1631">
        <v>-1362.65352194501</v>
      </c>
    </row>
    <row r="1632" spans="1:4" hidden="1" x14ac:dyDescent="0.3">
      <c r="A1632">
        <v>1630</v>
      </c>
      <c r="B1632" t="s">
        <v>2195</v>
      </c>
      <c r="C1632" t="s">
        <v>211</v>
      </c>
      <c r="D1632">
        <v>-673.79289420614896</v>
      </c>
    </row>
    <row r="1633" spans="1:4" hidden="1" x14ac:dyDescent="0.3">
      <c r="A1633">
        <v>1631</v>
      </c>
      <c r="B1633" s="1" t="s">
        <v>2196</v>
      </c>
      <c r="C1633" t="s">
        <v>213</v>
      </c>
      <c r="D1633" s="1" t="s">
        <v>2197</v>
      </c>
    </row>
    <row r="1634" spans="1:4" hidden="1" x14ac:dyDescent="0.3">
      <c r="A1634">
        <v>1632</v>
      </c>
      <c r="B1634" t="s">
        <v>2198</v>
      </c>
      <c r="C1634" t="s">
        <v>216</v>
      </c>
      <c r="D1634">
        <v>80051076.806090698</v>
      </c>
    </row>
    <row r="1635" spans="1:4" hidden="1" x14ac:dyDescent="0.3">
      <c r="A1635">
        <v>1633</v>
      </c>
      <c r="B1635" t="s">
        <v>2199</v>
      </c>
      <c r="C1635" t="s">
        <v>218</v>
      </c>
      <c r="D1635">
        <v>39582950.3662128</v>
      </c>
    </row>
    <row r="1636" spans="1:4" hidden="1" x14ac:dyDescent="0.3">
      <c r="A1636">
        <v>1634</v>
      </c>
      <c r="B1636" t="s">
        <v>2200</v>
      </c>
      <c r="C1636" t="s">
        <v>220</v>
      </c>
      <c r="D1636">
        <v>30029753.900584601</v>
      </c>
    </row>
    <row r="1637" spans="1:4" hidden="1" x14ac:dyDescent="0.3">
      <c r="A1637">
        <v>1635</v>
      </c>
      <c r="B1637" s="1" t="s">
        <v>2201</v>
      </c>
      <c r="C1637" t="s">
        <v>222</v>
      </c>
      <c r="D1637" s="1" t="s">
        <v>2202</v>
      </c>
    </row>
    <row r="1638" spans="1:4" hidden="1" x14ac:dyDescent="0.3">
      <c r="A1638">
        <v>1636</v>
      </c>
      <c r="B1638" t="s">
        <v>2203</v>
      </c>
      <c r="C1638" t="s">
        <v>225</v>
      </c>
      <c r="D1638">
        <v>101187862.387621</v>
      </c>
    </row>
    <row r="1639" spans="1:4" hidden="1" x14ac:dyDescent="0.3">
      <c r="A1639">
        <v>1637</v>
      </c>
      <c r="B1639" t="s">
        <v>2204</v>
      </c>
      <c r="C1639" t="s">
        <v>227</v>
      </c>
      <c r="D1639">
        <v>-1722.45024754107</v>
      </c>
    </row>
    <row r="1640" spans="1:4" hidden="1" x14ac:dyDescent="0.3">
      <c r="A1640">
        <v>1638</v>
      </c>
      <c r="B1640" s="1" t="s">
        <v>2205</v>
      </c>
      <c r="C1640" t="s">
        <v>229</v>
      </c>
      <c r="D1640" s="1" t="s">
        <v>2206</v>
      </c>
    </row>
    <row r="1641" spans="1:4" hidden="1" x14ac:dyDescent="0.3">
      <c r="A1641">
        <v>1639</v>
      </c>
      <c r="B1641" t="s">
        <v>2207</v>
      </c>
      <c r="C1641" t="s">
        <v>112</v>
      </c>
      <c r="D1641">
        <v>460.65375670622399</v>
      </c>
    </row>
    <row r="1642" spans="1:4" hidden="1" x14ac:dyDescent="0.3">
      <c r="A1642">
        <v>1640</v>
      </c>
      <c r="B1642" t="s">
        <v>2208</v>
      </c>
      <c r="C1642" t="s">
        <v>114</v>
      </c>
      <c r="D1642">
        <v>85.203304543922599</v>
      </c>
    </row>
    <row r="1643" spans="1:4" hidden="1" x14ac:dyDescent="0.3">
      <c r="A1643">
        <v>1641</v>
      </c>
      <c r="B1643" s="1" t="s">
        <v>2209</v>
      </c>
      <c r="C1643" t="s">
        <v>116</v>
      </c>
      <c r="D1643" s="1" t="s">
        <v>2210</v>
      </c>
    </row>
    <row r="1644" spans="1:4" hidden="1" x14ac:dyDescent="0.3">
      <c r="A1644">
        <v>1642</v>
      </c>
      <c r="B1644" t="s">
        <v>2211</v>
      </c>
      <c r="C1644" t="s">
        <v>119</v>
      </c>
      <c r="D1644">
        <v>80051076.806090698</v>
      </c>
    </row>
    <row r="1645" spans="1:4" hidden="1" x14ac:dyDescent="0.3">
      <c r="A1645">
        <v>1643</v>
      </c>
      <c r="B1645" t="s">
        <v>2212</v>
      </c>
      <c r="C1645" t="s">
        <v>121</v>
      </c>
      <c r="D1645">
        <v>39582950.3662128</v>
      </c>
    </row>
    <row r="1646" spans="1:4" hidden="1" x14ac:dyDescent="0.3">
      <c r="A1646">
        <v>1644</v>
      </c>
      <c r="B1646" s="1" t="s">
        <v>2213</v>
      </c>
      <c r="C1646" t="s">
        <v>123</v>
      </c>
      <c r="D1646" s="1" t="s">
        <v>2214</v>
      </c>
    </row>
    <row r="1647" spans="1:4" hidden="1" x14ac:dyDescent="0.3">
      <c r="A1647">
        <v>1645</v>
      </c>
      <c r="B1647" t="s">
        <v>2215</v>
      </c>
      <c r="C1647" t="s">
        <v>126</v>
      </c>
      <c r="D1647">
        <v>0.79108497479884798</v>
      </c>
    </row>
    <row r="1648" spans="1:4" hidden="1" x14ac:dyDescent="0.3">
      <c r="A1648">
        <v>1646</v>
      </c>
      <c r="B1648" t="s">
        <v>2216</v>
      </c>
      <c r="C1648" t="s">
        <v>128</v>
      </c>
      <c r="D1648">
        <v>0.39116872055039098</v>
      </c>
    </row>
    <row r="1649" spans="1:4" hidden="1" x14ac:dyDescent="0.3">
      <c r="A1649">
        <v>1647</v>
      </c>
      <c r="B1649" s="1" t="s">
        <v>2217</v>
      </c>
      <c r="C1649" t="s">
        <v>130</v>
      </c>
      <c r="D1649" s="1" t="s">
        <v>2218</v>
      </c>
    </row>
    <row r="1650" spans="1:4" hidden="1" x14ac:dyDescent="0.3">
      <c r="A1650">
        <v>1648</v>
      </c>
      <c r="B1650" s="1" t="s">
        <v>2219</v>
      </c>
      <c r="C1650" t="s">
        <v>4</v>
      </c>
      <c r="D1650" t="s">
        <v>2220</v>
      </c>
    </row>
    <row r="1651" spans="1:4" hidden="1" x14ac:dyDescent="0.3">
      <c r="A1651">
        <v>1649</v>
      </c>
      <c r="B1651" t="s">
        <v>2221</v>
      </c>
      <c r="C1651" t="s">
        <v>7</v>
      </c>
      <c r="D1651">
        <v>1811.47</v>
      </c>
    </row>
    <row r="1652" spans="1:4" hidden="1" x14ac:dyDescent="0.3">
      <c r="A1652">
        <v>1650</v>
      </c>
      <c r="B1652" s="1" t="s">
        <v>2222</v>
      </c>
      <c r="C1652" t="s">
        <v>9</v>
      </c>
      <c r="D1652" s="1" t="s">
        <v>2223</v>
      </c>
    </row>
    <row r="1653" spans="1:4" hidden="1" x14ac:dyDescent="0.3">
      <c r="A1653">
        <v>1651</v>
      </c>
      <c r="B1653" t="s">
        <v>2224</v>
      </c>
      <c r="C1653" t="s">
        <v>14</v>
      </c>
      <c r="D1653">
        <v>98.05859375</v>
      </c>
    </row>
    <row r="1654" spans="1:4" hidden="1" x14ac:dyDescent="0.3">
      <c r="A1654">
        <v>1652</v>
      </c>
      <c r="B1654" t="s">
        <v>2225</v>
      </c>
      <c r="C1654" t="s">
        <v>16</v>
      </c>
      <c r="D1654">
        <v>4.3759080378148099</v>
      </c>
    </row>
    <row r="1655" spans="1:4" hidden="1" x14ac:dyDescent="0.3">
      <c r="A1655">
        <v>1653</v>
      </c>
      <c r="B1655" s="1" t="s">
        <v>2226</v>
      </c>
      <c r="C1655" t="s">
        <v>140</v>
      </c>
      <c r="D1655" s="1" t="s">
        <v>2227</v>
      </c>
    </row>
    <row r="1656" spans="1:4" hidden="1" x14ac:dyDescent="0.3">
      <c r="A1656">
        <v>1654</v>
      </c>
      <c r="B1656" t="s">
        <v>2228</v>
      </c>
      <c r="C1656" t="s">
        <v>22</v>
      </c>
      <c r="D1656">
        <v>76.2</v>
      </c>
    </row>
    <row r="1657" spans="1:4" hidden="1" x14ac:dyDescent="0.3">
      <c r="A1657">
        <v>1655</v>
      </c>
      <c r="B1657" t="s">
        <v>2229</v>
      </c>
      <c r="C1657" t="s">
        <v>24</v>
      </c>
      <c r="D1657">
        <v>6.1772560881731602</v>
      </c>
    </row>
    <row r="1658" spans="1:4" hidden="1" x14ac:dyDescent="0.3">
      <c r="A1658">
        <v>1656</v>
      </c>
      <c r="B1658" s="1" t="s">
        <v>2230</v>
      </c>
      <c r="C1658" t="s">
        <v>145</v>
      </c>
      <c r="D1658" s="1" t="s">
        <v>2231</v>
      </c>
    </row>
    <row r="1659" spans="1:4" hidden="1" x14ac:dyDescent="0.3">
      <c r="A1659">
        <v>1657</v>
      </c>
      <c r="B1659" t="s">
        <v>2232</v>
      </c>
      <c r="C1659" t="s">
        <v>35</v>
      </c>
      <c r="D1659">
        <v>0.160768804742283</v>
      </c>
    </row>
    <row r="1660" spans="1:4" hidden="1" x14ac:dyDescent="0.3">
      <c r="A1660">
        <v>1658</v>
      </c>
      <c r="B1660" t="s">
        <v>2233</v>
      </c>
      <c r="C1660" t="s">
        <v>149</v>
      </c>
      <c r="D1660">
        <v>0.66929328332078597</v>
      </c>
    </row>
    <row r="1661" spans="1:4" hidden="1" x14ac:dyDescent="0.3">
      <c r="A1661">
        <v>1659</v>
      </c>
      <c r="B1661" s="1" t="s">
        <v>2234</v>
      </c>
      <c r="C1661" t="s">
        <v>151</v>
      </c>
      <c r="D1661" s="1" t="s">
        <v>2235</v>
      </c>
    </row>
    <row r="1662" spans="1:4" hidden="1" x14ac:dyDescent="0.3">
      <c r="A1662">
        <v>1660</v>
      </c>
      <c r="B1662" t="s">
        <v>2236</v>
      </c>
      <c r="C1662" t="s">
        <v>30</v>
      </c>
      <c r="D1662">
        <v>0.33938183152652002</v>
      </c>
    </row>
    <row r="1663" spans="1:4" hidden="1" x14ac:dyDescent="0.3">
      <c r="A1663">
        <v>1661</v>
      </c>
      <c r="B1663" t="s">
        <v>2237</v>
      </c>
      <c r="C1663" t="s">
        <v>32</v>
      </c>
      <c r="D1663">
        <v>0.24587663168014101</v>
      </c>
    </row>
    <row r="1664" spans="1:4" hidden="1" x14ac:dyDescent="0.3">
      <c r="A1664">
        <v>1662</v>
      </c>
      <c r="B1664" s="1" t="s">
        <v>2238</v>
      </c>
      <c r="C1664" t="s">
        <v>155</v>
      </c>
      <c r="D1664" s="1" t="s">
        <v>2239</v>
      </c>
    </row>
    <row r="1665" spans="1:4" hidden="1" x14ac:dyDescent="0.3">
      <c r="A1665">
        <v>1663</v>
      </c>
      <c r="B1665" t="s">
        <v>2240</v>
      </c>
      <c r="C1665" t="s">
        <v>40</v>
      </c>
      <c r="D1665">
        <v>0.49984936373119498</v>
      </c>
    </row>
    <row r="1666" spans="1:4" hidden="1" x14ac:dyDescent="0.3">
      <c r="A1666">
        <v>1664</v>
      </c>
      <c r="B1666" t="s">
        <v>2241</v>
      </c>
      <c r="C1666" t="s">
        <v>42</v>
      </c>
      <c r="D1666">
        <v>0.24823667398216601</v>
      </c>
    </row>
    <row r="1667" spans="1:4" hidden="1" x14ac:dyDescent="0.3">
      <c r="A1667">
        <v>1665</v>
      </c>
      <c r="B1667" s="1" t="s">
        <v>2242</v>
      </c>
      <c r="C1667" t="s">
        <v>159</v>
      </c>
      <c r="D1667" s="1" t="s">
        <v>2243</v>
      </c>
    </row>
    <row r="1668" spans="1:4" hidden="1" x14ac:dyDescent="0.3">
      <c r="A1668">
        <v>1666</v>
      </c>
      <c r="B1668" t="s">
        <v>2244</v>
      </c>
      <c r="C1668" t="s">
        <v>161</v>
      </c>
      <c r="D1668">
        <v>0.97442200729416495</v>
      </c>
    </row>
    <row r="1669" spans="1:4" hidden="1" x14ac:dyDescent="0.3">
      <c r="A1669">
        <v>1667</v>
      </c>
      <c r="B1669" t="s">
        <v>2245</v>
      </c>
      <c r="C1669" t="s">
        <v>163</v>
      </c>
      <c r="D1669">
        <v>0.99506482739636803</v>
      </c>
    </row>
    <row r="1670" spans="1:4" hidden="1" x14ac:dyDescent="0.3">
      <c r="A1670">
        <v>1668</v>
      </c>
      <c r="B1670" s="1" t="s">
        <v>2246</v>
      </c>
      <c r="C1670" t="s">
        <v>165</v>
      </c>
      <c r="D1670" s="1" t="s">
        <v>2247</v>
      </c>
    </row>
    <row r="1671" spans="1:4" hidden="1" x14ac:dyDescent="0.3">
      <c r="A1671">
        <v>1669</v>
      </c>
      <c r="B1671" t="s">
        <v>2248</v>
      </c>
      <c r="C1671" t="s">
        <v>168</v>
      </c>
      <c r="D1671">
        <v>0.99318535420600995</v>
      </c>
    </row>
    <row r="1672" spans="1:4" hidden="1" x14ac:dyDescent="0.3">
      <c r="A1672">
        <v>1670</v>
      </c>
      <c r="B1672" t="s">
        <v>2249</v>
      </c>
      <c r="C1672" t="s">
        <v>170</v>
      </c>
      <c r="D1672">
        <v>1.0075513862608101</v>
      </c>
    </row>
    <row r="1673" spans="1:4" hidden="1" x14ac:dyDescent="0.3">
      <c r="A1673">
        <v>1671</v>
      </c>
      <c r="B1673" s="1" t="s">
        <v>2250</v>
      </c>
      <c r="C1673" t="s">
        <v>172</v>
      </c>
      <c r="D1673" s="1" t="s">
        <v>2251</v>
      </c>
    </row>
    <row r="1674" spans="1:4" hidden="1" x14ac:dyDescent="0.3">
      <c r="A1674">
        <v>1672</v>
      </c>
      <c r="B1674" s="1" t="s">
        <v>2252</v>
      </c>
      <c r="C1674" t="s">
        <v>55</v>
      </c>
      <c r="D1674" s="1" t="s">
        <v>2253</v>
      </c>
    </row>
    <row r="1675" spans="1:4" hidden="1" x14ac:dyDescent="0.3">
      <c r="A1675">
        <v>1673</v>
      </c>
      <c r="B1675" s="1" t="s">
        <v>2254</v>
      </c>
      <c r="C1675" t="s">
        <v>52</v>
      </c>
      <c r="D1675" s="1" t="s">
        <v>2255</v>
      </c>
    </row>
    <row r="1676" spans="1:4" hidden="1" x14ac:dyDescent="0.3">
      <c r="A1676">
        <v>1674</v>
      </c>
      <c r="B1676" s="1" t="s">
        <v>2256</v>
      </c>
      <c r="C1676" t="s">
        <v>58</v>
      </c>
      <c r="D1676" s="1" t="s">
        <v>2257</v>
      </c>
    </row>
    <row r="1677" spans="1:4" hidden="1" x14ac:dyDescent="0.3">
      <c r="A1677">
        <v>1675</v>
      </c>
      <c r="B1677" t="s">
        <v>2258</v>
      </c>
      <c r="C1677" t="s">
        <v>61</v>
      </c>
      <c r="D1677">
        <v>147438972.208161</v>
      </c>
    </row>
    <row r="1678" spans="1:4" hidden="1" x14ac:dyDescent="0.3">
      <c r="A1678">
        <v>1676</v>
      </c>
      <c r="B1678" t="s">
        <v>2259</v>
      </c>
      <c r="C1678" t="s">
        <v>63</v>
      </c>
      <c r="D1678">
        <v>78003530.947450295</v>
      </c>
    </row>
    <row r="1679" spans="1:4" hidden="1" x14ac:dyDescent="0.3">
      <c r="A1679">
        <v>1677</v>
      </c>
      <c r="B1679" t="s">
        <v>2260</v>
      </c>
      <c r="C1679" t="s">
        <v>65</v>
      </c>
      <c r="D1679">
        <v>39387601.673994601</v>
      </c>
    </row>
    <row r="1680" spans="1:4" hidden="1" x14ac:dyDescent="0.3">
      <c r="A1680">
        <v>1678</v>
      </c>
      <c r="B1680" s="1" t="s">
        <v>2261</v>
      </c>
      <c r="C1680" t="s">
        <v>67</v>
      </c>
      <c r="D1680" s="1" t="s">
        <v>2262</v>
      </c>
    </row>
    <row r="1681" spans="1:4" hidden="1" x14ac:dyDescent="0.3">
      <c r="A1681">
        <v>1679</v>
      </c>
      <c r="B1681" s="1" t="s">
        <v>2263</v>
      </c>
      <c r="C1681" t="s">
        <v>70</v>
      </c>
      <c r="D1681" s="1" t="s">
        <v>2264</v>
      </c>
    </row>
    <row r="1682" spans="1:4" hidden="1" x14ac:dyDescent="0.3">
      <c r="A1682">
        <v>1680</v>
      </c>
      <c r="B1682" t="s">
        <v>2265</v>
      </c>
      <c r="C1682" t="s">
        <v>73</v>
      </c>
      <c r="D1682">
        <v>1.00003596882025</v>
      </c>
    </row>
    <row r="1683" spans="1:4" hidden="1" x14ac:dyDescent="0.3">
      <c r="A1683">
        <v>1681</v>
      </c>
      <c r="B1683" t="s">
        <v>74</v>
      </c>
      <c r="C1683" t="s">
        <v>75</v>
      </c>
      <c r="D1683">
        <v>2.7397260273972599E-3</v>
      </c>
    </row>
    <row r="1684" spans="1:4" hidden="1" x14ac:dyDescent="0.3">
      <c r="A1684">
        <v>1682</v>
      </c>
      <c r="B1684" t="s">
        <v>76</v>
      </c>
      <c r="C1684" t="s">
        <v>77</v>
      </c>
      <c r="D1684">
        <v>0</v>
      </c>
    </row>
    <row r="1685" spans="1:4" hidden="1" x14ac:dyDescent="0.3">
      <c r="A1685">
        <v>1683</v>
      </c>
      <c r="B1685" t="s">
        <v>650</v>
      </c>
      <c r="C1685" t="s">
        <v>79</v>
      </c>
      <c r="D1685" s="2">
        <v>2.2204460492503101E-16</v>
      </c>
    </row>
    <row r="1686" spans="1:4" hidden="1" x14ac:dyDescent="0.3">
      <c r="A1686">
        <v>1684</v>
      </c>
      <c r="B1686" s="1" t="s">
        <v>2266</v>
      </c>
      <c r="C1686" t="s">
        <v>81</v>
      </c>
      <c r="D1686" s="1" t="s">
        <v>2267</v>
      </c>
    </row>
    <row r="1687" spans="1:4" hidden="1" x14ac:dyDescent="0.3">
      <c r="A1687">
        <v>1685</v>
      </c>
      <c r="B1687" t="s">
        <v>2268</v>
      </c>
      <c r="C1687" t="s">
        <v>84</v>
      </c>
      <c r="D1687">
        <v>1.00003767626952</v>
      </c>
    </row>
    <row r="1688" spans="1:4" hidden="1" x14ac:dyDescent="0.3">
      <c r="A1688">
        <v>1686</v>
      </c>
      <c r="B1688" s="1" t="s">
        <v>2269</v>
      </c>
      <c r="C1688" t="s">
        <v>86</v>
      </c>
      <c r="D1688" s="1" t="s">
        <v>2270</v>
      </c>
    </row>
    <row r="1689" spans="1:4" hidden="1" x14ac:dyDescent="0.3">
      <c r="A1689">
        <v>1687</v>
      </c>
      <c r="B1689" t="s">
        <v>2271</v>
      </c>
      <c r="C1689" t="s">
        <v>89</v>
      </c>
      <c r="D1689">
        <v>101185967.17368101</v>
      </c>
    </row>
    <row r="1690" spans="1:4" hidden="1" x14ac:dyDescent="0.3">
      <c r="A1690">
        <v>1688</v>
      </c>
      <c r="B1690" s="1" t="s">
        <v>2272</v>
      </c>
      <c r="C1690" t="s">
        <v>91</v>
      </c>
      <c r="D1690" s="1" t="s">
        <v>2206</v>
      </c>
    </row>
    <row r="1691" spans="1:4" hidden="1" x14ac:dyDescent="0.3">
      <c r="A1691">
        <v>1689</v>
      </c>
      <c r="B1691" t="s">
        <v>2273</v>
      </c>
      <c r="C1691" t="s">
        <v>94</v>
      </c>
      <c r="D1691">
        <v>78003530.947450295</v>
      </c>
    </row>
    <row r="1692" spans="1:4" hidden="1" x14ac:dyDescent="0.3">
      <c r="A1692">
        <v>1690</v>
      </c>
      <c r="B1692" t="s">
        <v>2274</v>
      </c>
      <c r="C1692" t="s">
        <v>96</v>
      </c>
      <c r="D1692">
        <v>39387601.673994601</v>
      </c>
    </row>
    <row r="1693" spans="1:4" hidden="1" x14ac:dyDescent="0.3">
      <c r="A1693">
        <v>1691</v>
      </c>
      <c r="B1693" t="s">
        <v>2275</v>
      </c>
      <c r="C1693" t="s">
        <v>98</v>
      </c>
      <c r="D1693">
        <v>30047839.586716499</v>
      </c>
    </row>
    <row r="1694" spans="1:4" hidden="1" x14ac:dyDescent="0.3">
      <c r="A1694">
        <v>1692</v>
      </c>
      <c r="B1694" s="1" t="s">
        <v>2276</v>
      </c>
      <c r="C1694" t="s">
        <v>100</v>
      </c>
      <c r="D1694" s="1" t="s">
        <v>2277</v>
      </c>
    </row>
    <row r="1695" spans="1:4" hidden="1" x14ac:dyDescent="0.3">
      <c r="A1695">
        <v>1693</v>
      </c>
      <c r="B1695" t="s">
        <v>2278</v>
      </c>
      <c r="C1695" t="s">
        <v>103</v>
      </c>
      <c r="D1695">
        <v>8.7738662847122798E-3</v>
      </c>
    </row>
    <row r="1696" spans="1:4" hidden="1" x14ac:dyDescent="0.3">
      <c r="A1696">
        <v>1694</v>
      </c>
      <c r="B1696" t="s">
        <v>2279</v>
      </c>
      <c r="C1696" t="s">
        <v>105</v>
      </c>
      <c r="D1696">
        <v>1.8095981450009101E-3</v>
      </c>
    </row>
    <row r="1697" spans="1:4" hidden="1" x14ac:dyDescent="0.3">
      <c r="A1697">
        <v>1695</v>
      </c>
      <c r="B1697" t="s">
        <v>2280</v>
      </c>
      <c r="C1697" t="s">
        <v>107</v>
      </c>
      <c r="D1697">
        <v>1.0576621643166599E-2</v>
      </c>
    </row>
    <row r="1698" spans="1:4" hidden="1" x14ac:dyDescent="0.3">
      <c r="A1698">
        <v>1696</v>
      </c>
      <c r="B1698" s="1" t="s">
        <v>2281</v>
      </c>
      <c r="C1698" t="s">
        <v>109</v>
      </c>
      <c r="D1698" s="1" t="s">
        <v>2282</v>
      </c>
    </row>
    <row r="1699" spans="1:4" x14ac:dyDescent="0.3">
      <c r="A1699">
        <v>1697</v>
      </c>
      <c r="B1699" t="s">
        <v>2283</v>
      </c>
      <c r="C1699" t="s">
        <v>207</v>
      </c>
      <c r="D1699">
        <v>147439031.951983</v>
      </c>
    </row>
    <row r="1700" spans="1:4" hidden="1" x14ac:dyDescent="0.3">
      <c r="A1700">
        <v>1698</v>
      </c>
      <c r="B1700" t="s">
        <v>2284</v>
      </c>
      <c r="C1700" t="s">
        <v>209</v>
      </c>
      <c r="D1700">
        <v>-133.18236022770799</v>
      </c>
    </row>
    <row r="1701" spans="1:4" hidden="1" x14ac:dyDescent="0.3">
      <c r="A1701">
        <v>1699</v>
      </c>
      <c r="B1701" t="s">
        <v>2285</v>
      </c>
      <c r="C1701" t="s">
        <v>211</v>
      </c>
      <c r="D1701">
        <v>-67.249928738738802</v>
      </c>
    </row>
    <row r="1702" spans="1:4" hidden="1" x14ac:dyDescent="0.3">
      <c r="A1702">
        <v>1700</v>
      </c>
      <c r="B1702" s="1" t="s">
        <v>2286</v>
      </c>
      <c r="C1702" t="s">
        <v>213</v>
      </c>
      <c r="D1702" s="1" t="s">
        <v>2287</v>
      </c>
    </row>
    <row r="1703" spans="1:4" hidden="1" x14ac:dyDescent="0.3">
      <c r="A1703">
        <v>1701</v>
      </c>
      <c r="B1703" t="s">
        <v>2288</v>
      </c>
      <c r="C1703" t="s">
        <v>216</v>
      </c>
      <c r="D1703">
        <v>78003709.832322404</v>
      </c>
    </row>
    <row r="1704" spans="1:4" hidden="1" x14ac:dyDescent="0.3">
      <c r="A1704">
        <v>1702</v>
      </c>
      <c r="B1704" t="s">
        <v>2289</v>
      </c>
      <c r="C1704" t="s">
        <v>218</v>
      </c>
      <c r="D1704">
        <v>39387678.057454601</v>
      </c>
    </row>
    <row r="1705" spans="1:4" hidden="1" x14ac:dyDescent="0.3">
      <c r="A1705">
        <v>1703</v>
      </c>
      <c r="B1705" t="s">
        <v>2290</v>
      </c>
      <c r="C1705" t="s">
        <v>220</v>
      </c>
      <c r="D1705">
        <v>30047895.797820799</v>
      </c>
    </row>
    <row r="1706" spans="1:4" hidden="1" x14ac:dyDescent="0.3">
      <c r="A1706">
        <v>1704</v>
      </c>
      <c r="B1706" s="1" t="s">
        <v>2291</v>
      </c>
      <c r="C1706" t="s">
        <v>222</v>
      </c>
      <c r="D1706" s="1" t="s">
        <v>2292</v>
      </c>
    </row>
    <row r="1707" spans="1:4" hidden="1" x14ac:dyDescent="0.3">
      <c r="A1707">
        <v>1705</v>
      </c>
      <c r="B1707" t="s">
        <v>2293</v>
      </c>
      <c r="C1707" t="s">
        <v>225</v>
      </c>
      <c r="D1707">
        <v>101186139.937374</v>
      </c>
    </row>
    <row r="1708" spans="1:4" hidden="1" x14ac:dyDescent="0.3">
      <c r="A1708">
        <v>1706</v>
      </c>
      <c r="B1708" t="s">
        <v>2294</v>
      </c>
      <c r="C1708" t="s">
        <v>227</v>
      </c>
      <c r="D1708">
        <v>-172.76369249820701</v>
      </c>
    </row>
    <row r="1709" spans="1:4" hidden="1" x14ac:dyDescent="0.3">
      <c r="A1709">
        <v>1707</v>
      </c>
      <c r="B1709" s="1" t="s">
        <v>2295</v>
      </c>
      <c r="C1709" t="s">
        <v>229</v>
      </c>
      <c r="D1709" s="1" t="s">
        <v>2296</v>
      </c>
    </row>
    <row r="1710" spans="1:4" hidden="1" x14ac:dyDescent="0.3">
      <c r="A1710">
        <v>1708</v>
      </c>
      <c r="B1710" t="s">
        <v>2297</v>
      </c>
      <c r="C1710" t="s">
        <v>112</v>
      </c>
      <c r="D1710">
        <v>45.702511878207098</v>
      </c>
    </row>
    <row r="1711" spans="1:4" hidden="1" x14ac:dyDescent="0.3">
      <c r="A1711">
        <v>1709</v>
      </c>
      <c r="B1711" t="s">
        <v>2298</v>
      </c>
      <c r="C1711" t="s">
        <v>114</v>
      </c>
      <c r="D1711">
        <v>9.1335312468777001</v>
      </c>
    </row>
    <row r="1712" spans="1:4" hidden="1" x14ac:dyDescent="0.3">
      <c r="A1712">
        <v>1710</v>
      </c>
      <c r="B1712" s="1" t="s">
        <v>2299</v>
      </c>
      <c r="C1712" t="s">
        <v>116</v>
      </c>
      <c r="D1712" s="1" t="s">
        <v>2300</v>
      </c>
    </row>
    <row r="1713" spans="1:4" hidden="1" x14ac:dyDescent="0.3">
      <c r="A1713">
        <v>1711</v>
      </c>
      <c r="B1713" t="s">
        <v>2301</v>
      </c>
      <c r="C1713" t="s">
        <v>119</v>
      </c>
      <c r="D1713">
        <v>78003709.832322404</v>
      </c>
    </row>
    <row r="1714" spans="1:4" hidden="1" x14ac:dyDescent="0.3">
      <c r="A1714">
        <v>1712</v>
      </c>
      <c r="B1714" t="s">
        <v>2302</v>
      </c>
      <c r="C1714" t="s">
        <v>121</v>
      </c>
      <c r="D1714">
        <v>39387678.057454601</v>
      </c>
    </row>
    <row r="1715" spans="1:4" hidden="1" x14ac:dyDescent="0.3">
      <c r="A1715">
        <v>1713</v>
      </c>
      <c r="B1715" s="1" t="s">
        <v>2303</v>
      </c>
      <c r="C1715" t="s">
        <v>123</v>
      </c>
      <c r="D1715" s="1" t="s">
        <v>2304</v>
      </c>
    </row>
    <row r="1716" spans="1:4" hidden="1" x14ac:dyDescent="0.3">
      <c r="A1716">
        <v>1714</v>
      </c>
      <c r="B1716" t="s">
        <v>2305</v>
      </c>
      <c r="C1716" t="s">
        <v>126</v>
      </c>
      <c r="D1716">
        <v>0.77086418260964096</v>
      </c>
    </row>
    <row r="1717" spans="1:4" hidden="1" x14ac:dyDescent="0.3">
      <c r="A1717">
        <v>1715</v>
      </c>
      <c r="B1717" t="s">
        <v>2306</v>
      </c>
      <c r="C1717" t="s">
        <v>128</v>
      </c>
      <c r="D1717">
        <v>0.38924495150191002</v>
      </c>
    </row>
    <row r="1718" spans="1:4" hidden="1" x14ac:dyDescent="0.3">
      <c r="A1718">
        <v>1716</v>
      </c>
      <c r="B1718" s="1" t="s">
        <v>2307</v>
      </c>
      <c r="C1718" t="s">
        <v>130</v>
      </c>
      <c r="D1718" s="1" t="s">
        <v>2308</v>
      </c>
    </row>
    <row r="1719" spans="1:4" hidden="1" x14ac:dyDescent="0.3">
      <c r="A1719">
        <v>1717</v>
      </c>
      <c r="B1719" s="1" t="s">
        <v>2309</v>
      </c>
      <c r="C1719" t="s">
        <v>4</v>
      </c>
      <c r="D1719" t="s">
        <v>2310</v>
      </c>
    </row>
    <row r="1720" spans="1:4" hidden="1" x14ac:dyDescent="0.3">
      <c r="A1720">
        <v>1718</v>
      </c>
      <c r="B1720" t="s">
        <v>2311</v>
      </c>
      <c r="C1720" t="s">
        <v>7</v>
      </c>
      <c r="D1720">
        <v>1773.5</v>
      </c>
    </row>
    <row r="1721" spans="1:4" hidden="1" x14ac:dyDescent="0.3">
      <c r="A1721">
        <v>1719</v>
      </c>
      <c r="B1721" s="1" t="s">
        <v>2312</v>
      </c>
      <c r="C1721" t="s">
        <v>9</v>
      </c>
      <c r="D1721" s="1" t="s">
        <v>2313</v>
      </c>
    </row>
    <row r="1722" spans="1:4" hidden="1" x14ac:dyDescent="0.3">
      <c r="A1722">
        <v>1720</v>
      </c>
      <c r="B1722" t="s">
        <v>2314</v>
      </c>
      <c r="C1722" t="s">
        <v>14</v>
      </c>
      <c r="D1722">
        <v>98.07421875</v>
      </c>
    </row>
    <row r="1723" spans="1:4" hidden="1" x14ac:dyDescent="0.3">
      <c r="A1723">
        <v>1721</v>
      </c>
      <c r="B1723" t="s">
        <v>2315</v>
      </c>
      <c r="C1723" t="s">
        <v>16</v>
      </c>
      <c r="D1723">
        <v>4.3798433114769697</v>
      </c>
    </row>
    <row r="1724" spans="1:4" hidden="1" x14ac:dyDescent="0.3">
      <c r="A1724">
        <v>1722</v>
      </c>
      <c r="B1724" s="1" t="s">
        <v>2316</v>
      </c>
      <c r="C1724" t="s">
        <v>140</v>
      </c>
      <c r="D1724" s="1" t="s">
        <v>2317</v>
      </c>
    </row>
    <row r="1725" spans="1:4" hidden="1" x14ac:dyDescent="0.3">
      <c r="A1725">
        <v>1723</v>
      </c>
      <c r="B1725" t="s">
        <v>2318</v>
      </c>
      <c r="C1725" t="s">
        <v>22</v>
      </c>
      <c r="D1725">
        <v>75.55</v>
      </c>
    </row>
    <row r="1726" spans="1:4" hidden="1" x14ac:dyDescent="0.3">
      <c r="A1726">
        <v>1724</v>
      </c>
      <c r="B1726" t="s">
        <v>2319</v>
      </c>
      <c r="C1726" t="s">
        <v>24</v>
      </c>
      <c r="D1726">
        <v>6.2506379873690099</v>
      </c>
    </row>
    <row r="1727" spans="1:4" hidden="1" x14ac:dyDescent="0.3">
      <c r="A1727">
        <v>1725</v>
      </c>
      <c r="B1727" s="1" t="s">
        <v>2320</v>
      </c>
      <c r="C1727" t="s">
        <v>145</v>
      </c>
      <c r="D1727" s="1" t="s">
        <v>2321</v>
      </c>
    </row>
    <row r="1728" spans="1:4" hidden="1" x14ac:dyDescent="0.3">
      <c r="A1728">
        <v>1726</v>
      </c>
      <c r="B1728" t="s">
        <v>2322</v>
      </c>
      <c r="C1728" t="s">
        <v>35</v>
      </c>
      <c r="D1728">
        <v>0.71811341989379696</v>
      </c>
    </row>
    <row r="1729" spans="1:4" hidden="1" x14ac:dyDescent="0.3">
      <c r="A1729">
        <v>1727</v>
      </c>
      <c r="B1729" t="s">
        <v>2323</v>
      </c>
      <c r="C1729" t="s">
        <v>149</v>
      </c>
      <c r="D1729">
        <v>0.68551766588596397</v>
      </c>
    </row>
    <row r="1730" spans="1:4" hidden="1" x14ac:dyDescent="0.3">
      <c r="A1730">
        <v>1728</v>
      </c>
      <c r="B1730" s="1" t="s">
        <v>2324</v>
      </c>
      <c r="C1730" t="s">
        <v>151</v>
      </c>
      <c r="D1730" s="1" t="s">
        <v>2325</v>
      </c>
    </row>
    <row r="1731" spans="1:4" hidden="1" x14ac:dyDescent="0.3">
      <c r="A1731">
        <v>1729</v>
      </c>
      <c r="B1731" t="s">
        <v>2326</v>
      </c>
      <c r="C1731" t="s">
        <v>30</v>
      </c>
      <c r="D1731">
        <v>0.112130014330855</v>
      </c>
    </row>
    <row r="1732" spans="1:4" hidden="1" x14ac:dyDescent="0.3">
      <c r="A1732">
        <v>1730</v>
      </c>
      <c r="B1732" t="s">
        <v>2327</v>
      </c>
      <c r="C1732" t="s">
        <v>32</v>
      </c>
      <c r="D1732">
        <v>0.230940650838273</v>
      </c>
    </row>
    <row r="1733" spans="1:4" hidden="1" x14ac:dyDescent="0.3">
      <c r="A1733">
        <v>1731</v>
      </c>
      <c r="B1733" s="1" t="s">
        <v>2328</v>
      </c>
      <c r="C1733" t="s">
        <v>155</v>
      </c>
      <c r="D1733" s="1" t="s">
        <v>2329</v>
      </c>
    </row>
    <row r="1734" spans="1:4" hidden="1" x14ac:dyDescent="0.3">
      <c r="A1734">
        <v>1732</v>
      </c>
      <c r="B1734" t="s">
        <v>2330</v>
      </c>
      <c r="C1734" t="s">
        <v>40</v>
      </c>
      <c r="D1734">
        <v>0.16975656577534701</v>
      </c>
    </row>
    <row r="1735" spans="1:4" hidden="1" x14ac:dyDescent="0.3">
      <c r="A1735">
        <v>1733</v>
      </c>
      <c r="B1735" t="s">
        <v>2331</v>
      </c>
      <c r="C1735" t="s">
        <v>42</v>
      </c>
      <c r="D1735">
        <v>0.22781096092011599</v>
      </c>
    </row>
    <row r="1736" spans="1:4" hidden="1" x14ac:dyDescent="0.3">
      <c r="A1736">
        <v>1734</v>
      </c>
      <c r="B1736" s="1" t="s">
        <v>2332</v>
      </c>
      <c r="C1736" t="s">
        <v>159</v>
      </c>
      <c r="D1736" s="1" t="s">
        <v>2333</v>
      </c>
    </row>
    <row r="1737" spans="1:4" hidden="1" x14ac:dyDescent="0.3">
      <c r="A1737">
        <v>1735</v>
      </c>
      <c r="B1737" t="s">
        <v>2334</v>
      </c>
      <c r="C1737" t="s">
        <v>161</v>
      </c>
      <c r="D1737">
        <v>0.97903912292226702</v>
      </c>
    </row>
    <row r="1738" spans="1:4" hidden="1" x14ac:dyDescent="0.3">
      <c r="A1738">
        <v>1736</v>
      </c>
      <c r="B1738" t="s">
        <v>2335</v>
      </c>
      <c r="C1738" t="s">
        <v>163</v>
      </c>
      <c r="D1738">
        <v>1.0001909539590701</v>
      </c>
    </row>
    <row r="1739" spans="1:4" hidden="1" x14ac:dyDescent="0.3">
      <c r="A1739">
        <v>1737</v>
      </c>
      <c r="B1739" s="1" t="s">
        <v>2336</v>
      </c>
      <c r="C1739" t="s">
        <v>165</v>
      </c>
      <c r="D1739" s="1" t="s">
        <v>2337</v>
      </c>
    </row>
    <row r="1740" spans="1:4" hidden="1" x14ac:dyDescent="0.3">
      <c r="A1740">
        <v>1738</v>
      </c>
      <c r="B1740" t="s">
        <v>2338</v>
      </c>
      <c r="C1740" t="s">
        <v>168</v>
      </c>
      <c r="D1740">
        <v>1.0097193121947401</v>
      </c>
    </row>
    <row r="1741" spans="1:4" hidden="1" x14ac:dyDescent="0.3">
      <c r="A1741">
        <v>1739</v>
      </c>
      <c r="B1741" t="s">
        <v>2339</v>
      </c>
      <c r="C1741" t="s">
        <v>170</v>
      </c>
      <c r="D1741">
        <v>0.98801166948470098</v>
      </c>
    </row>
    <row r="1742" spans="1:4" hidden="1" x14ac:dyDescent="0.3">
      <c r="A1742">
        <v>1740</v>
      </c>
      <c r="B1742" s="1" t="s">
        <v>2340</v>
      </c>
      <c r="C1742" t="s">
        <v>172</v>
      </c>
      <c r="D1742" s="1" t="s">
        <v>2341</v>
      </c>
    </row>
    <row r="1743" spans="1:4" hidden="1" x14ac:dyDescent="0.3">
      <c r="A1743">
        <v>1741</v>
      </c>
      <c r="B1743" s="1" t="s">
        <v>2342</v>
      </c>
      <c r="C1743" t="s">
        <v>55</v>
      </c>
      <c r="D1743" s="1" t="s">
        <v>2343</v>
      </c>
    </row>
    <row r="1744" spans="1:4" hidden="1" x14ac:dyDescent="0.3">
      <c r="A1744">
        <v>1742</v>
      </c>
      <c r="B1744" s="1" t="s">
        <v>2344</v>
      </c>
      <c r="C1744" t="s">
        <v>52</v>
      </c>
      <c r="D1744" s="1" t="s">
        <v>2345</v>
      </c>
    </row>
    <row r="1745" spans="1:4" hidden="1" x14ac:dyDescent="0.3">
      <c r="A1745">
        <v>1743</v>
      </c>
      <c r="B1745" s="1" t="s">
        <v>2346</v>
      </c>
      <c r="C1745" t="s">
        <v>58</v>
      </c>
      <c r="D1745" s="1" t="s">
        <v>2347</v>
      </c>
    </row>
    <row r="1746" spans="1:4" hidden="1" x14ac:dyDescent="0.3">
      <c r="A1746">
        <v>1744</v>
      </c>
      <c r="B1746" t="s">
        <v>2348</v>
      </c>
      <c r="C1746" t="s">
        <v>61</v>
      </c>
      <c r="D1746">
        <v>145601451.75373101</v>
      </c>
    </row>
    <row r="1747" spans="1:4" hidden="1" x14ac:dyDescent="0.3">
      <c r="A1747">
        <v>1745</v>
      </c>
      <c r="B1747" t="s">
        <v>2349</v>
      </c>
      <c r="C1747" t="s">
        <v>63</v>
      </c>
      <c r="D1747">
        <v>76368683.658920005</v>
      </c>
    </row>
    <row r="1748" spans="1:4" hidden="1" x14ac:dyDescent="0.3">
      <c r="A1748">
        <v>1746</v>
      </c>
      <c r="B1748" t="s">
        <v>2350</v>
      </c>
      <c r="C1748" t="s">
        <v>65</v>
      </c>
      <c r="D1748">
        <v>39395199.290518403</v>
      </c>
    </row>
    <row r="1749" spans="1:4" hidden="1" x14ac:dyDescent="0.3">
      <c r="A1749">
        <v>1747</v>
      </c>
      <c r="B1749" s="1" t="s">
        <v>2351</v>
      </c>
      <c r="C1749" t="s">
        <v>67</v>
      </c>
      <c r="D1749" s="1" t="s">
        <v>2352</v>
      </c>
    </row>
    <row r="1750" spans="1:4" hidden="1" x14ac:dyDescent="0.3">
      <c r="A1750">
        <v>1748</v>
      </c>
      <c r="B1750" s="1" t="s">
        <v>2353</v>
      </c>
      <c r="C1750" t="s">
        <v>70</v>
      </c>
      <c r="D1750" s="1" t="s">
        <v>2354</v>
      </c>
    </row>
    <row r="1751" spans="1:4" hidden="1" x14ac:dyDescent="0.3">
      <c r="A1751">
        <v>1749</v>
      </c>
      <c r="B1751" t="s">
        <v>2355</v>
      </c>
      <c r="C1751" t="s">
        <v>73</v>
      </c>
      <c r="D1751">
        <v>1.00003767626952</v>
      </c>
    </row>
    <row r="1752" spans="1:4" hidden="1" x14ac:dyDescent="0.3">
      <c r="A1752">
        <v>1750</v>
      </c>
      <c r="B1752" t="s">
        <v>74</v>
      </c>
      <c r="C1752" t="s">
        <v>75</v>
      </c>
      <c r="D1752">
        <v>2.7397260273972599E-3</v>
      </c>
    </row>
    <row r="1753" spans="1:4" hidden="1" x14ac:dyDescent="0.3">
      <c r="A1753">
        <v>1751</v>
      </c>
      <c r="B1753" t="s">
        <v>76</v>
      </c>
      <c r="C1753" t="s">
        <v>77</v>
      </c>
      <c r="D1753">
        <v>0</v>
      </c>
    </row>
    <row r="1754" spans="1:4" hidden="1" x14ac:dyDescent="0.3">
      <c r="A1754">
        <v>1752</v>
      </c>
      <c r="B1754" t="s">
        <v>78</v>
      </c>
      <c r="C1754" t="s">
        <v>79</v>
      </c>
      <c r="D1754">
        <v>0</v>
      </c>
    </row>
    <row r="1755" spans="1:4" hidden="1" x14ac:dyDescent="0.3">
      <c r="A1755">
        <v>1753</v>
      </c>
      <c r="B1755" s="1" t="s">
        <v>2356</v>
      </c>
      <c r="C1755" t="s">
        <v>81</v>
      </c>
      <c r="D1755" s="1" t="s">
        <v>2357</v>
      </c>
    </row>
    <row r="1756" spans="1:4" hidden="1" x14ac:dyDescent="0.3">
      <c r="A1756">
        <v>1754</v>
      </c>
      <c r="B1756" t="s">
        <v>2358</v>
      </c>
      <c r="C1756" t="s">
        <v>84</v>
      </c>
      <c r="D1756">
        <v>1.0000351235382099</v>
      </c>
    </row>
    <row r="1757" spans="1:4" hidden="1" x14ac:dyDescent="0.3">
      <c r="A1757">
        <v>1755</v>
      </c>
      <c r="B1757" s="1" t="s">
        <v>2359</v>
      </c>
      <c r="C1757" t="s">
        <v>86</v>
      </c>
      <c r="D1757" s="1" t="s">
        <v>2360</v>
      </c>
    </row>
    <row r="1758" spans="1:4" hidden="1" x14ac:dyDescent="0.3">
      <c r="A1758">
        <v>1756</v>
      </c>
      <c r="B1758" t="s">
        <v>2361</v>
      </c>
      <c r="C1758" t="s">
        <v>89</v>
      </c>
      <c r="D1758">
        <v>101186225.465196</v>
      </c>
    </row>
    <row r="1759" spans="1:4" hidden="1" x14ac:dyDescent="0.3">
      <c r="A1759">
        <v>1757</v>
      </c>
      <c r="B1759" s="1" t="s">
        <v>2362</v>
      </c>
      <c r="C1759" t="s">
        <v>91</v>
      </c>
      <c r="D1759" s="1" t="s">
        <v>2296</v>
      </c>
    </row>
    <row r="1760" spans="1:4" hidden="1" x14ac:dyDescent="0.3">
      <c r="A1760">
        <v>1758</v>
      </c>
      <c r="B1760" t="s">
        <v>2363</v>
      </c>
      <c r="C1760" t="s">
        <v>94</v>
      </c>
      <c r="D1760">
        <v>76368683.658920005</v>
      </c>
    </row>
    <row r="1761" spans="1:4" hidden="1" x14ac:dyDescent="0.3">
      <c r="A1761">
        <v>1759</v>
      </c>
      <c r="B1761" t="s">
        <v>2364</v>
      </c>
      <c r="C1761" t="s">
        <v>96</v>
      </c>
      <c r="D1761">
        <v>39395199.290518403</v>
      </c>
    </row>
    <row r="1762" spans="1:4" hidden="1" x14ac:dyDescent="0.3">
      <c r="A1762">
        <v>1760</v>
      </c>
      <c r="B1762" t="s">
        <v>2365</v>
      </c>
      <c r="C1762" t="s">
        <v>98</v>
      </c>
      <c r="D1762">
        <v>29837568.804292999</v>
      </c>
    </row>
    <row r="1763" spans="1:4" hidden="1" x14ac:dyDescent="0.3">
      <c r="A1763">
        <v>1761</v>
      </c>
      <c r="B1763" s="1" t="s">
        <v>2366</v>
      </c>
      <c r="C1763" t="s">
        <v>100</v>
      </c>
      <c r="D1763" s="1" t="s">
        <v>2367</v>
      </c>
    </row>
    <row r="1764" spans="1:4" hidden="1" x14ac:dyDescent="0.3">
      <c r="A1764">
        <v>1762</v>
      </c>
      <c r="B1764" t="s">
        <v>2368</v>
      </c>
      <c r="C1764" t="s">
        <v>103</v>
      </c>
      <c r="D1764">
        <v>9.0932365516662502E-3</v>
      </c>
    </row>
    <row r="1765" spans="1:4" hidden="1" x14ac:dyDescent="0.3">
      <c r="A1765">
        <v>1763</v>
      </c>
      <c r="B1765" t="s">
        <v>2369</v>
      </c>
      <c r="C1765" t="s">
        <v>105</v>
      </c>
      <c r="D1765">
        <v>1.8008091593445801E-3</v>
      </c>
    </row>
    <row r="1766" spans="1:4" hidden="1" x14ac:dyDescent="0.3">
      <c r="A1766">
        <v>1764</v>
      </c>
      <c r="B1766" t="s">
        <v>2370</v>
      </c>
      <c r="C1766" t="s">
        <v>107</v>
      </c>
      <c r="D1766">
        <v>1.05102032880402E-2</v>
      </c>
    </row>
    <row r="1767" spans="1:4" hidden="1" x14ac:dyDescent="0.3">
      <c r="A1767">
        <v>1765</v>
      </c>
      <c r="B1767" s="1" t="s">
        <v>2371</v>
      </c>
      <c r="C1767" t="s">
        <v>109</v>
      </c>
      <c r="D1767" s="1" t="s">
        <v>2372</v>
      </c>
    </row>
    <row r="1768" spans="1:4" x14ac:dyDescent="0.3">
      <c r="A1768">
        <v>1766</v>
      </c>
      <c r="B1768" t="s">
        <v>2373</v>
      </c>
      <c r="C1768" t="s">
        <v>207</v>
      </c>
      <c r="D1768">
        <v>145601362.16457701</v>
      </c>
    </row>
    <row r="1769" spans="1:4" hidden="1" x14ac:dyDescent="0.3">
      <c r="A1769">
        <v>1767</v>
      </c>
      <c r="B1769" t="s">
        <v>2374</v>
      </c>
      <c r="C1769" t="s">
        <v>209</v>
      </c>
      <c r="D1769">
        <v>194.941232733851</v>
      </c>
    </row>
    <row r="1770" spans="1:4" hidden="1" x14ac:dyDescent="0.3">
      <c r="A1770">
        <v>1768</v>
      </c>
      <c r="B1770" t="s">
        <v>2375</v>
      </c>
      <c r="C1770" t="s">
        <v>211</v>
      </c>
      <c r="D1770">
        <v>100.561520910835</v>
      </c>
    </row>
    <row r="1771" spans="1:4" hidden="1" x14ac:dyDescent="0.3">
      <c r="A1771">
        <v>1769</v>
      </c>
      <c r="B1771" s="1" t="s">
        <v>2376</v>
      </c>
      <c r="C1771" t="s">
        <v>213</v>
      </c>
      <c r="D1771" s="1" t="s">
        <v>2377</v>
      </c>
    </row>
    <row r="1772" spans="1:4" hidden="1" x14ac:dyDescent="0.3">
      <c r="A1772">
        <v>1770</v>
      </c>
      <c r="B1772" t="s">
        <v>2378</v>
      </c>
      <c r="C1772" t="s">
        <v>216</v>
      </c>
      <c r="D1772">
        <v>76368428.744371802</v>
      </c>
    </row>
    <row r="1773" spans="1:4" hidden="1" x14ac:dyDescent="0.3">
      <c r="A1773">
        <v>1771</v>
      </c>
      <c r="B1773" t="s">
        <v>2379</v>
      </c>
      <c r="C1773" t="s">
        <v>218</v>
      </c>
      <c r="D1773">
        <v>39395079.411392197</v>
      </c>
    </row>
    <row r="1774" spans="1:4" hidden="1" x14ac:dyDescent="0.3">
      <c r="A1774">
        <v>1772</v>
      </c>
      <c r="B1774" t="s">
        <v>2380</v>
      </c>
      <c r="C1774" t="s">
        <v>220</v>
      </c>
      <c r="D1774">
        <v>29837482.341659099</v>
      </c>
    </row>
    <row r="1775" spans="1:4" hidden="1" x14ac:dyDescent="0.3">
      <c r="A1775">
        <v>1773</v>
      </c>
      <c r="B1775" s="1" t="s">
        <v>2381</v>
      </c>
      <c r="C1775" t="s">
        <v>222</v>
      </c>
      <c r="D1775" s="1" t="s">
        <v>2382</v>
      </c>
    </row>
    <row r="1776" spans="1:4" hidden="1" x14ac:dyDescent="0.3">
      <c r="A1776">
        <v>1774</v>
      </c>
      <c r="B1776" t="s">
        <v>2383</v>
      </c>
      <c r="C1776" t="s">
        <v>225</v>
      </c>
      <c r="D1776">
        <v>101185967.17368101</v>
      </c>
    </row>
    <row r="1777" spans="1:4" hidden="1" x14ac:dyDescent="0.3">
      <c r="A1777">
        <v>1775</v>
      </c>
      <c r="B1777" t="s">
        <v>2384</v>
      </c>
      <c r="C1777" t="s">
        <v>227</v>
      </c>
      <c r="D1777">
        <v>258.291515231132</v>
      </c>
    </row>
    <row r="1778" spans="1:4" hidden="1" x14ac:dyDescent="0.3">
      <c r="A1778">
        <v>1776</v>
      </c>
      <c r="B1778" s="1" t="s">
        <v>2385</v>
      </c>
      <c r="C1778" t="s">
        <v>229</v>
      </c>
      <c r="D1778" s="1" t="s">
        <v>2386</v>
      </c>
    </row>
    <row r="1779" spans="1:4" hidden="1" x14ac:dyDescent="0.3">
      <c r="A1779">
        <v>1777</v>
      </c>
      <c r="B1779" t="s">
        <v>2387</v>
      </c>
      <c r="C1779" t="s">
        <v>112</v>
      </c>
      <c r="D1779">
        <v>-59.973315428608103</v>
      </c>
    </row>
    <row r="1780" spans="1:4" hidden="1" x14ac:dyDescent="0.3">
      <c r="A1780">
        <v>1778</v>
      </c>
      <c r="B1780" t="s">
        <v>2388</v>
      </c>
      <c r="C1780" t="s">
        <v>114</v>
      </c>
      <c r="D1780">
        <v>-19.317605257994799</v>
      </c>
    </row>
    <row r="1781" spans="1:4" hidden="1" x14ac:dyDescent="0.3">
      <c r="A1781">
        <v>1779</v>
      </c>
      <c r="B1781" s="1" t="s">
        <v>2389</v>
      </c>
      <c r="C1781" t="s">
        <v>116</v>
      </c>
      <c r="D1781" s="1" t="s">
        <v>2390</v>
      </c>
    </row>
    <row r="1782" spans="1:4" hidden="1" x14ac:dyDescent="0.3">
      <c r="A1782">
        <v>1780</v>
      </c>
      <c r="B1782" t="s">
        <v>2391</v>
      </c>
      <c r="C1782" t="s">
        <v>119</v>
      </c>
      <c r="D1782">
        <v>76368428.744371802</v>
      </c>
    </row>
    <row r="1783" spans="1:4" hidden="1" x14ac:dyDescent="0.3">
      <c r="A1783">
        <v>1781</v>
      </c>
      <c r="B1783" t="s">
        <v>2392</v>
      </c>
      <c r="C1783" t="s">
        <v>121</v>
      </c>
      <c r="D1783">
        <v>39395079.411392197</v>
      </c>
    </row>
    <row r="1784" spans="1:4" hidden="1" x14ac:dyDescent="0.3">
      <c r="A1784">
        <v>1782</v>
      </c>
      <c r="B1784" s="1" t="s">
        <v>2393</v>
      </c>
      <c r="C1784" t="s">
        <v>123</v>
      </c>
      <c r="D1784" s="1" t="s">
        <v>2394</v>
      </c>
    </row>
    <row r="1785" spans="1:4" hidden="1" x14ac:dyDescent="0.3">
      <c r="A1785">
        <v>1783</v>
      </c>
      <c r="B1785" t="s">
        <v>2395</v>
      </c>
      <c r="C1785" t="s">
        <v>126</v>
      </c>
      <c r="D1785">
        <v>0.75470688912897899</v>
      </c>
    </row>
    <row r="1786" spans="1:4" hidden="1" x14ac:dyDescent="0.3">
      <c r="A1786">
        <v>1784</v>
      </c>
      <c r="B1786" t="s">
        <v>2396</v>
      </c>
      <c r="C1786" t="s">
        <v>128</v>
      </c>
      <c r="D1786">
        <v>0.38931975318075501</v>
      </c>
    </row>
    <row r="1787" spans="1:4" hidden="1" x14ac:dyDescent="0.3">
      <c r="A1787">
        <v>1785</v>
      </c>
      <c r="B1787" s="1" t="s">
        <v>2397</v>
      </c>
      <c r="C1787" t="s">
        <v>130</v>
      </c>
      <c r="D1787" s="1" t="s">
        <v>2398</v>
      </c>
    </row>
    <row r="1788" spans="1:4" hidden="1" x14ac:dyDescent="0.3">
      <c r="A1788">
        <v>1786</v>
      </c>
      <c r="B1788" s="1" t="s">
        <v>2399</v>
      </c>
      <c r="C1788" t="s">
        <v>4</v>
      </c>
      <c r="D1788" t="s">
        <v>2400</v>
      </c>
    </row>
    <row r="1789" spans="1:4" hidden="1" x14ac:dyDescent="0.3">
      <c r="A1789">
        <v>1787</v>
      </c>
      <c r="B1789" t="s">
        <v>2401</v>
      </c>
      <c r="C1789" t="s">
        <v>7</v>
      </c>
      <c r="D1789">
        <v>1764.16</v>
      </c>
    </row>
    <row r="1790" spans="1:4" hidden="1" x14ac:dyDescent="0.3">
      <c r="A1790">
        <v>1788</v>
      </c>
      <c r="B1790" s="1" t="s">
        <v>2402</v>
      </c>
      <c r="C1790" t="s">
        <v>9</v>
      </c>
      <c r="D1790" s="1" t="s">
        <v>2403</v>
      </c>
    </row>
    <row r="1791" spans="1:4" hidden="1" x14ac:dyDescent="0.3">
      <c r="A1791">
        <v>1789</v>
      </c>
      <c r="B1791" t="s">
        <v>2224</v>
      </c>
      <c r="C1791" t="s">
        <v>14</v>
      </c>
      <c r="D1791">
        <v>98.05859375</v>
      </c>
    </row>
    <row r="1792" spans="1:4" hidden="1" x14ac:dyDescent="0.3">
      <c r="A1792">
        <v>1790</v>
      </c>
      <c r="B1792" t="s">
        <v>2404</v>
      </c>
      <c r="C1792" t="s">
        <v>16</v>
      </c>
      <c r="D1792">
        <v>4.3853982952734896</v>
      </c>
    </row>
    <row r="1793" spans="1:4" hidden="1" x14ac:dyDescent="0.3">
      <c r="A1793">
        <v>1791</v>
      </c>
      <c r="B1793" s="1" t="s">
        <v>2405</v>
      </c>
      <c r="C1793" t="s">
        <v>140</v>
      </c>
      <c r="D1793" s="1" t="s">
        <v>2406</v>
      </c>
    </row>
    <row r="1794" spans="1:4" hidden="1" x14ac:dyDescent="0.3">
      <c r="A1794">
        <v>1792</v>
      </c>
      <c r="B1794" t="s">
        <v>2407</v>
      </c>
      <c r="C1794" t="s">
        <v>22</v>
      </c>
      <c r="D1794">
        <v>78.2</v>
      </c>
    </row>
    <row r="1795" spans="1:4" hidden="1" x14ac:dyDescent="0.3">
      <c r="A1795">
        <v>1793</v>
      </c>
      <c r="B1795" t="s">
        <v>2408</v>
      </c>
      <c r="C1795" t="s">
        <v>24</v>
      </c>
      <c r="D1795">
        <v>6.12538373482219</v>
      </c>
    </row>
    <row r="1796" spans="1:4" hidden="1" x14ac:dyDescent="0.3">
      <c r="A1796">
        <v>1794</v>
      </c>
      <c r="B1796" s="1" t="s">
        <v>2409</v>
      </c>
      <c r="C1796" t="s">
        <v>145</v>
      </c>
      <c r="D1796" s="1" t="s">
        <v>2410</v>
      </c>
    </row>
    <row r="1797" spans="1:4" hidden="1" x14ac:dyDescent="0.3">
      <c r="A1797">
        <v>1795</v>
      </c>
      <c r="B1797" t="s">
        <v>2411</v>
      </c>
      <c r="C1797" t="s">
        <v>35</v>
      </c>
      <c r="D1797">
        <v>0.27754897332771</v>
      </c>
    </row>
    <row r="1798" spans="1:4" hidden="1" x14ac:dyDescent="0.3">
      <c r="A1798">
        <v>1796</v>
      </c>
      <c r="B1798" t="s">
        <v>2412</v>
      </c>
      <c r="C1798" t="s">
        <v>149</v>
      </c>
      <c r="D1798">
        <v>0.68512137655989003</v>
      </c>
    </row>
    <row r="1799" spans="1:4" hidden="1" x14ac:dyDescent="0.3">
      <c r="A1799">
        <v>1797</v>
      </c>
      <c r="B1799" s="1" t="s">
        <v>2413</v>
      </c>
      <c r="C1799" t="s">
        <v>151</v>
      </c>
      <c r="D1799" s="1" t="s">
        <v>2414</v>
      </c>
    </row>
    <row r="1800" spans="1:4" hidden="1" x14ac:dyDescent="0.3">
      <c r="A1800">
        <v>1798</v>
      </c>
      <c r="B1800" t="s">
        <v>2415</v>
      </c>
      <c r="C1800" t="s">
        <v>30</v>
      </c>
      <c r="D1800">
        <v>0.29168305241661002</v>
      </c>
    </row>
    <row r="1801" spans="1:4" hidden="1" x14ac:dyDescent="0.3">
      <c r="A1801">
        <v>1799</v>
      </c>
      <c r="B1801" t="s">
        <v>2416</v>
      </c>
      <c r="C1801" t="s">
        <v>32</v>
      </c>
      <c r="D1801">
        <v>0.22467923079777299</v>
      </c>
    </row>
    <row r="1802" spans="1:4" hidden="1" x14ac:dyDescent="0.3">
      <c r="A1802">
        <v>1800</v>
      </c>
      <c r="B1802" s="1" t="s">
        <v>2417</v>
      </c>
      <c r="C1802" t="s">
        <v>155</v>
      </c>
      <c r="D1802" s="1" t="s">
        <v>2418</v>
      </c>
    </row>
    <row r="1803" spans="1:4" hidden="1" x14ac:dyDescent="0.3">
      <c r="A1803">
        <v>1801</v>
      </c>
      <c r="B1803" t="s">
        <v>2419</v>
      </c>
      <c r="C1803" t="s">
        <v>40</v>
      </c>
      <c r="D1803">
        <v>0.43076797425567798</v>
      </c>
    </row>
    <row r="1804" spans="1:4" hidden="1" x14ac:dyDescent="0.3">
      <c r="A1804">
        <v>1802</v>
      </c>
      <c r="B1804" t="s">
        <v>2420</v>
      </c>
      <c r="C1804" t="s">
        <v>42</v>
      </c>
      <c r="D1804">
        <v>0.23491615509015101</v>
      </c>
    </row>
    <row r="1805" spans="1:4" hidden="1" x14ac:dyDescent="0.3">
      <c r="A1805">
        <v>1803</v>
      </c>
      <c r="B1805" s="1" t="s">
        <v>2421</v>
      </c>
      <c r="C1805" t="s">
        <v>159</v>
      </c>
      <c r="D1805" s="1" t="s">
        <v>2422</v>
      </c>
    </row>
    <row r="1806" spans="1:4" hidden="1" x14ac:dyDescent="0.3">
      <c r="A1806">
        <v>1804</v>
      </c>
      <c r="B1806" t="s">
        <v>2423</v>
      </c>
      <c r="C1806" t="s">
        <v>161</v>
      </c>
      <c r="D1806">
        <v>0.99473357767127102</v>
      </c>
    </row>
    <row r="1807" spans="1:4" hidden="1" x14ac:dyDescent="0.3">
      <c r="A1807">
        <v>1805</v>
      </c>
      <c r="B1807" t="s">
        <v>2424</v>
      </c>
      <c r="C1807" t="s">
        <v>163</v>
      </c>
      <c r="D1807">
        <v>0.99990171188920296</v>
      </c>
    </row>
    <row r="1808" spans="1:4" hidden="1" x14ac:dyDescent="0.3">
      <c r="A1808">
        <v>1806</v>
      </c>
      <c r="B1808" s="1" t="s">
        <v>2425</v>
      </c>
      <c r="C1808" t="s">
        <v>165</v>
      </c>
      <c r="D1808" s="1" t="s">
        <v>2426</v>
      </c>
    </row>
    <row r="1809" spans="1:4" hidden="1" x14ac:dyDescent="0.3">
      <c r="A1809">
        <v>1807</v>
      </c>
      <c r="B1809" t="s">
        <v>2427</v>
      </c>
      <c r="C1809" t="s">
        <v>168</v>
      </c>
      <c r="D1809">
        <v>0.99976488568818001</v>
      </c>
    </row>
    <row r="1810" spans="1:4" hidden="1" x14ac:dyDescent="0.3">
      <c r="A1810">
        <v>1808</v>
      </c>
      <c r="B1810" t="s">
        <v>2428</v>
      </c>
      <c r="C1810" t="s">
        <v>170</v>
      </c>
      <c r="D1810">
        <v>0.99491330468594397</v>
      </c>
    </row>
    <row r="1811" spans="1:4" hidden="1" x14ac:dyDescent="0.3">
      <c r="A1811">
        <v>1809</v>
      </c>
      <c r="B1811" s="1" t="s">
        <v>2429</v>
      </c>
      <c r="C1811" t="s">
        <v>172</v>
      </c>
      <c r="D1811" s="1" t="s">
        <v>2430</v>
      </c>
    </row>
    <row r="1812" spans="1:4" hidden="1" x14ac:dyDescent="0.3">
      <c r="A1812">
        <v>1810</v>
      </c>
      <c r="B1812" s="1" t="s">
        <v>2431</v>
      </c>
      <c r="C1812" t="s">
        <v>55</v>
      </c>
      <c r="D1812" s="1" t="s">
        <v>2432</v>
      </c>
    </row>
    <row r="1813" spans="1:4" hidden="1" x14ac:dyDescent="0.3">
      <c r="A1813">
        <v>1811</v>
      </c>
      <c r="B1813" s="1" t="s">
        <v>2433</v>
      </c>
      <c r="C1813" t="s">
        <v>52</v>
      </c>
      <c r="D1813" s="1" t="s">
        <v>2434</v>
      </c>
    </row>
    <row r="1814" spans="1:4" hidden="1" x14ac:dyDescent="0.3">
      <c r="A1814">
        <v>1812</v>
      </c>
      <c r="B1814" s="1" t="s">
        <v>2435</v>
      </c>
      <c r="C1814" t="s">
        <v>58</v>
      </c>
      <c r="D1814" s="1" t="s">
        <v>2436</v>
      </c>
    </row>
    <row r="1815" spans="1:4" hidden="1" x14ac:dyDescent="0.3">
      <c r="A1815">
        <v>1813</v>
      </c>
      <c r="B1815" t="s">
        <v>2437</v>
      </c>
      <c r="C1815" t="s">
        <v>61</v>
      </c>
      <c r="D1815">
        <v>146115852.63652</v>
      </c>
    </row>
    <row r="1816" spans="1:4" hidden="1" x14ac:dyDescent="0.3">
      <c r="A1816">
        <v>1814</v>
      </c>
      <c r="B1816" t="s">
        <v>2438</v>
      </c>
      <c r="C1816" t="s">
        <v>63</v>
      </c>
      <c r="D1816">
        <v>75966240.346022606</v>
      </c>
    </row>
    <row r="1817" spans="1:4" hidden="1" x14ac:dyDescent="0.3">
      <c r="A1817">
        <v>1815</v>
      </c>
      <c r="B1817" t="s">
        <v>2439</v>
      </c>
      <c r="C1817" t="s">
        <v>65</v>
      </c>
      <c r="D1817">
        <v>39391207.343462199</v>
      </c>
    </row>
    <row r="1818" spans="1:4" hidden="1" x14ac:dyDescent="0.3">
      <c r="A1818">
        <v>1816</v>
      </c>
      <c r="B1818" s="1" t="s">
        <v>2440</v>
      </c>
      <c r="C1818" t="s">
        <v>67</v>
      </c>
      <c r="D1818" s="1" t="s">
        <v>2441</v>
      </c>
    </row>
    <row r="1819" spans="1:4" hidden="1" x14ac:dyDescent="0.3">
      <c r="A1819">
        <v>1817</v>
      </c>
      <c r="B1819" s="1" t="s">
        <v>2442</v>
      </c>
      <c r="C1819" t="s">
        <v>70</v>
      </c>
      <c r="D1819" s="1" t="s">
        <v>2443</v>
      </c>
    </row>
    <row r="1820" spans="1:4" hidden="1" x14ac:dyDescent="0.3">
      <c r="A1820">
        <v>1818</v>
      </c>
      <c r="B1820" t="s">
        <v>2444</v>
      </c>
      <c r="C1820" t="s">
        <v>73</v>
      </c>
      <c r="D1820">
        <v>1.0000351235382099</v>
      </c>
    </row>
    <row r="1821" spans="1:4" hidden="1" x14ac:dyDescent="0.3">
      <c r="A1821">
        <v>1819</v>
      </c>
      <c r="B1821" t="s">
        <v>74</v>
      </c>
      <c r="C1821" t="s">
        <v>75</v>
      </c>
      <c r="D1821">
        <v>2.7397260273972599E-3</v>
      </c>
    </row>
    <row r="1822" spans="1:4" hidden="1" x14ac:dyDescent="0.3">
      <c r="A1822">
        <v>1820</v>
      </c>
      <c r="B1822" t="s">
        <v>76</v>
      </c>
      <c r="C1822" t="s">
        <v>77</v>
      </c>
      <c r="D1822">
        <v>0</v>
      </c>
    </row>
    <row r="1823" spans="1:4" hidden="1" x14ac:dyDescent="0.3">
      <c r="A1823">
        <v>1821</v>
      </c>
      <c r="B1823" t="s">
        <v>78</v>
      </c>
      <c r="C1823" t="s">
        <v>79</v>
      </c>
      <c r="D1823">
        <v>0</v>
      </c>
    </row>
    <row r="1824" spans="1:4" hidden="1" x14ac:dyDescent="0.3">
      <c r="A1824">
        <v>1822</v>
      </c>
      <c r="B1824" s="1" t="s">
        <v>2445</v>
      </c>
      <c r="C1824" t="s">
        <v>81</v>
      </c>
      <c r="D1824" s="1" t="s">
        <v>2446</v>
      </c>
    </row>
    <row r="1825" spans="1:4" hidden="1" x14ac:dyDescent="0.3">
      <c r="A1825">
        <v>1823</v>
      </c>
      <c r="B1825" t="s">
        <v>2447</v>
      </c>
      <c r="C1825" t="s">
        <v>84</v>
      </c>
      <c r="D1825">
        <v>1.00006237639927</v>
      </c>
    </row>
    <row r="1826" spans="1:4" hidden="1" x14ac:dyDescent="0.3">
      <c r="A1826">
        <v>1824</v>
      </c>
      <c r="B1826" s="1" t="s">
        <v>2448</v>
      </c>
      <c r="C1826" t="s">
        <v>86</v>
      </c>
      <c r="D1826" s="1" t="s">
        <v>2449</v>
      </c>
    </row>
    <row r="1827" spans="1:4" hidden="1" x14ac:dyDescent="0.3">
      <c r="A1827">
        <v>1825</v>
      </c>
      <c r="B1827" t="s">
        <v>2450</v>
      </c>
      <c r="C1827" t="s">
        <v>89</v>
      </c>
      <c r="D1827">
        <v>101183468.02305099</v>
      </c>
    </row>
    <row r="1828" spans="1:4" hidden="1" x14ac:dyDescent="0.3">
      <c r="A1828">
        <v>1826</v>
      </c>
      <c r="B1828" s="1" t="s">
        <v>2451</v>
      </c>
      <c r="C1828" t="s">
        <v>91</v>
      </c>
      <c r="D1828" s="1" t="s">
        <v>2386</v>
      </c>
    </row>
    <row r="1829" spans="1:4" hidden="1" x14ac:dyDescent="0.3">
      <c r="A1829">
        <v>1827</v>
      </c>
      <c r="B1829" t="s">
        <v>2452</v>
      </c>
      <c r="C1829" t="s">
        <v>94</v>
      </c>
      <c r="D1829">
        <v>75966240.346022606</v>
      </c>
    </row>
    <row r="1830" spans="1:4" hidden="1" x14ac:dyDescent="0.3">
      <c r="A1830">
        <v>1828</v>
      </c>
      <c r="B1830" t="s">
        <v>2453</v>
      </c>
      <c r="C1830" t="s">
        <v>96</v>
      </c>
      <c r="D1830">
        <v>39391207.343462199</v>
      </c>
    </row>
    <row r="1831" spans="1:4" hidden="1" x14ac:dyDescent="0.3">
      <c r="A1831">
        <v>1829</v>
      </c>
      <c r="B1831" t="s">
        <v>2454</v>
      </c>
      <c r="C1831" t="s">
        <v>98</v>
      </c>
      <c r="D1831">
        <v>30758404.947035901</v>
      </c>
    </row>
    <row r="1832" spans="1:4" hidden="1" x14ac:dyDescent="0.3">
      <c r="A1832">
        <v>1830</v>
      </c>
      <c r="B1832" s="1" t="s">
        <v>2455</v>
      </c>
      <c r="C1832" t="s">
        <v>100</v>
      </c>
      <c r="D1832" s="1" t="s">
        <v>2456</v>
      </c>
    </row>
    <row r="1833" spans="1:4" hidden="1" x14ac:dyDescent="0.3">
      <c r="A1833">
        <v>1831</v>
      </c>
      <c r="B1833" t="s">
        <v>2457</v>
      </c>
      <c r="C1833" t="s">
        <v>103</v>
      </c>
      <c r="D1833">
        <v>9.3077720592176696E-3</v>
      </c>
    </row>
    <row r="1834" spans="1:4" hidden="1" x14ac:dyDescent="0.3">
      <c r="A1834">
        <v>1832</v>
      </c>
      <c r="B1834" t="s">
        <v>2458</v>
      </c>
      <c r="C1834" t="s">
        <v>105</v>
      </c>
      <c r="D1834">
        <v>1.80037269672632E-3</v>
      </c>
    </row>
    <row r="1835" spans="1:4" hidden="1" x14ac:dyDescent="0.3">
      <c r="A1835">
        <v>1833</v>
      </c>
      <c r="B1835" t="s">
        <v>2459</v>
      </c>
      <c r="C1835" t="s">
        <v>107</v>
      </c>
      <c r="D1835">
        <v>1.1051704916962101E-2</v>
      </c>
    </row>
    <row r="1836" spans="1:4" hidden="1" x14ac:dyDescent="0.3">
      <c r="A1836">
        <v>1834</v>
      </c>
      <c r="B1836" s="1" t="s">
        <v>2460</v>
      </c>
      <c r="C1836" t="s">
        <v>109</v>
      </c>
      <c r="D1836" s="1" t="s">
        <v>2461</v>
      </c>
    </row>
    <row r="1837" spans="1:4" x14ac:dyDescent="0.3">
      <c r="A1837">
        <v>1835</v>
      </c>
      <c r="B1837" t="s">
        <v>2462</v>
      </c>
      <c r="C1837" t="s">
        <v>207</v>
      </c>
      <c r="D1837">
        <v>146116802.4346</v>
      </c>
    </row>
    <row r="1838" spans="1:4" hidden="1" x14ac:dyDescent="0.3">
      <c r="A1838">
        <v>1836</v>
      </c>
      <c r="B1838" t="s">
        <v>2463</v>
      </c>
      <c r="C1838" t="s">
        <v>209</v>
      </c>
      <c r="D1838">
        <v>-2070.2442153668399</v>
      </c>
    </row>
    <row r="1839" spans="1:4" hidden="1" x14ac:dyDescent="0.3">
      <c r="A1839">
        <v>1837</v>
      </c>
      <c r="B1839" t="s">
        <v>2464</v>
      </c>
      <c r="C1839" t="s">
        <v>211</v>
      </c>
      <c r="D1839">
        <v>-1073.4894689595201</v>
      </c>
    </row>
    <row r="1840" spans="1:4" hidden="1" x14ac:dyDescent="0.3">
      <c r="A1840">
        <v>1838</v>
      </c>
      <c r="B1840" s="1" t="s">
        <v>2465</v>
      </c>
      <c r="C1840" t="s">
        <v>213</v>
      </c>
      <c r="D1840" s="1" t="s">
        <v>2466</v>
      </c>
    </row>
    <row r="1841" spans="1:4" hidden="1" x14ac:dyDescent="0.3">
      <c r="A1841">
        <v>1839</v>
      </c>
      <c r="B1841" t="s">
        <v>2467</v>
      </c>
      <c r="C1841" t="s">
        <v>216</v>
      </c>
      <c r="D1841">
        <v>75969027.418242499</v>
      </c>
    </row>
    <row r="1842" spans="1:4" hidden="1" x14ac:dyDescent="0.3">
      <c r="A1842">
        <v>1840</v>
      </c>
      <c r="B1842" t="s">
        <v>2468</v>
      </c>
      <c r="C1842" t="s">
        <v>218</v>
      </c>
      <c r="D1842">
        <v>39392430.272353098</v>
      </c>
    </row>
    <row r="1843" spans="1:4" hidden="1" x14ac:dyDescent="0.3">
      <c r="A1843">
        <v>1841</v>
      </c>
      <c r="B1843" t="s">
        <v>2469</v>
      </c>
      <c r="C1843" t="s">
        <v>220</v>
      </c>
      <c r="D1843">
        <v>30759326.705060899</v>
      </c>
    </row>
    <row r="1844" spans="1:4" hidden="1" x14ac:dyDescent="0.3">
      <c r="A1844">
        <v>1842</v>
      </c>
      <c r="B1844" s="1" t="s">
        <v>2470</v>
      </c>
      <c r="C1844" t="s">
        <v>222</v>
      </c>
      <c r="D1844" s="1" t="s">
        <v>2471</v>
      </c>
    </row>
    <row r="1845" spans="1:4" hidden="1" x14ac:dyDescent="0.3">
      <c r="A1845">
        <v>1843</v>
      </c>
      <c r="B1845" t="s">
        <v>2472</v>
      </c>
      <c r="C1845" t="s">
        <v>225</v>
      </c>
      <c r="D1845">
        <v>101186225.465196</v>
      </c>
    </row>
    <row r="1846" spans="1:4" hidden="1" x14ac:dyDescent="0.3">
      <c r="A1846">
        <v>1844</v>
      </c>
      <c r="B1846" t="s">
        <v>2473</v>
      </c>
      <c r="C1846" t="s">
        <v>227</v>
      </c>
      <c r="D1846">
        <v>-2757.4421453475902</v>
      </c>
    </row>
    <row r="1847" spans="1:4" hidden="1" x14ac:dyDescent="0.3">
      <c r="A1847">
        <v>1845</v>
      </c>
      <c r="B1847" s="1" t="s">
        <v>2474</v>
      </c>
      <c r="C1847" t="s">
        <v>229</v>
      </c>
      <c r="D1847" s="1" t="s">
        <v>2475</v>
      </c>
    </row>
    <row r="1848" spans="1:4" hidden="1" x14ac:dyDescent="0.3">
      <c r="A1848">
        <v>1846</v>
      </c>
      <c r="B1848" t="s">
        <v>2476</v>
      </c>
      <c r="C1848" t="s">
        <v>112</v>
      </c>
      <c r="D1848">
        <v>716.82800459036798</v>
      </c>
    </row>
    <row r="1849" spans="1:4" hidden="1" x14ac:dyDescent="0.3">
      <c r="A1849">
        <v>1847</v>
      </c>
      <c r="B1849" t="s">
        <v>2477</v>
      </c>
      <c r="C1849" t="s">
        <v>114</v>
      </c>
      <c r="D1849">
        <v>149.43942192107599</v>
      </c>
    </row>
    <row r="1850" spans="1:4" hidden="1" x14ac:dyDescent="0.3">
      <c r="A1850">
        <v>1848</v>
      </c>
      <c r="B1850" s="1" t="s">
        <v>2478</v>
      </c>
      <c r="C1850" t="s">
        <v>116</v>
      </c>
      <c r="D1850" s="1" t="s">
        <v>2479</v>
      </c>
    </row>
    <row r="1851" spans="1:4" hidden="1" x14ac:dyDescent="0.3">
      <c r="A1851">
        <v>1849</v>
      </c>
      <c r="B1851" t="s">
        <v>2480</v>
      </c>
      <c r="C1851" t="s">
        <v>119</v>
      </c>
      <c r="D1851">
        <v>75969027.418242499</v>
      </c>
    </row>
    <row r="1852" spans="1:4" hidden="1" x14ac:dyDescent="0.3">
      <c r="A1852">
        <v>1850</v>
      </c>
      <c r="B1852" t="s">
        <v>2481</v>
      </c>
      <c r="C1852" t="s">
        <v>121</v>
      </c>
      <c r="D1852">
        <v>39392430.272353098</v>
      </c>
    </row>
    <row r="1853" spans="1:4" hidden="1" x14ac:dyDescent="0.3">
      <c r="A1853">
        <v>1851</v>
      </c>
      <c r="B1853" s="1" t="s">
        <v>2482</v>
      </c>
      <c r="C1853" t="s">
        <v>123</v>
      </c>
      <c r="D1853" s="1" t="s">
        <v>2483</v>
      </c>
    </row>
    <row r="1854" spans="1:4" hidden="1" x14ac:dyDescent="0.3">
      <c r="A1854">
        <v>1852</v>
      </c>
      <c r="B1854" t="s">
        <v>2484</v>
      </c>
      <c r="C1854" t="s">
        <v>126</v>
      </c>
      <c r="D1854">
        <v>0.75073745156692695</v>
      </c>
    </row>
    <row r="1855" spans="1:4" hidden="1" x14ac:dyDescent="0.3">
      <c r="A1855">
        <v>1853</v>
      </c>
      <c r="B1855" t="s">
        <v>2485</v>
      </c>
      <c r="C1855" t="s">
        <v>128</v>
      </c>
      <c r="D1855">
        <v>0.38928197080739102</v>
      </c>
    </row>
    <row r="1856" spans="1:4" hidden="1" x14ac:dyDescent="0.3">
      <c r="A1856">
        <v>1854</v>
      </c>
      <c r="B1856" s="1" t="s">
        <v>2486</v>
      </c>
      <c r="C1856" t="s">
        <v>130</v>
      </c>
      <c r="D1856" s="1" t="s">
        <v>2487</v>
      </c>
    </row>
    <row r="1857" spans="1:4" hidden="1" x14ac:dyDescent="0.3">
      <c r="A1857">
        <v>1855</v>
      </c>
      <c r="B1857" s="1" t="s">
        <v>2488</v>
      </c>
      <c r="C1857" t="s">
        <v>4</v>
      </c>
      <c r="D1857" t="s">
        <v>2489</v>
      </c>
    </row>
    <row r="1858" spans="1:4" hidden="1" x14ac:dyDescent="0.3">
      <c r="A1858">
        <v>1856</v>
      </c>
      <c r="B1858" t="s">
        <v>2490</v>
      </c>
      <c r="C1858" t="s">
        <v>7</v>
      </c>
      <c r="D1858">
        <v>1783.27</v>
      </c>
    </row>
    <row r="1859" spans="1:4" hidden="1" x14ac:dyDescent="0.3">
      <c r="A1859">
        <v>1857</v>
      </c>
      <c r="B1859" s="1" t="s">
        <v>2491</v>
      </c>
      <c r="C1859" t="s">
        <v>9</v>
      </c>
      <c r="D1859" s="1" t="s">
        <v>2492</v>
      </c>
    </row>
    <row r="1860" spans="1:4" hidden="1" x14ac:dyDescent="0.3">
      <c r="A1860">
        <v>1858</v>
      </c>
      <c r="B1860" t="s">
        <v>2493</v>
      </c>
      <c r="C1860" t="s">
        <v>14</v>
      </c>
      <c r="D1860">
        <v>98.03125</v>
      </c>
    </row>
    <row r="1861" spans="1:4" hidden="1" x14ac:dyDescent="0.3">
      <c r="A1861">
        <v>1859</v>
      </c>
      <c r="B1861" t="s">
        <v>2494</v>
      </c>
      <c r="C1861" t="s">
        <v>16</v>
      </c>
      <c r="D1861">
        <v>4.3814771370416103</v>
      </c>
    </row>
    <row r="1862" spans="1:4" hidden="1" x14ac:dyDescent="0.3">
      <c r="A1862">
        <v>1860</v>
      </c>
      <c r="B1862" s="1" t="s">
        <v>2495</v>
      </c>
      <c r="C1862" t="s">
        <v>140</v>
      </c>
      <c r="D1862" s="1" t="s">
        <v>2496</v>
      </c>
    </row>
    <row r="1863" spans="1:4" hidden="1" x14ac:dyDescent="0.3">
      <c r="A1863">
        <v>1861</v>
      </c>
      <c r="B1863" t="s">
        <v>2497</v>
      </c>
      <c r="C1863" t="s">
        <v>22</v>
      </c>
      <c r="D1863">
        <v>77.8</v>
      </c>
    </row>
    <row r="1864" spans="1:4" hidden="1" x14ac:dyDescent="0.3">
      <c r="A1864">
        <v>1862</v>
      </c>
      <c r="B1864" t="s">
        <v>2498</v>
      </c>
      <c r="C1864" t="s">
        <v>24</v>
      </c>
      <c r="D1864">
        <v>6.1028703100568196</v>
      </c>
    </row>
    <row r="1865" spans="1:4" hidden="1" x14ac:dyDescent="0.3">
      <c r="A1865">
        <v>1863</v>
      </c>
      <c r="B1865" s="1" t="s">
        <v>2499</v>
      </c>
      <c r="C1865" t="s">
        <v>145</v>
      </c>
      <c r="D1865" s="1" t="s">
        <v>2500</v>
      </c>
    </row>
    <row r="1866" spans="1:4" hidden="1" x14ac:dyDescent="0.3">
      <c r="A1866">
        <v>1864</v>
      </c>
      <c r="B1866" t="s">
        <v>2501</v>
      </c>
      <c r="C1866" t="s">
        <v>35</v>
      </c>
      <c r="D1866">
        <v>0.136013917024039</v>
      </c>
    </row>
    <row r="1867" spans="1:4" hidden="1" x14ac:dyDescent="0.3">
      <c r="A1867">
        <v>1865</v>
      </c>
      <c r="B1867" t="s">
        <v>2502</v>
      </c>
      <c r="C1867" t="s">
        <v>149</v>
      </c>
      <c r="D1867">
        <v>0.68143045649762302</v>
      </c>
    </row>
    <row r="1868" spans="1:4" hidden="1" x14ac:dyDescent="0.3">
      <c r="A1868">
        <v>1866</v>
      </c>
      <c r="B1868" s="1" t="s">
        <v>2503</v>
      </c>
      <c r="C1868" t="s">
        <v>151</v>
      </c>
      <c r="D1868" s="1" t="s">
        <v>2504</v>
      </c>
    </row>
    <row r="1869" spans="1:4" hidden="1" x14ac:dyDescent="0.3">
      <c r="A1869">
        <v>1867</v>
      </c>
      <c r="B1869" t="s">
        <v>2505</v>
      </c>
      <c r="C1869" t="s">
        <v>30</v>
      </c>
      <c r="D1869">
        <v>0.35436584460786402</v>
      </c>
    </row>
    <row r="1870" spans="1:4" hidden="1" x14ac:dyDescent="0.3">
      <c r="A1870">
        <v>1868</v>
      </c>
      <c r="B1870" t="s">
        <v>2506</v>
      </c>
      <c r="C1870" t="s">
        <v>32</v>
      </c>
      <c r="D1870">
        <v>0.22772435264077501</v>
      </c>
    </row>
    <row r="1871" spans="1:4" hidden="1" x14ac:dyDescent="0.3">
      <c r="A1871">
        <v>1869</v>
      </c>
      <c r="B1871" s="1" t="s">
        <v>2507</v>
      </c>
      <c r="C1871" t="s">
        <v>155</v>
      </c>
      <c r="D1871" s="1" t="s">
        <v>2508</v>
      </c>
    </row>
    <row r="1872" spans="1:4" hidden="1" x14ac:dyDescent="0.3">
      <c r="A1872">
        <v>1870</v>
      </c>
      <c r="B1872" t="s">
        <v>2509</v>
      </c>
      <c r="C1872" t="s">
        <v>40</v>
      </c>
      <c r="D1872">
        <v>0.509620238368095</v>
      </c>
    </row>
    <row r="1873" spans="1:4" hidden="1" x14ac:dyDescent="0.3">
      <c r="A1873">
        <v>1871</v>
      </c>
      <c r="B1873" t="s">
        <v>2510</v>
      </c>
      <c r="C1873" t="s">
        <v>42</v>
      </c>
      <c r="D1873">
        <v>0.23977682882936499</v>
      </c>
    </row>
    <row r="1874" spans="1:4" hidden="1" x14ac:dyDescent="0.3">
      <c r="A1874">
        <v>1872</v>
      </c>
      <c r="B1874" s="1" t="s">
        <v>2511</v>
      </c>
      <c r="C1874" t="s">
        <v>159</v>
      </c>
      <c r="D1874" s="1" t="s">
        <v>2512</v>
      </c>
    </row>
    <row r="1875" spans="1:4" hidden="1" x14ac:dyDescent="0.3">
      <c r="A1875">
        <v>1873</v>
      </c>
      <c r="B1875" t="s">
        <v>2513</v>
      </c>
      <c r="C1875" t="s">
        <v>161</v>
      </c>
      <c r="D1875">
        <v>1.0108323508071799</v>
      </c>
    </row>
    <row r="1876" spans="1:4" hidden="1" x14ac:dyDescent="0.3">
      <c r="A1876">
        <v>1874</v>
      </c>
      <c r="B1876" t="s">
        <v>2514</v>
      </c>
      <c r="C1876" t="s">
        <v>163</v>
      </c>
      <c r="D1876">
        <v>0.99969480974327796</v>
      </c>
    </row>
    <row r="1877" spans="1:4" hidden="1" x14ac:dyDescent="0.3">
      <c r="A1877">
        <v>1875</v>
      </c>
      <c r="B1877" s="1" t="s">
        <v>2515</v>
      </c>
      <c r="C1877" t="s">
        <v>165</v>
      </c>
      <c r="D1877" s="1" t="s">
        <v>2516</v>
      </c>
    </row>
    <row r="1878" spans="1:4" hidden="1" x14ac:dyDescent="0.3">
      <c r="A1878">
        <v>1876</v>
      </c>
      <c r="B1878" t="s">
        <v>2517</v>
      </c>
      <c r="C1878" t="s">
        <v>168</v>
      </c>
      <c r="D1878">
        <v>0.99780970076481801</v>
      </c>
    </row>
    <row r="1879" spans="1:4" hidden="1" x14ac:dyDescent="0.3">
      <c r="A1879">
        <v>1877</v>
      </c>
      <c r="B1879" t="s">
        <v>2518</v>
      </c>
      <c r="C1879" t="s">
        <v>170</v>
      </c>
      <c r="D1879">
        <v>1.00248646483619</v>
      </c>
    </row>
    <row r="1880" spans="1:4" hidden="1" x14ac:dyDescent="0.3">
      <c r="A1880">
        <v>1878</v>
      </c>
      <c r="B1880" s="1" t="s">
        <v>2519</v>
      </c>
      <c r="C1880" t="s">
        <v>172</v>
      </c>
      <c r="D1880" s="1" t="s">
        <v>2520</v>
      </c>
    </row>
    <row r="1881" spans="1:4" hidden="1" x14ac:dyDescent="0.3">
      <c r="A1881">
        <v>1879</v>
      </c>
      <c r="B1881" s="1" t="s">
        <v>2521</v>
      </c>
      <c r="C1881" t="s">
        <v>55</v>
      </c>
      <c r="D1881" s="1" t="s">
        <v>2522</v>
      </c>
    </row>
    <row r="1882" spans="1:4" hidden="1" x14ac:dyDescent="0.3">
      <c r="A1882">
        <v>1880</v>
      </c>
      <c r="B1882" s="1" t="s">
        <v>2523</v>
      </c>
      <c r="C1882" t="s">
        <v>52</v>
      </c>
      <c r="D1882" s="1" t="s">
        <v>2524</v>
      </c>
    </row>
    <row r="1883" spans="1:4" hidden="1" x14ac:dyDescent="0.3">
      <c r="A1883">
        <v>1881</v>
      </c>
      <c r="B1883" s="1" t="s">
        <v>2525</v>
      </c>
      <c r="C1883" t="s">
        <v>58</v>
      </c>
      <c r="D1883" s="1" t="s">
        <v>2526</v>
      </c>
    </row>
    <row r="1884" spans="1:4" hidden="1" x14ac:dyDescent="0.3">
      <c r="A1884">
        <v>1882</v>
      </c>
      <c r="B1884" t="s">
        <v>2527</v>
      </c>
      <c r="C1884" t="s">
        <v>61</v>
      </c>
      <c r="D1884">
        <v>146777565.36132899</v>
      </c>
    </row>
    <row r="1885" spans="1:4" hidden="1" x14ac:dyDescent="0.3">
      <c r="A1885">
        <v>1883</v>
      </c>
      <c r="B1885" t="s">
        <v>2528</v>
      </c>
      <c r="C1885" t="s">
        <v>63</v>
      </c>
      <c r="D1885">
        <v>76791950.5737174</v>
      </c>
    </row>
    <row r="1886" spans="1:4" hidden="1" x14ac:dyDescent="0.3">
      <c r="A1886">
        <v>1884</v>
      </c>
      <c r="B1886" t="s">
        <v>2529</v>
      </c>
      <c r="C1886" t="s">
        <v>65</v>
      </c>
      <c r="D1886">
        <v>39380408.086445399</v>
      </c>
    </row>
    <row r="1887" spans="1:4" hidden="1" x14ac:dyDescent="0.3">
      <c r="A1887">
        <v>1885</v>
      </c>
      <c r="B1887" s="1" t="s">
        <v>2530</v>
      </c>
      <c r="C1887" t="s">
        <v>67</v>
      </c>
      <c r="D1887" s="1" t="s">
        <v>2531</v>
      </c>
    </row>
    <row r="1888" spans="1:4" hidden="1" x14ac:dyDescent="0.3">
      <c r="A1888">
        <v>1886</v>
      </c>
      <c r="B1888" s="1" t="s">
        <v>2532</v>
      </c>
      <c r="C1888" t="s">
        <v>70</v>
      </c>
      <c r="D1888" s="1" t="s">
        <v>2533</v>
      </c>
    </row>
    <row r="1889" spans="1:4" hidden="1" x14ac:dyDescent="0.3">
      <c r="A1889">
        <v>1887</v>
      </c>
      <c r="B1889" t="s">
        <v>2534</v>
      </c>
      <c r="C1889" t="s">
        <v>73</v>
      </c>
      <c r="D1889">
        <v>1.00006237639927</v>
      </c>
    </row>
    <row r="1890" spans="1:4" hidden="1" x14ac:dyDescent="0.3">
      <c r="A1890">
        <v>1888</v>
      </c>
      <c r="B1890" t="s">
        <v>74</v>
      </c>
      <c r="C1890" t="s">
        <v>75</v>
      </c>
      <c r="D1890">
        <v>2.7397260273972599E-3</v>
      </c>
    </row>
    <row r="1891" spans="1:4" hidden="1" x14ac:dyDescent="0.3">
      <c r="A1891">
        <v>1889</v>
      </c>
      <c r="B1891" t="s">
        <v>76</v>
      </c>
      <c r="C1891" t="s">
        <v>77</v>
      </c>
      <c r="D1891">
        <v>0</v>
      </c>
    </row>
    <row r="1892" spans="1:4" hidden="1" x14ac:dyDescent="0.3">
      <c r="A1892">
        <v>1890</v>
      </c>
      <c r="B1892" t="s">
        <v>650</v>
      </c>
      <c r="C1892" t="s">
        <v>79</v>
      </c>
      <c r="D1892" s="2">
        <v>2.2204460492503101E-16</v>
      </c>
    </row>
    <row r="1893" spans="1:4" hidden="1" x14ac:dyDescent="0.3">
      <c r="A1893">
        <v>1891</v>
      </c>
      <c r="B1893" s="1" t="s">
        <v>2535</v>
      </c>
      <c r="C1893" t="s">
        <v>81</v>
      </c>
      <c r="D1893" s="1" t="s">
        <v>2536</v>
      </c>
    </row>
    <row r="1894" spans="1:4" hidden="1" x14ac:dyDescent="0.3">
      <c r="A1894">
        <v>1892</v>
      </c>
      <c r="B1894" t="s">
        <v>2537</v>
      </c>
      <c r="C1894" t="s">
        <v>84</v>
      </c>
      <c r="D1894">
        <v>1.0000624967122</v>
      </c>
    </row>
    <row r="1895" spans="1:4" hidden="1" x14ac:dyDescent="0.3">
      <c r="A1895">
        <v>1893</v>
      </c>
      <c r="B1895" s="1" t="s">
        <v>2538</v>
      </c>
      <c r="C1895" t="s">
        <v>86</v>
      </c>
      <c r="D1895" s="1" t="s">
        <v>2539</v>
      </c>
    </row>
    <row r="1896" spans="1:4" hidden="1" x14ac:dyDescent="0.3">
      <c r="A1896">
        <v>1894</v>
      </c>
      <c r="B1896" t="s">
        <v>2540</v>
      </c>
      <c r="C1896" t="s">
        <v>89</v>
      </c>
      <c r="D1896">
        <v>101183455.850133</v>
      </c>
    </row>
    <row r="1897" spans="1:4" hidden="1" x14ac:dyDescent="0.3">
      <c r="A1897">
        <v>1895</v>
      </c>
      <c r="B1897" s="1" t="s">
        <v>2541</v>
      </c>
      <c r="C1897" t="s">
        <v>91</v>
      </c>
      <c r="D1897" s="1" t="s">
        <v>2475</v>
      </c>
    </row>
    <row r="1898" spans="1:4" hidden="1" x14ac:dyDescent="0.3">
      <c r="A1898">
        <v>1896</v>
      </c>
      <c r="B1898" t="s">
        <v>2542</v>
      </c>
      <c r="C1898" t="s">
        <v>94</v>
      </c>
      <c r="D1898">
        <v>76791950.5737174</v>
      </c>
    </row>
    <row r="1899" spans="1:4" hidden="1" x14ac:dyDescent="0.3">
      <c r="A1899">
        <v>1897</v>
      </c>
      <c r="B1899" t="s">
        <v>2543</v>
      </c>
      <c r="C1899" t="s">
        <v>96</v>
      </c>
      <c r="D1899">
        <v>39380408.086445399</v>
      </c>
    </row>
    <row r="1900" spans="1:4" hidden="1" x14ac:dyDescent="0.3">
      <c r="A1900">
        <v>1898</v>
      </c>
      <c r="B1900" t="s">
        <v>2544</v>
      </c>
      <c r="C1900" t="s">
        <v>98</v>
      </c>
      <c r="D1900">
        <v>30605206.701166201</v>
      </c>
    </row>
    <row r="1901" spans="1:4" hidden="1" x14ac:dyDescent="0.3">
      <c r="A1901">
        <v>1899</v>
      </c>
      <c r="B1901" s="1" t="s">
        <v>2545</v>
      </c>
      <c r="C1901" t="s">
        <v>100</v>
      </c>
      <c r="D1901" s="1" t="s">
        <v>2546</v>
      </c>
    </row>
    <row r="1902" spans="1:4" hidden="1" x14ac:dyDescent="0.3">
      <c r="A1902">
        <v>1900</v>
      </c>
      <c r="B1902" t="s">
        <v>2547</v>
      </c>
      <c r="C1902" t="s">
        <v>103</v>
      </c>
      <c r="D1902">
        <v>9.1494034239741704E-3</v>
      </c>
    </row>
    <row r="1903" spans="1:4" hidden="1" x14ac:dyDescent="0.3">
      <c r="A1903">
        <v>1901</v>
      </c>
      <c r="B1903" t="s">
        <v>2548</v>
      </c>
      <c r="C1903" t="s">
        <v>105</v>
      </c>
      <c r="D1903">
        <v>1.79996316888015E-3</v>
      </c>
    </row>
    <row r="1904" spans="1:4" hidden="1" x14ac:dyDescent="0.3">
      <c r="A1904">
        <v>1902</v>
      </c>
      <c r="B1904" t="s">
        <v>2549</v>
      </c>
      <c r="C1904" t="s">
        <v>107</v>
      </c>
      <c r="D1904">
        <v>1.1031850337371999E-2</v>
      </c>
    </row>
    <row r="1905" spans="1:4" hidden="1" x14ac:dyDescent="0.3">
      <c r="A1905">
        <v>1903</v>
      </c>
      <c r="B1905" s="1" t="s">
        <v>2550</v>
      </c>
      <c r="C1905" t="s">
        <v>109</v>
      </c>
      <c r="D1905" s="1" t="s">
        <v>2551</v>
      </c>
    </row>
    <row r="1906" spans="1:4" x14ac:dyDescent="0.3">
      <c r="A1906">
        <v>1904</v>
      </c>
      <c r="B1906" t="s">
        <v>2552</v>
      </c>
      <c r="C1906" t="s">
        <v>207</v>
      </c>
      <c r="D1906">
        <v>146777569.547492</v>
      </c>
    </row>
    <row r="1907" spans="1:4" hidden="1" x14ac:dyDescent="0.3">
      <c r="A1907">
        <v>1905</v>
      </c>
      <c r="B1907" t="s">
        <v>2553</v>
      </c>
      <c r="C1907" t="s">
        <v>209</v>
      </c>
      <c r="D1907">
        <v>-9.2384880052963894</v>
      </c>
    </row>
    <row r="1908" spans="1:4" hidden="1" x14ac:dyDescent="0.3">
      <c r="A1908">
        <v>1906</v>
      </c>
      <c r="B1908" t="s">
        <v>2554</v>
      </c>
      <c r="C1908" t="s">
        <v>211</v>
      </c>
      <c r="D1908">
        <v>-4.7376765313654499</v>
      </c>
    </row>
    <row r="1909" spans="1:4" hidden="1" x14ac:dyDescent="0.3">
      <c r="A1909">
        <v>1907</v>
      </c>
      <c r="B1909" s="1" t="s">
        <v>2555</v>
      </c>
      <c r="C1909" t="s">
        <v>213</v>
      </c>
      <c r="D1909" s="1" t="s">
        <v>2556</v>
      </c>
    </row>
    <row r="1910" spans="1:4" hidden="1" x14ac:dyDescent="0.3">
      <c r="A1910">
        <v>1908</v>
      </c>
      <c r="B1910" t="s">
        <v>2557</v>
      </c>
      <c r="C1910" t="s">
        <v>216</v>
      </c>
      <c r="D1910">
        <v>76791962.641914606</v>
      </c>
    </row>
    <row r="1911" spans="1:4" hidden="1" x14ac:dyDescent="0.3">
      <c r="A1911">
        <v>1909</v>
      </c>
      <c r="B1911" t="s">
        <v>2558</v>
      </c>
      <c r="C1911" t="s">
        <v>218</v>
      </c>
      <c r="D1911">
        <v>39380413.656165101</v>
      </c>
    </row>
    <row r="1912" spans="1:4" hidden="1" x14ac:dyDescent="0.3">
      <c r="A1912">
        <v>1910</v>
      </c>
      <c r="B1912" t="s">
        <v>2559</v>
      </c>
      <c r="C1912" t="s">
        <v>220</v>
      </c>
      <c r="D1912">
        <v>30605210.9075495</v>
      </c>
    </row>
    <row r="1913" spans="1:4" hidden="1" x14ac:dyDescent="0.3">
      <c r="A1913">
        <v>1911</v>
      </c>
      <c r="B1913" s="1" t="s">
        <v>2560</v>
      </c>
      <c r="C1913" t="s">
        <v>222</v>
      </c>
      <c r="D1913" s="1" t="s">
        <v>2561</v>
      </c>
    </row>
    <row r="1914" spans="1:4" hidden="1" x14ac:dyDescent="0.3">
      <c r="A1914">
        <v>1912</v>
      </c>
      <c r="B1914" t="s">
        <v>2562</v>
      </c>
      <c r="C1914" t="s">
        <v>225</v>
      </c>
      <c r="D1914">
        <v>101183468.02305099</v>
      </c>
    </row>
    <row r="1915" spans="1:4" hidden="1" x14ac:dyDescent="0.3">
      <c r="A1915">
        <v>1913</v>
      </c>
      <c r="B1915" t="s">
        <v>2563</v>
      </c>
      <c r="C1915" t="s">
        <v>227</v>
      </c>
      <c r="D1915">
        <v>-12.172917887568399</v>
      </c>
    </row>
    <row r="1916" spans="1:4" hidden="1" x14ac:dyDescent="0.3">
      <c r="A1916">
        <v>1914</v>
      </c>
      <c r="B1916" s="1" t="s">
        <v>2564</v>
      </c>
      <c r="C1916" t="s">
        <v>229</v>
      </c>
      <c r="D1916" s="1" t="s">
        <v>2565</v>
      </c>
    </row>
    <row r="1917" spans="1:4" hidden="1" x14ac:dyDescent="0.3">
      <c r="A1917">
        <v>1915</v>
      </c>
      <c r="B1917" t="s">
        <v>2566</v>
      </c>
      <c r="C1917" t="s">
        <v>112</v>
      </c>
      <c r="D1917">
        <v>2.8297092030390099</v>
      </c>
    </row>
    <row r="1918" spans="1:4" hidden="1" x14ac:dyDescent="0.3">
      <c r="A1918">
        <v>1916</v>
      </c>
      <c r="B1918" t="s">
        <v>2567</v>
      </c>
      <c r="C1918" t="s">
        <v>114</v>
      </c>
      <c r="D1918">
        <v>0.83204321752745902</v>
      </c>
    </row>
    <row r="1919" spans="1:4" hidden="1" x14ac:dyDescent="0.3">
      <c r="A1919">
        <v>1917</v>
      </c>
      <c r="B1919" s="1" t="s">
        <v>2568</v>
      </c>
      <c r="C1919" t="s">
        <v>116</v>
      </c>
      <c r="D1919" s="1" t="s">
        <v>2569</v>
      </c>
    </row>
    <row r="1920" spans="1:4" hidden="1" x14ac:dyDescent="0.3">
      <c r="A1920">
        <v>1918</v>
      </c>
      <c r="B1920" t="s">
        <v>2570</v>
      </c>
      <c r="C1920" t="s">
        <v>119</v>
      </c>
      <c r="D1920">
        <v>76791962.641914606</v>
      </c>
    </row>
    <row r="1921" spans="1:4" hidden="1" x14ac:dyDescent="0.3">
      <c r="A1921">
        <v>1919</v>
      </c>
      <c r="B1921" t="s">
        <v>2571</v>
      </c>
      <c r="C1921" t="s">
        <v>121</v>
      </c>
      <c r="D1921">
        <v>39380413.656165101</v>
      </c>
    </row>
    <row r="1922" spans="1:4" hidden="1" x14ac:dyDescent="0.3">
      <c r="A1922">
        <v>1920</v>
      </c>
      <c r="B1922" s="1" t="s">
        <v>2572</v>
      </c>
      <c r="C1922" t="s">
        <v>123</v>
      </c>
      <c r="D1922" s="1" t="s">
        <v>2573</v>
      </c>
    </row>
    <row r="1923" spans="1:4" hidden="1" x14ac:dyDescent="0.3">
      <c r="A1923">
        <v>1921</v>
      </c>
      <c r="B1923" t="s">
        <v>2574</v>
      </c>
      <c r="C1923" t="s">
        <v>126</v>
      </c>
      <c r="D1923">
        <v>0.75889041161497595</v>
      </c>
    </row>
    <row r="1924" spans="1:4" hidden="1" x14ac:dyDescent="0.3">
      <c r="A1924">
        <v>1922</v>
      </c>
      <c r="B1924" t="s">
        <v>2575</v>
      </c>
      <c r="C1924" t="s">
        <v>128</v>
      </c>
      <c r="D1924">
        <v>0.38917377940257403</v>
      </c>
    </row>
    <row r="1925" spans="1:4" hidden="1" x14ac:dyDescent="0.3">
      <c r="A1925">
        <v>1923</v>
      </c>
      <c r="B1925" s="1" t="s">
        <v>2576</v>
      </c>
      <c r="C1925" t="s">
        <v>130</v>
      </c>
      <c r="D1925" s="1" t="s">
        <v>2577</v>
      </c>
    </row>
    <row r="1926" spans="1:4" hidden="1" x14ac:dyDescent="0.3">
      <c r="A1926">
        <v>1924</v>
      </c>
      <c r="B1926" s="1" t="s">
        <v>2578</v>
      </c>
      <c r="C1926" t="s">
        <v>4</v>
      </c>
      <c r="D1926" t="s">
        <v>2579</v>
      </c>
    </row>
    <row r="1927" spans="1:4" hidden="1" x14ac:dyDescent="0.3">
      <c r="A1927">
        <v>1925</v>
      </c>
      <c r="B1927" t="s">
        <v>2580</v>
      </c>
      <c r="C1927" t="s">
        <v>7</v>
      </c>
      <c r="D1927">
        <v>1778.74</v>
      </c>
    </row>
    <row r="1928" spans="1:4" hidden="1" x14ac:dyDescent="0.3">
      <c r="A1928">
        <v>1926</v>
      </c>
      <c r="B1928" s="1" t="s">
        <v>2581</v>
      </c>
      <c r="C1928" t="s">
        <v>9</v>
      </c>
      <c r="D1928" s="1" t="s">
        <v>2582</v>
      </c>
    </row>
    <row r="1929" spans="1:4" hidden="1" x14ac:dyDescent="0.3">
      <c r="A1929">
        <v>1927</v>
      </c>
      <c r="B1929" t="s">
        <v>2583</v>
      </c>
      <c r="C1929" t="s">
        <v>14</v>
      </c>
      <c r="D1929">
        <v>98.15625</v>
      </c>
    </row>
    <row r="1930" spans="1:4" hidden="1" x14ac:dyDescent="0.3">
      <c r="A1930">
        <v>1928</v>
      </c>
      <c r="B1930" t="s">
        <v>2584</v>
      </c>
      <c r="C1930" t="s">
        <v>16</v>
      </c>
      <c r="D1930">
        <v>4.3829095156327798</v>
      </c>
    </row>
    <row r="1931" spans="1:4" hidden="1" x14ac:dyDescent="0.3">
      <c r="A1931">
        <v>1929</v>
      </c>
      <c r="B1931" s="1" t="s">
        <v>2585</v>
      </c>
      <c r="C1931" t="s">
        <v>140</v>
      </c>
      <c r="D1931" s="1" t="s">
        <v>2586</v>
      </c>
    </row>
    <row r="1932" spans="1:4" hidden="1" x14ac:dyDescent="0.3">
      <c r="A1932">
        <v>1930</v>
      </c>
      <c r="B1932" t="s">
        <v>2587</v>
      </c>
      <c r="C1932" t="s">
        <v>22</v>
      </c>
      <c r="D1932">
        <v>77.3</v>
      </c>
    </row>
    <row r="1933" spans="1:4" hidden="1" x14ac:dyDescent="0.3">
      <c r="A1933">
        <v>1931</v>
      </c>
      <c r="B1933" t="s">
        <v>2588</v>
      </c>
      <c r="C1933" t="s">
        <v>24</v>
      </c>
      <c r="D1933">
        <v>6.1333343487674297</v>
      </c>
    </row>
    <row r="1934" spans="1:4" hidden="1" x14ac:dyDescent="0.3">
      <c r="A1934">
        <v>1932</v>
      </c>
      <c r="B1934" s="1" t="s">
        <v>2589</v>
      </c>
      <c r="C1934" t="s">
        <v>145</v>
      </c>
      <c r="D1934" s="1" t="s">
        <v>2590</v>
      </c>
    </row>
    <row r="1935" spans="1:4" hidden="1" x14ac:dyDescent="0.3">
      <c r="A1935">
        <v>1933</v>
      </c>
      <c r="B1935" t="s">
        <v>2591</v>
      </c>
      <c r="C1935" t="s">
        <v>35</v>
      </c>
      <c r="D1935">
        <v>6.16377946726724E-2</v>
      </c>
    </row>
    <row r="1936" spans="1:4" hidden="1" x14ac:dyDescent="0.3">
      <c r="A1936">
        <v>1934</v>
      </c>
      <c r="B1936" t="s">
        <v>2592</v>
      </c>
      <c r="C1936" t="s">
        <v>149</v>
      </c>
      <c r="D1936">
        <v>0.68327863750310902</v>
      </c>
    </row>
    <row r="1937" spans="1:4" hidden="1" x14ac:dyDescent="0.3">
      <c r="A1937">
        <v>1935</v>
      </c>
      <c r="B1937" s="1" t="s">
        <v>2593</v>
      </c>
      <c r="C1937" t="s">
        <v>151</v>
      </c>
      <c r="D1937" s="1" t="s">
        <v>2594</v>
      </c>
    </row>
    <row r="1938" spans="1:4" hidden="1" x14ac:dyDescent="0.3">
      <c r="A1938">
        <v>1936</v>
      </c>
      <c r="B1938" t="s">
        <v>2595</v>
      </c>
      <c r="C1938" t="s">
        <v>30</v>
      </c>
      <c r="D1938">
        <v>0.38145949745469698</v>
      </c>
    </row>
    <row r="1939" spans="1:4" hidden="1" x14ac:dyDescent="0.3">
      <c r="A1939">
        <v>1937</v>
      </c>
      <c r="B1939" t="s">
        <v>2596</v>
      </c>
      <c r="C1939" t="s">
        <v>32</v>
      </c>
      <c r="D1939">
        <v>0.22742181946916501</v>
      </c>
    </row>
    <row r="1940" spans="1:4" hidden="1" x14ac:dyDescent="0.3">
      <c r="A1940">
        <v>1938</v>
      </c>
      <c r="B1940" s="1" t="s">
        <v>2597</v>
      </c>
      <c r="C1940" t="s">
        <v>155</v>
      </c>
      <c r="D1940" s="1" t="s">
        <v>2598</v>
      </c>
    </row>
    <row r="1941" spans="1:4" hidden="1" x14ac:dyDescent="0.3">
      <c r="A1941">
        <v>1939</v>
      </c>
      <c r="B1941" t="s">
        <v>2599</v>
      </c>
      <c r="C1941" t="s">
        <v>40</v>
      </c>
      <c r="D1941">
        <v>0.55690270787262997</v>
      </c>
    </row>
    <row r="1942" spans="1:4" hidden="1" x14ac:dyDescent="0.3">
      <c r="A1942">
        <v>1940</v>
      </c>
      <c r="B1942" t="s">
        <v>2600</v>
      </c>
      <c r="C1942" t="s">
        <v>42</v>
      </c>
      <c r="D1942">
        <v>0.236109959680668</v>
      </c>
    </row>
    <row r="1943" spans="1:4" hidden="1" x14ac:dyDescent="0.3">
      <c r="A1943">
        <v>1941</v>
      </c>
      <c r="B1943" s="1" t="s">
        <v>2601</v>
      </c>
      <c r="C1943" t="s">
        <v>159</v>
      </c>
      <c r="D1943" s="1" t="s">
        <v>2602</v>
      </c>
    </row>
    <row r="1944" spans="1:4" hidden="1" x14ac:dyDescent="0.3">
      <c r="A1944">
        <v>1942</v>
      </c>
      <c r="B1944" t="s">
        <v>2603</v>
      </c>
      <c r="C1944" t="s">
        <v>161</v>
      </c>
      <c r="D1944">
        <v>0.99745972286866202</v>
      </c>
    </row>
    <row r="1945" spans="1:4" hidden="1" x14ac:dyDescent="0.3">
      <c r="A1945">
        <v>1943</v>
      </c>
      <c r="B1945" t="s">
        <v>2604</v>
      </c>
      <c r="C1945" t="s">
        <v>163</v>
      </c>
      <c r="D1945">
        <v>1.00123453775839</v>
      </c>
    </row>
    <row r="1946" spans="1:4" hidden="1" x14ac:dyDescent="0.3">
      <c r="A1946">
        <v>1944</v>
      </c>
      <c r="B1946" s="1" t="s">
        <v>2605</v>
      </c>
      <c r="C1946" t="s">
        <v>165</v>
      </c>
      <c r="D1946" s="1" t="s">
        <v>2606</v>
      </c>
    </row>
    <row r="1947" spans="1:4" hidden="1" x14ac:dyDescent="0.3">
      <c r="A1947">
        <v>1945</v>
      </c>
      <c r="B1947" t="s">
        <v>2607</v>
      </c>
      <c r="C1947" t="s">
        <v>168</v>
      </c>
      <c r="D1947">
        <v>1.0010991718380799</v>
      </c>
    </row>
    <row r="1948" spans="1:4" hidden="1" x14ac:dyDescent="0.3">
      <c r="A1948">
        <v>1946</v>
      </c>
      <c r="B1948" t="s">
        <v>2608</v>
      </c>
      <c r="C1948" t="s">
        <v>170</v>
      </c>
      <c r="D1948">
        <v>0.99975358216935295</v>
      </c>
    </row>
    <row r="1949" spans="1:4" hidden="1" x14ac:dyDescent="0.3">
      <c r="A1949">
        <v>1947</v>
      </c>
      <c r="B1949" s="1" t="s">
        <v>2609</v>
      </c>
      <c r="C1949" t="s">
        <v>172</v>
      </c>
      <c r="D1949" s="1" t="s">
        <v>2610</v>
      </c>
    </row>
    <row r="1950" spans="1:4" hidden="1" x14ac:dyDescent="0.3">
      <c r="A1950">
        <v>1948</v>
      </c>
      <c r="B1950" s="1" t="s">
        <v>2611</v>
      </c>
      <c r="C1950" t="s">
        <v>55</v>
      </c>
      <c r="D1950" s="1" t="s">
        <v>2612</v>
      </c>
    </row>
    <row r="1951" spans="1:4" hidden="1" x14ac:dyDescent="0.3">
      <c r="A1951">
        <v>1949</v>
      </c>
      <c r="B1951" s="1" t="s">
        <v>2613</v>
      </c>
      <c r="C1951" t="s">
        <v>52</v>
      </c>
      <c r="D1951" s="1" t="s">
        <v>2614</v>
      </c>
    </row>
    <row r="1952" spans="1:4" hidden="1" x14ac:dyDescent="0.3">
      <c r="A1952">
        <v>1950</v>
      </c>
      <c r="B1952" s="1" t="s">
        <v>2615</v>
      </c>
      <c r="C1952" t="s">
        <v>58</v>
      </c>
      <c r="D1952" s="1" t="s">
        <v>2616</v>
      </c>
    </row>
    <row r="1953" spans="1:4" hidden="1" x14ac:dyDescent="0.3">
      <c r="A1953">
        <v>1951</v>
      </c>
      <c r="B1953" t="s">
        <v>2617</v>
      </c>
      <c r="C1953" t="s">
        <v>61</v>
      </c>
      <c r="D1953">
        <v>146459858.53284499</v>
      </c>
    </row>
    <row r="1954" spans="1:4" hidden="1" x14ac:dyDescent="0.3">
      <c r="A1954">
        <v>1952</v>
      </c>
      <c r="B1954" t="s">
        <v>2618</v>
      </c>
      <c r="C1954" t="s">
        <v>63</v>
      </c>
      <c r="D1954">
        <v>76596889.775344893</v>
      </c>
    </row>
    <row r="1955" spans="1:4" hidden="1" x14ac:dyDescent="0.3">
      <c r="A1955">
        <v>1953</v>
      </c>
      <c r="B1955" t="s">
        <v>2619</v>
      </c>
      <c r="C1955" t="s">
        <v>65</v>
      </c>
      <c r="D1955">
        <v>39429030.263765</v>
      </c>
    </row>
    <row r="1956" spans="1:4" hidden="1" x14ac:dyDescent="0.3">
      <c r="A1956">
        <v>1954</v>
      </c>
      <c r="B1956" s="1" t="s">
        <v>2620</v>
      </c>
      <c r="C1956" t="s">
        <v>67</v>
      </c>
      <c r="D1956" s="1" t="s">
        <v>2621</v>
      </c>
    </row>
    <row r="1957" spans="1:4" hidden="1" x14ac:dyDescent="0.3">
      <c r="A1957">
        <v>1955</v>
      </c>
      <c r="B1957" s="1" t="s">
        <v>2622</v>
      </c>
      <c r="C1957" t="s">
        <v>70</v>
      </c>
      <c r="D1957" s="1" t="s">
        <v>2623</v>
      </c>
    </row>
    <row r="1958" spans="1:4" hidden="1" x14ac:dyDescent="0.3">
      <c r="A1958">
        <v>1956</v>
      </c>
      <c r="B1958" t="s">
        <v>2624</v>
      </c>
      <c r="C1958" t="s">
        <v>73</v>
      </c>
      <c r="D1958">
        <v>1.0000624967122</v>
      </c>
    </row>
    <row r="1959" spans="1:4" hidden="1" x14ac:dyDescent="0.3">
      <c r="A1959">
        <v>1957</v>
      </c>
      <c r="B1959" t="s">
        <v>74</v>
      </c>
      <c r="C1959" t="s">
        <v>75</v>
      </c>
      <c r="D1959">
        <v>2.7397260273972599E-3</v>
      </c>
    </row>
    <row r="1960" spans="1:4" hidden="1" x14ac:dyDescent="0.3">
      <c r="A1960">
        <v>1958</v>
      </c>
      <c r="B1960" t="s">
        <v>76</v>
      </c>
      <c r="C1960" t="s">
        <v>77</v>
      </c>
      <c r="D1960">
        <v>0</v>
      </c>
    </row>
    <row r="1961" spans="1:4" hidden="1" x14ac:dyDescent="0.3">
      <c r="A1961">
        <v>1959</v>
      </c>
      <c r="B1961" t="s">
        <v>78</v>
      </c>
      <c r="C1961" t="s">
        <v>79</v>
      </c>
      <c r="D1961">
        <v>0</v>
      </c>
    </row>
    <row r="1962" spans="1:4" hidden="1" x14ac:dyDescent="0.3">
      <c r="A1962">
        <v>1960</v>
      </c>
      <c r="B1962" s="1" t="s">
        <v>2625</v>
      </c>
      <c r="C1962" t="s">
        <v>81</v>
      </c>
      <c r="D1962" s="1" t="s">
        <v>2626</v>
      </c>
    </row>
    <row r="1963" spans="1:4" hidden="1" x14ac:dyDescent="0.3">
      <c r="A1963">
        <v>1961</v>
      </c>
      <c r="B1963" t="s">
        <v>2627</v>
      </c>
      <c r="C1963" t="s">
        <v>84</v>
      </c>
      <c r="D1963">
        <v>1.0000561577165601</v>
      </c>
    </row>
    <row r="1964" spans="1:4" hidden="1" x14ac:dyDescent="0.3">
      <c r="A1964">
        <v>1962</v>
      </c>
      <c r="B1964" s="1" t="s">
        <v>2628</v>
      </c>
      <c r="C1964" t="s">
        <v>86</v>
      </c>
      <c r="D1964" s="1" t="s">
        <v>2629</v>
      </c>
    </row>
    <row r="1965" spans="1:4" hidden="1" x14ac:dyDescent="0.3">
      <c r="A1965">
        <v>1963</v>
      </c>
      <c r="B1965" t="s">
        <v>2630</v>
      </c>
      <c r="C1965" t="s">
        <v>89</v>
      </c>
      <c r="D1965">
        <v>101184097.215601</v>
      </c>
    </row>
    <row r="1966" spans="1:4" hidden="1" x14ac:dyDescent="0.3">
      <c r="A1966">
        <v>1964</v>
      </c>
      <c r="B1966" s="1" t="s">
        <v>2631</v>
      </c>
      <c r="C1966" t="s">
        <v>91</v>
      </c>
      <c r="D1966" s="1" t="s">
        <v>2565</v>
      </c>
    </row>
    <row r="1967" spans="1:4" hidden="1" x14ac:dyDescent="0.3">
      <c r="A1967">
        <v>1965</v>
      </c>
      <c r="B1967" t="s">
        <v>2632</v>
      </c>
      <c r="C1967" t="s">
        <v>94</v>
      </c>
      <c r="D1967">
        <v>76596889.775344893</v>
      </c>
    </row>
    <row r="1968" spans="1:4" hidden="1" x14ac:dyDescent="0.3">
      <c r="A1968">
        <v>1966</v>
      </c>
      <c r="B1968" t="s">
        <v>2633</v>
      </c>
      <c r="C1968" t="s">
        <v>96</v>
      </c>
      <c r="D1968">
        <v>39429030.263765</v>
      </c>
    </row>
    <row r="1969" spans="1:4" hidden="1" x14ac:dyDescent="0.3">
      <c r="A1969">
        <v>1967</v>
      </c>
      <c r="B1969" t="s">
        <v>2634</v>
      </c>
      <c r="C1969" t="s">
        <v>98</v>
      </c>
      <c r="D1969">
        <v>30433938.493735299</v>
      </c>
    </row>
    <row r="1970" spans="1:4" hidden="1" x14ac:dyDescent="0.3">
      <c r="A1970">
        <v>1968</v>
      </c>
      <c r="B1970" s="1" t="s">
        <v>2635</v>
      </c>
      <c r="C1970" t="s">
        <v>100</v>
      </c>
      <c r="D1970" s="1" t="s">
        <v>2636</v>
      </c>
    </row>
    <row r="1971" spans="1:4" hidden="1" x14ac:dyDescent="0.3">
      <c r="A1971">
        <v>1969</v>
      </c>
      <c r="B1971" t="s">
        <v>2637</v>
      </c>
      <c r="C1971" t="s">
        <v>103</v>
      </c>
      <c r="D1971">
        <v>9.2206429211312505E-3</v>
      </c>
    </row>
    <row r="1972" spans="1:4" hidden="1" x14ac:dyDescent="0.3">
      <c r="A1972">
        <v>1970</v>
      </c>
      <c r="B1972" t="s">
        <v>2638</v>
      </c>
      <c r="C1972" t="s">
        <v>105</v>
      </c>
      <c r="D1972">
        <v>1.8057066199472899E-3</v>
      </c>
    </row>
    <row r="1973" spans="1:4" hidden="1" x14ac:dyDescent="0.3">
      <c r="A1973">
        <v>1971</v>
      </c>
      <c r="B1973" t="s">
        <v>2639</v>
      </c>
      <c r="C1973" t="s">
        <v>107</v>
      </c>
      <c r="D1973">
        <v>1.10586630777169E-2</v>
      </c>
    </row>
    <row r="1974" spans="1:4" hidden="1" x14ac:dyDescent="0.3">
      <c r="A1974">
        <v>1972</v>
      </c>
      <c r="B1974" s="1" t="s">
        <v>2640</v>
      </c>
      <c r="C1974" t="s">
        <v>109</v>
      </c>
      <c r="D1974" s="1" t="s">
        <v>2641</v>
      </c>
    </row>
    <row r="1975" spans="1:4" x14ac:dyDescent="0.3">
      <c r="A1975">
        <v>1973</v>
      </c>
      <c r="B1975" t="s">
        <v>2642</v>
      </c>
      <c r="C1975" t="s">
        <v>207</v>
      </c>
      <c r="D1975">
        <v>146459637.37954801</v>
      </c>
    </row>
    <row r="1976" spans="1:4" hidden="1" x14ac:dyDescent="0.3">
      <c r="A1976">
        <v>1974</v>
      </c>
      <c r="B1976" t="s">
        <v>2643</v>
      </c>
      <c r="C1976" t="s">
        <v>209</v>
      </c>
      <c r="D1976">
        <v>485.516020724594</v>
      </c>
    </row>
    <row r="1977" spans="1:4" hidden="1" x14ac:dyDescent="0.3">
      <c r="A1977">
        <v>1975</v>
      </c>
      <c r="B1977" t="s">
        <v>2644</v>
      </c>
      <c r="C1977" t="s">
        <v>211</v>
      </c>
      <c r="D1977">
        <v>249.924536147103</v>
      </c>
    </row>
    <row r="1978" spans="1:4" hidden="1" x14ac:dyDescent="0.3">
      <c r="A1978">
        <v>1976</v>
      </c>
      <c r="B1978" s="1" t="s">
        <v>2645</v>
      </c>
      <c r="C1978" t="s">
        <v>213</v>
      </c>
      <c r="D1978" s="1" t="s">
        <v>2646</v>
      </c>
    </row>
    <row r="1979" spans="1:4" hidden="1" x14ac:dyDescent="0.3">
      <c r="A1979">
        <v>1977</v>
      </c>
      <c r="B1979" t="s">
        <v>2647</v>
      </c>
      <c r="C1979" t="s">
        <v>216</v>
      </c>
      <c r="D1979">
        <v>76596248.709128693</v>
      </c>
    </row>
    <row r="1980" spans="1:4" hidden="1" x14ac:dyDescent="0.3">
      <c r="A1980">
        <v>1978</v>
      </c>
      <c r="B1980" t="s">
        <v>2648</v>
      </c>
      <c r="C1980" t="s">
        <v>218</v>
      </c>
      <c r="D1980">
        <v>39428733.784453198</v>
      </c>
    </row>
    <row r="1981" spans="1:4" hidden="1" x14ac:dyDescent="0.3">
      <c r="A1981">
        <v>1979</v>
      </c>
      <c r="B1981" t="s">
        <v>2649</v>
      </c>
      <c r="C1981" t="s">
        <v>220</v>
      </c>
      <c r="D1981">
        <v>30433726.536983401</v>
      </c>
    </row>
    <row r="1982" spans="1:4" hidden="1" x14ac:dyDescent="0.3">
      <c r="A1982">
        <v>1980</v>
      </c>
      <c r="B1982" s="1" t="s">
        <v>2650</v>
      </c>
      <c r="C1982" t="s">
        <v>222</v>
      </c>
      <c r="D1982" s="1" t="s">
        <v>2651</v>
      </c>
    </row>
    <row r="1983" spans="1:4" hidden="1" x14ac:dyDescent="0.3">
      <c r="A1983">
        <v>1981</v>
      </c>
      <c r="B1983" t="s">
        <v>2652</v>
      </c>
      <c r="C1983" t="s">
        <v>225</v>
      </c>
      <c r="D1983">
        <v>101183455.850133</v>
      </c>
    </row>
    <row r="1984" spans="1:4" hidden="1" x14ac:dyDescent="0.3">
      <c r="A1984">
        <v>1982</v>
      </c>
      <c r="B1984" t="s">
        <v>2653</v>
      </c>
      <c r="C1984" t="s">
        <v>227</v>
      </c>
      <c r="D1984">
        <v>641.36546730995099</v>
      </c>
    </row>
    <row r="1985" spans="1:4" hidden="1" x14ac:dyDescent="0.3">
      <c r="A1985">
        <v>1983</v>
      </c>
      <c r="B1985" s="1" t="s">
        <v>2654</v>
      </c>
      <c r="C1985" t="s">
        <v>229</v>
      </c>
      <c r="D1985" s="1" t="s">
        <v>2655</v>
      </c>
    </row>
    <row r="1986" spans="1:4" hidden="1" x14ac:dyDescent="0.3">
      <c r="A1986">
        <v>1984</v>
      </c>
      <c r="B1986" t="s">
        <v>2656</v>
      </c>
      <c r="C1986" t="s">
        <v>112</v>
      </c>
      <c r="D1986">
        <v>-155.550195454815</v>
      </c>
    </row>
    <row r="1987" spans="1:4" hidden="1" x14ac:dyDescent="0.3">
      <c r="A1987">
        <v>1985</v>
      </c>
      <c r="B1987" t="s">
        <v>2657</v>
      </c>
      <c r="C1987" t="s">
        <v>114</v>
      </c>
      <c r="D1987">
        <v>-46.554775586450901</v>
      </c>
    </row>
    <row r="1988" spans="1:4" hidden="1" x14ac:dyDescent="0.3">
      <c r="A1988">
        <v>1986</v>
      </c>
      <c r="B1988" s="1" t="s">
        <v>2658</v>
      </c>
      <c r="C1988" t="s">
        <v>116</v>
      </c>
      <c r="D1988" s="1" t="s">
        <v>2659</v>
      </c>
    </row>
    <row r="1989" spans="1:4" hidden="1" x14ac:dyDescent="0.3">
      <c r="A1989">
        <v>1987</v>
      </c>
      <c r="B1989" t="s">
        <v>2660</v>
      </c>
      <c r="C1989" t="s">
        <v>119</v>
      </c>
      <c r="D1989">
        <v>76596248.709128693</v>
      </c>
    </row>
    <row r="1990" spans="1:4" hidden="1" x14ac:dyDescent="0.3">
      <c r="A1990">
        <v>1988</v>
      </c>
      <c r="B1990" t="s">
        <v>2661</v>
      </c>
      <c r="C1990" t="s">
        <v>121</v>
      </c>
      <c r="D1990">
        <v>39428733.784453198</v>
      </c>
    </row>
    <row r="1991" spans="1:4" hidden="1" x14ac:dyDescent="0.3">
      <c r="A1991">
        <v>1989</v>
      </c>
      <c r="B1991" s="1" t="s">
        <v>2662</v>
      </c>
      <c r="C1991" t="s">
        <v>123</v>
      </c>
      <c r="D1991" s="1" t="s">
        <v>2663</v>
      </c>
    </row>
    <row r="1992" spans="1:4" hidden="1" x14ac:dyDescent="0.3">
      <c r="A1992">
        <v>1990</v>
      </c>
      <c r="B1992" t="s">
        <v>2664</v>
      </c>
      <c r="C1992" t="s">
        <v>126</v>
      </c>
      <c r="D1992">
        <v>0.75696117351134795</v>
      </c>
    </row>
    <row r="1993" spans="1:4" hidden="1" x14ac:dyDescent="0.3">
      <c r="A1993">
        <v>1991</v>
      </c>
      <c r="B1993" t="s">
        <v>2665</v>
      </c>
      <c r="C1993" t="s">
        <v>128</v>
      </c>
      <c r="D1993">
        <v>0.38965381593144799</v>
      </c>
    </row>
    <row r="1994" spans="1:4" hidden="1" x14ac:dyDescent="0.3">
      <c r="A1994">
        <v>1992</v>
      </c>
      <c r="B1994" s="1" t="s">
        <v>2666</v>
      </c>
      <c r="C1994" t="s">
        <v>130</v>
      </c>
      <c r="D1994" s="1" t="s">
        <v>2667</v>
      </c>
    </row>
    <row r="1995" spans="1:4" hidden="1" x14ac:dyDescent="0.3">
      <c r="A1995">
        <v>1993</v>
      </c>
      <c r="B1995" s="1" t="s">
        <v>2668</v>
      </c>
      <c r="C1995" t="s">
        <v>4</v>
      </c>
      <c r="D1995" t="s">
        <v>2669</v>
      </c>
    </row>
    <row r="1996" spans="1:4" hidden="1" x14ac:dyDescent="0.3">
      <c r="A1996">
        <v>1994</v>
      </c>
      <c r="B1996" t="s">
        <v>2670</v>
      </c>
      <c r="C1996" t="s">
        <v>7</v>
      </c>
      <c r="D1996">
        <v>1778.68</v>
      </c>
    </row>
    <row r="1997" spans="1:4" hidden="1" x14ac:dyDescent="0.3">
      <c r="A1997">
        <v>1995</v>
      </c>
      <c r="B1997" s="1" t="s">
        <v>2671</v>
      </c>
      <c r="C1997" t="s">
        <v>9</v>
      </c>
      <c r="D1997" s="1" t="s">
        <v>2672</v>
      </c>
    </row>
    <row r="1998" spans="1:4" hidden="1" x14ac:dyDescent="0.3">
      <c r="A1998">
        <v>1996</v>
      </c>
      <c r="B1998" t="s">
        <v>2673</v>
      </c>
      <c r="C1998" t="s">
        <v>14</v>
      </c>
      <c r="D1998">
        <v>98.0546875</v>
      </c>
    </row>
    <row r="1999" spans="1:4" hidden="1" x14ac:dyDescent="0.3">
      <c r="A1999">
        <v>1997</v>
      </c>
      <c r="B1999" t="s">
        <v>2674</v>
      </c>
      <c r="C1999" t="s">
        <v>16</v>
      </c>
      <c r="D1999">
        <v>4.3814488473844504</v>
      </c>
    </row>
    <row r="2000" spans="1:4" hidden="1" x14ac:dyDescent="0.3">
      <c r="A2000">
        <v>1998</v>
      </c>
      <c r="B2000" s="1" t="s">
        <v>2675</v>
      </c>
      <c r="C2000" t="s">
        <v>140</v>
      </c>
      <c r="D2000" s="1" t="s">
        <v>2676</v>
      </c>
    </row>
    <row r="2001" spans="1:4" hidden="1" x14ac:dyDescent="0.3">
      <c r="A2001">
        <v>1999</v>
      </c>
      <c r="B2001" t="s">
        <v>2407</v>
      </c>
      <c r="C2001" t="s">
        <v>22</v>
      </c>
      <c r="D2001">
        <v>78.2</v>
      </c>
    </row>
    <row r="2002" spans="1:4" hidden="1" x14ac:dyDescent="0.3">
      <c r="A2002">
        <v>2000</v>
      </c>
      <c r="B2002" t="s">
        <v>2677</v>
      </c>
      <c r="C2002" t="s">
        <v>24</v>
      </c>
      <c r="D2002">
        <v>6.07889237831776</v>
      </c>
    </row>
    <row r="2003" spans="1:4" hidden="1" x14ac:dyDescent="0.3">
      <c r="A2003">
        <v>2001</v>
      </c>
      <c r="B2003" s="1" t="s">
        <v>2678</v>
      </c>
      <c r="C2003" t="s">
        <v>145</v>
      </c>
      <c r="D2003" s="1" t="s">
        <v>2679</v>
      </c>
    </row>
    <row r="2004" spans="1:4" hidden="1" x14ac:dyDescent="0.3">
      <c r="A2004">
        <v>2002</v>
      </c>
      <c r="B2004" t="s">
        <v>2680</v>
      </c>
      <c r="C2004" t="s">
        <v>35</v>
      </c>
      <c r="D2004">
        <v>-0.65465920954911805</v>
      </c>
    </row>
    <row r="2005" spans="1:4" hidden="1" x14ac:dyDescent="0.3">
      <c r="A2005">
        <v>2003</v>
      </c>
      <c r="B2005" t="s">
        <v>2681</v>
      </c>
      <c r="C2005" t="s">
        <v>149</v>
      </c>
      <c r="D2005">
        <v>0.68229777180379203</v>
      </c>
    </row>
    <row r="2006" spans="1:4" hidden="1" x14ac:dyDescent="0.3">
      <c r="A2006">
        <v>2004</v>
      </c>
      <c r="B2006" s="1" t="s">
        <v>2682</v>
      </c>
      <c r="C2006" t="s">
        <v>151</v>
      </c>
      <c r="D2006" s="1" t="s">
        <v>2683</v>
      </c>
    </row>
    <row r="2007" spans="1:4" hidden="1" x14ac:dyDescent="0.3">
      <c r="A2007">
        <v>2005</v>
      </c>
      <c r="B2007" t="s">
        <v>2684</v>
      </c>
      <c r="C2007" t="s">
        <v>30</v>
      </c>
      <c r="D2007">
        <v>0.66857830942993401</v>
      </c>
    </row>
    <row r="2008" spans="1:4" hidden="1" x14ac:dyDescent="0.3">
      <c r="A2008">
        <v>2006</v>
      </c>
      <c r="B2008" t="s">
        <v>2685</v>
      </c>
      <c r="C2008" t="s">
        <v>32</v>
      </c>
      <c r="D2008">
        <v>0.227246610333323</v>
      </c>
    </row>
    <row r="2009" spans="1:4" hidden="1" x14ac:dyDescent="0.3">
      <c r="A2009">
        <v>2007</v>
      </c>
      <c r="B2009" s="1" t="s">
        <v>2686</v>
      </c>
      <c r="C2009" t="s">
        <v>155</v>
      </c>
      <c r="D2009" s="1" t="s">
        <v>2687</v>
      </c>
    </row>
    <row r="2010" spans="1:4" hidden="1" x14ac:dyDescent="0.3">
      <c r="A2010">
        <v>2008</v>
      </c>
      <c r="B2010" t="s">
        <v>2688</v>
      </c>
      <c r="C2010" t="s">
        <v>40</v>
      </c>
      <c r="D2010">
        <v>0.98608090011918403</v>
      </c>
    </row>
    <row r="2011" spans="1:4" hidden="1" x14ac:dyDescent="0.3">
      <c r="A2011">
        <v>2009</v>
      </c>
      <c r="B2011" t="s">
        <v>2689</v>
      </c>
      <c r="C2011" t="s">
        <v>42</v>
      </c>
      <c r="D2011">
        <v>0.23838913013860699</v>
      </c>
    </row>
    <row r="2012" spans="1:4" hidden="1" x14ac:dyDescent="0.3">
      <c r="A2012">
        <v>2010</v>
      </c>
      <c r="B2012" s="1" t="s">
        <v>2690</v>
      </c>
      <c r="C2012" t="s">
        <v>159</v>
      </c>
      <c r="D2012" s="1" t="s">
        <v>2691</v>
      </c>
    </row>
    <row r="2013" spans="1:4" hidden="1" x14ac:dyDescent="0.3">
      <c r="A2013">
        <v>2011</v>
      </c>
      <c r="B2013" t="s">
        <v>2692</v>
      </c>
      <c r="C2013" t="s">
        <v>161</v>
      </c>
      <c r="D2013">
        <v>0.99996626825730495</v>
      </c>
    </row>
    <row r="2014" spans="1:4" hidden="1" x14ac:dyDescent="0.3">
      <c r="A2014">
        <v>2012</v>
      </c>
      <c r="B2014" t="s">
        <v>2693</v>
      </c>
      <c r="C2014" t="s">
        <v>163</v>
      </c>
      <c r="D2014">
        <v>0.99899527976692004</v>
      </c>
    </row>
    <row r="2015" spans="1:4" hidden="1" x14ac:dyDescent="0.3">
      <c r="A2015">
        <v>2013</v>
      </c>
      <c r="B2015" s="1" t="s">
        <v>2694</v>
      </c>
      <c r="C2015" t="s">
        <v>165</v>
      </c>
      <c r="D2015" s="1" t="s">
        <v>2695</v>
      </c>
    </row>
    <row r="2016" spans="1:4" hidden="1" x14ac:dyDescent="0.3">
      <c r="A2016">
        <v>2014</v>
      </c>
      <c r="B2016" t="s">
        <v>2696</v>
      </c>
      <c r="C2016" t="s">
        <v>168</v>
      </c>
      <c r="D2016">
        <v>0.99941728857156298</v>
      </c>
    </row>
    <row r="2017" spans="1:4" hidden="1" x14ac:dyDescent="0.3">
      <c r="A2017">
        <v>2015</v>
      </c>
      <c r="B2017" t="s">
        <v>2697</v>
      </c>
      <c r="C2017" t="s">
        <v>170</v>
      </c>
      <c r="D2017">
        <v>0.99985725434152894</v>
      </c>
    </row>
    <row r="2018" spans="1:4" hidden="1" x14ac:dyDescent="0.3">
      <c r="A2018">
        <v>2016</v>
      </c>
      <c r="B2018" s="1" t="s">
        <v>2698</v>
      </c>
      <c r="C2018" t="s">
        <v>172</v>
      </c>
      <c r="D2018" s="1" t="s">
        <v>2699</v>
      </c>
    </row>
    <row r="2019" spans="1:4" hidden="1" x14ac:dyDescent="0.3">
      <c r="A2019">
        <v>2017</v>
      </c>
      <c r="B2019" s="1" t="s">
        <v>2700</v>
      </c>
      <c r="C2019" t="s">
        <v>55</v>
      </c>
      <c r="D2019" s="1" t="s">
        <v>2701</v>
      </c>
    </row>
    <row r="2020" spans="1:4" hidden="1" x14ac:dyDescent="0.3">
      <c r="A2020">
        <v>2018</v>
      </c>
      <c r="B2020" s="1" t="s">
        <v>2702</v>
      </c>
      <c r="C2020" t="s">
        <v>52</v>
      </c>
      <c r="D2020" s="1" t="s">
        <v>2703</v>
      </c>
    </row>
    <row r="2021" spans="1:4" hidden="1" x14ac:dyDescent="0.3">
      <c r="A2021">
        <v>2019</v>
      </c>
      <c r="B2021" s="1" t="s">
        <v>2704</v>
      </c>
      <c r="C2021" t="s">
        <v>58</v>
      </c>
      <c r="D2021" s="1" t="s">
        <v>2705</v>
      </c>
    </row>
    <row r="2022" spans="1:4" hidden="1" x14ac:dyDescent="0.3">
      <c r="A2022">
        <v>2020</v>
      </c>
      <c r="B2022" t="s">
        <v>2706</v>
      </c>
      <c r="C2022" t="s">
        <v>61</v>
      </c>
      <c r="D2022">
        <v>146724942.11937299</v>
      </c>
    </row>
    <row r="2023" spans="1:4" hidden="1" x14ac:dyDescent="0.3">
      <c r="A2023">
        <v>2021</v>
      </c>
      <c r="B2023" t="s">
        <v>2707</v>
      </c>
      <c r="C2023" t="s">
        <v>63</v>
      </c>
      <c r="D2023">
        <v>76593664.984175906</v>
      </c>
    </row>
    <row r="2024" spans="1:4" hidden="1" x14ac:dyDescent="0.3">
      <c r="A2024">
        <v>2022</v>
      </c>
      <c r="B2024" t="s">
        <v>2708</v>
      </c>
      <c r="C2024" t="s">
        <v>65</v>
      </c>
      <c r="D2024">
        <v>39389118.937855303</v>
      </c>
    </row>
    <row r="2025" spans="1:4" hidden="1" x14ac:dyDescent="0.3">
      <c r="A2025">
        <v>2023</v>
      </c>
      <c r="B2025" s="1" t="s">
        <v>2709</v>
      </c>
      <c r="C2025" t="s">
        <v>67</v>
      </c>
      <c r="D2025" s="1" t="s">
        <v>2710</v>
      </c>
    </row>
    <row r="2026" spans="1:4" hidden="1" x14ac:dyDescent="0.3">
      <c r="A2026">
        <v>2024</v>
      </c>
      <c r="B2026" s="1" t="s">
        <v>2711</v>
      </c>
      <c r="C2026" t="s">
        <v>70</v>
      </c>
      <c r="D2026" s="1" t="s">
        <v>2712</v>
      </c>
    </row>
    <row r="2027" spans="1:4" hidden="1" x14ac:dyDescent="0.3">
      <c r="A2027">
        <v>2025</v>
      </c>
      <c r="B2027" t="s">
        <v>2713</v>
      </c>
      <c r="C2027" t="s">
        <v>73</v>
      </c>
      <c r="D2027">
        <v>1.0000561577165601</v>
      </c>
    </row>
    <row r="2028" spans="1:4" hidden="1" x14ac:dyDescent="0.3">
      <c r="A2028">
        <v>2026</v>
      </c>
      <c r="B2028" t="s">
        <v>74</v>
      </c>
      <c r="C2028" t="s">
        <v>75</v>
      </c>
      <c r="D2028">
        <v>2.7397260273972599E-3</v>
      </c>
    </row>
    <row r="2029" spans="1:4" hidden="1" x14ac:dyDescent="0.3">
      <c r="A2029">
        <v>2027</v>
      </c>
      <c r="B2029" t="s">
        <v>76</v>
      </c>
      <c r="C2029" t="s">
        <v>77</v>
      </c>
      <c r="D2029">
        <v>0</v>
      </c>
    </row>
    <row r="2030" spans="1:4" hidden="1" x14ac:dyDescent="0.3">
      <c r="A2030">
        <v>2028</v>
      </c>
      <c r="B2030" t="s">
        <v>650</v>
      </c>
      <c r="C2030" t="s">
        <v>79</v>
      </c>
      <c r="D2030" s="2">
        <v>2.2204460492503101E-16</v>
      </c>
    </row>
    <row r="2031" spans="1:4" hidden="1" x14ac:dyDescent="0.3">
      <c r="A2031">
        <v>2029</v>
      </c>
      <c r="B2031" s="1" t="s">
        <v>2714</v>
      </c>
      <c r="C2031" t="s">
        <v>81</v>
      </c>
      <c r="D2031" s="1" t="s">
        <v>2715</v>
      </c>
    </row>
    <row r="2032" spans="1:4" hidden="1" x14ac:dyDescent="0.3">
      <c r="A2032">
        <v>2030</v>
      </c>
      <c r="B2032" t="s">
        <v>2716</v>
      </c>
      <c r="C2032" t="s">
        <v>84</v>
      </c>
      <c r="D2032">
        <v>1.0000674736772801</v>
      </c>
    </row>
    <row r="2033" spans="1:4" hidden="1" x14ac:dyDescent="0.3">
      <c r="A2033">
        <v>2031</v>
      </c>
      <c r="B2033" s="1" t="s">
        <v>2717</v>
      </c>
      <c r="C2033" t="s">
        <v>86</v>
      </c>
      <c r="D2033" s="1" t="s">
        <v>2718</v>
      </c>
    </row>
    <row r="2034" spans="1:4" hidden="1" x14ac:dyDescent="0.3">
      <c r="A2034">
        <v>2032</v>
      </c>
      <c r="B2034" t="s">
        <v>2719</v>
      </c>
      <c r="C2034" t="s">
        <v>89</v>
      </c>
      <c r="D2034">
        <v>101182952.297583</v>
      </c>
    </row>
    <row r="2035" spans="1:4" hidden="1" x14ac:dyDescent="0.3">
      <c r="A2035">
        <v>2033</v>
      </c>
      <c r="B2035" s="1" t="s">
        <v>2720</v>
      </c>
      <c r="C2035" t="s">
        <v>91</v>
      </c>
      <c r="D2035" s="1" t="s">
        <v>2655</v>
      </c>
    </row>
    <row r="2036" spans="1:4" hidden="1" x14ac:dyDescent="0.3">
      <c r="A2036">
        <v>2034</v>
      </c>
      <c r="B2036" t="s">
        <v>2721</v>
      </c>
      <c r="C2036" t="s">
        <v>94</v>
      </c>
      <c r="D2036">
        <v>76593664.984175906</v>
      </c>
    </row>
    <row r="2037" spans="1:4" hidden="1" x14ac:dyDescent="0.3">
      <c r="A2037">
        <v>2035</v>
      </c>
      <c r="B2037" t="s">
        <v>2722</v>
      </c>
      <c r="C2037" t="s">
        <v>96</v>
      </c>
      <c r="D2037">
        <v>39389118.937855303</v>
      </c>
    </row>
    <row r="2038" spans="1:4" hidden="1" x14ac:dyDescent="0.3">
      <c r="A2038">
        <v>2036</v>
      </c>
      <c r="B2038" t="s">
        <v>2723</v>
      </c>
      <c r="C2038" t="s">
        <v>98</v>
      </c>
      <c r="D2038">
        <v>30742158.1973425</v>
      </c>
    </row>
    <row r="2039" spans="1:4" hidden="1" x14ac:dyDescent="0.3">
      <c r="A2039">
        <v>2037</v>
      </c>
      <c r="B2039" s="1" t="s">
        <v>2724</v>
      </c>
      <c r="C2039" t="s">
        <v>100</v>
      </c>
      <c r="D2039" s="1" t="s">
        <v>2725</v>
      </c>
    </row>
    <row r="2040" spans="1:4" hidden="1" x14ac:dyDescent="0.3">
      <c r="A2040">
        <v>2038</v>
      </c>
      <c r="B2040" t="s">
        <v>2726</v>
      </c>
      <c r="C2040" t="s">
        <v>103</v>
      </c>
      <c r="D2040">
        <v>9.1936934972553005E-3</v>
      </c>
    </row>
    <row r="2041" spans="1:4" hidden="1" x14ac:dyDescent="0.3">
      <c r="A2041">
        <v>2039</v>
      </c>
      <c r="B2041" t="s">
        <v>2727</v>
      </c>
      <c r="C2041" t="s">
        <v>105</v>
      </c>
      <c r="D2041">
        <v>1.8057516048338999E-3</v>
      </c>
    </row>
    <row r="2042" spans="1:4" hidden="1" x14ac:dyDescent="0.3">
      <c r="A2042">
        <v>2040</v>
      </c>
      <c r="B2042" t="s">
        <v>2728</v>
      </c>
      <c r="C2042" t="s">
        <v>107</v>
      </c>
      <c r="D2042">
        <v>1.10893023598187E-2</v>
      </c>
    </row>
    <row r="2043" spans="1:4" hidden="1" x14ac:dyDescent="0.3">
      <c r="A2043">
        <v>2041</v>
      </c>
      <c r="B2043" s="1" t="s">
        <v>2729</v>
      </c>
      <c r="C2043" t="s">
        <v>109</v>
      </c>
      <c r="D2043" s="1" t="s">
        <v>2730</v>
      </c>
    </row>
    <row r="2044" spans="1:4" x14ac:dyDescent="0.3">
      <c r="A2044">
        <v>2042</v>
      </c>
      <c r="B2044" t="s">
        <v>2731</v>
      </c>
      <c r="C2044" t="s">
        <v>207</v>
      </c>
      <c r="D2044">
        <v>146725336.36986601</v>
      </c>
    </row>
    <row r="2045" spans="1:4" hidden="1" x14ac:dyDescent="0.3">
      <c r="A2045">
        <v>2043</v>
      </c>
      <c r="B2045" t="s">
        <v>2732</v>
      </c>
      <c r="C2045" t="s">
        <v>209</v>
      </c>
      <c r="D2045">
        <v>-866.68537130115499</v>
      </c>
    </row>
    <row r="2046" spans="1:4" hidden="1" x14ac:dyDescent="0.3">
      <c r="A2046">
        <v>2044</v>
      </c>
      <c r="B2046" t="s">
        <v>2733</v>
      </c>
      <c r="C2046" t="s">
        <v>211</v>
      </c>
      <c r="D2046">
        <v>-445.70162704533999</v>
      </c>
    </row>
    <row r="2047" spans="1:4" hidden="1" x14ac:dyDescent="0.3">
      <c r="A2047">
        <v>2045</v>
      </c>
      <c r="B2047" s="1" t="s">
        <v>2734</v>
      </c>
      <c r="C2047" t="s">
        <v>213</v>
      </c>
      <c r="D2047" s="1" t="s">
        <v>2735</v>
      </c>
    </row>
    <row r="2048" spans="1:4" hidden="1" x14ac:dyDescent="0.3">
      <c r="A2048">
        <v>2046</v>
      </c>
      <c r="B2048" t="s">
        <v>2736</v>
      </c>
      <c r="C2048" t="s">
        <v>216</v>
      </c>
      <c r="D2048">
        <v>76594808.980365202</v>
      </c>
    </row>
    <row r="2049" spans="1:4" hidden="1" x14ac:dyDescent="0.3">
      <c r="A2049">
        <v>2047</v>
      </c>
      <c r="B2049" t="s">
        <v>2737</v>
      </c>
      <c r="C2049" t="s">
        <v>218</v>
      </c>
      <c r="D2049">
        <v>39389647.173257001</v>
      </c>
    </row>
    <row r="2050" spans="1:4" hidden="1" x14ac:dyDescent="0.3">
      <c r="A2050">
        <v>2048</v>
      </c>
      <c r="B2050" t="s">
        <v>2738</v>
      </c>
      <c r="C2050" t="s">
        <v>220</v>
      </c>
      <c r="D2050">
        <v>30742540.461151499</v>
      </c>
    </row>
    <row r="2051" spans="1:4" hidden="1" x14ac:dyDescent="0.3">
      <c r="A2051">
        <v>2049</v>
      </c>
      <c r="B2051" s="1" t="s">
        <v>2739</v>
      </c>
      <c r="C2051" t="s">
        <v>222</v>
      </c>
      <c r="D2051" s="1" t="s">
        <v>2740</v>
      </c>
    </row>
    <row r="2052" spans="1:4" hidden="1" x14ac:dyDescent="0.3">
      <c r="A2052">
        <v>2050</v>
      </c>
      <c r="B2052" t="s">
        <v>2741</v>
      </c>
      <c r="C2052" t="s">
        <v>225</v>
      </c>
      <c r="D2052">
        <v>101184097.215601</v>
      </c>
    </row>
    <row r="2053" spans="1:4" hidden="1" x14ac:dyDescent="0.3">
      <c r="A2053">
        <v>2051</v>
      </c>
      <c r="B2053" t="s">
        <v>2742</v>
      </c>
      <c r="C2053" t="s">
        <v>227</v>
      </c>
      <c r="D2053">
        <v>-1144.91801771521</v>
      </c>
    </row>
    <row r="2054" spans="1:4" hidden="1" x14ac:dyDescent="0.3">
      <c r="A2054">
        <v>2052</v>
      </c>
      <c r="B2054" s="1" t="s">
        <v>2743</v>
      </c>
      <c r="C2054" t="s">
        <v>229</v>
      </c>
      <c r="D2054" s="1" t="s">
        <v>2744</v>
      </c>
    </row>
    <row r="2055" spans="1:4" hidden="1" x14ac:dyDescent="0.3">
      <c r="A2055">
        <v>2053</v>
      </c>
      <c r="B2055" t="s">
        <v>2745</v>
      </c>
      <c r="C2055" t="s">
        <v>112</v>
      </c>
      <c r="D2055">
        <v>277.310818067345</v>
      </c>
    </row>
    <row r="2056" spans="1:4" hidden="1" x14ac:dyDescent="0.3">
      <c r="A2056">
        <v>2054</v>
      </c>
      <c r="B2056" t="s">
        <v>2746</v>
      </c>
      <c r="C2056" t="s">
        <v>114</v>
      </c>
      <c r="D2056">
        <v>82.533774700131502</v>
      </c>
    </row>
    <row r="2057" spans="1:4" hidden="1" x14ac:dyDescent="0.3">
      <c r="A2057">
        <v>2055</v>
      </c>
      <c r="B2057" s="1" t="s">
        <v>2747</v>
      </c>
      <c r="C2057" t="s">
        <v>116</v>
      </c>
      <c r="D2057" s="1" t="s">
        <v>2748</v>
      </c>
    </row>
    <row r="2058" spans="1:4" hidden="1" x14ac:dyDescent="0.3">
      <c r="A2058">
        <v>2056</v>
      </c>
      <c r="B2058" t="s">
        <v>2749</v>
      </c>
      <c r="C2058" t="s">
        <v>119</v>
      </c>
      <c r="D2058">
        <v>76594808.980365202</v>
      </c>
    </row>
    <row r="2059" spans="1:4" hidden="1" x14ac:dyDescent="0.3">
      <c r="A2059">
        <v>2057</v>
      </c>
      <c r="B2059" t="s">
        <v>2750</v>
      </c>
      <c r="C2059" t="s">
        <v>121</v>
      </c>
      <c r="D2059">
        <v>39389647.173257001</v>
      </c>
    </row>
    <row r="2060" spans="1:4" hidden="1" x14ac:dyDescent="0.3">
      <c r="A2060">
        <v>2058</v>
      </c>
      <c r="B2060" s="1" t="s">
        <v>2751</v>
      </c>
      <c r="C2060" t="s">
        <v>123</v>
      </c>
      <c r="D2060" s="1" t="s">
        <v>2752</v>
      </c>
    </row>
    <row r="2061" spans="1:4" hidden="1" x14ac:dyDescent="0.3">
      <c r="A2061">
        <v>2059</v>
      </c>
      <c r="B2061" t="s">
        <v>2753</v>
      </c>
      <c r="C2061" t="s">
        <v>126</v>
      </c>
      <c r="D2061">
        <v>0.756933582482197</v>
      </c>
    </row>
    <row r="2062" spans="1:4" hidden="1" x14ac:dyDescent="0.3">
      <c r="A2062">
        <v>2060</v>
      </c>
      <c r="B2062" t="s">
        <v>2754</v>
      </c>
      <c r="C2062" t="s">
        <v>128</v>
      </c>
      <c r="D2062">
        <v>0.38926067111423002</v>
      </c>
    </row>
    <row r="2063" spans="1:4" hidden="1" x14ac:dyDescent="0.3">
      <c r="A2063">
        <v>2061</v>
      </c>
      <c r="B2063" s="1" t="s">
        <v>2755</v>
      </c>
      <c r="C2063" t="s">
        <v>130</v>
      </c>
      <c r="D2063" s="1" t="s">
        <v>2756</v>
      </c>
    </row>
    <row r="2064" spans="1:4" hidden="1" x14ac:dyDescent="0.3">
      <c r="A2064">
        <v>2062</v>
      </c>
      <c r="B2064" s="1" t="s">
        <v>2757</v>
      </c>
      <c r="C2064" t="s">
        <v>4</v>
      </c>
      <c r="D2064" t="s">
        <v>2758</v>
      </c>
    </row>
    <row r="2065" spans="1:4" hidden="1" x14ac:dyDescent="0.3">
      <c r="A2065">
        <v>2063</v>
      </c>
      <c r="B2065" t="s">
        <v>2759</v>
      </c>
      <c r="C2065" t="s">
        <v>7</v>
      </c>
      <c r="D2065">
        <v>1775.17</v>
      </c>
    </row>
    <row r="2066" spans="1:4" hidden="1" x14ac:dyDescent="0.3">
      <c r="A2066">
        <v>2064</v>
      </c>
      <c r="B2066" s="1" t="s">
        <v>2760</v>
      </c>
      <c r="C2066" t="s">
        <v>9</v>
      </c>
      <c r="D2066" s="1" t="s">
        <v>2761</v>
      </c>
    </row>
    <row r="2067" spans="1:4" hidden="1" x14ac:dyDescent="0.3">
      <c r="A2067">
        <v>2065</v>
      </c>
      <c r="B2067" t="s">
        <v>2762</v>
      </c>
      <c r="C2067" t="s">
        <v>14</v>
      </c>
      <c r="D2067">
        <v>98.0078125</v>
      </c>
    </row>
    <row r="2068" spans="1:4" hidden="1" x14ac:dyDescent="0.3">
      <c r="A2068">
        <v>2066</v>
      </c>
      <c r="B2068" t="s">
        <v>2763</v>
      </c>
      <c r="C2068" t="s">
        <v>16</v>
      </c>
      <c r="D2068">
        <v>4.3822958630898299</v>
      </c>
    </row>
    <row r="2069" spans="1:4" hidden="1" x14ac:dyDescent="0.3">
      <c r="A2069">
        <v>2067</v>
      </c>
      <c r="B2069" s="1" t="s">
        <v>2764</v>
      </c>
      <c r="C2069" t="s">
        <v>140</v>
      </c>
      <c r="D2069" s="1" t="s">
        <v>2765</v>
      </c>
    </row>
    <row r="2070" spans="1:4" hidden="1" x14ac:dyDescent="0.3">
      <c r="A2070">
        <v>2068</v>
      </c>
      <c r="B2070" t="s">
        <v>2766</v>
      </c>
      <c r="C2070" t="s">
        <v>22</v>
      </c>
      <c r="D2070">
        <v>78.25</v>
      </c>
    </row>
    <row r="2071" spans="1:4" hidden="1" x14ac:dyDescent="0.3">
      <c r="A2071">
        <v>2069</v>
      </c>
      <c r="B2071" t="s">
        <v>2767</v>
      </c>
      <c r="C2071" t="s">
        <v>24</v>
      </c>
      <c r="D2071">
        <v>6.0896527769802997</v>
      </c>
    </row>
    <row r="2072" spans="1:4" hidden="1" x14ac:dyDescent="0.3">
      <c r="A2072">
        <v>2070</v>
      </c>
      <c r="B2072" s="1" t="s">
        <v>2768</v>
      </c>
      <c r="C2072" t="s">
        <v>145</v>
      </c>
      <c r="D2072" s="1" t="s">
        <v>2769</v>
      </c>
    </row>
    <row r="2073" spans="1:4" hidden="1" x14ac:dyDescent="0.3">
      <c r="A2073">
        <v>2071</v>
      </c>
      <c r="B2073" t="s">
        <v>2770</v>
      </c>
      <c r="C2073" t="s">
        <v>35</v>
      </c>
      <c r="D2073">
        <v>0.152056235494472</v>
      </c>
    </row>
    <row r="2074" spans="1:4" hidden="1" x14ac:dyDescent="0.3">
      <c r="A2074">
        <v>2072</v>
      </c>
      <c r="B2074" t="s">
        <v>2771</v>
      </c>
      <c r="C2074" t="s">
        <v>149</v>
      </c>
      <c r="D2074">
        <v>0.68487706490848199</v>
      </c>
    </row>
    <row r="2075" spans="1:4" hidden="1" x14ac:dyDescent="0.3">
      <c r="A2075">
        <v>2073</v>
      </c>
      <c r="B2075" s="1" t="s">
        <v>2772</v>
      </c>
      <c r="C2075" t="s">
        <v>151</v>
      </c>
      <c r="D2075" s="1" t="s">
        <v>2773</v>
      </c>
    </row>
    <row r="2076" spans="1:4" hidden="1" x14ac:dyDescent="0.3">
      <c r="A2076">
        <v>2074</v>
      </c>
      <c r="B2076" t="s">
        <v>2774</v>
      </c>
      <c r="C2076" t="s">
        <v>30</v>
      </c>
      <c r="D2076">
        <v>0.335577901568333</v>
      </c>
    </row>
    <row r="2077" spans="1:4" hidden="1" x14ac:dyDescent="0.3">
      <c r="A2077">
        <v>2075</v>
      </c>
      <c r="B2077" t="s">
        <v>2775</v>
      </c>
      <c r="C2077" t="s">
        <v>32</v>
      </c>
      <c r="D2077">
        <v>0.22615850525518</v>
      </c>
    </row>
    <row r="2078" spans="1:4" hidden="1" x14ac:dyDescent="0.3">
      <c r="A2078">
        <v>2076</v>
      </c>
      <c r="B2078" s="1" t="s">
        <v>2776</v>
      </c>
      <c r="C2078" t="s">
        <v>155</v>
      </c>
      <c r="D2078" s="1" t="s">
        <v>2777</v>
      </c>
    </row>
    <row r="2079" spans="1:4" hidden="1" x14ac:dyDescent="0.3">
      <c r="A2079">
        <v>2077</v>
      </c>
      <c r="B2079" t="s">
        <v>2778</v>
      </c>
      <c r="C2079" t="s">
        <v>40</v>
      </c>
      <c r="D2079">
        <v>0.512365862937193</v>
      </c>
    </row>
    <row r="2080" spans="1:4" hidden="1" x14ac:dyDescent="0.3">
      <c r="A2080">
        <v>2078</v>
      </c>
      <c r="B2080" t="s">
        <v>2779</v>
      </c>
      <c r="C2080" t="s">
        <v>42</v>
      </c>
      <c r="D2080">
        <v>0.23395755241076899</v>
      </c>
    </row>
    <row r="2081" spans="1:4" hidden="1" x14ac:dyDescent="0.3">
      <c r="A2081">
        <v>2079</v>
      </c>
      <c r="B2081" s="1" t="s">
        <v>2780</v>
      </c>
      <c r="C2081" t="s">
        <v>159</v>
      </c>
      <c r="D2081" s="1" t="s">
        <v>2781</v>
      </c>
    </row>
    <row r="2082" spans="1:4" hidden="1" x14ac:dyDescent="0.3">
      <c r="A2082">
        <v>2080</v>
      </c>
      <c r="B2082" t="s">
        <v>2782</v>
      </c>
      <c r="C2082" t="s">
        <v>161</v>
      </c>
      <c r="D2082">
        <v>0.99802662648705698</v>
      </c>
    </row>
    <row r="2083" spans="1:4" hidden="1" x14ac:dyDescent="0.3">
      <c r="A2083">
        <v>2081</v>
      </c>
      <c r="B2083" t="s">
        <v>2783</v>
      </c>
      <c r="C2083" t="s">
        <v>163</v>
      </c>
      <c r="D2083">
        <v>0.99955066653296498</v>
      </c>
    </row>
    <row r="2084" spans="1:4" hidden="1" x14ac:dyDescent="0.3">
      <c r="A2084">
        <v>2082</v>
      </c>
      <c r="B2084" s="1" t="s">
        <v>2784</v>
      </c>
      <c r="C2084" t="s">
        <v>165</v>
      </c>
      <c r="D2084" s="1" t="s">
        <v>2785</v>
      </c>
    </row>
    <row r="2085" spans="1:4" hidden="1" x14ac:dyDescent="0.3">
      <c r="A2085">
        <v>2083</v>
      </c>
      <c r="B2085" t="s">
        <v>2786</v>
      </c>
      <c r="C2085" t="s">
        <v>168</v>
      </c>
      <c r="D2085">
        <v>1.0015331965291201</v>
      </c>
    </row>
    <row r="2086" spans="1:4" hidden="1" x14ac:dyDescent="0.3">
      <c r="A2086">
        <v>2084</v>
      </c>
      <c r="B2086" t="s">
        <v>2787</v>
      </c>
      <c r="C2086" t="s">
        <v>170</v>
      </c>
      <c r="D2086">
        <v>0.99911337699449998</v>
      </c>
    </row>
    <row r="2087" spans="1:4" hidden="1" x14ac:dyDescent="0.3">
      <c r="A2087">
        <v>2085</v>
      </c>
      <c r="B2087" s="1" t="s">
        <v>2788</v>
      </c>
      <c r="C2087" t="s">
        <v>172</v>
      </c>
      <c r="D2087" s="1" t="s">
        <v>2789</v>
      </c>
    </row>
    <row r="2088" spans="1:4" hidden="1" x14ac:dyDescent="0.3">
      <c r="A2088">
        <v>2086</v>
      </c>
      <c r="B2088" s="1" t="s">
        <v>2790</v>
      </c>
      <c r="C2088" t="s">
        <v>55</v>
      </c>
      <c r="D2088" s="1" t="s">
        <v>2791</v>
      </c>
    </row>
    <row r="2089" spans="1:4" hidden="1" x14ac:dyDescent="0.3">
      <c r="A2089">
        <v>2087</v>
      </c>
      <c r="B2089" s="1" t="s">
        <v>2792</v>
      </c>
      <c r="C2089" t="s">
        <v>52</v>
      </c>
      <c r="D2089" s="1" t="s">
        <v>2793</v>
      </c>
    </row>
    <row r="2090" spans="1:4" hidden="1" x14ac:dyDescent="0.3">
      <c r="A2090">
        <v>2088</v>
      </c>
      <c r="B2090" s="1" t="s">
        <v>2794</v>
      </c>
      <c r="C2090" t="s">
        <v>58</v>
      </c>
      <c r="D2090" s="1" t="s">
        <v>2795</v>
      </c>
    </row>
    <row r="2091" spans="1:4" hidden="1" x14ac:dyDescent="0.3">
      <c r="A2091">
        <v>2089</v>
      </c>
      <c r="B2091" t="s">
        <v>2796</v>
      </c>
      <c r="C2091" t="s">
        <v>61</v>
      </c>
      <c r="D2091">
        <v>146580311.024315</v>
      </c>
    </row>
    <row r="2092" spans="1:4" hidden="1" x14ac:dyDescent="0.3">
      <c r="A2092">
        <v>2090</v>
      </c>
      <c r="B2092" t="s">
        <v>2797</v>
      </c>
      <c r="C2092" t="s">
        <v>63</v>
      </c>
      <c r="D2092">
        <v>76443658.813094497</v>
      </c>
    </row>
    <row r="2093" spans="1:4" hidden="1" x14ac:dyDescent="0.3">
      <c r="A2093">
        <v>2091</v>
      </c>
      <c r="B2093" t="s">
        <v>2798</v>
      </c>
      <c r="C2093" t="s">
        <v>65</v>
      </c>
      <c r="D2093">
        <v>39371948.0865274</v>
      </c>
    </row>
    <row r="2094" spans="1:4" hidden="1" x14ac:dyDescent="0.3">
      <c r="A2094">
        <v>2092</v>
      </c>
      <c r="B2094" s="1" t="s">
        <v>2799</v>
      </c>
      <c r="C2094" t="s">
        <v>67</v>
      </c>
      <c r="D2094" s="1" t="s">
        <v>2800</v>
      </c>
    </row>
    <row r="2095" spans="1:4" hidden="1" x14ac:dyDescent="0.3">
      <c r="A2095">
        <v>2093</v>
      </c>
      <c r="B2095" s="1" t="s">
        <v>2801</v>
      </c>
      <c r="C2095" t="s">
        <v>70</v>
      </c>
      <c r="D2095" s="1" t="s">
        <v>2802</v>
      </c>
    </row>
    <row r="2096" spans="1:4" hidden="1" x14ac:dyDescent="0.3">
      <c r="A2096">
        <v>2094</v>
      </c>
      <c r="B2096" t="s">
        <v>2803</v>
      </c>
      <c r="C2096" t="s">
        <v>73</v>
      </c>
      <c r="D2096">
        <v>1.0000674736772801</v>
      </c>
    </row>
    <row r="2097" spans="1:4" hidden="1" x14ac:dyDescent="0.3">
      <c r="A2097">
        <v>2095</v>
      </c>
      <c r="B2097" t="s">
        <v>74</v>
      </c>
      <c r="C2097" t="s">
        <v>75</v>
      </c>
      <c r="D2097">
        <v>2.7397260273972599E-3</v>
      </c>
    </row>
    <row r="2098" spans="1:4" hidden="1" x14ac:dyDescent="0.3">
      <c r="A2098">
        <v>2096</v>
      </c>
      <c r="B2098" t="s">
        <v>76</v>
      </c>
      <c r="C2098" t="s">
        <v>77</v>
      </c>
      <c r="D2098">
        <v>0</v>
      </c>
    </row>
    <row r="2099" spans="1:4" hidden="1" x14ac:dyDescent="0.3">
      <c r="A2099">
        <v>2097</v>
      </c>
      <c r="B2099" t="s">
        <v>78</v>
      </c>
      <c r="C2099" t="s">
        <v>79</v>
      </c>
      <c r="D2099">
        <v>0</v>
      </c>
    </row>
    <row r="2100" spans="1:4" hidden="1" x14ac:dyDescent="0.3">
      <c r="A2100">
        <v>2098</v>
      </c>
      <c r="B2100" s="1" t="s">
        <v>2804</v>
      </c>
      <c r="C2100" t="s">
        <v>81</v>
      </c>
      <c r="D2100" s="1" t="s">
        <v>2805</v>
      </c>
    </row>
    <row r="2101" spans="1:4" hidden="1" x14ac:dyDescent="0.3">
      <c r="A2101">
        <v>2099</v>
      </c>
      <c r="B2101" t="s">
        <v>2806</v>
      </c>
      <c r="C2101" t="s">
        <v>84</v>
      </c>
      <c r="D2101">
        <v>1.00005760994086</v>
      </c>
    </row>
    <row r="2102" spans="1:4" hidden="1" x14ac:dyDescent="0.3">
      <c r="A2102">
        <v>2100</v>
      </c>
      <c r="B2102" s="1" t="s">
        <v>2807</v>
      </c>
      <c r="C2102" t="s">
        <v>86</v>
      </c>
      <c r="D2102" s="1" t="s">
        <v>2808</v>
      </c>
    </row>
    <row r="2103" spans="1:4" hidden="1" x14ac:dyDescent="0.3">
      <c r="A2103">
        <v>2101</v>
      </c>
      <c r="B2103" t="s">
        <v>2809</v>
      </c>
      <c r="C2103" t="s">
        <v>89</v>
      </c>
      <c r="D2103">
        <v>101183950.282061</v>
      </c>
    </row>
    <row r="2104" spans="1:4" hidden="1" x14ac:dyDescent="0.3">
      <c r="A2104">
        <v>2102</v>
      </c>
      <c r="B2104" s="1" t="s">
        <v>2810</v>
      </c>
      <c r="C2104" t="s">
        <v>91</v>
      </c>
      <c r="D2104" s="1" t="s">
        <v>2744</v>
      </c>
    </row>
    <row r="2105" spans="1:4" hidden="1" x14ac:dyDescent="0.3">
      <c r="A2105">
        <v>2103</v>
      </c>
      <c r="B2105" t="s">
        <v>2811</v>
      </c>
      <c r="C2105" t="s">
        <v>94</v>
      </c>
      <c r="D2105">
        <v>76443658.813094497</v>
      </c>
    </row>
    <row r="2106" spans="1:4" hidden="1" x14ac:dyDescent="0.3">
      <c r="A2106">
        <v>2104</v>
      </c>
      <c r="B2106" t="s">
        <v>2812</v>
      </c>
      <c r="C2106" t="s">
        <v>96</v>
      </c>
      <c r="D2106">
        <v>39371948.0865274</v>
      </c>
    </row>
    <row r="2107" spans="1:4" hidden="1" x14ac:dyDescent="0.3">
      <c r="A2107">
        <v>2105</v>
      </c>
      <c r="B2107" t="s">
        <v>2813</v>
      </c>
      <c r="C2107" t="s">
        <v>98</v>
      </c>
      <c r="D2107">
        <v>30764704.124692898</v>
      </c>
    </row>
    <row r="2108" spans="1:4" hidden="1" x14ac:dyDescent="0.3">
      <c r="A2108">
        <v>2106</v>
      </c>
      <c r="B2108" s="1" t="s">
        <v>2814</v>
      </c>
      <c r="C2108" t="s">
        <v>100</v>
      </c>
      <c r="D2108" s="1" t="s">
        <v>2815</v>
      </c>
    </row>
    <row r="2109" spans="1:4" hidden="1" x14ac:dyDescent="0.3">
      <c r="A2109">
        <v>2107</v>
      </c>
      <c r="B2109" t="s">
        <v>2816</v>
      </c>
      <c r="C2109" t="s">
        <v>103</v>
      </c>
      <c r="D2109">
        <v>9.1935883150358506E-3</v>
      </c>
    </row>
    <row r="2110" spans="1:4" hidden="1" x14ac:dyDescent="0.3">
      <c r="A2110">
        <v>2108</v>
      </c>
      <c r="B2110" t="s">
        <v>2817</v>
      </c>
      <c r="C2110" t="s">
        <v>105</v>
      </c>
      <c r="D2110">
        <v>1.7989332234215299E-3</v>
      </c>
    </row>
    <row r="2111" spans="1:4" hidden="1" x14ac:dyDescent="0.3">
      <c r="A2111">
        <v>2109</v>
      </c>
      <c r="B2111" t="s">
        <v>2818</v>
      </c>
      <c r="C2111" t="s">
        <v>107</v>
      </c>
      <c r="D2111">
        <v>1.10607827750381E-2</v>
      </c>
    </row>
    <row r="2112" spans="1:4" hidden="1" x14ac:dyDescent="0.3">
      <c r="A2112">
        <v>2110</v>
      </c>
      <c r="B2112" s="1" t="s">
        <v>2819</v>
      </c>
      <c r="C2112" t="s">
        <v>109</v>
      </c>
      <c r="D2112" s="1" t="s">
        <v>2820</v>
      </c>
    </row>
    <row r="2113" spans="1:4" x14ac:dyDescent="0.3">
      <c r="A2113">
        <v>2111</v>
      </c>
      <c r="B2113" t="s">
        <v>2821</v>
      </c>
      <c r="C2113" t="s">
        <v>207</v>
      </c>
      <c r="D2113">
        <v>146579967.16744199</v>
      </c>
    </row>
    <row r="2114" spans="1:4" hidden="1" x14ac:dyDescent="0.3">
      <c r="A2114">
        <v>2112</v>
      </c>
      <c r="B2114" t="s">
        <v>2822</v>
      </c>
      <c r="C2114" t="s">
        <v>209</v>
      </c>
      <c r="D2114">
        <v>753.96695261597301</v>
      </c>
    </row>
    <row r="2115" spans="1:4" hidden="1" x14ac:dyDescent="0.3">
      <c r="A2115">
        <v>2113</v>
      </c>
      <c r="B2115" t="s">
        <v>2823</v>
      </c>
      <c r="C2115" t="s">
        <v>211</v>
      </c>
      <c r="D2115">
        <v>388.32763645171201</v>
      </c>
    </row>
    <row r="2116" spans="1:4" hidden="1" x14ac:dyDescent="0.3">
      <c r="A2116">
        <v>2114</v>
      </c>
      <c r="B2116" s="1" t="s">
        <v>2824</v>
      </c>
      <c r="C2116" t="s">
        <v>213</v>
      </c>
      <c r="D2116" s="1" t="s">
        <v>2825</v>
      </c>
    </row>
    <row r="2117" spans="1:4" hidden="1" x14ac:dyDescent="0.3">
      <c r="A2117">
        <v>2115</v>
      </c>
      <c r="B2117" t="s">
        <v>2826</v>
      </c>
      <c r="C2117" t="s">
        <v>216</v>
      </c>
      <c r="D2117">
        <v>76442674.088686198</v>
      </c>
    </row>
    <row r="2118" spans="1:4" hidden="1" x14ac:dyDescent="0.3">
      <c r="A2118">
        <v>2116</v>
      </c>
      <c r="B2118" t="s">
        <v>2827</v>
      </c>
      <c r="C2118" t="s">
        <v>218</v>
      </c>
      <c r="D2118">
        <v>39371490.819210701</v>
      </c>
    </row>
    <row r="2119" spans="1:4" hidden="1" x14ac:dyDescent="0.3">
      <c r="A2119">
        <v>2117</v>
      </c>
      <c r="B2119" t="s">
        <v>2828</v>
      </c>
      <c r="C2119" t="s">
        <v>220</v>
      </c>
      <c r="D2119">
        <v>30764356.530933201</v>
      </c>
    </row>
    <row r="2120" spans="1:4" hidden="1" x14ac:dyDescent="0.3">
      <c r="A2120">
        <v>2118</v>
      </c>
      <c r="B2120" s="1" t="s">
        <v>2829</v>
      </c>
      <c r="C2120" t="s">
        <v>222</v>
      </c>
      <c r="D2120" s="1" t="s">
        <v>2830</v>
      </c>
    </row>
    <row r="2121" spans="1:4" hidden="1" x14ac:dyDescent="0.3">
      <c r="A2121">
        <v>2119</v>
      </c>
      <c r="B2121" t="s">
        <v>2831</v>
      </c>
      <c r="C2121" t="s">
        <v>225</v>
      </c>
      <c r="D2121">
        <v>101182952.297583</v>
      </c>
    </row>
    <row r="2122" spans="1:4" hidden="1" x14ac:dyDescent="0.3">
      <c r="A2122">
        <v>2120</v>
      </c>
      <c r="B2122" t="s">
        <v>2832</v>
      </c>
      <c r="C2122" t="s">
        <v>227</v>
      </c>
      <c r="D2122">
        <v>997.98447804152897</v>
      </c>
    </row>
    <row r="2123" spans="1:4" hidden="1" x14ac:dyDescent="0.3">
      <c r="A2123">
        <v>2121</v>
      </c>
      <c r="B2123" s="1" t="s">
        <v>2833</v>
      </c>
      <c r="C2123" t="s">
        <v>229</v>
      </c>
      <c r="D2123" s="1" t="s">
        <v>2834</v>
      </c>
    </row>
    <row r="2124" spans="1:4" hidden="1" x14ac:dyDescent="0.3">
      <c r="A2124">
        <v>2122</v>
      </c>
      <c r="B2124" t="s">
        <v>2835</v>
      </c>
      <c r="C2124" t="s">
        <v>112</v>
      </c>
      <c r="D2124">
        <v>-230.75745569150001</v>
      </c>
    </row>
    <row r="2125" spans="1:4" hidden="1" x14ac:dyDescent="0.3">
      <c r="A2125">
        <v>2123</v>
      </c>
      <c r="B2125" t="s">
        <v>2836</v>
      </c>
      <c r="C2125" t="s">
        <v>114</v>
      </c>
      <c r="D2125">
        <v>-68.939680228004505</v>
      </c>
    </row>
    <row r="2126" spans="1:4" hidden="1" x14ac:dyDescent="0.3">
      <c r="A2126">
        <v>2124</v>
      </c>
      <c r="B2126" s="1" t="s">
        <v>2837</v>
      </c>
      <c r="C2126" t="s">
        <v>116</v>
      </c>
      <c r="D2126" s="1" t="s">
        <v>2838</v>
      </c>
    </row>
    <row r="2127" spans="1:4" hidden="1" x14ac:dyDescent="0.3">
      <c r="A2127">
        <v>2125</v>
      </c>
      <c r="B2127" t="s">
        <v>2839</v>
      </c>
      <c r="C2127" t="s">
        <v>119</v>
      </c>
      <c r="D2127">
        <v>76442674.088686198</v>
      </c>
    </row>
    <row r="2128" spans="1:4" hidden="1" x14ac:dyDescent="0.3">
      <c r="A2128">
        <v>2126</v>
      </c>
      <c r="B2128" t="s">
        <v>2840</v>
      </c>
      <c r="C2128" t="s">
        <v>121</v>
      </c>
      <c r="D2128">
        <v>39371490.819210701</v>
      </c>
    </row>
    <row r="2129" spans="1:4" hidden="1" x14ac:dyDescent="0.3">
      <c r="A2129">
        <v>2127</v>
      </c>
      <c r="B2129" s="1" t="s">
        <v>2841</v>
      </c>
      <c r="C2129" t="s">
        <v>123</v>
      </c>
      <c r="D2129" s="1" t="s">
        <v>2842</v>
      </c>
    </row>
    <row r="2130" spans="1:4" hidden="1" x14ac:dyDescent="0.3">
      <c r="A2130">
        <v>2128</v>
      </c>
      <c r="B2130" t="s">
        <v>2843</v>
      </c>
      <c r="C2130" t="s">
        <v>126</v>
      </c>
      <c r="D2130">
        <v>0.75544613740500199</v>
      </c>
    </row>
    <row r="2131" spans="1:4" hidden="1" x14ac:dyDescent="0.3">
      <c r="A2131">
        <v>2129</v>
      </c>
      <c r="B2131" t="s">
        <v>2844</v>
      </c>
      <c r="C2131" t="s">
        <v>128</v>
      </c>
      <c r="D2131">
        <v>0.38908948460832699</v>
      </c>
    </row>
    <row r="2132" spans="1:4" hidden="1" x14ac:dyDescent="0.3">
      <c r="A2132">
        <v>2130</v>
      </c>
      <c r="B2132" s="1" t="s">
        <v>2845</v>
      </c>
      <c r="C2132" t="s">
        <v>130</v>
      </c>
      <c r="D2132" s="1" t="s">
        <v>2846</v>
      </c>
    </row>
    <row r="2133" spans="1:4" hidden="1" x14ac:dyDescent="0.3">
      <c r="A2133">
        <v>2131</v>
      </c>
      <c r="B2133" s="1" t="s">
        <v>2847</v>
      </c>
      <c r="C2133" t="s">
        <v>4</v>
      </c>
      <c r="D2133" t="s">
        <v>2848</v>
      </c>
    </row>
    <row r="2134" spans="1:4" hidden="1" x14ac:dyDescent="0.3">
      <c r="A2134">
        <v>2132</v>
      </c>
      <c r="B2134" t="s">
        <v>2849</v>
      </c>
      <c r="C2134" t="s">
        <v>7</v>
      </c>
      <c r="D2134">
        <v>1781.44</v>
      </c>
    </row>
    <row r="2135" spans="1:4" hidden="1" x14ac:dyDescent="0.3">
      <c r="A2135">
        <v>2133</v>
      </c>
      <c r="B2135" s="1" t="s">
        <v>2850</v>
      </c>
      <c r="C2135" t="s">
        <v>9</v>
      </c>
      <c r="D2135" s="1" t="s">
        <v>2851</v>
      </c>
    </row>
    <row r="2136" spans="1:4" hidden="1" x14ac:dyDescent="0.3">
      <c r="A2136">
        <v>2134</v>
      </c>
      <c r="B2136" t="s">
        <v>2852</v>
      </c>
      <c r="C2136" t="s">
        <v>14</v>
      </c>
      <c r="D2136">
        <v>97.97265625</v>
      </c>
    </row>
    <row r="2137" spans="1:4" hidden="1" x14ac:dyDescent="0.3">
      <c r="A2137">
        <v>2135</v>
      </c>
      <c r="B2137" t="s">
        <v>2853</v>
      </c>
      <c r="C2137" t="s">
        <v>16</v>
      </c>
      <c r="D2137">
        <v>4.3783871844492097</v>
      </c>
    </row>
    <row r="2138" spans="1:4" hidden="1" x14ac:dyDescent="0.3">
      <c r="A2138">
        <v>2136</v>
      </c>
      <c r="B2138" s="1" t="s">
        <v>2854</v>
      </c>
      <c r="C2138" t="s">
        <v>140</v>
      </c>
      <c r="D2138" s="1" t="s">
        <v>2855</v>
      </c>
    </row>
    <row r="2139" spans="1:4" hidden="1" x14ac:dyDescent="0.3">
      <c r="A2139">
        <v>2137</v>
      </c>
      <c r="B2139" t="s">
        <v>2856</v>
      </c>
      <c r="C2139" t="s">
        <v>22</v>
      </c>
      <c r="D2139">
        <v>78</v>
      </c>
    </row>
    <row r="2140" spans="1:4" hidden="1" x14ac:dyDescent="0.3">
      <c r="A2140">
        <v>2138</v>
      </c>
      <c r="B2140" t="s">
        <v>2857</v>
      </c>
      <c r="C2140" t="s">
        <v>24</v>
      </c>
      <c r="D2140">
        <v>6.0572892646596399</v>
      </c>
    </row>
    <row r="2141" spans="1:4" hidden="1" x14ac:dyDescent="0.3">
      <c r="A2141">
        <v>2139</v>
      </c>
      <c r="B2141" s="1" t="s">
        <v>2858</v>
      </c>
      <c r="C2141" t="s">
        <v>145</v>
      </c>
      <c r="D2141" s="1" t="s">
        <v>2859</v>
      </c>
    </row>
    <row r="2142" spans="1:4" hidden="1" x14ac:dyDescent="0.3">
      <c r="A2142">
        <v>2140</v>
      </c>
      <c r="B2142" t="s">
        <v>2860</v>
      </c>
      <c r="C2142" t="s">
        <v>35</v>
      </c>
      <c r="D2142">
        <v>-0.104563766407286</v>
      </c>
    </row>
    <row r="2143" spans="1:4" hidden="1" x14ac:dyDescent="0.3">
      <c r="A2143">
        <v>2141</v>
      </c>
      <c r="B2143" t="s">
        <v>2861</v>
      </c>
      <c r="C2143" t="s">
        <v>149</v>
      </c>
      <c r="D2143">
        <v>0.68333267200097703</v>
      </c>
    </row>
    <row r="2144" spans="1:4" hidden="1" x14ac:dyDescent="0.3">
      <c r="A2144">
        <v>2142</v>
      </c>
      <c r="B2144" s="1" t="s">
        <v>2862</v>
      </c>
      <c r="C2144" t="s">
        <v>151</v>
      </c>
      <c r="D2144" s="1" t="s">
        <v>2863</v>
      </c>
    </row>
    <row r="2145" spans="1:4" hidden="1" x14ac:dyDescent="0.3">
      <c r="A2145">
        <v>2143</v>
      </c>
      <c r="B2145" t="s">
        <v>2864</v>
      </c>
      <c r="C2145" t="s">
        <v>30</v>
      </c>
      <c r="D2145">
        <v>0.44777769409403301</v>
      </c>
    </row>
    <row r="2146" spans="1:4" hidden="1" x14ac:dyDescent="0.3">
      <c r="A2146">
        <v>2144</v>
      </c>
      <c r="B2146" t="s">
        <v>2865</v>
      </c>
      <c r="C2146" t="s">
        <v>32</v>
      </c>
      <c r="D2146">
        <v>0.22602951645628699</v>
      </c>
    </row>
    <row r="2147" spans="1:4" hidden="1" x14ac:dyDescent="0.3">
      <c r="A2147">
        <v>2145</v>
      </c>
      <c r="B2147" s="1" t="s">
        <v>2866</v>
      </c>
      <c r="C2147" t="s">
        <v>155</v>
      </c>
      <c r="D2147" s="1" t="s">
        <v>2867</v>
      </c>
    </row>
    <row r="2148" spans="1:4" hidden="1" x14ac:dyDescent="0.3">
      <c r="A2148">
        <v>2146</v>
      </c>
      <c r="B2148" t="s">
        <v>2868</v>
      </c>
      <c r="C2148" t="s">
        <v>40</v>
      </c>
      <c r="D2148">
        <v>0.65678607231325203</v>
      </c>
    </row>
    <row r="2149" spans="1:4" hidden="1" x14ac:dyDescent="0.3">
      <c r="A2149">
        <v>2147</v>
      </c>
      <c r="B2149" t="s">
        <v>2869</v>
      </c>
      <c r="C2149" t="s">
        <v>42</v>
      </c>
      <c r="D2149">
        <v>0.23738653398915299</v>
      </c>
    </row>
    <row r="2150" spans="1:4" hidden="1" x14ac:dyDescent="0.3">
      <c r="A2150">
        <v>2148</v>
      </c>
      <c r="B2150" s="1" t="s">
        <v>2870</v>
      </c>
      <c r="C2150" t="s">
        <v>159</v>
      </c>
      <c r="D2150" s="1" t="s">
        <v>2871</v>
      </c>
    </row>
    <row r="2151" spans="1:4" hidden="1" x14ac:dyDescent="0.3">
      <c r="A2151">
        <v>2149</v>
      </c>
      <c r="B2151" t="s">
        <v>2872</v>
      </c>
      <c r="C2151" t="s">
        <v>161</v>
      </c>
      <c r="D2151">
        <v>1.00353205608476</v>
      </c>
    </row>
    <row r="2152" spans="1:4" hidden="1" x14ac:dyDescent="0.3">
      <c r="A2152">
        <v>2150</v>
      </c>
      <c r="B2152" t="s">
        <v>2873</v>
      </c>
      <c r="C2152" t="s">
        <v>163</v>
      </c>
      <c r="D2152">
        <v>0.99961846970117296</v>
      </c>
    </row>
    <row r="2153" spans="1:4" hidden="1" x14ac:dyDescent="0.3">
      <c r="A2153">
        <v>2151</v>
      </c>
      <c r="B2153" s="1" t="s">
        <v>2874</v>
      </c>
      <c r="C2153" t="s">
        <v>165</v>
      </c>
      <c r="D2153" s="1" t="s">
        <v>2875</v>
      </c>
    </row>
    <row r="2154" spans="1:4" hidden="1" x14ac:dyDescent="0.3">
      <c r="A2154">
        <v>2152</v>
      </c>
      <c r="B2154" t="s">
        <v>2876</v>
      </c>
      <c r="C2154" t="s">
        <v>168</v>
      </c>
      <c r="D2154">
        <v>0.99908337947042503</v>
      </c>
    </row>
    <row r="2155" spans="1:4" hidden="1" x14ac:dyDescent="0.3">
      <c r="A2155">
        <v>2153</v>
      </c>
      <c r="B2155" t="s">
        <v>2877</v>
      </c>
      <c r="C2155" t="s">
        <v>170</v>
      </c>
      <c r="D2155">
        <v>0.99989480250853302</v>
      </c>
    </row>
    <row r="2156" spans="1:4" hidden="1" x14ac:dyDescent="0.3">
      <c r="A2156">
        <v>2154</v>
      </c>
      <c r="B2156" s="1" t="s">
        <v>2878</v>
      </c>
      <c r="C2156" t="s">
        <v>172</v>
      </c>
      <c r="D2156" s="1" t="s">
        <v>2879</v>
      </c>
    </row>
    <row r="2157" spans="1:4" hidden="1" x14ac:dyDescent="0.3">
      <c r="A2157">
        <v>2155</v>
      </c>
      <c r="B2157" s="1" t="s">
        <v>2880</v>
      </c>
      <c r="C2157" t="s">
        <v>55</v>
      </c>
      <c r="D2157" s="1" t="s">
        <v>2881</v>
      </c>
    </row>
    <row r="2158" spans="1:4" hidden="1" x14ac:dyDescent="0.3">
      <c r="A2158">
        <v>2156</v>
      </c>
      <c r="B2158" s="1" t="s">
        <v>2882</v>
      </c>
      <c r="C2158" t="s">
        <v>52</v>
      </c>
      <c r="D2158" s="1" t="s">
        <v>2883</v>
      </c>
    </row>
    <row r="2159" spans="1:4" hidden="1" x14ac:dyDescent="0.3">
      <c r="A2159">
        <v>2157</v>
      </c>
      <c r="B2159" s="1" t="s">
        <v>2884</v>
      </c>
      <c r="C2159" t="s">
        <v>58</v>
      </c>
      <c r="D2159" s="1" t="s">
        <v>2885</v>
      </c>
    </row>
    <row r="2160" spans="1:4" hidden="1" x14ac:dyDescent="0.3">
      <c r="A2160">
        <v>2158</v>
      </c>
      <c r="B2160" t="s">
        <v>2886</v>
      </c>
      <c r="C2160" t="s">
        <v>61</v>
      </c>
      <c r="D2160">
        <v>146730502.82783401</v>
      </c>
    </row>
    <row r="2161" spans="1:4" hidden="1" x14ac:dyDescent="0.3">
      <c r="A2161">
        <v>2159</v>
      </c>
      <c r="B2161" t="s">
        <v>2887</v>
      </c>
      <c r="C2161" t="s">
        <v>63</v>
      </c>
      <c r="D2161">
        <v>76712673.900837198</v>
      </c>
    </row>
    <row r="2162" spans="1:4" hidden="1" x14ac:dyDescent="0.3">
      <c r="A2162">
        <v>2160</v>
      </c>
      <c r="B2162" t="s">
        <v>2888</v>
      </c>
      <c r="C2162" t="s">
        <v>65</v>
      </c>
      <c r="D2162">
        <v>39356469.402553201</v>
      </c>
    </row>
    <row r="2163" spans="1:4" hidden="1" x14ac:dyDescent="0.3">
      <c r="A2163">
        <v>2161</v>
      </c>
      <c r="B2163" s="1" t="s">
        <v>2889</v>
      </c>
      <c r="C2163" t="s">
        <v>67</v>
      </c>
      <c r="D2163" s="1" t="s">
        <v>2890</v>
      </c>
    </row>
    <row r="2164" spans="1:4" hidden="1" x14ac:dyDescent="0.3">
      <c r="A2164">
        <v>2162</v>
      </c>
      <c r="B2164" s="1" t="s">
        <v>2891</v>
      </c>
      <c r="C2164" t="s">
        <v>70</v>
      </c>
      <c r="D2164" s="1" t="s">
        <v>2892</v>
      </c>
    </row>
    <row r="2165" spans="1:4" hidden="1" x14ac:dyDescent="0.3">
      <c r="A2165">
        <v>2163</v>
      </c>
      <c r="B2165" t="s">
        <v>2893</v>
      </c>
      <c r="C2165" t="s">
        <v>73</v>
      </c>
      <c r="D2165">
        <v>1.00005760994086</v>
      </c>
    </row>
    <row r="2166" spans="1:4" hidden="1" x14ac:dyDescent="0.3">
      <c r="A2166">
        <v>2164</v>
      </c>
      <c r="B2166" t="s">
        <v>74</v>
      </c>
      <c r="C2166" t="s">
        <v>75</v>
      </c>
      <c r="D2166">
        <v>2.7397260273972599E-3</v>
      </c>
    </row>
    <row r="2167" spans="1:4" hidden="1" x14ac:dyDescent="0.3">
      <c r="A2167">
        <v>2165</v>
      </c>
      <c r="B2167" t="s">
        <v>76</v>
      </c>
      <c r="C2167" t="s">
        <v>77</v>
      </c>
      <c r="D2167">
        <v>0</v>
      </c>
    </row>
    <row r="2168" spans="1:4" hidden="1" x14ac:dyDescent="0.3">
      <c r="A2168">
        <v>2166</v>
      </c>
      <c r="B2168" t="s">
        <v>78</v>
      </c>
      <c r="C2168" t="s">
        <v>79</v>
      </c>
      <c r="D2168">
        <v>0</v>
      </c>
    </row>
    <row r="2169" spans="1:4" hidden="1" x14ac:dyDescent="0.3">
      <c r="A2169">
        <v>2167</v>
      </c>
      <c r="B2169" s="1" t="s">
        <v>2894</v>
      </c>
      <c r="C2169" t="s">
        <v>81</v>
      </c>
      <c r="D2169" s="1" t="s">
        <v>2895</v>
      </c>
    </row>
    <row r="2170" spans="1:4" hidden="1" x14ac:dyDescent="0.3">
      <c r="A2170">
        <v>2168</v>
      </c>
      <c r="B2170" t="s">
        <v>2896</v>
      </c>
      <c r="C2170" t="s">
        <v>84</v>
      </c>
      <c r="D2170">
        <v>1.0000350870579899</v>
      </c>
    </row>
    <row r="2171" spans="1:4" hidden="1" x14ac:dyDescent="0.3">
      <c r="A2171">
        <v>2169</v>
      </c>
      <c r="B2171" s="1" t="s">
        <v>2897</v>
      </c>
      <c r="C2171" t="s">
        <v>86</v>
      </c>
      <c r="D2171" s="1" t="s">
        <v>2898</v>
      </c>
    </row>
    <row r="2172" spans="1:4" hidden="1" x14ac:dyDescent="0.3">
      <c r="A2172">
        <v>2170</v>
      </c>
      <c r="B2172" t="s">
        <v>2899</v>
      </c>
      <c r="C2172" t="s">
        <v>89</v>
      </c>
      <c r="D2172">
        <v>101186229.156363</v>
      </c>
    </row>
    <row r="2173" spans="1:4" hidden="1" x14ac:dyDescent="0.3">
      <c r="A2173">
        <v>2171</v>
      </c>
      <c r="B2173" s="1" t="s">
        <v>2900</v>
      </c>
      <c r="C2173" t="s">
        <v>91</v>
      </c>
      <c r="D2173" s="1" t="s">
        <v>2834</v>
      </c>
    </row>
    <row r="2174" spans="1:4" hidden="1" x14ac:dyDescent="0.3">
      <c r="A2174">
        <v>2172</v>
      </c>
      <c r="B2174" t="s">
        <v>2901</v>
      </c>
      <c r="C2174" t="s">
        <v>94</v>
      </c>
      <c r="D2174">
        <v>76712673.900837198</v>
      </c>
    </row>
    <row r="2175" spans="1:4" hidden="1" x14ac:dyDescent="0.3">
      <c r="A2175">
        <v>2173</v>
      </c>
      <c r="B2175" t="s">
        <v>2902</v>
      </c>
      <c r="C2175" t="s">
        <v>96</v>
      </c>
      <c r="D2175">
        <v>39356469.402553201</v>
      </c>
    </row>
    <row r="2176" spans="1:4" hidden="1" x14ac:dyDescent="0.3">
      <c r="A2176">
        <v>2174</v>
      </c>
      <c r="B2176" t="s">
        <v>2903</v>
      </c>
      <c r="C2176" t="s">
        <v>98</v>
      </c>
      <c r="D2176">
        <v>30661359.5244441</v>
      </c>
    </row>
    <row r="2177" spans="1:4" hidden="1" x14ac:dyDescent="0.3">
      <c r="A2177">
        <v>2175</v>
      </c>
      <c r="B2177" s="1" t="s">
        <v>2904</v>
      </c>
      <c r="C2177" t="s">
        <v>100</v>
      </c>
      <c r="D2177" s="1" t="s">
        <v>2905</v>
      </c>
    </row>
    <row r="2178" spans="1:4" hidden="1" x14ac:dyDescent="0.3">
      <c r="A2178">
        <v>2176</v>
      </c>
      <c r="B2178" t="s">
        <v>2906</v>
      </c>
      <c r="C2178" t="s">
        <v>103</v>
      </c>
      <c r="D2178">
        <v>9.1920176682747205E-3</v>
      </c>
    </row>
    <row r="2179" spans="1:4" hidden="1" x14ac:dyDescent="0.3">
      <c r="A2179">
        <v>2177</v>
      </c>
      <c r="B2179" t="s">
        <v>2907</v>
      </c>
      <c r="C2179" t="s">
        <v>105</v>
      </c>
      <c r="D2179">
        <v>1.7989712121986401E-3</v>
      </c>
    </row>
    <row r="2180" spans="1:4" hidden="1" x14ac:dyDescent="0.3">
      <c r="A2180">
        <v>2178</v>
      </c>
      <c r="B2180" t="s">
        <v>2908</v>
      </c>
      <c r="C2180" t="s">
        <v>107</v>
      </c>
      <c r="D2180">
        <v>1.1068396722776401E-2</v>
      </c>
    </row>
    <row r="2181" spans="1:4" hidden="1" x14ac:dyDescent="0.3">
      <c r="A2181">
        <v>2179</v>
      </c>
      <c r="B2181" s="1" t="s">
        <v>2909</v>
      </c>
      <c r="C2181" t="s">
        <v>109</v>
      </c>
      <c r="D2181" s="1" t="s">
        <v>2910</v>
      </c>
    </row>
    <row r="2182" spans="1:4" x14ac:dyDescent="0.3">
      <c r="A2182">
        <v>2180</v>
      </c>
      <c r="B2182" t="s">
        <v>2911</v>
      </c>
      <c r="C2182" t="s">
        <v>207</v>
      </c>
      <c r="D2182">
        <v>146729718.271056</v>
      </c>
    </row>
    <row r="2183" spans="1:4" hidden="1" x14ac:dyDescent="0.3">
      <c r="A2183">
        <v>2181</v>
      </c>
      <c r="B2183" t="s">
        <v>2912</v>
      </c>
      <c r="C2183" t="s">
        <v>209</v>
      </c>
      <c r="D2183">
        <v>1727.6776197904801</v>
      </c>
    </row>
    <row r="2184" spans="1:4" hidden="1" x14ac:dyDescent="0.3">
      <c r="A2184">
        <v>2182</v>
      </c>
      <c r="B2184" t="s">
        <v>2913</v>
      </c>
      <c r="C2184" t="s">
        <v>211</v>
      </c>
      <c r="D2184">
        <v>886.36736412032599</v>
      </c>
    </row>
    <row r="2185" spans="1:4" hidden="1" x14ac:dyDescent="0.3">
      <c r="A2185">
        <v>2183</v>
      </c>
      <c r="B2185" s="1" t="s">
        <v>2914</v>
      </c>
      <c r="C2185" t="s">
        <v>213</v>
      </c>
      <c r="D2185" s="1" t="s">
        <v>2915</v>
      </c>
    </row>
    <row r="2186" spans="1:4" hidden="1" x14ac:dyDescent="0.3">
      <c r="A2186">
        <v>2184</v>
      </c>
      <c r="B2186" t="s">
        <v>2916</v>
      </c>
      <c r="C2186" t="s">
        <v>216</v>
      </c>
      <c r="D2186">
        <v>76710350.475880995</v>
      </c>
    </row>
    <row r="2187" spans="1:4" hidden="1" x14ac:dyDescent="0.3">
      <c r="A2187">
        <v>2185</v>
      </c>
      <c r="B2187" t="s">
        <v>2917</v>
      </c>
      <c r="C2187" t="s">
        <v>218</v>
      </c>
      <c r="D2187">
        <v>39355462.137837201</v>
      </c>
    </row>
    <row r="2188" spans="1:4" hidden="1" x14ac:dyDescent="0.3">
      <c r="A2188">
        <v>2186</v>
      </c>
      <c r="B2188" t="s">
        <v>2918</v>
      </c>
      <c r="C2188" t="s">
        <v>220</v>
      </c>
      <c r="D2188">
        <v>30660601.071456499</v>
      </c>
    </row>
    <row r="2189" spans="1:4" hidden="1" x14ac:dyDescent="0.3">
      <c r="A2189">
        <v>2187</v>
      </c>
      <c r="B2189" s="1" t="s">
        <v>2919</v>
      </c>
      <c r="C2189" t="s">
        <v>222</v>
      </c>
      <c r="D2189" s="1" t="s">
        <v>2920</v>
      </c>
    </row>
    <row r="2190" spans="1:4" hidden="1" x14ac:dyDescent="0.3">
      <c r="A2190">
        <v>2188</v>
      </c>
      <c r="B2190" t="s">
        <v>2921</v>
      </c>
      <c r="C2190" t="s">
        <v>225</v>
      </c>
      <c r="D2190">
        <v>101183950.282061</v>
      </c>
    </row>
    <row r="2191" spans="1:4" hidden="1" x14ac:dyDescent="0.3">
      <c r="A2191">
        <v>2189</v>
      </c>
      <c r="B2191" t="s">
        <v>2922</v>
      </c>
      <c r="C2191" t="s">
        <v>227</v>
      </c>
      <c r="D2191">
        <v>2278.87430183589</v>
      </c>
    </row>
    <row r="2192" spans="1:4" hidden="1" x14ac:dyDescent="0.3">
      <c r="A2192">
        <v>2190</v>
      </c>
      <c r="B2192" s="1" t="s">
        <v>2923</v>
      </c>
      <c r="C2192" t="s">
        <v>229</v>
      </c>
      <c r="D2192" s="1" t="s">
        <v>2924</v>
      </c>
    </row>
    <row r="2193" spans="1:4" hidden="1" x14ac:dyDescent="0.3">
      <c r="A2193">
        <v>2191</v>
      </c>
      <c r="B2193" t="s">
        <v>2925</v>
      </c>
      <c r="C2193" t="s">
        <v>112</v>
      </c>
      <c r="D2193">
        <v>-595.74733642260799</v>
      </c>
    </row>
    <row r="2194" spans="1:4" hidden="1" x14ac:dyDescent="0.3">
      <c r="A2194">
        <v>2192</v>
      </c>
      <c r="B2194" t="s">
        <v>2926</v>
      </c>
      <c r="C2194" t="s">
        <v>114</v>
      </c>
      <c r="D2194">
        <v>-120.89735188896501</v>
      </c>
    </row>
    <row r="2195" spans="1:4" hidden="1" x14ac:dyDescent="0.3">
      <c r="A2195">
        <v>2193</v>
      </c>
      <c r="B2195" s="1" t="s">
        <v>2927</v>
      </c>
      <c r="C2195" t="s">
        <v>116</v>
      </c>
      <c r="D2195" s="1" t="s">
        <v>2928</v>
      </c>
    </row>
    <row r="2196" spans="1:4" hidden="1" x14ac:dyDescent="0.3">
      <c r="A2196">
        <v>2194</v>
      </c>
      <c r="B2196" t="s">
        <v>2929</v>
      </c>
      <c r="C2196" t="s">
        <v>119</v>
      </c>
      <c r="D2196">
        <v>76710350.475880995</v>
      </c>
    </row>
    <row r="2197" spans="1:4" hidden="1" x14ac:dyDescent="0.3">
      <c r="A2197">
        <v>2195</v>
      </c>
      <c r="B2197" t="s">
        <v>2930</v>
      </c>
      <c r="C2197" t="s">
        <v>121</v>
      </c>
      <c r="D2197">
        <v>39355462.137837201</v>
      </c>
    </row>
    <row r="2198" spans="1:4" hidden="1" x14ac:dyDescent="0.3">
      <c r="A2198">
        <v>2196</v>
      </c>
      <c r="B2198" s="1" t="s">
        <v>2931</v>
      </c>
      <c r="C2198" t="s">
        <v>123</v>
      </c>
      <c r="D2198" s="1" t="s">
        <v>2932</v>
      </c>
    </row>
    <row r="2199" spans="1:4" hidden="1" x14ac:dyDescent="0.3">
      <c r="A2199">
        <v>2197</v>
      </c>
      <c r="B2199" t="s">
        <v>2933</v>
      </c>
      <c r="C2199" t="s">
        <v>126</v>
      </c>
      <c r="D2199">
        <v>0.75810105076911205</v>
      </c>
    </row>
    <row r="2200" spans="1:4" hidden="1" x14ac:dyDescent="0.3">
      <c r="A2200">
        <v>2198</v>
      </c>
      <c r="B2200" t="s">
        <v>2934</v>
      </c>
      <c r="C2200" t="s">
        <v>128</v>
      </c>
      <c r="D2200">
        <v>0.38893600426945202</v>
      </c>
    </row>
    <row r="2201" spans="1:4" hidden="1" x14ac:dyDescent="0.3">
      <c r="A2201">
        <v>2199</v>
      </c>
      <c r="B2201" s="1" t="s">
        <v>2935</v>
      </c>
      <c r="C2201" t="s">
        <v>130</v>
      </c>
      <c r="D2201" s="1" t="s">
        <v>2936</v>
      </c>
    </row>
    <row r="2202" spans="1:4" hidden="1" x14ac:dyDescent="0.3">
      <c r="A2202">
        <v>2200</v>
      </c>
      <c r="B2202" s="1" t="s">
        <v>2937</v>
      </c>
      <c r="C2202" t="s">
        <v>4</v>
      </c>
      <c r="D2202" t="s">
        <v>2938</v>
      </c>
    </row>
    <row r="2203" spans="1:4" hidden="1" x14ac:dyDescent="0.3">
      <c r="A2203">
        <v>2201</v>
      </c>
      <c r="B2203" t="s">
        <v>2939</v>
      </c>
      <c r="C2203" t="s">
        <v>7</v>
      </c>
      <c r="D2203">
        <v>1778.48</v>
      </c>
    </row>
    <row r="2204" spans="1:4" hidden="1" x14ac:dyDescent="0.3">
      <c r="A2204">
        <v>2202</v>
      </c>
      <c r="B2204" s="1" t="s">
        <v>2940</v>
      </c>
      <c r="C2204" t="s">
        <v>9</v>
      </c>
      <c r="D2204" s="1" t="s">
        <v>2941</v>
      </c>
    </row>
    <row r="2205" spans="1:4" hidden="1" x14ac:dyDescent="0.3">
      <c r="A2205">
        <v>2203</v>
      </c>
      <c r="B2205" t="s">
        <v>2942</v>
      </c>
      <c r="C2205" t="s">
        <v>14</v>
      </c>
      <c r="D2205">
        <v>98.06640625</v>
      </c>
    </row>
    <row r="2206" spans="1:4" hidden="1" x14ac:dyDescent="0.3">
      <c r="A2206">
        <v>2204</v>
      </c>
      <c r="B2206" t="s">
        <v>2943</v>
      </c>
      <c r="C2206" t="s">
        <v>16</v>
      </c>
      <c r="D2206">
        <v>4.3822256107237498</v>
      </c>
    </row>
    <row r="2207" spans="1:4" hidden="1" x14ac:dyDescent="0.3">
      <c r="A2207">
        <v>2205</v>
      </c>
      <c r="B2207" s="1" t="s">
        <v>2944</v>
      </c>
      <c r="C2207" t="s">
        <v>140</v>
      </c>
      <c r="D2207" s="1" t="s">
        <v>2945</v>
      </c>
    </row>
    <row r="2208" spans="1:4" hidden="1" x14ac:dyDescent="0.3">
      <c r="A2208">
        <v>2206</v>
      </c>
      <c r="B2208" t="s">
        <v>2946</v>
      </c>
      <c r="C2208" t="s">
        <v>22</v>
      </c>
      <c r="D2208">
        <v>77.849999999999994</v>
      </c>
    </row>
    <row r="2209" spans="1:4" hidden="1" x14ac:dyDescent="0.3">
      <c r="A2209">
        <v>2207</v>
      </c>
      <c r="B2209" t="s">
        <v>2947</v>
      </c>
      <c r="C2209" t="s">
        <v>24</v>
      </c>
      <c r="D2209">
        <v>6.1031277582855799</v>
      </c>
    </row>
    <row r="2210" spans="1:4" hidden="1" x14ac:dyDescent="0.3">
      <c r="A2210">
        <v>2208</v>
      </c>
      <c r="B2210" s="1" t="s">
        <v>2948</v>
      </c>
      <c r="C2210" t="s">
        <v>145</v>
      </c>
      <c r="D2210" s="1" t="s">
        <v>2949</v>
      </c>
    </row>
    <row r="2211" spans="1:4" hidden="1" x14ac:dyDescent="0.3">
      <c r="A2211">
        <v>2209</v>
      </c>
      <c r="B2211" t="s">
        <v>2950</v>
      </c>
      <c r="C2211" t="s">
        <v>35</v>
      </c>
      <c r="D2211">
        <v>0.23040578705949299</v>
      </c>
    </row>
    <row r="2212" spans="1:4" hidden="1" x14ac:dyDescent="0.3">
      <c r="A2212">
        <v>2210</v>
      </c>
      <c r="B2212" t="s">
        <v>2951</v>
      </c>
      <c r="C2212" t="s">
        <v>149</v>
      </c>
      <c r="D2212">
        <v>0.68426064516235097</v>
      </c>
    </row>
    <row r="2213" spans="1:4" hidden="1" x14ac:dyDescent="0.3">
      <c r="A2213">
        <v>2211</v>
      </c>
      <c r="B2213" s="1" t="s">
        <v>2952</v>
      </c>
      <c r="C2213" t="s">
        <v>151</v>
      </c>
      <c r="D2213" s="1" t="s">
        <v>2953</v>
      </c>
    </row>
    <row r="2214" spans="1:4" hidden="1" x14ac:dyDescent="0.3">
      <c r="A2214">
        <v>2212</v>
      </c>
      <c r="B2214" t="s">
        <v>2954</v>
      </c>
      <c r="C2214" t="s">
        <v>30</v>
      </c>
      <c r="D2214">
        <v>0.31180080072549199</v>
      </c>
    </row>
    <row r="2215" spans="1:4" hidden="1" x14ac:dyDescent="0.3">
      <c r="A2215">
        <v>2213</v>
      </c>
      <c r="B2215" t="s">
        <v>2955</v>
      </c>
      <c r="C2215" t="s">
        <v>32</v>
      </c>
      <c r="D2215">
        <v>0.22563520705814</v>
      </c>
    </row>
    <row r="2216" spans="1:4" hidden="1" x14ac:dyDescent="0.3">
      <c r="A2216">
        <v>2214</v>
      </c>
      <c r="B2216" s="1" t="s">
        <v>2956</v>
      </c>
      <c r="C2216" t="s">
        <v>155</v>
      </c>
      <c r="D2216" s="1" t="s">
        <v>2957</v>
      </c>
    </row>
    <row r="2217" spans="1:4" hidden="1" x14ac:dyDescent="0.3">
      <c r="A2217">
        <v>2215</v>
      </c>
      <c r="B2217" t="s">
        <v>2958</v>
      </c>
      <c r="C2217" t="s">
        <v>40</v>
      </c>
      <c r="D2217">
        <v>0.45779341221501402</v>
      </c>
    </row>
    <row r="2218" spans="1:4" hidden="1" x14ac:dyDescent="0.3">
      <c r="A2218">
        <v>2216</v>
      </c>
      <c r="B2218" t="s">
        <v>2959</v>
      </c>
      <c r="C2218" t="s">
        <v>42</v>
      </c>
      <c r="D2218">
        <v>0.23579620372061999</v>
      </c>
    </row>
    <row r="2219" spans="1:4" hidden="1" x14ac:dyDescent="0.3">
      <c r="A2219">
        <v>2217</v>
      </c>
      <c r="B2219" s="1" t="s">
        <v>2960</v>
      </c>
      <c r="C2219" t="s">
        <v>159</v>
      </c>
      <c r="D2219" s="1" t="s">
        <v>2961</v>
      </c>
    </row>
    <row r="2220" spans="1:4" hidden="1" x14ac:dyDescent="0.3">
      <c r="A2220">
        <v>2218</v>
      </c>
      <c r="B2220" t="s">
        <v>2962</v>
      </c>
      <c r="C2220" t="s">
        <v>161</v>
      </c>
      <c r="D2220">
        <v>0.99833842284893104</v>
      </c>
    </row>
    <row r="2221" spans="1:4" hidden="1" x14ac:dyDescent="0.3">
      <c r="A2221">
        <v>2219</v>
      </c>
      <c r="B2221" t="s">
        <v>2963</v>
      </c>
      <c r="C2221" t="s">
        <v>163</v>
      </c>
      <c r="D2221">
        <v>1.0009534678201499</v>
      </c>
    </row>
    <row r="2222" spans="1:4" hidden="1" x14ac:dyDescent="0.3">
      <c r="A2222">
        <v>2220</v>
      </c>
      <c r="B2222" s="1" t="s">
        <v>2964</v>
      </c>
      <c r="C2222" t="s">
        <v>165</v>
      </c>
      <c r="D2222" s="1" t="s">
        <v>2965</v>
      </c>
    </row>
    <row r="2223" spans="1:4" hidden="1" x14ac:dyDescent="0.3">
      <c r="A2223">
        <v>2221</v>
      </c>
      <c r="B2223" t="s">
        <v>2966</v>
      </c>
      <c r="C2223" t="s">
        <v>168</v>
      </c>
      <c r="D2223">
        <v>1.0005512714015501</v>
      </c>
    </row>
    <row r="2224" spans="1:4" hidden="1" x14ac:dyDescent="0.3">
      <c r="A2224">
        <v>2222</v>
      </c>
      <c r="B2224" t="s">
        <v>2967</v>
      </c>
      <c r="C2224" t="s">
        <v>170</v>
      </c>
      <c r="D2224">
        <v>0.99967838506915596</v>
      </c>
    </row>
    <row r="2225" spans="1:4" hidden="1" x14ac:dyDescent="0.3">
      <c r="A2225">
        <v>2223</v>
      </c>
      <c r="B2225" s="1" t="s">
        <v>2968</v>
      </c>
      <c r="C2225" t="s">
        <v>172</v>
      </c>
      <c r="D2225" s="1" t="s">
        <v>2969</v>
      </c>
    </row>
    <row r="2226" spans="1:4" hidden="1" x14ac:dyDescent="0.3">
      <c r="A2226">
        <v>2224</v>
      </c>
      <c r="B2226" s="1" t="s">
        <v>2970</v>
      </c>
      <c r="C2226" t="s">
        <v>55</v>
      </c>
      <c r="D2226" s="1" t="s">
        <v>2971</v>
      </c>
    </row>
    <row r="2227" spans="1:4" hidden="1" x14ac:dyDescent="0.3">
      <c r="A2227">
        <v>2225</v>
      </c>
      <c r="B2227" s="1" t="s">
        <v>2972</v>
      </c>
      <c r="C2227" t="s">
        <v>52</v>
      </c>
      <c r="D2227" s="1" t="s">
        <v>2973</v>
      </c>
    </row>
    <row r="2228" spans="1:4" hidden="1" x14ac:dyDescent="0.3">
      <c r="A2228">
        <v>2226</v>
      </c>
      <c r="B2228" s="1" t="s">
        <v>2974</v>
      </c>
      <c r="C2228" t="s">
        <v>58</v>
      </c>
      <c r="D2228" s="1" t="s">
        <v>2975</v>
      </c>
    </row>
    <row r="2229" spans="1:4" hidden="1" x14ac:dyDescent="0.3">
      <c r="A2229">
        <v>2227</v>
      </c>
      <c r="B2229" t="s">
        <v>2976</v>
      </c>
      <c r="C2229" t="s">
        <v>61</v>
      </c>
      <c r="D2229">
        <v>146598483.90343499</v>
      </c>
    </row>
    <row r="2230" spans="1:4" hidden="1" x14ac:dyDescent="0.3">
      <c r="A2230">
        <v>2228</v>
      </c>
      <c r="B2230" t="s">
        <v>2977</v>
      </c>
      <c r="C2230" t="s">
        <v>63</v>
      </c>
      <c r="D2230">
        <v>76582890.310279801</v>
      </c>
    </row>
    <row r="2231" spans="1:4" hidden="1" x14ac:dyDescent="0.3">
      <c r="A2231">
        <v>2229</v>
      </c>
      <c r="B2231" t="s">
        <v>2978</v>
      </c>
      <c r="C2231" t="s">
        <v>65</v>
      </c>
      <c r="D2231">
        <v>39392986.304533198</v>
      </c>
    </row>
    <row r="2232" spans="1:4" hidden="1" x14ac:dyDescent="0.3">
      <c r="A2232">
        <v>2230</v>
      </c>
      <c r="B2232" s="1" t="s">
        <v>2979</v>
      </c>
      <c r="C2232" t="s">
        <v>67</v>
      </c>
      <c r="D2232" s="1" t="s">
        <v>2980</v>
      </c>
    </row>
    <row r="2233" spans="1:4" hidden="1" x14ac:dyDescent="0.3">
      <c r="A2233">
        <v>2231</v>
      </c>
      <c r="B2233" s="1" t="s">
        <v>2981</v>
      </c>
      <c r="C2233" t="s">
        <v>70</v>
      </c>
      <c r="D2233" s="1" t="s">
        <v>2982</v>
      </c>
    </row>
    <row r="2234" spans="1:4" hidden="1" x14ac:dyDescent="0.3">
      <c r="A2234">
        <v>2232</v>
      </c>
      <c r="B2234" t="s">
        <v>2983</v>
      </c>
      <c r="C2234" t="s">
        <v>73</v>
      </c>
      <c r="D2234">
        <v>1.0000350870579899</v>
      </c>
    </row>
    <row r="2235" spans="1:4" hidden="1" x14ac:dyDescent="0.3">
      <c r="A2235">
        <v>2233</v>
      </c>
      <c r="B2235" t="s">
        <v>74</v>
      </c>
      <c r="C2235" t="s">
        <v>75</v>
      </c>
      <c r="D2235">
        <v>2.7397260273972599E-3</v>
      </c>
    </row>
    <row r="2236" spans="1:4" hidden="1" x14ac:dyDescent="0.3">
      <c r="A2236">
        <v>2234</v>
      </c>
      <c r="B2236" t="s">
        <v>76</v>
      </c>
      <c r="C2236" t="s">
        <v>77</v>
      </c>
      <c r="D2236">
        <v>0</v>
      </c>
    </row>
    <row r="2237" spans="1:4" hidden="1" x14ac:dyDescent="0.3">
      <c r="A2237">
        <v>2235</v>
      </c>
      <c r="B2237" t="s">
        <v>650</v>
      </c>
      <c r="C2237" t="s">
        <v>79</v>
      </c>
      <c r="D2237" s="2">
        <v>2.2204460492503101E-16</v>
      </c>
    </row>
    <row r="2238" spans="1:4" hidden="1" x14ac:dyDescent="0.3">
      <c r="A2238">
        <v>2236</v>
      </c>
      <c r="B2238" s="1" t="s">
        <v>2984</v>
      </c>
      <c r="C2238" t="s">
        <v>81</v>
      </c>
      <c r="D2238" s="1" t="s">
        <v>2985</v>
      </c>
    </row>
    <row r="2239" spans="1:4" hidden="1" x14ac:dyDescent="0.3">
      <c r="A2239">
        <v>2237</v>
      </c>
      <c r="B2239" t="s">
        <v>2986</v>
      </c>
      <c r="C2239" t="s">
        <v>84</v>
      </c>
      <c r="D2239">
        <v>1.0000278476975399</v>
      </c>
    </row>
    <row r="2240" spans="1:4" hidden="1" x14ac:dyDescent="0.3">
      <c r="A2240">
        <v>2238</v>
      </c>
      <c r="B2240" s="1" t="s">
        <v>2987</v>
      </c>
      <c r="C2240" t="s">
        <v>86</v>
      </c>
      <c r="D2240" s="1" t="s">
        <v>2988</v>
      </c>
    </row>
    <row r="2241" spans="1:4" hidden="1" x14ac:dyDescent="0.3">
      <c r="A2241">
        <v>2239</v>
      </c>
      <c r="B2241" t="s">
        <v>2989</v>
      </c>
      <c r="C2241" t="s">
        <v>89</v>
      </c>
      <c r="D2241">
        <v>101186961.65955</v>
      </c>
    </row>
    <row r="2242" spans="1:4" hidden="1" x14ac:dyDescent="0.3">
      <c r="A2242">
        <v>2240</v>
      </c>
      <c r="B2242" s="1" t="s">
        <v>2990</v>
      </c>
      <c r="C2242" t="s">
        <v>91</v>
      </c>
      <c r="D2242" s="1" t="s">
        <v>2924</v>
      </c>
    </row>
    <row r="2243" spans="1:4" hidden="1" x14ac:dyDescent="0.3">
      <c r="A2243">
        <v>2241</v>
      </c>
      <c r="B2243" t="s">
        <v>2991</v>
      </c>
      <c r="C2243" t="s">
        <v>94</v>
      </c>
      <c r="D2243">
        <v>76582890.310279801</v>
      </c>
    </row>
    <row r="2244" spans="1:4" hidden="1" x14ac:dyDescent="0.3">
      <c r="A2244">
        <v>2242</v>
      </c>
      <c r="B2244" t="s">
        <v>2992</v>
      </c>
      <c r="C2244" t="s">
        <v>96</v>
      </c>
      <c r="D2244">
        <v>39392986.304533198</v>
      </c>
    </row>
    <row r="2245" spans="1:4" hidden="1" x14ac:dyDescent="0.3">
      <c r="A2245">
        <v>2243</v>
      </c>
      <c r="B2245" t="s">
        <v>2993</v>
      </c>
      <c r="C2245" t="s">
        <v>98</v>
      </c>
      <c r="D2245">
        <v>30622607.288622499</v>
      </c>
    </row>
    <row r="2246" spans="1:4" hidden="1" x14ac:dyDescent="0.3">
      <c r="A2246">
        <v>2244</v>
      </c>
      <c r="B2246" s="1" t="s">
        <v>2994</v>
      </c>
      <c r="C2246" t="s">
        <v>100</v>
      </c>
      <c r="D2246" s="1" t="s">
        <v>2995</v>
      </c>
    </row>
    <row r="2247" spans="1:4" hidden="1" x14ac:dyDescent="0.3">
      <c r="A2247">
        <v>2245</v>
      </c>
      <c r="B2247" t="s">
        <v>2996</v>
      </c>
      <c r="C2247" t="s">
        <v>103</v>
      </c>
      <c r="D2247">
        <v>9.1939416454391194E-3</v>
      </c>
    </row>
    <row r="2248" spans="1:4" hidden="1" x14ac:dyDescent="0.3">
      <c r="A2248">
        <v>2246</v>
      </c>
      <c r="B2248" t="s">
        <v>2997</v>
      </c>
      <c r="C2248" t="s">
        <v>105</v>
      </c>
      <c r="D2248">
        <v>1.80142968675288E-3</v>
      </c>
    </row>
    <row r="2249" spans="1:4" hidden="1" x14ac:dyDescent="0.3">
      <c r="A2249">
        <v>2247</v>
      </c>
      <c r="B2249" t="s">
        <v>2998</v>
      </c>
      <c r="C2249" t="s">
        <v>107</v>
      </c>
      <c r="D2249">
        <v>1.10696929976413E-2</v>
      </c>
    </row>
    <row r="2250" spans="1:4" hidden="1" x14ac:dyDescent="0.3">
      <c r="A2250">
        <v>2248</v>
      </c>
      <c r="B2250" s="1" t="s">
        <v>2999</v>
      </c>
      <c r="C2250" t="s">
        <v>109</v>
      </c>
      <c r="D2250" s="1" t="s">
        <v>3000</v>
      </c>
    </row>
    <row r="2251" spans="1:4" x14ac:dyDescent="0.3">
      <c r="A2251">
        <v>2249</v>
      </c>
      <c r="B2251" t="s">
        <v>3001</v>
      </c>
      <c r="C2251" t="s">
        <v>207</v>
      </c>
      <c r="D2251">
        <v>146598231.49240699</v>
      </c>
    </row>
    <row r="2252" spans="1:4" hidden="1" x14ac:dyDescent="0.3">
      <c r="A2252">
        <v>2250</v>
      </c>
      <c r="B2252" t="s">
        <v>3002</v>
      </c>
      <c r="C2252" t="s">
        <v>209</v>
      </c>
      <c r="D2252">
        <v>554.390466426535</v>
      </c>
    </row>
    <row r="2253" spans="1:4" hidden="1" x14ac:dyDescent="0.3">
      <c r="A2253">
        <v>2251</v>
      </c>
      <c r="B2253" t="s">
        <v>3003</v>
      </c>
      <c r="C2253" t="s">
        <v>211</v>
      </c>
      <c r="D2253">
        <v>285.16963791557401</v>
      </c>
    </row>
    <row r="2254" spans="1:4" hidden="1" x14ac:dyDescent="0.3">
      <c r="A2254">
        <v>2252</v>
      </c>
      <c r="B2254" s="1" t="s">
        <v>3004</v>
      </c>
      <c r="C2254" t="s">
        <v>213</v>
      </c>
      <c r="D2254" s="1" t="s">
        <v>3005</v>
      </c>
    </row>
    <row r="2255" spans="1:4" hidden="1" x14ac:dyDescent="0.3">
      <c r="A2255">
        <v>2253</v>
      </c>
      <c r="B2255" t="s">
        <v>3006</v>
      </c>
      <c r="C2255" t="s">
        <v>216</v>
      </c>
      <c r="D2255">
        <v>76582166.176397696</v>
      </c>
    </row>
    <row r="2256" spans="1:4" hidden="1" x14ac:dyDescent="0.3">
      <c r="A2256">
        <v>2254</v>
      </c>
      <c r="B2256" t="s">
        <v>3007</v>
      </c>
      <c r="C2256" t="s">
        <v>218</v>
      </c>
      <c r="D2256">
        <v>39392648.181852601</v>
      </c>
    </row>
    <row r="2257" spans="1:4" hidden="1" x14ac:dyDescent="0.3">
      <c r="A2257">
        <v>2255</v>
      </c>
      <c r="B2257" t="s">
        <v>3008</v>
      </c>
      <c r="C2257" t="s">
        <v>220</v>
      </c>
      <c r="D2257">
        <v>30622355.893953901</v>
      </c>
    </row>
    <row r="2258" spans="1:4" hidden="1" x14ac:dyDescent="0.3">
      <c r="A2258">
        <v>2256</v>
      </c>
      <c r="B2258" s="1" t="s">
        <v>3009</v>
      </c>
      <c r="C2258" t="s">
        <v>222</v>
      </c>
      <c r="D2258" s="1" t="s">
        <v>3010</v>
      </c>
    </row>
    <row r="2259" spans="1:4" hidden="1" x14ac:dyDescent="0.3">
      <c r="A2259">
        <v>2257</v>
      </c>
      <c r="B2259" t="s">
        <v>3011</v>
      </c>
      <c r="C2259" t="s">
        <v>225</v>
      </c>
      <c r="D2259">
        <v>101186229.156363</v>
      </c>
    </row>
    <row r="2260" spans="1:4" hidden="1" x14ac:dyDescent="0.3">
      <c r="A2260">
        <v>2258</v>
      </c>
      <c r="B2260" t="s">
        <v>3012</v>
      </c>
      <c r="C2260" t="s">
        <v>227</v>
      </c>
      <c r="D2260">
        <v>732.50318682193699</v>
      </c>
    </row>
    <row r="2261" spans="1:4" hidden="1" x14ac:dyDescent="0.3">
      <c r="A2261">
        <v>2259</v>
      </c>
      <c r="B2261" s="1" t="s">
        <v>3013</v>
      </c>
      <c r="C2261" t="s">
        <v>229</v>
      </c>
      <c r="D2261" s="1" t="s">
        <v>3014</v>
      </c>
    </row>
    <row r="2262" spans="1:4" hidden="1" x14ac:dyDescent="0.3">
      <c r="A2262">
        <v>2260</v>
      </c>
      <c r="B2262" t="s">
        <v>3015</v>
      </c>
      <c r="C2262" t="s">
        <v>112</v>
      </c>
      <c r="D2262">
        <v>-169.743415715021</v>
      </c>
    </row>
    <row r="2263" spans="1:4" hidden="1" x14ac:dyDescent="0.3">
      <c r="A2263">
        <v>2261</v>
      </c>
      <c r="B2263" t="s">
        <v>3016</v>
      </c>
      <c r="C2263" t="s">
        <v>114</v>
      </c>
      <c r="D2263">
        <v>-52.953042653098201</v>
      </c>
    </row>
    <row r="2264" spans="1:4" hidden="1" x14ac:dyDescent="0.3">
      <c r="A2264">
        <v>2262</v>
      </c>
      <c r="B2264" s="1" t="s">
        <v>3017</v>
      </c>
      <c r="C2264" t="s">
        <v>116</v>
      </c>
      <c r="D2264" s="1" t="s">
        <v>3018</v>
      </c>
    </row>
    <row r="2265" spans="1:4" hidden="1" x14ac:dyDescent="0.3">
      <c r="A2265">
        <v>2263</v>
      </c>
      <c r="B2265" t="s">
        <v>3019</v>
      </c>
      <c r="C2265" t="s">
        <v>119</v>
      </c>
      <c r="D2265">
        <v>76582166.176397696</v>
      </c>
    </row>
    <row r="2266" spans="1:4" hidden="1" x14ac:dyDescent="0.3">
      <c r="A2266">
        <v>2264</v>
      </c>
      <c r="B2266" t="s">
        <v>3020</v>
      </c>
      <c r="C2266" t="s">
        <v>121</v>
      </c>
      <c r="D2266">
        <v>39392648.181852601</v>
      </c>
    </row>
    <row r="2267" spans="1:4" hidden="1" x14ac:dyDescent="0.3">
      <c r="A2267">
        <v>2265</v>
      </c>
      <c r="B2267" s="1" t="s">
        <v>3021</v>
      </c>
      <c r="C2267" t="s">
        <v>123</v>
      </c>
      <c r="D2267" s="1" t="s">
        <v>3022</v>
      </c>
    </row>
    <row r="2268" spans="1:4" hidden="1" x14ac:dyDescent="0.3">
      <c r="A2268">
        <v>2266</v>
      </c>
      <c r="B2268" t="s">
        <v>3023</v>
      </c>
      <c r="C2268" t="s">
        <v>126</v>
      </c>
      <c r="D2268">
        <v>0.75682268464066405</v>
      </c>
    </row>
    <row r="2269" spans="1:4" hidden="1" x14ac:dyDescent="0.3">
      <c r="A2269">
        <v>2267</v>
      </c>
      <c r="B2269" t="s">
        <v>3024</v>
      </c>
      <c r="C2269" t="s">
        <v>128</v>
      </c>
      <c r="D2269">
        <v>0.38929755112206799</v>
      </c>
    </row>
    <row r="2270" spans="1:4" hidden="1" x14ac:dyDescent="0.3">
      <c r="A2270">
        <v>2268</v>
      </c>
      <c r="B2270" s="1" t="s">
        <v>3025</v>
      </c>
      <c r="C2270" t="s">
        <v>130</v>
      </c>
      <c r="D2270" s="1" t="s">
        <v>3026</v>
      </c>
    </row>
    <row r="2271" spans="1:4" hidden="1" x14ac:dyDescent="0.3">
      <c r="A2271">
        <v>2269</v>
      </c>
      <c r="B2271" s="1" t="s">
        <v>3027</v>
      </c>
      <c r="C2271" t="s">
        <v>4</v>
      </c>
      <c r="D2271" t="s">
        <v>3028</v>
      </c>
    </row>
    <row r="2272" spans="1:4" hidden="1" x14ac:dyDescent="0.3">
      <c r="A2272">
        <v>2270</v>
      </c>
      <c r="B2272" t="s">
        <v>3029</v>
      </c>
      <c r="C2272" t="s">
        <v>7</v>
      </c>
      <c r="D2272">
        <v>1761.24</v>
      </c>
    </row>
    <row r="2273" spans="1:4" hidden="1" x14ac:dyDescent="0.3">
      <c r="A2273">
        <v>2271</v>
      </c>
      <c r="B2273" s="1" t="s">
        <v>3030</v>
      </c>
      <c r="C2273" t="s">
        <v>9</v>
      </c>
      <c r="D2273" s="1" t="s">
        <v>3031</v>
      </c>
    </row>
    <row r="2274" spans="1:4" hidden="1" x14ac:dyDescent="0.3">
      <c r="A2274">
        <v>2272</v>
      </c>
      <c r="B2274" t="s">
        <v>3032</v>
      </c>
      <c r="C2274" t="s">
        <v>14</v>
      </c>
      <c r="D2274">
        <v>98.09375</v>
      </c>
    </row>
    <row r="2275" spans="1:4" hidden="1" x14ac:dyDescent="0.3">
      <c r="A2275">
        <v>2273</v>
      </c>
      <c r="B2275" t="s">
        <v>3033</v>
      </c>
      <c r="C2275" t="s">
        <v>16</v>
      </c>
      <c r="D2275">
        <v>4.38219282628625</v>
      </c>
    </row>
    <row r="2276" spans="1:4" hidden="1" x14ac:dyDescent="0.3">
      <c r="A2276">
        <v>2274</v>
      </c>
      <c r="B2276" s="1" t="s">
        <v>3034</v>
      </c>
      <c r="C2276" t="s">
        <v>140</v>
      </c>
      <c r="D2276" s="1" t="s">
        <v>3035</v>
      </c>
    </row>
    <row r="2277" spans="1:4" hidden="1" x14ac:dyDescent="0.3">
      <c r="A2277">
        <v>2275</v>
      </c>
      <c r="B2277" t="s">
        <v>3036</v>
      </c>
      <c r="C2277" t="s">
        <v>22</v>
      </c>
      <c r="D2277">
        <v>75.95</v>
      </c>
    </row>
    <row r="2278" spans="1:4" hidden="1" x14ac:dyDescent="0.3">
      <c r="A2278">
        <v>2276</v>
      </c>
      <c r="B2278" t="s">
        <v>3037</v>
      </c>
      <c r="C2278" t="s">
        <v>24</v>
      </c>
      <c r="D2278">
        <v>6.1283188769057899</v>
      </c>
    </row>
    <row r="2279" spans="1:4" hidden="1" x14ac:dyDescent="0.3">
      <c r="A2279">
        <v>2277</v>
      </c>
      <c r="B2279" s="1" t="s">
        <v>3038</v>
      </c>
      <c r="C2279" t="s">
        <v>145</v>
      </c>
      <c r="D2279" s="1" t="s">
        <v>3039</v>
      </c>
    </row>
    <row r="2280" spans="1:4" hidden="1" x14ac:dyDescent="0.3">
      <c r="A2280">
        <v>2278</v>
      </c>
      <c r="B2280" t="s">
        <v>3040</v>
      </c>
      <c r="C2280" t="s">
        <v>35</v>
      </c>
      <c r="D2280">
        <v>0.36444073405671901</v>
      </c>
    </row>
    <row r="2281" spans="1:4" hidden="1" x14ac:dyDescent="0.3">
      <c r="A2281">
        <v>2279</v>
      </c>
      <c r="B2281" t="s">
        <v>3041</v>
      </c>
      <c r="C2281" t="s">
        <v>149</v>
      </c>
      <c r="D2281">
        <v>0.68603810298545298</v>
      </c>
    </row>
    <row r="2282" spans="1:4" hidden="1" x14ac:dyDescent="0.3">
      <c r="A2282">
        <v>2280</v>
      </c>
      <c r="B2282" s="1" t="s">
        <v>3042</v>
      </c>
      <c r="C2282" t="s">
        <v>151</v>
      </c>
      <c r="D2282" s="1" t="s">
        <v>3043</v>
      </c>
    </row>
    <row r="2283" spans="1:4" hidden="1" x14ac:dyDescent="0.3">
      <c r="A2283">
        <v>2281</v>
      </c>
      <c r="B2283" t="s">
        <v>3044</v>
      </c>
      <c r="C2283" t="s">
        <v>30</v>
      </c>
      <c r="D2283">
        <v>0.25750354711239298</v>
      </c>
    </row>
    <row r="2284" spans="1:4" hidden="1" x14ac:dyDescent="0.3">
      <c r="A2284">
        <v>2282</v>
      </c>
      <c r="B2284" t="s">
        <v>3045</v>
      </c>
      <c r="C2284" t="s">
        <v>32</v>
      </c>
      <c r="D2284">
        <v>0.22584760546174201</v>
      </c>
    </row>
    <row r="2285" spans="1:4" hidden="1" x14ac:dyDescent="0.3">
      <c r="A2285">
        <v>2283</v>
      </c>
      <c r="B2285" s="1" t="s">
        <v>3046</v>
      </c>
      <c r="C2285" t="s">
        <v>155</v>
      </c>
      <c r="D2285" s="1" t="s">
        <v>3047</v>
      </c>
    </row>
    <row r="2286" spans="1:4" hidden="1" x14ac:dyDescent="0.3">
      <c r="A2286">
        <v>2284</v>
      </c>
      <c r="B2286" t="s">
        <v>3048</v>
      </c>
      <c r="C2286" t="s">
        <v>40</v>
      </c>
      <c r="D2286">
        <v>0.37805571883088701</v>
      </c>
    </row>
    <row r="2287" spans="1:4" hidden="1" x14ac:dyDescent="0.3">
      <c r="A2287">
        <v>2285</v>
      </c>
      <c r="B2287" t="s">
        <v>3049</v>
      </c>
      <c r="C2287" t="s">
        <v>42</v>
      </c>
      <c r="D2287">
        <v>0.23179737904898501</v>
      </c>
    </row>
    <row r="2288" spans="1:4" hidden="1" x14ac:dyDescent="0.3">
      <c r="A2288">
        <v>2286</v>
      </c>
      <c r="B2288" s="1" t="s">
        <v>3050</v>
      </c>
      <c r="C2288" t="s">
        <v>159</v>
      </c>
      <c r="D2288" s="1" t="s">
        <v>3051</v>
      </c>
    </row>
    <row r="2289" spans="1:4" hidden="1" x14ac:dyDescent="0.3">
      <c r="A2289">
        <v>2287</v>
      </c>
      <c r="B2289" t="s">
        <v>3052</v>
      </c>
      <c r="C2289" t="s">
        <v>161</v>
      </c>
      <c r="D2289">
        <v>0.990306329000045</v>
      </c>
    </row>
    <row r="2290" spans="1:4" hidden="1" x14ac:dyDescent="0.3">
      <c r="A2290">
        <v>2288</v>
      </c>
      <c r="B2290" t="s">
        <v>3053</v>
      </c>
      <c r="C2290" t="s">
        <v>163</v>
      </c>
      <c r="D2290">
        <v>1.0002665820427901</v>
      </c>
    </row>
    <row r="2291" spans="1:4" hidden="1" x14ac:dyDescent="0.3">
      <c r="A2291">
        <v>2289</v>
      </c>
      <c r="B2291" s="1" t="s">
        <v>3054</v>
      </c>
      <c r="C2291" t="s">
        <v>165</v>
      </c>
      <c r="D2291" s="1" t="s">
        <v>3055</v>
      </c>
    </row>
    <row r="2292" spans="1:4" hidden="1" x14ac:dyDescent="0.3">
      <c r="A2292">
        <v>2290</v>
      </c>
      <c r="B2292" t="s">
        <v>3056</v>
      </c>
      <c r="C2292" t="s">
        <v>168</v>
      </c>
      <c r="D2292">
        <v>1.0010553341777599</v>
      </c>
    </row>
    <row r="2293" spans="1:4" hidden="1" x14ac:dyDescent="0.3">
      <c r="A2293">
        <v>2291</v>
      </c>
      <c r="B2293" t="s">
        <v>3057</v>
      </c>
      <c r="C2293" t="s">
        <v>170</v>
      </c>
      <c r="D2293">
        <v>1.0001732965913299</v>
      </c>
    </row>
    <row r="2294" spans="1:4" hidden="1" x14ac:dyDescent="0.3">
      <c r="A2294">
        <v>2292</v>
      </c>
      <c r="B2294" s="1" t="s">
        <v>3058</v>
      </c>
      <c r="C2294" t="s">
        <v>172</v>
      </c>
      <c r="D2294" s="1" t="s">
        <v>3059</v>
      </c>
    </row>
    <row r="2295" spans="1:4" hidden="1" x14ac:dyDescent="0.3">
      <c r="A2295">
        <v>2293</v>
      </c>
      <c r="B2295" s="1" t="s">
        <v>3060</v>
      </c>
      <c r="C2295" t="s">
        <v>55</v>
      </c>
      <c r="D2295" s="1" t="s">
        <v>3061</v>
      </c>
    </row>
    <row r="2296" spans="1:4" hidden="1" x14ac:dyDescent="0.3">
      <c r="A2296">
        <v>2294</v>
      </c>
      <c r="B2296" s="1" t="s">
        <v>3062</v>
      </c>
      <c r="C2296" t="s">
        <v>52</v>
      </c>
      <c r="D2296" s="1" t="s">
        <v>3063</v>
      </c>
    </row>
    <row r="2297" spans="1:4" hidden="1" x14ac:dyDescent="0.3">
      <c r="A2297">
        <v>2295</v>
      </c>
      <c r="B2297" s="1" t="s">
        <v>3064</v>
      </c>
      <c r="C2297" t="s">
        <v>58</v>
      </c>
      <c r="D2297" s="1" t="s">
        <v>3065</v>
      </c>
    </row>
    <row r="2298" spans="1:4" hidden="1" x14ac:dyDescent="0.3">
      <c r="A2298">
        <v>2296</v>
      </c>
      <c r="B2298" t="s">
        <v>3066</v>
      </c>
      <c r="C2298" t="s">
        <v>61</v>
      </c>
      <c r="D2298">
        <v>145181462.65592501</v>
      </c>
    </row>
    <row r="2299" spans="1:4" hidden="1" x14ac:dyDescent="0.3">
      <c r="A2299">
        <v>2297</v>
      </c>
      <c r="B2299" t="s">
        <v>3067</v>
      </c>
      <c r="C2299" t="s">
        <v>63</v>
      </c>
      <c r="D2299">
        <v>75839803.853019804</v>
      </c>
    </row>
    <row r="2300" spans="1:4" hidden="1" x14ac:dyDescent="0.3">
      <c r="A2300">
        <v>2298</v>
      </c>
      <c r="B2300" t="s">
        <v>3068</v>
      </c>
      <c r="C2300" t="s">
        <v>65</v>
      </c>
      <c r="D2300">
        <v>39403149.554475799</v>
      </c>
    </row>
    <row r="2301" spans="1:4" hidden="1" x14ac:dyDescent="0.3">
      <c r="A2301">
        <v>2299</v>
      </c>
      <c r="B2301" s="1" t="s">
        <v>3069</v>
      </c>
      <c r="C2301" t="s">
        <v>67</v>
      </c>
      <c r="D2301" s="1" t="s">
        <v>3070</v>
      </c>
    </row>
    <row r="2302" spans="1:4" hidden="1" x14ac:dyDescent="0.3">
      <c r="A2302">
        <v>2300</v>
      </c>
      <c r="B2302" s="1" t="s">
        <v>3071</v>
      </c>
      <c r="C2302" t="s">
        <v>70</v>
      </c>
      <c r="D2302" s="1" t="s">
        <v>3072</v>
      </c>
    </row>
    <row r="2303" spans="1:4" hidden="1" x14ac:dyDescent="0.3">
      <c r="A2303">
        <v>2301</v>
      </c>
      <c r="B2303" t="s">
        <v>3073</v>
      </c>
      <c r="C2303" t="s">
        <v>73</v>
      </c>
      <c r="D2303">
        <v>1.0000278476975399</v>
      </c>
    </row>
    <row r="2304" spans="1:4" hidden="1" x14ac:dyDescent="0.3">
      <c r="A2304">
        <v>2302</v>
      </c>
      <c r="B2304" t="s">
        <v>74</v>
      </c>
      <c r="C2304" t="s">
        <v>75</v>
      </c>
      <c r="D2304">
        <v>2.7397260273972599E-3</v>
      </c>
    </row>
    <row r="2305" spans="1:4" hidden="1" x14ac:dyDescent="0.3">
      <c r="A2305">
        <v>2303</v>
      </c>
      <c r="B2305" t="s">
        <v>76</v>
      </c>
      <c r="C2305" t="s">
        <v>77</v>
      </c>
      <c r="D2305">
        <v>0</v>
      </c>
    </row>
    <row r="2306" spans="1:4" hidden="1" x14ac:dyDescent="0.3">
      <c r="A2306">
        <v>2304</v>
      </c>
      <c r="B2306" t="s">
        <v>78</v>
      </c>
      <c r="C2306" t="s">
        <v>79</v>
      </c>
      <c r="D2306">
        <v>0</v>
      </c>
    </row>
    <row r="2307" spans="1:4" hidden="1" x14ac:dyDescent="0.3">
      <c r="A2307">
        <v>2305</v>
      </c>
      <c r="B2307" s="1" t="s">
        <v>3074</v>
      </c>
      <c r="C2307" t="s">
        <v>81</v>
      </c>
      <c r="D2307" s="1" t="s">
        <v>3075</v>
      </c>
    </row>
    <row r="2308" spans="1:4" hidden="1" x14ac:dyDescent="0.3">
      <c r="A2308">
        <v>2306</v>
      </c>
      <c r="B2308" t="s">
        <v>3076</v>
      </c>
      <c r="C2308" t="s">
        <v>84</v>
      </c>
      <c r="D2308">
        <v>1.00003662982873</v>
      </c>
    </row>
    <row r="2309" spans="1:4" hidden="1" x14ac:dyDescent="0.3">
      <c r="A2309">
        <v>2307</v>
      </c>
      <c r="B2309" s="1" t="s">
        <v>3077</v>
      </c>
      <c r="C2309" t="s">
        <v>86</v>
      </c>
      <c r="D2309" s="1" t="s">
        <v>3078</v>
      </c>
    </row>
    <row r="2310" spans="1:4" hidden="1" x14ac:dyDescent="0.3">
      <c r="A2310">
        <v>2308</v>
      </c>
      <c r="B2310" t="s">
        <v>3079</v>
      </c>
      <c r="C2310" t="s">
        <v>89</v>
      </c>
      <c r="D2310">
        <v>101186073.05492701</v>
      </c>
    </row>
    <row r="2311" spans="1:4" hidden="1" x14ac:dyDescent="0.3">
      <c r="A2311">
        <v>2309</v>
      </c>
      <c r="B2311" s="1" t="s">
        <v>3080</v>
      </c>
      <c r="C2311" t="s">
        <v>91</v>
      </c>
      <c r="D2311" s="1" t="s">
        <v>3014</v>
      </c>
    </row>
    <row r="2312" spans="1:4" hidden="1" x14ac:dyDescent="0.3">
      <c r="A2312">
        <v>2310</v>
      </c>
      <c r="B2312" t="s">
        <v>3081</v>
      </c>
      <c r="C2312" t="s">
        <v>94</v>
      </c>
      <c r="D2312">
        <v>75839803.853019804</v>
      </c>
    </row>
    <row r="2313" spans="1:4" hidden="1" x14ac:dyDescent="0.3">
      <c r="A2313">
        <v>2311</v>
      </c>
      <c r="B2313" t="s">
        <v>3082</v>
      </c>
      <c r="C2313" t="s">
        <v>96</v>
      </c>
      <c r="D2313">
        <v>39403149.554475799</v>
      </c>
    </row>
    <row r="2314" spans="1:4" hidden="1" x14ac:dyDescent="0.3">
      <c r="A2314">
        <v>2312</v>
      </c>
      <c r="B2314" t="s">
        <v>3083</v>
      </c>
      <c r="C2314" t="s">
        <v>98</v>
      </c>
      <c r="D2314">
        <v>29938509.248429801</v>
      </c>
    </row>
    <row r="2315" spans="1:4" hidden="1" x14ac:dyDescent="0.3">
      <c r="A2315">
        <v>2313</v>
      </c>
      <c r="B2315" s="1" t="s">
        <v>3084</v>
      </c>
      <c r="C2315" t="s">
        <v>100</v>
      </c>
      <c r="D2315" s="1" t="s">
        <v>3085</v>
      </c>
    </row>
    <row r="2316" spans="1:4" hidden="1" x14ac:dyDescent="0.3">
      <c r="A2316">
        <v>2314</v>
      </c>
      <c r="B2316" t="s">
        <v>3086</v>
      </c>
      <c r="C2316" t="s">
        <v>103</v>
      </c>
      <c r="D2316">
        <v>9.1949381217171396E-3</v>
      </c>
    </row>
    <row r="2317" spans="1:4" hidden="1" x14ac:dyDescent="0.3">
      <c r="A2317">
        <v>2315</v>
      </c>
      <c r="B2317" t="s">
        <v>3087</v>
      </c>
      <c r="C2317" t="s">
        <v>105</v>
      </c>
      <c r="D2317">
        <v>1.80055098383052E-3</v>
      </c>
    </row>
    <row r="2318" spans="1:4" hidden="1" x14ac:dyDescent="0.3">
      <c r="A2318">
        <v>2316</v>
      </c>
      <c r="B2318" t="s">
        <v>3088</v>
      </c>
      <c r="C2318" t="s">
        <v>107</v>
      </c>
      <c r="D2318">
        <v>1.13660534280343E-2</v>
      </c>
    </row>
    <row r="2319" spans="1:4" hidden="1" x14ac:dyDescent="0.3">
      <c r="A2319">
        <v>2317</v>
      </c>
      <c r="B2319" s="1" t="s">
        <v>3089</v>
      </c>
      <c r="C2319" t="s">
        <v>109</v>
      </c>
      <c r="D2319" s="1" t="s">
        <v>3090</v>
      </c>
    </row>
    <row r="2320" spans="1:4" x14ac:dyDescent="0.3">
      <c r="A2320">
        <v>2318</v>
      </c>
      <c r="B2320" t="s">
        <v>3091</v>
      </c>
      <c r="C2320" t="s">
        <v>207</v>
      </c>
      <c r="D2320">
        <v>145181769.41738901</v>
      </c>
    </row>
    <row r="2321" spans="1:4" hidden="1" x14ac:dyDescent="0.3">
      <c r="A2321">
        <v>2319</v>
      </c>
      <c r="B2321" t="s">
        <v>3092</v>
      </c>
      <c r="C2321" t="s">
        <v>209</v>
      </c>
      <c r="D2321">
        <v>-666.018510976632</v>
      </c>
    </row>
    <row r="2322" spans="1:4" hidden="1" x14ac:dyDescent="0.3">
      <c r="A2322">
        <v>2320</v>
      </c>
      <c r="B2322" t="s">
        <v>3093</v>
      </c>
      <c r="C2322" t="s">
        <v>211</v>
      </c>
      <c r="D2322">
        <v>-346.03440102426998</v>
      </c>
    </row>
    <row r="2323" spans="1:4" hidden="1" x14ac:dyDescent="0.3">
      <c r="A2323">
        <v>2321</v>
      </c>
      <c r="B2323" s="1" t="s">
        <v>3094</v>
      </c>
      <c r="C2323" t="s">
        <v>213</v>
      </c>
      <c r="D2323" s="1" t="s">
        <v>3095</v>
      </c>
    </row>
    <row r="2324" spans="1:4" hidden="1" x14ac:dyDescent="0.3">
      <c r="A2324">
        <v>2322</v>
      </c>
      <c r="B2324" t="s">
        <v>3096</v>
      </c>
      <c r="C2324" t="s">
        <v>216</v>
      </c>
      <c r="D2324">
        <v>75840692.020752802</v>
      </c>
    </row>
    <row r="2325" spans="1:4" hidden="1" x14ac:dyDescent="0.3">
      <c r="A2325">
        <v>2323</v>
      </c>
      <c r="B2325" t="s">
        <v>3097</v>
      </c>
      <c r="C2325" t="s">
        <v>218</v>
      </c>
      <c r="D2325">
        <v>39403542.100030497</v>
      </c>
    </row>
    <row r="2326" spans="1:4" hidden="1" x14ac:dyDescent="0.3">
      <c r="A2326">
        <v>2324</v>
      </c>
      <c r="B2326" t="s">
        <v>3098</v>
      </c>
      <c r="C2326" t="s">
        <v>220</v>
      </c>
      <c r="D2326">
        <v>29938810.266446602</v>
      </c>
    </row>
    <row r="2327" spans="1:4" hidden="1" x14ac:dyDescent="0.3">
      <c r="A2327">
        <v>2325</v>
      </c>
      <c r="B2327" s="1" t="s">
        <v>3099</v>
      </c>
      <c r="C2327" t="s">
        <v>222</v>
      </c>
      <c r="D2327" s="1" t="s">
        <v>3100</v>
      </c>
    </row>
    <row r="2328" spans="1:4" hidden="1" x14ac:dyDescent="0.3">
      <c r="A2328">
        <v>2326</v>
      </c>
      <c r="B2328" t="s">
        <v>3101</v>
      </c>
      <c r="C2328" t="s">
        <v>225</v>
      </c>
      <c r="D2328">
        <v>101186961.65955</v>
      </c>
    </row>
    <row r="2329" spans="1:4" hidden="1" x14ac:dyDescent="0.3">
      <c r="A2329">
        <v>2327</v>
      </c>
      <c r="B2329" t="s">
        <v>3102</v>
      </c>
      <c r="C2329" t="s">
        <v>227</v>
      </c>
      <c r="D2329">
        <v>-888.60462291538704</v>
      </c>
    </row>
    <row r="2330" spans="1:4" hidden="1" x14ac:dyDescent="0.3">
      <c r="A2330">
        <v>2328</v>
      </c>
      <c r="B2330" s="1" t="s">
        <v>3103</v>
      </c>
      <c r="C2330" t="s">
        <v>229</v>
      </c>
      <c r="D2330" s="1" t="s">
        <v>3104</v>
      </c>
    </row>
    <row r="2331" spans="1:4" hidden="1" x14ac:dyDescent="0.3">
      <c r="A2331">
        <v>2329</v>
      </c>
      <c r="B2331" t="s">
        <v>3105</v>
      </c>
      <c r="C2331" t="s">
        <v>112</v>
      </c>
      <c r="D2331">
        <v>222.149222068798</v>
      </c>
    </row>
    <row r="2332" spans="1:4" hidden="1" x14ac:dyDescent="0.3">
      <c r="A2332">
        <v>2330</v>
      </c>
      <c r="B2332" t="s">
        <v>3106</v>
      </c>
      <c r="C2332" t="s">
        <v>114</v>
      </c>
      <c r="D2332">
        <v>46.511153664289303</v>
      </c>
    </row>
    <row r="2333" spans="1:4" hidden="1" x14ac:dyDescent="0.3">
      <c r="A2333">
        <v>2331</v>
      </c>
      <c r="B2333" s="1" t="s">
        <v>3107</v>
      </c>
      <c r="C2333" t="s">
        <v>116</v>
      </c>
      <c r="D2333" s="1" t="s">
        <v>3108</v>
      </c>
    </row>
    <row r="2334" spans="1:4" hidden="1" x14ac:dyDescent="0.3">
      <c r="A2334">
        <v>2332</v>
      </c>
      <c r="B2334" t="s">
        <v>3109</v>
      </c>
      <c r="C2334" t="s">
        <v>119</v>
      </c>
      <c r="D2334">
        <v>75840692.020752802</v>
      </c>
    </row>
    <row r="2335" spans="1:4" hidden="1" x14ac:dyDescent="0.3">
      <c r="A2335">
        <v>2333</v>
      </c>
      <c r="B2335" t="s">
        <v>3110</v>
      </c>
      <c r="C2335" t="s">
        <v>121</v>
      </c>
      <c r="D2335">
        <v>39403542.100030497</v>
      </c>
    </row>
    <row r="2336" spans="1:4" hidden="1" x14ac:dyDescent="0.3">
      <c r="A2336">
        <v>2334</v>
      </c>
      <c r="B2336" s="1" t="s">
        <v>3111</v>
      </c>
      <c r="C2336" t="s">
        <v>123</v>
      </c>
      <c r="D2336" s="1" t="s">
        <v>3112</v>
      </c>
    </row>
    <row r="2337" spans="1:4" hidden="1" x14ac:dyDescent="0.3">
      <c r="A2337">
        <v>2335</v>
      </c>
      <c r="B2337" t="s">
        <v>3113</v>
      </c>
      <c r="C2337" t="s">
        <v>126</v>
      </c>
      <c r="D2337">
        <v>0.74948306429151901</v>
      </c>
    </row>
    <row r="2338" spans="1:4" hidden="1" x14ac:dyDescent="0.3">
      <c r="A2338">
        <v>2336</v>
      </c>
      <c r="B2338" t="s">
        <v>3114</v>
      </c>
      <c r="C2338" t="s">
        <v>128</v>
      </c>
      <c r="D2338">
        <v>0.38939897158361397</v>
      </c>
    </row>
    <row r="2339" spans="1:4" hidden="1" x14ac:dyDescent="0.3">
      <c r="A2339">
        <v>2337</v>
      </c>
      <c r="B2339" s="1" t="s">
        <v>3115</v>
      </c>
      <c r="C2339" t="s">
        <v>130</v>
      </c>
      <c r="D2339" s="1" t="s">
        <v>3116</v>
      </c>
    </row>
    <row r="2340" spans="1:4" hidden="1" x14ac:dyDescent="0.3">
      <c r="A2340">
        <v>2338</v>
      </c>
      <c r="B2340" s="1" t="s">
        <v>3117</v>
      </c>
      <c r="C2340" t="s">
        <v>4</v>
      </c>
      <c r="D2340" t="s">
        <v>3118</v>
      </c>
    </row>
    <row r="2341" spans="1:4" hidden="1" x14ac:dyDescent="0.3">
      <c r="A2341">
        <v>2339</v>
      </c>
      <c r="B2341" t="s">
        <v>3119</v>
      </c>
      <c r="C2341" t="s">
        <v>7</v>
      </c>
      <c r="D2341">
        <v>1770.11</v>
      </c>
    </row>
    <row r="2342" spans="1:4" hidden="1" x14ac:dyDescent="0.3">
      <c r="A2342">
        <v>2340</v>
      </c>
      <c r="B2342" s="1" t="s">
        <v>3120</v>
      </c>
      <c r="C2342" t="s">
        <v>9</v>
      </c>
      <c r="D2342" s="1" t="s">
        <v>3121</v>
      </c>
    </row>
    <row r="2343" spans="1:4" hidden="1" x14ac:dyDescent="0.3">
      <c r="A2343">
        <v>2341</v>
      </c>
      <c r="B2343" t="s">
        <v>3122</v>
      </c>
      <c r="C2343" t="s">
        <v>14</v>
      </c>
      <c r="D2343">
        <v>98.08203125</v>
      </c>
    </row>
    <row r="2344" spans="1:4" hidden="1" x14ac:dyDescent="0.3">
      <c r="A2344">
        <v>2342</v>
      </c>
      <c r="B2344" t="s">
        <v>3123</v>
      </c>
      <c r="C2344" t="s">
        <v>16</v>
      </c>
      <c r="D2344">
        <v>4.3853709491548001</v>
      </c>
    </row>
    <row r="2345" spans="1:4" hidden="1" x14ac:dyDescent="0.3">
      <c r="A2345">
        <v>2343</v>
      </c>
      <c r="B2345" s="1" t="s">
        <v>3124</v>
      </c>
      <c r="C2345" t="s">
        <v>140</v>
      </c>
      <c r="D2345" s="1" t="s">
        <v>3125</v>
      </c>
    </row>
    <row r="2346" spans="1:4" hidden="1" x14ac:dyDescent="0.3">
      <c r="A2346">
        <v>2344</v>
      </c>
      <c r="B2346" t="s">
        <v>3126</v>
      </c>
      <c r="C2346" t="s">
        <v>22</v>
      </c>
      <c r="D2346">
        <v>75.25</v>
      </c>
    </row>
    <row r="2347" spans="1:4" hidden="1" x14ac:dyDescent="0.3">
      <c r="A2347">
        <v>2345</v>
      </c>
      <c r="B2347" t="s">
        <v>3127</v>
      </c>
      <c r="C2347" t="s">
        <v>24</v>
      </c>
      <c r="D2347">
        <v>6.1828211101584198</v>
      </c>
    </row>
    <row r="2348" spans="1:4" hidden="1" x14ac:dyDescent="0.3">
      <c r="A2348">
        <v>2346</v>
      </c>
      <c r="B2348" s="1" t="s">
        <v>3128</v>
      </c>
      <c r="C2348" t="s">
        <v>145</v>
      </c>
      <c r="D2348" s="1" t="s">
        <v>3129</v>
      </c>
    </row>
    <row r="2349" spans="1:4" hidden="1" x14ac:dyDescent="0.3">
      <c r="A2349">
        <v>2347</v>
      </c>
      <c r="B2349" t="s">
        <v>3130</v>
      </c>
      <c r="C2349" t="s">
        <v>35</v>
      </c>
      <c r="D2349">
        <v>7.37389184179401E-2</v>
      </c>
    </row>
    <row r="2350" spans="1:4" hidden="1" x14ac:dyDescent="0.3">
      <c r="A2350">
        <v>2348</v>
      </c>
      <c r="B2350" t="s">
        <v>3131</v>
      </c>
      <c r="C2350" t="s">
        <v>149</v>
      </c>
      <c r="D2350">
        <v>0.68785463892215504</v>
      </c>
    </row>
    <row r="2351" spans="1:4" hidden="1" x14ac:dyDescent="0.3">
      <c r="A2351">
        <v>2349</v>
      </c>
      <c r="B2351" s="1" t="s">
        <v>3132</v>
      </c>
      <c r="C2351" t="s">
        <v>151</v>
      </c>
      <c r="D2351" s="1" t="s">
        <v>3133</v>
      </c>
    </row>
    <row r="2352" spans="1:4" hidden="1" x14ac:dyDescent="0.3">
      <c r="A2352">
        <v>2350</v>
      </c>
      <c r="B2352" t="s">
        <v>3134</v>
      </c>
      <c r="C2352" t="s">
        <v>30</v>
      </c>
      <c r="D2352">
        <v>0.37122336348819501</v>
      </c>
    </row>
    <row r="2353" spans="1:4" hidden="1" x14ac:dyDescent="0.3">
      <c r="A2353">
        <v>2351</v>
      </c>
      <c r="B2353" t="s">
        <v>3135</v>
      </c>
      <c r="C2353" t="s">
        <v>32</v>
      </c>
      <c r="D2353">
        <v>0.225964743353961</v>
      </c>
    </row>
    <row r="2354" spans="1:4" hidden="1" x14ac:dyDescent="0.3">
      <c r="A2354">
        <v>2352</v>
      </c>
      <c r="B2354" s="1" t="s">
        <v>3136</v>
      </c>
      <c r="C2354" t="s">
        <v>155</v>
      </c>
      <c r="D2354" s="1" t="s">
        <v>3137</v>
      </c>
    </row>
    <row r="2355" spans="1:4" hidden="1" x14ac:dyDescent="0.3">
      <c r="A2355">
        <v>2353</v>
      </c>
      <c r="B2355" t="s">
        <v>3138</v>
      </c>
      <c r="C2355" t="s">
        <v>40</v>
      </c>
      <c r="D2355">
        <v>0.55503771809386404</v>
      </c>
    </row>
    <row r="2356" spans="1:4" hidden="1" x14ac:dyDescent="0.3">
      <c r="A2356">
        <v>2354</v>
      </c>
      <c r="B2356" t="s">
        <v>3139</v>
      </c>
      <c r="C2356" t="s">
        <v>42</v>
      </c>
      <c r="D2356">
        <v>0.22783078758403599</v>
      </c>
    </row>
    <row r="2357" spans="1:4" hidden="1" x14ac:dyDescent="0.3">
      <c r="A2357">
        <v>2355</v>
      </c>
      <c r="B2357" s="1" t="s">
        <v>3140</v>
      </c>
      <c r="C2357" t="s">
        <v>159</v>
      </c>
      <c r="D2357" s="1" t="s">
        <v>3141</v>
      </c>
    </row>
    <row r="2358" spans="1:4" hidden="1" x14ac:dyDescent="0.3">
      <c r="A2358">
        <v>2356</v>
      </c>
      <c r="B2358" t="s">
        <v>3142</v>
      </c>
      <c r="C2358" t="s">
        <v>161</v>
      </c>
      <c r="D2358">
        <v>1.0050362244782001</v>
      </c>
    </row>
    <row r="2359" spans="1:4" hidden="1" x14ac:dyDescent="0.3">
      <c r="A2359">
        <v>2357</v>
      </c>
      <c r="B2359" t="s">
        <v>3143</v>
      </c>
      <c r="C2359" t="s">
        <v>163</v>
      </c>
      <c r="D2359">
        <v>0.99991665724758505</v>
      </c>
    </row>
    <row r="2360" spans="1:4" hidden="1" x14ac:dyDescent="0.3">
      <c r="A2360">
        <v>2358</v>
      </c>
      <c r="B2360" s="1" t="s">
        <v>3144</v>
      </c>
      <c r="C2360" t="s">
        <v>165</v>
      </c>
      <c r="D2360" s="1" t="s">
        <v>3145</v>
      </c>
    </row>
    <row r="2361" spans="1:4" hidden="1" x14ac:dyDescent="0.3">
      <c r="A2361">
        <v>2359</v>
      </c>
      <c r="B2361" t="s">
        <v>3146</v>
      </c>
      <c r="C2361" t="s">
        <v>168</v>
      </c>
      <c r="D2361">
        <v>1.0010773991011701</v>
      </c>
    </row>
    <row r="2362" spans="1:4" hidden="1" x14ac:dyDescent="0.3">
      <c r="A2362">
        <v>2360</v>
      </c>
      <c r="B2362" t="s">
        <v>3147</v>
      </c>
      <c r="C2362" t="s">
        <v>170</v>
      </c>
      <c r="D2362">
        <v>1.0000955566513301</v>
      </c>
    </row>
    <row r="2363" spans="1:4" hidden="1" x14ac:dyDescent="0.3">
      <c r="A2363">
        <v>2361</v>
      </c>
      <c r="B2363" s="1" t="s">
        <v>3148</v>
      </c>
      <c r="C2363" t="s">
        <v>172</v>
      </c>
      <c r="D2363" s="1" t="s">
        <v>3149</v>
      </c>
    </row>
    <row r="2364" spans="1:4" hidden="1" x14ac:dyDescent="0.3">
      <c r="A2364">
        <v>2362</v>
      </c>
      <c r="B2364" s="1" t="s">
        <v>3150</v>
      </c>
      <c r="C2364" t="s">
        <v>55</v>
      </c>
      <c r="D2364" s="1" t="s">
        <v>3151</v>
      </c>
    </row>
    <row r="2365" spans="1:4" hidden="1" x14ac:dyDescent="0.3">
      <c r="A2365">
        <v>2363</v>
      </c>
      <c r="B2365" s="1" t="s">
        <v>3152</v>
      </c>
      <c r="C2365" t="s">
        <v>52</v>
      </c>
      <c r="D2365" s="1" t="s">
        <v>3153</v>
      </c>
    </row>
    <row r="2366" spans="1:4" hidden="1" x14ac:dyDescent="0.3">
      <c r="A2366">
        <v>2364</v>
      </c>
      <c r="B2366" s="1" t="s">
        <v>3154</v>
      </c>
      <c r="C2366" t="s">
        <v>58</v>
      </c>
      <c r="D2366" s="1" t="s">
        <v>3155</v>
      </c>
    </row>
    <row r="2367" spans="1:4" hidden="1" x14ac:dyDescent="0.3">
      <c r="A2367">
        <v>2365</v>
      </c>
      <c r="B2367" t="s">
        <v>3156</v>
      </c>
      <c r="C2367" t="s">
        <v>61</v>
      </c>
      <c r="D2367">
        <v>145326259.979909</v>
      </c>
    </row>
    <row r="2368" spans="1:4" hidden="1" x14ac:dyDescent="0.3">
      <c r="A2368">
        <v>2366</v>
      </c>
      <c r="B2368" t="s">
        <v>3157</v>
      </c>
      <c r="C2368" t="s">
        <v>63</v>
      </c>
      <c r="D2368">
        <v>76222642.770352006</v>
      </c>
    </row>
    <row r="2369" spans="1:4" hidden="1" x14ac:dyDescent="0.3">
      <c r="A2369">
        <v>2367</v>
      </c>
      <c r="B2369" t="s">
        <v>3158</v>
      </c>
      <c r="C2369" t="s">
        <v>65</v>
      </c>
      <c r="D2369">
        <v>39400258.100377001</v>
      </c>
    </row>
    <row r="2370" spans="1:4" hidden="1" x14ac:dyDescent="0.3">
      <c r="A2370">
        <v>2368</v>
      </c>
      <c r="B2370" s="1" t="s">
        <v>3159</v>
      </c>
      <c r="C2370" t="s">
        <v>67</v>
      </c>
      <c r="D2370" s="1" t="s">
        <v>3160</v>
      </c>
    </row>
    <row r="2371" spans="1:4" hidden="1" x14ac:dyDescent="0.3">
      <c r="A2371">
        <v>2369</v>
      </c>
      <c r="B2371" s="1" t="s">
        <v>3161</v>
      </c>
      <c r="C2371" t="s">
        <v>70</v>
      </c>
      <c r="D2371" s="1" t="s">
        <v>3162</v>
      </c>
    </row>
    <row r="2372" spans="1:4" hidden="1" x14ac:dyDescent="0.3">
      <c r="A2372">
        <v>2370</v>
      </c>
      <c r="B2372" t="s">
        <v>3163</v>
      </c>
      <c r="C2372" t="s">
        <v>73</v>
      </c>
      <c r="D2372">
        <v>1.00003662982873</v>
      </c>
    </row>
    <row r="2373" spans="1:4" hidden="1" x14ac:dyDescent="0.3">
      <c r="A2373">
        <v>2371</v>
      </c>
      <c r="B2373" t="s">
        <v>74</v>
      </c>
      <c r="C2373" t="s">
        <v>75</v>
      </c>
      <c r="D2373">
        <v>2.7397260273972599E-3</v>
      </c>
    </row>
    <row r="2374" spans="1:4" hidden="1" x14ac:dyDescent="0.3">
      <c r="A2374">
        <v>2372</v>
      </c>
      <c r="B2374" t="s">
        <v>76</v>
      </c>
      <c r="C2374" t="s">
        <v>77</v>
      </c>
      <c r="D2374">
        <v>0</v>
      </c>
    </row>
    <row r="2375" spans="1:4" hidden="1" x14ac:dyDescent="0.3">
      <c r="A2375">
        <v>2373</v>
      </c>
      <c r="B2375" t="s">
        <v>78</v>
      </c>
      <c r="C2375" t="s">
        <v>79</v>
      </c>
      <c r="D2375">
        <v>0</v>
      </c>
    </row>
    <row r="2376" spans="1:4" hidden="1" x14ac:dyDescent="0.3">
      <c r="A2376">
        <v>2374</v>
      </c>
      <c r="B2376" s="1" t="s">
        <v>3164</v>
      </c>
      <c r="C2376" t="s">
        <v>81</v>
      </c>
      <c r="D2376" s="1" t="s">
        <v>3165</v>
      </c>
    </row>
    <row r="2377" spans="1:4" hidden="1" x14ac:dyDescent="0.3">
      <c r="A2377">
        <v>2375</v>
      </c>
      <c r="B2377" t="s">
        <v>3166</v>
      </c>
      <c r="C2377" t="s">
        <v>84</v>
      </c>
      <c r="D2377">
        <v>1.00006710816014</v>
      </c>
    </row>
    <row r="2378" spans="1:4" hidden="1" x14ac:dyDescent="0.3">
      <c r="A2378">
        <v>2376</v>
      </c>
      <c r="B2378" s="1" t="s">
        <v>3167</v>
      </c>
      <c r="C2378" t="s">
        <v>86</v>
      </c>
      <c r="D2378" s="1" t="s">
        <v>3168</v>
      </c>
    </row>
    <row r="2379" spans="1:4" hidden="1" x14ac:dyDescent="0.3">
      <c r="A2379">
        <v>2377</v>
      </c>
      <c r="B2379" t="s">
        <v>3169</v>
      </c>
      <c r="C2379" t="s">
        <v>89</v>
      </c>
      <c r="D2379">
        <v>101182989.279204</v>
      </c>
    </row>
    <row r="2380" spans="1:4" hidden="1" x14ac:dyDescent="0.3">
      <c r="A2380">
        <v>2378</v>
      </c>
      <c r="B2380" s="1" t="s">
        <v>3170</v>
      </c>
      <c r="C2380" t="s">
        <v>91</v>
      </c>
      <c r="D2380" s="1" t="s">
        <v>3104</v>
      </c>
    </row>
    <row r="2381" spans="1:4" hidden="1" x14ac:dyDescent="0.3">
      <c r="A2381">
        <v>2379</v>
      </c>
      <c r="B2381" t="s">
        <v>3171</v>
      </c>
      <c r="C2381" t="s">
        <v>94</v>
      </c>
      <c r="D2381">
        <v>76222642.770352006</v>
      </c>
    </row>
    <row r="2382" spans="1:4" hidden="1" x14ac:dyDescent="0.3">
      <c r="A2382">
        <v>2380</v>
      </c>
      <c r="B2382" t="s">
        <v>3172</v>
      </c>
      <c r="C2382" t="s">
        <v>96</v>
      </c>
      <c r="D2382">
        <v>39400258.100377001</v>
      </c>
    </row>
    <row r="2383" spans="1:4" hidden="1" x14ac:dyDescent="0.3">
      <c r="A2383">
        <v>2381</v>
      </c>
      <c r="B2383" t="s">
        <v>3173</v>
      </c>
      <c r="C2383" t="s">
        <v>98</v>
      </c>
      <c r="D2383">
        <v>29703359.10918</v>
      </c>
    </row>
    <row r="2384" spans="1:4" hidden="1" x14ac:dyDescent="0.3">
      <c r="A2384">
        <v>2382</v>
      </c>
      <c r="B2384" s="1" t="s">
        <v>3174</v>
      </c>
      <c r="C2384" t="s">
        <v>100</v>
      </c>
      <c r="D2384" s="1" t="s">
        <v>3175</v>
      </c>
    </row>
    <row r="2385" spans="1:4" hidden="1" x14ac:dyDescent="0.3">
      <c r="A2385">
        <v>2383</v>
      </c>
      <c r="B2385" t="s">
        <v>3176</v>
      </c>
      <c r="C2385" t="s">
        <v>103</v>
      </c>
      <c r="D2385">
        <v>9.2385308941993604E-3</v>
      </c>
    </row>
    <row r="2386" spans="1:4" hidden="1" x14ac:dyDescent="0.3">
      <c r="A2386">
        <v>2384</v>
      </c>
      <c r="B2386" t="s">
        <v>3177</v>
      </c>
      <c r="C2386" t="s">
        <v>105</v>
      </c>
      <c r="D2386">
        <v>1.79953304393706E-3</v>
      </c>
    </row>
    <row r="2387" spans="1:4" hidden="1" x14ac:dyDescent="0.3">
      <c r="A2387">
        <v>2385</v>
      </c>
      <c r="B2387" t="s">
        <v>3178</v>
      </c>
      <c r="C2387" t="s">
        <v>107</v>
      </c>
      <c r="D2387">
        <v>1.13870677842564E-2</v>
      </c>
    </row>
    <row r="2388" spans="1:4" hidden="1" x14ac:dyDescent="0.3">
      <c r="A2388">
        <v>2386</v>
      </c>
      <c r="B2388" s="1" t="s">
        <v>3179</v>
      </c>
      <c r="C2388" t="s">
        <v>109</v>
      </c>
      <c r="D2388" s="1" t="s">
        <v>3180</v>
      </c>
    </row>
    <row r="2389" spans="1:4" x14ac:dyDescent="0.3">
      <c r="A2389">
        <v>2387</v>
      </c>
      <c r="B2389" t="s">
        <v>3181</v>
      </c>
      <c r="C2389" t="s">
        <v>207</v>
      </c>
      <c r="D2389">
        <v>145327323.60876301</v>
      </c>
    </row>
    <row r="2390" spans="1:4" hidden="1" x14ac:dyDescent="0.3">
      <c r="A2390">
        <v>2388</v>
      </c>
      <c r="B2390" t="s">
        <v>3182</v>
      </c>
      <c r="C2390" t="s">
        <v>209</v>
      </c>
      <c r="D2390">
        <v>-2323.07576121897</v>
      </c>
    </row>
    <row r="2391" spans="1:4" hidden="1" x14ac:dyDescent="0.3">
      <c r="A2391">
        <v>2389</v>
      </c>
      <c r="B2391" t="s">
        <v>3183</v>
      </c>
      <c r="C2391" t="s">
        <v>211</v>
      </c>
      <c r="D2391">
        <v>-1200.8167399085401</v>
      </c>
    </row>
    <row r="2392" spans="1:4" hidden="1" x14ac:dyDescent="0.3">
      <c r="A2392">
        <v>2390</v>
      </c>
      <c r="B2392" s="1" t="s">
        <v>3184</v>
      </c>
      <c r="C2392" t="s">
        <v>213</v>
      </c>
      <c r="D2392" s="1" t="s">
        <v>3185</v>
      </c>
    </row>
    <row r="2393" spans="1:4" hidden="1" x14ac:dyDescent="0.3">
      <c r="A2393">
        <v>2391</v>
      </c>
      <c r="B2393" t="s">
        <v>3186</v>
      </c>
      <c r="C2393" t="s">
        <v>216</v>
      </c>
      <c r="D2393">
        <v>76225683.980848402</v>
      </c>
    </row>
    <row r="2394" spans="1:4" hidden="1" x14ac:dyDescent="0.3">
      <c r="A2394">
        <v>2392</v>
      </c>
      <c r="B2394" t="s">
        <v>3187</v>
      </c>
      <c r="C2394" t="s">
        <v>218</v>
      </c>
      <c r="D2394">
        <v>39401675.512791596</v>
      </c>
    </row>
    <row r="2395" spans="1:4" hidden="1" x14ac:dyDescent="0.3">
      <c r="A2395">
        <v>2393</v>
      </c>
      <c r="B2395" t="s">
        <v>3188</v>
      </c>
      <c r="C2395" t="s">
        <v>220</v>
      </c>
      <c r="D2395">
        <v>29704393.2872154</v>
      </c>
    </row>
    <row r="2396" spans="1:4" hidden="1" x14ac:dyDescent="0.3">
      <c r="A2396">
        <v>2394</v>
      </c>
      <c r="B2396" s="1" t="s">
        <v>3189</v>
      </c>
      <c r="C2396" t="s">
        <v>222</v>
      </c>
      <c r="D2396" s="1" t="s">
        <v>3190</v>
      </c>
    </row>
    <row r="2397" spans="1:4" hidden="1" x14ac:dyDescent="0.3">
      <c r="A2397">
        <v>2395</v>
      </c>
      <c r="B2397" t="s">
        <v>3191</v>
      </c>
      <c r="C2397" t="s">
        <v>225</v>
      </c>
      <c r="D2397">
        <v>101186073.05492701</v>
      </c>
    </row>
    <row r="2398" spans="1:4" hidden="1" x14ac:dyDescent="0.3">
      <c r="A2398">
        <v>2396</v>
      </c>
      <c r="B2398" t="s">
        <v>3192</v>
      </c>
      <c r="C2398" t="s">
        <v>227</v>
      </c>
      <c r="D2398">
        <v>-3083.7757224440502</v>
      </c>
    </row>
    <row r="2399" spans="1:4" hidden="1" x14ac:dyDescent="0.3">
      <c r="A2399">
        <v>2397</v>
      </c>
      <c r="B2399" s="1" t="s">
        <v>3193</v>
      </c>
      <c r="C2399" t="s">
        <v>229</v>
      </c>
      <c r="D2399" s="1" t="s">
        <v>3194</v>
      </c>
    </row>
    <row r="2400" spans="1:4" hidden="1" x14ac:dyDescent="0.3">
      <c r="A2400">
        <v>2398</v>
      </c>
      <c r="B2400" t="s">
        <v>3195</v>
      </c>
      <c r="C2400" t="s">
        <v>112</v>
      </c>
      <c r="D2400">
        <v>718.13473519977595</v>
      </c>
    </row>
    <row r="2401" spans="1:4" hidden="1" x14ac:dyDescent="0.3">
      <c r="A2401">
        <v>2399</v>
      </c>
      <c r="B2401" t="s">
        <v>3196</v>
      </c>
      <c r="C2401" t="s">
        <v>114</v>
      </c>
      <c r="D2401">
        <v>216.595674700225</v>
      </c>
    </row>
    <row r="2402" spans="1:4" hidden="1" x14ac:dyDescent="0.3">
      <c r="A2402">
        <v>2400</v>
      </c>
      <c r="B2402" s="1" t="s">
        <v>3197</v>
      </c>
      <c r="C2402" t="s">
        <v>116</v>
      </c>
      <c r="D2402" s="1" t="s">
        <v>3198</v>
      </c>
    </row>
    <row r="2403" spans="1:4" hidden="1" x14ac:dyDescent="0.3">
      <c r="A2403">
        <v>2401</v>
      </c>
      <c r="B2403" t="s">
        <v>3199</v>
      </c>
      <c r="C2403" t="s">
        <v>119</v>
      </c>
      <c r="D2403">
        <v>76225683.980848402</v>
      </c>
    </row>
    <row r="2404" spans="1:4" hidden="1" x14ac:dyDescent="0.3">
      <c r="A2404">
        <v>2402</v>
      </c>
      <c r="B2404" t="s">
        <v>3200</v>
      </c>
      <c r="C2404" t="s">
        <v>121</v>
      </c>
      <c r="D2404">
        <v>39401675.512791596</v>
      </c>
    </row>
    <row r="2405" spans="1:4" hidden="1" x14ac:dyDescent="0.3">
      <c r="A2405">
        <v>2403</v>
      </c>
      <c r="B2405" s="1" t="s">
        <v>3201</v>
      </c>
      <c r="C2405" t="s">
        <v>123</v>
      </c>
      <c r="D2405" s="1" t="s">
        <v>3202</v>
      </c>
    </row>
    <row r="2406" spans="1:4" hidden="1" x14ac:dyDescent="0.3">
      <c r="A2406">
        <v>2404</v>
      </c>
      <c r="B2406" t="s">
        <v>3203</v>
      </c>
      <c r="C2406" t="s">
        <v>126</v>
      </c>
      <c r="D2406">
        <v>0.75327134117879202</v>
      </c>
    </row>
    <row r="2407" spans="1:4" hidden="1" x14ac:dyDescent="0.3">
      <c r="A2407">
        <v>2405</v>
      </c>
      <c r="B2407" t="s">
        <v>3204</v>
      </c>
      <c r="C2407" t="s">
        <v>128</v>
      </c>
      <c r="D2407">
        <v>0.38937207786379702</v>
      </c>
    </row>
    <row r="2408" spans="1:4" hidden="1" x14ac:dyDescent="0.3">
      <c r="A2408">
        <v>2406</v>
      </c>
      <c r="B2408" s="1" t="s">
        <v>3205</v>
      </c>
      <c r="C2408" t="s">
        <v>130</v>
      </c>
      <c r="D2408" s="1" t="s">
        <v>3206</v>
      </c>
    </row>
    <row r="2409" spans="1:4" hidden="1" x14ac:dyDescent="0.3">
      <c r="A2409">
        <v>2407</v>
      </c>
      <c r="B2409" s="1" t="s">
        <v>3207</v>
      </c>
      <c r="C2409" t="s">
        <v>4</v>
      </c>
      <c r="D2409" t="s">
        <v>3208</v>
      </c>
    </row>
    <row r="2410" spans="1:4" hidden="1" x14ac:dyDescent="0.3">
      <c r="A2410">
        <v>2408</v>
      </c>
      <c r="B2410" t="s">
        <v>3209</v>
      </c>
      <c r="C2410" t="s">
        <v>7</v>
      </c>
      <c r="D2410">
        <v>1787.3</v>
      </c>
    </row>
    <row r="2411" spans="1:4" hidden="1" x14ac:dyDescent="0.3">
      <c r="A2411">
        <v>2409</v>
      </c>
      <c r="B2411" s="1" t="s">
        <v>3210</v>
      </c>
      <c r="C2411" t="s">
        <v>9</v>
      </c>
      <c r="D2411" s="1" t="s">
        <v>3211</v>
      </c>
    </row>
    <row r="2412" spans="1:4" hidden="1" x14ac:dyDescent="0.3">
      <c r="A2412">
        <v>2410</v>
      </c>
      <c r="B2412" t="s">
        <v>3212</v>
      </c>
      <c r="C2412" t="s">
        <v>14</v>
      </c>
      <c r="D2412">
        <v>98.21875</v>
      </c>
    </row>
    <row r="2413" spans="1:4" hidden="1" x14ac:dyDescent="0.3">
      <c r="A2413">
        <v>2411</v>
      </c>
      <c r="B2413" t="s">
        <v>3213</v>
      </c>
      <c r="C2413" t="s">
        <v>16</v>
      </c>
      <c r="D2413">
        <v>4.3860035331203804</v>
      </c>
    </row>
    <row r="2414" spans="1:4" hidden="1" x14ac:dyDescent="0.3">
      <c r="A2414">
        <v>2412</v>
      </c>
      <c r="B2414" s="1" t="s">
        <v>3214</v>
      </c>
      <c r="C2414" t="s">
        <v>140</v>
      </c>
      <c r="D2414" s="1" t="s">
        <v>3215</v>
      </c>
    </row>
    <row r="2415" spans="1:4" hidden="1" x14ac:dyDescent="0.3">
      <c r="A2415">
        <v>2413</v>
      </c>
      <c r="B2415" t="s">
        <v>3216</v>
      </c>
      <c r="C2415" t="s">
        <v>22</v>
      </c>
      <c r="D2415">
        <v>74.650000000000006</v>
      </c>
    </row>
    <row r="2416" spans="1:4" hidden="1" x14ac:dyDescent="0.3">
      <c r="A2416">
        <v>2414</v>
      </c>
      <c r="B2416" t="s">
        <v>3217</v>
      </c>
      <c r="C2416" t="s">
        <v>24</v>
      </c>
      <c r="D2416">
        <v>6.2080154737634601</v>
      </c>
    </row>
    <row r="2417" spans="1:4" hidden="1" x14ac:dyDescent="0.3">
      <c r="A2417">
        <v>2415</v>
      </c>
      <c r="B2417" s="1" t="s">
        <v>3218</v>
      </c>
      <c r="C2417" t="s">
        <v>145</v>
      </c>
      <c r="D2417" s="1" t="s">
        <v>3219</v>
      </c>
    </row>
    <row r="2418" spans="1:4" hidden="1" x14ac:dyDescent="0.3">
      <c r="A2418">
        <v>2416</v>
      </c>
      <c r="B2418" t="s">
        <v>3220</v>
      </c>
      <c r="C2418" t="s">
        <v>35</v>
      </c>
      <c r="D2418">
        <v>-26.577980273867201</v>
      </c>
    </row>
    <row r="2419" spans="1:4" hidden="1" x14ac:dyDescent="0.3">
      <c r="A2419">
        <v>2417</v>
      </c>
      <c r="B2419" t="s">
        <v>3221</v>
      </c>
      <c r="C2419" t="s">
        <v>149</v>
      </c>
      <c r="D2419">
        <v>0.68605218422556902</v>
      </c>
    </row>
    <row r="2420" spans="1:4" hidden="1" x14ac:dyDescent="0.3">
      <c r="A2420">
        <v>2418</v>
      </c>
      <c r="B2420" s="1" t="s">
        <v>3222</v>
      </c>
      <c r="C2420" t="s">
        <v>151</v>
      </c>
      <c r="D2420" s="1" t="s">
        <v>3223</v>
      </c>
    </row>
    <row r="2421" spans="1:4" hidden="1" x14ac:dyDescent="0.3">
      <c r="A2421">
        <v>2419</v>
      </c>
      <c r="B2421" t="s">
        <v>3224</v>
      </c>
      <c r="C2421" t="s">
        <v>30</v>
      </c>
      <c r="D2421">
        <v>11.2266373547247</v>
      </c>
    </row>
    <row r="2422" spans="1:4" hidden="1" x14ac:dyDescent="0.3">
      <c r="A2422">
        <v>2420</v>
      </c>
      <c r="B2422" t="s">
        <v>3225</v>
      </c>
      <c r="C2422" t="s">
        <v>32</v>
      </c>
      <c r="D2422">
        <v>0.22703660157368</v>
      </c>
    </row>
    <row r="2423" spans="1:4" hidden="1" x14ac:dyDescent="0.3">
      <c r="A2423">
        <v>2421</v>
      </c>
      <c r="B2423" s="1" t="s">
        <v>3226</v>
      </c>
      <c r="C2423" t="s">
        <v>155</v>
      </c>
      <c r="D2423" s="1" t="s">
        <v>3227</v>
      </c>
    </row>
    <row r="2424" spans="1:4" hidden="1" x14ac:dyDescent="0.3">
      <c r="A2424">
        <v>2422</v>
      </c>
      <c r="B2424" t="s">
        <v>3228</v>
      </c>
      <c r="C2424" t="s">
        <v>40</v>
      </c>
      <c r="D2424">
        <v>16.3513429191425</v>
      </c>
    </row>
    <row r="2425" spans="1:4" hidden="1" x14ac:dyDescent="0.3">
      <c r="A2425">
        <v>2423</v>
      </c>
      <c r="B2425" t="s">
        <v>3229</v>
      </c>
      <c r="C2425" t="s">
        <v>42</v>
      </c>
      <c r="D2425">
        <v>0.23057846473329599</v>
      </c>
    </row>
    <row r="2426" spans="1:4" hidden="1" x14ac:dyDescent="0.3">
      <c r="A2426">
        <v>2424</v>
      </c>
      <c r="B2426" s="1" t="s">
        <v>3230</v>
      </c>
      <c r="C2426" t="s">
        <v>159</v>
      </c>
      <c r="D2426" s="1" t="s">
        <v>3231</v>
      </c>
    </row>
    <row r="2427" spans="1:4" hidden="1" x14ac:dyDescent="0.3">
      <c r="A2427">
        <v>2425</v>
      </c>
      <c r="B2427" t="s">
        <v>3232</v>
      </c>
      <c r="C2427" t="s">
        <v>161</v>
      </c>
      <c r="D2427">
        <v>1.00971126088209</v>
      </c>
    </row>
    <row r="2428" spans="1:4" hidden="1" x14ac:dyDescent="0.3">
      <c r="A2428">
        <v>2426</v>
      </c>
      <c r="B2428" t="s">
        <v>3233</v>
      </c>
      <c r="C2428" t="s">
        <v>163</v>
      </c>
      <c r="D2428">
        <v>1.00134043931062</v>
      </c>
    </row>
    <row r="2429" spans="1:4" hidden="1" x14ac:dyDescent="0.3">
      <c r="A2429">
        <v>2427</v>
      </c>
      <c r="B2429" s="1" t="s">
        <v>3234</v>
      </c>
      <c r="C2429" t="s">
        <v>165</v>
      </c>
      <c r="D2429" s="1" t="s">
        <v>3235</v>
      </c>
    </row>
    <row r="2430" spans="1:4" hidden="1" x14ac:dyDescent="0.3">
      <c r="A2430">
        <v>2428</v>
      </c>
      <c r="B2430" t="s">
        <v>3236</v>
      </c>
      <c r="C2430" t="s">
        <v>168</v>
      </c>
      <c r="D2430">
        <v>0.99893210312367997</v>
      </c>
    </row>
    <row r="2431" spans="1:4" hidden="1" x14ac:dyDescent="0.3">
      <c r="A2431">
        <v>2429</v>
      </c>
      <c r="B2431" t="s">
        <v>3237</v>
      </c>
      <c r="C2431" t="s">
        <v>170</v>
      </c>
      <c r="D2431">
        <v>1.0008742977524601</v>
      </c>
    </row>
    <row r="2432" spans="1:4" hidden="1" x14ac:dyDescent="0.3">
      <c r="A2432">
        <v>2430</v>
      </c>
      <c r="B2432" s="1" t="s">
        <v>3238</v>
      </c>
      <c r="C2432" t="s">
        <v>172</v>
      </c>
      <c r="D2432" s="1" t="s">
        <v>3239</v>
      </c>
    </row>
    <row r="2433" spans="1:4" hidden="1" x14ac:dyDescent="0.3">
      <c r="A2433">
        <v>2431</v>
      </c>
      <c r="B2433" s="1" t="s">
        <v>3240</v>
      </c>
      <c r="C2433" t="s">
        <v>55</v>
      </c>
      <c r="D2433" s="1" t="s">
        <v>3241</v>
      </c>
    </row>
    <row r="2434" spans="1:4" hidden="1" x14ac:dyDescent="0.3">
      <c r="A2434">
        <v>2432</v>
      </c>
      <c r="B2434" s="1" t="s">
        <v>3242</v>
      </c>
      <c r="C2434" t="s">
        <v>52</v>
      </c>
      <c r="D2434" s="1" t="s">
        <v>3243</v>
      </c>
    </row>
    <row r="2435" spans="1:4" hidden="1" x14ac:dyDescent="0.3">
      <c r="A2435">
        <v>2433</v>
      </c>
      <c r="B2435" s="1" t="s">
        <v>3244</v>
      </c>
      <c r="C2435" t="s">
        <v>58</v>
      </c>
      <c r="D2435" s="1" t="s">
        <v>3245</v>
      </c>
    </row>
    <row r="2436" spans="1:4" hidden="1" x14ac:dyDescent="0.3">
      <c r="A2436">
        <v>2434</v>
      </c>
      <c r="B2436" t="s">
        <v>3246</v>
      </c>
      <c r="C2436" t="s">
        <v>61</v>
      </c>
      <c r="D2436">
        <v>145915142.97637299</v>
      </c>
    </row>
    <row r="2437" spans="1:4" hidden="1" x14ac:dyDescent="0.3">
      <c r="A2437">
        <v>2435</v>
      </c>
      <c r="B2437" t="s">
        <v>3247</v>
      </c>
      <c r="C2437" t="s">
        <v>63</v>
      </c>
      <c r="D2437">
        <v>76965931.483902395</v>
      </c>
    </row>
    <row r="2438" spans="1:4" hidden="1" x14ac:dyDescent="0.3">
      <c r="A2438">
        <v>2436</v>
      </c>
      <c r="B2438" t="s">
        <v>3248</v>
      </c>
      <c r="C2438" t="s">
        <v>65</v>
      </c>
      <c r="D2438">
        <v>39454491.067553498</v>
      </c>
    </row>
    <row r="2439" spans="1:4" hidden="1" x14ac:dyDescent="0.3">
      <c r="A2439">
        <v>2437</v>
      </c>
      <c r="B2439" s="1" t="s">
        <v>3249</v>
      </c>
      <c r="C2439" t="s">
        <v>67</v>
      </c>
      <c r="D2439" s="1" t="s">
        <v>3250</v>
      </c>
    </row>
    <row r="2440" spans="1:4" hidden="1" x14ac:dyDescent="0.3">
      <c r="A2440">
        <v>2438</v>
      </c>
      <c r="B2440" s="1" t="s">
        <v>3251</v>
      </c>
      <c r="C2440" t="s">
        <v>70</v>
      </c>
      <c r="D2440" s="1" t="s">
        <v>3252</v>
      </c>
    </row>
    <row r="2441" spans="1:4" hidden="1" x14ac:dyDescent="0.3">
      <c r="A2441">
        <v>2439</v>
      </c>
      <c r="B2441" t="s">
        <v>3253</v>
      </c>
      <c r="C2441" t="s">
        <v>73</v>
      </c>
      <c r="D2441">
        <v>1.00006710816014</v>
      </c>
    </row>
    <row r="2442" spans="1:4" hidden="1" x14ac:dyDescent="0.3">
      <c r="A2442">
        <v>2440</v>
      </c>
      <c r="B2442" t="s">
        <v>74</v>
      </c>
      <c r="C2442" t="s">
        <v>75</v>
      </c>
      <c r="D2442">
        <v>2.7397260273972599E-3</v>
      </c>
    </row>
    <row r="2443" spans="1:4" hidden="1" x14ac:dyDescent="0.3">
      <c r="A2443">
        <v>2441</v>
      </c>
      <c r="B2443" t="s">
        <v>76</v>
      </c>
      <c r="C2443" t="s">
        <v>77</v>
      </c>
      <c r="D2443">
        <v>0</v>
      </c>
    </row>
    <row r="2444" spans="1:4" hidden="1" x14ac:dyDescent="0.3">
      <c r="A2444">
        <v>2442</v>
      </c>
      <c r="B2444" t="s">
        <v>78</v>
      </c>
      <c r="C2444" t="s">
        <v>79</v>
      </c>
      <c r="D2444">
        <v>0</v>
      </c>
    </row>
    <row r="2445" spans="1:4" hidden="1" x14ac:dyDescent="0.3">
      <c r="A2445">
        <v>2443</v>
      </c>
      <c r="B2445" s="1" t="s">
        <v>3254</v>
      </c>
      <c r="C2445" t="s">
        <v>81</v>
      </c>
      <c r="D2445" s="1" t="s">
        <v>3255</v>
      </c>
    </row>
    <row r="2446" spans="1:4" hidden="1" x14ac:dyDescent="0.3">
      <c r="A2446">
        <v>2444</v>
      </c>
      <c r="B2446" t="s">
        <v>3256</v>
      </c>
      <c r="C2446" t="s">
        <v>84</v>
      </c>
      <c r="D2446">
        <v>1.0000662411519701</v>
      </c>
    </row>
    <row r="2447" spans="1:4" hidden="1" x14ac:dyDescent="0.3">
      <c r="A2447">
        <v>2445</v>
      </c>
      <c r="B2447" s="1" t="s">
        <v>3257</v>
      </c>
      <c r="C2447" t="s">
        <v>86</v>
      </c>
      <c r="D2447" s="1" t="s">
        <v>3258</v>
      </c>
    </row>
    <row r="2448" spans="1:4" hidden="1" x14ac:dyDescent="0.3">
      <c r="A2448">
        <v>2446</v>
      </c>
      <c r="B2448" t="s">
        <v>3259</v>
      </c>
      <c r="C2448" t="s">
        <v>89</v>
      </c>
      <c r="D2448">
        <v>101183076.999872</v>
      </c>
    </row>
    <row r="2449" spans="1:4" hidden="1" x14ac:dyDescent="0.3">
      <c r="A2449">
        <v>2447</v>
      </c>
      <c r="B2449" s="1" t="s">
        <v>3260</v>
      </c>
      <c r="C2449" t="s">
        <v>91</v>
      </c>
      <c r="D2449" s="1" t="s">
        <v>3194</v>
      </c>
    </row>
    <row r="2450" spans="1:4" hidden="1" x14ac:dyDescent="0.3">
      <c r="A2450">
        <v>2448</v>
      </c>
      <c r="B2450" t="s">
        <v>3261</v>
      </c>
      <c r="C2450" t="s">
        <v>94</v>
      </c>
      <c r="D2450">
        <v>76965931.483902395</v>
      </c>
    </row>
    <row r="2451" spans="1:4" hidden="1" x14ac:dyDescent="0.3">
      <c r="A2451">
        <v>2449</v>
      </c>
      <c r="B2451" t="s">
        <v>3262</v>
      </c>
      <c r="C2451" t="s">
        <v>96</v>
      </c>
      <c r="D2451">
        <v>39454491.067553498</v>
      </c>
    </row>
    <row r="2452" spans="1:4" hidden="1" x14ac:dyDescent="0.3">
      <c r="A2452">
        <v>2450</v>
      </c>
      <c r="B2452" t="s">
        <v>3263</v>
      </c>
      <c r="C2452" t="s">
        <v>98</v>
      </c>
      <c r="D2452">
        <v>29494720.424917199</v>
      </c>
    </row>
    <row r="2453" spans="1:4" hidden="1" x14ac:dyDescent="0.3">
      <c r="A2453">
        <v>2451</v>
      </c>
      <c r="B2453" s="1" t="s">
        <v>3264</v>
      </c>
      <c r="C2453" t="s">
        <v>100</v>
      </c>
      <c r="D2453" s="1" t="s">
        <v>3265</v>
      </c>
    </row>
    <row r="2454" spans="1:4" hidden="1" x14ac:dyDescent="0.3">
      <c r="A2454">
        <v>2452</v>
      </c>
      <c r="B2454" t="s">
        <v>3266</v>
      </c>
      <c r="C2454" t="s">
        <v>103</v>
      </c>
      <c r="D2454">
        <v>9.2235936874453094E-3</v>
      </c>
    </row>
    <row r="2455" spans="1:4" hidden="1" x14ac:dyDescent="0.3">
      <c r="A2455">
        <v>2453</v>
      </c>
      <c r="B2455" t="s">
        <v>3267</v>
      </c>
      <c r="C2455" t="s">
        <v>105</v>
      </c>
      <c r="D2455">
        <v>1.80637343847939E-3</v>
      </c>
    </row>
    <row r="2456" spans="1:4" hidden="1" x14ac:dyDescent="0.3">
      <c r="A2456">
        <v>2454</v>
      </c>
      <c r="B2456" t="s">
        <v>3268</v>
      </c>
      <c r="C2456" t="s">
        <v>107</v>
      </c>
      <c r="D2456">
        <v>1.14202840452671E-2</v>
      </c>
    </row>
    <row r="2457" spans="1:4" hidden="1" x14ac:dyDescent="0.3">
      <c r="A2457">
        <v>2455</v>
      </c>
      <c r="B2457" s="1" t="s">
        <v>3269</v>
      </c>
      <c r="C2457" t="s">
        <v>109</v>
      </c>
      <c r="D2457" s="1" t="s">
        <v>3270</v>
      </c>
    </row>
    <row r="2458" spans="1:4" x14ac:dyDescent="0.3">
      <c r="A2458">
        <v>2456</v>
      </c>
      <c r="B2458" t="s">
        <v>3271</v>
      </c>
      <c r="C2458" t="s">
        <v>207</v>
      </c>
      <c r="D2458">
        <v>145915112.71542901</v>
      </c>
    </row>
    <row r="2459" spans="1:4" hidden="1" x14ac:dyDescent="0.3">
      <c r="A2459">
        <v>2457</v>
      </c>
      <c r="B2459" t="s">
        <v>3272</v>
      </c>
      <c r="C2459" t="s">
        <v>209</v>
      </c>
      <c r="D2459">
        <v>66.725593591041999</v>
      </c>
    </row>
    <row r="2460" spans="1:4" hidden="1" x14ac:dyDescent="0.3">
      <c r="A2460">
        <v>2458</v>
      </c>
      <c r="B2460" t="s">
        <v>3273</v>
      </c>
      <c r="C2460" t="s">
        <v>211</v>
      </c>
      <c r="D2460">
        <v>34.205066627380802</v>
      </c>
    </row>
    <row r="2461" spans="1:4" hidden="1" x14ac:dyDescent="0.3">
      <c r="A2461">
        <v>2459</v>
      </c>
      <c r="B2461" s="1" t="s">
        <v>3274</v>
      </c>
      <c r="C2461" t="s">
        <v>213</v>
      </c>
      <c r="D2461" s="1" t="s">
        <v>3275</v>
      </c>
    </row>
    <row r="2462" spans="1:4" hidden="1" x14ac:dyDescent="0.3">
      <c r="A2462">
        <v>2460</v>
      </c>
      <c r="B2462" t="s">
        <v>3276</v>
      </c>
      <c r="C2462" t="s">
        <v>216</v>
      </c>
      <c r="D2462">
        <v>76965841.621724606</v>
      </c>
    </row>
    <row r="2463" spans="1:4" hidden="1" x14ac:dyDescent="0.3">
      <c r="A2463">
        <v>2461</v>
      </c>
      <c r="B2463" t="s">
        <v>3277</v>
      </c>
      <c r="C2463" t="s">
        <v>218</v>
      </c>
      <c r="D2463">
        <v>39454452.167765602</v>
      </c>
    </row>
    <row r="2464" spans="1:4" hidden="1" x14ac:dyDescent="0.3">
      <c r="A2464">
        <v>2462</v>
      </c>
      <c r="B2464" t="s">
        <v>3278</v>
      </c>
      <c r="C2464" t="s">
        <v>220</v>
      </c>
      <c r="D2464">
        <v>29494692.424833901</v>
      </c>
    </row>
    <row r="2465" spans="1:4" hidden="1" x14ac:dyDescent="0.3">
      <c r="A2465">
        <v>2463</v>
      </c>
      <c r="B2465" s="1" t="s">
        <v>3279</v>
      </c>
      <c r="C2465" t="s">
        <v>222</v>
      </c>
      <c r="D2465" s="1" t="s">
        <v>3280</v>
      </c>
    </row>
    <row r="2466" spans="1:4" hidden="1" x14ac:dyDescent="0.3">
      <c r="A2466">
        <v>2464</v>
      </c>
      <c r="B2466" t="s">
        <v>3281</v>
      </c>
      <c r="C2466" t="s">
        <v>225</v>
      </c>
      <c r="D2466">
        <v>101182989.279204</v>
      </c>
    </row>
    <row r="2467" spans="1:4" hidden="1" x14ac:dyDescent="0.3">
      <c r="A2467">
        <v>2465</v>
      </c>
      <c r="B2467" t="s">
        <v>3282</v>
      </c>
      <c r="C2467" t="s">
        <v>227</v>
      </c>
      <c r="D2467">
        <v>87.720667749643297</v>
      </c>
    </row>
    <row r="2468" spans="1:4" hidden="1" x14ac:dyDescent="0.3">
      <c r="A2468">
        <v>2466</v>
      </c>
      <c r="B2468" s="1" t="s">
        <v>3283</v>
      </c>
      <c r="C2468" t="s">
        <v>229</v>
      </c>
      <c r="D2468" s="1" t="s">
        <v>3284</v>
      </c>
    </row>
    <row r="2469" spans="1:4" hidden="1" x14ac:dyDescent="0.3">
      <c r="A2469">
        <v>2467</v>
      </c>
      <c r="B2469" t="s">
        <v>3285</v>
      </c>
      <c r="C2469" t="s">
        <v>112</v>
      </c>
      <c r="D2469">
        <v>-23.136584207430701</v>
      </c>
    </row>
    <row r="2470" spans="1:4" hidden="1" x14ac:dyDescent="0.3">
      <c r="A2470">
        <v>2468</v>
      </c>
      <c r="B2470" t="s">
        <v>3286</v>
      </c>
      <c r="C2470" t="s">
        <v>114</v>
      </c>
      <c r="D2470">
        <v>-4.6947213375126804</v>
      </c>
    </row>
    <row r="2471" spans="1:4" hidden="1" x14ac:dyDescent="0.3">
      <c r="A2471">
        <v>2469</v>
      </c>
      <c r="B2471" s="1" t="s">
        <v>3287</v>
      </c>
      <c r="C2471" t="s">
        <v>116</v>
      </c>
      <c r="D2471" s="1" t="s">
        <v>3288</v>
      </c>
    </row>
    <row r="2472" spans="1:4" hidden="1" x14ac:dyDescent="0.3">
      <c r="A2472">
        <v>2470</v>
      </c>
      <c r="B2472" t="s">
        <v>3289</v>
      </c>
      <c r="C2472" t="s">
        <v>119</v>
      </c>
      <c r="D2472">
        <v>76965841.621724606</v>
      </c>
    </row>
    <row r="2473" spans="1:4" hidden="1" x14ac:dyDescent="0.3">
      <c r="A2473">
        <v>2471</v>
      </c>
      <c r="B2473" t="s">
        <v>3290</v>
      </c>
      <c r="C2473" t="s">
        <v>121</v>
      </c>
      <c r="D2473">
        <v>39454452.167765602</v>
      </c>
    </row>
    <row r="2474" spans="1:4" hidden="1" x14ac:dyDescent="0.3">
      <c r="A2474">
        <v>2472</v>
      </c>
      <c r="B2474" s="1" t="s">
        <v>3291</v>
      </c>
      <c r="C2474" t="s">
        <v>123</v>
      </c>
      <c r="D2474" s="1" t="s">
        <v>3292</v>
      </c>
    </row>
    <row r="2475" spans="1:4" hidden="1" x14ac:dyDescent="0.3">
      <c r="A2475">
        <v>2473</v>
      </c>
      <c r="B2475" t="s">
        <v>3293</v>
      </c>
      <c r="C2475" t="s">
        <v>126</v>
      </c>
      <c r="D2475">
        <v>0.76060950760252999</v>
      </c>
    </row>
    <row r="2476" spans="1:4" hidden="1" x14ac:dyDescent="0.3">
      <c r="A2476">
        <v>2474</v>
      </c>
      <c r="B2476" t="s">
        <v>3294</v>
      </c>
      <c r="C2476" t="s">
        <v>128</v>
      </c>
      <c r="D2476">
        <v>0.38990584399172201</v>
      </c>
    </row>
    <row r="2477" spans="1:4" hidden="1" x14ac:dyDescent="0.3">
      <c r="A2477">
        <v>2475</v>
      </c>
      <c r="B2477" s="1" t="s">
        <v>3295</v>
      </c>
      <c r="C2477" t="s">
        <v>130</v>
      </c>
      <c r="D2477" s="1" t="s">
        <v>3296</v>
      </c>
    </row>
    <row r="2478" spans="1:4" hidden="1" x14ac:dyDescent="0.3">
      <c r="A2478">
        <v>2476</v>
      </c>
      <c r="B2478" s="1" t="s">
        <v>3297</v>
      </c>
      <c r="C2478" t="s">
        <v>4</v>
      </c>
      <c r="D2478" t="s">
        <v>3298</v>
      </c>
    </row>
    <row r="2479" spans="1:4" hidden="1" x14ac:dyDescent="0.3">
      <c r="A2479">
        <v>2477</v>
      </c>
      <c r="B2479" t="s">
        <v>3299</v>
      </c>
      <c r="C2479" t="s">
        <v>7</v>
      </c>
      <c r="D2479">
        <v>1797.08</v>
      </c>
    </row>
    <row r="2480" spans="1:4" hidden="1" x14ac:dyDescent="0.3">
      <c r="A2480">
        <v>2478</v>
      </c>
      <c r="B2480" s="1" t="s">
        <v>3300</v>
      </c>
      <c r="C2480" t="s">
        <v>9</v>
      </c>
      <c r="D2480" s="1" t="s">
        <v>3301</v>
      </c>
    </row>
    <row r="2481" spans="1:4" hidden="1" x14ac:dyDescent="0.3">
      <c r="A2481">
        <v>2479</v>
      </c>
      <c r="B2481" t="s">
        <v>3302</v>
      </c>
      <c r="C2481" t="s">
        <v>14</v>
      </c>
      <c r="D2481">
        <v>98.47265625</v>
      </c>
    </row>
    <row r="2482" spans="1:4" hidden="1" x14ac:dyDescent="0.3">
      <c r="A2482">
        <v>2480</v>
      </c>
      <c r="B2482" t="s">
        <v>3303</v>
      </c>
      <c r="C2482" t="s">
        <v>16</v>
      </c>
      <c r="D2482">
        <v>4.3912681801992104</v>
      </c>
    </row>
    <row r="2483" spans="1:4" hidden="1" x14ac:dyDescent="0.3">
      <c r="A2483">
        <v>2481</v>
      </c>
      <c r="B2483" s="1" t="s">
        <v>3304</v>
      </c>
      <c r="C2483" t="s">
        <v>140</v>
      </c>
      <c r="D2483" s="1" t="s">
        <v>3305</v>
      </c>
    </row>
    <row r="2484" spans="1:4" hidden="1" x14ac:dyDescent="0.3">
      <c r="A2484">
        <v>2482</v>
      </c>
      <c r="B2484" t="s">
        <v>3306</v>
      </c>
      <c r="C2484" t="s">
        <v>22</v>
      </c>
      <c r="D2484">
        <v>76.25</v>
      </c>
    </row>
    <row r="2485" spans="1:4" hidden="1" x14ac:dyDescent="0.3">
      <c r="A2485">
        <v>2483</v>
      </c>
      <c r="B2485" t="s">
        <v>3307</v>
      </c>
      <c r="C2485" t="s">
        <v>24</v>
      </c>
      <c r="D2485">
        <v>6.1846439340846597</v>
      </c>
    </row>
    <row r="2486" spans="1:4" hidden="1" x14ac:dyDescent="0.3">
      <c r="A2486">
        <v>2484</v>
      </c>
      <c r="B2486" s="1" t="s">
        <v>3308</v>
      </c>
      <c r="C2486" t="s">
        <v>145</v>
      </c>
      <c r="D2486" s="1" t="s">
        <v>3309</v>
      </c>
    </row>
    <row r="2487" spans="1:4" hidden="1" x14ac:dyDescent="0.3">
      <c r="A2487">
        <v>2485</v>
      </c>
      <c r="B2487" t="s">
        <v>3310</v>
      </c>
      <c r="C2487" t="s">
        <v>35</v>
      </c>
      <c r="D2487">
        <v>-11.4865497613782</v>
      </c>
    </row>
    <row r="2488" spans="1:4" hidden="1" x14ac:dyDescent="0.3">
      <c r="A2488">
        <v>2486</v>
      </c>
      <c r="B2488" t="s">
        <v>3311</v>
      </c>
      <c r="C2488" t="s">
        <v>149</v>
      </c>
      <c r="D2488">
        <v>0.68348280591473198</v>
      </c>
    </row>
    <row r="2489" spans="1:4" hidden="1" x14ac:dyDescent="0.3">
      <c r="A2489">
        <v>2487</v>
      </c>
      <c r="B2489" s="1" t="s">
        <v>3312</v>
      </c>
      <c r="C2489" t="s">
        <v>151</v>
      </c>
      <c r="D2489" s="1" t="s">
        <v>3313</v>
      </c>
    </row>
    <row r="2490" spans="1:4" hidden="1" x14ac:dyDescent="0.3">
      <c r="A2490">
        <v>2488</v>
      </c>
      <c r="B2490" t="s">
        <v>3314</v>
      </c>
      <c r="C2490" t="s">
        <v>30</v>
      </c>
      <c r="D2490">
        <v>4.9625026082505403</v>
      </c>
    </row>
    <row r="2491" spans="1:4" hidden="1" x14ac:dyDescent="0.3">
      <c r="A2491">
        <v>2489</v>
      </c>
      <c r="B2491" t="s">
        <v>3315</v>
      </c>
      <c r="C2491" t="s">
        <v>32</v>
      </c>
      <c r="D2491">
        <v>0.229301465352172</v>
      </c>
    </row>
    <row r="2492" spans="1:4" hidden="1" x14ac:dyDescent="0.3">
      <c r="A2492">
        <v>2490</v>
      </c>
      <c r="B2492" s="1" t="s">
        <v>3316</v>
      </c>
      <c r="C2492" t="s">
        <v>155</v>
      </c>
      <c r="D2492" s="1" t="s">
        <v>3317</v>
      </c>
    </row>
    <row r="2493" spans="1:4" hidden="1" x14ac:dyDescent="0.3">
      <c r="A2493">
        <v>2491</v>
      </c>
      <c r="B2493" t="s">
        <v>3318</v>
      </c>
      <c r="C2493" t="s">
        <v>40</v>
      </c>
      <c r="D2493">
        <v>7.5240471531277002</v>
      </c>
    </row>
    <row r="2494" spans="1:4" hidden="1" x14ac:dyDescent="0.3">
      <c r="A2494">
        <v>2492</v>
      </c>
      <c r="B2494" t="s">
        <v>3319</v>
      </c>
      <c r="C2494" t="s">
        <v>42</v>
      </c>
      <c r="D2494">
        <v>0.23379313095103499</v>
      </c>
    </row>
    <row r="2495" spans="1:4" hidden="1" x14ac:dyDescent="0.3">
      <c r="A2495">
        <v>2493</v>
      </c>
      <c r="B2495" s="1" t="s">
        <v>3320</v>
      </c>
      <c r="C2495" t="s">
        <v>159</v>
      </c>
      <c r="D2495" s="1" t="s">
        <v>3321</v>
      </c>
    </row>
    <row r="2496" spans="1:4" hidden="1" x14ac:dyDescent="0.3">
      <c r="A2496">
        <v>2494</v>
      </c>
      <c r="B2496" t="s">
        <v>3322</v>
      </c>
      <c r="C2496" t="s">
        <v>161</v>
      </c>
      <c r="D2496">
        <v>1.0054719409164601</v>
      </c>
    </row>
    <row r="2497" spans="1:4" hidden="1" x14ac:dyDescent="0.3">
      <c r="A2497">
        <v>2495</v>
      </c>
      <c r="B2497" t="s">
        <v>3323</v>
      </c>
      <c r="C2497" t="s">
        <v>163</v>
      </c>
      <c r="D2497">
        <v>1.0025259151077699</v>
      </c>
    </row>
    <row r="2498" spans="1:4" hidden="1" x14ac:dyDescent="0.3">
      <c r="A2498">
        <v>2496</v>
      </c>
      <c r="B2498" s="1" t="s">
        <v>3324</v>
      </c>
      <c r="C2498" t="s">
        <v>165</v>
      </c>
      <c r="D2498" s="1" t="s">
        <v>3325</v>
      </c>
    </row>
    <row r="2499" spans="1:4" hidden="1" x14ac:dyDescent="0.3">
      <c r="A2499">
        <v>2497</v>
      </c>
      <c r="B2499" t="s">
        <v>3326</v>
      </c>
      <c r="C2499" t="s">
        <v>168</v>
      </c>
      <c r="D2499">
        <v>0.99847609799099002</v>
      </c>
    </row>
    <row r="2500" spans="1:4" hidden="1" x14ac:dyDescent="0.3">
      <c r="A2500">
        <v>2498</v>
      </c>
      <c r="B2500" t="s">
        <v>3327</v>
      </c>
      <c r="C2500" t="s">
        <v>170</v>
      </c>
      <c r="D2500">
        <v>1.0018457996897401</v>
      </c>
    </row>
    <row r="2501" spans="1:4" hidden="1" x14ac:dyDescent="0.3">
      <c r="A2501">
        <v>2499</v>
      </c>
      <c r="B2501" s="1" t="s">
        <v>3328</v>
      </c>
      <c r="C2501" t="s">
        <v>172</v>
      </c>
      <c r="D2501" s="1" t="s">
        <v>3329</v>
      </c>
    </row>
    <row r="2502" spans="1:4" hidden="1" x14ac:dyDescent="0.3">
      <c r="A2502">
        <v>2500</v>
      </c>
      <c r="B2502" s="1" t="s">
        <v>3330</v>
      </c>
      <c r="C2502" t="s">
        <v>55</v>
      </c>
      <c r="D2502" s="1" t="s">
        <v>3331</v>
      </c>
    </row>
    <row r="2503" spans="1:4" hidden="1" x14ac:dyDescent="0.3">
      <c r="A2503">
        <v>2501</v>
      </c>
      <c r="B2503" s="1" t="s">
        <v>3332</v>
      </c>
      <c r="C2503" t="s">
        <v>52</v>
      </c>
      <c r="D2503" s="1" t="s">
        <v>3333</v>
      </c>
    </row>
    <row r="2504" spans="1:4" hidden="1" x14ac:dyDescent="0.3">
      <c r="A2504">
        <v>2502</v>
      </c>
      <c r="B2504" s="1" t="s">
        <v>3334</v>
      </c>
      <c r="C2504" t="s">
        <v>58</v>
      </c>
      <c r="D2504" s="1" t="s">
        <v>3335</v>
      </c>
    </row>
    <row r="2505" spans="1:4" hidden="1" x14ac:dyDescent="0.3">
      <c r="A2505">
        <v>2503</v>
      </c>
      <c r="B2505" t="s">
        <v>3336</v>
      </c>
      <c r="C2505" t="s">
        <v>61</v>
      </c>
      <c r="D2505">
        <v>147010906.33773899</v>
      </c>
    </row>
    <row r="2506" spans="1:4" hidden="1" x14ac:dyDescent="0.3">
      <c r="A2506">
        <v>2504</v>
      </c>
      <c r="B2506" t="s">
        <v>3337</v>
      </c>
      <c r="C2506" t="s">
        <v>63</v>
      </c>
      <c r="D2506">
        <v>77386994.159664705</v>
      </c>
    </row>
    <row r="2507" spans="1:4" hidden="1" x14ac:dyDescent="0.3">
      <c r="A2507">
        <v>2505</v>
      </c>
      <c r="B2507" t="s">
        <v>3338</v>
      </c>
      <c r="C2507" t="s">
        <v>65</v>
      </c>
      <c r="D2507">
        <v>39554110.764565103</v>
      </c>
    </row>
    <row r="2508" spans="1:4" hidden="1" x14ac:dyDescent="0.3">
      <c r="A2508">
        <v>2506</v>
      </c>
      <c r="B2508" s="1" t="s">
        <v>3339</v>
      </c>
      <c r="C2508" t="s">
        <v>67</v>
      </c>
      <c r="D2508" s="1" t="s">
        <v>3340</v>
      </c>
    </row>
    <row r="2509" spans="1:4" hidden="1" x14ac:dyDescent="0.3">
      <c r="A2509">
        <v>2507</v>
      </c>
      <c r="B2509" s="1" t="s">
        <v>3341</v>
      </c>
      <c r="C2509" t="s">
        <v>70</v>
      </c>
      <c r="D2509" s="1" t="s">
        <v>3342</v>
      </c>
    </row>
    <row r="2510" spans="1:4" hidden="1" x14ac:dyDescent="0.3">
      <c r="A2510">
        <v>2508</v>
      </c>
      <c r="B2510" t="s">
        <v>3343</v>
      </c>
      <c r="C2510" t="s">
        <v>73</v>
      </c>
      <c r="D2510">
        <v>1.0000662411519701</v>
      </c>
    </row>
    <row r="2511" spans="1:4" hidden="1" x14ac:dyDescent="0.3">
      <c r="A2511">
        <v>2509</v>
      </c>
      <c r="B2511" t="s">
        <v>74</v>
      </c>
      <c r="C2511" t="s">
        <v>75</v>
      </c>
      <c r="D2511">
        <v>2.7397260273972599E-3</v>
      </c>
    </row>
    <row r="2512" spans="1:4" hidden="1" x14ac:dyDescent="0.3">
      <c r="A2512">
        <v>2510</v>
      </c>
      <c r="B2512" t="s">
        <v>76</v>
      </c>
      <c r="C2512" t="s">
        <v>77</v>
      </c>
      <c r="D2512">
        <v>0</v>
      </c>
    </row>
    <row r="2513" spans="1:4" hidden="1" x14ac:dyDescent="0.3">
      <c r="A2513">
        <v>2511</v>
      </c>
      <c r="B2513" t="s">
        <v>78</v>
      </c>
      <c r="C2513" t="s">
        <v>79</v>
      </c>
      <c r="D2513">
        <v>0</v>
      </c>
    </row>
    <row r="2514" spans="1:4" hidden="1" x14ac:dyDescent="0.3">
      <c r="A2514">
        <v>2512</v>
      </c>
      <c r="B2514" s="1" t="s">
        <v>3344</v>
      </c>
      <c r="C2514" t="s">
        <v>81</v>
      </c>
      <c r="D2514" s="1" t="s">
        <v>3345</v>
      </c>
    </row>
    <row r="2515" spans="1:4" hidden="1" x14ac:dyDescent="0.3">
      <c r="A2515">
        <v>2513</v>
      </c>
      <c r="B2515" t="s">
        <v>3346</v>
      </c>
      <c r="C2515" t="s">
        <v>84</v>
      </c>
      <c r="D2515">
        <v>1.0000748270516899</v>
      </c>
    </row>
    <row r="2516" spans="1:4" hidden="1" x14ac:dyDescent="0.3">
      <c r="A2516">
        <v>2514</v>
      </c>
      <c r="B2516" s="1" t="s">
        <v>3347</v>
      </c>
      <c r="C2516" t="s">
        <v>86</v>
      </c>
      <c r="D2516" s="1" t="s">
        <v>3348</v>
      </c>
    </row>
    <row r="2517" spans="1:4" hidden="1" x14ac:dyDescent="0.3">
      <c r="A2517">
        <v>2515</v>
      </c>
      <c r="B2517" t="s">
        <v>3349</v>
      </c>
      <c r="C2517" t="s">
        <v>89</v>
      </c>
      <c r="D2517">
        <v>101182208.317121</v>
      </c>
    </row>
    <row r="2518" spans="1:4" hidden="1" x14ac:dyDescent="0.3">
      <c r="A2518">
        <v>2516</v>
      </c>
      <c r="B2518" s="1" t="s">
        <v>3350</v>
      </c>
      <c r="C2518" t="s">
        <v>91</v>
      </c>
      <c r="D2518" s="1" t="s">
        <v>3284</v>
      </c>
    </row>
    <row r="2519" spans="1:4" hidden="1" x14ac:dyDescent="0.3">
      <c r="A2519">
        <v>2517</v>
      </c>
      <c r="B2519" t="s">
        <v>3351</v>
      </c>
      <c r="C2519" t="s">
        <v>94</v>
      </c>
      <c r="D2519">
        <v>77386994.159664705</v>
      </c>
    </row>
    <row r="2520" spans="1:4" hidden="1" x14ac:dyDescent="0.3">
      <c r="A2520">
        <v>2518</v>
      </c>
      <c r="B2520" t="s">
        <v>3352</v>
      </c>
      <c r="C2520" t="s">
        <v>96</v>
      </c>
      <c r="D2520">
        <v>39554110.764565103</v>
      </c>
    </row>
    <row r="2521" spans="1:4" hidden="1" x14ac:dyDescent="0.3">
      <c r="A2521">
        <v>2519</v>
      </c>
      <c r="B2521" t="s">
        <v>3353</v>
      </c>
      <c r="C2521" t="s">
        <v>98</v>
      </c>
      <c r="D2521">
        <v>30069801.413509302</v>
      </c>
    </row>
    <row r="2522" spans="1:4" hidden="1" x14ac:dyDescent="0.3">
      <c r="A2522">
        <v>2520</v>
      </c>
      <c r="B2522" s="1" t="s">
        <v>3354</v>
      </c>
      <c r="C2522" t="s">
        <v>100</v>
      </c>
      <c r="D2522" s="1" t="s">
        <v>3355</v>
      </c>
    </row>
    <row r="2523" spans="1:4" hidden="1" x14ac:dyDescent="0.3">
      <c r="A2523">
        <v>2521</v>
      </c>
      <c r="B2523" t="s">
        <v>3356</v>
      </c>
      <c r="C2523" t="s">
        <v>103</v>
      </c>
      <c r="D2523">
        <v>9.2016670080213997E-3</v>
      </c>
    </row>
    <row r="2524" spans="1:4" hidden="1" x14ac:dyDescent="0.3">
      <c r="A2524">
        <v>2522</v>
      </c>
      <c r="B2524" t="s">
        <v>3357</v>
      </c>
      <c r="C2524" t="s">
        <v>105</v>
      </c>
      <c r="D2524">
        <v>1.8258034156099501E-3</v>
      </c>
    </row>
    <row r="2525" spans="1:4" hidden="1" x14ac:dyDescent="0.3">
      <c r="A2525">
        <v>2523</v>
      </c>
      <c r="B2525" t="s">
        <v>3358</v>
      </c>
      <c r="C2525" t="s">
        <v>107</v>
      </c>
      <c r="D2525">
        <v>1.15428600740157E-2</v>
      </c>
    </row>
    <row r="2526" spans="1:4" hidden="1" x14ac:dyDescent="0.3">
      <c r="A2526">
        <v>2524</v>
      </c>
      <c r="B2526" s="1" t="s">
        <v>3359</v>
      </c>
      <c r="C2526" t="s">
        <v>109</v>
      </c>
      <c r="D2526" s="1" t="s">
        <v>3360</v>
      </c>
    </row>
    <row r="2527" spans="1:4" x14ac:dyDescent="0.3">
      <c r="A2527">
        <v>2525</v>
      </c>
      <c r="B2527" t="s">
        <v>3361</v>
      </c>
      <c r="C2527" t="s">
        <v>207</v>
      </c>
      <c r="D2527">
        <v>147011205.83894601</v>
      </c>
    </row>
    <row r="2528" spans="1:4" hidden="1" x14ac:dyDescent="0.3">
      <c r="A2528">
        <v>2526</v>
      </c>
      <c r="B2528" t="s">
        <v>3362</v>
      </c>
      <c r="C2528" t="s">
        <v>209</v>
      </c>
      <c r="D2528">
        <v>-664.39478264045795</v>
      </c>
    </row>
    <row r="2529" spans="1:4" hidden="1" x14ac:dyDescent="0.3">
      <c r="A2529">
        <v>2527</v>
      </c>
      <c r="B2529" t="s">
        <v>3363</v>
      </c>
      <c r="C2529" t="s">
        <v>211</v>
      </c>
      <c r="D2529">
        <v>-339.58567137766403</v>
      </c>
    </row>
    <row r="2530" spans="1:4" hidden="1" x14ac:dyDescent="0.3">
      <c r="A2530">
        <v>2528</v>
      </c>
      <c r="B2530" s="1" t="s">
        <v>3364</v>
      </c>
      <c r="C2530" t="s">
        <v>213</v>
      </c>
      <c r="D2530" s="1" t="s">
        <v>3365</v>
      </c>
    </row>
    <row r="2531" spans="1:4" hidden="1" x14ac:dyDescent="0.3">
      <c r="A2531">
        <v>2529</v>
      </c>
      <c r="B2531" t="s">
        <v>3366</v>
      </c>
      <c r="C2531" t="s">
        <v>216</v>
      </c>
      <c r="D2531">
        <v>77387870.730093494</v>
      </c>
    </row>
    <row r="2532" spans="1:4" hidden="1" x14ac:dyDescent="0.3">
      <c r="A2532">
        <v>2530</v>
      </c>
      <c r="B2532" t="s">
        <v>3367</v>
      </c>
      <c r="C2532" t="s">
        <v>218</v>
      </c>
      <c r="D2532">
        <v>39554512.956776597</v>
      </c>
    </row>
    <row r="2533" spans="1:4" hidden="1" x14ac:dyDescent="0.3">
      <c r="A2533">
        <v>2531</v>
      </c>
      <c r="B2533" t="s">
        <v>3368</v>
      </c>
      <c r="C2533" t="s">
        <v>220</v>
      </c>
      <c r="D2533">
        <v>30070084.291941099</v>
      </c>
    </row>
    <row r="2534" spans="1:4" hidden="1" x14ac:dyDescent="0.3">
      <c r="A2534">
        <v>2532</v>
      </c>
      <c r="B2534" s="1" t="s">
        <v>3369</v>
      </c>
      <c r="C2534" t="s">
        <v>222</v>
      </c>
      <c r="D2534" s="1" t="s">
        <v>3370</v>
      </c>
    </row>
    <row r="2535" spans="1:4" hidden="1" x14ac:dyDescent="0.3">
      <c r="A2535">
        <v>2533</v>
      </c>
      <c r="B2535" t="s">
        <v>3371</v>
      </c>
      <c r="C2535" t="s">
        <v>225</v>
      </c>
      <c r="D2535">
        <v>101183076.999872</v>
      </c>
    </row>
    <row r="2536" spans="1:4" hidden="1" x14ac:dyDescent="0.3">
      <c r="A2536">
        <v>2534</v>
      </c>
      <c r="B2536" t="s">
        <v>3372</v>
      </c>
      <c r="C2536" t="s">
        <v>227</v>
      </c>
      <c r="D2536">
        <v>-868.68275113403797</v>
      </c>
    </row>
    <row r="2537" spans="1:4" hidden="1" x14ac:dyDescent="0.3">
      <c r="A2537">
        <v>2535</v>
      </c>
      <c r="B2537" s="1" t="s">
        <v>3373</v>
      </c>
      <c r="C2537" t="s">
        <v>229</v>
      </c>
      <c r="D2537" s="1" t="s">
        <v>3374</v>
      </c>
    </row>
    <row r="2538" spans="1:4" hidden="1" x14ac:dyDescent="0.3">
      <c r="A2538">
        <v>2536</v>
      </c>
      <c r="B2538" t="s">
        <v>3375</v>
      </c>
      <c r="C2538" t="s">
        <v>112</v>
      </c>
      <c r="D2538">
        <v>212.175646139002</v>
      </c>
    </row>
    <row r="2539" spans="1:4" hidden="1" x14ac:dyDescent="0.3">
      <c r="A2539">
        <v>2537</v>
      </c>
      <c r="B2539" t="s">
        <v>3376</v>
      </c>
      <c r="C2539" t="s">
        <v>114</v>
      </c>
      <c r="D2539">
        <v>62.606540064228</v>
      </c>
    </row>
    <row r="2540" spans="1:4" hidden="1" x14ac:dyDescent="0.3">
      <c r="A2540">
        <v>2538</v>
      </c>
      <c r="B2540" s="1" t="s">
        <v>3377</v>
      </c>
      <c r="C2540" t="s">
        <v>116</v>
      </c>
      <c r="D2540" s="1" t="s">
        <v>3378</v>
      </c>
    </row>
    <row r="2541" spans="1:4" hidden="1" x14ac:dyDescent="0.3">
      <c r="A2541">
        <v>2539</v>
      </c>
      <c r="B2541" t="s">
        <v>3379</v>
      </c>
      <c r="C2541" t="s">
        <v>119</v>
      </c>
      <c r="D2541">
        <v>77387870.730093494</v>
      </c>
    </row>
    <row r="2542" spans="1:4" hidden="1" x14ac:dyDescent="0.3">
      <c r="A2542">
        <v>2540</v>
      </c>
      <c r="B2542" t="s">
        <v>3380</v>
      </c>
      <c r="C2542" t="s">
        <v>121</v>
      </c>
      <c r="D2542">
        <v>39554512.956776597</v>
      </c>
    </row>
    <row r="2543" spans="1:4" hidden="1" x14ac:dyDescent="0.3">
      <c r="A2543">
        <v>2541</v>
      </c>
      <c r="B2543" s="1" t="s">
        <v>3381</v>
      </c>
      <c r="C2543" t="s">
        <v>123</v>
      </c>
      <c r="D2543" s="1" t="s">
        <v>3382</v>
      </c>
    </row>
    <row r="2544" spans="1:4" hidden="1" x14ac:dyDescent="0.3">
      <c r="A2544">
        <v>2542</v>
      </c>
      <c r="B2544" t="s">
        <v>3383</v>
      </c>
      <c r="C2544" t="s">
        <v>126</v>
      </c>
      <c r="D2544">
        <v>0.76477295167903003</v>
      </c>
    </row>
    <row r="2545" spans="1:4" hidden="1" x14ac:dyDescent="0.3">
      <c r="A2545">
        <v>2543</v>
      </c>
      <c r="B2545" t="s">
        <v>3384</v>
      </c>
      <c r="C2545" t="s">
        <v>128</v>
      </c>
      <c r="D2545">
        <v>0.390890992875155</v>
      </c>
    </row>
    <row r="2546" spans="1:4" hidden="1" x14ac:dyDescent="0.3">
      <c r="A2546">
        <v>2544</v>
      </c>
      <c r="B2546" s="1" t="s">
        <v>3385</v>
      </c>
      <c r="C2546" t="s">
        <v>130</v>
      </c>
      <c r="D2546" s="1" t="s">
        <v>3386</v>
      </c>
    </row>
    <row r="2547" spans="1:4" hidden="1" x14ac:dyDescent="0.3">
      <c r="A2547">
        <v>2545</v>
      </c>
      <c r="B2547" s="1" t="s">
        <v>3387</v>
      </c>
      <c r="C2547" t="s">
        <v>4</v>
      </c>
      <c r="D2547" t="s">
        <v>3388</v>
      </c>
    </row>
    <row r="2548" spans="1:4" hidden="1" x14ac:dyDescent="0.3">
      <c r="A2548">
        <v>2546</v>
      </c>
      <c r="B2548" t="s">
        <v>3389</v>
      </c>
      <c r="C2548" t="s">
        <v>7</v>
      </c>
      <c r="D2548">
        <v>1803.63</v>
      </c>
    </row>
    <row r="2549" spans="1:4" hidden="1" x14ac:dyDescent="0.3">
      <c r="A2549">
        <v>2547</v>
      </c>
      <c r="B2549" s="1" t="s">
        <v>3390</v>
      </c>
      <c r="C2549" t="s">
        <v>9</v>
      </c>
      <c r="D2549" s="1" t="s">
        <v>3391</v>
      </c>
    </row>
    <row r="2550" spans="1:4" hidden="1" x14ac:dyDescent="0.3">
      <c r="A2550">
        <v>2548</v>
      </c>
      <c r="B2550" t="s">
        <v>1417</v>
      </c>
      <c r="C2550" t="s">
        <v>14</v>
      </c>
      <c r="D2550">
        <v>98.53125</v>
      </c>
    </row>
    <row r="2551" spans="1:4" hidden="1" x14ac:dyDescent="0.3">
      <c r="A2551">
        <v>2549</v>
      </c>
      <c r="B2551" t="s">
        <v>3392</v>
      </c>
      <c r="C2551" t="s">
        <v>16</v>
      </c>
      <c r="D2551">
        <v>4.3943818225843199</v>
      </c>
    </row>
    <row r="2552" spans="1:4" hidden="1" x14ac:dyDescent="0.3">
      <c r="A2552">
        <v>2550</v>
      </c>
      <c r="B2552" s="1" t="s">
        <v>3393</v>
      </c>
      <c r="C2552" t="s">
        <v>140</v>
      </c>
      <c r="D2552" s="1" t="s">
        <v>3394</v>
      </c>
    </row>
    <row r="2553" spans="1:4" hidden="1" x14ac:dyDescent="0.3">
      <c r="A2553">
        <v>2551</v>
      </c>
      <c r="B2553" t="s">
        <v>2318</v>
      </c>
      <c r="C2553" t="s">
        <v>22</v>
      </c>
      <c r="D2553">
        <v>75.55</v>
      </c>
    </row>
    <row r="2554" spans="1:4" hidden="1" x14ac:dyDescent="0.3">
      <c r="A2554">
        <v>2552</v>
      </c>
      <c r="B2554" t="s">
        <v>3395</v>
      </c>
      <c r="C2554" t="s">
        <v>24</v>
      </c>
      <c r="D2554">
        <v>6.2349406087298096</v>
      </c>
    </row>
    <row r="2555" spans="1:4" hidden="1" x14ac:dyDescent="0.3">
      <c r="A2555">
        <v>2553</v>
      </c>
      <c r="B2555" s="1" t="s">
        <v>3396</v>
      </c>
      <c r="C2555" t="s">
        <v>145</v>
      </c>
      <c r="D2555" s="1" t="s">
        <v>3397</v>
      </c>
    </row>
    <row r="2556" spans="1:4" hidden="1" x14ac:dyDescent="0.3">
      <c r="A2556">
        <v>2554</v>
      </c>
      <c r="B2556" t="s">
        <v>3398</v>
      </c>
      <c r="C2556" t="s">
        <v>35</v>
      </c>
      <c r="D2556">
        <v>0.14414758389013599</v>
      </c>
    </row>
    <row r="2557" spans="1:4" hidden="1" x14ac:dyDescent="0.3">
      <c r="A2557">
        <v>2555</v>
      </c>
      <c r="B2557" t="s">
        <v>3399</v>
      </c>
      <c r="C2557" t="s">
        <v>149</v>
      </c>
      <c r="D2557">
        <v>0.68483437267938396</v>
      </c>
    </row>
    <row r="2558" spans="1:4" hidden="1" x14ac:dyDescent="0.3">
      <c r="A2558">
        <v>2556</v>
      </c>
      <c r="B2558" s="1" t="s">
        <v>3400</v>
      </c>
      <c r="C2558" t="s">
        <v>151</v>
      </c>
      <c r="D2558" s="1" t="s">
        <v>3401</v>
      </c>
    </row>
    <row r="2559" spans="1:4" hidden="1" x14ac:dyDescent="0.3">
      <c r="A2559">
        <v>2557</v>
      </c>
      <c r="B2559" t="s">
        <v>3402</v>
      </c>
      <c r="C2559" t="s">
        <v>30</v>
      </c>
      <c r="D2559">
        <v>0.34224158589577203</v>
      </c>
    </row>
    <row r="2560" spans="1:4" hidden="1" x14ac:dyDescent="0.3">
      <c r="A2560">
        <v>2558</v>
      </c>
      <c r="B2560" t="s">
        <v>3403</v>
      </c>
      <c r="C2560" t="s">
        <v>32</v>
      </c>
      <c r="D2560">
        <v>0.22860221972900599</v>
      </c>
    </row>
    <row r="2561" spans="1:4" hidden="1" x14ac:dyDescent="0.3">
      <c r="A2561">
        <v>2559</v>
      </c>
      <c r="B2561" s="1" t="s">
        <v>3404</v>
      </c>
      <c r="C2561" t="s">
        <v>155</v>
      </c>
      <c r="D2561" s="1" t="s">
        <v>3405</v>
      </c>
    </row>
    <row r="2562" spans="1:4" hidden="1" x14ac:dyDescent="0.3">
      <c r="A2562">
        <v>2560</v>
      </c>
      <c r="B2562" t="s">
        <v>3406</v>
      </c>
      <c r="C2562" t="s">
        <v>40</v>
      </c>
      <c r="D2562">
        <v>0.51361083021409104</v>
      </c>
    </row>
    <row r="2563" spans="1:4" hidden="1" x14ac:dyDescent="0.3">
      <c r="A2563">
        <v>2561</v>
      </c>
      <c r="B2563" t="s">
        <v>3407</v>
      </c>
      <c r="C2563" t="s">
        <v>42</v>
      </c>
      <c r="D2563">
        <v>0.23160486083493201</v>
      </c>
    </row>
    <row r="2564" spans="1:4" hidden="1" x14ac:dyDescent="0.3">
      <c r="A2564">
        <v>2562</v>
      </c>
      <c r="B2564" s="1" t="s">
        <v>3408</v>
      </c>
      <c r="C2564" t="s">
        <v>159</v>
      </c>
      <c r="D2564" s="1" t="s">
        <v>3409</v>
      </c>
    </row>
    <row r="2565" spans="1:4" hidden="1" x14ac:dyDescent="0.3">
      <c r="A2565">
        <v>2563</v>
      </c>
      <c r="B2565" t="s">
        <v>3410</v>
      </c>
      <c r="C2565" t="s">
        <v>161</v>
      </c>
      <c r="D2565">
        <v>1.0036448015669801</v>
      </c>
    </row>
    <row r="2566" spans="1:4" hidden="1" x14ac:dyDescent="0.3">
      <c r="A2566">
        <v>2564</v>
      </c>
      <c r="B2566" t="s">
        <v>3411</v>
      </c>
      <c r="C2566" t="s">
        <v>163</v>
      </c>
      <c r="D2566">
        <v>1.0005998934293701</v>
      </c>
    </row>
    <row r="2567" spans="1:4" hidden="1" x14ac:dyDescent="0.3">
      <c r="A2567">
        <v>2565</v>
      </c>
      <c r="B2567" s="1" t="s">
        <v>3412</v>
      </c>
      <c r="C2567" t="s">
        <v>165</v>
      </c>
      <c r="D2567" s="1" t="s">
        <v>3413</v>
      </c>
    </row>
    <row r="2568" spans="1:4" hidden="1" x14ac:dyDescent="0.3">
      <c r="A2568">
        <v>2566</v>
      </c>
      <c r="B2568" t="s">
        <v>3414</v>
      </c>
      <c r="C2568" t="s">
        <v>168</v>
      </c>
      <c r="D2568">
        <v>1.0008028396606701</v>
      </c>
    </row>
    <row r="2569" spans="1:4" hidden="1" x14ac:dyDescent="0.3">
      <c r="A2569">
        <v>2567</v>
      </c>
      <c r="B2569" t="s">
        <v>3415</v>
      </c>
      <c r="C2569" t="s">
        <v>170</v>
      </c>
      <c r="D2569">
        <v>0.99943118458500602</v>
      </c>
    </row>
    <row r="2570" spans="1:4" hidden="1" x14ac:dyDescent="0.3">
      <c r="A2570">
        <v>2568</v>
      </c>
      <c r="B2570" s="1" t="s">
        <v>3416</v>
      </c>
      <c r="C2570" t="s">
        <v>172</v>
      </c>
      <c r="D2570" s="1" t="s">
        <v>3417</v>
      </c>
    </row>
    <row r="2571" spans="1:4" hidden="1" x14ac:dyDescent="0.3">
      <c r="A2571">
        <v>2569</v>
      </c>
      <c r="B2571" s="1" t="s">
        <v>3418</v>
      </c>
      <c r="C2571" t="s">
        <v>55</v>
      </c>
      <c r="D2571" s="1" t="s">
        <v>3419</v>
      </c>
    </row>
    <row r="2572" spans="1:4" hidden="1" x14ac:dyDescent="0.3">
      <c r="A2572">
        <v>2570</v>
      </c>
      <c r="B2572" s="1" t="s">
        <v>3420</v>
      </c>
      <c r="C2572" t="s">
        <v>52</v>
      </c>
      <c r="D2572" s="1" t="s">
        <v>3421</v>
      </c>
    </row>
    <row r="2573" spans="1:4" hidden="1" x14ac:dyDescent="0.3">
      <c r="A2573">
        <v>2571</v>
      </c>
      <c r="B2573" s="1" t="s">
        <v>3422</v>
      </c>
      <c r="C2573" t="s">
        <v>58</v>
      </c>
      <c r="D2573" s="1" t="s">
        <v>3423</v>
      </c>
    </row>
    <row r="2574" spans="1:4" hidden="1" x14ac:dyDescent="0.3">
      <c r="A2574">
        <v>2572</v>
      </c>
      <c r="B2574" t="s">
        <v>3424</v>
      </c>
      <c r="C2574" t="s">
        <v>61</v>
      </c>
      <c r="D2574">
        <v>147081264.47529</v>
      </c>
    </row>
    <row r="2575" spans="1:4" hidden="1" x14ac:dyDescent="0.3">
      <c r="A2575">
        <v>2573</v>
      </c>
      <c r="B2575" t="s">
        <v>3425</v>
      </c>
      <c r="C2575" t="s">
        <v>63</v>
      </c>
      <c r="D2575">
        <v>77669934.1625963</v>
      </c>
    </row>
    <row r="2576" spans="1:4" hidden="1" x14ac:dyDescent="0.3">
      <c r="A2576">
        <v>2574</v>
      </c>
      <c r="B2576" t="s">
        <v>3426</v>
      </c>
      <c r="C2576" t="s">
        <v>65</v>
      </c>
      <c r="D2576">
        <v>39578241.449201301</v>
      </c>
    </row>
    <row r="2577" spans="1:4" hidden="1" x14ac:dyDescent="0.3">
      <c r="A2577">
        <v>2575</v>
      </c>
      <c r="B2577" s="1" t="s">
        <v>3427</v>
      </c>
      <c r="C2577" t="s">
        <v>67</v>
      </c>
      <c r="D2577" s="1" t="s">
        <v>3428</v>
      </c>
    </row>
    <row r="2578" spans="1:4" hidden="1" x14ac:dyDescent="0.3">
      <c r="A2578">
        <v>2576</v>
      </c>
      <c r="B2578" s="1" t="s">
        <v>3429</v>
      </c>
      <c r="C2578" t="s">
        <v>70</v>
      </c>
      <c r="D2578" s="1" t="s">
        <v>3430</v>
      </c>
    </row>
    <row r="2579" spans="1:4" hidden="1" x14ac:dyDescent="0.3">
      <c r="A2579">
        <v>2577</v>
      </c>
      <c r="B2579" t="s">
        <v>3431</v>
      </c>
      <c r="C2579" t="s">
        <v>73</v>
      </c>
      <c r="D2579">
        <v>1.0000748270516899</v>
      </c>
    </row>
    <row r="2580" spans="1:4" hidden="1" x14ac:dyDescent="0.3">
      <c r="A2580">
        <v>2578</v>
      </c>
      <c r="B2580" t="s">
        <v>74</v>
      </c>
      <c r="C2580" t="s">
        <v>75</v>
      </c>
      <c r="D2580">
        <v>2.7397260273972599E-3</v>
      </c>
    </row>
    <row r="2581" spans="1:4" hidden="1" x14ac:dyDescent="0.3">
      <c r="A2581">
        <v>2579</v>
      </c>
      <c r="B2581" t="s">
        <v>76</v>
      </c>
      <c r="C2581" t="s">
        <v>77</v>
      </c>
      <c r="D2581">
        <v>0</v>
      </c>
    </row>
    <row r="2582" spans="1:4" hidden="1" x14ac:dyDescent="0.3">
      <c r="A2582">
        <v>2580</v>
      </c>
      <c r="B2582" t="s">
        <v>650</v>
      </c>
      <c r="C2582" t="s">
        <v>79</v>
      </c>
      <c r="D2582" s="2">
        <v>2.2204460492503101E-16</v>
      </c>
    </row>
    <row r="2583" spans="1:4" hidden="1" x14ac:dyDescent="0.3">
      <c r="A2583">
        <v>2581</v>
      </c>
      <c r="B2583" s="1" t="s">
        <v>3432</v>
      </c>
      <c r="C2583" t="s">
        <v>81</v>
      </c>
      <c r="D2583" s="1" t="s">
        <v>3433</v>
      </c>
    </row>
    <row r="2584" spans="1:4" hidden="1" x14ac:dyDescent="0.3">
      <c r="A2584">
        <v>2582</v>
      </c>
      <c r="B2584" t="s">
        <v>3434</v>
      </c>
      <c r="C2584" t="s">
        <v>84</v>
      </c>
      <c r="D2584">
        <v>1.0000854082903501</v>
      </c>
    </row>
    <row r="2585" spans="1:4" hidden="1" x14ac:dyDescent="0.3">
      <c r="A2585">
        <v>2583</v>
      </c>
      <c r="B2585" s="1" t="s">
        <v>3435</v>
      </c>
      <c r="C2585" t="s">
        <v>86</v>
      </c>
      <c r="D2585" s="1" t="s">
        <v>3436</v>
      </c>
    </row>
    <row r="2586" spans="1:4" hidden="1" x14ac:dyDescent="0.3">
      <c r="A2586">
        <v>2584</v>
      </c>
      <c r="B2586" t="s">
        <v>3437</v>
      </c>
      <c r="C2586" t="s">
        <v>89</v>
      </c>
      <c r="D2586">
        <v>101181137.77546</v>
      </c>
    </row>
    <row r="2587" spans="1:4" hidden="1" x14ac:dyDescent="0.3">
      <c r="A2587">
        <v>2585</v>
      </c>
      <c r="B2587" s="1" t="s">
        <v>3438</v>
      </c>
      <c r="C2587" t="s">
        <v>91</v>
      </c>
      <c r="D2587" s="1" t="s">
        <v>3374</v>
      </c>
    </row>
    <row r="2588" spans="1:4" hidden="1" x14ac:dyDescent="0.3">
      <c r="A2588">
        <v>2586</v>
      </c>
      <c r="B2588" t="s">
        <v>3439</v>
      </c>
      <c r="C2588" t="s">
        <v>94</v>
      </c>
      <c r="D2588">
        <v>77669934.1625963</v>
      </c>
    </row>
    <row r="2589" spans="1:4" hidden="1" x14ac:dyDescent="0.3">
      <c r="A2589">
        <v>2587</v>
      </c>
      <c r="B2589" t="s">
        <v>3440</v>
      </c>
      <c r="C2589" t="s">
        <v>96</v>
      </c>
      <c r="D2589">
        <v>39578241.449201301</v>
      </c>
    </row>
    <row r="2590" spans="1:4" hidden="1" x14ac:dyDescent="0.3">
      <c r="A2590">
        <v>2588</v>
      </c>
      <c r="B2590" t="s">
        <v>3441</v>
      </c>
      <c r="C2590" t="s">
        <v>98</v>
      </c>
      <c r="D2590">
        <v>29833088.863492399</v>
      </c>
    </row>
    <row r="2591" spans="1:4" hidden="1" x14ac:dyDescent="0.3">
      <c r="A2591">
        <v>2589</v>
      </c>
      <c r="B2591" s="1" t="s">
        <v>3442</v>
      </c>
      <c r="C2591" t="s">
        <v>100</v>
      </c>
      <c r="D2591" s="1" t="s">
        <v>3443</v>
      </c>
    </row>
    <row r="2592" spans="1:4" hidden="1" x14ac:dyDescent="0.3">
      <c r="A2592">
        <v>2590</v>
      </c>
      <c r="B2592" t="s">
        <v>3444</v>
      </c>
      <c r="C2592" t="s">
        <v>103</v>
      </c>
      <c r="D2592">
        <v>9.2173723614911093E-3</v>
      </c>
    </row>
    <row r="2593" spans="1:4" hidden="1" x14ac:dyDescent="0.3">
      <c r="A2593">
        <v>2591</v>
      </c>
      <c r="B2593" t="s">
        <v>3445</v>
      </c>
      <c r="C2593" t="s">
        <v>105</v>
      </c>
      <c r="D2593">
        <v>1.82497049291553E-3</v>
      </c>
    </row>
    <row r="2594" spans="1:4" hidden="1" x14ac:dyDescent="0.3">
      <c r="A2594">
        <v>2592</v>
      </c>
      <c r="B2594" t="s">
        <v>3446</v>
      </c>
      <c r="C2594" t="s">
        <v>107</v>
      </c>
      <c r="D2594">
        <v>1.1587941515197099E-2</v>
      </c>
    </row>
    <row r="2595" spans="1:4" hidden="1" x14ac:dyDescent="0.3">
      <c r="A2595">
        <v>2593</v>
      </c>
      <c r="B2595" s="1" t="s">
        <v>3447</v>
      </c>
      <c r="C2595" t="s">
        <v>109</v>
      </c>
      <c r="D2595" s="1" t="s">
        <v>3448</v>
      </c>
    </row>
    <row r="2596" spans="1:4" x14ac:dyDescent="0.3">
      <c r="A2596">
        <v>2594</v>
      </c>
      <c r="B2596" t="s">
        <v>3449</v>
      </c>
      <c r="C2596" t="s">
        <v>207</v>
      </c>
      <c r="D2596">
        <v>147081634.197889</v>
      </c>
    </row>
    <row r="2597" spans="1:4" hidden="1" x14ac:dyDescent="0.3">
      <c r="A2597">
        <v>2595</v>
      </c>
      <c r="B2597" t="s">
        <v>3450</v>
      </c>
      <c r="C2597" t="s">
        <v>209</v>
      </c>
      <c r="D2597">
        <v>-821.78527908384399</v>
      </c>
    </row>
    <row r="2598" spans="1:4" hidden="1" x14ac:dyDescent="0.3">
      <c r="A2598">
        <v>2596</v>
      </c>
      <c r="B2598" t="s">
        <v>3451</v>
      </c>
      <c r="C2598" t="s">
        <v>211</v>
      </c>
      <c r="D2598">
        <v>-418.75626966078499</v>
      </c>
    </row>
    <row r="2599" spans="1:4" hidden="1" x14ac:dyDescent="0.3">
      <c r="A2599">
        <v>2597</v>
      </c>
      <c r="B2599" s="1" t="s">
        <v>3452</v>
      </c>
      <c r="C2599" t="s">
        <v>213</v>
      </c>
      <c r="D2599" s="1" t="s">
        <v>3453</v>
      </c>
    </row>
    <row r="2600" spans="1:4" hidden="1" x14ac:dyDescent="0.3">
      <c r="A2600">
        <v>2598</v>
      </c>
      <c r="B2600" t="s">
        <v>3454</v>
      </c>
      <c r="C2600" t="s">
        <v>216</v>
      </c>
      <c r="D2600">
        <v>77671007.405862704</v>
      </c>
    </row>
    <row r="2601" spans="1:4" hidden="1" x14ac:dyDescent="0.3">
      <c r="A2601">
        <v>2599</v>
      </c>
      <c r="B2601" t="s">
        <v>3455</v>
      </c>
      <c r="C2601" t="s">
        <v>218</v>
      </c>
      <c r="D2601">
        <v>39578734.433323704</v>
      </c>
    </row>
    <row r="2602" spans="1:4" hidden="1" x14ac:dyDescent="0.3">
      <c r="A2602">
        <v>2600</v>
      </c>
      <c r="B2602" t="s">
        <v>3456</v>
      </c>
      <c r="C2602" t="s">
        <v>220</v>
      </c>
      <c r="D2602">
        <v>29833448.5481323</v>
      </c>
    </row>
    <row r="2603" spans="1:4" hidden="1" x14ac:dyDescent="0.3">
      <c r="A2603">
        <v>2601</v>
      </c>
      <c r="B2603" s="1" t="s">
        <v>3457</v>
      </c>
      <c r="C2603" t="s">
        <v>222</v>
      </c>
      <c r="D2603" s="1" t="s">
        <v>3458</v>
      </c>
    </row>
    <row r="2604" spans="1:4" hidden="1" x14ac:dyDescent="0.3">
      <c r="A2604">
        <v>2602</v>
      </c>
      <c r="B2604" t="s">
        <v>3459</v>
      </c>
      <c r="C2604" t="s">
        <v>225</v>
      </c>
      <c r="D2604">
        <v>101182208.317121</v>
      </c>
    </row>
    <row r="2605" spans="1:4" hidden="1" x14ac:dyDescent="0.3">
      <c r="A2605">
        <v>2603</v>
      </c>
      <c r="B2605" t="s">
        <v>3460</v>
      </c>
      <c r="C2605" t="s">
        <v>227</v>
      </c>
      <c r="D2605">
        <v>-1070.5416612625099</v>
      </c>
    </row>
    <row r="2606" spans="1:4" hidden="1" x14ac:dyDescent="0.3">
      <c r="A2606">
        <v>2604</v>
      </c>
      <c r="B2606" s="1" t="s">
        <v>3461</v>
      </c>
      <c r="C2606" t="s">
        <v>229</v>
      </c>
      <c r="D2606" s="1" t="s">
        <v>3462</v>
      </c>
    </row>
    <row r="2607" spans="1:4" hidden="1" x14ac:dyDescent="0.3">
      <c r="A2607">
        <v>2605</v>
      </c>
      <c r="B2607" t="s">
        <v>3463</v>
      </c>
      <c r="C2607" t="s">
        <v>112</v>
      </c>
      <c r="D2607">
        <v>251.457987317636</v>
      </c>
    </row>
    <row r="2608" spans="1:4" hidden="1" x14ac:dyDescent="0.3">
      <c r="A2608">
        <v>2606</v>
      </c>
      <c r="B2608" t="s">
        <v>3464</v>
      </c>
      <c r="C2608" t="s">
        <v>114</v>
      </c>
      <c r="D2608">
        <v>74.227852746892495</v>
      </c>
    </row>
    <row r="2609" spans="1:4" hidden="1" x14ac:dyDescent="0.3">
      <c r="A2609">
        <v>2607</v>
      </c>
      <c r="B2609" s="1" t="s">
        <v>3465</v>
      </c>
      <c r="C2609" t="s">
        <v>116</v>
      </c>
      <c r="D2609" s="1" t="s">
        <v>3466</v>
      </c>
    </row>
    <row r="2610" spans="1:4" hidden="1" x14ac:dyDescent="0.3">
      <c r="A2610">
        <v>2608</v>
      </c>
      <c r="B2610" t="s">
        <v>3467</v>
      </c>
      <c r="C2610" t="s">
        <v>119</v>
      </c>
      <c r="D2610">
        <v>77671007.405862704</v>
      </c>
    </row>
    <row r="2611" spans="1:4" hidden="1" x14ac:dyDescent="0.3">
      <c r="A2611">
        <v>2609</v>
      </c>
      <c r="B2611" t="s">
        <v>3468</v>
      </c>
      <c r="C2611" t="s">
        <v>121</v>
      </c>
      <c r="D2611">
        <v>39578734.433323704</v>
      </c>
    </row>
    <row r="2612" spans="1:4" hidden="1" x14ac:dyDescent="0.3">
      <c r="A2612">
        <v>2610</v>
      </c>
      <c r="B2612" s="1" t="s">
        <v>3469</v>
      </c>
      <c r="C2612" t="s">
        <v>123</v>
      </c>
      <c r="D2612" s="1" t="s">
        <v>3470</v>
      </c>
    </row>
    <row r="2613" spans="1:4" hidden="1" x14ac:dyDescent="0.3">
      <c r="A2613">
        <v>2611</v>
      </c>
      <c r="B2613" t="s">
        <v>3471</v>
      </c>
      <c r="C2613" t="s">
        <v>126</v>
      </c>
      <c r="D2613">
        <v>0.76756947210547299</v>
      </c>
    </row>
    <row r="2614" spans="1:4" hidden="1" x14ac:dyDescent="0.3">
      <c r="A2614">
        <v>2612</v>
      </c>
      <c r="B2614" t="s">
        <v>3472</v>
      </c>
      <c r="C2614" t="s">
        <v>128</v>
      </c>
      <c r="D2614">
        <v>0.39112957730603498</v>
      </c>
    </row>
    <row r="2615" spans="1:4" hidden="1" x14ac:dyDescent="0.3">
      <c r="A2615">
        <v>2613</v>
      </c>
      <c r="B2615" s="1" t="s">
        <v>3473</v>
      </c>
      <c r="C2615" t="s">
        <v>130</v>
      </c>
      <c r="D2615" s="1" t="s">
        <v>3474</v>
      </c>
    </row>
    <row r="2616" spans="1:4" hidden="1" x14ac:dyDescent="0.3">
      <c r="A2616">
        <v>2614</v>
      </c>
      <c r="B2616" s="1" t="s">
        <v>3475</v>
      </c>
      <c r="C2616" t="s">
        <v>4</v>
      </c>
      <c r="D2616" t="s">
        <v>3476</v>
      </c>
    </row>
    <row r="2617" spans="1:4" hidden="1" x14ac:dyDescent="0.3">
      <c r="A2617">
        <v>2615</v>
      </c>
      <c r="B2617" t="s">
        <v>3477</v>
      </c>
      <c r="C2617" t="s">
        <v>7</v>
      </c>
      <c r="D2617">
        <v>1802.83</v>
      </c>
    </row>
    <row r="2618" spans="1:4" hidden="1" x14ac:dyDescent="0.3">
      <c r="A2618">
        <v>2616</v>
      </c>
      <c r="B2618" s="1" t="s">
        <v>3478</v>
      </c>
      <c r="C2618" t="s">
        <v>9</v>
      </c>
      <c r="D2618" s="1" t="s">
        <v>3479</v>
      </c>
    </row>
    <row r="2619" spans="1:4" hidden="1" x14ac:dyDescent="0.3">
      <c r="A2619">
        <v>2617</v>
      </c>
      <c r="B2619" t="s">
        <v>3480</v>
      </c>
      <c r="C2619" t="s">
        <v>14</v>
      </c>
      <c r="D2619">
        <v>98.703125</v>
      </c>
    </row>
    <row r="2620" spans="1:4" hidden="1" x14ac:dyDescent="0.3">
      <c r="A2620">
        <v>2618</v>
      </c>
      <c r="B2620" t="s">
        <v>3481</v>
      </c>
      <c r="C2620" t="s">
        <v>16</v>
      </c>
      <c r="D2620">
        <v>4.3965856488742299</v>
      </c>
    </row>
    <row r="2621" spans="1:4" hidden="1" x14ac:dyDescent="0.3">
      <c r="A2621">
        <v>2619</v>
      </c>
      <c r="B2621" s="1" t="s">
        <v>3482</v>
      </c>
      <c r="C2621" t="s">
        <v>140</v>
      </c>
      <c r="D2621" s="1" t="s">
        <v>3483</v>
      </c>
    </row>
    <row r="2622" spans="1:4" hidden="1" x14ac:dyDescent="0.3">
      <c r="A2622">
        <v>2620</v>
      </c>
      <c r="B2622" t="s">
        <v>1421</v>
      </c>
      <c r="C2622" t="s">
        <v>22</v>
      </c>
      <c r="D2622">
        <v>74.75</v>
      </c>
    </row>
    <row r="2623" spans="1:4" hidden="1" x14ac:dyDescent="0.3">
      <c r="A2623">
        <v>2621</v>
      </c>
      <c r="B2623" t="s">
        <v>3484</v>
      </c>
      <c r="C2623" t="s">
        <v>24</v>
      </c>
      <c r="D2623">
        <v>6.2791709706118501</v>
      </c>
    </row>
    <row r="2624" spans="1:4" hidden="1" x14ac:dyDescent="0.3">
      <c r="A2624">
        <v>2622</v>
      </c>
      <c r="B2624" s="1" t="s">
        <v>3485</v>
      </c>
      <c r="C2624" t="s">
        <v>145</v>
      </c>
      <c r="D2624" s="1" t="s">
        <v>3486</v>
      </c>
    </row>
    <row r="2625" spans="1:4" hidden="1" x14ac:dyDescent="0.3">
      <c r="A2625">
        <v>2623</v>
      </c>
      <c r="B2625" t="s">
        <v>3487</v>
      </c>
      <c r="C2625" t="s">
        <v>35</v>
      </c>
      <c r="D2625">
        <v>-0.20717080388568501</v>
      </c>
    </row>
    <row r="2626" spans="1:4" hidden="1" x14ac:dyDescent="0.3">
      <c r="A2626">
        <v>2624</v>
      </c>
      <c r="B2626" t="s">
        <v>3488</v>
      </c>
      <c r="C2626" t="s">
        <v>149</v>
      </c>
      <c r="D2626">
        <v>0.67900719098761697</v>
      </c>
    </row>
    <row r="2627" spans="1:4" hidden="1" x14ac:dyDescent="0.3">
      <c r="A2627">
        <v>2625</v>
      </c>
      <c r="B2627" s="1" t="s">
        <v>3489</v>
      </c>
      <c r="C2627" t="s">
        <v>151</v>
      </c>
      <c r="D2627" s="1" t="s">
        <v>3490</v>
      </c>
    </row>
    <row r="2628" spans="1:4" hidden="1" x14ac:dyDescent="0.3">
      <c r="A2628">
        <v>2626</v>
      </c>
      <c r="B2628" t="s">
        <v>3491</v>
      </c>
      <c r="C2628" t="s">
        <v>30</v>
      </c>
      <c r="D2628">
        <v>0.47579164365863202</v>
      </c>
    </row>
    <row r="2629" spans="1:4" hidden="1" x14ac:dyDescent="0.3">
      <c r="A2629">
        <v>2627</v>
      </c>
      <c r="B2629" t="s">
        <v>3492</v>
      </c>
      <c r="C2629" t="s">
        <v>32</v>
      </c>
      <c r="D2629">
        <v>0.23745399573925799</v>
      </c>
    </row>
    <row r="2630" spans="1:4" hidden="1" x14ac:dyDescent="0.3">
      <c r="A2630">
        <v>2628</v>
      </c>
      <c r="B2630" s="1" t="s">
        <v>3493</v>
      </c>
      <c r="C2630" t="s">
        <v>155</v>
      </c>
      <c r="D2630" s="1" t="s">
        <v>3494</v>
      </c>
    </row>
    <row r="2631" spans="1:4" hidden="1" x14ac:dyDescent="0.3">
      <c r="A2631">
        <v>2629</v>
      </c>
      <c r="B2631" t="s">
        <v>3495</v>
      </c>
      <c r="C2631" t="s">
        <v>40</v>
      </c>
      <c r="D2631">
        <v>0.73137916022705296</v>
      </c>
    </row>
    <row r="2632" spans="1:4" hidden="1" x14ac:dyDescent="0.3">
      <c r="A2632">
        <v>2630</v>
      </c>
      <c r="B2632" t="s">
        <v>3496</v>
      </c>
      <c r="C2632" t="s">
        <v>42</v>
      </c>
      <c r="D2632">
        <v>0.23528445721511601</v>
      </c>
    </row>
    <row r="2633" spans="1:4" hidden="1" x14ac:dyDescent="0.3">
      <c r="A2633">
        <v>2631</v>
      </c>
      <c r="B2633" s="1" t="s">
        <v>3497</v>
      </c>
      <c r="C2633" t="s">
        <v>159</v>
      </c>
      <c r="D2633" s="1" t="s">
        <v>3498</v>
      </c>
    </row>
    <row r="2634" spans="1:4" hidden="1" x14ac:dyDescent="0.3">
      <c r="A2634">
        <v>2632</v>
      </c>
      <c r="B2634" t="s">
        <v>3499</v>
      </c>
      <c r="C2634" t="s">
        <v>161</v>
      </c>
      <c r="D2634">
        <v>0.99955645004795801</v>
      </c>
    </row>
    <row r="2635" spans="1:4" hidden="1" x14ac:dyDescent="0.3">
      <c r="A2635">
        <v>2633</v>
      </c>
      <c r="B2635" t="s">
        <v>3500</v>
      </c>
      <c r="C2635" t="s">
        <v>163</v>
      </c>
      <c r="D2635">
        <v>1.0016913068514299</v>
      </c>
    </row>
    <row r="2636" spans="1:4" hidden="1" x14ac:dyDescent="0.3">
      <c r="A2636">
        <v>2634</v>
      </c>
      <c r="B2636" s="1" t="s">
        <v>3501</v>
      </c>
      <c r="C2636" t="s">
        <v>165</v>
      </c>
      <c r="D2636" s="1" t="s">
        <v>3502</v>
      </c>
    </row>
    <row r="2637" spans="1:4" hidden="1" x14ac:dyDescent="0.3">
      <c r="A2637">
        <v>2635</v>
      </c>
      <c r="B2637" t="s">
        <v>3503</v>
      </c>
      <c r="C2637" t="s">
        <v>168</v>
      </c>
      <c r="D2637">
        <v>0.99654139196928904</v>
      </c>
    </row>
    <row r="2638" spans="1:4" hidden="1" x14ac:dyDescent="0.3">
      <c r="A2638">
        <v>2636</v>
      </c>
      <c r="B2638" t="s">
        <v>3504</v>
      </c>
      <c r="C2638" t="s">
        <v>170</v>
      </c>
      <c r="D2638">
        <v>1.00720475339219</v>
      </c>
    </row>
    <row r="2639" spans="1:4" hidden="1" x14ac:dyDescent="0.3">
      <c r="A2639">
        <v>2637</v>
      </c>
      <c r="B2639" s="1" t="s">
        <v>3505</v>
      </c>
      <c r="C2639" t="s">
        <v>172</v>
      </c>
      <c r="D2639" s="1" t="s">
        <v>3506</v>
      </c>
    </row>
    <row r="2640" spans="1:4" hidden="1" x14ac:dyDescent="0.3">
      <c r="A2640">
        <v>2638</v>
      </c>
      <c r="B2640" s="1" t="s">
        <v>3507</v>
      </c>
      <c r="C2640" t="s">
        <v>55</v>
      </c>
      <c r="D2640" s="1" t="s">
        <v>3508</v>
      </c>
    </row>
    <row r="2641" spans="1:4" hidden="1" x14ac:dyDescent="0.3">
      <c r="A2641">
        <v>2639</v>
      </c>
      <c r="B2641" s="1" t="s">
        <v>3509</v>
      </c>
      <c r="C2641" t="s">
        <v>52</v>
      </c>
      <c r="D2641" s="1" t="s">
        <v>3510</v>
      </c>
    </row>
    <row r="2642" spans="1:4" hidden="1" x14ac:dyDescent="0.3">
      <c r="A2642">
        <v>2640</v>
      </c>
      <c r="B2642" s="1" t="s">
        <v>3511</v>
      </c>
      <c r="C2642" t="s">
        <v>58</v>
      </c>
      <c r="D2642" s="1" t="s">
        <v>3512</v>
      </c>
    </row>
    <row r="2643" spans="1:4" hidden="1" x14ac:dyDescent="0.3">
      <c r="A2643">
        <v>2641</v>
      </c>
      <c r="B2643" t="s">
        <v>3513</v>
      </c>
      <c r="C2643" t="s">
        <v>61</v>
      </c>
      <c r="D2643">
        <v>146839990.125577</v>
      </c>
    </row>
    <row r="2644" spans="1:4" hidden="1" x14ac:dyDescent="0.3">
      <c r="A2644">
        <v>2642</v>
      </c>
      <c r="B2644" t="s">
        <v>3514</v>
      </c>
      <c r="C2644" t="s">
        <v>63</v>
      </c>
      <c r="D2644">
        <v>77636556.434252799</v>
      </c>
    </row>
    <row r="2645" spans="1:4" hidden="1" x14ac:dyDescent="0.3">
      <c r="A2645">
        <v>2643</v>
      </c>
      <c r="B2645" t="s">
        <v>3515</v>
      </c>
      <c r="C2645" t="s">
        <v>65</v>
      </c>
      <c r="D2645">
        <v>39645674.218042001</v>
      </c>
    </row>
    <row r="2646" spans="1:4" hidden="1" x14ac:dyDescent="0.3">
      <c r="A2646">
        <v>2644</v>
      </c>
      <c r="B2646" s="1" t="s">
        <v>3516</v>
      </c>
      <c r="C2646" t="s">
        <v>67</v>
      </c>
      <c r="D2646" s="1" t="s">
        <v>3517</v>
      </c>
    </row>
    <row r="2647" spans="1:4" hidden="1" x14ac:dyDescent="0.3">
      <c r="A2647">
        <v>2645</v>
      </c>
      <c r="B2647" s="1" t="s">
        <v>3518</v>
      </c>
      <c r="C2647" t="s">
        <v>70</v>
      </c>
      <c r="D2647" s="1" t="s">
        <v>3519</v>
      </c>
    </row>
    <row r="2648" spans="1:4" hidden="1" x14ac:dyDescent="0.3">
      <c r="A2648">
        <v>2646</v>
      </c>
      <c r="B2648" t="s">
        <v>3520</v>
      </c>
      <c r="C2648" t="s">
        <v>73</v>
      </c>
      <c r="D2648">
        <v>1.0000854082903501</v>
      </c>
    </row>
    <row r="2649" spans="1:4" hidden="1" x14ac:dyDescent="0.3">
      <c r="A2649">
        <v>2647</v>
      </c>
      <c r="B2649" t="s">
        <v>74</v>
      </c>
      <c r="C2649" t="s">
        <v>75</v>
      </c>
      <c r="D2649">
        <v>2.7397260273972599E-3</v>
      </c>
    </row>
    <row r="2650" spans="1:4" hidden="1" x14ac:dyDescent="0.3">
      <c r="A2650">
        <v>2648</v>
      </c>
      <c r="B2650" t="s">
        <v>76</v>
      </c>
      <c r="C2650" t="s">
        <v>77</v>
      </c>
      <c r="D2650">
        <v>0</v>
      </c>
    </row>
    <row r="2651" spans="1:4" hidden="1" x14ac:dyDescent="0.3">
      <c r="A2651">
        <v>2649</v>
      </c>
      <c r="B2651" t="s">
        <v>78</v>
      </c>
      <c r="C2651" t="s">
        <v>79</v>
      </c>
      <c r="D2651">
        <v>0</v>
      </c>
    </row>
    <row r="2652" spans="1:4" hidden="1" x14ac:dyDescent="0.3">
      <c r="A2652">
        <v>2650</v>
      </c>
      <c r="B2652" s="1" t="s">
        <v>3521</v>
      </c>
      <c r="C2652" t="s">
        <v>81</v>
      </c>
      <c r="D2652" s="1" t="s">
        <v>3522</v>
      </c>
    </row>
    <row r="2653" spans="1:4" hidden="1" x14ac:dyDescent="0.3">
      <c r="A2653">
        <v>2651</v>
      </c>
      <c r="B2653" t="s">
        <v>3523</v>
      </c>
      <c r="C2653" t="s">
        <v>84</v>
      </c>
      <c r="D2653">
        <v>1.0000758361906501</v>
      </c>
    </row>
    <row r="2654" spans="1:4" hidden="1" x14ac:dyDescent="0.3">
      <c r="A2654">
        <v>2652</v>
      </c>
      <c r="B2654" s="1" t="s">
        <v>3524</v>
      </c>
      <c r="C2654" t="s">
        <v>86</v>
      </c>
      <c r="D2654" s="1" t="s">
        <v>3525</v>
      </c>
    </row>
    <row r="2655" spans="1:4" hidden="1" x14ac:dyDescent="0.3">
      <c r="A2655">
        <v>2653</v>
      </c>
      <c r="B2655" t="s">
        <v>3526</v>
      </c>
      <c r="C2655" t="s">
        <v>89</v>
      </c>
      <c r="D2655">
        <v>101182106.21795499</v>
      </c>
    </row>
    <row r="2656" spans="1:4" hidden="1" x14ac:dyDescent="0.3">
      <c r="A2656">
        <v>2654</v>
      </c>
      <c r="B2656" s="1" t="s">
        <v>3527</v>
      </c>
      <c r="C2656" t="s">
        <v>91</v>
      </c>
      <c r="D2656" s="1" t="s">
        <v>3462</v>
      </c>
    </row>
    <row r="2657" spans="1:4" hidden="1" x14ac:dyDescent="0.3">
      <c r="A2657">
        <v>2655</v>
      </c>
      <c r="B2657" t="s">
        <v>3528</v>
      </c>
      <c r="C2657" t="s">
        <v>94</v>
      </c>
      <c r="D2657">
        <v>77636556.434252799</v>
      </c>
    </row>
    <row r="2658" spans="1:4" hidden="1" x14ac:dyDescent="0.3">
      <c r="A2658">
        <v>2656</v>
      </c>
      <c r="B2658" t="s">
        <v>3529</v>
      </c>
      <c r="C2658" t="s">
        <v>96</v>
      </c>
      <c r="D2658">
        <v>39645674.218042001</v>
      </c>
    </row>
    <row r="2659" spans="1:4" hidden="1" x14ac:dyDescent="0.3">
      <c r="A2659">
        <v>2657</v>
      </c>
      <c r="B2659" t="s">
        <v>3530</v>
      </c>
      <c r="C2659" t="s">
        <v>98</v>
      </c>
      <c r="D2659">
        <v>29557759.473283</v>
      </c>
    </row>
    <row r="2660" spans="1:4" hidden="1" x14ac:dyDescent="0.3">
      <c r="A2660">
        <v>2658</v>
      </c>
      <c r="B2660" s="1" t="s">
        <v>3531</v>
      </c>
      <c r="C2660" t="s">
        <v>100</v>
      </c>
      <c r="D2660" s="1" t="s">
        <v>3532</v>
      </c>
    </row>
    <row r="2661" spans="1:4" hidden="1" x14ac:dyDescent="0.3">
      <c r="A2661">
        <v>2659</v>
      </c>
      <c r="B2661" t="s">
        <v>3533</v>
      </c>
      <c r="C2661" t="s">
        <v>103</v>
      </c>
      <c r="D2661">
        <v>8.9586621915446092E-3</v>
      </c>
    </row>
    <row r="2662" spans="1:4" hidden="1" x14ac:dyDescent="0.3">
      <c r="A2662">
        <v>2660</v>
      </c>
      <c r="B2662" t="s">
        <v>3534</v>
      </c>
      <c r="C2662" t="s">
        <v>105</v>
      </c>
      <c r="D2662">
        <v>1.8340725635684299E-3</v>
      </c>
    </row>
    <row r="2663" spans="1:4" hidden="1" x14ac:dyDescent="0.3">
      <c r="A2663">
        <v>2661</v>
      </c>
      <c r="B2663" t="s">
        <v>3535</v>
      </c>
      <c r="C2663" t="s">
        <v>107</v>
      </c>
      <c r="D2663">
        <v>1.1642873399021401E-2</v>
      </c>
    </row>
    <row r="2664" spans="1:4" hidden="1" x14ac:dyDescent="0.3">
      <c r="A2664">
        <v>2662</v>
      </c>
      <c r="B2664" s="1" t="s">
        <v>3536</v>
      </c>
      <c r="C2664" t="s">
        <v>109</v>
      </c>
      <c r="D2664" s="1" t="s">
        <v>3537</v>
      </c>
    </row>
    <row r="2665" spans="1:4" x14ac:dyDescent="0.3">
      <c r="A2665">
        <v>2663</v>
      </c>
      <c r="B2665" t="s">
        <v>3538</v>
      </c>
      <c r="C2665" t="s">
        <v>207</v>
      </c>
      <c r="D2665">
        <v>146839655.75170499</v>
      </c>
    </row>
    <row r="2666" spans="1:4" hidden="1" x14ac:dyDescent="0.3">
      <c r="A2666">
        <v>2664</v>
      </c>
      <c r="B2666" t="s">
        <v>3539</v>
      </c>
      <c r="C2666" t="s">
        <v>209</v>
      </c>
      <c r="D2666">
        <v>743.07912041542204</v>
      </c>
    </row>
    <row r="2667" spans="1:4" hidden="1" x14ac:dyDescent="0.3">
      <c r="A2667">
        <v>2665</v>
      </c>
      <c r="B2667" t="s">
        <v>3540</v>
      </c>
      <c r="C2667" t="s">
        <v>211</v>
      </c>
      <c r="D2667">
        <v>379.45926585370597</v>
      </c>
    </row>
    <row r="2668" spans="1:4" hidden="1" x14ac:dyDescent="0.3">
      <c r="A2668">
        <v>2666</v>
      </c>
      <c r="B2668" s="1" t="s">
        <v>3541</v>
      </c>
      <c r="C2668" t="s">
        <v>213</v>
      </c>
      <c r="D2668" s="1" t="s">
        <v>3542</v>
      </c>
    </row>
    <row r="2669" spans="1:4" hidden="1" x14ac:dyDescent="0.3">
      <c r="A2669">
        <v>2667</v>
      </c>
      <c r="B2669" t="s">
        <v>3543</v>
      </c>
      <c r="C2669" t="s">
        <v>216</v>
      </c>
      <c r="D2669">
        <v>77635575.865871295</v>
      </c>
    </row>
    <row r="2670" spans="1:4" hidden="1" x14ac:dyDescent="0.3">
      <c r="A2670">
        <v>2668</v>
      </c>
      <c r="B2670" t="s">
        <v>3544</v>
      </c>
      <c r="C2670" t="s">
        <v>218</v>
      </c>
      <c r="D2670">
        <v>39645224.596976601</v>
      </c>
    </row>
    <row r="2671" spans="1:4" hidden="1" x14ac:dyDescent="0.3">
      <c r="A2671">
        <v>2669</v>
      </c>
      <c r="B2671" t="s">
        <v>3545</v>
      </c>
      <c r="C2671" t="s">
        <v>220</v>
      </c>
      <c r="D2671">
        <v>29557449.8450693</v>
      </c>
    </row>
    <row r="2672" spans="1:4" hidden="1" x14ac:dyDescent="0.3">
      <c r="A2672">
        <v>2670</v>
      </c>
      <c r="B2672" s="1" t="s">
        <v>3546</v>
      </c>
      <c r="C2672" t="s">
        <v>222</v>
      </c>
      <c r="D2672" s="1" t="s">
        <v>3547</v>
      </c>
    </row>
    <row r="2673" spans="1:4" hidden="1" x14ac:dyDescent="0.3">
      <c r="A2673">
        <v>2671</v>
      </c>
      <c r="B2673" t="s">
        <v>3548</v>
      </c>
      <c r="C2673" t="s">
        <v>225</v>
      </c>
      <c r="D2673">
        <v>101181137.77546</v>
      </c>
    </row>
    <row r="2674" spans="1:4" hidden="1" x14ac:dyDescent="0.3">
      <c r="A2674">
        <v>2672</v>
      </c>
      <c r="B2674" t="s">
        <v>3549</v>
      </c>
      <c r="C2674" t="s">
        <v>227</v>
      </c>
      <c r="D2674">
        <v>968.44249588251103</v>
      </c>
    </row>
    <row r="2675" spans="1:4" hidden="1" x14ac:dyDescent="0.3">
      <c r="A2675">
        <v>2673</v>
      </c>
      <c r="B2675" s="1" t="s">
        <v>3550</v>
      </c>
      <c r="C2675" t="s">
        <v>229</v>
      </c>
      <c r="D2675" s="1" t="s">
        <v>3551</v>
      </c>
    </row>
    <row r="2676" spans="1:4" hidden="1" x14ac:dyDescent="0.3">
      <c r="A2676">
        <v>2674</v>
      </c>
      <c r="B2676" t="s">
        <v>3552</v>
      </c>
      <c r="C2676" t="s">
        <v>112</v>
      </c>
      <c r="D2676">
        <v>-237.48926115709901</v>
      </c>
    </row>
    <row r="2677" spans="1:4" hidden="1" x14ac:dyDescent="0.3">
      <c r="A2677">
        <v>2675</v>
      </c>
      <c r="B2677" t="s">
        <v>3553</v>
      </c>
      <c r="C2677" t="s">
        <v>114</v>
      </c>
      <c r="D2677">
        <v>-70.161799562794897</v>
      </c>
    </row>
    <row r="2678" spans="1:4" hidden="1" x14ac:dyDescent="0.3">
      <c r="A2678">
        <v>2676</v>
      </c>
      <c r="B2678" s="1" t="s">
        <v>3554</v>
      </c>
      <c r="C2678" t="s">
        <v>116</v>
      </c>
      <c r="D2678" s="1" t="s">
        <v>3555</v>
      </c>
    </row>
    <row r="2679" spans="1:4" hidden="1" x14ac:dyDescent="0.3">
      <c r="A2679">
        <v>2677</v>
      </c>
      <c r="B2679" t="s">
        <v>3556</v>
      </c>
      <c r="C2679" t="s">
        <v>119</v>
      </c>
      <c r="D2679">
        <v>77635575.865871295</v>
      </c>
    </row>
    <row r="2680" spans="1:4" hidden="1" x14ac:dyDescent="0.3">
      <c r="A2680">
        <v>2678</v>
      </c>
      <c r="B2680" t="s">
        <v>3557</v>
      </c>
      <c r="C2680" t="s">
        <v>121</v>
      </c>
      <c r="D2680">
        <v>39645224.596976601</v>
      </c>
    </row>
    <row r="2681" spans="1:4" hidden="1" x14ac:dyDescent="0.3">
      <c r="A2681">
        <v>2679</v>
      </c>
      <c r="B2681" s="1" t="s">
        <v>3558</v>
      </c>
      <c r="C2681" t="s">
        <v>123</v>
      </c>
      <c r="D2681" s="1" t="s">
        <v>3559</v>
      </c>
    </row>
    <row r="2682" spans="1:4" hidden="1" x14ac:dyDescent="0.3">
      <c r="A2682">
        <v>2680</v>
      </c>
      <c r="B2682" t="s">
        <v>3560</v>
      </c>
      <c r="C2682" t="s">
        <v>126</v>
      </c>
      <c r="D2682">
        <v>0.76723478735998996</v>
      </c>
    </row>
    <row r="2683" spans="1:4" hidden="1" x14ac:dyDescent="0.3">
      <c r="A2683">
        <v>2681</v>
      </c>
      <c r="B2683" t="s">
        <v>3561</v>
      </c>
      <c r="C2683" t="s">
        <v>128</v>
      </c>
      <c r="D2683">
        <v>0.391794549396416</v>
      </c>
    </row>
    <row r="2684" spans="1:4" hidden="1" x14ac:dyDescent="0.3">
      <c r="A2684">
        <v>2682</v>
      </c>
      <c r="B2684" s="1" t="s">
        <v>3562</v>
      </c>
      <c r="C2684" t="s">
        <v>130</v>
      </c>
      <c r="D2684" s="1" t="s">
        <v>3563</v>
      </c>
    </row>
    <row r="2685" spans="1:4" hidden="1" x14ac:dyDescent="0.3">
      <c r="A2685">
        <v>2683</v>
      </c>
      <c r="B2685" s="1" t="s">
        <v>3564</v>
      </c>
      <c r="C2685" t="s">
        <v>4</v>
      </c>
      <c r="D2685" t="s">
        <v>3565</v>
      </c>
    </row>
    <row r="2686" spans="1:4" hidden="1" x14ac:dyDescent="0.3">
      <c r="A2686">
        <v>2684</v>
      </c>
      <c r="B2686" t="s">
        <v>3566</v>
      </c>
      <c r="C2686" t="s">
        <v>7</v>
      </c>
      <c r="D2686">
        <v>1808.32</v>
      </c>
    </row>
    <row r="2687" spans="1:4" hidden="1" x14ac:dyDescent="0.3">
      <c r="A2687">
        <v>2685</v>
      </c>
      <c r="B2687" s="1" t="s">
        <v>3567</v>
      </c>
      <c r="C2687" t="s">
        <v>9</v>
      </c>
      <c r="D2687" s="1" t="s">
        <v>3568</v>
      </c>
    </row>
    <row r="2688" spans="1:4" hidden="1" x14ac:dyDescent="0.3">
      <c r="A2688">
        <v>2686</v>
      </c>
      <c r="B2688" t="s">
        <v>3569</v>
      </c>
      <c r="C2688" t="s">
        <v>14</v>
      </c>
      <c r="D2688">
        <v>98.53515625</v>
      </c>
    </row>
    <row r="2689" spans="1:4" hidden="1" x14ac:dyDescent="0.3">
      <c r="A2689">
        <v>2687</v>
      </c>
      <c r="B2689" t="s">
        <v>3570</v>
      </c>
      <c r="C2689" t="s">
        <v>16</v>
      </c>
      <c r="D2689">
        <v>4.3911992827698096</v>
      </c>
    </row>
    <row r="2690" spans="1:4" hidden="1" x14ac:dyDescent="0.3">
      <c r="A2690">
        <v>2688</v>
      </c>
      <c r="B2690" s="1" t="s">
        <v>3571</v>
      </c>
      <c r="C2690" t="s">
        <v>140</v>
      </c>
      <c r="D2690" s="1" t="s">
        <v>3572</v>
      </c>
    </row>
    <row r="2691" spans="1:4" hidden="1" x14ac:dyDescent="0.3">
      <c r="A2691">
        <v>2689</v>
      </c>
      <c r="B2691" t="s">
        <v>3573</v>
      </c>
      <c r="C2691" t="s">
        <v>22</v>
      </c>
      <c r="D2691">
        <v>74.150000000000006</v>
      </c>
    </row>
    <row r="2692" spans="1:4" hidden="1" x14ac:dyDescent="0.3">
      <c r="A2692">
        <v>2690</v>
      </c>
      <c r="B2692" t="s">
        <v>3574</v>
      </c>
      <c r="C2692" t="s">
        <v>24</v>
      </c>
      <c r="D2692">
        <v>6.2420889351668301</v>
      </c>
    </row>
    <row r="2693" spans="1:4" hidden="1" x14ac:dyDescent="0.3">
      <c r="A2693">
        <v>2691</v>
      </c>
      <c r="B2693" s="1" t="s">
        <v>3575</v>
      </c>
      <c r="C2693" t="s">
        <v>145</v>
      </c>
      <c r="D2693" s="1" t="s">
        <v>3576</v>
      </c>
    </row>
    <row r="2694" spans="1:4" hidden="1" x14ac:dyDescent="0.3">
      <c r="A2694">
        <v>2692</v>
      </c>
      <c r="B2694" t="s">
        <v>3577</v>
      </c>
      <c r="C2694" t="s">
        <v>35</v>
      </c>
      <c r="D2694">
        <v>0.13806099811898401</v>
      </c>
    </row>
    <row r="2695" spans="1:4" hidden="1" x14ac:dyDescent="0.3">
      <c r="A2695">
        <v>2693</v>
      </c>
      <c r="B2695" t="s">
        <v>3578</v>
      </c>
      <c r="C2695" t="s">
        <v>149</v>
      </c>
      <c r="D2695">
        <v>0.67866584595786394</v>
      </c>
    </row>
    <row r="2696" spans="1:4" hidden="1" x14ac:dyDescent="0.3">
      <c r="A2696">
        <v>2694</v>
      </c>
      <c r="B2696" s="1" t="s">
        <v>3579</v>
      </c>
      <c r="C2696" t="s">
        <v>151</v>
      </c>
      <c r="D2696" s="1" t="s">
        <v>3580</v>
      </c>
    </row>
    <row r="2697" spans="1:4" hidden="1" x14ac:dyDescent="0.3">
      <c r="A2697">
        <v>2695</v>
      </c>
      <c r="B2697" t="s">
        <v>3581</v>
      </c>
      <c r="C2697" t="s">
        <v>30</v>
      </c>
      <c r="D2697">
        <v>0.33463334571257097</v>
      </c>
    </row>
    <row r="2698" spans="1:4" hidden="1" x14ac:dyDescent="0.3">
      <c r="A2698">
        <v>2696</v>
      </c>
      <c r="B2698" t="s">
        <v>3582</v>
      </c>
      <c r="C2698" t="s">
        <v>32</v>
      </c>
      <c r="D2698">
        <v>0.239371894192939</v>
      </c>
    </row>
    <row r="2699" spans="1:4" hidden="1" x14ac:dyDescent="0.3">
      <c r="A2699">
        <v>2697</v>
      </c>
      <c r="B2699" s="1" t="s">
        <v>3583</v>
      </c>
      <c r="C2699" t="s">
        <v>155</v>
      </c>
      <c r="D2699" s="1" t="s">
        <v>3584</v>
      </c>
    </row>
    <row r="2700" spans="1:4" hidden="1" x14ac:dyDescent="0.3">
      <c r="A2700">
        <v>2698</v>
      </c>
      <c r="B2700" t="s">
        <v>3585</v>
      </c>
      <c r="C2700" t="s">
        <v>40</v>
      </c>
      <c r="D2700">
        <v>0.52730565616844305</v>
      </c>
    </row>
    <row r="2701" spans="1:4" hidden="1" x14ac:dyDescent="0.3">
      <c r="A2701">
        <v>2699</v>
      </c>
      <c r="B2701" t="s">
        <v>3586</v>
      </c>
      <c r="C2701" t="s">
        <v>42</v>
      </c>
      <c r="D2701">
        <v>0.234107294359132</v>
      </c>
    </row>
    <row r="2702" spans="1:4" hidden="1" x14ac:dyDescent="0.3">
      <c r="A2702">
        <v>2700</v>
      </c>
      <c r="B2702" s="1" t="s">
        <v>3587</v>
      </c>
      <c r="C2702" t="s">
        <v>159</v>
      </c>
      <c r="D2702" s="1" t="s">
        <v>3588</v>
      </c>
    </row>
    <row r="2703" spans="1:4" hidden="1" x14ac:dyDescent="0.3">
      <c r="A2703">
        <v>2701</v>
      </c>
      <c r="B2703" t="s">
        <v>3589</v>
      </c>
      <c r="C2703" t="s">
        <v>161</v>
      </c>
      <c r="D2703">
        <v>1.0030452122496201</v>
      </c>
    </row>
    <row r="2704" spans="1:4" hidden="1" x14ac:dyDescent="0.3">
      <c r="A2704">
        <v>2702</v>
      </c>
      <c r="B2704" t="s">
        <v>3590</v>
      </c>
      <c r="C2704" t="s">
        <v>163</v>
      </c>
      <c r="D2704">
        <v>0.99831856835471799</v>
      </c>
    </row>
    <row r="2705" spans="1:4" hidden="1" x14ac:dyDescent="0.3">
      <c r="A2705">
        <v>2703</v>
      </c>
      <c r="B2705" s="1" t="s">
        <v>3591</v>
      </c>
      <c r="C2705" t="s">
        <v>165</v>
      </c>
      <c r="D2705" s="1" t="s">
        <v>3592</v>
      </c>
    </row>
    <row r="2706" spans="1:4" hidden="1" x14ac:dyDescent="0.3">
      <c r="A2706">
        <v>2704</v>
      </c>
      <c r="B2706" t="s">
        <v>3593</v>
      </c>
      <c r="C2706" t="s">
        <v>168</v>
      </c>
      <c r="D2706">
        <v>0.99979669829195195</v>
      </c>
    </row>
    <row r="2707" spans="1:4" hidden="1" x14ac:dyDescent="0.3">
      <c r="A2707">
        <v>2705</v>
      </c>
      <c r="B2707" t="s">
        <v>3594</v>
      </c>
      <c r="C2707" t="s">
        <v>170</v>
      </c>
      <c r="D2707">
        <v>1.0015498745491</v>
      </c>
    </row>
    <row r="2708" spans="1:4" hidden="1" x14ac:dyDescent="0.3">
      <c r="A2708">
        <v>2706</v>
      </c>
      <c r="B2708" s="1" t="s">
        <v>3595</v>
      </c>
      <c r="C2708" t="s">
        <v>172</v>
      </c>
      <c r="D2708" s="1" t="s">
        <v>3596</v>
      </c>
    </row>
    <row r="2709" spans="1:4" hidden="1" x14ac:dyDescent="0.3">
      <c r="A2709">
        <v>2707</v>
      </c>
      <c r="B2709" s="1" t="s">
        <v>3597</v>
      </c>
      <c r="C2709" t="s">
        <v>55</v>
      </c>
      <c r="D2709" s="1" t="s">
        <v>3598</v>
      </c>
    </row>
    <row r="2710" spans="1:4" hidden="1" x14ac:dyDescent="0.3">
      <c r="A2710">
        <v>2708</v>
      </c>
      <c r="B2710" s="1" t="s">
        <v>3599</v>
      </c>
      <c r="C2710" t="s">
        <v>52</v>
      </c>
      <c r="D2710" s="1" t="s">
        <v>3600</v>
      </c>
    </row>
    <row r="2711" spans="1:4" hidden="1" x14ac:dyDescent="0.3">
      <c r="A2711">
        <v>2709</v>
      </c>
      <c r="B2711" s="1" t="s">
        <v>3601</v>
      </c>
      <c r="C2711" t="s">
        <v>58</v>
      </c>
      <c r="D2711" s="1" t="s">
        <v>3602</v>
      </c>
    </row>
    <row r="2712" spans="1:4" hidden="1" x14ac:dyDescent="0.3">
      <c r="A2712">
        <v>2710</v>
      </c>
      <c r="B2712" t="s">
        <v>3603</v>
      </c>
      <c r="C2712" t="s">
        <v>61</v>
      </c>
      <c r="D2712">
        <v>146775614.51249501</v>
      </c>
    </row>
    <row r="2713" spans="1:4" hidden="1" x14ac:dyDescent="0.3">
      <c r="A2713">
        <v>2711</v>
      </c>
      <c r="B2713" t="s">
        <v>3604</v>
      </c>
      <c r="C2713" t="s">
        <v>63</v>
      </c>
      <c r="D2713">
        <v>77871992.672505096</v>
      </c>
    </row>
    <row r="2714" spans="1:4" hidden="1" x14ac:dyDescent="0.3">
      <c r="A2714">
        <v>2712</v>
      </c>
      <c r="B2714" t="s">
        <v>3605</v>
      </c>
      <c r="C2714" t="s">
        <v>65</v>
      </c>
      <c r="D2714">
        <v>39578563.861754902</v>
      </c>
    </row>
    <row r="2715" spans="1:4" hidden="1" x14ac:dyDescent="0.3">
      <c r="A2715">
        <v>2713</v>
      </c>
      <c r="B2715" s="1" t="s">
        <v>3606</v>
      </c>
      <c r="C2715" t="s">
        <v>67</v>
      </c>
      <c r="D2715" s="1" t="s">
        <v>3607</v>
      </c>
    </row>
    <row r="2716" spans="1:4" hidden="1" x14ac:dyDescent="0.3">
      <c r="A2716">
        <v>2714</v>
      </c>
      <c r="B2716" s="1" t="s">
        <v>3608</v>
      </c>
      <c r="C2716" t="s">
        <v>70</v>
      </c>
      <c r="D2716" s="1" t="s">
        <v>3609</v>
      </c>
    </row>
    <row r="2717" spans="1:4" hidden="1" x14ac:dyDescent="0.3">
      <c r="A2717">
        <v>2715</v>
      </c>
      <c r="B2717" t="s">
        <v>3610</v>
      </c>
      <c r="C2717" t="s">
        <v>73</v>
      </c>
      <c r="D2717">
        <v>1.0000758361906501</v>
      </c>
    </row>
    <row r="2718" spans="1:4" hidden="1" x14ac:dyDescent="0.3">
      <c r="A2718">
        <v>2716</v>
      </c>
      <c r="B2718" t="s">
        <v>74</v>
      </c>
      <c r="C2718" t="s">
        <v>75</v>
      </c>
      <c r="D2718">
        <v>2.7397260273972599E-3</v>
      </c>
    </row>
    <row r="2719" spans="1:4" hidden="1" x14ac:dyDescent="0.3">
      <c r="A2719">
        <v>2717</v>
      </c>
      <c r="B2719" t="s">
        <v>76</v>
      </c>
      <c r="C2719" t="s">
        <v>77</v>
      </c>
      <c r="D2719">
        <v>0</v>
      </c>
    </row>
    <row r="2720" spans="1:4" hidden="1" x14ac:dyDescent="0.3">
      <c r="A2720">
        <v>2718</v>
      </c>
      <c r="B2720" t="s">
        <v>78</v>
      </c>
      <c r="C2720" t="s">
        <v>79</v>
      </c>
      <c r="D2720">
        <v>0</v>
      </c>
    </row>
    <row r="2721" spans="1:4" hidden="1" x14ac:dyDescent="0.3">
      <c r="A2721">
        <v>2719</v>
      </c>
      <c r="B2721" s="1" t="s">
        <v>3611</v>
      </c>
      <c r="C2721" t="s">
        <v>81</v>
      </c>
      <c r="D2721" s="1" t="s">
        <v>3612</v>
      </c>
    </row>
    <row r="2722" spans="1:4" hidden="1" x14ac:dyDescent="0.3">
      <c r="A2722">
        <v>2720</v>
      </c>
      <c r="B2722" t="s">
        <v>3613</v>
      </c>
      <c r="C2722" t="s">
        <v>84</v>
      </c>
      <c r="D2722">
        <v>1.0000605003576799</v>
      </c>
    </row>
    <row r="2723" spans="1:4" hidden="1" x14ac:dyDescent="0.3">
      <c r="A2723">
        <v>2721</v>
      </c>
      <c r="B2723" s="1" t="s">
        <v>3614</v>
      </c>
      <c r="C2723" t="s">
        <v>86</v>
      </c>
      <c r="D2723" s="1" t="s">
        <v>3615</v>
      </c>
    </row>
    <row r="2724" spans="1:4" hidden="1" x14ac:dyDescent="0.3">
      <c r="A2724">
        <v>2722</v>
      </c>
      <c r="B2724" t="s">
        <v>3616</v>
      </c>
      <c r="C2724" t="s">
        <v>89</v>
      </c>
      <c r="D2724">
        <v>101183657.835963</v>
      </c>
    </row>
    <row r="2725" spans="1:4" hidden="1" x14ac:dyDescent="0.3">
      <c r="A2725">
        <v>2723</v>
      </c>
      <c r="B2725" s="1" t="s">
        <v>3617</v>
      </c>
      <c r="C2725" t="s">
        <v>91</v>
      </c>
      <c r="D2725" s="1" t="s">
        <v>3551</v>
      </c>
    </row>
    <row r="2726" spans="1:4" hidden="1" x14ac:dyDescent="0.3">
      <c r="A2726">
        <v>2724</v>
      </c>
      <c r="B2726" t="s">
        <v>3618</v>
      </c>
      <c r="C2726" t="s">
        <v>94</v>
      </c>
      <c r="D2726">
        <v>77871992.672505096</v>
      </c>
    </row>
    <row r="2727" spans="1:4" hidden="1" x14ac:dyDescent="0.3">
      <c r="A2727">
        <v>2725</v>
      </c>
      <c r="B2727" t="s">
        <v>3619</v>
      </c>
      <c r="C2727" t="s">
        <v>96</v>
      </c>
      <c r="D2727">
        <v>39578563.861754902</v>
      </c>
    </row>
    <row r="2728" spans="1:4" hidden="1" x14ac:dyDescent="0.3">
      <c r="A2728">
        <v>2726</v>
      </c>
      <c r="B2728" t="s">
        <v>3620</v>
      </c>
      <c r="C2728" t="s">
        <v>98</v>
      </c>
      <c r="D2728">
        <v>29325057.978235401</v>
      </c>
    </row>
    <row r="2729" spans="1:4" hidden="1" x14ac:dyDescent="0.3">
      <c r="A2729">
        <v>2727</v>
      </c>
      <c r="B2729" s="1" t="s">
        <v>3621</v>
      </c>
      <c r="C2729" t="s">
        <v>100</v>
      </c>
      <c r="D2729" s="1" t="s">
        <v>3622</v>
      </c>
    </row>
    <row r="2730" spans="1:4" hidden="1" x14ac:dyDescent="0.3">
      <c r="A2730">
        <v>2728</v>
      </c>
      <c r="B2730" t="s">
        <v>3623</v>
      </c>
      <c r="C2730" t="s">
        <v>103</v>
      </c>
      <c r="D2730">
        <v>8.8876150783008395E-3</v>
      </c>
    </row>
    <row r="2731" spans="1:4" hidden="1" x14ac:dyDescent="0.3">
      <c r="A2731">
        <v>2729</v>
      </c>
      <c r="B2731" t="s">
        <v>3624</v>
      </c>
      <c r="C2731" t="s">
        <v>105</v>
      </c>
      <c r="D2731">
        <v>1.8410546087550799E-3</v>
      </c>
    </row>
    <row r="2732" spans="1:4" hidden="1" x14ac:dyDescent="0.3">
      <c r="A2732">
        <v>2730</v>
      </c>
      <c r="B2732" t="s">
        <v>3625</v>
      </c>
      <c r="C2732" t="s">
        <v>107</v>
      </c>
      <c r="D2732">
        <v>1.16769658712446E-2</v>
      </c>
    </row>
    <row r="2733" spans="1:4" hidden="1" x14ac:dyDescent="0.3">
      <c r="A2733">
        <v>2731</v>
      </c>
      <c r="B2733" s="1" t="s">
        <v>3626</v>
      </c>
      <c r="C2733" t="s">
        <v>109</v>
      </c>
      <c r="D2733" s="1" t="s">
        <v>3627</v>
      </c>
    </row>
    <row r="2734" spans="1:4" x14ac:dyDescent="0.3">
      <c r="A2734">
        <v>2732</v>
      </c>
      <c r="B2734" t="s">
        <v>3628</v>
      </c>
      <c r="C2734" t="s">
        <v>207</v>
      </c>
      <c r="D2734">
        <v>146775078.038344</v>
      </c>
    </row>
    <row r="2735" spans="1:4" hidden="1" x14ac:dyDescent="0.3">
      <c r="A2735">
        <v>2733</v>
      </c>
      <c r="B2735" t="s">
        <v>3629</v>
      </c>
      <c r="C2735" t="s">
        <v>209</v>
      </c>
      <c r="D2735">
        <v>1194.1350012651201</v>
      </c>
    </row>
    <row r="2736" spans="1:4" hidden="1" x14ac:dyDescent="0.3">
      <c r="A2736">
        <v>2734</v>
      </c>
      <c r="B2736" t="s">
        <v>3630</v>
      </c>
      <c r="C2736" t="s">
        <v>211</v>
      </c>
      <c r="D2736">
        <v>606.922950404424</v>
      </c>
    </row>
    <row r="2737" spans="1:4" hidden="1" x14ac:dyDescent="0.3">
      <c r="A2737">
        <v>2735</v>
      </c>
      <c r="B2737" s="1" t="s">
        <v>3631</v>
      </c>
      <c r="C2737" t="s">
        <v>213</v>
      </c>
      <c r="D2737" s="1" t="s">
        <v>3632</v>
      </c>
    </row>
    <row r="2738" spans="1:4" hidden="1" x14ac:dyDescent="0.3">
      <c r="A2738">
        <v>2736</v>
      </c>
      <c r="B2738" t="s">
        <v>3633</v>
      </c>
      <c r="C2738" t="s">
        <v>216</v>
      </c>
      <c r="D2738">
        <v>77870386.899816006</v>
      </c>
    </row>
    <row r="2739" spans="1:4" hidden="1" x14ac:dyDescent="0.3">
      <c r="A2739">
        <v>2737</v>
      </c>
      <c r="B2739" t="s">
        <v>3634</v>
      </c>
      <c r="C2739" t="s">
        <v>218</v>
      </c>
      <c r="D2739">
        <v>39577874.290846102</v>
      </c>
    </row>
    <row r="2740" spans="1:4" hidden="1" x14ac:dyDescent="0.3">
      <c r="A2740">
        <v>2738</v>
      </c>
      <c r="B2740" t="s">
        <v>3635</v>
      </c>
      <c r="C2740" t="s">
        <v>220</v>
      </c>
      <c r="D2740">
        <v>29324566.100288901</v>
      </c>
    </row>
    <row r="2741" spans="1:4" hidden="1" x14ac:dyDescent="0.3">
      <c r="A2741">
        <v>2739</v>
      </c>
      <c r="B2741" s="1" t="s">
        <v>3636</v>
      </c>
      <c r="C2741" t="s">
        <v>222</v>
      </c>
      <c r="D2741" s="1" t="s">
        <v>3637</v>
      </c>
    </row>
    <row r="2742" spans="1:4" hidden="1" x14ac:dyDescent="0.3">
      <c r="A2742">
        <v>2740</v>
      </c>
      <c r="B2742" t="s">
        <v>3638</v>
      </c>
      <c r="C2742" t="s">
        <v>225</v>
      </c>
      <c r="D2742">
        <v>101182106.21795499</v>
      </c>
    </row>
    <row r="2743" spans="1:4" hidden="1" x14ac:dyDescent="0.3">
      <c r="A2743">
        <v>2741</v>
      </c>
      <c r="B2743" t="s">
        <v>3639</v>
      </c>
      <c r="C2743" t="s">
        <v>227</v>
      </c>
      <c r="D2743">
        <v>1551.6180071383701</v>
      </c>
    </row>
    <row r="2744" spans="1:4" hidden="1" x14ac:dyDescent="0.3">
      <c r="A2744">
        <v>2742</v>
      </c>
      <c r="B2744" s="1" t="s">
        <v>3640</v>
      </c>
      <c r="C2744" t="s">
        <v>229</v>
      </c>
      <c r="D2744" s="1" t="s">
        <v>3641</v>
      </c>
    </row>
    <row r="2745" spans="1:4" hidden="1" x14ac:dyDescent="0.3">
      <c r="A2745">
        <v>2743</v>
      </c>
      <c r="B2745" t="s">
        <v>3642</v>
      </c>
      <c r="C2745" t="s">
        <v>112</v>
      </c>
      <c r="D2745">
        <v>-411.63768786493802</v>
      </c>
    </row>
    <row r="2746" spans="1:4" hidden="1" x14ac:dyDescent="0.3">
      <c r="A2746">
        <v>2744</v>
      </c>
      <c r="B2746" t="s">
        <v>3643</v>
      </c>
      <c r="C2746" t="s">
        <v>114</v>
      </c>
      <c r="D2746">
        <v>-82.647958402487703</v>
      </c>
    </row>
    <row r="2747" spans="1:4" hidden="1" x14ac:dyDescent="0.3">
      <c r="A2747">
        <v>2745</v>
      </c>
      <c r="B2747" s="1" t="s">
        <v>3644</v>
      </c>
      <c r="C2747" t="s">
        <v>116</v>
      </c>
      <c r="D2747" s="1" t="s">
        <v>3645</v>
      </c>
    </row>
    <row r="2748" spans="1:4" hidden="1" x14ac:dyDescent="0.3">
      <c r="A2748">
        <v>2746</v>
      </c>
      <c r="B2748" t="s">
        <v>3646</v>
      </c>
      <c r="C2748" t="s">
        <v>119</v>
      </c>
      <c r="D2748">
        <v>77870386.899816006</v>
      </c>
    </row>
    <row r="2749" spans="1:4" hidden="1" x14ac:dyDescent="0.3">
      <c r="A2749">
        <v>2747</v>
      </c>
      <c r="B2749" t="s">
        <v>3647</v>
      </c>
      <c r="C2749" t="s">
        <v>121</v>
      </c>
      <c r="D2749">
        <v>39577874.290846102</v>
      </c>
    </row>
    <row r="2750" spans="1:4" hidden="1" x14ac:dyDescent="0.3">
      <c r="A2750">
        <v>2748</v>
      </c>
      <c r="B2750" s="1" t="s">
        <v>3648</v>
      </c>
      <c r="C2750" t="s">
        <v>123</v>
      </c>
      <c r="D2750" s="1" t="s">
        <v>3649</v>
      </c>
    </row>
    <row r="2751" spans="1:4" hidden="1" x14ac:dyDescent="0.3">
      <c r="A2751">
        <v>2749</v>
      </c>
      <c r="B2751" t="s">
        <v>3650</v>
      </c>
      <c r="C2751" t="s">
        <v>126</v>
      </c>
      <c r="D2751">
        <v>0.76955974637291003</v>
      </c>
    </row>
    <row r="2752" spans="1:4" hidden="1" x14ac:dyDescent="0.3">
      <c r="A2752">
        <v>2750</v>
      </c>
      <c r="B2752" t="s">
        <v>3651</v>
      </c>
      <c r="C2752" t="s">
        <v>128</v>
      </c>
      <c r="D2752">
        <v>0.39113121320981198</v>
      </c>
    </row>
    <row r="2753" spans="1:4" hidden="1" x14ac:dyDescent="0.3">
      <c r="A2753">
        <v>2751</v>
      </c>
      <c r="B2753" s="1" t="s">
        <v>3652</v>
      </c>
      <c r="C2753" t="s">
        <v>130</v>
      </c>
      <c r="D2753" s="1" t="s">
        <v>3653</v>
      </c>
    </row>
    <row r="2754" spans="1:4" hidden="1" x14ac:dyDescent="0.3">
      <c r="A2754">
        <v>2752</v>
      </c>
      <c r="B2754" s="1" t="s">
        <v>3654</v>
      </c>
      <c r="C2754" t="s">
        <v>4</v>
      </c>
      <c r="D2754" t="s">
        <v>3655</v>
      </c>
    </row>
    <row r="2755" spans="1:4" hidden="1" x14ac:dyDescent="0.3">
      <c r="A2755">
        <v>2753</v>
      </c>
      <c r="B2755" t="s">
        <v>3656</v>
      </c>
      <c r="C2755" t="s">
        <v>7</v>
      </c>
      <c r="D2755">
        <v>1806.28</v>
      </c>
    </row>
    <row r="2756" spans="1:4" hidden="1" x14ac:dyDescent="0.3">
      <c r="A2756">
        <v>2754</v>
      </c>
      <c r="B2756" s="1" t="s">
        <v>3657</v>
      </c>
      <c r="C2756" t="s">
        <v>9</v>
      </c>
      <c r="D2756" s="1" t="s">
        <v>3658</v>
      </c>
    </row>
    <row r="2757" spans="1:4" hidden="1" x14ac:dyDescent="0.3">
      <c r="A2757">
        <v>2755</v>
      </c>
      <c r="B2757" t="s">
        <v>3659</v>
      </c>
      <c r="C2757" t="s">
        <v>14</v>
      </c>
      <c r="D2757">
        <v>98.4921875</v>
      </c>
    </row>
    <row r="2758" spans="1:4" hidden="1" x14ac:dyDescent="0.3">
      <c r="A2758">
        <v>2756</v>
      </c>
      <c r="B2758" t="s">
        <v>3660</v>
      </c>
      <c r="C2758" t="s">
        <v>16</v>
      </c>
      <c r="D2758">
        <v>4.3904523898614096</v>
      </c>
    </row>
    <row r="2759" spans="1:4" hidden="1" x14ac:dyDescent="0.3">
      <c r="A2759">
        <v>2757</v>
      </c>
      <c r="B2759" s="1" t="s">
        <v>3661</v>
      </c>
      <c r="C2759" t="s">
        <v>140</v>
      </c>
      <c r="D2759" s="1" t="s">
        <v>3662</v>
      </c>
    </row>
    <row r="2760" spans="1:4" hidden="1" x14ac:dyDescent="0.3">
      <c r="A2760">
        <v>2758</v>
      </c>
      <c r="B2760" t="s">
        <v>3663</v>
      </c>
      <c r="C2760" t="s">
        <v>22</v>
      </c>
      <c r="D2760">
        <v>75</v>
      </c>
    </row>
    <row r="2761" spans="1:4" hidden="1" x14ac:dyDescent="0.3">
      <c r="A2761">
        <v>2759</v>
      </c>
      <c r="B2761" t="s">
        <v>3664</v>
      </c>
      <c r="C2761" t="s">
        <v>24</v>
      </c>
      <c r="D2761">
        <v>6.2003087257932696</v>
      </c>
    </row>
    <row r="2762" spans="1:4" hidden="1" x14ac:dyDescent="0.3">
      <c r="A2762">
        <v>2760</v>
      </c>
      <c r="B2762" s="1" t="s">
        <v>3665</v>
      </c>
      <c r="C2762" t="s">
        <v>145</v>
      </c>
      <c r="D2762" s="1" t="s">
        <v>3666</v>
      </c>
    </row>
    <row r="2763" spans="1:4" hidden="1" x14ac:dyDescent="0.3">
      <c r="A2763">
        <v>2761</v>
      </c>
      <c r="B2763" t="s">
        <v>3667</v>
      </c>
      <c r="C2763" t="s">
        <v>35</v>
      </c>
      <c r="D2763">
        <v>0.21099131717320499</v>
      </c>
    </row>
    <row r="2764" spans="1:4" hidden="1" x14ac:dyDescent="0.3">
      <c r="A2764">
        <v>2762</v>
      </c>
      <c r="B2764" t="s">
        <v>3668</v>
      </c>
      <c r="C2764" t="s">
        <v>149</v>
      </c>
      <c r="D2764">
        <v>0.67577079106823501</v>
      </c>
    </row>
    <row r="2765" spans="1:4" hidden="1" x14ac:dyDescent="0.3">
      <c r="A2765">
        <v>2763</v>
      </c>
      <c r="B2765" s="1" t="s">
        <v>3669</v>
      </c>
      <c r="C2765" t="s">
        <v>151</v>
      </c>
      <c r="D2765" s="1" t="s">
        <v>3670</v>
      </c>
    </row>
    <row r="2766" spans="1:4" hidden="1" x14ac:dyDescent="0.3">
      <c r="A2766">
        <v>2764</v>
      </c>
      <c r="B2766" t="s">
        <v>3671</v>
      </c>
      <c r="C2766" t="s">
        <v>30</v>
      </c>
      <c r="D2766">
        <v>0.31058805940051298</v>
      </c>
    </row>
    <row r="2767" spans="1:4" hidden="1" x14ac:dyDescent="0.3">
      <c r="A2767">
        <v>2765</v>
      </c>
      <c r="B2767" t="s">
        <v>3672</v>
      </c>
      <c r="C2767" t="s">
        <v>32</v>
      </c>
      <c r="D2767">
        <v>0.239930761053398</v>
      </c>
    </row>
    <row r="2768" spans="1:4" hidden="1" x14ac:dyDescent="0.3">
      <c r="A2768">
        <v>2766</v>
      </c>
      <c r="B2768" s="1" t="s">
        <v>3673</v>
      </c>
      <c r="C2768" t="s">
        <v>155</v>
      </c>
      <c r="D2768" s="1" t="s">
        <v>3674</v>
      </c>
    </row>
    <row r="2769" spans="1:4" hidden="1" x14ac:dyDescent="0.3">
      <c r="A2769">
        <v>2767</v>
      </c>
      <c r="B2769" t="s">
        <v>3675</v>
      </c>
      <c r="C2769" t="s">
        <v>40</v>
      </c>
      <c r="D2769">
        <v>0.47842062342628</v>
      </c>
    </row>
    <row r="2770" spans="1:4" hidden="1" x14ac:dyDescent="0.3">
      <c r="A2770">
        <v>2768</v>
      </c>
      <c r="B2770" t="s">
        <v>3676</v>
      </c>
      <c r="C2770" t="s">
        <v>42</v>
      </c>
      <c r="D2770">
        <v>0.23986092751490201</v>
      </c>
    </row>
    <row r="2771" spans="1:4" hidden="1" x14ac:dyDescent="0.3">
      <c r="A2771">
        <v>2769</v>
      </c>
      <c r="B2771" s="1" t="s">
        <v>3677</v>
      </c>
      <c r="C2771" t="s">
        <v>159</v>
      </c>
      <c r="D2771" s="1" t="s">
        <v>3678</v>
      </c>
    </row>
    <row r="2772" spans="1:4" hidden="1" x14ac:dyDescent="0.3">
      <c r="A2772">
        <v>2770</v>
      </c>
      <c r="B2772" t="s">
        <v>3679</v>
      </c>
      <c r="C2772" t="s">
        <v>161</v>
      </c>
      <c r="D2772">
        <v>0.99887188108299396</v>
      </c>
    </row>
    <row r="2773" spans="1:4" hidden="1" x14ac:dyDescent="0.3">
      <c r="A2773">
        <v>2771</v>
      </c>
      <c r="B2773" t="s">
        <v>3680</v>
      </c>
      <c r="C2773" t="s">
        <v>163</v>
      </c>
      <c r="D2773">
        <v>0.99957527260455104</v>
      </c>
    </row>
    <row r="2774" spans="1:4" hidden="1" x14ac:dyDescent="0.3">
      <c r="A2774">
        <v>2772</v>
      </c>
      <c r="B2774" s="1" t="s">
        <v>3681</v>
      </c>
      <c r="C2774" t="s">
        <v>165</v>
      </c>
      <c r="D2774" s="1" t="s">
        <v>3682</v>
      </c>
    </row>
    <row r="2775" spans="1:4" hidden="1" x14ac:dyDescent="0.3">
      <c r="A2775">
        <v>2773</v>
      </c>
      <c r="B2775" t="s">
        <v>3683</v>
      </c>
      <c r="C2775" t="s">
        <v>168</v>
      </c>
      <c r="D2775">
        <v>0.99827538345609301</v>
      </c>
    </row>
    <row r="2776" spans="1:4" hidden="1" x14ac:dyDescent="0.3">
      <c r="A2776">
        <v>2774</v>
      </c>
      <c r="B2776" t="s">
        <v>3684</v>
      </c>
      <c r="C2776" t="s">
        <v>170</v>
      </c>
      <c r="D2776">
        <v>1.00045092749244</v>
      </c>
    </row>
    <row r="2777" spans="1:4" hidden="1" x14ac:dyDescent="0.3">
      <c r="A2777">
        <v>2775</v>
      </c>
      <c r="B2777" s="1" t="s">
        <v>3685</v>
      </c>
      <c r="C2777" t="s">
        <v>172</v>
      </c>
      <c r="D2777" s="1" t="s">
        <v>3686</v>
      </c>
    </row>
    <row r="2778" spans="1:4" hidden="1" x14ac:dyDescent="0.3">
      <c r="A2778">
        <v>2776</v>
      </c>
      <c r="B2778" s="1" t="s">
        <v>3687</v>
      </c>
      <c r="C2778" t="s">
        <v>55</v>
      </c>
      <c r="D2778" s="1" t="s">
        <v>3688</v>
      </c>
    </row>
    <row r="2779" spans="1:4" hidden="1" x14ac:dyDescent="0.3">
      <c r="A2779">
        <v>2777</v>
      </c>
      <c r="B2779" s="1" t="s">
        <v>3689</v>
      </c>
      <c r="C2779" t="s">
        <v>52</v>
      </c>
      <c r="D2779" s="1" t="s">
        <v>3690</v>
      </c>
    </row>
    <row r="2780" spans="1:4" hidden="1" x14ac:dyDescent="0.3">
      <c r="A2780">
        <v>2778</v>
      </c>
      <c r="B2780" s="1" t="s">
        <v>3691</v>
      </c>
      <c r="C2780" t="s">
        <v>58</v>
      </c>
      <c r="D2780" s="1" t="s">
        <v>3692</v>
      </c>
    </row>
    <row r="2781" spans="1:4" hidden="1" x14ac:dyDescent="0.3">
      <c r="A2781">
        <v>2779</v>
      </c>
      <c r="B2781" t="s">
        <v>3693</v>
      </c>
      <c r="C2781" t="s">
        <v>61</v>
      </c>
      <c r="D2781">
        <v>146962984.19516599</v>
      </c>
    </row>
    <row r="2782" spans="1:4" hidden="1" x14ac:dyDescent="0.3">
      <c r="A2782">
        <v>2780</v>
      </c>
      <c r="B2782" t="s">
        <v>3694</v>
      </c>
      <c r="C2782" t="s">
        <v>63</v>
      </c>
      <c r="D2782">
        <v>77782539.843279704</v>
      </c>
    </row>
    <row r="2783" spans="1:4" hidden="1" x14ac:dyDescent="0.3">
      <c r="A2783">
        <v>2781</v>
      </c>
      <c r="B2783" t="s">
        <v>3695</v>
      </c>
      <c r="C2783" t="s">
        <v>65</v>
      </c>
      <c r="D2783">
        <v>39561064.483381197</v>
      </c>
    </row>
    <row r="2784" spans="1:4" hidden="1" x14ac:dyDescent="0.3">
      <c r="A2784">
        <v>2782</v>
      </c>
      <c r="B2784" s="1" t="s">
        <v>3696</v>
      </c>
      <c r="C2784" t="s">
        <v>67</v>
      </c>
      <c r="D2784" s="1" t="s">
        <v>3697</v>
      </c>
    </row>
    <row r="2785" spans="1:4" hidden="1" x14ac:dyDescent="0.3">
      <c r="A2785">
        <v>2783</v>
      </c>
      <c r="B2785" s="1" t="s">
        <v>3698</v>
      </c>
      <c r="C2785" t="s">
        <v>70</v>
      </c>
      <c r="D2785" s="1" t="s">
        <v>3699</v>
      </c>
    </row>
    <row r="2786" spans="1:4" hidden="1" x14ac:dyDescent="0.3">
      <c r="A2786">
        <v>2784</v>
      </c>
      <c r="B2786" t="s">
        <v>3700</v>
      </c>
      <c r="C2786" t="s">
        <v>73</v>
      </c>
      <c r="D2786">
        <v>1.0000605003576799</v>
      </c>
    </row>
    <row r="2787" spans="1:4" hidden="1" x14ac:dyDescent="0.3">
      <c r="A2787">
        <v>2785</v>
      </c>
      <c r="B2787" t="s">
        <v>74</v>
      </c>
      <c r="C2787" t="s">
        <v>75</v>
      </c>
      <c r="D2787">
        <v>2.7397260273972599E-3</v>
      </c>
    </row>
    <row r="2788" spans="1:4" hidden="1" x14ac:dyDescent="0.3">
      <c r="A2788">
        <v>2786</v>
      </c>
      <c r="B2788" t="s">
        <v>76</v>
      </c>
      <c r="C2788" t="s">
        <v>77</v>
      </c>
      <c r="D2788">
        <v>0</v>
      </c>
    </row>
    <row r="2789" spans="1:4" hidden="1" x14ac:dyDescent="0.3">
      <c r="A2789">
        <v>2787</v>
      </c>
      <c r="B2789" t="s">
        <v>78</v>
      </c>
      <c r="C2789" t="s">
        <v>79</v>
      </c>
      <c r="D2789">
        <v>0</v>
      </c>
    </row>
    <row r="2790" spans="1:4" hidden="1" x14ac:dyDescent="0.3">
      <c r="A2790">
        <v>2788</v>
      </c>
      <c r="B2790" s="1" t="s">
        <v>3701</v>
      </c>
      <c r="C2790" t="s">
        <v>81</v>
      </c>
      <c r="D2790" s="1" t="s">
        <v>3702</v>
      </c>
    </row>
    <row r="2791" spans="1:4" hidden="1" x14ac:dyDescent="0.3">
      <c r="A2791">
        <v>2789</v>
      </c>
      <c r="B2791" t="s">
        <v>3703</v>
      </c>
      <c r="C2791" t="s">
        <v>84</v>
      </c>
      <c r="D2791">
        <v>1.0000808538607799</v>
      </c>
    </row>
    <row r="2792" spans="1:4" hidden="1" x14ac:dyDescent="0.3">
      <c r="A2792">
        <v>2790</v>
      </c>
      <c r="B2792" s="1" t="s">
        <v>3704</v>
      </c>
      <c r="C2792" t="s">
        <v>86</v>
      </c>
      <c r="D2792" s="1" t="s">
        <v>3705</v>
      </c>
    </row>
    <row r="2793" spans="1:4" hidden="1" x14ac:dyDescent="0.3">
      <c r="A2793">
        <v>2791</v>
      </c>
      <c r="B2793" t="s">
        <v>3706</v>
      </c>
      <c r="C2793" t="s">
        <v>89</v>
      </c>
      <c r="D2793">
        <v>101181598.560569</v>
      </c>
    </row>
    <row r="2794" spans="1:4" hidden="1" x14ac:dyDescent="0.3">
      <c r="A2794">
        <v>2792</v>
      </c>
      <c r="B2794" s="1" t="s">
        <v>3707</v>
      </c>
      <c r="C2794" t="s">
        <v>91</v>
      </c>
      <c r="D2794" s="1" t="s">
        <v>3641</v>
      </c>
    </row>
    <row r="2795" spans="1:4" hidden="1" x14ac:dyDescent="0.3">
      <c r="A2795">
        <v>2793</v>
      </c>
      <c r="B2795" t="s">
        <v>3708</v>
      </c>
      <c r="C2795" t="s">
        <v>94</v>
      </c>
      <c r="D2795">
        <v>77782539.843279704</v>
      </c>
    </row>
    <row r="2796" spans="1:4" hidden="1" x14ac:dyDescent="0.3">
      <c r="A2796">
        <v>2794</v>
      </c>
      <c r="B2796" t="s">
        <v>3709</v>
      </c>
      <c r="C2796" t="s">
        <v>96</v>
      </c>
      <c r="D2796">
        <v>39561064.483381197</v>
      </c>
    </row>
    <row r="2797" spans="1:4" hidden="1" x14ac:dyDescent="0.3">
      <c r="A2797">
        <v>2795</v>
      </c>
      <c r="B2797" t="s">
        <v>3710</v>
      </c>
      <c r="C2797" t="s">
        <v>98</v>
      </c>
      <c r="D2797">
        <v>29619379.8685055</v>
      </c>
    </row>
    <row r="2798" spans="1:4" hidden="1" x14ac:dyDescent="0.3">
      <c r="A2798">
        <v>2796</v>
      </c>
      <c r="B2798" s="1" t="s">
        <v>3711</v>
      </c>
      <c r="C2798" t="s">
        <v>100</v>
      </c>
      <c r="D2798" s="1" t="s">
        <v>3712</v>
      </c>
    </row>
    <row r="2799" spans="1:4" hidden="1" x14ac:dyDescent="0.3">
      <c r="A2799">
        <v>2797</v>
      </c>
      <c r="B2799" t="s">
        <v>3713</v>
      </c>
      <c r="C2799" t="s">
        <v>103</v>
      </c>
      <c r="D2799">
        <v>8.8437903133387601E-3</v>
      </c>
    </row>
    <row r="2800" spans="1:4" hidden="1" x14ac:dyDescent="0.3">
      <c r="A2800">
        <v>2798</v>
      </c>
      <c r="B2800" t="s">
        <v>3714</v>
      </c>
      <c r="C2800" t="s">
        <v>105</v>
      </c>
      <c r="D2800">
        <v>1.84009550510125E-3</v>
      </c>
    </row>
    <row r="2801" spans="1:4" hidden="1" x14ac:dyDescent="0.3">
      <c r="A2801">
        <v>2799</v>
      </c>
      <c r="B2801" t="s">
        <v>3715</v>
      </c>
      <c r="C2801" t="s">
        <v>107</v>
      </c>
      <c r="D2801">
        <v>1.16927087557801E-2</v>
      </c>
    </row>
    <row r="2802" spans="1:4" hidden="1" x14ac:dyDescent="0.3">
      <c r="A2802">
        <v>2800</v>
      </c>
      <c r="B2802" s="1" t="s">
        <v>3716</v>
      </c>
      <c r="C2802" t="s">
        <v>109</v>
      </c>
      <c r="D2802" s="1" t="s">
        <v>3717</v>
      </c>
    </row>
    <row r="2803" spans="1:4" x14ac:dyDescent="0.3">
      <c r="A2803">
        <v>2801</v>
      </c>
      <c r="B2803" t="s">
        <v>3718</v>
      </c>
      <c r="C2803" t="s">
        <v>207</v>
      </c>
      <c r="D2803">
        <v>146963695.78571299</v>
      </c>
    </row>
    <row r="2804" spans="1:4" hidden="1" x14ac:dyDescent="0.3">
      <c r="A2804">
        <v>2802</v>
      </c>
      <c r="B2804" t="s">
        <v>3719</v>
      </c>
      <c r="C2804" t="s">
        <v>209</v>
      </c>
      <c r="D2804">
        <v>-1583.0624830069301</v>
      </c>
    </row>
    <row r="2805" spans="1:4" hidden="1" x14ac:dyDescent="0.3">
      <c r="A2805">
        <v>2803</v>
      </c>
      <c r="B2805" t="s">
        <v>3720</v>
      </c>
      <c r="C2805" t="s">
        <v>211</v>
      </c>
      <c r="D2805">
        <v>-805.15977072605995</v>
      </c>
    </row>
    <row r="2806" spans="1:4" hidden="1" x14ac:dyDescent="0.3">
      <c r="A2806">
        <v>2804</v>
      </c>
      <c r="B2806" s="1" t="s">
        <v>3721</v>
      </c>
      <c r="C2806" t="s">
        <v>213</v>
      </c>
      <c r="D2806" s="1" t="s">
        <v>3722</v>
      </c>
    </row>
    <row r="2807" spans="1:4" hidden="1" x14ac:dyDescent="0.3">
      <c r="A2807">
        <v>2805</v>
      </c>
      <c r="B2807" t="s">
        <v>3723</v>
      </c>
      <c r="C2807" t="s">
        <v>216</v>
      </c>
      <c r="D2807">
        <v>77784667.891161397</v>
      </c>
    </row>
    <row r="2808" spans="1:4" hidden="1" x14ac:dyDescent="0.3">
      <c r="A2808">
        <v>2806</v>
      </c>
      <c r="B2808" t="s">
        <v>3724</v>
      </c>
      <c r="C2808" t="s">
        <v>218</v>
      </c>
      <c r="D2808">
        <v>39561979.414918602</v>
      </c>
    </row>
    <row r="2809" spans="1:4" hidden="1" x14ac:dyDescent="0.3">
      <c r="A2809">
        <v>2807</v>
      </c>
      <c r="B2809" t="s">
        <v>3725</v>
      </c>
      <c r="C2809" t="s">
        <v>220</v>
      </c>
      <c r="D2809">
        <v>29620039.524712801</v>
      </c>
    </row>
    <row r="2810" spans="1:4" hidden="1" x14ac:dyDescent="0.3">
      <c r="A2810">
        <v>2808</v>
      </c>
      <c r="B2810" s="1" t="s">
        <v>3726</v>
      </c>
      <c r="C2810" t="s">
        <v>222</v>
      </c>
      <c r="D2810" s="1" t="s">
        <v>3727</v>
      </c>
    </row>
    <row r="2811" spans="1:4" hidden="1" x14ac:dyDescent="0.3">
      <c r="A2811">
        <v>2809</v>
      </c>
      <c r="B2811" t="s">
        <v>3728</v>
      </c>
      <c r="C2811" t="s">
        <v>225</v>
      </c>
      <c r="D2811">
        <v>101183657.835963</v>
      </c>
    </row>
    <row r="2812" spans="1:4" hidden="1" x14ac:dyDescent="0.3">
      <c r="A2812">
        <v>2810</v>
      </c>
      <c r="B2812" t="s">
        <v>3729</v>
      </c>
      <c r="C2812" t="s">
        <v>227</v>
      </c>
      <c r="D2812">
        <v>-2059.2753939330501</v>
      </c>
    </row>
    <row r="2813" spans="1:4" hidden="1" x14ac:dyDescent="0.3">
      <c r="A2813">
        <v>2811</v>
      </c>
      <c r="B2813" s="1" t="s">
        <v>3730</v>
      </c>
      <c r="C2813" t="s">
        <v>229</v>
      </c>
      <c r="D2813" s="1" t="s">
        <v>3731</v>
      </c>
    </row>
    <row r="2814" spans="1:4" hidden="1" x14ac:dyDescent="0.3">
      <c r="A2814">
        <v>2812</v>
      </c>
      <c r="B2814" t="s">
        <v>3732</v>
      </c>
      <c r="C2814" t="s">
        <v>112</v>
      </c>
      <c r="D2814">
        <v>544.98539866633405</v>
      </c>
    </row>
    <row r="2815" spans="1:4" hidden="1" x14ac:dyDescent="0.3">
      <c r="A2815">
        <v>2813</v>
      </c>
      <c r="B2815" t="s">
        <v>3733</v>
      </c>
      <c r="C2815" t="s">
        <v>114</v>
      </c>
      <c r="D2815">
        <v>109.771766696626</v>
      </c>
    </row>
    <row r="2816" spans="1:4" hidden="1" x14ac:dyDescent="0.3">
      <c r="A2816">
        <v>2814</v>
      </c>
      <c r="B2816" s="1" t="s">
        <v>3734</v>
      </c>
      <c r="C2816" t="s">
        <v>116</v>
      </c>
      <c r="D2816" s="1" t="s">
        <v>3735</v>
      </c>
    </row>
    <row r="2817" spans="1:4" hidden="1" x14ac:dyDescent="0.3">
      <c r="A2817">
        <v>2815</v>
      </c>
      <c r="B2817" t="s">
        <v>3736</v>
      </c>
      <c r="C2817" t="s">
        <v>119</v>
      </c>
      <c r="D2817">
        <v>77784667.891161397</v>
      </c>
    </row>
    <row r="2818" spans="1:4" hidden="1" x14ac:dyDescent="0.3">
      <c r="A2818">
        <v>2816</v>
      </c>
      <c r="B2818" t="s">
        <v>3737</v>
      </c>
      <c r="C2818" t="s">
        <v>121</v>
      </c>
      <c r="D2818">
        <v>39561979.414918602</v>
      </c>
    </row>
    <row r="2819" spans="1:4" hidden="1" x14ac:dyDescent="0.3">
      <c r="A2819">
        <v>2817</v>
      </c>
      <c r="B2819" s="1" t="s">
        <v>3738</v>
      </c>
      <c r="C2819" t="s">
        <v>123</v>
      </c>
      <c r="D2819" s="1" t="s">
        <v>3739</v>
      </c>
    </row>
    <row r="2820" spans="1:4" hidden="1" x14ac:dyDescent="0.3">
      <c r="A2820">
        <v>2818</v>
      </c>
      <c r="B2820" t="s">
        <v>3740</v>
      </c>
      <c r="C2820" t="s">
        <v>126</v>
      </c>
      <c r="D2820">
        <v>0.76868518960847598</v>
      </c>
    </row>
    <row r="2821" spans="1:4" hidden="1" x14ac:dyDescent="0.3">
      <c r="A2821">
        <v>2819</v>
      </c>
      <c r="B2821" t="s">
        <v>3741</v>
      </c>
      <c r="C2821" t="s">
        <v>128</v>
      </c>
      <c r="D2821">
        <v>0.390960178558516</v>
      </c>
    </row>
    <row r="2822" spans="1:4" hidden="1" x14ac:dyDescent="0.3">
      <c r="A2822">
        <v>2820</v>
      </c>
      <c r="B2822" s="1" t="s">
        <v>3742</v>
      </c>
      <c r="C2822" t="s">
        <v>130</v>
      </c>
      <c r="D2822" s="1" t="s">
        <v>3743</v>
      </c>
    </row>
    <row r="2823" spans="1:4" hidden="1" x14ac:dyDescent="0.3">
      <c r="A2823">
        <v>2821</v>
      </c>
      <c r="B2823" s="1" t="s">
        <v>3744</v>
      </c>
      <c r="C2823" t="s">
        <v>4</v>
      </c>
      <c r="D2823" t="s">
        <v>3745</v>
      </c>
    </row>
    <row r="2824" spans="1:4" hidden="1" x14ac:dyDescent="0.3">
      <c r="A2824">
        <v>2822</v>
      </c>
      <c r="B2824" t="s">
        <v>3746</v>
      </c>
      <c r="C2824" t="s">
        <v>7</v>
      </c>
      <c r="D2824">
        <v>1807.76</v>
      </c>
    </row>
    <row r="2825" spans="1:4" hidden="1" x14ac:dyDescent="0.3">
      <c r="A2825">
        <v>2823</v>
      </c>
      <c r="B2825" s="1" t="s">
        <v>3747</v>
      </c>
      <c r="C2825" t="s">
        <v>9</v>
      </c>
      <c r="D2825" s="1" t="s">
        <v>3748</v>
      </c>
    </row>
    <row r="2826" spans="1:4" hidden="1" x14ac:dyDescent="0.3">
      <c r="A2826">
        <v>2824</v>
      </c>
      <c r="B2826" t="s">
        <v>338</v>
      </c>
      <c r="C2826" t="s">
        <v>14</v>
      </c>
      <c r="D2826">
        <v>98.265625</v>
      </c>
    </row>
    <row r="2827" spans="1:4" hidden="1" x14ac:dyDescent="0.3">
      <c r="A2827">
        <v>2825</v>
      </c>
      <c r="B2827" t="s">
        <v>3749</v>
      </c>
      <c r="C2827" t="s">
        <v>16</v>
      </c>
      <c r="D2827">
        <v>4.3875341599978803</v>
      </c>
    </row>
    <row r="2828" spans="1:4" hidden="1" x14ac:dyDescent="0.3">
      <c r="A2828">
        <v>2826</v>
      </c>
      <c r="B2828" s="1" t="s">
        <v>3750</v>
      </c>
      <c r="C2828" t="s">
        <v>140</v>
      </c>
      <c r="D2828" s="1" t="s">
        <v>3751</v>
      </c>
    </row>
    <row r="2829" spans="1:4" hidden="1" x14ac:dyDescent="0.3">
      <c r="A2829">
        <v>2827</v>
      </c>
      <c r="B2829" t="s">
        <v>3752</v>
      </c>
      <c r="C2829" t="s">
        <v>22</v>
      </c>
      <c r="D2829">
        <v>75.349999999999994</v>
      </c>
    </row>
    <row r="2830" spans="1:4" hidden="1" x14ac:dyDescent="0.3">
      <c r="A2830">
        <v>2828</v>
      </c>
      <c r="B2830" t="s">
        <v>3753</v>
      </c>
      <c r="C2830" t="s">
        <v>24</v>
      </c>
      <c r="D2830">
        <v>6.1610356353978899</v>
      </c>
    </row>
    <row r="2831" spans="1:4" hidden="1" x14ac:dyDescent="0.3">
      <c r="A2831">
        <v>2829</v>
      </c>
      <c r="B2831" s="1" t="s">
        <v>3754</v>
      </c>
      <c r="C2831" t="s">
        <v>145</v>
      </c>
      <c r="D2831" s="1" t="s">
        <v>3755</v>
      </c>
    </row>
    <row r="2832" spans="1:4" hidden="1" x14ac:dyDescent="0.3">
      <c r="A2832">
        <v>2830</v>
      </c>
      <c r="B2832" t="s">
        <v>3756</v>
      </c>
      <c r="C2832" t="s">
        <v>35</v>
      </c>
      <c r="D2832">
        <v>-1.05056965040687</v>
      </c>
    </row>
    <row r="2833" spans="1:4" hidden="1" x14ac:dyDescent="0.3">
      <c r="A2833">
        <v>2831</v>
      </c>
      <c r="B2833" t="s">
        <v>3757</v>
      </c>
      <c r="C2833" t="s">
        <v>149</v>
      </c>
      <c r="D2833">
        <v>0.67147211562732301</v>
      </c>
    </row>
    <row r="2834" spans="1:4" hidden="1" x14ac:dyDescent="0.3">
      <c r="A2834">
        <v>2832</v>
      </c>
      <c r="B2834" s="1" t="s">
        <v>3758</v>
      </c>
      <c r="C2834" t="s">
        <v>151</v>
      </c>
      <c r="D2834" s="1" t="s">
        <v>3759</v>
      </c>
    </row>
    <row r="2835" spans="1:4" hidden="1" x14ac:dyDescent="0.3">
      <c r="A2835">
        <v>2833</v>
      </c>
      <c r="B2835" t="s">
        <v>3760</v>
      </c>
      <c r="C2835" t="s">
        <v>30</v>
      </c>
      <c r="D2835">
        <v>0.82534234935686301</v>
      </c>
    </row>
    <row r="2836" spans="1:4" hidden="1" x14ac:dyDescent="0.3">
      <c r="A2836">
        <v>2834</v>
      </c>
      <c r="B2836" t="s">
        <v>3761</v>
      </c>
      <c r="C2836" t="s">
        <v>32</v>
      </c>
      <c r="D2836">
        <v>0.24190731460867401</v>
      </c>
    </row>
    <row r="2837" spans="1:4" hidden="1" x14ac:dyDescent="0.3">
      <c r="A2837">
        <v>2835</v>
      </c>
      <c r="B2837" s="1" t="s">
        <v>3762</v>
      </c>
      <c r="C2837" t="s">
        <v>155</v>
      </c>
      <c r="D2837" s="1" t="s">
        <v>3763</v>
      </c>
    </row>
    <row r="2838" spans="1:4" hidden="1" x14ac:dyDescent="0.3">
      <c r="A2838">
        <v>2836</v>
      </c>
      <c r="B2838" t="s">
        <v>3764</v>
      </c>
      <c r="C2838" t="s">
        <v>40</v>
      </c>
      <c r="D2838">
        <v>1.2252273010500101</v>
      </c>
    </row>
    <row r="2839" spans="1:4" hidden="1" x14ac:dyDescent="0.3">
      <c r="A2839">
        <v>2837</v>
      </c>
      <c r="B2839" t="s">
        <v>3765</v>
      </c>
      <c r="C2839" t="s">
        <v>42</v>
      </c>
      <c r="D2839">
        <v>0.24735780411594899</v>
      </c>
    </row>
    <row r="2840" spans="1:4" hidden="1" x14ac:dyDescent="0.3">
      <c r="A2840">
        <v>2838</v>
      </c>
      <c r="B2840" s="1" t="s">
        <v>3766</v>
      </c>
      <c r="C2840" t="s">
        <v>159</v>
      </c>
      <c r="D2840" s="1" t="s">
        <v>3767</v>
      </c>
    </row>
    <row r="2841" spans="1:4" hidden="1" x14ac:dyDescent="0.3">
      <c r="A2841">
        <v>2839</v>
      </c>
      <c r="B2841" t="s">
        <v>3768</v>
      </c>
      <c r="C2841" t="s">
        <v>161</v>
      </c>
      <c r="D2841">
        <v>1.0008193635538201</v>
      </c>
    </row>
    <row r="2842" spans="1:4" hidden="1" x14ac:dyDescent="0.3">
      <c r="A2842">
        <v>2840</v>
      </c>
      <c r="B2842" t="s">
        <v>3769</v>
      </c>
      <c r="C2842" t="s">
        <v>163</v>
      </c>
      <c r="D2842">
        <v>0.99776949026474004</v>
      </c>
    </row>
    <row r="2843" spans="1:4" hidden="1" x14ac:dyDescent="0.3">
      <c r="A2843">
        <v>2841</v>
      </c>
      <c r="B2843" s="1" t="s">
        <v>3770</v>
      </c>
      <c r="C2843" t="s">
        <v>165</v>
      </c>
      <c r="D2843" s="1" t="s">
        <v>3771</v>
      </c>
    </row>
    <row r="2844" spans="1:4" hidden="1" x14ac:dyDescent="0.3">
      <c r="A2844">
        <v>2842</v>
      </c>
      <c r="B2844" t="s">
        <v>3772</v>
      </c>
      <c r="C2844" t="s">
        <v>168</v>
      </c>
      <c r="D2844">
        <v>0.99743480703696197</v>
      </c>
    </row>
    <row r="2845" spans="1:4" hidden="1" x14ac:dyDescent="0.3">
      <c r="A2845">
        <v>2843</v>
      </c>
      <c r="B2845" t="s">
        <v>3773</v>
      </c>
      <c r="C2845" t="s">
        <v>170</v>
      </c>
      <c r="D2845">
        <v>1.0015940838128701</v>
      </c>
    </row>
    <row r="2846" spans="1:4" hidden="1" x14ac:dyDescent="0.3">
      <c r="A2846">
        <v>2844</v>
      </c>
      <c r="B2846" s="1" t="s">
        <v>3774</v>
      </c>
      <c r="C2846" t="s">
        <v>172</v>
      </c>
      <c r="D2846" s="1" t="s">
        <v>3775</v>
      </c>
    </row>
    <row r="2847" spans="1:4" hidden="1" x14ac:dyDescent="0.3">
      <c r="A2847">
        <v>2845</v>
      </c>
      <c r="B2847" s="1" t="s">
        <v>3776</v>
      </c>
      <c r="C2847" t="s">
        <v>55</v>
      </c>
      <c r="D2847" s="1" t="s">
        <v>3777</v>
      </c>
    </row>
    <row r="2848" spans="1:4" hidden="1" x14ac:dyDescent="0.3">
      <c r="A2848">
        <v>2846</v>
      </c>
      <c r="B2848" s="1" t="s">
        <v>3778</v>
      </c>
      <c r="C2848" t="s">
        <v>52</v>
      </c>
      <c r="D2848" s="1" t="s">
        <v>3779</v>
      </c>
    </row>
    <row r="2849" spans="1:4" hidden="1" x14ac:dyDescent="0.3">
      <c r="A2849">
        <v>2847</v>
      </c>
      <c r="B2849" s="1" t="s">
        <v>3780</v>
      </c>
      <c r="C2849" t="s">
        <v>58</v>
      </c>
      <c r="D2849" s="1" t="s">
        <v>3781</v>
      </c>
    </row>
    <row r="2850" spans="1:4" hidden="1" x14ac:dyDescent="0.3">
      <c r="A2850">
        <v>2848</v>
      </c>
      <c r="B2850" t="s">
        <v>3782</v>
      </c>
      <c r="C2850" t="s">
        <v>61</v>
      </c>
      <c r="D2850">
        <v>147055523.53443599</v>
      </c>
    </row>
    <row r="2851" spans="1:4" hidden="1" x14ac:dyDescent="0.3">
      <c r="A2851">
        <v>2849</v>
      </c>
      <c r="B2851" t="s">
        <v>3783</v>
      </c>
      <c r="C2851" t="s">
        <v>63</v>
      </c>
      <c r="D2851">
        <v>77848401.813077703</v>
      </c>
    </row>
    <row r="2852" spans="1:4" hidden="1" x14ac:dyDescent="0.3">
      <c r="A2852">
        <v>2850</v>
      </c>
      <c r="B2852" t="s">
        <v>3784</v>
      </c>
      <c r="C2852" t="s">
        <v>65</v>
      </c>
      <c r="D2852">
        <v>39473736.034687497</v>
      </c>
    </row>
    <row r="2853" spans="1:4" hidden="1" x14ac:dyDescent="0.3">
      <c r="A2853">
        <v>2851</v>
      </c>
      <c r="B2853" s="1" t="s">
        <v>3785</v>
      </c>
      <c r="C2853" t="s">
        <v>67</v>
      </c>
      <c r="D2853" s="1" t="s">
        <v>3786</v>
      </c>
    </row>
    <row r="2854" spans="1:4" hidden="1" x14ac:dyDescent="0.3">
      <c r="A2854">
        <v>2852</v>
      </c>
      <c r="B2854" s="1" t="s">
        <v>3787</v>
      </c>
      <c r="C2854" t="s">
        <v>70</v>
      </c>
      <c r="D2854" s="1" t="s">
        <v>3788</v>
      </c>
    </row>
    <row r="2855" spans="1:4" hidden="1" x14ac:dyDescent="0.3">
      <c r="A2855">
        <v>2853</v>
      </c>
      <c r="B2855" t="s">
        <v>3789</v>
      </c>
      <c r="C2855" t="s">
        <v>73</v>
      </c>
      <c r="D2855">
        <v>1.0000808538607799</v>
      </c>
    </row>
    <row r="2856" spans="1:4" hidden="1" x14ac:dyDescent="0.3">
      <c r="A2856">
        <v>2854</v>
      </c>
      <c r="B2856" t="s">
        <v>74</v>
      </c>
      <c r="C2856" t="s">
        <v>75</v>
      </c>
      <c r="D2856">
        <v>2.7397260273972599E-3</v>
      </c>
    </row>
    <row r="2857" spans="1:4" hidden="1" x14ac:dyDescent="0.3">
      <c r="A2857">
        <v>2855</v>
      </c>
      <c r="B2857" t="s">
        <v>76</v>
      </c>
      <c r="C2857" t="s">
        <v>77</v>
      </c>
      <c r="D2857">
        <v>0</v>
      </c>
    </row>
    <row r="2858" spans="1:4" hidden="1" x14ac:dyDescent="0.3">
      <c r="A2858">
        <v>2856</v>
      </c>
      <c r="B2858" t="s">
        <v>78</v>
      </c>
      <c r="C2858" t="s">
        <v>79</v>
      </c>
      <c r="D2858">
        <v>0</v>
      </c>
    </row>
    <row r="2859" spans="1:4" hidden="1" x14ac:dyDescent="0.3">
      <c r="A2859">
        <v>2857</v>
      </c>
      <c r="B2859" s="1" t="s">
        <v>3790</v>
      </c>
      <c r="C2859" t="s">
        <v>81</v>
      </c>
      <c r="D2859" s="1" t="s">
        <v>3791</v>
      </c>
    </row>
    <row r="2860" spans="1:4" hidden="1" x14ac:dyDescent="0.3">
      <c r="A2860">
        <v>2858</v>
      </c>
      <c r="B2860" t="s">
        <v>3792</v>
      </c>
      <c r="C2860" t="s">
        <v>84</v>
      </c>
      <c r="D2860">
        <v>1.0000463338544701</v>
      </c>
    </row>
    <row r="2861" spans="1:4" hidden="1" x14ac:dyDescent="0.3">
      <c r="A2861">
        <v>2859</v>
      </c>
      <c r="B2861" s="1" t="s">
        <v>3793</v>
      </c>
      <c r="C2861" t="s">
        <v>86</v>
      </c>
      <c r="D2861" s="1" t="s">
        <v>3794</v>
      </c>
    </row>
    <row r="2862" spans="1:4" hidden="1" x14ac:dyDescent="0.3">
      <c r="A2862">
        <v>2860</v>
      </c>
      <c r="B2862" t="s">
        <v>3795</v>
      </c>
      <c r="C2862" t="s">
        <v>89</v>
      </c>
      <c r="D2862">
        <v>101185091.188163</v>
      </c>
    </row>
    <row r="2863" spans="1:4" hidden="1" x14ac:dyDescent="0.3">
      <c r="A2863">
        <v>2861</v>
      </c>
      <c r="B2863" s="1" t="s">
        <v>3796</v>
      </c>
      <c r="C2863" t="s">
        <v>91</v>
      </c>
      <c r="D2863" s="1" t="s">
        <v>3731</v>
      </c>
    </row>
    <row r="2864" spans="1:4" hidden="1" x14ac:dyDescent="0.3">
      <c r="A2864">
        <v>2862</v>
      </c>
      <c r="B2864" t="s">
        <v>3797</v>
      </c>
      <c r="C2864" t="s">
        <v>94</v>
      </c>
      <c r="D2864">
        <v>77848401.813077703</v>
      </c>
    </row>
    <row r="2865" spans="1:4" hidden="1" x14ac:dyDescent="0.3">
      <c r="A2865">
        <v>2863</v>
      </c>
      <c r="B2865" t="s">
        <v>3798</v>
      </c>
      <c r="C2865" t="s">
        <v>96</v>
      </c>
      <c r="D2865">
        <v>39473736.034687497</v>
      </c>
    </row>
    <row r="2866" spans="1:4" hidden="1" x14ac:dyDescent="0.3">
      <c r="A2866">
        <v>2864</v>
      </c>
      <c r="B2866" t="s">
        <v>3799</v>
      </c>
      <c r="C2866" t="s">
        <v>98</v>
      </c>
      <c r="D2866">
        <v>29733385.686670899</v>
      </c>
    </row>
    <row r="2867" spans="1:4" hidden="1" x14ac:dyDescent="0.3">
      <c r="A2867">
        <v>2865</v>
      </c>
      <c r="B2867" s="1" t="s">
        <v>3800</v>
      </c>
      <c r="C2867" t="s">
        <v>100</v>
      </c>
      <c r="D2867" s="1" t="s">
        <v>3801</v>
      </c>
    </row>
    <row r="2868" spans="1:4" hidden="1" x14ac:dyDescent="0.3">
      <c r="A2868">
        <v>2866</v>
      </c>
      <c r="B2868" t="s">
        <v>3802</v>
      </c>
      <c r="C2868" t="s">
        <v>103</v>
      </c>
      <c r="D2868">
        <v>8.8341265689142103E-3</v>
      </c>
    </row>
    <row r="2869" spans="1:4" hidden="1" x14ac:dyDescent="0.3">
      <c r="A2869">
        <v>2867</v>
      </c>
      <c r="B2869" t="s">
        <v>3803</v>
      </c>
      <c r="C2869" t="s">
        <v>105</v>
      </c>
      <c r="D2869">
        <v>1.85276540360758E-3</v>
      </c>
    </row>
    <row r="2870" spans="1:4" hidden="1" x14ac:dyDescent="0.3">
      <c r="A2870">
        <v>2868</v>
      </c>
      <c r="B2870" t="s">
        <v>3804</v>
      </c>
      <c r="C2870" t="s">
        <v>107</v>
      </c>
      <c r="D2870">
        <v>1.16594711719627E-2</v>
      </c>
    </row>
    <row r="2871" spans="1:4" hidden="1" x14ac:dyDescent="0.3">
      <c r="A2871">
        <v>2869</v>
      </c>
      <c r="B2871" s="1" t="s">
        <v>3805</v>
      </c>
      <c r="C2871" t="s">
        <v>109</v>
      </c>
      <c r="D2871" s="1" t="s">
        <v>3806</v>
      </c>
    </row>
    <row r="2872" spans="1:4" x14ac:dyDescent="0.3">
      <c r="A2872">
        <v>2870</v>
      </c>
      <c r="B2872" t="s">
        <v>3807</v>
      </c>
      <c r="C2872" t="s">
        <v>207</v>
      </c>
      <c r="D2872">
        <v>147054317.41204599</v>
      </c>
    </row>
    <row r="2873" spans="1:4" hidden="1" x14ac:dyDescent="0.3">
      <c r="A2873">
        <v>2871</v>
      </c>
      <c r="B2873" t="s">
        <v>3808</v>
      </c>
      <c r="C2873" t="s">
        <v>209</v>
      </c>
      <c r="D2873">
        <v>2687.0794426562102</v>
      </c>
    </row>
    <row r="2874" spans="1:4" hidden="1" x14ac:dyDescent="0.3">
      <c r="A2874">
        <v>2872</v>
      </c>
      <c r="B2874" t="s">
        <v>3809</v>
      </c>
      <c r="C2874" t="s">
        <v>211</v>
      </c>
      <c r="D2874">
        <v>1362.5173342166099</v>
      </c>
    </row>
    <row r="2875" spans="1:4" hidden="1" x14ac:dyDescent="0.3">
      <c r="A2875">
        <v>2873</v>
      </c>
      <c r="B2875" s="1" t="s">
        <v>3810</v>
      </c>
      <c r="C2875" t="s">
        <v>213</v>
      </c>
      <c r="D2875" s="1" t="s">
        <v>3811</v>
      </c>
    </row>
    <row r="2876" spans="1:4" hidden="1" x14ac:dyDescent="0.3">
      <c r="A2876">
        <v>2874</v>
      </c>
      <c r="B2876" t="s">
        <v>3812</v>
      </c>
      <c r="C2876" t="s">
        <v>216</v>
      </c>
      <c r="D2876">
        <v>77844827.757097095</v>
      </c>
    </row>
    <row r="2877" spans="1:4" hidden="1" x14ac:dyDescent="0.3">
      <c r="A2877">
        <v>2875</v>
      </c>
      <c r="B2877" t="s">
        <v>3813</v>
      </c>
      <c r="C2877" t="s">
        <v>218</v>
      </c>
      <c r="D2877">
        <v>39472196.2865768</v>
      </c>
    </row>
    <row r="2878" spans="1:4" hidden="1" x14ac:dyDescent="0.3">
      <c r="A2878">
        <v>2876</v>
      </c>
      <c r="B2878" t="s">
        <v>3814</v>
      </c>
      <c r="C2878" t="s">
        <v>220</v>
      </c>
      <c r="D2878">
        <v>29732217.4628141</v>
      </c>
    </row>
    <row r="2879" spans="1:4" hidden="1" x14ac:dyDescent="0.3">
      <c r="A2879">
        <v>2877</v>
      </c>
      <c r="B2879" s="1" t="s">
        <v>3815</v>
      </c>
      <c r="C2879" t="s">
        <v>222</v>
      </c>
      <c r="D2879" s="1" t="s">
        <v>3816</v>
      </c>
    </row>
    <row r="2880" spans="1:4" hidden="1" x14ac:dyDescent="0.3">
      <c r="A2880">
        <v>2878</v>
      </c>
      <c r="B2880" t="s">
        <v>3817</v>
      </c>
      <c r="C2880" t="s">
        <v>225</v>
      </c>
      <c r="D2880">
        <v>101181598.560569</v>
      </c>
    </row>
    <row r="2881" spans="1:4" hidden="1" x14ac:dyDescent="0.3">
      <c r="A2881">
        <v>2879</v>
      </c>
      <c r="B2881" t="s">
        <v>3818</v>
      </c>
      <c r="C2881" t="s">
        <v>227</v>
      </c>
      <c r="D2881">
        <v>3492.62759390473</v>
      </c>
    </row>
    <row r="2882" spans="1:4" hidden="1" x14ac:dyDescent="0.3">
      <c r="A2882">
        <v>2880</v>
      </c>
      <c r="B2882" s="1" t="s">
        <v>3819</v>
      </c>
      <c r="C2882" t="s">
        <v>229</v>
      </c>
      <c r="D2882" s="1" t="s">
        <v>3820</v>
      </c>
    </row>
    <row r="2883" spans="1:4" hidden="1" x14ac:dyDescent="0.3">
      <c r="A2883">
        <v>2881</v>
      </c>
      <c r="B2883" t="s">
        <v>3821</v>
      </c>
      <c r="C2883" t="s">
        <v>112</v>
      </c>
      <c r="D2883">
        <v>-886.97653797852104</v>
      </c>
    </row>
    <row r="2884" spans="1:4" hidden="1" x14ac:dyDescent="0.3">
      <c r="A2884">
        <v>2882</v>
      </c>
      <c r="B2884" t="s">
        <v>3822</v>
      </c>
      <c r="C2884" t="s">
        <v>114</v>
      </c>
      <c r="D2884">
        <v>-177.23077652522801</v>
      </c>
    </row>
    <row r="2885" spans="1:4" hidden="1" x14ac:dyDescent="0.3">
      <c r="A2885">
        <v>2883</v>
      </c>
      <c r="B2885" s="1" t="s">
        <v>3823</v>
      </c>
      <c r="C2885" t="s">
        <v>116</v>
      </c>
      <c r="D2885" s="1" t="s">
        <v>3824</v>
      </c>
    </row>
    <row r="2886" spans="1:4" hidden="1" x14ac:dyDescent="0.3">
      <c r="A2886">
        <v>2884</v>
      </c>
      <c r="B2886" t="s">
        <v>3825</v>
      </c>
      <c r="C2886" t="s">
        <v>119</v>
      </c>
      <c r="D2886">
        <v>77844827.757097095</v>
      </c>
    </row>
    <row r="2887" spans="1:4" hidden="1" x14ac:dyDescent="0.3">
      <c r="A2887">
        <v>2885</v>
      </c>
      <c r="B2887" t="s">
        <v>3826</v>
      </c>
      <c r="C2887" t="s">
        <v>121</v>
      </c>
      <c r="D2887">
        <v>39472196.2865768</v>
      </c>
    </row>
    <row r="2888" spans="1:4" hidden="1" x14ac:dyDescent="0.3">
      <c r="A2888">
        <v>2886</v>
      </c>
      <c r="B2888" s="1" t="s">
        <v>3827</v>
      </c>
      <c r="C2888" t="s">
        <v>123</v>
      </c>
      <c r="D2888" s="1" t="s">
        <v>3828</v>
      </c>
    </row>
    <row r="2889" spans="1:4" hidden="1" x14ac:dyDescent="0.3">
      <c r="A2889">
        <v>2887</v>
      </c>
      <c r="B2889" t="s">
        <v>3829</v>
      </c>
      <c r="C2889" t="s">
        <v>126</v>
      </c>
      <c r="D2889">
        <v>0.76932191407007899</v>
      </c>
    </row>
    <row r="2890" spans="1:4" hidden="1" x14ac:dyDescent="0.3">
      <c r="A2890">
        <v>2888</v>
      </c>
      <c r="B2890" t="s">
        <v>3830</v>
      </c>
      <c r="C2890" t="s">
        <v>128</v>
      </c>
      <c r="D2890">
        <v>0.39009432578480602</v>
      </c>
    </row>
    <row r="2891" spans="1:4" hidden="1" x14ac:dyDescent="0.3">
      <c r="A2891">
        <v>2889</v>
      </c>
      <c r="B2891" s="1" t="s">
        <v>3831</v>
      </c>
      <c r="C2891" t="s">
        <v>130</v>
      </c>
      <c r="D2891" s="1" t="s">
        <v>3832</v>
      </c>
    </row>
    <row r="2892" spans="1:4" hidden="1" x14ac:dyDescent="0.3">
      <c r="A2892">
        <v>2890</v>
      </c>
      <c r="B2892" s="1" t="s">
        <v>3833</v>
      </c>
      <c r="C2892" t="s">
        <v>4</v>
      </c>
      <c r="D2892" t="s">
        <v>3834</v>
      </c>
    </row>
    <row r="2893" spans="1:4" hidden="1" x14ac:dyDescent="0.3">
      <c r="A2893">
        <v>2891</v>
      </c>
      <c r="B2893" t="s">
        <v>3835</v>
      </c>
      <c r="C2893" t="s">
        <v>7</v>
      </c>
      <c r="D2893">
        <v>1827.53</v>
      </c>
    </row>
    <row r="2894" spans="1:4" hidden="1" x14ac:dyDescent="0.3">
      <c r="A2894">
        <v>2892</v>
      </c>
      <c r="B2894" s="1" t="s">
        <v>3836</v>
      </c>
      <c r="C2894" t="s">
        <v>9</v>
      </c>
      <c r="D2894" s="1" t="s">
        <v>3837</v>
      </c>
    </row>
    <row r="2895" spans="1:4" hidden="1" x14ac:dyDescent="0.3">
      <c r="A2895">
        <v>2893</v>
      </c>
      <c r="B2895" t="s">
        <v>1058</v>
      </c>
      <c r="C2895" t="s">
        <v>14</v>
      </c>
      <c r="D2895">
        <v>98.484375</v>
      </c>
    </row>
    <row r="2896" spans="1:4" hidden="1" x14ac:dyDescent="0.3">
      <c r="A2896">
        <v>2894</v>
      </c>
      <c r="B2896" t="s">
        <v>3838</v>
      </c>
      <c r="C2896" t="s">
        <v>16</v>
      </c>
      <c r="D2896">
        <v>4.3912552619312004</v>
      </c>
    </row>
    <row r="2897" spans="1:4" hidden="1" x14ac:dyDescent="0.3">
      <c r="A2897">
        <v>2895</v>
      </c>
      <c r="B2897" s="1" t="s">
        <v>3839</v>
      </c>
      <c r="C2897" t="s">
        <v>140</v>
      </c>
      <c r="D2897" s="1" t="s">
        <v>3840</v>
      </c>
    </row>
    <row r="2898" spans="1:4" hidden="1" x14ac:dyDescent="0.3">
      <c r="A2898">
        <v>2896</v>
      </c>
      <c r="B2898" t="s">
        <v>1512</v>
      </c>
      <c r="C2898" t="s">
        <v>22</v>
      </c>
      <c r="D2898">
        <v>74.400000000000006</v>
      </c>
    </row>
    <row r="2899" spans="1:4" hidden="1" x14ac:dyDescent="0.3">
      <c r="A2899">
        <v>2897</v>
      </c>
      <c r="B2899" t="s">
        <v>3841</v>
      </c>
      <c r="C2899" t="s">
        <v>24</v>
      </c>
      <c r="D2899">
        <v>6.2230812817596997</v>
      </c>
    </row>
    <row r="2900" spans="1:4" hidden="1" x14ac:dyDescent="0.3">
      <c r="A2900">
        <v>2898</v>
      </c>
      <c r="B2900" s="1" t="s">
        <v>3842</v>
      </c>
      <c r="C2900" t="s">
        <v>145</v>
      </c>
      <c r="D2900" s="1" t="s">
        <v>3843</v>
      </c>
    </row>
    <row r="2901" spans="1:4" hidden="1" x14ac:dyDescent="0.3">
      <c r="A2901">
        <v>2899</v>
      </c>
      <c r="B2901" t="s">
        <v>3844</v>
      </c>
      <c r="C2901" t="s">
        <v>35</v>
      </c>
      <c r="D2901">
        <v>-0.39564271826105302</v>
      </c>
    </row>
    <row r="2902" spans="1:4" hidden="1" x14ac:dyDescent="0.3">
      <c r="A2902">
        <v>2900</v>
      </c>
      <c r="B2902" t="s">
        <v>3845</v>
      </c>
      <c r="C2902" t="s">
        <v>149</v>
      </c>
      <c r="D2902">
        <v>0.67210524610052402</v>
      </c>
    </row>
    <row r="2903" spans="1:4" hidden="1" x14ac:dyDescent="0.3">
      <c r="A2903">
        <v>2901</v>
      </c>
      <c r="B2903" s="1" t="s">
        <v>3846</v>
      </c>
      <c r="C2903" t="s">
        <v>151</v>
      </c>
      <c r="D2903" s="1" t="s">
        <v>3847</v>
      </c>
    </row>
    <row r="2904" spans="1:4" hidden="1" x14ac:dyDescent="0.3">
      <c r="A2904">
        <v>2902</v>
      </c>
      <c r="B2904" t="s">
        <v>3848</v>
      </c>
      <c r="C2904" t="s">
        <v>30</v>
      </c>
      <c r="D2904">
        <v>0.55995043478466699</v>
      </c>
    </row>
    <row r="2905" spans="1:4" hidden="1" x14ac:dyDescent="0.3">
      <c r="A2905">
        <v>2903</v>
      </c>
      <c r="B2905" t="s">
        <v>3849</v>
      </c>
      <c r="C2905" t="s">
        <v>32</v>
      </c>
      <c r="D2905">
        <v>0.24332391656430999</v>
      </c>
    </row>
    <row r="2906" spans="1:4" hidden="1" x14ac:dyDescent="0.3">
      <c r="A2906">
        <v>2904</v>
      </c>
      <c r="B2906" s="1" t="s">
        <v>3850</v>
      </c>
      <c r="C2906" t="s">
        <v>155</v>
      </c>
      <c r="D2906" s="1" t="s">
        <v>3851</v>
      </c>
    </row>
    <row r="2907" spans="1:4" hidden="1" x14ac:dyDescent="0.3">
      <c r="A2907">
        <v>2905</v>
      </c>
      <c r="B2907" t="s">
        <v>3852</v>
      </c>
      <c r="C2907" t="s">
        <v>40</v>
      </c>
      <c r="D2907">
        <v>0.83569228347638602</v>
      </c>
    </row>
    <row r="2908" spans="1:4" hidden="1" x14ac:dyDescent="0.3">
      <c r="A2908">
        <v>2906</v>
      </c>
      <c r="B2908" t="s">
        <v>3853</v>
      </c>
      <c r="C2908" t="s">
        <v>42</v>
      </c>
      <c r="D2908">
        <v>0.24453829817346001</v>
      </c>
    </row>
    <row r="2909" spans="1:4" hidden="1" x14ac:dyDescent="0.3">
      <c r="A2909">
        <v>2907</v>
      </c>
      <c r="B2909" s="1" t="s">
        <v>3854</v>
      </c>
      <c r="C2909" t="s">
        <v>159</v>
      </c>
      <c r="D2909" s="1" t="s">
        <v>3855</v>
      </c>
    </row>
    <row r="2910" spans="1:4" hidden="1" x14ac:dyDescent="0.3">
      <c r="A2910">
        <v>2908</v>
      </c>
      <c r="B2910" t="s">
        <v>3856</v>
      </c>
      <c r="C2910" t="s">
        <v>161</v>
      </c>
      <c r="D2910">
        <v>1.0109361862194</v>
      </c>
    </row>
    <row r="2911" spans="1:4" hidden="1" x14ac:dyDescent="0.3">
      <c r="A2911">
        <v>2909</v>
      </c>
      <c r="B2911" t="s">
        <v>3857</v>
      </c>
      <c r="C2911" t="s">
        <v>163</v>
      </c>
      <c r="D2911">
        <v>1.00216721145022</v>
      </c>
    </row>
    <row r="2912" spans="1:4" hidden="1" x14ac:dyDescent="0.3">
      <c r="A2912">
        <v>2910</v>
      </c>
      <c r="B2912" s="1" t="s">
        <v>3858</v>
      </c>
      <c r="C2912" t="s">
        <v>165</v>
      </c>
      <c r="D2912" s="1" t="s">
        <v>3859</v>
      </c>
    </row>
    <row r="2913" spans="1:4" hidden="1" x14ac:dyDescent="0.3">
      <c r="A2913">
        <v>2911</v>
      </c>
      <c r="B2913" t="s">
        <v>3860</v>
      </c>
      <c r="C2913" t="s">
        <v>168</v>
      </c>
      <c r="D2913">
        <v>1.0003787861414299</v>
      </c>
    </row>
    <row r="2914" spans="1:4" hidden="1" x14ac:dyDescent="0.3">
      <c r="A2914">
        <v>2912</v>
      </c>
      <c r="B2914" t="s">
        <v>3861</v>
      </c>
      <c r="C2914" t="s">
        <v>170</v>
      </c>
      <c r="D2914">
        <v>1.00114066640801</v>
      </c>
    </row>
    <row r="2915" spans="1:4" hidden="1" x14ac:dyDescent="0.3">
      <c r="A2915">
        <v>2913</v>
      </c>
      <c r="B2915" s="1" t="s">
        <v>3862</v>
      </c>
      <c r="C2915" t="s">
        <v>172</v>
      </c>
      <c r="D2915" s="1" t="s">
        <v>3863</v>
      </c>
    </row>
    <row r="2916" spans="1:4" hidden="1" x14ac:dyDescent="0.3">
      <c r="A2916">
        <v>2914</v>
      </c>
      <c r="B2916" s="1" t="s">
        <v>3864</v>
      </c>
      <c r="C2916" t="s">
        <v>55</v>
      </c>
      <c r="D2916" s="1" t="s">
        <v>3865</v>
      </c>
    </row>
    <row r="2917" spans="1:4" hidden="1" x14ac:dyDescent="0.3">
      <c r="A2917">
        <v>2915</v>
      </c>
      <c r="B2917" s="1" t="s">
        <v>3866</v>
      </c>
      <c r="C2917" t="s">
        <v>52</v>
      </c>
      <c r="D2917" s="1" t="s">
        <v>3867</v>
      </c>
    </row>
    <row r="2918" spans="1:4" hidden="1" x14ac:dyDescent="0.3">
      <c r="A2918">
        <v>2916</v>
      </c>
      <c r="B2918" s="1" t="s">
        <v>3868</v>
      </c>
      <c r="C2918" t="s">
        <v>58</v>
      </c>
      <c r="D2918" s="1" t="s">
        <v>3869</v>
      </c>
    </row>
    <row r="2919" spans="1:4" hidden="1" x14ac:dyDescent="0.3">
      <c r="A2919">
        <v>2917</v>
      </c>
      <c r="B2919" t="s">
        <v>3870</v>
      </c>
      <c r="C2919" t="s">
        <v>61</v>
      </c>
      <c r="D2919">
        <v>147662218.65843901</v>
      </c>
    </row>
    <row r="2920" spans="1:4" hidden="1" x14ac:dyDescent="0.3">
      <c r="A2920">
        <v>2918</v>
      </c>
      <c r="B2920" t="s">
        <v>3871</v>
      </c>
      <c r="C2920" t="s">
        <v>63</v>
      </c>
      <c r="D2920">
        <v>78696153.289666504</v>
      </c>
    </row>
    <row r="2921" spans="1:4" hidden="1" x14ac:dyDescent="0.3">
      <c r="A2921">
        <v>2919</v>
      </c>
      <c r="B2921" t="s">
        <v>3872</v>
      </c>
      <c r="C2921" t="s">
        <v>65</v>
      </c>
      <c r="D2921">
        <v>39557740.882334597</v>
      </c>
    </row>
    <row r="2922" spans="1:4" hidden="1" x14ac:dyDescent="0.3">
      <c r="A2922">
        <v>2920</v>
      </c>
      <c r="B2922" s="1" t="s">
        <v>3873</v>
      </c>
      <c r="C2922" t="s">
        <v>67</v>
      </c>
      <c r="D2922" s="1" t="s">
        <v>3874</v>
      </c>
    </row>
    <row r="2923" spans="1:4" hidden="1" x14ac:dyDescent="0.3">
      <c r="A2923">
        <v>2921</v>
      </c>
      <c r="B2923" s="1" t="s">
        <v>3875</v>
      </c>
      <c r="C2923" t="s">
        <v>70</v>
      </c>
      <c r="D2923" s="1" t="s">
        <v>3876</v>
      </c>
    </row>
    <row r="2924" spans="1:4" hidden="1" x14ac:dyDescent="0.3">
      <c r="A2924">
        <v>2922</v>
      </c>
      <c r="B2924" t="s">
        <v>3877</v>
      </c>
      <c r="C2924" t="s">
        <v>73</v>
      </c>
      <c r="D2924">
        <v>1.0000463338544701</v>
      </c>
    </row>
    <row r="2925" spans="1:4" hidden="1" x14ac:dyDescent="0.3">
      <c r="A2925">
        <v>2923</v>
      </c>
      <c r="B2925" t="s">
        <v>74</v>
      </c>
      <c r="C2925" t="s">
        <v>75</v>
      </c>
      <c r="D2925">
        <v>2.7397260273972599E-3</v>
      </c>
    </row>
    <row r="2926" spans="1:4" hidden="1" x14ac:dyDescent="0.3">
      <c r="A2926">
        <v>2924</v>
      </c>
      <c r="B2926" t="s">
        <v>76</v>
      </c>
      <c r="C2926" t="s">
        <v>77</v>
      </c>
      <c r="D2926">
        <v>0</v>
      </c>
    </row>
    <row r="2927" spans="1:4" hidden="1" x14ac:dyDescent="0.3">
      <c r="A2927">
        <v>2925</v>
      </c>
      <c r="B2927" t="s">
        <v>78</v>
      </c>
      <c r="C2927" t="s">
        <v>79</v>
      </c>
      <c r="D2927">
        <v>0</v>
      </c>
    </row>
    <row r="2928" spans="1:4" hidden="1" x14ac:dyDescent="0.3">
      <c r="A2928">
        <v>2926</v>
      </c>
      <c r="B2928" s="1" t="s">
        <v>3878</v>
      </c>
      <c r="C2928" t="s">
        <v>81</v>
      </c>
      <c r="D2928" s="1" t="s">
        <v>3879</v>
      </c>
    </row>
    <row r="2929" spans="1:4" hidden="1" x14ac:dyDescent="0.3">
      <c r="A2929">
        <v>2927</v>
      </c>
      <c r="B2929" t="s">
        <v>3880</v>
      </c>
      <c r="C2929" t="s">
        <v>84</v>
      </c>
      <c r="D2929">
        <v>1.00006422188255</v>
      </c>
    </row>
    <row r="2930" spans="1:4" hidden="1" x14ac:dyDescent="0.3">
      <c r="A2930">
        <v>2928</v>
      </c>
      <c r="B2930" s="1" t="s">
        <v>3881</v>
      </c>
      <c r="C2930" t="s">
        <v>86</v>
      </c>
      <c r="D2930" s="1" t="s">
        <v>3882</v>
      </c>
    </row>
    <row r="2931" spans="1:4" hidden="1" x14ac:dyDescent="0.3">
      <c r="A2931">
        <v>2929</v>
      </c>
      <c r="B2931" t="s">
        <v>3883</v>
      </c>
      <c r="C2931" t="s">
        <v>89</v>
      </c>
      <c r="D2931">
        <v>101183281.302644</v>
      </c>
    </row>
    <row r="2932" spans="1:4" hidden="1" x14ac:dyDescent="0.3">
      <c r="A2932">
        <v>2930</v>
      </c>
      <c r="B2932" s="1" t="s">
        <v>3884</v>
      </c>
      <c r="C2932" t="s">
        <v>91</v>
      </c>
      <c r="D2932" s="1" t="s">
        <v>3820</v>
      </c>
    </row>
    <row r="2933" spans="1:4" hidden="1" x14ac:dyDescent="0.3">
      <c r="A2933">
        <v>2931</v>
      </c>
      <c r="B2933" t="s">
        <v>3885</v>
      </c>
      <c r="C2933" t="s">
        <v>94</v>
      </c>
      <c r="D2933">
        <v>78696153.289666504</v>
      </c>
    </row>
    <row r="2934" spans="1:4" hidden="1" x14ac:dyDescent="0.3">
      <c r="A2934">
        <v>2932</v>
      </c>
      <c r="B2934" t="s">
        <v>3886</v>
      </c>
      <c r="C2934" t="s">
        <v>96</v>
      </c>
      <c r="D2934">
        <v>39557740.882334597</v>
      </c>
    </row>
    <row r="2935" spans="1:4" hidden="1" x14ac:dyDescent="0.3">
      <c r="A2935">
        <v>2933</v>
      </c>
      <c r="B2935" t="s">
        <v>3887</v>
      </c>
      <c r="C2935" t="s">
        <v>98</v>
      </c>
      <c r="D2935">
        <v>29408324.4864383</v>
      </c>
    </row>
    <row r="2936" spans="1:4" hidden="1" x14ac:dyDescent="0.3">
      <c r="A2936">
        <v>2934</v>
      </c>
      <c r="B2936" s="1" t="s">
        <v>3888</v>
      </c>
      <c r="C2936" t="s">
        <v>100</v>
      </c>
      <c r="D2936" s="1" t="s">
        <v>3889</v>
      </c>
    </row>
    <row r="2937" spans="1:4" hidden="1" x14ac:dyDescent="0.3">
      <c r="A2937">
        <v>2935</v>
      </c>
      <c r="B2937" t="s">
        <v>3890</v>
      </c>
      <c r="C2937" t="s">
        <v>103</v>
      </c>
      <c r="D2937">
        <v>8.8306580564503703E-3</v>
      </c>
    </row>
    <row r="2938" spans="1:4" hidden="1" x14ac:dyDescent="0.3">
      <c r="A2938">
        <v>2936</v>
      </c>
      <c r="B2938" t="s">
        <v>3891</v>
      </c>
      <c r="C2938" t="s">
        <v>105</v>
      </c>
      <c r="D2938">
        <v>1.86319315604485E-3</v>
      </c>
    </row>
    <row r="2939" spans="1:4" hidden="1" x14ac:dyDescent="0.3">
      <c r="A2939">
        <v>2937</v>
      </c>
      <c r="B2939" t="s">
        <v>3892</v>
      </c>
      <c r="C2939" t="s">
        <v>107</v>
      </c>
      <c r="D2939">
        <v>1.17415418659047E-2</v>
      </c>
    </row>
    <row r="2940" spans="1:4" hidden="1" x14ac:dyDescent="0.3">
      <c r="A2940">
        <v>2938</v>
      </c>
      <c r="B2940" s="1" t="s">
        <v>3893</v>
      </c>
      <c r="C2940" t="s">
        <v>109</v>
      </c>
      <c r="D2940" s="1" t="s">
        <v>3894</v>
      </c>
    </row>
    <row r="2941" spans="1:4" x14ac:dyDescent="0.3">
      <c r="A2941">
        <v>2939</v>
      </c>
      <c r="B2941" t="s">
        <v>3895</v>
      </c>
      <c r="C2941" t="s">
        <v>207</v>
      </c>
      <c r="D2941">
        <v>147662844.33207101</v>
      </c>
    </row>
    <row r="2942" spans="1:4" hidden="1" x14ac:dyDescent="0.3">
      <c r="A2942">
        <v>2940</v>
      </c>
      <c r="B2942" t="s">
        <v>3896</v>
      </c>
      <c r="C2942" t="s">
        <v>209</v>
      </c>
      <c r="D2942">
        <v>-1407.66147338885</v>
      </c>
    </row>
    <row r="2943" spans="1:4" hidden="1" x14ac:dyDescent="0.3">
      <c r="A2943">
        <v>2941</v>
      </c>
      <c r="B2943" t="s">
        <v>3897</v>
      </c>
      <c r="C2943" t="s">
        <v>211</v>
      </c>
      <c r="D2943">
        <v>-707.57941121442195</v>
      </c>
    </row>
    <row r="2944" spans="1:4" hidden="1" x14ac:dyDescent="0.3">
      <c r="A2944">
        <v>2942</v>
      </c>
      <c r="B2944" s="1" t="s">
        <v>3898</v>
      </c>
      <c r="C2944" t="s">
        <v>213</v>
      </c>
      <c r="D2944" s="1" t="s">
        <v>3899</v>
      </c>
    </row>
    <row r="2945" spans="1:4" hidden="1" x14ac:dyDescent="0.3">
      <c r="A2945">
        <v>2943</v>
      </c>
      <c r="B2945" t="s">
        <v>3900</v>
      </c>
      <c r="C2945" t="s">
        <v>216</v>
      </c>
      <c r="D2945">
        <v>78697991.178983495</v>
      </c>
    </row>
    <row r="2946" spans="1:4" hidden="1" x14ac:dyDescent="0.3">
      <c r="A2946">
        <v>2944</v>
      </c>
      <c r="B2946" t="s">
        <v>3901</v>
      </c>
      <c r="C2946" t="s">
        <v>218</v>
      </c>
      <c r="D2946">
        <v>39558572.366213001</v>
      </c>
    </row>
    <row r="2947" spans="1:4" hidden="1" x14ac:dyDescent="0.3">
      <c r="A2947">
        <v>2945</v>
      </c>
      <c r="B2947" t="s">
        <v>3902</v>
      </c>
      <c r="C2947" t="s">
        <v>220</v>
      </c>
      <c r="D2947">
        <v>29408922.061600201</v>
      </c>
    </row>
    <row r="2948" spans="1:4" hidden="1" x14ac:dyDescent="0.3">
      <c r="A2948">
        <v>2946</v>
      </c>
      <c r="B2948" s="1" t="s">
        <v>3903</v>
      </c>
      <c r="C2948" t="s">
        <v>222</v>
      </c>
      <c r="D2948" s="1" t="s">
        <v>3904</v>
      </c>
    </row>
    <row r="2949" spans="1:4" hidden="1" x14ac:dyDescent="0.3">
      <c r="A2949">
        <v>2947</v>
      </c>
      <c r="B2949" t="s">
        <v>3905</v>
      </c>
      <c r="C2949" t="s">
        <v>225</v>
      </c>
      <c r="D2949">
        <v>101185091.188163</v>
      </c>
    </row>
    <row r="2950" spans="1:4" hidden="1" x14ac:dyDescent="0.3">
      <c r="A2950">
        <v>2948</v>
      </c>
      <c r="B2950" t="s">
        <v>3906</v>
      </c>
      <c r="C2950" t="s">
        <v>227</v>
      </c>
      <c r="D2950">
        <v>-1809.88551820814</v>
      </c>
    </row>
    <row r="2951" spans="1:4" hidden="1" x14ac:dyDescent="0.3">
      <c r="A2951">
        <v>2949</v>
      </c>
      <c r="B2951" s="1" t="s">
        <v>3907</v>
      </c>
      <c r="C2951" t="s">
        <v>229</v>
      </c>
      <c r="D2951" s="1" t="s">
        <v>3908</v>
      </c>
    </row>
    <row r="2952" spans="1:4" hidden="1" x14ac:dyDescent="0.3">
      <c r="A2952">
        <v>2950</v>
      </c>
      <c r="B2952" t="s">
        <v>3909</v>
      </c>
      <c r="C2952" t="s">
        <v>112</v>
      </c>
      <c r="D2952">
        <v>430.22784361183</v>
      </c>
    </row>
    <row r="2953" spans="1:4" hidden="1" x14ac:dyDescent="0.3">
      <c r="A2953">
        <v>2951</v>
      </c>
      <c r="B2953" t="s">
        <v>3910</v>
      </c>
      <c r="C2953" t="s">
        <v>114</v>
      </c>
      <c r="D2953">
        <v>123.904467268114</v>
      </c>
    </row>
    <row r="2954" spans="1:4" hidden="1" x14ac:dyDescent="0.3">
      <c r="A2954">
        <v>2952</v>
      </c>
      <c r="B2954" s="1" t="s">
        <v>3911</v>
      </c>
      <c r="C2954" t="s">
        <v>116</v>
      </c>
      <c r="D2954" s="1" t="s">
        <v>3912</v>
      </c>
    </row>
    <row r="2955" spans="1:4" hidden="1" x14ac:dyDescent="0.3">
      <c r="A2955">
        <v>2953</v>
      </c>
      <c r="B2955" t="s">
        <v>3913</v>
      </c>
      <c r="C2955" t="s">
        <v>119</v>
      </c>
      <c r="D2955">
        <v>78697991.178983495</v>
      </c>
    </row>
    <row r="2956" spans="1:4" hidden="1" x14ac:dyDescent="0.3">
      <c r="A2956">
        <v>2954</v>
      </c>
      <c r="B2956" t="s">
        <v>3914</v>
      </c>
      <c r="C2956" t="s">
        <v>121</v>
      </c>
      <c r="D2956">
        <v>39558572.366213001</v>
      </c>
    </row>
    <row r="2957" spans="1:4" hidden="1" x14ac:dyDescent="0.3">
      <c r="A2957">
        <v>2955</v>
      </c>
      <c r="B2957" s="1" t="s">
        <v>3915</v>
      </c>
      <c r="C2957" t="s">
        <v>123</v>
      </c>
      <c r="D2957" s="1" t="s">
        <v>3916</v>
      </c>
    </row>
    <row r="2958" spans="1:4" hidden="1" x14ac:dyDescent="0.3">
      <c r="A2958">
        <v>2956</v>
      </c>
      <c r="B2958" t="s">
        <v>3917</v>
      </c>
      <c r="C2958" t="s">
        <v>126</v>
      </c>
      <c r="D2958">
        <v>0.777712768218638</v>
      </c>
    </row>
    <row r="2959" spans="1:4" hidden="1" x14ac:dyDescent="0.3">
      <c r="A2959">
        <v>2957</v>
      </c>
      <c r="B2959" t="s">
        <v>3918</v>
      </c>
      <c r="C2959" t="s">
        <v>128</v>
      </c>
      <c r="D2959">
        <v>0.39092747299909197</v>
      </c>
    </row>
    <row r="2960" spans="1:4" hidden="1" x14ac:dyDescent="0.3">
      <c r="A2960">
        <v>2958</v>
      </c>
      <c r="B2960" s="1" t="s">
        <v>3919</v>
      </c>
      <c r="C2960" t="s">
        <v>130</v>
      </c>
      <c r="D2960" s="1" t="s">
        <v>3920</v>
      </c>
    </row>
    <row r="2961" spans="1:4" hidden="1" x14ac:dyDescent="0.3">
      <c r="A2961">
        <v>2959</v>
      </c>
      <c r="B2961" s="1" t="s">
        <v>3921</v>
      </c>
      <c r="C2961" t="s">
        <v>4</v>
      </c>
      <c r="D2961" t="s">
        <v>3922</v>
      </c>
    </row>
    <row r="2962" spans="1:4" hidden="1" x14ac:dyDescent="0.3">
      <c r="A2962">
        <v>2960</v>
      </c>
      <c r="B2962" t="s">
        <v>3923</v>
      </c>
      <c r="C2962" t="s">
        <v>7</v>
      </c>
      <c r="D2962">
        <v>1829.47</v>
      </c>
    </row>
    <row r="2963" spans="1:4" hidden="1" x14ac:dyDescent="0.3">
      <c r="A2963">
        <v>2961</v>
      </c>
      <c r="B2963" s="1" t="s">
        <v>3924</v>
      </c>
      <c r="C2963" t="s">
        <v>9</v>
      </c>
      <c r="D2963" s="1" t="s">
        <v>3925</v>
      </c>
    </row>
    <row r="2964" spans="1:4" hidden="1" x14ac:dyDescent="0.3">
      <c r="A2964">
        <v>2962</v>
      </c>
      <c r="B2964" t="s">
        <v>3926</v>
      </c>
      <c r="C2964" t="s">
        <v>14</v>
      </c>
      <c r="D2964">
        <v>98.546875</v>
      </c>
    </row>
    <row r="2965" spans="1:4" hidden="1" x14ac:dyDescent="0.3">
      <c r="A2965">
        <v>2963</v>
      </c>
      <c r="B2965" t="s">
        <v>3927</v>
      </c>
      <c r="C2965" t="s">
        <v>16</v>
      </c>
      <c r="D2965">
        <v>4.3959544315654</v>
      </c>
    </row>
    <row r="2966" spans="1:4" hidden="1" x14ac:dyDescent="0.3">
      <c r="A2966">
        <v>2964</v>
      </c>
      <c r="B2966" s="1" t="s">
        <v>3928</v>
      </c>
      <c r="C2966" t="s">
        <v>140</v>
      </c>
      <c r="D2966" s="1" t="s">
        <v>3929</v>
      </c>
    </row>
    <row r="2967" spans="1:4" hidden="1" x14ac:dyDescent="0.3">
      <c r="A2967">
        <v>2965</v>
      </c>
      <c r="B2967" t="s">
        <v>3930</v>
      </c>
      <c r="C2967" t="s">
        <v>22</v>
      </c>
      <c r="D2967">
        <v>75.099999999999994</v>
      </c>
    </row>
    <row r="2968" spans="1:4" hidden="1" x14ac:dyDescent="0.3">
      <c r="A2968">
        <v>2966</v>
      </c>
      <c r="B2968" t="s">
        <v>3931</v>
      </c>
      <c r="C2968" t="s">
        <v>24</v>
      </c>
      <c r="D2968">
        <v>6.2432495012967104</v>
      </c>
    </row>
    <row r="2969" spans="1:4" hidden="1" x14ac:dyDescent="0.3">
      <c r="A2969">
        <v>2967</v>
      </c>
      <c r="B2969" s="1" t="s">
        <v>3932</v>
      </c>
      <c r="C2969" t="s">
        <v>145</v>
      </c>
      <c r="D2969" s="1" t="s">
        <v>3933</v>
      </c>
    </row>
    <row r="2970" spans="1:4" hidden="1" x14ac:dyDescent="0.3">
      <c r="A2970">
        <v>2968</v>
      </c>
      <c r="B2970" t="s">
        <v>3934</v>
      </c>
      <c r="C2970" t="s">
        <v>35</v>
      </c>
      <c r="D2970">
        <v>-0.61462224047423897</v>
      </c>
    </row>
    <row r="2971" spans="1:4" hidden="1" x14ac:dyDescent="0.3">
      <c r="A2971">
        <v>2969</v>
      </c>
      <c r="B2971" t="s">
        <v>3935</v>
      </c>
      <c r="C2971" t="s">
        <v>149</v>
      </c>
      <c r="D2971">
        <v>0.67191146975090399</v>
      </c>
    </row>
    <row r="2972" spans="1:4" hidden="1" x14ac:dyDescent="0.3">
      <c r="A2972">
        <v>2970</v>
      </c>
      <c r="B2972" s="1" t="s">
        <v>3936</v>
      </c>
      <c r="C2972" t="s">
        <v>151</v>
      </c>
      <c r="D2972" s="1" t="s">
        <v>3937</v>
      </c>
    </row>
    <row r="2973" spans="1:4" hidden="1" x14ac:dyDescent="0.3">
      <c r="A2973">
        <v>2971</v>
      </c>
      <c r="B2973" t="s">
        <v>3938</v>
      </c>
      <c r="C2973" t="s">
        <v>30</v>
      </c>
      <c r="D2973">
        <v>0.651386675301178</v>
      </c>
    </row>
    <row r="2974" spans="1:4" hidden="1" x14ac:dyDescent="0.3">
      <c r="A2974">
        <v>2972</v>
      </c>
      <c r="B2974" t="s">
        <v>3939</v>
      </c>
      <c r="C2974" t="s">
        <v>32</v>
      </c>
      <c r="D2974">
        <v>0.24221889206220701</v>
      </c>
    </row>
    <row r="2975" spans="1:4" hidden="1" x14ac:dyDescent="0.3">
      <c r="A2975">
        <v>2973</v>
      </c>
      <c r="B2975" s="1" t="s">
        <v>3940</v>
      </c>
      <c r="C2975" t="s">
        <v>155</v>
      </c>
      <c r="D2975" s="1" t="s">
        <v>3941</v>
      </c>
    </row>
    <row r="2976" spans="1:4" hidden="1" x14ac:dyDescent="0.3">
      <c r="A2976">
        <v>2974</v>
      </c>
      <c r="B2976" t="s">
        <v>3942</v>
      </c>
      <c r="C2976" t="s">
        <v>40</v>
      </c>
      <c r="D2976">
        <v>0.96323556517305997</v>
      </c>
    </row>
    <row r="2977" spans="1:4" hidden="1" x14ac:dyDescent="0.3">
      <c r="A2977">
        <v>2975</v>
      </c>
      <c r="B2977" t="s">
        <v>3943</v>
      </c>
      <c r="C2977" t="s">
        <v>42</v>
      </c>
      <c r="D2977">
        <v>0.24607241567618601</v>
      </c>
    </row>
    <row r="2978" spans="1:4" hidden="1" x14ac:dyDescent="0.3">
      <c r="A2978">
        <v>2976</v>
      </c>
      <c r="B2978" s="1" t="s">
        <v>3944</v>
      </c>
      <c r="C2978" t="s">
        <v>159</v>
      </c>
      <c r="D2978" s="1" t="s">
        <v>3945</v>
      </c>
    </row>
    <row r="2979" spans="1:4" hidden="1" x14ac:dyDescent="0.3">
      <c r="A2979">
        <v>2977</v>
      </c>
      <c r="B2979" t="s">
        <v>3946</v>
      </c>
      <c r="C2979" t="s">
        <v>161</v>
      </c>
      <c r="D2979">
        <v>1.00106154208138</v>
      </c>
    </row>
    <row r="2980" spans="1:4" hidden="1" x14ac:dyDescent="0.3">
      <c r="A2980">
        <v>2978</v>
      </c>
      <c r="B2980" t="s">
        <v>3947</v>
      </c>
      <c r="C2980" t="s">
        <v>163</v>
      </c>
      <c r="D2980">
        <v>1.0006532078536201</v>
      </c>
    </row>
    <row r="2981" spans="1:4" hidden="1" x14ac:dyDescent="0.3">
      <c r="A2981">
        <v>2979</v>
      </c>
      <c r="B2981" s="1" t="s">
        <v>3948</v>
      </c>
      <c r="C2981" t="s">
        <v>165</v>
      </c>
      <c r="D2981" s="1" t="s">
        <v>3949</v>
      </c>
    </row>
    <row r="2982" spans="1:4" hidden="1" x14ac:dyDescent="0.3">
      <c r="A2982">
        <v>2980</v>
      </c>
      <c r="B2982" t="s">
        <v>3950</v>
      </c>
      <c r="C2982" t="s">
        <v>168</v>
      </c>
      <c r="D2982">
        <v>0.99988411234874597</v>
      </c>
    </row>
    <row r="2983" spans="1:4" hidden="1" x14ac:dyDescent="0.3">
      <c r="A2983">
        <v>2981</v>
      </c>
      <c r="B2983" t="s">
        <v>3951</v>
      </c>
      <c r="C2983" t="s">
        <v>170</v>
      </c>
      <c r="D2983">
        <v>0.99911123361548704</v>
      </c>
    </row>
    <row r="2984" spans="1:4" hidden="1" x14ac:dyDescent="0.3">
      <c r="A2984">
        <v>2982</v>
      </c>
      <c r="B2984" s="1" t="s">
        <v>3952</v>
      </c>
      <c r="C2984" t="s">
        <v>172</v>
      </c>
      <c r="D2984" s="1" t="s">
        <v>3953</v>
      </c>
    </row>
    <row r="2985" spans="1:4" hidden="1" x14ac:dyDescent="0.3">
      <c r="A2985">
        <v>2983</v>
      </c>
      <c r="B2985" s="1" t="s">
        <v>3954</v>
      </c>
      <c r="C2985" t="s">
        <v>55</v>
      </c>
      <c r="D2985" s="1" t="s">
        <v>3955</v>
      </c>
    </row>
    <row r="2986" spans="1:4" hidden="1" x14ac:dyDescent="0.3">
      <c r="A2986">
        <v>2984</v>
      </c>
      <c r="B2986" s="1" t="s">
        <v>3956</v>
      </c>
      <c r="C2986" t="s">
        <v>52</v>
      </c>
      <c r="D2986" s="1" t="s">
        <v>3957</v>
      </c>
    </row>
    <row r="2987" spans="1:4" hidden="1" x14ac:dyDescent="0.3">
      <c r="A2987">
        <v>2985</v>
      </c>
      <c r="B2987" s="1" t="s">
        <v>3958</v>
      </c>
      <c r="C2987" t="s">
        <v>58</v>
      </c>
      <c r="D2987" s="1" t="s">
        <v>3959</v>
      </c>
    </row>
    <row r="2988" spans="1:4" hidden="1" x14ac:dyDescent="0.3">
      <c r="A2988">
        <v>2986</v>
      </c>
      <c r="B2988" t="s">
        <v>3960</v>
      </c>
      <c r="C2988" t="s">
        <v>61</v>
      </c>
      <c r="D2988">
        <v>148037562.93131801</v>
      </c>
    </row>
    <row r="2989" spans="1:4" hidden="1" x14ac:dyDescent="0.3">
      <c r="A2989">
        <v>2987</v>
      </c>
      <c r="B2989" t="s">
        <v>3961</v>
      </c>
      <c r="C2989" t="s">
        <v>63</v>
      </c>
      <c r="D2989">
        <v>78781532.408340797</v>
      </c>
    </row>
    <row r="2990" spans="1:4" hidden="1" x14ac:dyDescent="0.3">
      <c r="A2990">
        <v>2988</v>
      </c>
      <c r="B2990" t="s">
        <v>3962</v>
      </c>
      <c r="C2990" t="s">
        <v>65</v>
      </c>
      <c r="D2990">
        <v>39584412.336360998</v>
      </c>
    </row>
    <row r="2991" spans="1:4" hidden="1" x14ac:dyDescent="0.3">
      <c r="A2991">
        <v>2989</v>
      </c>
      <c r="B2991" s="1" t="s">
        <v>3963</v>
      </c>
      <c r="C2991" t="s">
        <v>67</v>
      </c>
      <c r="D2991" s="1" t="s">
        <v>3964</v>
      </c>
    </row>
    <row r="2992" spans="1:4" hidden="1" x14ac:dyDescent="0.3">
      <c r="A2992">
        <v>2990</v>
      </c>
      <c r="B2992" s="1" t="s">
        <v>3965</v>
      </c>
      <c r="C2992" t="s">
        <v>70</v>
      </c>
      <c r="D2992" s="1" t="s">
        <v>3966</v>
      </c>
    </row>
    <row r="2993" spans="1:4" hidden="1" x14ac:dyDescent="0.3">
      <c r="A2993">
        <v>2991</v>
      </c>
      <c r="B2993" t="s">
        <v>3967</v>
      </c>
      <c r="C2993" t="s">
        <v>73</v>
      </c>
      <c r="D2993">
        <v>1.00006422188255</v>
      </c>
    </row>
    <row r="2994" spans="1:4" hidden="1" x14ac:dyDescent="0.3">
      <c r="A2994">
        <v>2992</v>
      </c>
      <c r="B2994" t="s">
        <v>74</v>
      </c>
      <c r="C2994" t="s">
        <v>75</v>
      </c>
      <c r="D2994">
        <v>2.7397260273972599E-3</v>
      </c>
    </row>
    <row r="2995" spans="1:4" hidden="1" x14ac:dyDescent="0.3">
      <c r="A2995">
        <v>2993</v>
      </c>
      <c r="B2995" t="s">
        <v>76</v>
      </c>
      <c r="C2995" t="s">
        <v>77</v>
      </c>
      <c r="D2995">
        <v>0</v>
      </c>
    </row>
    <row r="2996" spans="1:4" hidden="1" x14ac:dyDescent="0.3">
      <c r="A2996">
        <v>2994</v>
      </c>
      <c r="B2996" t="s">
        <v>78</v>
      </c>
      <c r="C2996" t="s">
        <v>79</v>
      </c>
      <c r="D2996">
        <v>0</v>
      </c>
    </row>
    <row r="2997" spans="1:4" hidden="1" x14ac:dyDescent="0.3">
      <c r="A2997">
        <v>2995</v>
      </c>
      <c r="B2997" s="1" t="s">
        <v>3968</v>
      </c>
      <c r="C2997" t="s">
        <v>81</v>
      </c>
      <c r="D2997" s="1" t="s">
        <v>3969</v>
      </c>
    </row>
    <row r="2998" spans="1:4" hidden="1" x14ac:dyDescent="0.3">
      <c r="A2998">
        <v>2996</v>
      </c>
      <c r="B2998" t="s">
        <v>3970</v>
      </c>
      <c r="C2998" t="s">
        <v>84</v>
      </c>
      <c r="D2998">
        <v>1.0000788105251699</v>
      </c>
    </row>
    <row r="2999" spans="1:4" hidden="1" x14ac:dyDescent="0.3">
      <c r="A2999">
        <v>2997</v>
      </c>
      <c r="B2999" s="1" t="s">
        <v>3971</v>
      </c>
      <c r="C2999" t="s">
        <v>86</v>
      </c>
      <c r="D2999" s="1" t="s">
        <v>3972</v>
      </c>
    </row>
    <row r="3000" spans="1:4" hidden="1" x14ac:dyDescent="0.3">
      <c r="A3000">
        <v>2998</v>
      </c>
      <c r="B3000" t="s">
        <v>3973</v>
      </c>
      <c r="C3000" t="s">
        <v>89</v>
      </c>
      <c r="D3000">
        <v>101181805.29223999</v>
      </c>
    </row>
    <row r="3001" spans="1:4" hidden="1" x14ac:dyDescent="0.3">
      <c r="A3001">
        <v>2999</v>
      </c>
      <c r="B3001" s="1" t="s">
        <v>3974</v>
      </c>
      <c r="C3001" t="s">
        <v>91</v>
      </c>
      <c r="D3001" s="1" t="s">
        <v>3908</v>
      </c>
    </row>
    <row r="3002" spans="1:4" hidden="1" x14ac:dyDescent="0.3">
      <c r="A3002">
        <v>3000</v>
      </c>
      <c r="B3002" t="s">
        <v>3975</v>
      </c>
      <c r="C3002" t="s">
        <v>94</v>
      </c>
      <c r="D3002">
        <v>78781532.408340797</v>
      </c>
    </row>
    <row r="3003" spans="1:4" hidden="1" x14ac:dyDescent="0.3">
      <c r="A3003">
        <v>3001</v>
      </c>
      <c r="B3003" t="s">
        <v>3976</v>
      </c>
      <c r="C3003" t="s">
        <v>96</v>
      </c>
      <c r="D3003">
        <v>39584412.336360998</v>
      </c>
    </row>
    <row r="3004" spans="1:4" hidden="1" x14ac:dyDescent="0.3">
      <c r="A3004">
        <v>3002</v>
      </c>
      <c r="B3004" t="s">
        <v>3977</v>
      </c>
      <c r="C3004" t="s">
        <v>98</v>
      </c>
      <c r="D3004">
        <v>29671618.1866166</v>
      </c>
    </row>
    <row r="3005" spans="1:4" hidden="1" x14ac:dyDescent="0.3">
      <c r="A3005">
        <v>3003</v>
      </c>
      <c r="B3005" s="1" t="s">
        <v>3978</v>
      </c>
      <c r="C3005" t="s">
        <v>100</v>
      </c>
      <c r="D3005" s="1" t="s">
        <v>3979</v>
      </c>
    </row>
    <row r="3006" spans="1:4" hidden="1" x14ac:dyDescent="0.3">
      <c r="A3006">
        <v>3004</v>
      </c>
      <c r="B3006" t="s">
        <v>3980</v>
      </c>
      <c r="C3006" t="s">
        <v>103</v>
      </c>
      <c r="D3006">
        <v>8.8496072016703599E-3</v>
      </c>
    </row>
    <row r="3007" spans="1:4" hidden="1" x14ac:dyDescent="0.3">
      <c r="A3007">
        <v>3005</v>
      </c>
      <c r="B3007" t="s">
        <v>3981</v>
      </c>
      <c r="C3007" t="s">
        <v>105</v>
      </c>
      <c r="D3007">
        <v>1.8640052804483E-3</v>
      </c>
    </row>
    <row r="3008" spans="1:4" hidden="1" x14ac:dyDescent="0.3">
      <c r="A3008">
        <v>3006</v>
      </c>
      <c r="B3008" t="s">
        <v>3982</v>
      </c>
      <c r="C3008" t="s">
        <v>107</v>
      </c>
      <c r="D3008">
        <v>1.1744394263908201E-2</v>
      </c>
    </row>
    <row r="3009" spans="1:4" hidden="1" x14ac:dyDescent="0.3">
      <c r="A3009">
        <v>3007</v>
      </c>
      <c r="B3009" s="1" t="s">
        <v>3983</v>
      </c>
      <c r="C3009" t="s">
        <v>109</v>
      </c>
      <c r="D3009" s="1" t="s">
        <v>3984</v>
      </c>
    </row>
    <row r="3010" spans="1:4" x14ac:dyDescent="0.3">
      <c r="A3010">
        <v>3008</v>
      </c>
      <c r="B3010" t="s">
        <v>3985</v>
      </c>
      <c r="C3010" t="s">
        <v>207</v>
      </c>
      <c r="D3010">
        <v>148038073.51575801</v>
      </c>
    </row>
    <row r="3011" spans="1:4" hidden="1" x14ac:dyDescent="0.3">
      <c r="A3011">
        <v>3009</v>
      </c>
      <c r="B3011" t="s">
        <v>3986</v>
      </c>
      <c r="C3011" t="s">
        <v>209</v>
      </c>
      <c r="D3011">
        <v>-1149.2471345777999</v>
      </c>
    </row>
    <row r="3012" spans="1:4" hidden="1" x14ac:dyDescent="0.3">
      <c r="A3012">
        <v>3010</v>
      </c>
      <c r="B3012" t="s">
        <v>3987</v>
      </c>
      <c r="C3012" t="s">
        <v>211</v>
      </c>
      <c r="D3012">
        <v>-577.44730018278403</v>
      </c>
    </row>
    <row r="3013" spans="1:4" hidden="1" x14ac:dyDescent="0.3">
      <c r="A3013">
        <v>3011</v>
      </c>
      <c r="B3013" s="1" t="s">
        <v>3988</v>
      </c>
      <c r="C3013" t="s">
        <v>213</v>
      </c>
      <c r="D3013" s="1" t="s">
        <v>3989</v>
      </c>
    </row>
    <row r="3014" spans="1:4" hidden="1" x14ac:dyDescent="0.3">
      <c r="A3014">
        <v>3012</v>
      </c>
      <c r="B3014" t="s">
        <v>3990</v>
      </c>
      <c r="C3014" t="s">
        <v>216</v>
      </c>
      <c r="D3014">
        <v>78783046.336150199</v>
      </c>
    </row>
    <row r="3015" spans="1:4" hidden="1" x14ac:dyDescent="0.3">
      <c r="A3015">
        <v>3013</v>
      </c>
      <c r="B3015" t="s">
        <v>3991</v>
      </c>
      <c r="C3015" t="s">
        <v>218</v>
      </c>
      <c r="D3015">
        <v>39585095.3534877</v>
      </c>
    </row>
    <row r="3016" spans="1:4" hidden="1" x14ac:dyDescent="0.3">
      <c r="A3016">
        <v>3014</v>
      </c>
      <c r="B3016" t="s">
        <v>3992</v>
      </c>
      <c r="C3016" t="s">
        <v>220</v>
      </c>
      <c r="D3016">
        <v>29672091.361979298</v>
      </c>
    </row>
    <row r="3017" spans="1:4" hidden="1" x14ac:dyDescent="0.3">
      <c r="A3017">
        <v>3015</v>
      </c>
      <c r="B3017" s="1" t="s">
        <v>3993</v>
      </c>
      <c r="C3017" t="s">
        <v>222</v>
      </c>
      <c r="D3017" s="1" t="s">
        <v>3994</v>
      </c>
    </row>
    <row r="3018" spans="1:4" hidden="1" x14ac:dyDescent="0.3">
      <c r="A3018">
        <v>3016</v>
      </c>
      <c r="B3018" t="s">
        <v>3995</v>
      </c>
      <c r="C3018" t="s">
        <v>225</v>
      </c>
      <c r="D3018">
        <v>101183281.302644</v>
      </c>
    </row>
    <row r="3019" spans="1:4" hidden="1" x14ac:dyDescent="0.3">
      <c r="A3019">
        <v>3017</v>
      </c>
      <c r="B3019" t="s">
        <v>3996</v>
      </c>
      <c r="C3019" t="s">
        <v>227</v>
      </c>
      <c r="D3019">
        <v>-1476.0104046761901</v>
      </c>
    </row>
    <row r="3020" spans="1:4" hidden="1" x14ac:dyDescent="0.3">
      <c r="A3020">
        <v>3018</v>
      </c>
      <c r="B3020" s="1" t="s">
        <v>3997</v>
      </c>
      <c r="C3020" t="s">
        <v>229</v>
      </c>
      <c r="D3020" s="1" t="s">
        <v>3998</v>
      </c>
    </row>
    <row r="3021" spans="1:4" hidden="1" x14ac:dyDescent="0.3">
      <c r="A3021">
        <v>3019</v>
      </c>
      <c r="B3021" t="s">
        <v>3999</v>
      </c>
      <c r="C3021" t="s">
        <v>112</v>
      </c>
      <c r="D3021">
        <v>364.68067481315398</v>
      </c>
    </row>
    <row r="3022" spans="1:4" hidden="1" x14ac:dyDescent="0.3">
      <c r="A3022">
        <v>3020</v>
      </c>
      <c r="B3022" t="s">
        <v>4000</v>
      </c>
      <c r="C3022" t="s">
        <v>114</v>
      </c>
      <c r="D3022">
        <v>105.56982650964299</v>
      </c>
    </row>
    <row r="3023" spans="1:4" hidden="1" x14ac:dyDescent="0.3">
      <c r="A3023">
        <v>3021</v>
      </c>
      <c r="B3023" s="1" t="s">
        <v>4001</v>
      </c>
      <c r="C3023" t="s">
        <v>116</v>
      </c>
      <c r="D3023" s="1" t="s">
        <v>4002</v>
      </c>
    </row>
    <row r="3024" spans="1:4" hidden="1" x14ac:dyDescent="0.3">
      <c r="A3024">
        <v>3022</v>
      </c>
      <c r="B3024" t="s">
        <v>4003</v>
      </c>
      <c r="C3024" t="s">
        <v>119</v>
      </c>
      <c r="D3024">
        <v>78783046.336150199</v>
      </c>
    </row>
    <row r="3025" spans="1:4" hidden="1" x14ac:dyDescent="0.3">
      <c r="A3025">
        <v>3023</v>
      </c>
      <c r="B3025" t="s">
        <v>4004</v>
      </c>
      <c r="C3025" t="s">
        <v>121</v>
      </c>
      <c r="D3025">
        <v>39585095.3534877</v>
      </c>
    </row>
    <row r="3026" spans="1:4" hidden="1" x14ac:dyDescent="0.3">
      <c r="A3026">
        <v>3024</v>
      </c>
      <c r="B3026" s="1" t="s">
        <v>4005</v>
      </c>
      <c r="C3026" t="s">
        <v>123</v>
      </c>
      <c r="D3026" s="1" t="s">
        <v>4006</v>
      </c>
    </row>
    <row r="3027" spans="1:4" hidden="1" x14ac:dyDescent="0.3">
      <c r="A3027">
        <v>3025</v>
      </c>
      <c r="B3027" t="s">
        <v>4007</v>
      </c>
      <c r="C3027" t="s">
        <v>126</v>
      </c>
      <c r="D3027">
        <v>0.77855587284779004</v>
      </c>
    </row>
    <row r="3028" spans="1:4" hidden="1" x14ac:dyDescent="0.3">
      <c r="A3028">
        <v>3026</v>
      </c>
      <c r="B3028" t="s">
        <v>4008</v>
      </c>
      <c r="C3028" t="s">
        <v>128</v>
      </c>
      <c r="D3028">
        <v>0.39119087034536298</v>
      </c>
    </row>
    <row r="3029" spans="1:4" hidden="1" x14ac:dyDescent="0.3">
      <c r="A3029">
        <v>3027</v>
      </c>
      <c r="B3029" s="1" t="s">
        <v>4009</v>
      </c>
      <c r="C3029" t="s">
        <v>130</v>
      </c>
      <c r="D3029" s="1" t="s">
        <v>4010</v>
      </c>
    </row>
    <row r="3030" spans="1:4" hidden="1" x14ac:dyDescent="0.3">
      <c r="A3030">
        <v>3028</v>
      </c>
      <c r="B3030" s="1" t="s">
        <v>4011</v>
      </c>
      <c r="C3030" t="s">
        <v>4</v>
      </c>
      <c r="D3030" t="s">
        <v>4012</v>
      </c>
    </row>
    <row r="3031" spans="1:4" hidden="1" x14ac:dyDescent="0.3">
      <c r="A3031">
        <v>3029</v>
      </c>
      <c r="B3031" t="s">
        <v>4013</v>
      </c>
      <c r="C3031" t="s">
        <v>7</v>
      </c>
      <c r="D3031">
        <v>1812.05</v>
      </c>
    </row>
    <row r="3032" spans="1:4" hidden="1" x14ac:dyDescent="0.3">
      <c r="A3032">
        <v>3030</v>
      </c>
      <c r="B3032" s="1" t="s">
        <v>4014</v>
      </c>
      <c r="C3032" t="s">
        <v>9</v>
      </c>
      <c r="D3032" s="1" t="s">
        <v>4015</v>
      </c>
    </row>
    <row r="3033" spans="1:4" hidden="1" x14ac:dyDescent="0.3">
      <c r="A3033">
        <v>3031</v>
      </c>
      <c r="B3033" t="s">
        <v>4016</v>
      </c>
      <c r="C3033" t="s">
        <v>14</v>
      </c>
      <c r="D3033">
        <v>98.5546875</v>
      </c>
    </row>
    <row r="3034" spans="1:4" hidden="1" x14ac:dyDescent="0.3">
      <c r="A3034">
        <v>3032</v>
      </c>
      <c r="B3034" t="s">
        <v>4017</v>
      </c>
      <c r="C3034" t="s">
        <v>16</v>
      </c>
      <c r="D3034">
        <v>4.3959461967611402</v>
      </c>
    </row>
    <row r="3035" spans="1:4" hidden="1" x14ac:dyDescent="0.3">
      <c r="A3035">
        <v>3033</v>
      </c>
      <c r="B3035" s="1" t="s">
        <v>4018</v>
      </c>
      <c r="C3035" t="s">
        <v>140</v>
      </c>
      <c r="D3035" s="1" t="s">
        <v>4019</v>
      </c>
    </row>
    <row r="3036" spans="1:4" hidden="1" x14ac:dyDescent="0.3">
      <c r="A3036">
        <v>3034</v>
      </c>
      <c r="B3036" t="s">
        <v>4020</v>
      </c>
      <c r="C3036" t="s">
        <v>22</v>
      </c>
      <c r="D3036">
        <v>75.599999999999994</v>
      </c>
    </row>
    <row r="3037" spans="1:4" hidden="1" x14ac:dyDescent="0.3">
      <c r="A3037">
        <v>3035</v>
      </c>
      <c r="B3037" t="s">
        <v>4021</v>
      </c>
      <c r="C3037" t="s">
        <v>24</v>
      </c>
      <c r="D3037">
        <v>6.2547065289238697</v>
      </c>
    </row>
    <row r="3038" spans="1:4" hidden="1" x14ac:dyDescent="0.3">
      <c r="A3038">
        <v>3036</v>
      </c>
      <c r="B3038" s="1" t="s">
        <v>4022</v>
      </c>
      <c r="C3038" t="s">
        <v>145</v>
      </c>
      <c r="D3038" s="1" t="s">
        <v>4023</v>
      </c>
    </row>
    <row r="3039" spans="1:4" hidden="1" x14ac:dyDescent="0.3">
      <c r="A3039">
        <v>3037</v>
      </c>
      <c r="B3039" t="s">
        <v>4024</v>
      </c>
      <c r="C3039" t="s">
        <v>35</v>
      </c>
      <c r="D3039">
        <v>0.15470392441505401</v>
      </c>
    </row>
    <row r="3040" spans="1:4" hidden="1" x14ac:dyDescent="0.3">
      <c r="A3040">
        <v>3038</v>
      </c>
      <c r="B3040" t="s">
        <v>4025</v>
      </c>
      <c r="C3040" t="s">
        <v>149</v>
      </c>
      <c r="D3040">
        <v>0.67616876274736604</v>
      </c>
    </row>
    <row r="3041" spans="1:4" hidden="1" x14ac:dyDescent="0.3">
      <c r="A3041">
        <v>3039</v>
      </c>
      <c r="B3041" s="1" t="s">
        <v>4026</v>
      </c>
      <c r="C3041" t="s">
        <v>151</v>
      </c>
      <c r="D3041" s="1" t="s">
        <v>4027</v>
      </c>
    </row>
    <row r="3042" spans="1:4" hidden="1" x14ac:dyDescent="0.3">
      <c r="A3042">
        <v>3040</v>
      </c>
      <c r="B3042" t="s">
        <v>4028</v>
      </c>
      <c r="C3042" t="s">
        <v>30</v>
      </c>
      <c r="D3042">
        <v>0.34204938333231699</v>
      </c>
    </row>
    <row r="3043" spans="1:4" hidden="1" x14ac:dyDescent="0.3">
      <c r="A3043">
        <v>3041</v>
      </c>
      <c r="B3043" t="s">
        <v>4029</v>
      </c>
      <c r="C3043" t="s">
        <v>32</v>
      </c>
      <c r="D3043">
        <v>0.237067415253745</v>
      </c>
    </row>
    <row r="3044" spans="1:4" hidden="1" x14ac:dyDescent="0.3">
      <c r="A3044">
        <v>3042</v>
      </c>
      <c r="B3044" s="1" t="s">
        <v>4030</v>
      </c>
      <c r="C3044" t="s">
        <v>155</v>
      </c>
      <c r="D3044" s="1" t="s">
        <v>4031</v>
      </c>
    </row>
    <row r="3045" spans="1:4" hidden="1" x14ac:dyDescent="0.3">
      <c r="A3045">
        <v>3043</v>
      </c>
      <c r="B3045" t="s">
        <v>4032</v>
      </c>
      <c r="C3045" t="s">
        <v>40</v>
      </c>
      <c r="D3045">
        <v>0.50324669225262797</v>
      </c>
    </row>
    <row r="3046" spans="1:4" hidden="1" x14ac:dyDescent="0.3">
      <c r="A3046">
        <v>3044</v>
      </c>
      <c r="B3046" t="s">
        <v>4033</v>
      </c>
      <c r="C3046" t="s">
        <v>42</v>
      </c>
      <c r="D3046">
        <v>0.24185331444229</v>
      </c>
    </row>
    <row r="3047" spans="1:4" hidden="1" x14ac:dyDescent="0.3">
      <c r="A3047">
        <v>3045</v>
      </c>
      <c r="B3047" s="1" t="s">
        <v>4034</v>
      </c>
      <c r="C3047" t="s">
        <v>159</v>
      </c>
      <c r="D3047" s="1" t="s">
        <v>4035</v>
      </c>
    </row>
    <row r="3048" spans="1:4" hidden="1" x14ac:dyDescent="0.3">
      <c r="A3048">
        <v>3046</v>
      </c>
      <c r="B3048" t="s">
        <v>4036</v>
      </c>
      <c r="C3048" t="s">
        <v>161</v>
      </c>
      <c r="D3048">
        <v>0.990478116613008</v>
      </c>
    </row>
    <row r="3049" spans="1:4" hidden="1" x14ac:dyDescent="0.3">
      <c r="A3049">
        <v>3047</v>
      </c>
      <c r="B3049" t="s">
        <v>4037</v>
      </c>
      <c r="C3049" t="s">
        <v>163</v>
      </c>
      <c r="D3049">
        <v>1.0000758116445601</v>
      </c>
    </row>
    <row r="3050" spans="1:4" hidden="1" x14ac:dyDescent="0.3">
      <c r="A3050">
        <v>3048</v>
      </c>
      <c r="B3050" s="1" t="s">
        <v>4038</v>
      </c>
      <c r="C3050" t="s">
        <v>165</v>
      </c>
      <c r="D3050" s="1" t="s">
        <v>4039</v>
      </c>
    </row>
    <row r="3051" spans="1:4" hidden="1" x14ac:dyDescent="0.3">
      <c r="A3051">
        <v>3049</v>
      </c>
      <c r="B3051" t="s">
        <v>4040</v>
      </c>
      <c r="C3051" t="s">
        <v>168</v>
      </c>
      <c r="D3051">
        <v>1.0025463626953199</v>
      </c>
    </row>
    <row r="3052" spans="1:4" hidden="1" x14ac:dyDescent="0.3">
      <c r="A3052">
        <v>3050</v>
      </c>
      <c r="B3052" t="s">
        <v>4041</v>
      </c>
      <c r="C3052" t="s">
        <v>170</v>
      </c>
      <c r="D3052">
        <v>0.99585300397427501</v>
      </c>
    </row>
    <row r="3053" spans="1:4" hidden="1" x14ac:dyDescent="0.3">
      <c r="A3053">
        <v>3051</v>
      </c>
      <c r="B3053" s="1" t="s">
        <v>4042</v>
      </c>
      <c r="C3053" t="s">
        <v>172</v>
      </c>
      <c r="D3053" s="1" t="s">
        <v>4043</v>
      </c>
    </row>
    <row r="3054" spans="1:4" hidden="1" x14ac:dyDescent="0.3">
      <c r="A3054">
        <v>3052</v>
      </c>
      <c r="B3054" s="1" t="s">
        <v>4044</v>
      </c>
      <c r="C3054" t="s">
        <v>55</v>
      </c>
      <c r="D3054" s="1" t="s">
        <v>4045</v>
      </c>
    </row>
    <row r="3055" spans="1:4" hidden="1" x14ac:dyDescent="0.3">
      <c r="A3055">
        <v>3053</v>
      </c>
      <c r="B3055" s="1" t="s">
        <v>4046</v>
      </c>
      <c r="C3055" t="s">
        <v>52</v>
      </c>
      <c r="D3055" s="1" t="s">
        <v>4047</v>
      </c>
    </row>
    <row r="3056" spans="1:4" hidden="1" x14ac:dyDescent="0.3">
      <c r="A3056">
        <v>3054</v>
      </c>
      <c r="B3056" s="1" t="s">
        <v>4048</v>
      </c>
      <c r="C3056" t="s">
        <v>58</v>
      </c>
      <c r="D3056" s="1" t="s">
        <v>4049</v>
      </c>
    </row>
    <row r="3057" spans="1:4" hidden="1" x14ac:dyDescent="0.3">
      <c r="A3057">
        <v>3055</v>
      </c>
      <c r="B3057" t="s">
        <v>4050</v>
      </c>
      <c r="C3057" t="s">
        <v>61</v>
      </c>
      <c r="D3057">
        <v>147479638.496043</v>
      </c>
    </row>
    <row r="3058" spans="1:4" hidden="1" x14ac:dyDescent="0.3">
      <c r="A3058">
        <v>3056</v>
      </c>
      <c r="B3058" t="s">
        <v>4051</v>
      </c>
      <c r="C3058" t="s">
        <v>63</v>
      </c>
      <c r="D3058">
        <v>78032883.356065407</v>
      </c>
    </row>
    <row r="3059" spans="1:4" hidden="1" x14ac:dyDescent="0.3">
      <c r="A3059">
        <v>3057</v>
      </c>
      <c r="B3059" t="s">
        <v>4052</v>
      </c>
      <c r="C3059" t="s">
        <v>65</v>
      </c>
      <c r="D3059">
        <v>39588096.364666902</v>
      </c>
    </row>
    <row r="3060" spans="1:4" hidden="1" x14ac:dyDescent="0.3">
      <c r="A3060">
        <v>3058</v>
      </c>
      <c r="B3060" s="1" t="s">
        <v>4053</v>
      </c>
      <c r="C3060" t="s">
        <v>67</v>
      </c>
      <c r="D3060" s="1" t="s">
        <v>4054</v>
      </c>
    </row>
    <row r="3061" spans="1:4" hidden="1" x14ac:dyDescent="0.3">
      <c r="A3061">
        <v>3059</v>
      </c>
      <c r="B3061" s="1" t="s">
        <v>4055</v>
      </c>
      <c r="C3061" t="s">
        <v>70</v>
      </c>
      <c r="D3061" s="1" t="s">
        <v>4056</v>
      </c>
    </row>
    <row r="3062" spans="1:4" hidden="1" x14ac:dyDescent="0.3">
      <c r="A3062">
        <v>3060</v>
      </c>
      <c r="B3062" t="s">
        <v>4057</v>
      </c>
      <c r="C3062" t="s">
        <v>73</v>
      </c>
      <c r="D3062">
        <v>1.0000788105251699</v>
      </c>
    </row>
    <row r="3063" spans="1:4" hidden="1" x14ac:dyDescent="0.3">
      <c r="A3063">
        <v>3061</v>
      </c>
      <c r="B3063" t="s">
        <v>74</v>
      </c>
      <c r="C3063" t="s">
        <v>75</v>
      </c>
      <c r="D3063">
        <v>2.7397260273972599E-3</v>
      </c>
    </row>
    <row r="3064" spans="1:4" hidden="1" x14ac:dyDescent="0.3">
      <c r="A3064">
        <v>3062</v>
      </c>
      <c r="B3064" t="s">
        <v>76</v>
      </c>
      <c r="C3064" t="s">
        <v>77</v>
      </c>
      <c r="D3064">
        <v>0</v>
      </c>
    </row>
    <row r="3065" spans="1:4" hidden="1" x14ac:dyDescent="0.3">
      <c r="A3065">
        <v>3063</v>
      </c>
      <c r="B3065" t="s">
        <v>650</v>
      </c>
      <c r="C3065" t="s">
        <v>79</v>
      </c>
      <c r="D3065" s="2">
        <v>2.2204460492503101E-16</v>
      </c>
    </row>
    <row r="3066" spans="1:4" hidden="1" x14ac:dyDescent="0.3">
      <c r="A3066">
        <v>3064</v>
      </c>
      <c r="B3066" s="1" t="s">
        <v>4058</v>
      </c>
      <c r="C3066" t="s">
        <v>81</v>
      </c>
      <c r="D3066" s="1" t="s">
        <v>4059</v>
      </c>
    </row>
    <row r="3067" spans="1:4" hidden="1" x14ac:dyDescent="0.3">
      <c r="A3067">
        <v>3065</v>
      </c>
      <c r="B3067" t="s">
        <v>4060</v>
      </c>
      <c r="C3067" t="s">
        <v>84</v>
      </c>
      <c r="D3067">
        <v>1.00009212546044</v>
      </c>
    </row>
    <row r="3068" spans="1:4" hidden="1" x14ac:dyDescent="0.3">
      <c r="A3068">
        <v>3066</v>
      </c>
      <c r="B3068" s="1" t="s">
        <v>4061</v>
      </c>
      <c r="C3068" t="s">
        <v>86</v>
      </c>
      <c r="D3068" s="1" t="s">
        <v>4062</v>
      </c>
    </row>
    <row r="3069" spans="1:4" hidden="1" x14ac:dyDescent="0.3">
      <c r="A3069">
        <v>3067</v>
      </c>
      <c r="B3069" t="s">
        <v>4063</v>
      </c>
      <c r="C3069" t="s">
        <v>89</v>
      </c>
      <c r="D3069">
        <v>101180458.18715499</v>
      </c>
    </row>
    <row r="3070" spans="1:4" hidden="1" x14ac:dyDescent="0.3">
      <c r="A3070">
        <v>3068</v>
      </c>
      <c r="B3070" s="1" t="s">
        <v>4064</v>
      </c>
      <c r="C3070" t="s">
        <v>91</v>
      </c>
      <c r="D3070" s="1" t="s">
        <v>3998</v>
      </c>
    </row>
    <row r="3071" spans="1:4" hidden="1" x14ac:dyDescent="0.3">
      <c r="A3071">
        <v>3069</v>
      </c>
      <c r="B3071" t="s">
        <v>4065</v>
      </c>
      <c r="C3071" t="s">
        <v>94</v>
      </c>
      <c r="D3071">
        <v>78032883.356065407</v>
      </c>
    </row>
    <row r="3072" spans="1:4" hidden="1" x14ac:dyDescent="0.3">
      <c r="A3072">
        <v>3070</v>
      </c>
      <c r="B3072" t="s">
        <v>4066</v>
      </c>
      <c r="C3072" t="s">
        <v>96</v>
      </c>
      <c r="D3072">
        <v>39588096.364666902</v>
      </c>
    </row>
    <row r="3073" spans="1:4" hidden="1" x14ac:dyDescent="0.3">
      <c r="A3073">
        <v>3071</v>
      </c>
      <c r="B3073" t="s">
        <v>4067</v>
      </c>
      <c r="C3073" t="s">
        <v>98</v>
      </c>
      <c r="D3073">
        <v>29858658.775311299</v>
      </c>
    </row>
    <row r="3074" spans="1:4" hidden="1" x14ac:dyDescent="0.3">
      <c r="A3074">
        <v>3072</v>
      </c>
      <c r="B3074" s="1" t="s">
        <v>4068</v>
      </c>
      <c r="C3074" t="s">
        <v>100</v>
      </c>
      <c r="D3074" s="1" t="s">
        <v>4069</v>
      </c>
    </row>
    <row r="3075" spans="1:4" hidden="1" x14ac:dyDescent="0.3">
      <c r="A3075">
        <v>3073</v>
      </c>
      <c r="B3075" t="s">
        <v>4070</v>
      </c>
      <c r="C3075" t="s">
        <v>103</v>
      </c>
      <c r="D3075">
        <v>8.6789539472029494E-3</v>
      </c>
    </row>
    <row r="3076" spans="1:4" hidden="1" x14ac:dyDescent="0.3">
      <c r="A3076">
        <v>3074</v>
      </c>
      <c r="B3076" t="s">
        <v>4071</v>
      </c>
      <c r="C3076" t="s">
        <v>105</v>
      </c>
      <c r="D3076">
        <v>1.7924080925368401E-3</v>
      </c>
    </row>
    <row r="3077" spans="1:4" hidden="1" x14ac:dyDescent="0.3">
      <c r="A3077">
        <v>3075</v>
      </c>
      <c r="B3077" t="s">
        <v>4072</v>
      </c>
      <c r="C3077" t="s">
        <v>107</v>
      </c>
      <c r="D3077">
        <v>1.15491349511741E-2</v>
      </c>
    </row>
    <row r="3078" spans="1:4" hidden="1" x14ac:dyDescent="0.3">
      <c r="A3078">
        <v>3076</v>
      </c>
      <c r="B3078" s="1" t="s">
        <v>4073</v>
      </c>
      <c r="C3078" t="s">
        <v>109</v>
      </c>
      <c r="D3078" s="1" t="s">
        <v>4074</v>
      </c>
    </row>
    <row r="3079" spans="1:4" x14ac:dyDescent="0.3">
      <c r="A3079">
        <v>3077</v>
      </c>
      <c r="B3079" t="s">
        <v>4075</v>
      </c>
      <c r="C3079" t="s">
        <v>207</v>
      </c>
      <c r="D3079">
        <v>147480104.887355</v>
      </c>
    </row>
    <row r="3080" spans="1:4" hidden="1" x14ac:dyDescent="0.3">
      <c r="A3080">
        <v>3078</v>
      </c>
      <c r="B3080" t="s">
        <v>4076</v>
      </c>
      <c r="C3080" t="s">
        <v>209</v>
      </c>
      <c r="D3080">
        <v>-1038.9256579421101</v>
      </c>
    </row>
    <row r="3081" spans="1:4" hidden="1" x14ac:dyDescent="0.3">
      <c r="A3081">
        <v>3079</v>
      </c>
      <c r="B3081" t="s">
        <v>4077</v>
      </c>
      <c r="C3081" t="s">
        <v>211</v>
      </c>
      <c r="D3081">
        <v>-527.07236052994404</v>
      </c>
    </row>
    <row r="3082" spans="1:4" hidden="1" x14ac:dyDescent="0.3">
      <c r="A3082">
        <v>3080</v>
      </c>
      <c r="B3082" s="1" t="s">
        <v>4078</v>
      </c>
      <c r="C3082" t="s">
        <v>213</v>
      </c>
      <c r="D3082" s="1" t="s">
        <v>4079</v>
      </c>
    </row>
    <row r="3083" spans="1:4" hidden="1" x14ac:dyDescent="0.3">
      <c r="A3083">
        <v>3081</v>
      </c>
      <c r="B3083" t="s">
        <v>4080</v>
      </c>
      <c r="C3083" t="s">
        <v>216</v>
      </c>
      <c r="D3083">
        <v>78034278.692884505</v>
      </c>
    </row>
    <row r="3084" spans="1:4" hidden="1" x14ac:dyDescent="0.3">
      <c r="A3084">
        <v>3082</v>
      </c>
      <c r="B3084" t="s">
        <v>4081</v>
      </c>
      <c r="C3084" t="s">
        <v>218</v>
      </c>
      <c r="D3084">
        <v>39588695.455244899</v>
      </c>
    </row>
    <row r="3085" spans="1:4" hidden="1" x14ac:dyDescent="0.3">
      <c r="A3085">
        <v>3083</v>
      </c>
      <c r="B3085" t="s">
        <v>4082</v>
      </c>
      <c r="C3085" t="s">
        <v>220</v>
      </c>
      <c r="D3085">
        <v>29859094.272528902</v>
      </c>
    </row>
    <row r="3086" spans="1:4" hidden="1" x14ac:dyDescent="0.3">
      <c r="A3086">
        <v>3084</v>
      </c>
      <c r="B3086" s="1" t="s">
        <v>4083</v>
      </c>
      <c r="C3086" t="s">
        <v>222</v>
      </c>
      <c r="D3086" s="1" t="s">
        <v>4084</v>
      </c>
    </row>
    <row r="3087" spans="1:4" hidden="1" x14ac:dyDescent="0.3">
      <c r="A3087">
        <v>3085</v>
      </c>
      <c r="B3087" t="s">
        <v>4085</v>
      </c>
      <c r="C3087" t="s">
        <v>225</v>
      </c>
      <c r="D3087">
        <v>101181805.29223999</v>
      </c>
    </row>
    <row r="3088" spans="1:4" hidden="1" x14ac:dyDescent="0.3">
      <c r="A3088">
        <v>3086</v>
      </c>
      <c r="B3088" t="s">
        <v>4086</v>
      </c>
      <c r="C3088" t="s">
        <v>227</v>
      </c>
      <c r="D3088">
        <v>-1347.1050850450899</v>
      </c>
    </row>
    <row r="3089" spans="1:4" hidden="1" x14ac:dyDescent="0.3">
      <c r="A3089">
        <v>3087</v>
      </c>
      <c r="B3089" s="1" t="s">
        <v>4087</v>
      </c>
      <c r="C3089" t="s">
        <v>229</v>
      </c>
      <c r="D3089" s="1" t="s">
        <v>4088</v>
      </c>
    </row>
    <row r="3090" spans="1:4" hidden="1" x14ac:dyDescent="0.3">
      <c r="A3090">
        <v>3088</v>
      </c>
      <c r="B3090" t="s">
        <v>4089</v>
      </c>
      <c r="C3090" t="s">
        <v>112</v>
      </c>
      <c r="D3090">
        <v>356.41116118861697</v>
      </c>
    </row>
    <row r="3091" spans="1:4" hidden="1" x14ac:dyDescent="0.3">
      <c r="A3091">
        <v>3089</v>
      </c>
      <c r="B3091" t="s">
        <v>4090</v>
      </c>
      <c r="C3091" t="s">
        <v>114</v>
      </c>
      <c r="D3091">
        <v>72.018217472857799</v>
      </c>
    </row>
    <row r="3092" spans="1:4" hidden="1" x14ac:dyDescent="0.3">
      <c r="A3092">
        <v>3090</v>
      </c>
      <c r="B3092" s="1" t="s">
        <v>4091</v>
      </c>
      <c r="C3092" t="s">
        <v>116</v>
      </c>
      <c r="D3092" s="1" t="s">
        <v>4092</v>
      </c>
    </row>
    <row r="3093" spans="1:4" hidden="1" x14ac:dyDescent="0.3">
      <c r="A3093">
        <v>3091</v>
      </c>
      <c r="B3093" t="s">
        <v>4093</v>
      </c>
      <c r="C3093" t="s">
        <v>119</v>
      </c>
      <c r="D3093">
        <v>78034278.692884505</v>
      </c>
    </row>
    <row r="3094" spans="1:4" hidden="1" x14ac:dyDescent="0.3">
      <c r="A3094">
        <v>3092</v>
      </c>
      <c r="B3094" t="s">
        <v>4094</v>
      </c>
      <c r="C3094" t="s">
        <v>121</v>
      </c>
      <c r="D3094">
        <v>39588695.455244899</v>
      </c>
    </row>
    <row r="3095" spans="1:4" hidden="1" x14ac:dyDescent="0.3">
      <c r="A3095">
        <v>3093</v>
      </c>
      <c r="B3095" s="1" t="s">
        <v>4095</v>
      </c>
      <c r="C3095" t="s">
        <v>123</v>
      </c>
      <c r="D3095" s="1" t="s">
        <v>4096</v>
      </c>
    </row>
    <row r="3096" spans="1:4" hidden="1" x14ac:dyDescent="0.3">
      <c r="A3096">
        <v>3094</v>
      </c>
      <c r="B3096" t="s">
        <v>4097</v>
      </c>
      <c r="C3096" t="s">
        <v>126</v>
      </c>
      <c r="D3096">
        <v>0.77115732602210496</v>
      </c>
    </row>
    <row r="3097" spans="1:4" hidden="1" x14ac:dyDescent="0.3">
      <c r="A3097">
        <v>3095</v>
      </c>
      <c r="B3097" t="s">
        <v>4098</v>
      </c>
      <c r="C3097" t="s">
        <v>128</v>
      </c>
      <c r="D3097">
        <v>0.39122694589286799</v>
      </c>
    </row>
    <row r="3098" spans="1:4" hidden="1" x14ac:dyDescent="0.3">
      <c r="A3098">
        <v>3096</v>
      </c>
      <c r="B3098" s="1" t="s">
        <v>4099</v>
      </c>
      <c r="C3098" t="s">
        <v>130</v>
      </c>
      <c r="D3098" s="1" t="s">
        <v>4100</v>
      </c>
    </row>
    <row r="3099" spans="1:4" hidden="1" x14ac:dyDescent="0.3">
      <c r="A3099">
        <v>3097</v>
      </c>
      <c r="B3099" s="1" t="s">
        <v>4101</v>
      </c>
      <c r="C3099" t="s">
        <v>4</v>
      </c>
      <c r="D3099" t="s">
        <v>4102</v>
      </c>
    </row>
    <row r="3100" spans="1:4" hidden="1" x14ac:dyDescent="0.3">
      <c r="A3100">
        <v>3098</v>
      </c>
      <c r="B3100" t="s">
        <v>4103</v>
      </c>
      <c r="C3100" t="s">
        <v>7</v>
      </c>
      <c r="D3100">
        <v>1812.64</v>
      </c>
    </row>
    <row r="3101" spans="1:4" hidden="1" x14ac:dyDescent="0.3">
      <c r="A3101">
        <v>3099</v>
      </c>
      <c r="B3101" s="1" t="s">
        <v>4104</v>
      </c>
      <c r="C3101" t="s">
        <v>9</v>
      </c>
      <c r="D3101" s="1" t="s">
        <v>4105</v>
      </c>
    </row>
    <row r="3102" spans="1:4" hidden="1" x14ac:dyDescent="0.3">
      <c r="A3102">
        <v>3100</v>
      </c>
      <c r="B3102" t="s">
        <v>4106</v>
      </c>
      <c r="C3102" t="s">
        <v>14</v>
      </c>
      <c r="D3102">
        <v>98.828125</v>
      </c>
    </row>
    <row r="3103" spans="1:4" hidden="1" x14ac:dyDescent="0.3">
      <c r="A3103">
        <v>3101</v>
      </c>
      <c r="B3103" t="s">
        <v>4107</v>
      </c>
      <c r="C3103" t="s">
        <v>16</v>
      </c>
      <c r="D3103">
        <v>4.4052205927337296</v>
      </c>
    </row>
    <row r="3104" spans="1:4" hidden="1" x14ac:dyDescent="0.3">
      <c r="A3104">
        <v>3102</v>
      </c>
      <c r="B3104" s="1" t="s">
        <v>4108</v>
      </c>
      <c r="C3104" t="s">
        <v>140</v>
      </c>
      <c r="D3104" s="1" t="s">
        <v>4109</v>
      </c>
    </row>
    <row r="3105" spans="1:4" hidden="1" x14ac:dyDescent="0.3">
      <c r="A3105">
        <v>3103</v>
      </c>
      <c r="B3105" t="s">
        <v>142</v>
      </c>
      <c r="C3105" t="s">
        <v>22</v>
      </c>
      <c r="D3105">
        <v>74.55</v>
      </c>
    </row>
    <row r="3106" spans="1:4" hidden="1" x14ac:dyDescent="0.3">
      <c r="A3106">
        <v>3104</v>
      </c>
      <c r="B3106" t="s">
        <v>4110</v>
      </c>
      <c r="C3106" t="s">
        <v>24</v>
      </c>
      <c r="D3106">
        <v>6.3714485255742197</v>
      </c>
    </row>
    <row r="3107" spans="1:4" hidden="1" x14ac:dyDescent="0.3">
      <c r="A3107">
        <v>3105</v>
      </c>
      <c r="B3107" s="1" t="s">
        <v>4111</v>
      </c>
      <c r="C3107" t="s">
        <v>145</v>
      </c>
      <c r="D3107" s="1" t="s">
        <v>4112</v>
      </c>
    </row>
    <row r="3108" spans="1:4" hidden="1" x14ac:dyDescent="0.3">
      <c r="A3108">
        <v>3106</v>
      </c>
      <c r="B3108" t="s">
        <v>4113</v>
      </c>
      <c r="C3108" t="s">
        <v>35</v>
      </c>
      <c r="D3108">
        <v>0.34695079041312299</v>
      </c>
    </row>
    <row r="3109" spans="1:4" hidden="1" x14ac:dyDescent="0.3">
      <c r="A3109">
        <v>3107</v>
      </c>
      <c r="B3109" t="s">
        <v>4114</v>
      </c>
      <c r="C3109" t="s">
        <v>149</v>
      </c>
      <c r="D3109">
        <v>0.67835898509270098</v>
      </c>
    </row>
    <row r="3110" spans="1:4" hidden="1" x14ac:dyDescent="0.3">
      <c r="A3110">
        <v>3108</v>
      </c>
      <c r="B3110" s="1" t="s">
        <v>4115</v>
      </c>
      <c r="C3110" t="s">
        <v>151</v>
      </c>
      <c r="D3110" s="1" t="s">
        <v>4116</v>
      </c>
    </row>
    <row r="3111" spans="1:4" hidden="1" x14ac:dyDescent="0.3">
      <c r="A3111">
        <v>3109</v>
      </c>
      <c r="B3111" t="s">
        <v>4117</v>
      </c>
      <c r="C3111" t="s">
        <v>30</v>
      </c>
      <c r="D3111">
        <v>0.25608994677701402</v>
      </c>
    </row>
    <row r="3112" spans="1:4" hidden="1" x14ac:dyDescent="0.3">
      <c r="A3112">
        <v>3110</v>
      </c>
      <c r="B3112" t="s">
        <v>4118</v>
      </c>
      <c r="C3112" t="s">
        <v>32</v>
      </c>
      <c r="D3112">
        <v>0.23951350067939101</v>
      </c>
    </row>
    <row r="3113" spans="1:4" hidden="1" x14ac:dyDescent="0.3">
      <c r="A3113">
        <v>3111</v>
      </c>
      <c r="B3113" s="1" t="s">
        <v>4119</v>
      </c>
      <c r="C3113" t="s">
        <v>155</v>
      </c>
      <c r="D3113" s="1" t="s">
        <v>4120</v>
      </c>
    </row>
    <row r="3114" spans="1:4" hidden="1" x14ac:dyDescent="0.3">
      <c r="A3114">
        <v>3112</v>
      </c>
      <c r="B3114" t="s">
        <v>4121</v>
      </c>
      <c r="C3114" t="s">
        <v>40</v>
      </c>
      <c r="D3114">
        <v>0.39695926280986099</v>
      </c>
    </row>
    <row r="3115" spans="1:4" hidden="1" x14ac:dyDescent="0.3">
      <c r="A3115">
        <v>3113</v>
      </c>
      <c r="B3115" t="s">
        <v>4122</v>
      </c>
      <c r="C3115" t="s">
        <v>42</v>
      </c>
      <c r="D3115">
        <v>0.234632227431433</v>
      </c>
    </row>
    <row r="3116" spans="1:4" hidden="1" x14ac:dyDescent="0.3">
      <c r="A3116">
        <v>3114</v>
      </c>
      <c r="B3116" s="1" t="s">
        <v>4123</v>
      </c>
      <c r="C3116" t="s">
        <v>159</v>
      </c>
      <c r="D3116" s="1" t="s">
        <v>4124</v>
      </c>
    </row>
    <row r="3117" spans="1:4" hidden="1" x14ac:dyDescent="0.3">
      <c r="A3117">
        <v>3115</v>
      </c>
      <c r="B3117" t="s">
        <v>4125</v>
      </c>
      <c r="C3117" t="s">
        <v>161</v>
      </c>
      <c r="D3117">
        <v>1.00032559807952</v>
      </c>
    </row>
    <row r="3118" spans="1:4" hidden="1" x14ac:dyDescent="0.3">
      <c r="A3118">
        <v>3116</v>
      </c>
      <c r="B3118" t="s">
        <v>4126</v>
      </c>
      <c r="C3118" t="s">
        <v>163</v>
      </c>
      <c r="D3118">
        <v>1.0027460918483</v>
      </c>
    </row>
    <row r="3119" spans="1:4" hidden="1" x14ac:dyDescent="0.3">
      <c r="A3119">
        <v>3117</v>
      </c>
      <c r="B3119" s="1" t="s">
        <v>4127</v>
      </c>
      <c r="C3119" t="s">
        <v>165</v>
      </c>
      <c r="D3119" s="1" t="s">
        <v>4128</v>
      </c>
    </row>
    <row r="3120" spans="1:4" hidden="1" x14ac:dyDescent="0.3">
      <c r="A3120">
        <v>3118</v>
      </c>
      <c r="B3120" t="s">
        <v>4129</v>
      </c>
      <c r="C3120" t="s">
        <v>168</v>
      </c>
      <c r="D3120">
        <v>1.00130668366695</v>
      </c>
    </row>
    <row r="3121" spans="1:4" hidden="1" x14ac:dyDescent="0.3">
      <c r="A3121">
        <v>3119</v>
      </c>
      <c r="B3121" t="s">
        <v>4130</v>
      </c>
      <c r="C3121" t="s">
        <v>170</v>
      </c>
      <c r="D3121">
        <v>1.0019773258882101</v>
      </c>
    </row>
    <row r="3122" spans="1:4" hidden="1" x14ac:dyDescent="0.3">
      <c r="A3122">
        <v>3120</v>
      </c>
      <c r="B3122" s="1" t="s">
        <v>4131</v>
      </c>
      <c r="C3122" t="s">
        <v>172</v>
      </c>
      <c r="D3122" s="1" t="s">
        <v>4132</v>
      </c>
    </row>
    <row r="3123" spans="1:4" hidden="1" x14ac:dyDescent="0.3">
      <c r="A3123">
        <v>3121</v>
      </c>
      <c r="B3123" s="1" t="s">
        <v>4133</v>
      </c>
      <c r="C3123" t="s">
        <v>55</v>
      </c>
      <c r="D3123" s="1" t="s">
        <v>4134</v>
      </c>
    </row>
    <row r="3124" spans="1:4" hidden="1" x14ac:dyDescent="0.3">
      <c r="A3124">
        <v>3122</v>
      </c>
      <c r="B3124" s="1" t="s">
        <v>4135</v>
      </c>
      <c r="C3124" t="s">
        <v>52</v>
      </c>
      <c r="D3124" s="1" t="s">
        <v>4136</v>
      </c>
    </row>
    <row r="3125" spans="1:4" hidden="1" x14ac:dyDescent="0.3">
      <c r="A3125">
        <v>3123</v>
      </c>
      <c r="B3125" s="1" t="s">
        <v>4137</v>
      </c>
      <c r="C3125" t="s">
        <v>58</v>
      </c>
      <c r="D3125" s="1" t="s">
        <v>4138</v>
      </c>
    </row>
    <row r="3126" spans="1:4" hidden="1" x14ac:dyDescent="0.3">
      <c r="A3126">
        <v>3124</v>
      </c>
      <c r="B3126" t="s">
        <v>4139</v>
      </c>
      <c r="C3126" t="s">
        <v>61</v>
      </c>
      <c r="D3126">
        <v>147275755.03871799</v>
      </c>
    </row>
    <row r="3127" spans="1:4" hidden="1" x14ac:dyDescent="0.3">
      <c r="A3127">
        <v>3125</v>
      </c>
      <c r="B3127" t="s">
        <v>4140</v>
      </c>
      <c r="C3127" t="s">
        <v>63</v>
      </c>
      <c r="D3127">
        <v>78059686.504163906</v>
      </c>
    </row>
    <row r="3128" spans="1:4" hidden="1" x14ac:dyDescent="0.3">
      <c r="A3128">
        <v>3126</v>
      </c>
      <c r="B3128" t="s">
        <v>4141</v>
      </c>
      <c r="C3128" t="s">
        <v>65</v>
      </c>
      <c r="D3128">
        <v>39697409.649119601</v>
      </c>
    </row>
    <row r="3129" spans="1:4" hidden="1" x14ac:dyDescent="0.3">
      <c r="A3129">
        <v>3127</v>
      </c>
      <c r="B3129" s="1" t="s">
        <v>4142</v>
      </c>
      <c r="C3129" t="s">
        <v>67</v>
      </c>
      <c r="D3129" s="1" t="s">
        <v>4143</v>
      </c>
    </row>
    <row r="3130" spans="1:4" hidden="1" x14ac:dyDescent="0.3">
      <c r="A3130">
        <v>3128</v>
      </c>
      <c r="B3130" s="1" t="s">
        <v>4144</v>
      </c>
      <c r="C3130" t="s">
        <v>70</v>
      </c>
      <c r="D3130" s="1" t="s">
        <v>4145</v>
      </c>
    </row>
    <row r="3131" spans="1:4" hidden="1" x14ac:dyDescent="0.3">
      <c r="A3131">
        <v>3129</v>
      </c>
      <c r="B3131" t="s">
        <v>4146</v>
      </c>
      <c r="C3131" t="s">
        <v>73</v>
      </c>
      <c r="D3131">
        <v>1.00009212546044</v>
      </c>
    </row>
    <row r="3132" spans="1:4" hidden="1" x14ac:dyDescent="0.3">
      <c r="A3132">
        <v>3130</v>
      </c>
      <c r="B3132" t="s">
        <v>74</v>
      </c>
      <c r="C3132" t="s">
        <v>75</v>
      </c>
      <c r="D3132">
        <v>2.7397260273972599E-3</v>
      </c>
    </row>
    <row r="3133" spans="1:4" hidden="1" x14ac:dyDescent="0.3">
      <c r="A3133">
        <v>3131</v>
      </c>
      <c r="B3133" t="s">
        <v>76</v>
      </c>
      <c r="C3133" t="s">
        <v>77</v>
      </c>
      <c r="D3133">
        <v>0</v>
      </c>
    </row>
    <row r="3134" spans="1:4" hidden="1" x14ac:dyDescent="0.3">
      <c r="A3134">
        <v>3132</v>
      </c>
      <c r="B3134" t="s">
        <v>1459</v>
      </c>
      <c r="C3134" t="s">
        <v>79</v>
      </c>
      <c r="D3134" s="2">
        <v>-2.2204460492503101E-16</v>
      </c>
    </row>
    <row r="3135" spans="1:4" hidden="1" x14ac:dyDescent="0.3">
      <c r="A3135">
        <v>3133</v>
      </c>
      <c r="B3135" s="1" t="s">
        <v>4147</v>
      </c>
      <c r="C3135" t="s">
        <v>81</v>
      </c>
      <c r="D3135" s="1" t="s">
        <v>4148</v>
      </c>
    </row>
    <row r="3136" spans="1:4" hidden="1" x14ac:dyDescent="0.3">
      <c r="A3136">
        <v>3134</v>
      </c>
      <c r="B3136" t="s">
        <v>4149</v>
      </c>
      <c r="C3136" t="s">
        <v>84</v>
      </c>
      <c r="D3136">
        <v>1.0001331405935401</v>
      </c>
    </row>
    <row r="3137" spans="1:4" hidden="1" x14ac:dyDescent="0.3">
      <c r="A3137">
        <v>3135</v>
      </c>
      <c r="B3137" s="1" t="s">
        <v>4150</v>
      </c>
      <c r="C3137" t="s">
        <v>86</v>
      </c>
      <c r="D3137" s="1" t="s">
        <v>4151</v>
      </c>
    </row>
    <row r="3138" spans="1:4" hidden="1" x14ac:dyDescent="0.3">
      <c r="A3138">
        <v>3136</v>
      </c>
      <c r="B3138" t="s">
        <v>4152</v>
      </c>
      <c r="C3138" t="s">
        <v>89</v>
      </c>
      <c r="D3138">
        <v>101176308.809646</v>
      </c>
    </row>
    <row r="3139" spans="1:4" hidden="1" x14ac:dyDescent="0.3">
      <c r="A3139">
        <v>3137</v>
      </c>
      <c r="B3139" s="1" t="s">
        <v>4153</v>
      </c>
      <c r="C3139" t="s">
        <v>91</v>
      </c>
      <c r="D3139" s="1" t="s">
        <v>4088</v>
      </c>
    </row>
    <row r="3140" spans="1:4" hidden="1" x14ac:dyDescent="0.3">
      <c r="A3140">
        <v>3138</v>
      </c>
      <c r="B3140" t="s">
        <v>4154</v>
      </c>
      <c r="C3140" t="s">
        <v>94</v>
      </c>
      <c r="D3140">
        <v>78059686.504163906</v>
      </c>
    </row>
    <row r="3141" spans="1:4" hidden="1" x14ac:dyDescent="0.3">
      <c r="A3141">
        <v>3139</v>
      </c>
      <c r="B3141" t="s">
        <v>4155</v>
      </c>
      <c r="C3141" t="s">
        <v>96</v>
      </c>
      <c r="D3141">
        <v>39697409.649119601</v>
      </c>
    </row>
    <row r="3142" spans="1:4" hidden="1" x14ac:dyDescent="0.3">
      <c r="A3142">
        <v>3140</v>
      </c>
      <c r="B3142" t="s">
        <v>4156</v>
      </c>
      <c r="C3142" t="s">
        <v>98</v>
      </c>
      <c r="D3142">
        <v>29518658.885435201</v>
      </c>
    </row>
    <row r="3143" spans="1:4" hidden="1" x14ac:dyDescent="0.3">
      <c r="A3143">
        <v>3141</v>
      </c>
      <c r="B3143" s="1" t="s">
        <v>4157</v>
      </c>
      <c r="C3143" t="s">
        <v>100</v>
      </c>
      <c r="D3143" s="1" t="s">
        <v>4158</v>
      </c>
    </row>
    <row r="3144" spans="1:4" hidden="1" x14ac:dyDescent="0.3">
      <c r="A3144">
        <v>3142</v>
      </c>
      <c r="B3144" t="s">
        <v>4159</v>
      </c>
      <c r="C3144" t="s">
        <v>103</v>
      </c>
      <c r="D3144">
        <v>8.6706486866509006E-3</v>
      </c>
    </row>
    <row r="3145" spans="1:4" hidden="1" x14ac:dyDescent="0.3">
      <c r="A3145">
        <v>3143</v>
      </c>
      <c r="B3145" t="s">
        <v>4160</v>
      </c>
      <c r="C3145" t="s">
        <v>105</v>
      </c>
      <c r="D3145">
        <v>1.8090401362417499E-3</v>
      </c>
    </row>
    <row r="3146" spans="1:4" hidden="1" x14ac:dyDescent="0.3">
      <c r="A3146">
        <v>3144</v>
      </c>
      <c r="B3146" t="s">
        <v>4161</v>
      </c>
      <c r="C3146" t="s">
        <v>107</v>
      </c>
      <c r="D3146">
        <v>1.1642510510839E-2</v>
      </c>
    </row>
    <row r="3147" spans="1:4" hidden="1" x14ac:dyDescent="0.3">
      <c r="A3147">
        <v>3145</v>
      </c>
      <c r="B3147" s="1" t="s">
        <v>4162</v>
      </c>
      <c r="C3147" t="s">
        <v>109</v>
      </c>
      <c r="D3147" s="1" t="s">
        <v>4163</v>
      </c>
    </row>
    <row r="3148" spans="1:4" x14ac:dyDescent="0.3">
      <c r="A3148">
        <v>3146</v>
      </c>
      <c r="B3148" t="s">
        <v>4164</v>
      </c>
      <c r="C3148" t="s">
        <v>207</v>
      </c>
      <c r="D3148">
        <v>147277190.20331699</v>
      </c>
    </row>
    <row r="3149" spans="1:4" hidden="1" x14ac:dyDescent="0.3">
      <c r="A3149">
        <v>3147</v>
      </c>
      <c r="B3149" t="s">
        <v>4165</v>
      </c>
      <c r="C3149" t="s">
        <v>209</v>
      </c>
      <c r="D3149">
        <v>-3201.37678662605</v>
      </c>
    </row>
    <row r="3150" spans="1:4" hidden="1" x14ac:dyDescent="0.3">
      <c r="A3150">
        <v>3148</v>
      </c>
      <c r="B3150" t="s">
        <v>4166</v>
      </c>
      <c r="C3150" t="s">
        <v>211</v>
      </c>
      <c r="D3150">
        <v>-1628.0532586000299</v>
      </c>
    </row>
    <row r="3151" spans="1:4" hidden="1" x14ac:dyDescent="0.3">
      <c r="A3151">
        <v>3149</v>
      </c>
      <c r="B3151" s="1" t="s">
        <v>4167</v>
      </c>
      <c r="C3151" t="s">
        <v>213</v>
      </c>
      <c r="D3151" s="1" t="s">
        <v>4168</v>
      </c>
    </row>
    <row r="3152" spans="1:4" hidden="1" x14ac:dyDescent="0.3">
      <c r="A3152">
        <v>3150</v>
      </c>
      <c r="B3152" t="s">
        <v>4169</v>
      </c>
      <c r="C3152" t="s">
        <v>216</v>
      </c>
      <c r="D3152">
        <v>78063943.184752896</v>
      </c>
    </row>
    <row r="3153" spans="1:4" hidden="1" x14ac:dyDescent="0.3">
      <c r="A3153">
        <v>3151</v>
      </c>
      <c r="B3153" t="s">
        <v>4170</v>
      </c>
      <c r="C3153" t="s">
        <v>218</v>
      </c>
      <c r="D3153">
        <v>39699249.901492603</v>
      </c>
    </row>
    <row r="3154" spans="1:4" hidden="1" x14ac:dyDescent="0.3">
      <c r="A3154">
        <v>3152</v>
      </c>
      <c r="B3154" t="s">
        <v>4171</v>
      </c>
      <c r="C3154" t="s">
        <v>220</v>
      </c>
      <c r="D3154">
        <v>29520037.154188599</v>
      </c>
    </row>
    <row r="3155" spans="1:4" hidden="1" x14ac:dyDescent="0.3">
      <c r="A3155">
        <v>3153</v>
      </c>
      <c r="B3155" s="1" t="s">
        <v>4172</v>
      </c>
      <c r="C3155" t="s">
        <v>222</v>
      </c>
      <c r="D3155" s="1" t="s">
        <v>4173</v>
      </c>
    </row>
    <row r="3156" spans="1:4" hidden="1" x14ac:dyDescent="0.3">
      <c r="A3156">
        <v>3154</v>
      </c>
      <c r="B3156" t="s">
        <v>4174</v>
      </c>
      <c r="C3156" t="s">
        <v>225</v>
      </c>
      <c r="D3156">
        <v>101180458.18715499</v>
      </c>
    </row>
    <row r="3157" spans="1:4" hidden="1" x14ac:dyDescent="0.3">
      <c r="A3157">
        <v>3155</v>
      </c>
      <c r="B3157" t="s">
        <v>4175</v>
      </c>
      <c r="C3157" t="s">
        <v>227</v>
      </c>
      <c r="D3157">
        <v>-4149.3775088190996</v>
      </c>
    </row>
    <row r="3158" spans="1:4" hidden="1" x14ac:dyDescent="0.3">
      <c r="A3158">
        <v>3156</v>
      </c>
      <c r="B3158" s="1" t="s">
        <v>4176</v>
      </c>
      <c r="C3158" t="s">
        <v>229</v>
      </c>
      <c r="D3158" s="1" t="s">
        <v>4177</v>
      </c>
    </row>
    <row r="3159" spans="1:4" hidden="1" x14ac:dyDescent="0.3">
      <c r="A3159">
        <v>3157</v>
      </c>
      <c r="B3159" t="s">
        <v>4178</v>
      </c>
      <c r="C3159" t="s">
        <v>112</v>
      </c>
      <c r="D3159">
        <v>1055.3038024171501</v>
      </c>
    </row>
    <row r="3160" spans="1:4" hidden="1" x14ac:dyDescent="0.3">
      <c r="A3160">
        <v>3158</v>
      </c>
      <c r="B3160" t="s">
        <v>4179</v>
      </c>
      <c r="C3160" t="s">
        <v>114</v>
      </c>
      <c r="D3160">
        <v>212.199114462469</v>
      </c>
    </row>
    <row r="3161" spans="1:4" hidden="1" x14ac:dyDescent="0.3">
      <c r="A3161">
        <v>3159</v>
      </c>
      <c r="B3161" s="1" t="s">
        <v>4180</v>
      </c>
      <c r="C3161" t="s">
        <v>116</v>
      </c>
      <c r="D3161" s="1" t="s">
        <v>4181</v>
      </c>
    </row>
    <row r="3162" spans="1:4" hidden="1" x14ac:dyDescent="0.3">
      <c r="A3162">
        <v>3160</v>
      </c>
      <c r="B3162" t="s">
        <v>4182</v>
      </c>
      <c r="C3162" t="s">
        <v>119</v>
      </c>
      <c r="D3162">
        <v>78063943.184752896</v>
      </c>
    </row>
    <row r="3163" spans="1:4" hidden="1" x14ac:dyDescent="0.3">
      <c r="A3163">
        <v>3161</v>
      </c>
      <c r="B3163" t="s">
        <v>4183</v>
      </c>
      <c r="C3163" t="s">
        <v>121</v>
      </c>
      <c r="D3163">
        <v>39699249.901492603</v>
      </c>
    </row>
    <row r="3164" spans="1:4" hidden="1" x14ac:dyDescent="0.3">
      <c r="A3164">
        <v>3162</v>
      </c>
      <c r="B3164" s="1" t="s">
        <v>4184</v>
      </c>
      <c r="C3164" t="s">
        <v>123</v>
      </c>
      <c r="D3164" s="1" t="s">
        <v>4185</v>
      </c>
    </row>
    <row r="3165" spans="1:4" hidden="1" x14ac:dyDescent="0.3">
      <c r="A3165">
        <v>3163</v>
      </c>
      <c r="B3165" t="s">
        <v>4186</v>
      </c>
      <c r="C3165" t="s">
        <v>126</v>
      </c>
      <c r="D3165">
        <v>0.77142911276657899</v>
      </c>
    </row>
    <row r="3166" spans="1:4" hidden="1" x14ac:dyDescent="0.3">
      <c r="A3166">
        <v>3164</v>
      </c>
      <c r="B3166" t="s">
        <v>4187</v>
      </c>
      <c r="C3166" t="s">
        <v>128</v>
      </c>
      <c r="D3166">
        <v>0.392308611115467</v>
      </c>
    </row>
    <row r="3167" spans="1:4" hidden="1" x14ac:dyDescent="0.3">
      <c r="A3167">
        <v>3165</v>
      </c>
      <c r="B3167" s="1" t="s">
        <v>4188</v>
      </c>
      <c r="C3167" t="s">
        <v>130</v>
      </c>
      <c r="D3167" s="1" t="s">
        <v>4189</v>
      </c>
    </row>
    <row r="3168" spans="1:4" hidden="1" x14ac:dyDescent="0.3">
      <c r="A3168">
        <v>3166</v>
      </c>
      <c r="B3168" s="1" t="s">
        <v>4190</v>
      </c>
      <c r="C3168" t="s">
        <v>4</v>
      </c>
      <c r="D3168" t="s">
        <v>4191</v>
      </c>
    </row>
    <row r="3169" spans="1:4" hidden="1" x14ac:dyDescent="0.3">
      <c r="A3169">
        <v>3167</v>
      </c>
      <c r="B3169" t="s">
        <v>4192</v>
      </c>
      <c r="C3169" t="s">
        <v>7</v>
      </c>
      <c r="D3169">
        <v>1810.36</v>
      </c>
    </row>
    <row r="3170" spans="1:4" hidden="1" x14ac:dyDescent="0.3">
      <c r="A3170">
        <v>3168</v>
      </c>
      <c r="B3170" s="1" t="s">
        <v>4193</v>
      </c>
      <c r="C3170" t="s">
        <v>9</v>
      </c>
      <c r="D3170" s="1" t="s">
        <v>4194</v>
      </c>
    </row>
    <row r="3171" spans="1:4" hidden="1" x14ac:dyDescent="0.3">
      <c r="A3171">
        <v>3169</v>
      </c>
      <c r="B3171" t="s">
        <v>4195</v>
      </c>
      <c r="C3171" t="s">
        <v>14</v>
      </c>
      <c r="D3171">
        <v>98.9296875</v>
      </c>
    </row>
    <row r="3172" spans="1:4" hidden="1" x14ac:dyDescent="0.3">
      <c r="A3172">
        <v>3170</v>
      </c>
      <c r="B3172" t="s">
        <v>4196</v>
      </c>
      <c r="C3172" t="s">
        <v>16</v>
      </c>
      <c r="D3172">
        <v>4.4019326453874097</v>
      </c>
    </row>
    <row r="3173" spans="1:4" hidden="1" x14ac:dyDescent="0.3">
      <c r="A3173">
        <v>3171</v>
      </c>
      <c r="B3173" s="1" t="s">
        <v>4197</v>
      </c>
      <c r="C3173" t="s">
        <v>140</v>
      </c>
      <c r="D3173" s="1" t="s">
        <v>4198</v>
      </c>
    </row>
    <row r="3174" spans="1:4" hidden="1" x14ac:dyDescent="0.3">
      <c r="A3174">
        <v>3172</v>
      </c>
      <c r="B3174" t="s">
        <v>4199</v>
      </c>
      <c r="C3174" t="s">
        <v>22</v>
      </c>
      <c r="D3174">
        <v>74.599999999999994</v>
      </c>
    </row>
    <row r="3175" spans="1:4" hidden="1" x14ac:dyDescent="0.3">
      <c r="A3175">
        <v>3173</v>
      </c>
      <c r="B3175" t="s">
        <v>4200</v>
      </c>
      <c r="C3175" t="s">
        <v>24</v>
      </c>
      <c r="D3175">
        <v>6.3474984142770197</v>
      </c>
    </row>
    <row r="3176" spans="1:4" hidden="1" x14ac:dyDescent="0.3">
      <c r="A3176">
        <v>3174</v>
      </c>
      <c r="B3176" s="1" t="s">
        <v>4201</v>
      </c>
      <c r="C3176" t="s">
        <v>145</v>
      </c>
      <c r="D3176" s="1" t="s">
        <v>4202</v>
      </c>
    </row>
    <row r="3177" spans="1:4" hidden="1" x14ac:dyDescent="0.3">
      <c r="A3177">
        <v>3175</v>
      </c>
      <c r="B3177" t="s">
        <v>4203</v>
      </c>
      <c r="C3177" t="s">
        <v>35</v>
      </c>
      <c r="D3177">
        <v>-0.63135441600322595</v>
      </c>
    </row>
    <row r="3178" spans="1:4" hidden="1" x14ac:dyDescent="0.3">
      <c r="A3178">
        <v>3176</v>
      </c>
      <c r="B3178" t="s">
        <v>4204</v>
      </c>
      <c r="C3178" t="s">
        <v>149</v>
      </c>
      <c r="D3178">
        <v>0.67690354646383999</v>
      </c>
    </row>
    <row r="3179" spans="1:4" hidden="1" x14ac:dyDescent="0.3">
      <c r="A3179">
        <v>3177</v>
      </c>
      <c r="B3179" s="1" t="s">
        <v>4205</v>
      </c>
      <c r="C3179" t="s">
        <v>151</v>
      </c>
      <c r="D3179" s="1" t="s">
        <v>4206</v>
      </c>
    </row>
    <row r="3180" spans="1:4" hidden="1" x14ac:dyDescent="0.3">
      <c r="A3180">
        <v>3178</v>
      </c>
      <c r="B3180" t="s">
        <v>4207</v>
      </c>
      <c r="C3180" t="s">
        <v>30</v>
      </c>
      <c r="D3180">
        <v>0.64954314319509998</v>
      </c>
    </row>
    <row r="3181" spans="1:4" hidden="1" x14ac:dyDescent="0.3">
      <c r="A3181">
        <v>3179</v>
      </c>
      <c r="B3181" t="s">
        <v>4208</v>
      </c>
      <c r="C3181" t="s">
        <v>32</v>
      </c>
      <c r="D3181">
        <v>0.23991940169398099</v>
      </c>
    </row>
    <row r="3182" spans="1:4" hidden="1" x14ac:dyDescent="0.3">
      <c r="A3182">
        <v>3180</v>
      </c>
      <c r="B3182" s="1" t="s">
        <v>4209</v>
      </c>
      <c r="C3182" t="s">
        <v>155</v>
      </c>
      <c r="D3182" s="1" t="s">
        <v>4210</v>
      </c>
    </row>
    <row r="3183" spans="1:4" hidden="1" x14ac:dyDescent="0.3">
      <c r="A3183">
        <v>3181</v>
      </c>
      <c r="B3183" t="s">
        <v>4211</v>
      </c>
      <c r="C3183" t="s">
        <v>40</v>
      </c>
      <c r="D3183">
        <v>0.98181127280812497</v>
      </c>
    </row>
    <row r="3184" spans="1:4" hidden="1" x14ac:dyDescent="0.3">
      <c r="A3184">
        <v>3182</v>
      </c>
      <c r="B3184" t="s">
        <v>4212</v>
      </c>
      <c r="C3184" t="s">
        <v>42</v>
      </c>
      <c r="D3184">
        <v>0.237395948807611</v>
      </c>
    </row>
    <row r="3185" spans="1:4" hidden="1" x14ac:dyDescent="0.3">
      <c r="A3185">
        <v>3183</v>
      </c>
      <c r="B3185" s="1" t="s">
        <v>4213</v>
      </c>
      <c r="C3185" t="s">
        <v>159</v>
      </c>
      <c r="D3185" s="1" t="s">
        <v>4214</v>
      </c>
    </row>
    <row r="3186" spans="1:4" hidden="1" x14ac:dyDescent="0.3">
      <c r="A3186">
        <v>3184</v>
      </c>
      <c r="B3186" t="s">
        <v>4215</v>
      </c>
      <c r="C3186" t="s">
        <v>161</v>
      </c>
      <c r="D3186">
        <v>0.99874216612234001</v>
      </c>
    </row>
    <row r="3187" spans="1:4" hidden="1" x14ac:dyDescent="0.3">
      <c r="A3187">
        <v>3185</v>
      </c>
      <c r="B3187" t="s">
        <v>4216</v>
      </c>
      <c r="C3187" t="s">
        <v>163</v>
      </c>
      <c r="D3187">
        <v>1.0009519652016401</v>
      </c>
    </row>
    <row r="3188" spans="1:4" hidden="1" x14ac:dyDescent="0.3">
      <c r="A3188">
        <v>3186</v>
      </c>
      <c r="B3188" s="1" t="s">
        <v>4217</v>
      </c>
      <c r="C3188" t="s">
        <v>165</v>
      </c>
      <c r="D3188" s="1" t="s">
        <v>4218</v>
      </c>
    </row>
    <row r="3189" spans="1:4" hidden="1" x14ac:dyDescent="0.3">
      <c r="A3189">
        <v>3187</v>
      </c>
      <c r="B3189" t="s">
        <v>4219</v>
      </c>
      <c r="C3189" t="s">
        <v>168</v>
      </c>
      <c r="D3189">
        <v>0.99913282042650697</v>
      </c>
    </row>
    <row r="3190" spans="1:4" hidden="1" x14ac:dyDescent="0.3">
      <c r="A3190">
        <v>3188</v>
      </c>
      <c r="B3190" t="s">
        <v>4220</v>
      </c>
      <c r="C3190" t="s">
        <v>170</v>
      </c>
      <c r="D3190">
        <v>1.0003274680060901</v>
      </c>
    </row>
    <row r="3191" spans="1:4" hidden="1" x14ac:dyDescent="0.3">
      <c r="A3191">
        <v>3189</v>
      </c>
      <c r="B3191" s="1" t="s">
        <v>4221</v>
      </c>
      <c r="C3191" t="s">
        <v>172</v>
      </c>
      <c r="D3191" s="1" t="s">
        <v>4222</v>
      </c>
    </row>
    <row r="3192" spans="1:4" hidden="1" x14ac:dyDescent="0.3">
      <c r="A3192">
        <v>3190</v>
      </c>
      <c r="B3192" s="1" t="s">
        <v>4223</v>
      </c>
      <c r="C3192" t="s">
        <v>55</v>
      </c>
      <c r="D3192" s="1" t="s">
        <v>4224</v>
      </c>
    </row>
    <row r="3193" spans="1:4" hidden="1" x14ac:dyDescent="0.3">
      <c r="A3193">
        <v>3191</v>
      </c>
      <c r="B3193" s="1" t="s">
        <v>4225</v>
      </c>
      <c r="C3193" t="s">
        <v>52</v>
      </c>
      <c r="D3193" s="1" t="s">
        <v>4226</v>
      </c>
    </row>
    <row r="3194" spans="1:4" hidden="1" x14ac:dyDescent="0.3">
      <c r="A3194">
        <v>3192</v>
      </c>
      <c r="B3194" s="1" t="s">
        <v>4227</v>
      </c>
      <c r="C3194" t="s">
        <v>58</v>
      </c>
      <c r="D3194" s="1" t="s">
        <v>4228</v>
      </c>
    </row>
    <row r="3195" spans="1:4" hidden="1" x14ac:dyDescent="0.3">
      <c r="A3195">
        <v>3193</v>
      </c>
      <c r="B3195" t="s">
        <v>4229</v>
      </c>
      <c r="C3195" t="s">
        <v>61</v>
      </c>
      <c r="D3195">
        <v>147232334.03737801</v>
      </c>
    </row>
    <row r="3196" spans="1:4" hidden="1" x14ac:dyDescent="0.3">
      <c r="A3196">
        <v>3194</v>
      </c>
      <c r="B3196" t="s">
        <v>4230</v>
      </c>
      <c r="C3196" t="s">
        <v>63</v>
      </c>
      <c r="D3196">
        <v>77965751.712391496</v>
      </c>
    </row>
    <row r="3197" spans="1:4" hidden="1" x14ac:dyDescent="0.3">
      <c r="A3197">
        <v>3195</v>
      </c>
      <c r="B3197" t="s">
        <v>4231</v>
      </c>
      <c r="C3197" t="s">
        <v>65</v>
      </c>
      <c r="D3197">
        <v>39737042.2059303</v>
      </c>
    </row>
    <row r="3198" spans="1:4" hidden="1" x14ac:dyDescent="0.3">
      <c r="A3198">
        <v>3196</v>
      </c>
      <c r="B3198" s="1" t="s">
        <v>4232</v>
      </c>
      <c r="C3198" t="s">
        <v>67</v>
      </c>
      <c r="D3198" s="1" t="s">
        <v>4233</v>
      </c>
    </row>
    <row r="3199" spans="1:4" hidden="1" x14ac:dyDescent="0.3">
      <c r="A3199">
        <v>3197</v>
      </c>
      <c r="B3199" s="1" t="s">
        <v>4234</v>
      </c>
      <c r="C3199" t="s">
        <v>70</v>
      </c>
      <c r="D3199" s="1" t="s">
        <v>4235</v>
      </c>
    </row>
    <row r="3200" spans="1:4" hidden="1" x14ac:dyDescent="0.3">
      <c r="A3200">
        <v>3198</v>
      </c>
      <c r="B3200" t="s">
        <v>4236</v>
      </c>
      <c r="C3200" t="s">
        <v>73</v>
      </c>
      <c r="D3200">
        <v>1.0001331405935401</v>
      </c>
    </row>
    <row r="3201" spans="1:4" hidden="1" x14ac:dyDescent="0.3">
      <c r="A3201">
        <v>3199</v>
      </c>
      <c r="B3201" t="s">
        <v>74</v>
      </c>
      <c r="C3201" t="s">
        <v>75</v>
      </c>
      <c r="D3201">
        <v>2.7397260273972599E-3</v>
      </c>
    </row>
    <row r="3202" spans="1:4" hidden="1" x14ac:dyDescent="0.3">
      <c r="A3202">
        <v>3200</v>
      </c>
      <c r="B3202" t="s">
        <v>76</v>
      </c>
      <c r="C3202" t="s">
        <v>77</v>
      </c>
      <c r="D3202">
        <v>0</v>
      </c>
    </row>
    <row r="3203" spans="1:4" hidden="1" x14ac:dyDescent="0.3">
      <c r="A3203">
        <v>3201</v>
      </c>
      <c r="B3203" t="s">
        <v>78</v>
      </c>
      <c r="C3203" t="s">
        <v>79</v>
      </c>
      <c r="D3203">
        <v>0</v>
      </c>
    </row>
    <row r="3204" spans="1:4" hidden="1" x14ac:dyDescent="0.3">
      <c r="A3204">
        <v>3202</v>
      </c>
      <c r="B3204" s="1" t="s">
        <v>4237</v>
      </c>
      <c r="C3204" t="s">
        <v>81</v>
      </c>
      <c r="D3204" s="1" t="s">
        <v>4238</v>
      </c>
    </row>
    <row r="3205" spans="1:4" hidden="1" x14ac:dyDescent="0.3">
      <c r="A3205">
        <v>3203</v>
      </c>
      <c r="B3205" t="s">
        <v>4239</v>
      </c>
      <c r="C3205" t="s">
        <v>84</v>
      </c>
      <c r="D3205">
        <v>1.0001668334867999</v>
      </c>
    </row>
    <row r="3206" spans="1:4" hidden="1" x14ac:dyDescent="0.3">
      <c r="A3206">
        <v>3204</v>
      </c>
      <c r="B3206" s="1" t="s">
        <v>4240</v>
      </c>
      <c r="C3206" t="s">
        <v>86</v>
      </c>
      <c r="D3206" s="1" t="s">
        <v>4241</v>
      </c>
    </row>
    <row r="3207" spans="1:4" hidden="1" x14ac:dyDescent="0.3">
      <c r="A3207">
        <v>3205</v>
      </c>
      <c r="B3207" t="s">
        <v>4242</v>
      </c>
      <c r="C3207" t="s">
        <v>89</v>
      </c>
      <c r="D3207">
        <v>101172900.4557</v>
      </c>
    </row>
    <row r="3208" spans="1:4" hidden="1" x14ac:dyDescent="0.3">
      <c r="A3208">
        <v>3206</v>
      </c>
      <c r="B3208" s="1" t="s">
        <v>4243</v>
      </c>
      <c r="C3208" t="s">
        <v>91</v>
      </c>
      <c r="D3208" s="1" t="s">
        <v>4177</v>
      </c>
    </row>
    <row r="3209" spans="1:4" hidden="1" x14ac:dyDescent="0.3">
      <c r="A3209">
        <v>3207</v>
      </c>
      <c r="B3209" t="s">
        <v>4244</v>
      </c>
      <c r="C3209" t="s">
        <v>94</v>
      </c>
      <c r="D3209">
        <v>77965751.712391496</v>
      </c>
    </row>
    <row r="3210" spans="1:4" hidden="1" x14ac:dyDescent="0.3">
      <c r="A3210">
        <v>3208</v>
      </c>
      <c r="B3210" t="s">
        <v>4245</v>
      </c>
      <c r="C3210" t="s">
        <v>96</v>
      </c>
      <c r="D3210">
        <v>39737042.2059303</v>
      </c>
    </row>
    <row r="3211" spans="1:4" hidden="1" x14ac:dyDescent="0.3">
      <c r="A3211">
        <v>3209</v>
      </c>
      <c r="B3211" t="s">
        <v>4246</v>
      </c>
      <c r="C3211" t="s">
        <v>98</v>
      </c>
      <c r="D3211">
        <v>29529540.119056098</v>
      </c>
    </row>
    <row r="3212" spans="1:4" hidden="1" x14ac:dyDescent="0.3">
      <c r="A3212">
        <v>3210</v>
      </c>
      <c r="B3212" s="1" t="s">
        <v>4247</v>
      </c>
      <c r="C3212" t="s">
        <v>100</v>
      </c>
      <c r="D3212" s="1" t="s">
        <v>4248</v>
      </c>
    </row>
    <row r="3213" spans="1:4" hidden="1" x14ac:dyDescent="0.3">
      <c r="A3213">
        <v>3211</v>
      </c>
      <c r="B3213" t="s">
        <v>4249</v>
      </c>
      <c r="C3213" t="s">
        <v>103</v>
      </c>
      <c r="D3213">
        <v>8.6705030365892208E-3</v>
      </c>
    </row>
    <row r="3214" spans="1:4" hidden="1" x14ac:dyDescent="0.3">
      <c r="A3214">
        <v>3212</v>
      </c>
      <c r="B3214" t="s">
        <v>4250</v>
      </c>
      <c r="C3214" t="s">
        <v>105</v>
      </c>
      <c r="D3214">
        <v>1.8118254406845999E-3</v>
      </c>
    </row>
    <row r="3215" spans="1:4" hidden="1" x14ac:dyDescent="0.3">
      <c r="A3215">
        <v>3213</v>
      </c>
      <c r="B3215" t="s">
        <v>4251</v>
      </c>
      <c r="C3215" t="s">
        <v>107</v>
      </c>
      <c r="D3215">
        <v>1.15846392673491E-2</v>
      </c>
    </row>
    <row r="3216" spans="1:4" hidden="1" x14ac:dyDescent="0.3">
      <c r="A3216">
        <v>3214</v>
      </c>
      <c r="B3216" s="1" t="s">
        <v>4252</v>
      </c>
      <c r="C3216" t="s">
        <v>109</v>
      </c>
      <c r="D3216" s="1" t="s">
        <v>4253</v>
      </c>
    </row>
    <row r="3217" spans="1:4" x14ac:dyDescent="0.3">
      <c r="A3217">
        <v>3215</v>
      </c>
      <c r="B3217" t="s">
        <v>4254</v>
      </c>
      <c r="C3217" t="s">
        <v>207</v>
      </c>
      <c r="D3217">
        <v>147233512.55949801</v>
      </c>
    </row>
    <row r="3218" spans="1:4" hidden="1" x14ac:dyDescent="0.3">
      <c r="A3218">
        <v>3216</v>
      </c>
      <c r="B3218" t="s">
        <v>4255</v>
      </c>
      <c r="C3218" t="s">
        <v>209</v>
      </c>
      <c r="D3218">
        <v>-2626.5724569700001</v>
      </c>
    </row>
    <row r="3219" spans="1:4" hidden="1" x14ac:dyDescent="0.3">
      <c r="A3219">
        <v>3217</v>
      </c>
      <c r="B3219" t="s">
        <v>4256</v>
      </c>
      <c r="C3219" t="s">
        <v>211</v>
      </c>
      <c r="D3219">
        <v>-1338.68359499034</v>
      </c>
    </row>
    <row r="3220" spans="1:4" hidden="1" x14ac:dyDescent="0.3">
      <c r="A3220">
        <v>3218</v>
      </c>
      <c r="B3220" s="1" t="s">
        <v>4257</v>
      </c>
      <c r="C3220" t="s">
        <v>213</v>
      </c>
      <c r="D3220" s="1" t="s">
        <v>4258</v>
      </c>
    </row>
    <row r="3221" spans="1:4" hidden="1" x14ac:dyDescent="0.3">
      <c r="A3221">
        <v>3219</v>
      </c>
      <c r="B3221" t="s">
        <v>4259</v>
      </c>
      <c r="C3221" t="s">
        <v>216</v>
      </c>
      <c r="D3221">
        <v>77969280.838826597</v>
      </c>
    </row>
    <row r="3222" spans="1:4" hidden="1" x14ac:dyDescent="0.3">
      <c r="A3222">
        <v>3220</v>
      </c>
      <c r="B3222" t="s">
        <v>4260</v>
      </c>
      <c r="C3222" t="s">
        <v>218</v>
      </c>
      <c r="D3222">
        <v>39738556.191417597</v>
      </c>
    </row>
    <row r="3223" spans="1:4" hidden="1" x14ac:dyDescent="0.3">
      <c r="A3223">
        <v>3221</v>
      </c>
      <c r="B3223" t="s">
        <v>4261</v>
      </c>
      <c r="C3223" t="s">
        <v>220</v>
      </c>
      <c r="D3223">
        <v>29530635.591892101</v>
      </c>
    </row>
    <row r="3224" spans="1:4" hidden="1" x14ac:dyDescent="0.3">
      <c r="A3224">
        <v>3222</v>
      </c>
      <c r="B3224" s="1" t="s">
        <v>4262</v>
      </c>
      <c r="C3224" t="s">
        <v>222</v>
      </c>
      <c r="D3224" s="1" t="s">
        <v>4263</v>
      </c>
    </row>
    <row r="3225" spans="1:4" hidden="1" x14ac:dyDescent="0.3">
      <c r="A3225">
        <v>3223</v>
      </c>
      <c r="B3225" t="s">
        <v>4264</v>
      </c>
      <c r="C3225" t="s">
        <v>225</v>
      </c>
      <c r="D3225">
        <v>101176308.809646</v>
      </c>
    </row>
    <row r="3226" spans="1:4" hidden="1" x14ac:dyDescent="0.3">
      <c r="A3226">
        <v>3224</v>
      </c>
      <c r="B3226" t="s">
        <v>4265</v>
      </c>
      <c r="C3226" t="s">
        <v>227</v>
      </c>
      <c r="D3226">
        <v>-3408.3539460450402</v>
      </c>
    </row>
    <row r="3227" spans="1:4" hidden="1" x14ac:dyDescent="0.3">
      <c r="A3227">
        <v>3225</v>
      </c>
      <c r="B3227" s="1" t="s">
        <v>4266</v>
      </c>
      <c r="C3227" t="s">
        <v>229</v>
      </c>
      <c r="D3227" s="1" t="s">
        <v>4267</v>
      </c>
    </row>
    <row r="3228" spans="1:4" hidden="1" x14ac:dyDescent="0.3">
      <c r="A3228">
        <v>3226</v>
      </c>
      <c r="B3228" t="s">
        <v>4268</v>
      </c>
      <c r="C3228" t="s">
        <v>112</v>
      </c>
      <c r="D3228">
        <v>902.55397818112999</v>
      </c>
    </row>
    <row r="3229" spans="1:4" hidden="1" x14ac:dyDescent="0.3">
      <c r="A3229">
        <v>3227</v>
      </c>
      <c r="B3229" t="s">
        <v>4269</v>
      </c>
      <c r="C3229" t="s">
        <v>114</v>
      </c>
      <c r="D3229">
        <v>175.30189232615601</v>
      </c>
    </row>
    <row r="3230" spans="1:4" hidden="1" x14ac:dyDescent="0.3">
      <c r="A3230">
        <v>3228</v>
      </c>
      <c r="B3230" s="1" t="s">
        <v>4270</v>
      </c>
      <c r="C3230" t="s">
        <v>116</v>
      </c>
      <c r="D3230" s="1" t="s">
        <v>4271</v>
      </c>
    </row>
    <row r="3231" spans="1:4" hidden="1" x14ac:dyDescent="0.3">
      <c r="A3231">
        <v>3229</v>
      </c>
      <c r="B3231" t="s">
        <v>4272</v>
      </c>
      <c r="C3231" t="s">
        <v>119</v>
      </c>
      <c r="D3231">
        <v>77969280.838826597</v>
      </c>
    </row>
    <row r="3232" spans="1:4" hidden="1" x14ac:dyDescent="0.3">
      <c r="A3232">
        <v>3230</v>
      </c>
      <c r="B3232" t="s">
        <v>4273</v>
      </c>
      <c r="C3232" t="s">
        <v>121</v>
      </c>
      <c r="D3232">
        <v>39738556.191417597</v>
      </c>
    </row>
    <row r="3233" spans="1:4" hidden="1" x14ac:dyDescent="0.3">
      <c r="A3233">
        <v>3231</v>
      </c>
      <c r="B3233" s="1" t="s">
        <v>4274</v>
      </c>
      <c r="C3233" t="s">
        <v>123</v>
      </c>
      <c r="D3233" s="1" t="s">
        <v>4275</v>
      </c>
    </row>
    <row r="3234" spans="1:4" hidden="1" x14ac:dyDescent="0.3">
      <c r="A3234">
        <v>3232</v>
      </c>
      <c r="B3234" t="s">
        <v>4276</v>
      </c>
      <c r="C3234" t="s">
        <v>126</v>
      </c>
      <c r="D3234">
        <v>0.77049930007129497</v>
      </c>
    </row>
    <row r="3235" spans="1:4" hidden="1" x14ac:dyDescent="0.3">
      <c r="A3235">
        <v>3233</v>
      </c>
      <c r="B3235" t="s">
        <v>4277</v>
      </c>
      <c r="C3235" t="s">
        <v>128</v>
      </c>
      <c r="D3235">
        <v>0.39269991209260802</v>
      </c>
    </row>
    <row r="3236" spans="1:4" hidden="1" x14ac:dyDescent="0.3">
      <c r="A3236">
        <v>3234</v>
      </c>
      <c r="B3236" s="1" t="s">
        <v>4278</v>
      </c>
      <c r="C3236" t="s">
        <v>130</v>
      </c>
      <c r="D3236" s="1" t="s">
        <v>4279</v>
      </c>
    </row>
    <row r="3237" spans="1:4" hidden="1" x14ac:dyDescent="0.3">
      <c r="A3237">
        <v>3235</v>
      </c>
      <c r="B3237" s="1" t="s">
        <v>4280</v>
      </c>
      <c r="C3237" t="s">
        <v>4</v>
      </c>
      <c r="D3237" t="s">
        <v>4281</v>
      </c>
    </row>
    <row r="3238" spans="1:4" hidden="1" x14ac:dyDescent="0.3">
      <c r="A3238">
        <v>3236</v>
      </c>
      <c r="B3238" t="s">
        <v>4282</v>
      </c>
      <c r="C3238" t="s">
        <v>7</v>
      </c>
      <c r="D3238">
        <v>1803.66</v>
      </c>
    </row>
    <row r="3239" spans="1:4" hidden="1" x14ac:dyDescent="0.3">
      <c r="A3239">
        <v>3237</v>
      </c>
      <c r="B3239" s="1" t="s">
        <v>4283</v>
      </c>
      <c r="C3239" t="s">
        <v>9</v>
      </c>
      <c r="D3239" s="1" t="s">
        <v>4284</v>
      </c>
    </row>
    <row r="3240" spans="1:4" hidden="1" x14ac:dyDescent="0.3">
      <c r="A3240">
        <v>3238</v>
      </c>
      <c r="B3240" t="s">
        <v>4285</v>
      </c>
      <c r="C3240" t="s">
        <v>14</v>
      </c>
      <c r="D3240">
        <v>98.72265625</v>
      </c>
    </row>
    <row r="3241" spans="1:4" hidden="1" x14ac:dyDescent="0.3">
      <c r="A3241">
        <v>3239</v>
      </c>
      <c r="B3241" t="s">
        <v>4286</v>
      </c>
      <c r="C3241" t="s">
        <v>16</v>
      </c>
      <c r="D3241">
        <v>4.3965652190985001</v>
      </c>
    </row>
    <row r="3242" spans="1:4" hidden="1" x14ac:dyDescent="0.3">
      <c r="A3242">
        <v>3240</v>
      </c>
      <c r="B3242" s="1" t="s">
        <v>4287</v>
      </c>
      <c r="C3242" t="s">
        <v>140</v>
      </c>
      <c r="D3242" s="1" t="s">
        <v>4288</v>
      </c>
    </row>
    <row r="3243" spans="1:4" hidden="1" x14ac:dyDescent="0.3">
      <c r="A3243">
        <v>3241</v>
      </c>
      <c r="B3243" t="s">
        <v>4289</v>
      </c>
      <c r="C3243" t="s">
        <v>22</v>
      </c>
      <c r="D3243">
        <v>74.95</v>
      </c>
    </row>
    <row r="3244" spans="1:4" hidden="1" x14ac:dyDescent="0.3">
      <c r="A3244">
        <v>3242</v>
      </c>
      <c r="B3244" t="s">
        <v>4290</v>
      </c>
      <c r="C3244" t="s">
        <v>24</v>
      </c>
      <c r="D3244">
        <v>6.28305507015929</v>
      </c>
    </row>
    <row r="3245" spans="1:4" hidden="1" x14ac:dyDescent="0.3">
      <c r="A3245">
        <v>3243</v>
      </c>
      <c r="B3245" s="1" t="s">
        <v>4291</v>
      </c>
      <c r="C3245" t="s">
        <v>145</v>
      </c>
      <c r="D3245" s="1" t="s">
        <v>4292</v>
      </c>
    </row>
    <row r="3246" spans="1:4" hidden="1" x14ac:dyDescent="0.3">
      <c r="A3246">
        <v>3244</v>
      </c>
      <c r="B3246" t="s">
        <v>4293</v>
      </c>
      <c r="C3246" t="s">
        <v>35</v>
      </c>
      <c r="D3246">
        <v>0.367830125572078</v>
      </c>
    </row>
    <row r="3247" spans="1:4" hidden="1" x14ac:dyDescent="0.3">
      <c r="A3247">
        <v>3245</v>
      </c>
      <c r="B3247" t="s">
        <v>4294</v>
      </c>
      <c r="C3247" t="s">
        <v>149</v>
      </c>
      <c r="D3247">
        <v>0.67411598716757803</v>
      </c>
    </row>
    <row r="3248" spans="1:4" hidden="1" x14ac:dyDescent="0.3">
      <c r="A3248">
        <v>3246</v>
      </c>
      <c r="B3248" s="1" t="s">
        <v>4295</v>
      </c>
      <c r="C3248" t="s">
        <v>151</v>
      </c>
      <c r="D3248" s="1" t="s">
        <v>4296</v>
      </c>
    </row>
    <row r="3249" spans="1:4" hidden="1" x14ac:dyDescent="0.3">
      <c r="A3249">
        <v>3247</v>
      </c>
      <c r="B3249" t="s">
        <v>4297</v>
      </c>
      <c r="C3249" t="s">
        <v>30</v>
      </c>
      <c r="D3249">
        <v>0.25287892552486302</v>
      </c>
    </row>
    <row r="3250" spans="1:4" hidden="1" x14ac:dyDescent="0.3">
      <c r="A3250">
        <v>3248</v>
      </c>
      <c r="B3250" t="s">
        <v>4298</v>
      </c>
      <c r="C3250" t="s">
        <v>32</v>
      </c>
      <c r="D3250">
        <v>0.24152229613850201</v>
      </c>
    </row>
    <row r="3251" spans="1:4" hidden="1" x14ac:dyDescent="0.3">
      <c r="A3251">
        <v>3249</v>
      </c>
      <c r="B3251" s="1" t="s">
        <v>4299</v>
      </c>
      <c r="C3251" t="s">
        <v>155</v>
      </c>
      <c r="D3251" s="1" t="s">
        <v>4300</v>
      </c>
    </row>
    <row r="3252" spans="1:4" hidden="1" x14ac:dyDescent="0.3">
      <c r="A3252">
        <v>3250</v>
      </c>
      <c r="B3252" t="s">
        <v>4301</v>
      </c>
      <c r="C3252" t="s">
        <v>40</v>
      </c>
      <c r="D3252">
        <v>0.37929094890305698</v>
      </c>
    </row>
    <row r="3253" spans="1:4" hidden="1" x14ac:dyDescent="0.3">
      <c r="A3253">
        <v>3251</v>
      </c>
      <c r="B3253" t="s">
        <v>4302</v>
      </c>
      <c r="C3253" t="s">
        <v>42</v>
      </c>
      <c r="D3253">
        <v>0.24190194989025901</v>
      </c>
    </row>
    <row r="3254" spans="1:4" hidden="1" x14ac:dyDescent="0.3">
      <c r="A3254">
        <v>3252</v>
      </c>
      <c r="B3254" s="1" t="s">
        <v>4303</v>
      </c>
      <c r="C3254" t="s">
        <v>159</v>
      </c>
      <c r="D3254" s="1" t="s">
        <v>4304</v>
      </c>
    </row>
    <row r="3255" spans="1:4" hidden="1" x14ac:dyDescent="0.3">
      <c r="A3255">
        <v>3253</v>
      </c>
      <c r="B3255" t="s">
        <v>4305</v>
      </c>
      <c r="C3255" t="s">
        <v>161</v>
      </c>
      <c r="D3255">
        <v>0.99629907863629297</v>
      </c>
    </row>
    <row r="3256" spans="1:4" hidden="1" x14ac:dyDescent="0.3">
      <c r="A3256">
        <v>3254</v>
      </c>
      <c r="B3256" t="s">
        <v>4306</v>
      </c>
      <c r="C3256" t="s">
        <v>163</v>
      </c>
      <c r="D3256">
        <v>0.99794449486043002</v>
      </c>
    </row>
    <row r="3257" spans="1:4" hidden="1" x14ac:dyDescent="0.3">
      <c r="A3257">
        <v>3255</v>
      </c>
      <c r="B3257" s="1" t="s">
        <v>4307</v>
      </c>
      <c r="C3257" t="s">
        <v>165</v>
      </c>
      <c r="D3257" s="1" t="s">
        <v>4308</v>
      </c>
    </row>
    <row r="3258" spans="1:4" hidden="1" x14ac:dyDescent="0.3">
      <c r="A3258">
        <v>3256</v>
      </c>
      <c r="B3258" t="s">
        <v>4309</v>
      </c>
      <c r="C3258" t="s">
        <v>168</v>
      </c>
      <c r="D3258">
        <v>0.99833767463719603</v>
      </c>
    </row>
    <row r="3259" spans="1:4" hidden="1" x14ac:dyDescent="0.3">
      <c r="A3259">
        <v>3257</v>
      </c>
      <c r="B3259" t="s">
        <v>4310</v>
      </c>
      <c r="C3259" t="s">
        <v>170</v>
      </c>
      <c r="D3259">
        <v>1.00129274083648</v>
      </c>
    </row>
    <row r="3260" spans="1:4" hidden="1" x14ac:dyDescent="0.3">
      <c r="A3260">
        <v>3258</v>
      </c>
      <c r="B3260" s="1" t="s">
        <v>4311</v>
      </c>
      <c r="C3260" t="s">
        <v>172</v>
      </c>
      <c r="D3260" s="1" t="s">
        <v>4312</v>
      </c>
    </row>
    <row r="3261" spans="1:4" hidden="1" x14ac:dyDescent="0.3">
      <c r="A3261">
        <v>3259</v>
      </c>
      <c r="B3261" s="1" t="s">
        <v>4313</v>
      </c>
      <c r="C3261" t="s">
        <v>55</v>
      </c>
      <c r="D3261" s="1" t="s">
        <v>4314</v>
      </c>
    </row>
    <row r="3262" spans="1:4" hidden="1" x14ac:dyDescent="0.3">
      <c r="A3262">
        <v>3260</v>
      </c>
      <c r="B3262" s="1" t="s">
        <v>4315</v>
      </c>
      <c r="C3262" t="s">
        <v>52</v>
      </c>
      <c r="D3262" s="1" t="s">
        <v>4316</v>
      </c>
    </row>
    <row r="3263" spans="1:4" hidden="1" x14ac:dyDescent="0.3">
      <c r="A3263">
        <v>3261</v>
      </c>
      <c r="B3263" s="1" t="s">
        <v>4317</v>
      </c>
      <c r="C3263" t="s">
        <v>58</v>
      </c>
      <c r="D3263" s="1" t="s">
        <v>4318</v>
      </c>
    </row>
    <row r="3264" spans="1:4" hidden="1" x14ac:dyDescent="0.3">
      <c r="A3264">
        <v>3262</v>
      </c>
      <c r="B3264" t="s">
        <v>4319</v>
      </c>
      <c r="C3264" t="s">
        <v>61</v>
      </c>
      <c r="D3264">
        <v>146972406.19248801</v>
      </c>
    </row>
    <row r="3265" spans="1:4" hidden="1" x14ac:dyDescent="0.3">
      <c r="A3265">
        <v>3263</v>
      </c>
      <c r="B3265" t="s">
        <v>4320</v>
      </c>
      <c r="C3265" t="s">
        <v>63</v>
      </c>
      <c r="D3265">
        <v>77680722.661657393</v>
      </c>
    </row>
    <row r="3266" spans="1:4" hidden="1" x14ac:dyDescent="0.3">
      <c r="A3266">
        <v>3264</v>
      </c>
      <c r="B3266" t="s">
        <v>4321</v>
      </c>
      <c r="C3266" t="s">
        <v>65</v>
      </c>
      <c r="D3266">
        <v>39656873.384926997</v>
      </c>
    </row>
    <row r="3267" spans="1:4" hidden="1" x14ac:dyDescent="0.3">
      <c r="A3267">
        <v>3265</v>
      </c>
      <c r="B3267" s="1" t="s">
        <v>4322</v>
      </c>
      <c r="C3267" t="s">
        <v>67</v>
      </c>
      <c r="D3267" s="1" t="s">
        <v>4323</v>
      </c>
    </row>
    <row r="3268" spans="1:4" hidden="1" x14ac:dyDescent="0.3">
      <c r="A3268">
        <v>3266</v>
      </c>
      <c r="B3268" s="1" t="s">
        <v>4324</v>
      </c>
      <c r="C3268" t="s">
        <v>70</v>
      </c>
      <c r="D3268" s="1" t="s">
        <v>4325</v>
      </c>
    </row>
    <row r="3269" spans="1:4" hidden="1" x14ac:dyDescent="0.3">
      <c r="A3269">
        <v>3267</v>
      </c>
      <c r="B3269" t="s">
        <v>4326</v>
      </c>
      <c r="C3269" t="s">
        <v>73</v>
      </c>
      <c r="D3269">
        <v>1.0001668334867999</v>
      </c>
    </row>
    <row r="3270" spans="1:4" hidden="1" x14ac:dyDescent="0.3">
      <c r="A3270">
        <v>3268</v>
      </c>
      <c r="B3270" t="s">
        <v>74</v>
      </c>
      <c r="C3270" t="s">
        <v>75</v>
      </c>
      <c r="D3270">
        <v>2.7397260273972599E-3</v>
      </c>
    </row>
    <row r="3271" spans="1:4" hidden="1" x14ac:dyDescent="0.3">
      <c r="A3271">
        <v>3269</v>
      </c>
      <c r="B3271" t="s">
        <v>76</v>
      </c>
      <c r="C3271" t="s">
        <v>77</v>
      </c>
      <c r="D3271">
        <v>0</v>
      </c>
    </row>
    <row r="3272" spans="1:4" hidden="1" x14ac:dyDescent="0.3">
      <c r="A3272">
        <v>3270</v>
      </c>
      <c r="B3272" t="s">
        <v>78</v>
      </c>
      <c r="C3272" t="s">
        <v>79</v>
      </c>
      <c r="D3272">
        <v>0</v>
      </c>
    </row>
    <row r="3273" spans="1:4" hidden="1" x14ac:dyDescent="0.3">
      <c r="A3273">
        <v>3271</v>
      </c>
      <c r="B3273" s="1" t="s">
        <v>4327</v>
      </c>
      <c r="C3273" t="s">
        <v>81</v>
      </c>
      <c r="D3273" s="1" t="s">
        <v>4328</v>
      </c>
    </row>
    <row r="3274" spans="1:4" hidden="1" x14ac:dyDescent="0.3">
      <c r="A3274">
        <v>3272</v>
      </c>
      <c r="B3274" t="s">
        <v>4329</v>
      </c>
      <c r="C3274" t="s">
        <v>84</v>
      </c>
      <c r="D3274">
        <v>1.00018424637078</v>
      </c>
    </row>
    <row r="3275" spans="1:4" hidden="1" x14ac:dyDescent="0.3">
      <c r="A3275">
        <v>3273</v>
      </c>
      <c r="B3275" s="1" t="s">
        <v>4330</v>
      </c>
      <c r="C3275" t="s">
        <v>86</v>
      </c>
      <c r="D3275" s="1" t="s">
        <v>4331</v>
      </c>
    </row>
    <row r="3276" spans="1:4" hidden="1" x14ac:dyDescent="0.3">
      <c r="A3276">
        <v>3274</v>
      </c>
      <c r="B3276" t="s">
        <v>4332</v>
      </c>
      <c r="C3276" t="s">
        <v>89</v>
      </c>
      <c r="D3276">
        <v>101171139.068252</v>
      </c>
    </row>
    <row r="3277" spans="1:4" hidden="1" x14ac:dyDescent="0.3">
      <c r="A3277">
        <v>3275</v>
      </c>
      <c r="B3277" s="1" t="s">
        <v>4333</v>
      </c>
      <c r="C3277" t="s">
        <v>91</v>
      </c>
      <c r="D3277" s="1" t="s">
        <v>4267</v>
      </c>
    </row>
    <row r="3278" spans="1:4" hidden="1" x14ac:dyDescent="0.3">
      <c r="A3278">
        <v>3276</v>
      </c>
      <c r="B3278" t="s">
        <v>4334</v>
      </c>
      <c r="C3278" t="s">
        <v>94</v>
      </c>
      <c r="D3278">
        <v>77680722.661657393</v>
      </c>
    </row>
    <row r="3279" spans="1:4" hidden="1" x14ac:dyDescent="0.3">
      <c r="A3279">
        <v>3277</v>
      </c>
      <c r="B3279" t="s">
        <v>4335</v>
      </c>
      <c r="C3279" t="s">
        <v>96</v>
      </c>
      <c r="D3279">
        <v>39656873.384926997</v>
      </c>
    </row>
    <row r="3280" spans="1:4" hidden="1" x14ac:dyDescent="0.3">
      <c r="A3280">
        <v>3278</v>
      </c>
      <c r="B3280" t="s">
        <v>4336</v>
      </c>
      <c r="C3280" t="s">
        <v>98</v>
      </c>
      <c r="D3280">
        <v>29634810.145904198</v>
      </c>
    </row>
    <row r="3281" spans="1:4" hidden="1" x14ac:dyDescent="0.3">
      <c r="A3281">
        <v>3279</v>
      </c>
      <c r="B3281" s="1" t="s">
        <v>4337</v>
      </c>
      <c r="C3281" t="s">
        <v>100</v>
      </c>
      <c r="D3281" s="1" t="s">
        <v>4338</v>
      </c>
    </row>
    <row r="3282" spans="1:4" hidden="1" x14ac:dyDescent="0.3">
      <c r="A3282">
        <v>3280</v>
      </c>
      <c r="B3282" t="s">
        <v>4339</v>
      </c>
      <c r="C3282" t="s">
        <v>103</v>
      </c>
      <c r="D3282">
        <v>8.6592425613845701E-3</v>
      </c>
    </row>
    <row r="3283" spans="1:4" hidden="1" x14ac:dyDescent="0.3">
      <c r="A3283">
        <v>3281</v>
      </c>
      <c r="B3283" t="s">
        <v>4340</v>
      </c>
      <c r="C3283" t="s">
        <v>105</v>
      </c>
      <c r="D3283">
        <v>1.8204479336485599E-3</v>
      </c>
    </row>
    <row r="3284" spans="1:4" hidden="1" x14ac:dyDescent="0.3">
      <c r="A3284">
        <v>3282</v>
      </c>
      <c r="B3284" t="s">
        <v>4341</v>
      </c>
      <c r="C3284" t="s">
        <v>107</v>
      </c>
      <c r="D3284">
        <v>1.15691047051294E-2</v>
      </c>
    </row>
    <row r="3285" spans="1:4" hidden="1" x14ac:dyDescent="0.3">
      <c r="A3285">
        <v>3283</v>
      </c>
      <c r="B3285" s="1" t="s">
        <v>4342</v>
      </c>
      <c r="C3285" t="s">
        <v>109</v>
      </c>
      <c r="D3285" s="1" t="s">
        <v>4343</v>
      </c>
    </row>
    <row r="3286" spans="1:4" x14ac:dyDescent="0.3">
      <c r="A3286">
        <v>3284</v>
      </c>
      <c r="B3286" t="s">
        <v>4344</v>
      </c>
      <c r="C3286" t="s">
        <v>207</v>
      </c>
      <c r="D3286">
        <v>146973014.98302299</v>
      </c>
    </row>
    <row r="3287" spans="1:4" hidden="1" x14ac:dyDescent="0.3">
      <c r="A3287">
        <v>3285</v>
      </c>
      <c r="B3287" t="s">
        <v>4345</v>
      </c>
      <c r="C3287" t="s">
        <v>209</v>
      </c>
      <c r="D3287">
        <v>-1352.42788743916</v>
      </c>
    </row>
    <row r="3288" spans="1:4" hidden="1" x14ac:dyDescent="0.3">
      <c r="A3288">
        <v>3286</v>
      </c>
      <c r="B3288" t="s">
        <v>4346</v>
      </c>
      <c r="C3288" t="s">
        <v>211</v>
      </c>
      <c r="D3288">
        <v>-690.42699340553304</v>
      </c>
    </row>
    <row r="3289" spans="1:4" hidden="1" x14ac:dyDescent="0.3">
      <c r="A3289">
        <v>3287</v>
      </c>
      <c r="B3289" s="1" t="s">
        <v>4347</v>
      </c>
      <c r="C3289" t="s">
        <v>213</v>
      </c>
      <c r="D3289" s="1" t="s">
        <v>4348</v>
      </c>
    </row>
    <row r="3290" spans="1:4" hidden="1" x14ac:dyDescent="0.3">
      <c r="A3290">
        <v>3288</v>
      </c>
      <c r="B3290" t="s">
        <v>4349</v>
      </c>
      <c r="C3290" t="s">
        <v>216</v>
      </c>
      <c r="D3290">
        <v>77682540.6486267</v>
      </c>
    </row>
    <row r="3291" spans="1:4" hidden="1" x14ac:dyDescent="0.3">
      <c r="A3291">
        <v>3289</v>
      </c>
      <c r="B3291" t="s">
        <v>4350</v>
      </c>
      <c r="C3291" t="s">
        <v>218</v>
      </c>
      <c r="D3291">
        <v>39657658.259096801</v>
      </c>
    </row>
    <row r="3292" spans="1:4" hidden="1" x14ac:dyDescent="0.3">
      <c r="A3292">
        <v>3290</v>
      </c>
      <c r="B3292" t="s">
        <v>4351</v>
      </c>
      <c r="C3292" t="s">
        <v>220</v>
      </c>
      <c r="D3292">
        <v>29635374.872464601</v>
      </c>
    </row>
    <row r="3293" spans="1:4" hidden="1" x14ac:dyDescent="0.3">
      <c r="A3293">
        <v>3291</v>
      </c>
      <c r="B3293" s="1" t="s">
        <v>4352</v>
      </c>
      <c r="C3293" t="s">
        <v>222</v>
      </c>
      <c r="D3293" s="1" t="s">
        <v>4353</v>
      </c>
    </row>
    <row r="3294" spans="1:4" hidden="1" x14ac:dyDescent="0.3">
      <c r="A3294">
        <v>3292</v>
      </c>
      <c r="B3294" t="s">
        <v>4354</v>
      </c>
      <c r="C3294" t="s">
        <v>225</v>
      </c>
      <c r="D3294">
        <v>101172900.4557</v>
      </c>
    </row>
    <row r="3295" spans="1:4" hidden="1" x14ac:dyDescent="0.3">
      <c r="A3295">
        <v>3293</v>
      </c>
      <c r="B3295" t="s">
        <v>4355</v>
      </c>
      <c r="C3295" t="s">
        <v>227</v>
      </c>
      <c r="D3295">
        <v>-1761.38744802773</v>
      </c>
    </row>
    <row r="3296" spans="1:4" hidden="1" x14ac:dyDescent="0.3">
      <c r="A3296">
        <v>3294</v>
      </c>
      <c r="B3296" s="1" t="s">
        <v>4356</v>
      </c>
      <c r="C3296" t="s">
        <v>229</v>
      </c>
      <c r="D3296" s="1" t="s">
        <v>4357</v>
      </c>
    </row>
    <row r="3297" spans="1:4" hidden="1" x14ac:dyDescent="0.3">
      <c r="A3297">
        <v>3295</v>
      </c>
      <c r="B3297" t="s">
        <v>4358</v>
      </c>
      <c r="C3297" t="s">
        <v>112</v>
      </c>
      <c r="D3297">
        <v>465.55908190009399</v>
      </c>
    </row>
    <row r="3298" spans="1:4" hidden="1" x14ac:dyDescent="0.3">
      <c r="A3298">
        <v>3296</v>
      </c>
      <c r="B3298" t="s">
        <v>4359</v>
      </c>
      <c r="C3298" t="s">
        <v>114</v>
      </c>
      <c r="D3298">
        <v>94.447176321094304</v>
      </c>
    </row>
    <row r="3299" spans="1:4" hidden="1" x14ac:dyDescent="0.3">
      <c r="A3299">
        <v>3297</v>
      </c>
      <c r="B3299" s="1" t="s">
        <v>4360</v>
      </c>
      <c r="C3299" t="s">
        <v>116</v>
      </c>
      <c r="D3299" s="1" t="s">
        <v>4361</v>
      </c>
    </row>
    <row r="3300" spans="1:4" hidden="1" x14ac:dyDescent="0.3">
      <c r="A3300">
        <v>3298</v>
      </c>
      <c r="B3300" t="s">
        <v>4362</v>
      </c>
      <c r="C3300" t="s">
        <v>119</v>
      </c>
      <c r="D3300">
        <v>77682540.6486267</v>
      </c>
    </row>
    <row r="3301" spans="1:4" hidden="1" x14ac:dyDescent="0.3">
      <c r="A3301">
        <v>3299</v>
      </c>
      <c r="B3301" t="s">
        <v>4363</v>
      </c>
      <c r="C3301" t="s">
        <v>121</v>
      </c>
      <c r="D3301">
        <v>39657658.259096801</v>
      </c>
    </row>
    <row r="3302" spans="1:4" hidden="1" x14ac:dyDescent="0.3">
      <c r="A3302">
        <v>3300</v>
      </c>
      <c r="B3302" s="1" t="s">
        <v>4364</v>
      </c>
      <c r="C3302" t="s">
        <v>123</v>
      </c>
      <c r="D3302" s="1" t="s">
        <v>4365</v>
      </c>
    </row>
    <row r="3303" spans="1:4" hidden="1" x14ac:dyDescent="0.3">
      <c r="A3303">
        <v>3301</v>
      </c>
      <c r="B3303" t="s">
        <v>4366</v>
      </c>
      <c r="C3303" t="s">
        <v>126</v>
      </c>
      <c r="D3303">
        <v>0.76767820443211499</v>
      </c>
    </row>
    <row r="3304" spans="1:4" hidden="1" x14ac:dyDescent="0.3">
      <c r="A3304">
        <v>3302</v>
      </c>
      <c r="B3304" t="s">
        <v>4367</v>
      </c>
      <c r="C3304" t="s">
        <v>128</v>
      </c>
      <c r="D3304">
        <v>0.39190685101342698</v>
      </c>
    </row>
    <row r="3305" spans="1:4" hidden="1" x14ac:dyDescent="0.3">
      <c r="A3305">
        <v>3303</v>
      </c>
      <c r="B3305" s="1" t="s">
        <v>4368</v>
      </c>
      <c r="C3305" t="s">
        <v>130</v>
      </c>
      <c r="D3305" s="1" t="s">
        <v>4369</v>
      </c>
    </row>
    <row r="3306" spans="1:4" hidden="1" x14ac:dyDescent="0.3">
      <c r="A3306">
        <v>3304</v>
      </c>
      <c r="B3306" s="1" t="s">
        <v>4370</v>
      </c>
      <c r="C3306" t="s">
        <v>4</v>
      </c>
      <c r="D3306" t="s">
        <v>4371</v>
      </c>
    </row>
    <row r="3307" spans="1:4" hidden="1" x14ac:dyDescent="0.3">
      <c r="A3307">
        <v>3305</v>
      </c>
      <c r="B3307" t="s">
        <v>4372</v>
      </c>
      <c r="C3307" t="s">
        <v>7</v>
      </c>
      <c r="D3307">
        <v>1806.92</v>
      </c>
    </row>
    <row r="3308" spans="1:4" hidden="1" x14ac:dyDescent="0.3">
      <c r="A3308">
        <v>3306</v>
      </c>
      <c r="B3308" s="1" t="s">
        <v>4373</v>
      </c>
      <c r="C3308" t="s">
        <v>9</v>
      </c>
      <c r="D3308" s="1" t="s">
        <v>4374</v>
      </c>
    </row>
    <row r="3309" spans="1:4" hidden="1" x14ac:dyDescent="0.3">
      <c r="A3309">
        <v>3307</v>
      </c>
      <c r="B3309" t="s">
        <v>4375</v>
      </c>
      <c r="C3309" t="s">
        <v>14</v>
      </c>
      <c r="D3309">
        <v>98.796875</v>
      </c>
    </row>
    <row r="3310" spans="1:4" hidden="1" x14ac:dyDescent="0.3">
      <c r="A3310">
        <v>3308</v>
      </c>
      <c r="B3310" t="s">
        <v>4376</v>
      </c>
      <c r="C3310" t="s">
        <v>16</v>
      </c>
      <c r="D3310">
        <v>4.3988775519406396</v>
      </c>
    </row>
    <row r="3311" spans="1:4" hidden="1" x14ac:dyDescent="0.3">
      <c r="A3311">
        <v>3309</v>
      </c>
      <c r="B3311" s="1" t="s">
        <v>4377</v>
      </c>
      <c r="C3311" t="s">
        <v>140</v>
      </c>
      <c r="D3311" s="1" t="s">
        <v>4378</v>
      </c>
    </row>
    <row r="3312" spans="1:4" hidden="1" x14ac:dyDescent="0.3">
      <c r="A3312">
        <v>3310</v>
      </c>
      <c r="B3312" t="s">
        <v>4379</v>
      </c>
      <c r="C3312" t="s">
        <v>22</v>
      </c>
      <c r="D3312">
        <v>75.8</v>
      </c>
    </row>
    <row r="3313" spans="1:4" hidden="1" x14ac:dyDescent="0.3">
      <c r="A3313">
        <v>3311</v>
      </c>
      <c r="B3313" t="s">
        <v>4380</v>
      </c>
      <c r="C3313" t="s">
        <v>24</v>
      </c>
      <c r="D3313">
        <v>6.2706667447218702</v>
      </c>
    </row>
    <row r="3314" spans="1:4" hidden="1" x14ac:dyDescent="0.3">
      <c r="A3314">
        <v>3312</v>
      </c>
      <c r="B3314" s="1" t="s">
        <v>4381</v>
      </c>
      <c r="C3314" t="s">
        <v>145</v>
      </c>
      <c r="D3314" s="1" t="s">
        <v>4382</v>
      </c>
    </row>
    <row r="3315" spans="1:4" hidden="1" x14ac:dyDescent="0.3">
      <c r="A3315">
        <v>3313</v>
      </c>
      <c r="B3315" t="s">
        <v>4383</v>
      </c>
      <c r="C3315" t="s">
        <v>35</v>
      </c>
      <c r="D3315">
        <v>0.174677907611032</v>
      </c>
    </row>
    <row r="3316" spans="1:4" hidden="1" x14ac:dyDescent="0.3">
      <c r="A3316">
        <v>3314</v>
      </c>
      <c r="B3316" t="s">
        <v>4384</v>
      </c>
      <c r="C3316" t="s">
        <v>149</v>
      </c>
      <c r="D3316">
        <v>0.67240415929260799</v>
      </c>
    </row>
    <row r="3317" spans="1:4" hidden="1" x14ac:dyDescent="0.3">
      <c r="A3317">
        <v>3315</v>
      </c>
      <c r="B3317" s="1" t="s">
        <v>4385</v>
      </c>
      <c r="C3317" t="s">
        <v>151</v>
      </c>
      <c r="D3317" s="1" t="s">
        <v>4386</v>
      </c>
    </row>
    <row r="3318" spans="1:4" hidden="1" x14ac:dyDescent="0.3">
      <c r="A3318">
        <v>3316</v>
      </c>
      <c r="B3318" t="s">
        <v>4387</v>
      </c>
      <c r="C3318" t="s">
        <v>30</v>
      </c>
      <c r="D3318">
        <v>0.32243621847545101</v>
      </c>
    </row>
    <row r="3319" spans="1:4" hidden="1" x14ac:dyDescent="0.3">
      <c r="A3319">
        <v>3317</v>
      </c>
      <c r="B3319" t="s">
        <v>4388</v>
      </c>
      <c r="C3319" t="s">
        <v>32</v>
      </c>
      <c r="D3319">
        <v>0.24401127428560301</v>
      </c>
    </row>
    <row r="3320" spans="1:4" hidden="1" x14ac:dyDescent="0.3">
      <c r="A3320">
        <v>3318</v>
      </c>
      <c r="B3320" s="1" t="s">
        <v>4389</v>
      </c>
      <c r="C3320" t="s">
        <v>155</v>
      </c>
      <c r="D3320" s="1" t="s">
        <v>4390</v>
      </c>
    </row>
    <row r="3321" spans="1:4" hidden="1" x14ac:dyDescent="0.3">
      <c r="A3321">
        <v>3319</v>
      </c>
      <c r="B3321" t="s">
        <v>4391</v>
      </c>
      <c r="C3321" t="s">
        <v>40</v>
      </c>
      <c r="D3321">
        <v>0.50288587391351502</v>
      </c>
    </row>
    <row r="3322" spans="1:4" hidden="1" x14ac:dyDescent="0.3">
      <c r="A3322">
        <v>3320</v>
      </c>
      <c r="B3322" t="s">
        <v>4392</v>
      </c>
      <c r="C3322" t="s">
        <v>42</v>
      </c>
      <c r="D3322">
        <v>0.243189520325829</v>
      </c>
    </row>
    <row r="3323" spans="1:4" hidden="1" x14ac:dyDescent="0.3">
      <c r="A3323">
        <v>3321</v>
      </c>
      <c r="B3323" s="1" t="s">
        <v>4393</v>
      </c>
      <c r="C3323" t="s">
        <v>159</v>
      </c>
      <c r="D3323" s="1" t="s">
        <v>4394</v>
      </c>
    </row>
    <row r="3324" spans="1:4" hidden="1" x14ac:dyDescent="0.3">
      <c r="A3324">
        <v>3322</v>
      </c>
      <c r="B3324" t="s">
        <v>4395</v>
      </c>
      <c r="C3324" t="s">
        <v>161</v>
      </c>
      <c r="D3324">
        <v>1.0018074359912601</v>
      </c>
    </row>
    <row r="3325" spans="1:4" hidden="1" x14ac:dyDescent="0.3">
      <c r="A3325">
        <v>3323</v>
      </c>
      <c r="B3325" t="s">
        <v>4396</v>
      </c>
      <c r="C3325" t="s">
        <v>163</v>
      </c>
      <c r="D3325">
        <v>1.0007421611776299</v>
      </c>
    </row>
    <row r="3326" spans="1:4" hidden="1" x14ac:dyDescent="0.3">
      <c r="A3326">
        <v>3324</v>
      </c>
      <c r="B3326" s="1" t="s">
        <v>4397</v>
      </c>
      <c r="C3326" t="s">
        <v>165</v>
      </c>
      <c r="D3326" s="1" t="s">
        <v>4398</v>
      </c>
    </row>
    <row r="3327" spans="1:4" hidden="1" x14ac:dyDescent="0.3">
      <c r="A3327">
        <v>3325</v>
      </c>
      <c r="B3327" t="s">
        <v>4399</v>
      </c>
      <c r="C3327" t="s">
        <v>168</v>
      </c>
      <c r="D3327">
        <v>0.99897747355136002</v>
      </c>
    </row>
    <row r="3328" spans="1:4" hidden="1" x14ac:dyDescent="0.3">
      <c r="A3328">
        <v>3326</v>
      </c>
      <c r="B3328" t="s">
        <v>4400</v>
      </c>
      <c r="C3328" t="s">
        <v>170</v>
      </c>
      <c r="D3328">
        <v>1.0020047792575599</v>
      </c>
    </row>
    <row r="3329" spans="1:4" hidden="1" x14ac:dyDescent="0.3">
      <c r="A3329">
        <v>3327</v>
      </c>
      <c r="B3329" s="1" t="s">
        <v>4401</v>
      </c>
      <c r="C3329" t="s">
        <v>172</v>
      </c>
      <c r="D3329" s="1" t="s">
        <v>4402</v>
      </c>
    </row>
    <row r="3330" spans="1:4" hidden="1" x14ac:dyDescent="0.3">
      <c r="A3330">
        <v>3328</v>
      </c>
      <c r="B3330" s="1" t="s">
        <v>4403</v>
      </c>
      <c r="C3330" t="s">
        <v>55</v>
      </c>
      <c r="D3330" s="1" t="s">
        <v>4404</v>
      </c>
    </row>
    <row r="3331" spans="1:4" hidden="1" x14ac:dyDescent="0.3">
      <c r="A3331">
        <v>3329</v>
      </c>
      <c r="B3331" s="1" t="s">
        <v>4405</v>
      </c>
      <c r="C3331" t="s">
        <v>52</v>
      </c>
      <c r="D3331" s="1" t="s">
        <v>4406</v>
      </c>
    </row>
    <row r="3332" spans="1:4" hidden="1" x14ac:dyDescent="0.3">
      <c r="A3332">
        <v>3330</v>
      </c>
      <c r="B3332" s="1" t="s">
        <v>4407</v>
      </c>
      <c r="C3332" t="s">
        <v>58</v>
      </c>
      <c r="D3332" s="1" t="s">
        <v>4408</v>
      </c>
    </row>
    <row r="3333" spans="1:4" hidden="1" x14ac:dyDescent="0.3">
      <c r="A3333">
        <v>3331</v>
      </c>
      <c r="B3333" t="s">
        <v>4409</v>
      </c>
      <c r="C3333" t="s">
        <v>61</v>
      </c>
      <c r="D3333">
        <v>147450989.16148701</v>
      </c>
    </row>
    <row r="3334" spans="1:4" hidden="1" x14ac:dyDescent="0.3">
      <c r="A3334">
        <v>3332</v>
      </c>
      <c r="B3334" t="s">
        <v>4410</v>
      </c>
      <c r="C3334" t="s">
        <v>63</v>
      </c>
      <c r="D3334">
        <v>77822946.868487701</v>
      </c>
    </row>
    <row r="3335" spans="1:4" hidden="1" x14ac:dyDescent="0.3">
      <c r="A3335">
        <v>3333</v>
      </c>
      <c r="B3335" t="s">
        <v>4411</v>
      </c>
      <c r="C3335" t="s">
        <v>65</v>
      </c>
      <c r="D3335">
        <v>39687090.633452497</v>
      </c>
    </row>
    <row r="3336" spans="1:4" hidden="1" x14ac:dyDescent="0.3">
      <c r="A3336">
        <v>3334</v>
      </c>
      <c r="B3336" s="1" t="s">
        <v>4412</v>
      </c>
      <c r="C3336" t="s">
        <v>67</v>
      </c>
      <c r="D3336" s="1" t="s">
        <v>4413</v>
      </c>
    </row>
    <row r="3337" spans="1:4" hidden="1" x14ac:dyDescent="0.3">
      <c r="A3337">
        <v>3335</v>
      </c>
      <c r="B3337" s="1" t="s">
        <v>4414</v>
      </c>
      <c r="C3337" t="s">
        <v>70</v>
      </c>
      <c r="D3337" s="1" t="s">
        <v>4415</v>
      </c>
    </row>
    <row r="3338" spans="1:4" hidden="1" x14ac:dyDescent="0.3">
      <c r="A3338">
        <v>3336</v>
      </c>
      <c r="B3338" t="s">
        <v>4416</v>
      </c>
      <c r="C3338" t="s">
        <v>73</v>
      </c>
      <c r="D3338">
        <v>1.00018424637078</v>
      </c>
    </row>
    <row r="3339" spans="1:4" hidden="1" x14ac:dyDescent="0.3">
      <c r="A3339">
        <v>3337</v>
      </c>
      <c r="B3339" t="s">
        <v>74</v>
      </c>
      <c r="C3339" t="s">
        <v>75</v>
      </c>
      <c r="D3339">
        <v>2.7397260273972599E-3</v>
      </c>
    </row>
    <row r="3340" spans="1:4" hidden="1" x14ac:dyDescent="0.3">
      <c r="A3340">
        <v>3338</v>
      </c>
      <c r="B3340" t="s">
        <v>76</v>
      </c>
      <c r="C3340" t="s">
        <v>77</v>
      </c>
      <c r="D3340">
        <v>0</v>
      </c>
    </row>
    <row r="3341" spans="1:4" hidden="1" x14ac:dyDescent="0.3">
      <c r="A3341">
        <v>3339</v>
      </c>
      <c r="B3341" t="s">
        <v>78</v>
      </c>
      <c r="C3341" t="s">
        <v>79</v>
      </c>
      <c r="D3341">
        <v>0</v>
      </c>
    </row>
    <row r="3342" spans="1:4" hidden="1" x14ac:dyDescent="0.3">
      <c r="A3342">
        <v>3340</v>
      </c>
      <c r="B3342" s="1" t="s">
        <v>4417</v>
      </c>
      <c r="C3342" t="s">
        <v>81</v>
      </c>
      <c r="D3342" s="1" t="s">
        <v>4418</v>
      </c>
    </row>
    <row r="3343" spans="1:4" hidden="1" x14ac:dyDescent="0.3">
      <c r="A3343">
        <v>3341</v>
      </c>
      <c r="B3343" t="s">
        <v>4419</v>
      </c>
      <c r="C3343" t="s">
        <v>84</v>
      </c>
      <c r="D3343">
        <v>1.0002053490146401</v>
      </c>
    </row>
    <row r="3344" spans="1:4" hidden="1" x14ac:dyDescent="0.3">
      <c r="A3344">
        <v>3342</v>
      </c>
      <c r="B3344" s="1" t="s">
        <v>4420</v>
      </c>
      <c r="C3344" t="s">
        <v>86</v>
      </c>
      <c r="D3344" s="1" t="s">
        <v>4421</v>
      </c>
    </row>
    <row r="3345" spans="1:4" hidden="1" x14ac:dyDescent="0.3">
      <c r="A3345">
        <v>3343</v>
      </c>
      <c r="B3345" t="s">
        <v>4422</v>
      </c>
      <c r="C3345" t="s">
        <v>89</v>
      </c>
      <c r="D3345">
        <v>101169004.52806</v>
      </c>
    </row>
    <row r="3346" spans="1:4" hidden="1" x14ac:dyDescent="0.3">
      <c r="A3346">
        <v>3344</v>
      </c>
      <c r="B3346" s="1" t="s">
        <v>4423</v>
      </c>
      <c r="C3346" t="s">
        <v>91</v>
      </c>
      <c r="D3346" s="1" t="s">
        <v>4357</v>
      </c>
    </row>
    <row r="3347" spans="1:4" hidden="1" x14ac:dyDescent="0.3">
      <c r="A3347">
        <v>3345</v>
      </c>
      <c r="B3347" t="s">
        <v>4424</v>
      </c>
      <c r="C3347" t="s">
        <v>94</v>
      </c>
      <c r="D3347">
        <v>77822946.868487701</v>
      </c>
    </row>
    <row r="3348" spans="1:4" hidden="1" x14ac:dyDescent="0.3">
      <c r="A3348">
        <v>3346</v>
      </c>
      <c r="B3348" t="s">
        <v>4425</v>
      </c>
      <c r="C3348" t="s">
        <v>96</v>
      </c>
      <c r="D3348">
        <v>39687090.633452497</v>
      </c>
    </row>
    <row r="3349" spans="1:4" hidden="1" x14ac:dyDescent="0.3">
      <c r="A3349">
        <v>3347</v>
      </c>
      <c r="B3349" t="s">
        <v>4426</v>
      </c>
      <c r="C3349" t="s">
        <v>98</v>
      </c>
      <c r="D3349">
        <v>29940951.659546901</v>
      </c>
    </row>
    <row r="3350" spans="1:4" hidden="1" x14ac:dyDescent="0.3">
      <c r="A3350">
        <v>3348</v>
      </c>
      <c r="B3350" s="1" t="s">
        <v>4427</v>
      </c>
      <c r="C3350" t="s">
        <v>100</v>
      </c>
      <c r="D3350" s="1" t="s">
        <v>4428</v>
      </c>
    </row>
    <row r="3351" spans="1:4" hidden="1" x14ac:dyDescent="0.3">
      <c r="A3351">
        <v>3349</v>
      </c>
      <c r="B3351" t="s">
        <v>4429</v>
      </c>
      <c r="C3351" t="s">
        <v>103</v>
      </c>
      <c r="D3351">
        <v>8.5490127599826098E-3</v>
      </c>
    </row>
    <row r="3352" spans="1:4" hidden="1" x14ac:dyDescent="0.3">
      <c r="A3352">
        <v>3350</v>
      </c>
      <c r="B3352" t="s">
        <v>4430</v>
      </c>
      <c r="C3352" t="s">
        <v>105</v>
      </c>
      <c r="D3352">
        <v>1.8193784310406001E-3</v>
      </c>
    </row>
    <row r="3353" spans="1:4" hidden="1" x14ac:dyDescent="0.3">
      <c r="A3353">
        <v>3351</v>
      </c>
      <c r="B3353" t="s">
        <v>4431</v>
      </c>
      <c r="C3353" t="s">
        <v>107</v>
      </c>
      <c r="D3353">
        <v>1.16026762406934E-2</v>
      </c>
    </row>
    <row r="3354" spans="1:4" hidden="1" x14ac:dyDescent="0.3">
      <c r="A3354">
        <v>3352</v>
      </c>
      <c r="B3354" s="1" t="s">
        <v>4432</v>
      </c>
      <c r="C3354" t="s">
        <v>109</v>
      </c>
      <c r="D3354" s="1" t="s">
        <v>4433</v>
      </c>
    </row>
    <row r="3355" spans="1:4" x14ac:dyDescent="0.3">
      <c r="A3355">
        <v>3353</v>
      </c>
      <c r="B3355" t="s">
        <v>4434</v>
      </c>
      <c r="C3355" t="s">
        <v>207</v>
      </c>
      <c r="D3355">
        <v>147451726.103737</v>
      </c>
    </row>
    <row r="3356" spans="1:4" hidden="1" x14ac:dyDescent="0.3">
      <c r="A3356">
        <v>3354</v>
      </c>
      <c r="B3356" t="s">
        <v>4435</v>
      </c>
      <c r="C3356" t="s">
        <v>209</v>
      </c>
      <c r="D3356">
        <v>-1641.9784337712399</v>
      </c>
    </row>
    <row r="3357" spans="1:4" hidden="1" x14ac:dyDescent="0.3">
      <c r="A3357">
        <v>3355</v>
      </c>
      <c r="B3357" t="s">
        <v>4436</v>
      </c>
      <c r="C3357" t="s">
        <v>211</v>
      </c>
      <c r="D3357">
        <v>-837.35151545440704</v>
      </c>
    </row>
    <row r="3358" spans="1:4" hidden="1" x14ac:dyDescent="0.3">
      <c r="A3358">
        <v>3356</v>
      </c>
      <c r="B3358" s="1" t="s">
        <v>4437</v>
      </c>
      <c r="C3358" t="s">
        <v>213</v>
      </c>
      <c r="D3358" s="1" t="s">
        <v>4438</v>
      </c>
    </row>
    <row r="3359" spans="1:4" hidden="1" x14ac:dyDescent="0.3">
      <c r="A3359">
        <v>3357</v>
      </c>
      <c r="B3359" t="s">
        <v>4439</v>
      </c>
      <c r="C3359" t="s">
        <v>216</v>
      </c>
      <c r="D3359">
        <v>77825111.540921807</v>
      </c>
    </row>
    <row r="3360" spans="1:4" hidden="1" x14ac:dyDescent="0.3">
      <c r="A3360">
        <v>3358</v>
      </c>
      <c r="B3360" t="s">
        <v>4440</v>
      </c>
      <c r="C3360" t="s">
        <v>218</v>
      </c>
      <c r="D3360">
        <v>39688082.223787598</v>
      </c>
    </row>
    <row r="3361" spans="1:4" hidden="1" x14ac:dyDescent="0.3">
      <c r="A3361">
        <v>3359</v>
      </c>
      <c r="B3361" t="s">
        <v>4441</v>
      </c>
      <c r="C3361" t="s">
        <v>220</v>
      </c>
      <c r="D3361">
        <v>29941643.3870911</v>
      </c>
    </row>
    <row r="3362" spans="1:4" hidden="1" x14ac:dyDescent="0.3">
      <c r="A3362">
        <v>3360</v>
      </c>
      <c r="B3362" s="1" t="s">
        <v>4442</v>
      </c>
      <c r="C3362" t="s">
        <v>222</v>
      </c>
      <c r="D3362" s="1" t="s">
        <v>4443</v>
      </c>
    </row>
    <row r="3363" spans="1:4" hidden="1" x14ac:dyDescent="0.3">
      <c r="A3363">
        <v>3361</v>
      </c>
      <c r="B3363" t="s">
        <v>4444</v>
      </c>
      <c r="C3363" t="s">
        <v>225</v>
      </c>
      <c r="D3363">
        <v>101171139.068252</v>
      </c>
    </row>
    <row r="3364" spans="1:4" hidden="1" x14ac:dyDescent="0.3">
      <c r="A3364">
        <v>3362</v>
      </c>
      <c r="B3364" t="s">
        <v>4445</v>
      </c>
      <c r="C3364" t="s">
        <v>227</v>
      </c>
      <c r="D3364">
        <v>-2134.5401912182501</v>
      </c>
    </row>
    <row r="3365" spans="1:4" hidden="1" x14ac:dyDescent="0.3">
      <c r="A3365">
        <v>3363</v>
      </c>
      <c r="B3365" s="1" t="s">
        <v>4446</v>
      </c>
      <c r="C3365" t="s">
        <v>229</v>
      </c>
      <c r="D3365" s="1" t="s">
        <v>4447</v>
      </c>
    </row>
    <row r="3366" spans="1:4" hidden="1" x14ac:dyDescent="0.3">
      <c r="A3366">
        <v>3364</v>
      </c>
      <c r="B3366" t="s">
        <v>4448</v>
      </c>
      <c r="C3366" t="s">
        <v>112</v>
      </c>
      <c r="D3366">
        <v>522.69400025783602</v>
      </c>
    </row>
    <row r="3367" spans="1:4" hidden="1" x14ac:dyDescent="0.3">
      <c r="A3367">
        <v>3365</v>
      </c>
      <c r="B3367" t="s">
        <v>4449</v>
      </c>
      <c r="C3367" t="s">
        <v>114</v>
      </c>
      <c r="D3367">
        <v>154.238819631284</v>
      </c>
    </row>
    <row r="3368" spans="1:4" hidden="1" x14ac:dyDescent="0.3">
      <c r="A3368">
        <v>3366</v>
      </c>
      <c r="B3368" s="1" t="s">
        <v>4450</v>
      </c>
      <c r="C3368" t="s">
        <v>116</v>
      </c>
      <c r="D3368" s="1" t="s">
        <v>4451</v>
      </c>
    </row>
    <row r="3369" spans="1:4" hidden="1" x14ac:dyDescent="0.3">
      <c r="A3369">
        <v>3367</v>
      </c>
      <c r="B3369" t="s">
        <v>4452</v>
      </c>
      <c r="C3369" t="s">
        <v>119</v>
      </c>
      <c r="D3369">
        <v>77825111.540921807</v>
      </c>
    </row>
    <row r="3370" spans="1:4" hidden="1" x14ac:dyDescent="0.3">
      <c r="A3370">
        <v>3368</v>
      </c>
      <c r="B3370" t="s">
        <v>4453</v>
      </c>
      <c r="C3370" t="s">
        <v>121</v>
      </c>
      <c r="D3370">
        <v>39688082.223787598</v>
      </c>
    </row>
    <row r="3371" spans="1:4" hidden="1" x14ac:dyDescent="0.3">
      <c r="A3371">
        <v>3369</v>
      </c>
      <c r="B3371" s="1" t="s">
        <v>4454</v>
      </c>
      <c r="C3371" t="s">
        <v>123</v>
      </c>
      <c r="D3371" s="1" t="s">
        <v>4455</v>
      </c>
    </row>
    <row r="3372" spans="1:4" hidden="1" x14ac:dyDescent="0.3">
      <c r="A3372">
        <v>3370</v>
      </c>
      <c r="B3372" t="s">
        <v>4456</v>
      </c>
      <c r="C3372" t="s">
        <v>126</v>
      </c>
      <c r="D3372">
        <v>0.76908428854925603</v>
      </c>
    </row>
    <row r="3373" spans="1:4" hidden="1" x14ac:dyDescent="0.3">
      <c r="A3373">
        <v>3371</v>
      </c>
      <c r="B3373" t="s">
        <v>4457</v>
      </c>
      <c r="C3373" t="s">
        <v>128</v>
      </c>
      <c r="D3373">
        <v>0.39220606147048498</v>
      </c>
    </row>
    <row r="3374" spans="1:4" hidden="1" x14ac:dyDescent="0.3">
      <c r="A3374">
        <v>3372</v>
      </c>
      <c r="B3374" s="1" t="s">
        <v>4458</v>
      </c>
      <c r="C3374" t="s">
        <v>130</v>
      </c>
      <c r="D3374" s="1" t="s">
        <v>4459</v>
      </c>
    </row>
    <row r="3375" spans="1:4" hidden="1" x14ac:dyDescent="0.3">
      <c r="A3375">
        <v>3373</v>
      </c>
      <c r="B3375" s="1" t="s">
        <v>4460</v>
      </c>
      <c r="C3375" t="s">
        <v>4</v>
      </c>
      <c r="D3375" t="s">
        <v>4461</v>
      </c>
    </row>
    <row r="3376" spans="1:4" hidden="1" x14ac:dyDescent="0.3">
      <c r="A3376">
        <v>3374</v>
      </c>
      <c r="B3376" t="s">
        <v>4462</v>
      </c>
      <c r="C3376" t="s">
        <v>7</v>
      </c>
      <c r="D3376">
        <v>1802.15</v>
      </c>
    </row>
    <row r="3377" spans="1:4" hidden="1" x14ac:dyDescent="0.3">
      <c r="A3377">
        <v>3375</v>
      </c>
      <c r="B3377" s="1" t="s">
        <v>4463</v>
      </c>
      <c r="C3377" t="s">
        <v>9</v>
      </c>
      <c r="D3377" s="1" t="s">
        <v>4464</v>
      </c>
    </row>
    <row r="3378" spans="1:4" hidden="1" x14ac:dyDescent="0.3">
      <c r="A3378">
        <v>3376</v>
      </c>
      <c r="B3378" t="s">
        <v>4465</v>
      </c>
      <c r="C3378" t="s">
        <v>14</v>
      </c>
      <c r="D3378">
        <v>98.8359375</v>
      </c>
    </row>
    <row r="3379" spans="1:4" hidden="1" x14ac:dyDescent="0.3">
      <c r="A3379">
        <v>3377</v>
      </c>
      <c r="B3379" t="s">
        <v>4466</v>
      </c>
      <c r="C3379" t="s">
        <v>16</v>
      </c>
      <c r="D3379">
        <v>4.3964467263992901</v>
      </c>
    </row>
    <row r="3380" spans="1:4" hidden="1" x14ac:dyDescent="0.3">
      <c r="A3380">
        <v>3378</v>
      </c>
      <c r="B3380" s="1" t="s">
        <v>4467</v>
      </c>
      <c r="C3380" t="s">
        <v>140</v>
      </c>
      <c r="D3380" s="1" t="s">
        <v>4468</v>
      </c>
    </row>
    <row r="3381" spans="1:4" hidden="1" x14ac:dyDescent="0.3">
      <c r="A3381">
        <v>3379</v>
      </c>
      <c r="B3381" t="s">
        <v>1062</v>
      </c>
      <c r="C3381" t="s">
        <v>22</v>
      </c>
      <c r="D3381">
        <v>75.3</v>
      </c>
    </row>
    <row r="3382" spans="1:4" hidden="1" x14ac:dyDescent="0.3">
      <c r="A3382">
        <v>3380</v>
      </c>
      <c r="B3382" t="s">
        <v>4469</v>
      </c>
      <c r="C3382" t="s">
        <v>24</v>
      </c>
      <c r="D3382">
        <v>6.31679017652732</v>
      </c>
    </row>
    <row r="3383" spans="1:4" hidden="1" x14ac:dyDescent="0.3">
      <c r="A3383">
        <v>3381</v>
      </c>
      <c r="B3383" s="1" t="s">
        <v>4470</v>
      </c>
      <c r="C3383" t="s">
        <v>145</v>
      </c>
      <c r="D3383" s="1" t="s">
        <v>4471</v>
      </c>
    </row>
    <row r="3384" spans="1:4" hidden="1" x14ac:dyDescent="0.3">
      <c r="A3384">
        <v>3382</v>
      </c>
      <c r="B3384" t="s">
        <v>4472</v>
      </c>
      <c r="C3384" t="s">
        <v>35</v>
      </c>
      <c r="D3384">
        <v>-0.124418279259902</v>
      </c>
    </row>
    <row r="3385" spans="1:4" hidden="1" x14ac:dyDescent="0.3">
      <c r="A3385">
        <v>3383</v>
      </c>
      <c r="B3385" t="s">
        <v>4473</v>
      </c>
      <c r="C3385" t="s">
        <v>149</v>
      </c>
      <c r="D3385">
        <v>0.67444512630159403</v>
      </c>
    </row>
    <row r="3386" spans="1:4" hidden="1" x14ac:dyDescent="0.3">
      <c r="A3386">
        <v>3384</v>
      </c>
      <c r="B3386" s="1" t="s">
        <v>4474</v>
      </c>
      <c r="C3386" t="s">
        <v>151</v>
      </c>
      <c r="D3386" s="1" t="s">
        <v>4475</v>
      </c>
    </row>
    <row r="3387" spans="1:4" hidden="1" x14ac:dyDescent="0.3">
      <c r="A3387">
        <v>3385</v>
      </c>
      <c r="B3387" t="s">
        <v>4476</v>
      </c>
      <c r="C3387" t="s">
        <v>30</v>
      </c>
      <c r="D3387">
        <v>0.44433527197143002</v>
      </c>
    </row>
    <row r="3388" spans="1:4" hidden="1" x14ac:dyDescent="0.3">
      <c r="A3388">
        <v>3386</v>
      </c>
      <c r="B3388" t="s">
        <v>4477</v>
      </c>
      <c r="C3388" t="s">
        <v>32</v>
      </c>
      <c r="D3388">
        <v>0.24264508158508399</v>
      </c>
    </row>
    <row r="3389" spans="1:4" hidden="1" x14ac:dyDescent="0.3">
      <c r="A3389">
        <v>3387</v>
      </c>
      <c r="B3389" s="1" t="s">
        <v>4478</v>
      </c>
      <c r="C3389" t="s">
        <v>155</v>
      </c>
      <c r="D3389" s="1" t="s">
        <v>4479</v>
      </c>
    </row>
    <row r="3390" spans="1:4" hidden="1" x14ac:dyDescent="0.3">
      <c r="A3390">
        <v>3388</v>
      </c>
      <c r="B3390" t="s">
        <v>4480</v>
      </c>
      <c r="C3390" t="s">
        <v>40</v>
      </c>
      <c r="D3390">
        <v>0.68008300728847104</v>
      </c>
    </row>
    <row r="3391" spans="1:4" hidden="1" x14ac:dyDescent="0.3">
      <c r="A3391">
        <v>3389</v>
      </c>
      <c r="B3391" t="s">
        <v>4481</v>
      </c>
      <c r="C3391" t="s">
        <v>42</v>
      </c>
      <c r="D3391">
        <v>0.24005523160959499</v>
      </c>
    </row>
    <row r="3392" spans="1:4" hidden="1" x14ac:dyDescent="0.3">
      <c r="A3392">
        <v>3390</v>
      </c>
      <c r="B3392" s="1" t="s">
        <v>4482</v>
      </c>
      <c r="C3392" t="s">
        <v>159</v>
      </c>
      <c r="D3392" s="1" t="s">
        <v>4483</v>
      </c>
    </row>
    <row r="3393" spans="1:4" hidden="1" x14ac:dyDescent="0.3">
      <c r="A3393">
        <v>3391</v>
      </c>
      <c r="B3393" t="s">
        <v>4484</v>
      </c>
      <c r="C3393" t="s">
        <v>161</v>
      </c>
      <c r="D3393">
        <v>0.99736014876142798</v>
      </c>
    </row>
    <row r="3394" spans="1:4" hidden="1" x14ac:dyDescent="0.3">
      <c r="A3394">
        <v>3392</v>
      </c>
      <c r="B3394" t="s">
        <v>4485</v>
      </c>
      <c r="C3394" t="s">
        <v>163</v>
      </c>
      <c r="D3394">
        <v>1.0003549726956</v>
      </c>
    </row>
    <row r="3395" spans="1:4" hidden="1" x14ac:dyDescent="0.3">
      <c r="A3395">
        <v>3393</v>
      </c>
      <c r="B3395" s="1" t="s">
        <v>4486</v>
      </c>
      <c r="C3395" t="s">
        <v>165</v>
      </c>
      <c r="D3395" s="1" t="s">
        <v>4487</v>
      </c>
    </row>
    <row r="3396" spans="1:4" hidden="1" x14ac:dyDescent="0.3">
      <c r="A3396">
        <v>3394</v>
      </c>
      <c r="B3396" t="s">
        <v>4488</v>
      </c>
      <c r="C3396" t="s">
        <v>168</v>
      </c>
      <c r="D3396">
        <v>1.00122037905589</v>
      </c>
    </row>
    <row r="3397" spans="1:4" hidden="1" x14ac:dyDescent="0.3">
      <c r="A3397">
        <v>3395</v>
      </c>
      <c r="B3397" t="s">
        <v>4489</v>
      </c>
      <c r="C3397" t="s">
        <v>170</v>
      </c>
      <c r="D3397">
        <v>0.99890178430954801</v>
      </c>
    </row>
    <row r="3398" spans="1:4" hidden="1" x14ac:dyDescent="0.3">
      <c r="A3398">
        <v>3396</v>
      </c>
      <c r="B3398" s="1" t="s">
        <v>4490</v>
      </c>
      <c r="C3398" t="s">
        <v>172</v>
      </c>
      <c r="D3398" s="1" t="s">
        <v>4491</v>
      </c>
    </row>
    <row r="3399" spans="1:4" hidden="1" x14ac:dyDescent="0.3">
      <c r="A3399">
        <v>3397</v>
      </c>
      <c r="B3399" s="1" t="s">
        <v>4492</v>
      </c>
      <c r="C3399" t="s">
        <v>55</v>
      </c>
      <c r="D3399" s="1" t="s">
        <v>4493</v>
      </c>
    </row>
    <row r="3400" spans="1:4" hidden="1" x14ac:dyDescent="0.3">
      <c r="A3400">
        <v>3398</v>
      </c>
      <c r="B3400" s="1" t="s">
        <v>4494</v>
      </c>
      <c r="C3400" t="s">
        <v>52</v>
      </c>
      <c r="D3400" s="1" t="s">
        <v>4495</v>
      </c>
    </row>
    <row r="3401" spans="1:4" hidden="1" x14ac:dyDescent="0.3">
      <c r="A3401">
        <v>3399</v>
      </c>
      <c r="B3401" s="1" t="s">
        <v>4496</v>
      </c>
      <c r="C3401" t="s">
        <v>58</v>
      </c>
      <c r="D3401" s="1" t="s">
        <v>4497</v>
      </c>
    </row>
    <row r="3402" spans="1:4" hidden="1" x14ac:dyDescent="0.3">
      <c r="A3402">
        <v>3400</v>
      </c>
      <c r="B3402" t="s">
        <v>4498</v>
      </c>
      <c r="C3402" t="s">
        <v>61</v>
      </c>
      <c r="D3402">
        <v>147097891.92665201</v>
      </c>
    </row>
    <row r="3403" spans="1:4" hidden="1" x14ac:dyDescent="0.3">
      <c r="A3403">
        <v>3401</v>
      </c>
      <c r="B3403" t="s">
        <v>4499</v>
      </c>
      <c r="C3403" t="s">
        <v>63</v>
      </c>
      <c r="D3403">
        <v>77619664.823828503</v>
      </c>
    </row>
    <row r="3404" spans="1:4" hidden="1" x14ac:dyDescent="0.3">
      <c r="A3404">
        <v>3402</v>
      </c>
      <c r="B3404" t="s">
        <v>4500</v>
      </c>
      <c r="C3404" t="s">
        <v>65</v>
      </c>
      <c r="D3404">
        <v>39702170.409318097</v>
      </c>
    </row>
    <row r="3405" spans="1:4" hidden="1" x14ac:dyDescent="0.3">
      <c r="A3405">
        <v>3403</v>
      </c>
      <c r="B3405" s="1" t="s">
        <v>4501</v>
      </c>
      <c r="C3405" t="s">
        <v>67</v>
      </c>
      <c r="D3405" s="1" t="s">
        <v>4502</v>
      </c>
    </row>
    <row r="3406" spans="1:4" hidden="1" x14ac:dyDescent="0.3">
      <c r="A3406">
        <v>3404</v>
      </c>
      <c r="B3406" s="1" t="s">
        <v>4503</v>
      </c>
      <c r="C3406" t="s">
        <v>70</v>
      </c>
      <c r="D3406" s="1" t="s">
        <v>4504</v>
      </c>
    </row>
    <row r="3407" spans="1:4" hidden="1" x14ac:dyDescent="0.3">
      <c r="A3407">
        <v>3405</v>
      </c>
      <c r="B3407" t="s">
        <v>4505</v>
      </c>
      <c r="C3407" t="s">
        <v>73</v>
      </c>
      <c r="D3407">
        <v>1.0002053490146401</v>
      </c>
    </row>
    <row r="3408" spans="1:4" hidden="1" x14ac:dyDescent="0.3">
      <c r="A3408">
        <v>3406</v>
      </c>
      <c r="B3408" t="s">
        <v>74</v>
      </c>
      <c r="C3408" t="s">
        <v>75</v>
      </c>
      <c r="D3408">
        <v>2.7397260273972599E-3</v>
      </c>
    </row>
    <row r="3409" spans="1:4" hidden="1" x14ac:dyDescent="0.3">
      <c r="A3409">
        <v>3407</v>
      </c>
      <c r="B3409" t="s">
        <v>76</v>
      </c>
      <c r="C3409" t="s">
        <v>77</v>
      </c>
      <c r="D3409">
        <v>0</v>
      </c>
    </row>
    <row r="3410" spans="1:4" hidden="1" x14ac:dyDescent="0.3">
      <c r="A3410">
        <v>3408</v>
      </c>
      <c r="B3410" t="s">
        <v>78</v>
      </c>
      <c r="C3410" t="s">
        <v>79</v>
      </c>
      <c r="D3410">
        <v>0</v>
      </c>
    </row>
    <row r="3411" spans="1:4" hidden="1" x14ac:dyDescent="0.3">
      <c r="A3411">
        <v>3409</v>
      </c>
      <c r="B3411" s="1" t="s">
        <v>4506</v>
      </c>
      <c r="C3411" t="s">
        <v>81</v>
      </c>
      <c r="D3411" s="1" t="s">
        <v>4507</v>
      </c>
    </row>
    <row r="3412" spans="1:4" hidden="1" x14ac:dyDescent="0.3">
      <c r="A3412">
        <v>3410</v>
      </c>
      <c r="B3412" t="s">
        <v>4508</v>
      </c>
      <c r="C3412" t="s">
        <v>84</v>
      </c>
      <c r="D3412">
        <v>1.0002091517537499</v>
      </c>
    </row>
    <row r="3413" spans="1:4" hidden="1" x14ac:dyDescent="0.3">
      <c r="A3413">
        <v>3411</v>
      </c>
      <c r="B3413" s="1" t="s">
        <v>4509</v>
      </c>
      <c r="C3413" t="s">
        <v>86</v>
      </c>
      <c r="D3413" s="1" t="s">
        <v>4510</v>
      </c>
    </row>
    <row r="3414" spans="1:4" hidden="1" x14ac:dyDescent="0.3">
      <c r="A3414">
        <v>3412</v>
      </c>
      <c r="B3414" t="s">
        <v>4511</v>
      </c>
      <c r="C3414" t="s">
        <v>89</v>
      </c>
      <c r="D3414">
        <v>101168619.88917799</v>
      </c>
    </row>
    <row r="3415" spans="1:4" hidden="1" x14ac:dyDescent="0.3">
      <c r="A3415">
        <v>3413</v>
      </c>
      <c r="B3415" s="1" t="s">
        <v>4512</v>
      </c>
      <c r="C3415" t="s">
        <v>91</v>
      </c>
      <c r="D3415" s="1" t="s">
        <v>4447</v>
      </c>
    </row>
    <row r="3416" spans="1:4" hidden="1" x14ac:dyDescent="0.3">
      <c r="A3416">
        <v>3414</v>
      </c>
      <c r="B3416" t="s">
        <v>4513</v>
      </c>
      <c r="C3416" t="s">
        <v>94</v>
      </c>
      <c r="D3416">
        <v>77619664.823828503</v>
      </c>
    </row>
    <row r="3417" spans="1:4" hidden="1" x14ac:dyDescent="0.3">
      <c r="A3417">
        <v>3415</v>
      </c>
      <c r="B3417" t="s">
        <v>4514</v>
      </c>
      <c r="C3417" t="s">
        <v>96</v>
      </c>
      <c r="D3417">
        <v>39702170.409318097</v>
      </c>
    </row>
    <row r="3418" spans="1:4" hidden="1" x14ac:dyDescent="0.3">
      <c r="A3418">
        <v>3416</v>
      </c>
      <c r="B3418" t="s">
        <v>4515</v>
      </c>
      <c r="C3418" t="s">
        <v>98</v>
      </c>
      <c r="D3418">
        <v>29776056.693505399</v>
      </c>
    </row>
    <row r="3419" spans="1:4" hidden="1" x14ac:dyDescent="0.3">
      <c r="A3419">
        <v>3417</v>
      </c>
      <c r="B3419" s="1" t="s">
        <v>4516</v>
      </c>
      <c r="C3419" t="s">
        <v>100</v>
      </c>
      <c r="D3419" s="1" t="s">
        <v>4517</v>
      </c>
    </row>
    <row r="3420" spans="1:4" hidden="1" x14ac:dyDescent="0.3">
      <c r="A3420">
        <v>3418</v>
      </c>
      <c r="B3420" t="s">
        <v>4518</v>
      </c>
      <c r="C3420" t="s">
        <v>103</v>
      </c>
      <c r="D3420">
        <v>8.5480238283777207E-3</v>
      </c>
    </row>
    <row r="3421" spans="1:4" hidden="1" x14ac:dyDescent="0.3">
      <c r="A3421">
        <v>3419</v>
      </c>
      <c r="B3421" t="s">
        <v>4519</v>
      </c>
      <c r="C3421" t="s">
        <v>105</v>
      </c>
      <c r="D3421">
        <v>1.8130702077409501E-3</v>
      </c>
    </row>
    <row r="3422" spans="1:4" hidden="1" x14ac:dyDescent="0.3">
      <c r="A3422">
        <v>3420</v>
      </c>
      <c r="B3422" t="s">
        <v>4520</v>
      </c>
      <c r="C3422" t="s">
        <v>107</v>
      </c>
      <c r="D3422">
        <v>1.12636966684502E-2</v>
      </c>
    </row>
    <row r="3423" spans="1:4" hidden="1" x14ac:dyDescent="0.3">
      <c r="A3423">
        <v>3421</v>
      </c>
      <c r="B3423" s="1" t="s">
        <v>4521</v>
      </c>
      <c r="C3423" t="s">
        <v>109</v>
      </c>
      <c r="D3423" s="1" t="s">
        <v>4522</v>
      </c>
    </row>
    <row r="3424" spans="1:4" x14ac:dyDescent="0.3">
      <c r="A3424">
        <v>3422</v>
      </c>
      <c r="B3424" t="s">
        <v>4523</v>
      </c>
      <c r="C3424" t="s">
        <v>207</v>
      </c>
      <c r="D3424">
        <v>147098024.906854</v>
      </c>
    </row>
    <row r="3425" spans="1:4" hidden="1" x14ac:dyDescent="0.3">
      <c r="A3425">
        <v>3423</v>
      </c>
      <c r="B3425" t="s">
        <v>4524</v>
      </c>
      <c r="C3425" t="s">
        <v>209</v>
      </c>
      <c r="D3425">
        <v>-295.10710543679301</v>
      </c>
    </row>
    <row r="3426" spans="1:4" hidden="1" x14ac:dyDescent="0.3">
      <c r="A3426">
        <v>3424</v>
      </c>
      <c r="B3426" t="s">
        <v>4525</v>
      </c>
      <c r="C3426" t="s">
        <v>211</v>
      </c>
      <c r="D3426">
        <v>-150.94607501931</v>
      </c>
    </row>
    <row r="3427" spans="1:4" hidden="1" x14ac:dyDescent="0.3">
      <c r="A3427">
        <v>3425</v>
      </c>
      <c r="B3427" s="1" t="s">
        <v>4526</v>
      </c>
      <c r="C3427" t="s">
        <v>213</v>
      </c>
      <c r="D3427" s="1" t="s">
        <v>4527</v>
      </c>
    </row>
    <row r="3428" spans="1:4" hidden="1" x14ac:dyDescent="0.3">
      <c r="A3428">
        <v>3426</v>
      </c>
      <c r="B3428" t="s">
        <v>4528</v>
      </c>
      <c r="C3428" t="s">
        <v>216</v>
      </c>
      <c r="D3428">
        <v>77620057.258924007</v>
      </c>
    </row>
    <row r="3429" spans="1:4" hidden="1" x14ac:dyDescent="0.3">
      <c r="A3429">
        <v>3427</v>
      </c>
      <c r="B3429" t="s">
        <v>4529</v>
      </c>
      <c r="C3429" t="s">
        <v>218</v>
      </c>
      <c r="D3429">
        <v>39702341.184455603</v>
      </c>
    </row>
    <row r="3430" spans="1:4" hidden="1" x14ac:dyDescent="0.3">
      <c r="A3430">
        <v>3428</v>
      </c>
      <c r="B3430" t="s">
        <v>4530</v>
      </c>
      <c r="C3430" t="s">
        <v>220</v>
      </c>
      <c r="D3430">
        <v>29776185.724043898</v>
      </c>
    </row>
    <row r="3431" spans="1:4" hidden="1" x14ac:dyDescent="0.3">
      <c r="A3431">
        <v>3429</v>
      </c>
      <c r="B3431" s="1" t="s">
        <v>4531</v>
      </c>
      <c r="C3431" t="s">
        <v>222</v>
      </c>
      <c r="D3431" s="1" t="s">
        <v>4532</v>
      </c>
    </row>
    <row r="3432" spans="1:4" hidden="1" x14ac:dyDescent="0.3">
      <c r="A3432">
        <v>3430</v>
      </c>
      <c r="B3432" t="s">
        <v>4533</v>
      </c>
      <c r="C3432" t="s">
        <v>225</v>
      </c>
      <c r="D3432">
        <v>101169004.52806</v>
      </c>
    </row>
    <row r="3433" spans="1:4" hidden="1" x14ac:dyDescent="0.3">
      <c r="A3433">
        <v>3431</v>
      </c>
      <c r="B3433" t="s">
        <v>4534</v>
      </c>
      <c r="C3433" t="s">
        <v>227</v>
      </c>
      <c r="D3433">
        <v>-384.638882532715</v>
      </c>
    </row>
    <row r="3434" spans="1:4" hidden="1" x14ac:dyDescent="0.3">
      <c r="A3434">
        <v>3432</v>
      </c>
      <c r="B3434" s="1" t="s">
        <v>4535</v>
      </c>
      <c r="C3434" t="s">
        <v>229</v>
      </c>
      <c r="D3434" s="1" t="s">
        <v>4536</v>
      </c>
    </row>
    <row r="3435" spans="1:4" hidden="1" x14ac:dyDescent="0.3">
      <c r="A3435">
        <v>3433</v>
      </c>
      <c r="B3435" t="s">
        <v>4537</v>
      </c>
      <c r="C3435" t="s">
        <v>112</v>
      </c>
      <c r="D3435">
        <v>97.327990117720901</v>
      </c>
    </row>
    <row r="3436" spans="1:4" hidden="1" x14ac:dyDescent="0.3">
      <c r="A3436">
        <v>3434</v>
      </c>
      <c r="B3436" t="s">
        <v>4538</v>
      </c>
      <c r="C3436" t="s">
        <v>114</v>
      </c>
      <c r="D3436">
        <v>19.829062445566102</v>
      </c>
    </row>
    <row r="3437" spans="1:4" hidden="1" x14ac:dyDescent="0.3">
      <c r="A3437">
        <v>3435</v>
      </c>
      <c r="B3437" s="1" t="s">
        <v>4539</v>
      </c>
      <c r="C3437" t="s">
        <v>116</v>
      </c>
      <c r="D3437" s="1" t="s">
        <v>4540</v>
      </c>
    </row>
    <row r="3438" spans="1:4" hidden="1" x14ac:dyDescent="0.3">
      <c r="A3438">
        <v>3436</v>
      </c>
      <c r="B3438" t="s">
        <v>4541</v>
      </c>
      <c r="C3438" t="s">
        <v>119</v>
      </c>
      <c r="D3438">
        <v>77620057.258924007</v>
      </c>
    </row>
    <row r="3439" spans="1:4" hidden="1" x14ac:dyDescent="0.3">
      <c r="A3439">
        <v>3437</v>
      </c>
      <c r="B3439" t="s">
        <v>4542</v>
      </c>
      <c r="C3439" t="s">
        <v>121</v>
      </c>
      <c r="D3439">
        <v>39702341.184455603</v>
      </c>
    </row>
    <row r="3440" spans="1:4" hidden="1" x14ac:dyDescent="0.3">
      <c r="A3440">
        <v>3438</v>
      </c>
      <c r="B3440" s="1" t="s">
        <v>4543</v>
      </c>
      <c r="C3440" t="s">
        <v>123</v>
      </c>
      <c r="D3440" s="1" t="s">
        <v>4544</v>
      </c>
    </row>
    <row r="3441" spans="1:4" hidden="1" x14ac:dyDescent="0.3">
      <c r="A3441">
        <v>3439</v>
      </c>
      <c r="B3441" t="s">
        <v>4545</v>
      </c>
      <c r="C3441" t="s">
        <v>126</v>
      </c>
      <c r="D3441">
        <v>0.76707116615973003</v>
      </c>
    </row>
    <row r="3442" spans="1:4" hidden="1" x14ac:dyDescent="0.3">
      <c r="A3442">
        <v>3440</v>
      </c>
      <c r="B3442" t="s">
        <v>4546</v>
      </c>
      <c r="C3442" t="s">
        <v>128</v>
      </c>
      <c r="D3442">
        <v>0.39235375787010801</v>
      </c>
    </row>
    <row r="3443" spans="1:4" hidden="1" x14ac:dyDescent="0.3">
      <c r="A3443">
        <v>3441</v>
      </c>
      <c r="B3443" s="1" t="s">
        <v>4547</v>
      </c>
      <c r="C3443" t="s">
        <v>130</v>
      </c>
      <c r="D3443" s="1" t="s">
        <v>4548</v>
      </c>
    </row>
    <row r="3444" spans="1:4" hidden="1" x14ac:dyDescent="0.3">
      <c r="A3444">
        <v>3442</v>
      </c>
      <c r="B3444" s="1" t="s">
        <v>4549</v>
      </c>
      <c r="C3444" t="s">
        <v>4</v>
      </c>
      <c r="D3444" t="s">
        <v>4550</v>
      </c>
    </row>
    <row r="3445" spans="1:4" hidden="1" x14ac:dyDescent="0.3">
      <c r="A3445">
        <v>3443</v>
      </c>
      <c r="B3445" t="s">
        <v>4551</v>
      </c>
      <c r="C3445" t="s">
        <v>7</v>
      </c>
      <c r="D3445">
        <v>1797.63</v>
      </c>
    </row>
    <row r="3446" spans="1:4" hidden="1" x14ac:dyDescent="0.3">
      <c r="A3446">
        <v>3444</v>
      </c>
      <c r="B3446" s="1" t="s">
        <v>4552</v>
      </c>
      <c r="C3446" t="s">
        <v>9</v>
      </c>
      <c r="D3446" s="1" t="s">
        <v>4553</v>
      </c>
    </row>
    <row r="3447" spans="1:4" hidden="1" x14ac:dyDescent="0.3">
      <c r="A3447">
        <v>3445</v>
      </c>
      <c r="B3447" t="s">
        <v>4554</v>
      </c>
      <c r="C3447" t="s">
        <v>14</v>
      </c>
      <c r="D3447">
        <v>98.7890625</v>
      </c>
    </row>
    <row r="3448" spans="1:4" hidden="1" x14ac:dyDescent="0.3">
      <c r="A3448">
        <v>3446</v>
      </c>
      <c r="B3448" t="s">
        <v>4555</v>
      </c>
      <c r="C3448" t="s">
        <v>16</v>
      </c>
      <c r="D3448">
        <v>4.3972923566933098</v>
      </c>
    </row>
    <row r="3449" spans="1:4" hidden="1" x14ac:dyDescent="0.3">
      <c r="A3449">
        <v>3447</v>
      </c>
      <c r="B3449" s="1" t="s">
        <v>4556</v>
      </c>
      <c r="C3449" t="s">
        <v>140</v>
      </c>
      <c r="D3449" s="1" t="s">
        <v>4557</v>
      </c>
    </row>
    <row r="3450" spans="1:4" hidden="1" x14ac:dyDescent="0.3">
      <c r="A3450">
        <v>3448</v>
      </c>
      <c r="B3450" t="s">
        <v>4558</v>
      </c>
      <c r="C3450" t="s">
        <v>22</v>
      </c>
      <c r="D3450">
        <v>75.05</v>
      </c>
    </row>
    <row r="3451" spans="1:4" hidden="1" x14ac:dyDescent="0.3">
      <c r="A3451">
        <v>3449</v>
      </c>
      <c r="B3451" t="s">
        <v>4559</v>
      </c>
      <c r="C3451" t="s">
        <v>24</v>
      </c>
      <c r="D3451">
        <v>6.3374874254906599</v>
      </c>
    </row>
    <row r="3452" spans="1:4" hidden="1" x14ac:dyDescent="0.3">
      <c r="A3452">
        <v>3450</v>
      </c>
      <c r="B3452" s="1" t="s">
        <v>4560</v>
      </c>
      <c r="C3452" t="s">
        <v>145</v>
      </c>
      <c r="D3452" s="1" t="s">
        <v>4561</v>
      </c>
    </row>
    <row r="3453" spans="1:4" hidden="1" x14ac:dyDescent="0.3">
      <c r="A3453">
        <v>3451</v>
      </c>
      <c r="B3453" t="s">
        <v>4562</v>
      </c>
      <c r="C3453" t="s">
        <v>35</v>
      </c>
      <c r="D3453">
        <v>-0.123032123867794</v>
      </c>
    </row>
    <row r="3454" spans="1:4" hidden="1" x14ac:dyDescent="0.3">
      <c r="A3454">
        <v>3452</v>
      </c>
      <c r="B3454" t="s">
        <v>4563</v>
      </c>
      <c r="C3454" t="s">
        <v>149</v>
      </c>
      <c r="D3454">
        <v>0.67433754704482596</v>
      </c>
    </row>
    <row r="3455" spans="1:4" hidden="1" x14ac:dyDescent="0.3">
      <c r="A3455">
        <v>3453</v>
      </c>
      <c r="B3455" s="1" t="s">
        <v>4564</v>
      </c>
      <c r="C3455" t="s">
        <v>151</v>
      </c>
      <c r="D3455" s="1" t="s">
        <v>4565</v>
      </c>
    </row>
    <row r="3456" spans="1:4" hidden="1" x14ac:dyDescent="0.3">
      <c r="A3456">
        <v>3454</v>
      </c>
      <c r="B3456" t="s">
        <v>4566</v>
      </c>
      <c r="C3456" t="s">
        <v>30</v>
      </c>
      <c r="D3456">
        <v>0.44893061518344801</v>
      </c>
    </row>
    <row r="3457" spans="1:4" hidden="1" x14ac:dyDescent="0.3">
      <c r="A3457">
        <v>3455</v>
      </c>
      <c r="B3457" t="s">
        <v>4567</v>
      </c>
      <c r="C3457" t="s">
        <v>32</v>
      </c>
      <c r="D3457">
        <v>0.24231096540820199</v>
      </c>
    </row>
    <row r="3458" spans="1:4" hidden="1" x14ac:dyDescent="0.3">
      <c r="A3458">
        <v>3456</v>
      </c>
      <c r="B3458" s="1" t="s">
        <v>4568</v>
      </c>
      <c r="C3458" t="s">
        <v>155</v>
      </c>
      <c r="D3458" s="1" t="s">
        <v>4569</v>
      </c>
    </row>
    <row r="3459" spans="1:4" hidden="1" x14ac:dyDescent="0.3">
      <c r="A3459">
        <v>3457</v>
      </c>
      <c r="B3459" t="s">
        <v>4570</v>
      </c>
      <c r="C3459" t="s">
        <v>40</v>
      </c>
      <c r="D3459">
        <v>0.67410150868434604</v>
      </c>
    </row>
    <row r="3460" spans="1:4" hidden="1" x14ac:dyDescent="0.3">
      <c r="A3460">
        <v>3458</v>
      </c>
      <c r="B3460" t="s">
        <v>4571</v>
      </c>
      <c r="C3460" t="s">
        <v>42</v>
      </c>
      <c r="D3460">
        <v>0.24062588777806199</v>
      </c>
    </row>
    <row r="3461" spans="1:4" hidden="1" x14ac:dyDescent="0.3">
      <c r="A3461">
        <v>3459</v>
      </c>
      <c r="B3461" s="1" t="s">
        <v>4572</v>
      </c>
      <c r="C3461" t="s">
        <v>159</v>
      </c>
      <c r="D3461" s="1" t="s">
        <v>4573</v>
      </c>
    </row>
    <row r="3462" spans="1:4" hidden="1" x14ac:dyDescent="0.3">
      <c r="A3462">
        <v>3460</v>
      </c>
      <c r="B3462" t="s">
        <v>4574</v>
      </c>
      <c r="C3462" t="s">
        <v>161</v>
      </c>
      <c r="D3462">
        <v>0.99749188469328298</v>
      </c>
    </row>
    <row r="3463" spans="1:4" hidden="1" x14ac:dyDescent="0.3">
      <c r="A3463">
        <v>3461</v>
      </c>
      <c r="B3463" t="s">
        <v>4575</v>
      </c>
      <c r="C3463" t="s">
        <v>163</v>
      </c>
      <c r="D3463">
        <v>0.99955411889349499</v>
      </c>
    </row>
    <row r="3464" spans="1:4" hidden="1" x14ac:dyDescent="0.3">
      <c r="A3464">
        <v>3462</v>
      </c>
      <c r="B3464" s="1" t="s">
        <v>4576</v>
      </c>
      <c r="C3464" t="s">
        <v>165</v>
      </c>
      <c r="D3464" s="1" t="s">
        <v>4577</v>
      </c>
    </row>
    <row r="3465" spans="1:4" hidden="1" x14ac:dyDescent="0.3">
      <c r="A3465">
        <v>3463</v>
      </c>
      <c r="B3465" t="s">
        <v>4578</v>
      </c>
      <c r="C3465" t="s">
        <v>168</v>
      </c>
      <c r="D3465">
        <v>0.99993575229484799</v>
      </c>
    </row>
    <row r="3466" spans="1:4" hidden="1" x14ac:dyDescent="0.3">
      <c r="A3466">
        <v>3464</v>
      </c>
      <c r="B3466" t="s">
        <v>4579</v>
      </c>
      <c r="C3466" t="s">
        <v>170</v>
      </c>
      <c r="D3466">
        <v>0.99973112501563499</v>
      </c>
    </row>
    <row r="3467" spans="1:4" hidden="1" x14ac:dyDescent="0.3">
      <c r="A3467">
        <v>3465</v>
      </c>
      <c r="B3467" s="1" t="s">
        <v>4580</v>
      </c>
      <c r="C3467" t="s">
        <v>172</v>
      </c>
      <c r="D3467" s="1" t="s">
        <v>4581</v>
      </c>
    </row>
    <row r="3468" spans="1:4" hidden="1" x14ac:dyDescent="0.3">
      <c r="A3468">
        <v>3466</v>
      </c>
      <c r="B3468" s="1" t="s">
        <v>4582</v>
      </c>
      <c r="C3468" t="s">
        <v>55</v>
      </c>
      <c r="D3468" s="1" t="s">
        <v>4583</v>
      </c>
    </row>
    <row r="3469" spans="1:4" hidden="1" x14ac:dyDescent="0.3">
      <c r="A3469">
        <v>3467</v>
      </c>
      <c r="B3469" s="1" t="s">
        <v>4584</v>
      </c>
      <c r="C3469" t="s">
        <v>52</v>
      </c>
      <c r="D3469" s="1" t="s">
        <v>4585</v>
      </c>
    </row>
    <row r="3470" spans="1:4" hidden="1" x14ac:dyDescent="0.3">
      <c r="A3470">
        <v>3468</v>
      </c>
      <c r="B3470" s="1" t="s">
        <v>4586</v>
      </c>
      <c r="C3470" t="s">
        <v>58</v>
      </c>
      <c r="D3470" s="1" t="s">
        <v>4587</v>
      </c>
    </row>
    <row r="3471" spans="1:4" hidden="1" x14ac:dyDescent="0.3">
      <c r="A3471">
        <v>3469</v>
      </c>
      <c r="B3471" t="s">
        <v>4588</v>
      </c>
      <c r="C3471" t="s">
        <v>61</v>
      </c>
      <c r="D3471">
        <v>146802545.25781101</v>
      </c>
    </row>
    <row r="3472" spans="1:4" hidden="1" x14ac:dyDescent="0.3">
      <c r="A3472">
        <v>3470</v>
      </c>
      <c r="B3472" t="s">
        <v>4589</v>
      </c>
      <c r="C3472" t="s">
        <v>63</v>
      </c>
      <c r="D3472">
        <v>77425377.205204695</v>
      </c>
    </row>
    <row r="3473" spans="1:4" hidden="1" x14ac:dyDescent="0.3">
      <c r="A3473">
        <v>3471</v>
      </c>
      <c r="B3473" t="s">
        <v>4590</v>
      </c>
      <c r="C3473" t="s">
        <v>65</v>
      </c>
      <c r="D3473">
        <v>39684638.660637401</v>
      </c>
    </row>
    <row r="3474" spans="1:4" hidden="1" x14ac:dyDescent="0.3">
      <c r="A3474">
        <v>3472</v>
      </c>
      <c r="B3474" s="1" t="s">
        <v>4591</v>
      </c>
      <c r="C3474" t="s">
        <v>67</v>
      </c>
      <c r="D3474" s="1" t="s">
        <v>4592</v>
      </c>
    </row>
    <row r="3475" spans="1:4" hidden="1" x14ac:dyDescent="0.3">
      <c r="A3475">
        <v>3473</v>
      </c>
      <c r="B3475" s="1" t="s">
        <v>4593</v>
      </c>
      <c r="C3475" t="s">
        <v>70</v>
      </c>
      <c r="D3475" s="1" t="s">
        <v>4594</v>
      </c>
    </row>
    <row r="3476" spans="1:4" hidden="1" x14ac:dyDescent="0.3">
      <c r="A3476">
        <v>3474</v>
      </c>
      <c r="B3476" t="s">
        <v>4595</v>
      </c>
      <c r="C3476" t="s">
        <v>73</v>
      </c>
      <c r="D3476">
        <v>1.0002091517537499</v>
      </c>
    </row>
    <row r="3477" spans="1:4" hidden="1" x14ac:dyDescent="0.3">
      <c r="A3477">
        <v>3475</v>
      </c>
      <c r="B3477" t="s">
        <v>74</v>
      </c>
      <c r="C3477" t="s">
        <v>75</v>
      </c>
      <c r="D3477">
        <v>2.7397260273972599E-3</v>
      </c>
    </row>
    <row r="3478" spans="1:4" hidden="1" x14ac:dyDescent="0.3">
      <c r="A3478">
        <v>3476</v>
      </c>
      <c r="B3478" t="s">
        <v>76</v>
      </c>
      <c r="C3478" t="s">
        <v>77</v>
      </c>
      <c r="D3478">
        <v>0</v>
      </c>
    </row>
    <row r="3479" spans="1:4" hidden="1" x14ac:dyDescent="0.3">
      <c r="A3479">
        <v>3477</v>
      </c>
      <c r="B3479" t="s">
        <v>78</v>
      </c>
      <c r="C3479" t="s">
        <v>79</v>
      </c>
      <c r="D3479">
        <v>0</v>
      </c>
    </row>
    <row r="3480" spans="1:4" hidden="1" x14ac:dyDescent="0.3">
      <c r="A3480">
        <v>3478</v>
      </c>
      <c r="B3480" s="1" t="s">
        <v>4596</v>
      </c>
      <c r="C3480" t="s">
        <v>81</v>
      </c>
      <c r="D3480" s="1" t="s">
        <v>4597</v>
      </c>
    </row>
    <row r="3481" spans="1:4" hidden="1" x14ac:dyDescent="0.3">
      <c r="A3481">
        <v>3479</v>
      </c>
      <c r="B3481" t="s">
        <v>4598</v>
      </c>
      <c r="C3481" t="s">
        <v>84</v>
      </c>
      <c r="D3481">
        <v>1.00024948324216</v>
      </c>
    </row>
    <row r="3482" spans="1:4" hidden="1" x14ac:dyDescent="0.3">
      <c r="A3482">
        <v>3480</v>
      </c>
      <c r="B3482" s="1" t="s">
        <v>4599</v>
      </c>
      <c r="C3482" t="s">
        <v>86</v>
      </c>
      <c r="D3482" s="1" t="s">
        <v>4600</v>
      </c>
    </row>
    <row r="3483" spans="1:4" hidden="1" x14ac:dyDescent="0.3">
      <c r="A3483">
        <v>3481</v>
      </c>
      <c r="B3483" t="s">
        <v>4601</v>
      </c>
      <c r="C3483" t="s">
        <v>89</v>
      </c>
      <c r="D3483">
        <v>101164540.625866</v>
      </c>
    </row>
    <row r="3484" spans="1:4" hidden="1" x14ac:dyDescent="0.3">
      <c r="A3484">
        <v>3482</v>
      </c>
      <c r="B3484" s="1" t="s">
        <v>4602</v>
      </c>
      <c r="C3484" t="s">
        <v>91</v>
      </c>
      <c r="D3484" s="1" t="s">
        <v>4536</v>
      </c>
    </row>
    <row r="3485" spans="1:4" hidden="1" x14ac:dyDescent="0.3">
      <c r="A3485">
        <v>3483</v>
      </c>
      <c r="B3485" t="s">
        <v>4603</v>
      </c>
      <c r="C3485" t="s">
        <v>94</v>
      </c>
      <c r="D3485">
        <v>77425377.205204695</v>
      </c>
    </row>
    <row r="3486" spans="1:4" hidden="1" x14ac:dyDescent="0.3">
      <c r="A3486">
        <v>3484</v>
      </c>
      <c r="B3486" t="s">
        <v>4604</v>
      </c>
      <c r="C3486" t="s">
        <v>96</v>
      </c>
      <c r="D3486">
        <v>39684638.660637401</v>
      </c>
    </row>
    <row r="3487" spans="1:4" hidden="1" x14ac:dyDescent="0.3">
      <c r="A3487">
        <v>3485</v>
      </c>
      <c r="B3487" t="s">
        <v>4605</v>
      </c>
      <c r="C3487" t="s">
        <v>98</v>
      </c>
      <c r="D3487">
        <v>29692529.391968898</v>
      </c>
    </row>
    <row r="3488" spans="1:4" hidden="1" x14ac:dyDescent="0.3">
      <c r="A3488">
        <v>3486</v>
      </c>
      <c r="B3488" s="1" t="s">
        <v>4606</v>
      </c>
      <c r="C3488" t="s">
        <v>100</v>
      </c>
      <c r="D3488" s="1" t="s">
        <v>4607</v>
      </c>
    </row>
    <row r="3489" spans="1:4" hidden="1" x14ac:dyDescent="0.3">
      <c r="A3489">
        <v>3487</v>
      </c>
      <c r="B3489" t="s">
        <v>4608</v>
      </c>
      <c r="C3489" t="s">
        <v>103</v>
      </c>
      <c r="D3489">
        <v>8.5521862183660594E-3</v>
      </c>
    </row>
    <row r="3490" spans="1:4" hidden="1" x14ac:dyDescent="0.3">
      <c r="A3490">
        <v>3488</v>
      </c>
      <c r="B3490" t="s">
        <v>4609</v>
      </c>
      <c r="C3490" t="s">
        <v>105</v>
      </c>
      <c r="D3490">
        <v>1.80621947884599E-3</v>
      </c>
    </row>
    <row r="3491" spans="1:4" hidden="1" x14ac:dyDescent="0.3">
      <c r="A3491">
        <v>3489</v>
      </c>
      <c r="B3491" t="s">
        <v>4610</v>
      </c>
      <c r="C3491" t="s">
        <v>107</v>
      </c>
      <c r="D3491">
        <v>1.1237173653006E-2</v>
      </c>
    </row>
    <row r="3492" spans="1:4" hidden="1" x14ac:dyDescent="0.3">
      <c r="A3492">
        <v>3490</v>
      </c>
      <c r="B3492" s="1" t="s">
        <v>4611</v>
      </c>
      <c r="C3492" t="s">
        <v>109</v>
      </c>
      <c r="D3492" s="1" t="s">
        <v>4612</v>
      </c>
    </row>
    <row r="3493" spans="1:4" x14ac:dyDescent="0.3">
      <c r="A3493">
        <v>3491</v>
      </c>
      <c r="B3493" t="s">
        <v>4613</v>
      </c>
      <c r="C3493" t="s">
        <v>207</v>
      </c>
      <c r="D3493">
        <v>146803955.09059501</v>
      </c>
    </row>
    <row r="3494" spans="1:4" hidden="1" x14ac:dyDescent="0.3">
      <c r="A3494">
        <v>3492</v>
      </c>
      <c r="B3494" t="s">
        <v>4614</v>
      </c>
      <c r="C3494" t="s">
        <v>209</v>
      </c>
      <c r="D3494">
        <v>-3122.0693346167</v>
      </c>
    </row>
    <row r="3495" spans="1:4" hidden="1" x14ac:dyDescent="0.3">
      <c r="A3495">
        <v>3493</v>
      </c>
      <c r="B3495" t="s">
        <v>4615</v>
      </c>
      <c r="C3495" t="s">
        <v>211</v>
      </c>
      <c r="D3495">
        <v>-1600.2143613676899</v>
      </c>
    </row>
    <row r="3496" spans="1:4" hidden="1" x14ac:dyDescent="0.3">
      <c r="A3496">
        <v>3494</v>
      </c>
      <c r="B3496" s="1" t="s">
        <v>4616</v>
      </c>
      <c r="C3496" t="s">
        <v>213</v>
      </c>
      <c r="D3496" s="1" t="s">
        <v>4617</v>
      </c>
    </row>
    <row r="3497" spans="1:4" hidden="1" x14ac:dyDescent="0.3">
      <c r="A3497">
        <v>3495</v>
      </c>
      <c r="B3497" t="s">
        <v>4618</v>
      </c>
      <c r="C3497" t="s">
        <v>216</v>
      </c>
      <c r="D3497">
        <v>77429531.170746699</v>
      </c>
    </row>
    <row r="3498" spans="1:4" hidden="1" x14ac:dyDescent="0.3">
      <c r="A3498">
        <v>3496</v>
      </c>
      <c r="B3498" t="s">
        <v>4619</v>
      </c>
      <c r="C3498" t="s">
        <v>218</v>
      </c>
      <c r="D3498">
        <v>39686449.752919398</v>
      </c>
    </row>
    <row r="3499" spans="1:4" hidden="1" x14ac:dyDescent="0.3">
      <c r="A3499">
        <v>3497</v>
      </c>
      <c r="B3499" t="s">
        <v>4620</v>
      </c>
      <c r="C3499" t="s">
        <v>220</v>
      </c>
      <c r="D3499">
        <v>29693893.750850201</v>
      </c>
    </row>
    <row r="3500" spans="1:4" hidden="1" x14ac:dyDescent="0.3">
      <c r="A3500">
        <v>3498</v>
      </c>
      <c r="B3500" s="1" t="s">
        <v>4621</v>
      </c>
      <c r="C3500" t="s">
        <v>222</v>
      </c>
      <c r="D3500" s="1" t="s">
        <v>4622</v>
      </c>
    </row>
    <row r="3501" spans="1:4" hidden="1" x14ac:dyDescent="0.3">
      <c r="A3501">
        <v>3499</v>
      </c>
      <c r="B3501" t="s">
        <v>4623</v>
      </c>
      <c r="C3501" t="s">
        <v>225</v>
      </c>
      <c r="D3501">
        <v>101168619.88917799</v>
      </c>
    </row>
    <row r="3502" spans="1:4" hidden="1" x14ac:dyDescent="0.3">
      <c r="A3502">
        <v>3500</v>
      </c>
      <c r="B3502" t="s">
        <v>4624</v>
      </c>
      <c r="C3502" t="s">
        <v>227</v>
      </c>
      <c r="D3502">
        <v>-4079.2633121460599</v>
      </c>
    </row>
    <row r="3503" spans="1:4" hidden="1" x14ac:dyDescent="0.3">
      <c r="A3503">
        <v>3501</v>
      </c>
      <c r="B3503" s="1" t="s">
        <v>4625</v>
      </c>
      <c r="C3503" t="s">
        <v>229</v>
      </c>
      <c r="D3503" s="1" t="s">
        <v>4626</v>
      </c>
    </row>
    <row r="3504" spans="1:4" hidden="1" x14ac:dyDescent="0.3">
      <c r="A3504">
        <v>3502</v>
      </c>
      <c r="B3504" t="s">
        <v>4627</v>
      </c>
      <c r="C3504" t="s">
        <v>112</v>
      </c>
      <c r="D3504">
        <v>1031.8962073837599</v>
      </c>
    </row>
    <row r="3505" spans="1:4" hidden="1" x14ac:dyDescent="0.3">
      <c r="A3505">
        <v>3503</v>
      </c>
      <c r="B3505" t="s">
        <v>4628</v>
      </c>
      <c r="C3505" t="s">
        <v>114</v>
      </c>
      <c r="D3505">
        <v>210.877920595376</v>
      </c>
    </row>
    <row r="3506" spans="1:4" hidden="1" x14ac:dyDescent="0.3">
      <c r="A3506">
        <v>3504</v>
      </c>
      <c r="B3506" s="1" t="s">
        <v>4629</v>
      </c>
      <c r="C3506" t="s">
        <v>116</v>
      </c>
      <c r="D3506" s="1" t="s">
        <v>4630</v>
      </c>
    </row>
    <row r="3507" spans="1:4" hidden="1" x14ac:dyDescent="0.3">
      <c r="A3507">
        <v>3505</v>
      </c>
      <c r="B3507" t="s">
        <v>4631</v>
      </c>
      <c r="C3507" t="s">
        <v>119</v>
      </c>
      <c r="D3507">
        <v>77429531.170746699</v>
      </c>
    </row>
    <row r="3508" spans="1:4" hidden="1" x14ac:dyDescent="0.3">
      <c r="A3508">
        <v>3506</v>
      </c>
      <c r="B3508" t="s">
        <v>4632</v>
      </c>
      <c r="C3508" t="s">
        <v>121</v>
      </c>
      <c r="D3508">
        <v>39686449.752919398</v>
      </c>
    </row>
    <row r="3509" spans="1:4" hidden="1" x14ac:dyDescent="0.3">
      <c r="A3509">
        <v>3507</v>
      </c>
      <c r="B3509" s="1" t="s">
        <v>4633</v>
      </c>
      <c r="C3509" t="s">
        <v>123</v>
      </c>
      <c r="D3509" s="1" t="s">
        <v>4634</v>
      </c>
    </row>
    <row r="3510" spans="1:4" hidden="1" x14ac:dyDescent="0.3">
      <c r="A3510">
        <v>3508</v>
      </c>
      <c r="B3510" t="s">
        <v>4635</v>
      </c>
      <c r="C3510" t="s">
        <v>126</v>
      </c>
      <c r="D3510">
        <v>0.76516036991732705</v>
      </c>
    </row>
    <row r="3511" spans="1:4" hidden="1" x14ac:dyDescent="0.3">
      <c r="A3511">
        <v>3509</v>
      </c>
      <c r="B3511" t="s">
        <v>4636</v>
      </c>
      <c r="C3511" t="s">
        <v>128</v>
      </c>
      <c r="D3511">
        <v>0.39218238977432701</v>
      </c>
    </row>
    <row r="3512" spans="1:4" hidden="1" x14ac:dyDescent="0.3">
      <c r="A3512">
        <v>3510</v>
      </c>
      <c r="B3512" s="1" t="s">
        <v>4637</v>
      </c>
      <c r="C3512" t="s">
        <v>130</v>
      </c>
      <c r="D3512" s="1" t="s">
        <v>4638</v>
      </c>
    </row>
    <row r="3513" spans="1:4" hidden="1" x14ac:dyDescent="0.3">
      <c r="A3513">
        <v>3511</v>
      </c>
      <c r="B3513" s="1" t="s">
        <v>4639</v>
      </c>
      <c r="C3513" t="s">
        <v>4</v>
      </c>
      <c r="D3513" t="s">
        <v>4640</v>
      </c>
    </row>
    <row r="3514" spans="1:4" hidden="1" x14ac:dyDescent="0.3">
      <c r="A3514">
        <v>3512</v>
      </c>
      <c r="B3514" t="s">
        <v>4641</v>
      </c>
      <c r="C3514" t="s">
        <v>7</v>
      </c>
      <c r="D3514">
        <v>1799.09</v>
      </c>
    </row>
    <row r="3515" spans="1:4" hidden="1" x14ac:dyDescent="0.3">
      <c r="A3515">
        <v>3513</v>
      </c>
      <c r="B3515" s="1" t="s">
        <v>4642</v>
      </c>
      <c r="C3515" t="s">
        <v>9</v>
      </c>
      <c r="D3515" s="1" t="s">
        <v>4643</v>
      </c>
    </row>
    <row r="3516" spans="1:4" hidden="1" x14ac:dyDescent="0.3">
      <c r="A3516">
        <v>3514</v>
      </c>
      <c r="B3516" t="s">
        <v>4644</v>
      </c>
      <c r="C3516" t="s">
        <v>14</v>
      </c>
      <c r="D3516">
        <v>98.88671875</v>
      </c>
    </row>
    <row r="3517" spans="1:4" hidden="1" x14ac:dyDescent="0.3">
      <c r="A3517">
        <v>3515</v>
      </c>
      <c r="B3517" t="s">
        <v>4645</v>
      </c>
      <c r="C3517" t="s">
        <v>16</v>
      </c>
      <c r="D3517">
        <v>4.4003804699695097</v>
      </c>
    </row>
    <row r="3518" spans="1:4" hidden="1" x14ac:dyDescent="0.3">
      <c r="A3518">
        <v>3516</v>
      </c>
      <c r="B3518" s="1" t="s">
        <v>4646</v>
      </c>
      <c r="C3518" t="s">
        <v>140</v>
      </c>
      <c r="D3518" s="1" t="s">
        <v>4647</v>
      </c>
    </row>
    <row r="3519" spans="1:4" hidden="1" x14ac:dyDescent="0.3">
      <c r="A3519">
        <v>3517</v>
      </c>
      <c r="B3519" t="s">
        <v>4648</v>
      </c>
      <c r="C3519" t="s">
        <v>22</v>
      </c>
      <c r="D3519">
        <v>75.400000000000006</v>
      </c>
    </row>
    <row r="3520" spans="1:4" hidden="1" x14ac:dyDescent="0.3">
      <c r="A3520">
        <v>3518</v>
      </c>
      <c r="B3520" t="s">
        <v>4649</v>
      </c>
      <c r="C3520" t="s">
        <v>24</v>
      </c>
      <c r="D3520">
        <v>6.3942132790581301</v>
      </c>
    </row>
    <row r="3521" spans="1:4" hidden="1" x14ac:dyDescent="0.3">
      <c r="A3521">
        <v>3519</v>
      </c>
      <c r="B3521" s="1" t="s">
        <v>4650</v>
      </c>
      <c r="C3521" t="s">
        <v>145</v>
      </c>
      <c r="D3521" s="1" t="s">
        <v>4651</v>
      </c>
    </row>
    <row r="3522" spans="1:4" hidden="1" x14ac:dyDescent="0.3">
      <c r="A3522">
        <v>3520</v>
      </c>
      <c r="B3522" t="s">
        <v>4652</v>
      </c>
      <c r="C3522" t="s">
        <v>35</v>
      </c>
      <c r="D3522">
        <v>0.17117538173639801</v>
      </c>
    </row>
    <row r="3523" spans="1:4" hidden="1" x14ac:dyDescent="0.3">
      <c r="A3523">
        <v>3521</v>
      </c>
      <c r="B3523" t="s">
        <v>4653</v>
      </c>
      <c r="C3523" t="s">
        <v>149</v>
      </c>
      <c r="D3523">
        <v>0.70643594476427496</v>
      </c>
    </row>
    <row r="3524" spans="1:4" hidden="1" x14ac:dyDescent="0.3">
      <c r="A3524">
        <v>3522</v>
      </c>
      <c r="B3524" s="1" t="s">
        <v>4654</v>
      </c>
      <c r="C3524" t="s">
        <v>151</v>
      </c>
      <c r="D3524" s="1" t="s">
        <v>4655</v>
      </c>
    </row>
    <row r="3525" spans="1:4" hidden="1" x14ac:dyDescent="0.3">
      <c r="A3525">
        <v>3523</v>
      </c>
      <c r="B3525" t="s">
        <v>4656</v>
      </c>
      <c r="C3525" t="s">
        <v>30</v>
      </c>
      <c r="D3525">
        <v>0.32762252271978198</v>
      </c>
    </row>
    <row r="3526" spans="1:4" hidden="1" x14ac:dyDescent="0.3">
      <c r="A3526">
        <v>3524</v>
      </c>
      <c r="B3526" t="s">
        <v>4657</v>
      </c>
      <c r="C3526" t="s">
        <v>32</v>
      </c>
      <c r="D3526">
        <v>0.20972210774167599</v>
      </c>
    </row>
    <row r="3527" spans="1:4" hidden="1" x14ac:dyDescent="0.3">
      <c r="A3527">
        <v>3525</v>
      </c>
      <c r="B3527" s="1" t="s">
        <v>4658</v>
      </c>
      <c r="C3527" t="s">
        <v>155</v>
      </c>
      <c r="D3527" s="1" t="s">
        <v>4659</v>
      </c>
    </row>
    <row r="3528" spans="1:4" hidden="1" x14ac:dyDescent="0.3">
      <c r="A3528">
        <v>3526</v>
      </c>
      <c r="B3528" t="s">
        <v>4660</v>
      </c>
      <c r="C3528" t="s">
        <v>40</v>
      </c>
      <c r="D3528">
        <v>0.501202095543818</v>
      </c>
    </row>
    <row r="3529" spans="1:4" hidden="1" x14ac:dyDescent="0.3">
      <c r="A3529">
        <v>3527</v>
      </c>
      <c r="B3529" t="s">
        <v>4661</v>
      </c>
      <c r="C3529" t="s">
        <v>42</v>
      </c>
      <c r="D3529">
        <v>0.20583440153770499</v>
      </c>
    </row>
    <row r="3530" spans="1:4" hidden="1" x14ac:dyDescent="0.3">
      <c r="A3530">
        <v>3528</v>
      </c>
      <c r="B3530" s="1" t="s">
        <v>4662</v>
      </c>
      <c r="C3530" t="s">
        <v>159</v>
      </c>
      <c r="D3530" s="1" t="s">
        <v>4663</v>
      </c>
    </row>
    <row r="3531" spans="1:4" hidden="1" x14ac:dyDescent="0.3">
      <c r="A3531">
        <v>3529</v>
      </c>
      <c r="B3531" t="s">
        <v>4664</v>
      </c>
      <c r="C3531" t="s">
        <v>161</v>
      </c>
      <c r="D3531">
        <v>1.00081218048207</v>
      </c>
    </row>
    <row r="3532" spans="1:4" hidden="1" x14ac:dyDescent="0.3">
      <c r="A3532">
        <v>3530</v>
      </c>
      <c r="B3532" t="s">
        <v>4665</v>
      </c>
      <c r="C3532" t="s">
        <v>163</v>
      </c>
      <c r="D3532">
        <v>1.0009763341617799</v>
      </c>
    </row>
    <row r="3533" spans="1:4" hidden="1" x14ac:dyDescent="0.3">
      <c r="A3533">
        <v>3531</v>
      </c>
      <c r="B3533" s="1" t="s">
        <v>4666</v>
      </c>
      <c r="C3533" t="s">
        <v>165</v>
      </c>
      <c r="D3533" s="1" t="s">
        <v>4667</v>
      </c>
    </row>
    <row r="3534" spans="1:4" hidden="1" x14ac:dyDescent="0.3">
      <c r="A3534">
        <v>3532</v>
      </c>
      <c r="B3534" t="s">
        <v>4668</v>
      </c>
      <c r="C3534" t="s">
        <v>168</v>
      </c>
      <c r="D3534">
        <v>1.0191708044629899</v>
      </c>
    </row>
    <row r="3535" spans="1:4" hidden="1" x14ac:dyDescent="0.3">
      <c r="A3535">
        <v>3533</v>
      </c>
      <c r="B3535" t="s">
        <v>4669</v>
      </c>
      <c r="C3535" t="s">
        <v>170</v>
      </c>
      <c r="D3535">
        <v>0.97376755210735999</v>
      </c>
    </row>
    <row r="3536" spans="1:4" hidden="1" x14ac:dyDescent="0.3">
      <c r="A3536">
        <v>3534</v>
      </c>
      <c r="B3536" s="1" t="s">
        <v>4670</v>
      </c>
      <c r="C3536" t="s">
        <v>172</v>
      </c>
      <c r="D3536" s="1" t="s">
        <v>4671</v>
      </c>
    </row>
    <row r="3537" spans="1:4" hidden="1" x14ac:dyDescent="0.3">
      <c r="A3537">
        <v>3535</v>
      </c>
      <c r="B3537" s="1" t="s">
        <v>4672</v>
      </c>
      <c r="C3537" t="s">
        <v>55</v>
      </c>
      <c r="D3537" s="1" t="s">
        <v>4673</v>
      </c>
    </row>
    <row r="3538" spans="1:4" hidden="1" x14ac:dyDescent="0.3">
      <c r="A3538">
        <v>3536</v>
      </c>
      <c r="B3538" s="1" t="s">
        <v>4674</v>
      </c>
      <c r="C3538" t="s">
        <v>52</v>
      </c>
      <c r="D3538" s="1" t="s">
        <v>4675</v>
      </c>
    </row>
    <row r="3539" spans="1:4" hidden="1" x14ac:dyDescent="0.3">
      <c r="A3539">
        <v>3537</v>
      </c>
      <c r="B3539" s="1" t="s">
        <v>4676</v>
      </c>
      <c r="C3539" t="s">
        <v>58</v>
      </c>
      <c r="D3539" s="1" t="s">
        <v>4677</v>
      </c>
    </row>
    <row r="3540" spans="1:4" hidden="1" x14ac:dyDescent="0.3">
      <c r="A3540">
        <v>3538</v>
      </c>
      <c r="B3540" t="s">
        <v>4678</v>
      </c>
      <c r="C3540" t="s">
        <v>61</v>
      </c>
      <c r="D3540">
        <v>147059900.938476</v>
      </c>
    </row>
    <row r="3541" spans="1:4" hidden="1" x14ac:dyDescent="0.3">
      <c r="A3541">
        <v>3539</v>
      </c>
      <c r="B3541" t="s">
        <v>4679</v>
      </c>
      <c r="C3541" t="s">
        <v>63</v>
      </c>
      <c r="D3541">
        <v>77492417.924700096</v>
      </c>
    </row>
    <row r="3542" spans="1:4" hidden="1" x14ac:dyDescent="0.3">
      <c r="A3542">
        <v>3540</v>
      </c>
      <c r="B3542" t="s">
        <v>4680</v>
      </c>
      <c r="C3542" t="s">
        <v>65</v>
      </c>
      <c r="D3542">
        <v>39725196.989572898</v>
      </c>
    </row>
    <row r="3543" spans="1:4" hidden="1" x14ac:dyDescent="0.3">
      <c r="A3543">
        <v>3541</v>
      </c>
      <c r="B3543" s="1" t="s">
        <v>4681</v>
      </c>
      <c r="C3543" t="s">
        <v>67</v>
      </c>
      <c r="D3543" s="1" t="s">
        <v>4682</v>
      </c>
    </row>
    <row r="3544" spans="1:4" hidden="1" x14ac:dyDescent="0.3">
      <c r="A3544">
        <v>3542</v>
      </c>
      <c r="B3544" s="1" t="s">
        <v>4683</v>
      </c>
      <c r="C3544" t="s">
        <v>70</v>
      </c>
      <c r="D3544" s="1" t="s">
        <v>4684</v>
      </c>
    </row>
    <row r="3545" spans="1:4" hidden="1" x14ac:dyDescent="0.3">
      <c r="A3545">
        <v>3543</v>
      </c>
      <c r="B3545" t="s">
        <v>4685</v>
      </c>
      <c r="C3545" t="s">
        <v>73</v>
      </c>
      <c r="D3545">
        <v>1.00024948324216</v>
      </c>
    </row>
    <row r="3546" spans="1:4" hidden="1" x14ac:dyDescent="0.3">
      <c r="A3546">
        <v>3544</v>
      </c>
      <c r="B3546" t="s">
        <v>74</v>
      </c>
      <c r="C3546" t="s">
        <v>75</v>
      </c>
      <c r="D3546">
        <v>2.7397260273972599E-3</v>
      </c>
    </row>
    <row r="3547" spans="1:4" hidden="1" x14ac:dyDescent="0.3">
      <c r="A3547">
        <v>3545</v>
      </c>
      <c r="B3547" t="s">
        <v>76</v>
      </c>
      <c r="C3547" t="s">
        <v>77</v>
      </c>
      <c r="D3547">
        <v>0</v>
      </c>
    </row>
    <row r="3548" spans="1:4" hidden="1" x14ac:dyDescent="0.3">
      <c r="A3548">
        <v>3546</v>
      </c>
      <c r="B3548" t="s">
        <v>650</v>
      </c>
      <c r="C3548" t="s">
        <v>79</v>
      </c>
      <c r="D3548" s="2">
        <v>2.2204460492503101E-16</v>
      </c>
    </row>
    <row r="3549" spans="1:4" hidden="1" x14ac:dyDescent="0.3">
      <c r="A3549">
        <v>3547</v>
      </c>
      <c r="B3549" s="1" t="s">
        <v>4686</v>
      </c>
      <c r="C3549" t="s">
        <v>81</v>
      </c>
      <c r="D3549" s="1" t="s">
        <v>4687</v>
      </c>
    </row>
    <row r="3550" spans="1:4" hidden="1" x14ac:dyDescent="0.3">
      <c r="A3550">
        <v>3548</v>
      </c>
      <c r="B3550" t="s">
        <v>4688</v>
      </c>
      <c r="C3550" t="s">
        <v>84</v>
      </c>
      <c r="D3550">
        <v>1.0002517733460901</v>
      </c>
    </row>
    <row r="3551" spans="1:4" hidden="1" x14ac:dyDescent="0.3">
      <c r="A3551">
        <v>3549</v>
      </c>
      <c r="B3551" s="1" t="s">
        <v>4689</v>
      </c>
      <c r="C3551" t="s">
        <v>86</v>
      </c>
      <c r="D3551" s="1" t="s">
        <v>4690</v>
      </c>
    </row>
    <row r="3552" spans="1:4" hidden="1" x14ac:dyDescent="0.3">
      <c r="A3552">
        <v>3550</v>
      </c>
      <c r="B3552" t="s">
        <v>4691</v>
      </c>
      <c r="C3552" t="s">
        <v>89</v>
      </c>
      <c r="D3552">
        <v>101164309.006869</v>
      </c>
    </row>
    <row r="3553" spans="1:4" hidden="1" x14ac:dyDescent="0.3">
      <c r="A3553">
        <v>3551</v>
      </c>
      <c r="B3553" s="1" t="s">
        <v>4692</v>
      </c>
      <c r="C3553" t="s">
        <v>91</v>
      </c>
      <c r="D3553" s="1" t="s">
        <v>4626</v>
      </c>
    </row>
    <row r="3554" spans="1:4" hidden="1" x14ac:dyDescent="0.3">
      <c r="A3554">
        <v>3552</v>
      </c>
      <c r="B3554" t="s">
        <v>4693</v>
      </c>
      <c r="C3554" t="s">
        <v>94</v>
      </c>
      <c r="D3554">
        <v>77492417.924700096</v>
      </c>
    </row>
    <row r="3555" spans="1:4" hidden="1" x14ac:dyDescent="0.3">
      <c r="A3555">
        <v>3553</v>
      </c>
      <c r="B3555" t="s">
        <v>4694</v>
      </c>
      <c r="C3555" t="s">
        <v>96</v>
      </c>
      <c r="D3555">
        <v>39725196.989572898</v>
      </c>
    </row>
    <row r="3556" spans="1:4" hidden="1" x14ac:dyDescent="0.3">
      <c r="A3556">
        <v>3554</v>
      </c>
      <c r="B3556" t="s">
        <v>4695</v>
      </c>
      <c r="C3556" t="s">
        <v>98</v>
      </c>
      <c r="D3556">
        <v>29842286.0242032</v>
      </c>
    </row>
    <row r="3557" spans="1:4" hidden="1" x14ac:dyDescent="0.3">
      <c r="A3557">
        <v>3555</v>
      </c>
      <c r="B3557" s="1" t="s">
        <v>4696</v>
      </c>
      <c r="C3557" t="s">
        <v>100</v>
      </c>
      <c r="D3557" s="1" t="s">
        <v>4697</v>
      </c>
    </row>
    <row r="3558" spans="1:4" hidden="1" x14ac:dyDescent="0.3">
      <c r="A3558">
        <v>3556</v>
      </c>
      <c r="B3558" t="s">
        <v>4698</v>
      </c>
      <c r="C3558" t="s">
        <v>103</v>
      </c>
      <c r="D3558">
        <v>8.3331220152970606E-3</v>
      </c>
    </row>
    <row r="3559" spans="1:4" hidden="1" x14ac:dyDescent="0.3">
      <c r="A3559">
        <v>3557</v>
      </c>
      <c r="B3559" t="s">
        <v>4699</v>
      </c>
      <c r="C3559" t="s">
        <v>105</v>
      </c>
      <c r="D3559">
        <v>1.5156169713116401E-3</v>
      </c>
    </row>
    <row r="3560" spans="1:4" hidden="1" x14ac:dyDescent="0.3">
      <c r="A3560">
        <v>3558</v>
      </c>
      <c r="B3560" t="s">
        <v>4700</v>
      </c>
      <c r="C3560" t="s">
        <v>107</v>
      </c>
      <c r="D3560">
        <v>1.09878079672552E-2</v>
      </c>
    </row>
    <row r="3561" spans="1:4" hidden="1" x14ac:dyDescent="0.3">
      <c r="A3561">
        <v>3559</v>
      </c>
      <c r="B3561" s="1" t="s">
        <v>4701</v>
      </c>
      <c r="C3561" t="s">
        <v>109</v>
      </c>
      <c r="D3561" s="1" t="s">
        <v>4702</v>
      </c>
    </row>
    <row r="3562" spans="1:4" x14ac:dyDescent="0.3">
      <c r="A3562">
        <v>3560</v>
      </c>
      <c r="B3562" t="s">
        <v>4703</v>
      </c>
      <c r="C3562" t="s">
        <v>207</v>
      </c>
      <c r="D3562">
        <v>147059981.38459</v>
      </c>
    </row>
    <row r="3563" spans="1:4" hidden="1" x14ac:dyDescent="0.3">
      <c r="A3563">
        <v>3561</v>
      </c>
      <c r="B3563" t="s">
        <v>4704</v>
      </c>
      <c r="C3563" t="s">
        <v>209</v>
      </c>
      <c r="D3563">
        <v>-177.42156715641599</v>
      </c>
    </row>
    <row r="3564" spans="1:4" hidden="1" x14ac:dyDescent="0.3">
      <c r="A3564">
        <v>3562</v>
      </c>
      <c r="B3564" t="s">
        <v>4705</v>
      </c>
      <c r="C3564" t="s">
        <v>211</v>
      </c>
      <c r="D3564">
        <v>-90.9521680042821</v>
      </c>
    </row>
    <row r="3565" spans="1:4" hidden="1" x14ac:dyDescent="0.3">
      <c r="A3565">
        <v>3563</v>
      </c>
      <c r="B3565" s="1" t="s">
        <v>4706</v>
      </c>
      <c r="C3565" t="s">
        <v>213</v>
      </c>
      <c r="D3565" s="1" t="s">
        <v>4707</v>
      </c>
    </row>
    <row r="3566" spans="1:4" hidden="1" x14ac:dyDescent="0.3">
      <c r="A3566">
        <v>3564</v>
      </c>
      <c r="B3566" t="s">
        <v>4708</v>
      </c>
      <c r="C3566" t="s">
        <v>216</v>
      </c>
      <c r="D3566">
        <v>77492656.386679694</v>
      </c>
    </row>
    <row r="3567" spans="1:4" hidden="1" x14ac:dyDescent="0.3">
      <c r="A3567">
        <v>3565</v>
      </c>
      <c r="B3567" t="s">
        <v>4709</v>
      </c>
      <c r="C3567" t="s">
        <v>218</v>
      </c>
      <c r="D3567">
        <v>39725300.682107598</v>
      </c>
    </row>
    <row r="3568" spans="1:4" hidden="1" x14ac:dyDescent="0.3">
      <c r="A3568">
        <v>3566</v>
      </c>
      <c r="B3568" t="s">
        <v>4710</v>
      </c>
      <c r="C3568" t="s">
        <v>220</v>
      </c>
      <c r="D3568">
        <v>29842361.014444299</v>
      </c>
    </row>
    <row r="3569" spans="1:4" hidden="1" x14ac:dyDescent="0.3">
      <c r="A3569">
        <v>3567</v>
      </c>
      <c r="B3569" s="1" t="s">
        <v>4711</v>
      </c>
      <c r="C3569" t="s">
        <v>222</v>
      </c>
      <c r="D3569" s="1" t="s">
        <v>4712</v>
      </c>
    </row>
    <row r="3570" spans="1:4" hidden="1" x14ac:dyDescent="0.3">
      <c r="A3570">
        <v>3568</v>
      </c>
      <c r="B3570" t="s">
        <v>4713</v>
      </c>
      <c r="C3570" t="s">
        <v>225</v>
      </c>
      <c r="D3570">
        <v>101164540.625866</v>
      </c>
    </row>
    <row r="3571" spans="1:4" hidden="1" x14ac:dyDescent="0.3">
      <c r="A3571">
        <v>3569</v>
      </c>
      <c r="B3571" t="s">
        <v>4714</v>
      </c>
      <c r="C3571" t="s">
        <v>227</v>
      </c>
      <c r="D3571">
        <v>-231.61899688839901</v>
      </c>
    </row>
    <row r="3572" spans="1:4" hidden="1" x14ac:dyDescent="0.3">
      <c r="A3572">
        <v>3570</v>
      </c>
      <c r="B3572" s="1" t="s">
        <v>4715</v>
      </c>
      <c r="C3572" t="s">
        <v>229</v>
      </c>
      <c r="D3572" s="1" t="s">
        <v>4716</v>
      </c>
    </row>
    <row r="3573" spans="1:4" hidden="1" x14ac:dyDescent="0.3">
      <c r="A3573">
        <v>3571</v>
      </c>
      <c r="B3573" t="s">
        <v>4717</v>
      </c>
      <c r="C3573" t="s">
        <v>112</v>
      </c>
      <c r="D3573">
        <v>61.040412436072003</v>
      </c>
    </row>
    <row r="3574" spans="1:4" hidden="1" x14ac:dyDescent="0.3">
      <c r="A3574">
        <v>3572</v>
      </c>
      <c r="B3574" t="s">
        <v>4718</v>
      </c>
      <c r="C3574" t="s">
        <v>114</v>
      </c>
      <c r="D3574">
        <v>12.7403666553154</v>
      </c>
    </row>
    <row r="3575" spans="1:4" hidden="1" x14ac:dyDescent="0.3">
      <c r="A3575">
        <v>3573</v>
      </c>
      <c r="B3575" s="1" t="s">
        <v>4719</v>
      </c>
      <c r="C3575" t="s">
        <v>116</v>
      </c>
      <c r="D3575" s="1" t="s">
        <v>4720</v>
      </c>
    </row>
    <row r="3576" spans="1:4" hidden="1" x14ac:dyDescent="0.3">
      <c r="A3576">
        <v>3574</v>
      </c>
      <c r="B3576" t="s">
        <v>4721</v>
      </c>
      <c r="C3576" t="s">
        <v>119</v>
      </c>
      <c r="D3576">
        <v>77492656.386679694</v>
      </c>
    </row>
    <row r="3577" spans="1:4" hidden="1" x14ac:dyDescent="0.3">
      <c r="A3577">
        <v>3575</v>
      </c>
      <c r="B3577" t="s">
        <v>4722</v>
      </c>
      <c r="C3577" t="s">
        <v>121</v>
      </c>
      <c r="D3577">
        <v>39725300.682107598</v>
      </c>
    </row>
    <row r="3578" spans="1:4" hidden="1" x14ac:dyDescent="0.3">
      <c r="A3578">
        <v>3576</v>
      </c>
      <c r="B3578" s="1" t="s">
        <v>4723</v>
      </c>
      <c r="C3578" t="s">
        <v>123</v>
      </c>
      <c r="D3578" s="1" t="s">
        <v>4724</v>
      </c>
    </row>
    <row r="3579" spans="1:4" hidden="1" x14ac:dyDescent="0.3">
      <c r="A3579">
        <v>3577</v>
      </c>
      <c r="B3579" t="s">
        <v>4725</v>
      </c>
      <c r="C3579" t="s">
        <v>126</v>
      </c>
      <c r="D3579">
        <v>0.76581330012468296</v>
      </c>
    </row>
    <row r="3580" spans="1:4" hidden="1" x14ac:dyDescent="0.3">
      <c r="A3580">
        <v>3578</v>
      </c>
      <c r="B3580" t="s">
        <v>4726</v>
      </c>
      <c r="C3580" t="s">
        <v>128</v>
      </c>
      <c r="D3580">
        <v>0.39258124617650197</v>
      </c>
    </row>
    <row r="3581" spans="1:4" hidden="1" x14ac:dyDescent="0.3">
      <c r="A3581">
        <v>3579</v>
      </c>
      <c r="B3581" s="1" t="s">
        <v>4727</v>
      </c>
      <c r="C3581" t="s">
        <v>130</v>
      </c>
      <c r="D3581" s="1" t="s">
        <v>4728</v>
      </c>
    </row>
    <row r="3582" spans="1:4" hidden="1" x14ac:dyDescent="0.3">
      <c r="A3582">
        <v>3580</v>
      </c>
      <c r="B3582" s="1" t="s">
        <v>4729</v>
      </c>
      <c r="C3582" t="s">
        <v>4</v>
      </c>
      <c r="D3582" t="s">
        <v>4730</v>
      </c>
    </row>
    <row r="3583" spans="1:4" hidden="1" x14ac:dyDescent="0.3">
      <c r="A3583">
        <v>3581</v>
      </c>
      <c r="B3583" t="s">
        <v>4731</v>
      </c>
      <c r="C3583" t="s">
        <v>7</v>
      </c>
      <c r="D3583">
        <v>1807.11</v>
      </c>
    </row>
    <row r="3584" spans="1:4" hidden="1" x14ac:dyDescent="0.3">
      <c r="A3584">
        <v>3582</v>
      </c>
      <c r="B3584" s="1" t="s">
        <v>4732</v>
      </c>
      <c r="C3584" t="s">
        <v>9</v>
      </c>
      <c r="D3584" s="1" t="s">
        <v>4733</v>
      </c>
    </row>
    <row r="3585" spans="1:4" hidden="1" x14ac:dyDescent="0.3">
      <c r="A3585">
        <v>3583</v>
      </c>
      <c r="B3585" t="s">
        <v>4734</v>
      </c>
      <c r="C3585" t="s">
        <v>14</v>
      </c>
      <c r="D3585">
        <v>98.90625</v>
      </c>
    </row>
    <row r="3586" spans="1:4" hidden="1" x14ac:dyDescent="0.3">
      <c r="A3586">
        <v>3584</v>
      </c>
      <c r="B3586" t="s">
        <v>4735</v>
      </c>
      <c r="C3586" t="s">
        <v>16</v>
      </c>
      <c r="D3586">
        <v>4.39956330972639</v>
      </c>
    </row>
    <row r="3587" spans="1:4" hidden="1" x14ac:dyDescent="0.3">
      <c r="A3587">
        <v>3585</v>
      </c>
      <c r="B3587" s="1" t="s">
        <v>4736</v>
      </c>
      <c r="C3587" t="s">
        <v>140</v>
      </c>
      <c r="D3587" s="1" t="s">
        <v>4737</v>
      </c>
    </row>
    <row r="3588" spans="1:4" hidden="1" x14ac:dyDescent="0.3">
      <c r="A3588">
        <v>3586</v>
      </c>
      <c r="B3588" t="s">
        <v>4379</v>
      </c>
      <c r="C3588" t="s">
        <v>22</v>
      </c>
      <c r="D3588">
        <v>75.8</v>
      </c>
    </row>
    <row r="3589" spans="1:4" hidden="1" x14ac:dyDescent="0.3">
      <c r="A3589">
        <v>3587</v>
      </c>
      <c r="B3589" t="s">
        <v>4738</v>
      </c>
      <c r="C3589" t="s">
        <v>24</v>
      </c>
      <c r="D3589">
        <v>6.3855264887120597</v>
      </c>
    </row>
    <row r="3590" spans="1:4" hidden="1" x14ac:dyDescent="0.3">
      <c r="A3590">
        <v>3588</v>
      </c>
      <c r="B3590" s="1" t="s">
        <v>4739</v>
      </c>
      <c r="C3590" t="s">
        <v>145</v>
      </c>
      <c r="D3590" s="1" t="s">
        <v>4740</v>
      </c>
    </row>
    <row r="3591" spans="1:4" hidden="1" x14ac:dyDescent="0.3">
      <c r="A3591">
        <v>3589</v>
      </c>
      <c r="B3591" t="s">
        <v>4741</v>
      </c>
      <c r="C3591" t="s">
        <v>35</v>
      </c>
      <c r="D3591">
        <v>2.9833089059796099E-2</v>
      </c>
    </row>
    <row r="3592" spans="1:4" hidden="1" x14ac:dyDescent="0.3">
      <c r="A3592">
        <v>3590</v>
      </c>
      <c r="B3592" t="s">
        <v>4742</v>
      </c>
      <c r="C3592" t="s">
        <v>149</v>
      </c>
      <c r="D3592">
        <v>0.70540618960762502</v>
      </c>
    </row>
    <row r="3593" spans="1:4" hidden="1" x14ac:dyDescent="0.3">
      <c r="A3593">
        <v>3591</v>
      </c>
      <c r="B3593" s="1" t="s">
        <v>4743</v>
      </c>
      <c r="C3593" t="s">
        <v>151</v>
      </c>
      <c r="D3593" s="1" t="s">
        <v>4744</v>
      </c>
    </row>
    <row r="3594" spans="1:4" hidden="1" x14ac:dyDescent="0.3">
      <c r="A3594">
        <v>3592</v>
      </c>
      <c r="B3594" t="s">
        <v>4745</v>
      </c>
      <c r="C3594" t="s">
        <v>30</v>
      </c>
      <c r="D3594">
        <v>0.38482277471522602</v>
      </c>
    </row>
    <row r="3595" spans="1:4" hidden="1" x14ac:dyDescent="0.3">
      <c r="A3595">
        <v>3593</v>
      </c>
      <c r="B3595" t="s">
        <v>4746</v>
      </c>
      <c r="C3595" t="s">
        <v>32</v>
      </c>
      <c r="D3595">
        <v>0.21016150209995901</v>
      </c>
    </row>
    <row r="3596" spans="1:4" hidden="1" x14ac:dyDescent="0.3">
      <c r="A3596">
        <v>3594</v>
      </c>
      <c r="B3596" s="1" t="s">
        <v>4747</v>
      </c>
      <c r="C3596" t="s">
        <v>155</v>
      </c>
      <c r="D3596" s="1" t="s">
        <v>4748</v>
      </c>
    </row>
    <row r="3597" spans="1:4" hidden="1" x14ac:dyDescent="0.3">
      <c r="A3597">
        <v>3595</v>
      </c>
      <c r="B3597" t="s">
        <v>4749</v>
      </c>
      <c r="C3597" t="s">
        <v>40</v>
      </c>
      <c r="D3597">
        <v>0.58534413622497605</v>
      </c>
    </row>
    <row r="3598" spans="1:4" hidden="1" x14ac:dyDescent="0.3">
      <c r="A3598">
        <v>3596</v>
      </c>
      <c r="B3598" t="s">
        <v>4750</v>
      </c>
      <c r="C3598" t="s">
        <v>42</v>
      </c>
      <c r="D3598">
        <v>0.20746144299531799</v>
      </c>
    </row>
    <row r="3599" spans="1:4" hidden="1" x14ac:dyDescent="0.3">
      <c r="A3599">
        <v>3597</v>
      </c>
      <c r="B3599" s="1" t="s">
        <v>4751</v>
      </c>
      <c r="C3599" t="s">
        <v>159</v>
      </c>
      <c r="D3599" s="1" t="s">
        <v>4752</v>
      </c>
    </row>
    <row r="3600" spans="1:4" hidden="1" x14ac:dyDescent="0.3">
      <c r="A3600">
        <v>3598</v>
      </c>
      <c r="B3600" t="s">
        <v>4753</v>
      </c>
      <c r="C3600" t="s">
        <v>161</v>
      </c>
      <c r="D3600">
        <v>1.0044578092257701</v>
      </c>
    </row>
    <row r="3601" spans="1:4" hidden="1" x14ac:dyDescent="0.3">
      <c r="A3601">
        <v>3599</v>
      </c>
      <c r="B3601" t="s">
        <v>4754</v>
      </c>
      <c r="C3601" t="s">
        <v>163</v>
      </c>
      <c r="D3601">
        <v>1.0001811851615301</v>
      </c>
    </row>
    <row r="3602" spans="1:4" hidden="1" x14ac:dyDescent="0.3">
      <c r="A3602">
        <v>3600</v>
      </c>
      <c r="B3602" s="1" t="s">
        <v>4755</v>
      </c>
      <c r="C3602" t="s">
        <v>165</v>
      </c>
      <c r="D3602" s="1" t="s">
        <v>4756</v>
      </c>
    </row>
    <row r="3603" spans="1:4" hidden="1" x14ac:dyDescent="0.3">
      <c r="A3603">
        <v>3601</v>
      </c>
      <c r="B3603" t="s">
        <v>4757</v>
      </c>
      <c r="C3603" t="s">
        <v>168</v>
      </c>
      <c r="D3603">
        <v>0.99939654625782504</v>
      </c>
    </row>
    <row r="3604" spans="1:4" hidden="1" x14ac:dyDescent="0.3">
      <c r="A3604">
        <v>3602</v>
      </c>
      <c r="B3604" t="s">
        <v>4758</v>
      </c>
      <c r="C3604" t="s">
        <v>170</v>
      </c>
      <c r="D3604">
        <v>1.0003632192513201</v>
      </c>
    </row>
    <row r="3605" spans="1:4" hidden="1" x14ac:dyDescent="0.3">
      <c r="A3605">
        <v>3603</v>
      </c>
      <c r="B3605" s="1" t="s">
        <v>4759</v>
      </c>
      <c r="C3605" t="s">
        <v>172</v>
      </c>
      <c r="D3605" s="1" t="s">
        <v>4760</v>
      </c>
    </row>
    <row r="3606" spans="1:4" hidden="1" x14ac:dyDescent="0.3">
      <c r="A3606">
        <v>3604</v>
      </c>
      <c r="B3606" s="1" t="s">
        <v>4761</v>
      </c>
      <c r="C3606" t="s">
        <v>55</v>
      </c>
      <c r="D3606" s="1" t="s">
        <v>4762</v>
      </c>
    </row>
    <row r="3607" spans="1:4" hidden="1" x14ac:dyDescent="0.3">
      <c r="A3607">
        <v>3605</v>
      </c>
      <c r="B3607" s="1" t="s">
        <v>4763</v>
      </c>
      <c r="C3607" t="s">
        <v>52</v>
      </c>
      <c r="D3607" s="1" t="s">
        <v>4764</v>
      </c>
    </row>
    <row r="3608" spans="1:4" hidden="1" x14ac:dyDescent="0.3">
      <c r="A3608">
        <v>3606</v>
      </c>
      <c r="B3608" s="1" t="s">
        <v>4765</v>
      </c>
      <c r="C3608" t="s">
        <v>58</v>
      </c>
      <c r="D3608" s="1" t="s">
        <v>4766</v>
      </c>
    </row>
    <row r="3609" spans="1:4" hidden="1" x14ac:dyDescent="0.3">
      <c r="A3609">
        <v>3607</v>
      </c>
      <c r="B3609" t="s">
        <v>4767</v>
      </c>
      <c r="C3609" t="s">
        <v>61</v>
      </c>
      <c r="D3609">
        <v>147555732.588496</v>
      </c>
    </row>
    <row r="3610" spans="1:4" hidden="1" x14ac:dyDescent="0.3">
      <c r="A3610">
        <v>3608</v>
      </c>
      <c r="B3610" t="s">
        <v>4768</v>
      </c>
      <c r="C3610" t="s">
        <v>63</v>
      </c>
      <c r="D3610">
        <v>77838103.865250006</v>
      </c>
    </row>
    <row r="3611" spans="1:4" hidden="1" x14ac:dyDescent="0.3">
      <c r="A3611">
        <v>3609</v>
      </c>
      <c r="B3611" t="s">
        <v>4769</v>
      </c>
      <c r="C3611" t="s">
        <v>65</v>
      </c>
      <c r="D3611">
        <v>39732498.3171288</v>
      </c>
    </row>
    <row r="3612" spans="1:4" hidden="1" x14ac:dyDescent="0.3">
      <c r="A3612">
        <v>3610</v>
      </c>
      <c r="B3612" s="1" t="s">
        <v>4770</v>
      </c>
      <c r="C3612" t="s">
        <v>67</v>
      </c>
      <c r="D3612" s="1" t="s">
        <v>4771</v>
      </c>
    </row>
    <row r="3613" spans="1:4" hidden="1" x14ac:dyDescent="0.3">
      <c r="A3613">
        <v>3611</v>
      </c>
      <c r="B3613" s="1" t="s">
        <v>4772</v>
      </c>
      <c r="C3613" t="s">
        <v>70</v>
      </c>
      <c r="D3613" s="1" t="s">
        <v>4773</v>
      </c>
    </row>
    <row r="3614" spans="1:4" hidden="1" x14ac:dyDescent="0.3">
      <c r="A3614">
        <v>3612</v>
      </c>
      <c r="B3614" t="s">
        <v>4774</v>
      </c>
      <c r="C3614" t="s">
        <v>73</v>
      </c>
      <c r="D3614">
        <v>1.0002517733460901</v>
      </c>
    </row>
    <row r="3615" spans="1:4" hidden="1" x14ac:dyDescent="0.3">
      <c r="A3615">
        <v>3613</v>
      </c>
      <c r="B3615" t="s">
        <v>74</v>
      </c>
      <c r="C3615" t="s">
        <v>75</v>
      </c>
      <c r="D3615">
        <v>2.7397260273972599E-3</v>
      </c>
    </row>
    <row r="3616" spans="1:4" hidden="1" x14ac:dyDescent="0.3">
      <c r="A3616">
        <v>3614</v>
      </c>
      <c r="B3616" t="s">
        <v>76</v>
      </c>
      <c r="C3616" t="s">
        <v>77</v>
      </c>
      <c r="D3616">
        <v>0</v>
      </c>
    </row>
    <row r="3617" spans="1:4" hidden="1" x14ac:dyDescent="0.3">
      <c r="A3617">
        <v>3615</v>
      </c>
      <c r="B3617" t="s">
        <v>78</v>
      </c>
      <c r="C3617" t="s">
        <v>79</v>
      </c>
      <c r="D3617">
        <v>0</v>
      </c>
    </row>
    <row r="3618" spans="1:4" hidden="1" x14ac:dyDescent="0.3">
      <c r="A3618">
        <v>3616</v>
      </c>
      <c r="B3618" s="1" t="s">
        <v>4775</v>
      </c>
      <c r="C3618" t="s">
        <v>81</v>
      </c>
      <c r="D3618" s="1" t="s">
        <v>4776</v>
      </c>
    </row>
    <row r="3619" spans="1:4" hidden="1" x14ac:dyDescent="0.3">
      <c r="A3619">
        <v>3617</v>
      </c>
      <c r="B3619" t="s">
        <v>4777</v>
      </c>
      <c r="C3619" t="s">
        <v>84</v>
      </c>
      <c r="D3619">
        <v>1.0002256924065001</v>
      </c>
    </row>
    <row r="3620" spans="1:4" hidden="1" x14ac:dyDescent="0.3">
      <c r="A3620">
        <v>3618</v>
      </c>
      <c r="B3620" s="1" t="s">
        <v>4778</v>
      </c>
      <c r="C3620" t="s">
        <v>86</v>
      </c>
      <c r="D3620" s="1" t="s">
        <v>4779</v>
      </c>
    </row>
    <row r="3621" spans="1:4" hidden="1" x14ac:dyDescent="0.3">
      <c r="A3621">
        <v>3619</v>
      </c>
      <c r="B3621" t="s">
        <v>4780</v>
      </c>
      <c r="C3621" t="s">
        <v>89</v>
      </c>
      <c r="D3621">
        <v>101166946.87175401</v>
      </c>
    </row>
    <row r="3622" spans="1:4" hidden="1" x14ac:dyDescent="0.3">
      <c r="A3622">
        <v>3620</v>
      </c>
      <c r="B3622" s="1" t="s">
        <v>4781</v>
      </c>
      <c r="C3622" t="s">
        <v>91</v>
      </c>
      <c r="D3622" s="1" t="s">
        <v>4716</v>
      </c>
    </row>
    <row r="3623" spans="1:4" hidden="1" x14ac:dyDescent="0.3">
      <c r="A3623">
        <v>3621</v>
      </c>
      <c r="B3623" t="s">
        <v>4782</v>
      </c>
      <c r="C3623" t="s">
        <v>94</v>
      </c>
      <c r="D3623">
        <v>77838103.865250006</v>
      </c>
    </row>
    <row r="3624" spans="1:4" hidden="1" x14ac:dyDescent="0.3">
      <c r="A3624">
        <v>3622</v>
      </c>
      <c r="B3624" t="s">
        <v>4783</v>
      </c>
      <c r="C3624" t="s">
        <v>96</v>
      </c>
      <c r="D3624">
        <v>39732498.3171288</v>
      </c>
    </row>
    <row r="3625" spans="1:4" hidden="1" x14ac:dyDescent="0.3">
      <c r="A3625">
        <v>3623</v>
      </c>
      <c r="B3625" t="s">
        <v>4784</v>
      </c>
      <c r="C3625" t="s">
        <v>98</v>
      </c>
      <c r="D3625">
        <v>29985130.4061171</v>
      </c>
    </row>
    <row r="3626" spans="1:4" hidden="1" x14ac:dyDescent="0.3">
      <c r="A3626">
        <v>3624</v>
      </c>
      <c r="B3626" s="1" t="s">
        <v>4785</v>
      </c>
      <c r="C3626" t="s">
        <v>100</v>
      </c>
      <c r="D3626" s="1" t="s">
        <v>4786</v>
      </c>
    </row>
    <row r="3627" spans="1:4" hidden="1" x14ac:dyDescent="0.3">
      <c r="A3627">
        <v>3625</v>
      </c>
      <c r="B3627" t="s">
        <v>4787</v>
      </c>
      <c r="C3627" t="s">
        <v>103</v>
      </c>
      <c r="D3627">
        <v>8.0607428744707901E-3</v>
      </c>
    </row>
    <row r="3628" spans="1:4" hidden="1" x14ac:dyDescent="0.3">
      <c r="A3628">
        <v>3626</v>
      </c>
      <c r="B3628" t="s">
        <v>4788</v>
      </c>
      <c r="C3628" t="s">
        <v>105</v>
      </c>
      <c r="D3628">
        <v>1.4581709403276499E-3</v>
      </c>
    </row>
    <row r="3629" spans="1:4" hidden="1" x14ac:dyDescent="0.3">
      <c r="A3629">
        <v>3627</v>
      </c>
      <c r="B3629" t="s">
        <v>4789</v>
      </c>
      <c r="C3629" t="s">
        <v>107</v>
      </c>
      <c r="D3629">
        <v>1.09028904556182E-2</v>
      </c>
    </row>
    <row r="3630" spans="1:4" hidden="1" x14ac:dyDescent="0.3">
      <c r="A3630">
        <v>3628</v>
      </c>
      <c r="B3630" s="1" t="s">
        <v>4790</v>
      </c>
      <c r="C3630" t="s">
        <v>109</v>
      </c>
      <c r="D3630" s="1" t="s">
        <v>4791</v>
      </c>
    </row>
    <row r="3631" spans="1:4" x14ac:dyDescent="0.3">
      <c r="A3631">
        <v>3629</v>
      </c>
      <c r="B3631" t="s">
        <v>4792</v>
      </c>
      <c r="C3631" t="s">
        <v>207</v>
      </c>
      <c r="D3631">
        <v>147554822.029102</v>
      </c>
    </row>
    <row r="3632" spans="1:4" hidden="1" x14ac:dyDescent="0.3">
      <c r="A3632">
        <v>3630</v>
      </c>
      <c r="B3632" t="s">
        <v>4793</v>
      </c>
      <c r="C3632" t="s">
        <v>209</v>
      </c>
      <c r="D3632">
        <v>2029.5624908956199</v>
      </c>
    </row>
    <row r="3633" spans="1:4" hidden="1" x14ac:dyDescent="0.3">
      <c r="A3633">
        <v>3631</v>
      </c>
      <c r="B3633" t="s">
        <v>4794</v>
      </c>
      <c r="C3633" t="s">
        <v>211</v>
      </c>
      <c r="D3633">
        <v>1035.99653888036</v>
      </c>
    </row>
    <row r="3634" spans="1:4" hidden="1" x14ac:dyDescent="0.3">
      <c r="A3634">
        <v>3632</v>
      </c>
      <c r="B3634" s="1" t="s">
        <v>4795</v>
      </c>
      <c r="C3634" t="s">
        <v>213</v>
      </c>
      <c r="D3634" s="1" t="s">
        <v>4796</v>
      </c>
    </row>
    <row r="3635" spans="1:4" hidden="1" x14ac:dyDescent="0.3">
      <c r="A3635">
        <v>3633</v>
      </c>
      <c r="B3635" t="s">
        <v>4797</v>
      </c>
      <c r="C3635" t="s">
        <v>216</v>
      </c>
      <c r="D3635">
        <v>77835407.002939299</v>
      </c>
    </row>
    <row r="3636" spans="1:4" hidden="1" x14ac:dyDescent="0.3">
      <c r="A3636">
        <v>3634</v>
      </c>
      <c r="B3636" t="s">
        <v>4798</v>
      </c>
      <c r="C3636" t="s">
        <v>218</v>
      </c>
      <c r="D3636">
        <v>39731327.6231298</v>
      </c>
    </row>
    <row r="3637" spans="1:4" hidden="1" x14ac:dyDescent="0.3">
      <c r="A3637">
        <v>3635</v>
      </c>
      <c r="B3637" t="s">
        <v>4799</v>
      </c>
      <c r="C3637" t="s">
        <v>220</v>
      </c>
      <c r="D3637">
        <v>29984240.003306702</v>
      </c>
    </row>
    <row r="3638" spans="1:4" hidden="1" x14ac:dyDescent="0.3">
      <c r="A3638">
        <v>3636</v>
      </c>
      <c r="B3638" s="1" t="s">
        <v>4800</v>
      </c>
      <c r="C3638" t="s">
        <v>222</v>
      </c>
      <c r="D3638" s="1" t="s">
        <v>4801</v>
      </c>
    </row>
    <row r="3639" spans="1:4" hidden="1" x14ac:dyDescent="0.3">
      <c r="A3639">
        <v>3637</v>
      </c>
      <c r="B3639" t="s">
        <v>4802</v>
      </c>
      <c r="C3639" t="s">
        <v>225</v>
      </c>
      <c r="D3639">
        <v>101164309.006869</v>
      </c>
    </row>
    <row r="3640" spans="1:4" hidden="1" x14ac:dyDescent="0.3">
      <c r="A3640">
        <v>3638</v>
      </c>
      <c r="B3640" t="s">
        <v>4803</v>
      </c>
      <c r="C3640" t="s">
        <v>227</v>
      </c>
      <c r="D3640">
        <v>2637.8648854493999</v>
      </c>
    </row>
    <row r="3641" spans="1:4" hidden="1" x14ac:dyDescent="0.3">
      <c r="A3641">
        <v>3639</v>
      </c>
      <c r="B3641" s="1" t="s">
        <v>4804</v>
      </c>
      <c r="C3641" t="s">
        <v>229</v>
      </c>
      <c r="D3641" s="1" t="s">
        <v>4805</v>
      </c>
    </row>
    <row r="3642" spans="1:4" hidden="1" x14ac:dyDescent="0.3">
      <c r="A3642">
        <v>3640</v>
      </c>
      <c r="B3642" t="s">
        <v>4806</v>
      </c>
      <c r="C3642" t="s">
        <v>112</v>
      </c>
      <c r="D3642">
        <v>-667.29981988379598</v>
      </c>
    </row>
    <row r="3643" spans="1:4" hidden="1" x14ac:dyDescent="0.3">
      <c r="A3643">
        <v>3641</v>
      </c>
      <c r="B3643" t="s">
        <v>4807</v>
      </c>
      <c r="C3643" t="s">
        <v>114</v>
      </c>
      <c r="D3643">
        <v>-134.697460171719</v>
      </c>
    </row>
    <row r="3644" spans="1:4" hidden="1" x14ac:dyDescent="0.3">
      <c r="A3644">
        <v>3642</v>
      </c>
      <c r="B3644" s="1" t="s">
        <v>4808</v>
      </c>
      <c r="C3644" t="s">
        <v>116</v>
      </c>
      <c r="D3644" s="1" t="s">
        <v>4809</v>
      </c>
    </row>
    <row r="3645" spans="1:4" hidden="1" x14ac:dyDescent="0.3">
      <c r="A3645">
        <v>3643</v>
      </c>
      <c r="B3645" t="s">
        <v>4810</v>
      </c>
      <c r="C3645" t="s">
        <v>119</v>
      </c>
      <c r="D3645">
        <v>77835407.002939299</v>
      </c>
    </row>
    <row r="3646" spans="1:4" hidden="1" x14ac:dyDescent="0.3">
      <c r="A3646">
        <v>3644</v>
      </c>
      <c r="B3646" t="s">
        <v>4811</v>
      </c>
      <c r="C3646" t="s">
        <v>121</v>
      </c>
      <c r="D3646">
        <v>39731327.6231298</v>
      </c>
    </row>
    <row r="3647" spans="1:4" hidden="1" x14ac:dyDescent="0.3">
      <c r="A3647">
        <v>3645</v>
      </c>
      <c r="B3647" s="1" t="s">
        <v>4812</v>
      </c>
      <c r="C3647" t="s">
        <v>123</v>
      </c>
      <c r="D3647" s="1" t="s">
        <v>4813</v>
      </c>
    </row>
    <row r="3648" spans="1:4" hidden="1" x14ac:dyDescent="0.3">
      <c r="A3648">
        <v>3646</v>
      </c>
      <c r="B3648" t="s">
        <v>4814</v>
      </c>
      <c r="C3648" t="s">
        <v>126</v>
      </c>
      <c r="D3648">
        <v>0.76922231635219696</v>
      </c>
    </row>
    <row r="3649" spans="1:4" hidden="1" x14ac:dyDescent="0.3">
      <c r="A3649">
        <v>3647</v>
      </c>
      <c r="B3649" t="s">
        <v>4815</v>
      </c>
      <c r="C3649" t="s">
        <v>128</v>
      </c>
      <c r="D3649">
        <v>0.39265194392646802</v>
      </c>
    </row>
    <row r="3650" spans="1:4" hidden="1" x14ac:dyDescent="0.3">
      <c r="A3650">
        <v>3648</v>
      </c>
      <c r="B3650" s="1" t="s">
        <v>4816</v>
      </c>
      <c r="C3650" t="s">
        <v>130</v>
      </c>
      <c r="D3650" s="1" t="s">
        <v>4817</v>
      </c>
    </row>
    <row r="3651" spans="1:4" hidden="1" x14ac:dyDescent="0.3">
      <c r="A3651">
        <v>3649</v>
      </c>
      <c r="B3651" s="1" t="s">
        <v>4818</v>
      </c>
      <c r="C3651" t="s">
        <v>4</v>
      </c>
      <c r="D3651" t="s">
        <v>4819</v>
      </c>
    </row>
    <row r="3652" spans="1:4" hidden="1" x14ac:dyDescent="0.3">
      <c r="A3652">
        <v>3650</v>
      </c>
      <c r="B3652" t="s">
        <v>4820</v>
      </c>
      <c r="C3652" t="s">
        <v>7</v>
      </c>
      <c r="D3652">
        <v>1828.17</v>
      </c>
    </row>
    <row r="3653" spans="1:4" hidden="1" x14ac:dyDescent="0.3">
      <c r="A3653">
        <v>3651</v>
      </c>
      <c r="B3653" s="1" t="s">
        <v>4821</v>
      </c>
      <c r="C3653" t="s">
        <v>9</v>
      </c>
      <c r="D3653" s="1" t="s">
        <v>4822</v>
      </c>
    </row>
    <row r="3654" spans="1:4" hidden="1" x14ac:dyDescent="0.3">
      <c r="A3654">
        <v>3652</v>
      </c>
      <c r="B3654" t="s">
        <v>4823</v>
      </c>
      <c r="C3654" t="s">
        <v>14</v>
      </c>
      <c r="D3654">
        <v>98.80859375</v>
      </c>
    </row>
    <row r="3655" spans="1:4" hidden="1" x14ac:dyDescent="0.3">
      <c r="A3655">
        <v>3653</v>
      </c>
      <c r="B3655" t="s">
        <v>4824</v>
      </c>
      <c r="C3655" t="s">
        <v>16</v>
      </c>
      <c r="D3655">
        <v>4.3980688338206297</v>
      </c>
    </row>
    <row r="3656" spans="1:4" hidden="1" x14ac:dyDescent="0.3">
      <c r="A3656">
        <v>3654</v>
      </c>
      <c r="B3656" s="1" t="s">
        <v>4825</v>
      </c>
      <c r="C3656" t="s">
        <v>140</v>
      </c>
      <c r="D3656" s="1" t="s">
        <v>4826</v>
      </c>
    </row>
    <row r="3657" spans="1:4" hidden="1" x14ac:dyDescent="0.3">
      <c r="A3657">
        <v>3655</v>
      </c>
      <c r="B3657" t="s">
        <v>3663</v>
      </c>
      <c r="C3657" t="s">
        <v>22</v>
      </c>
      <c r="D3657">
        <v>75</v>
      </c>
    </row>
    <row r="3658" spans="1:4" hidden="1" x14ac:dyDescent="0.3">
      <c r="A3658">
        <v>3656</v>
      </c>
      <c r="B3658" t="s">
        <v>4827</v>
      </c>
      <c r="C3658" t="s">
        <v>24</v>
      </c>
      <c r="D3658">
        <v>6.4359922727103296</v>
      </c>
    </row>
    <row r="3659" spans="1:4" hidden="1" x14ac:dyDescent="0.3">
      <c r="A3659">
        <v>3657</v>
      </c>
      <c r="B3659" s="1" t="s">
        <v>4828</v>
      </c>
      <c r="C3659" t="s">
        <v>145</v>
      </c>
      <c r="D3659" s="1" t="s">
        <v>4829</v>
      </c>
    </row>
    <row r="3660" spans="1:4" hidden="1" x14ac:dyDescent="0.3">
      <c r="A3660">
        <v>3658</v>
      </c>
      <c r="B3660" t="s">
        <v>4830</v>
      </c>
      <c r="C3660" t="s">
        <v>35</v>
      </c>
      <c r="D3660">
        <v>64.171945952324094</v>
      </c>
    </row>
    <row r="3661" spans="1:4" hidden="1" x14ac:dyDescent="0.3">
      <c r="A3661">
        <v>3659</v>
      </c>
      <c r="B3661" t="s">
        <v>4831</v>
      </c>
      <c r="C3661" t="s">
        <v>149</v>
      </c>
      <c r="D3661">
        <v>0.70897230568221803</v>
      </c>
    </row>
    <row r="3662" spans="1:4" hidden="1" x14ac:dyDescent="0.3">
      <c r="A3662">
        <v>3660</v>
      </c>
      <c r="B3662" s="1" t="s">
        <v>4832</v>
      </c>
      <c r="C3662" t="s">
        <v>151</v>
      </c>
      <c r="D3662" s="1" t="s">
        <v>4833</v>
      </c>
    </row>
    <row r="3663" spans="1:4" hidden="1" x14ac:dyDescent="0.3">
      <c r="A3663">
        <v>3661</v>
      </c>
      <c r="B3663" t="s">
        <v>4834</v>
      </c>
      <c r="C3663" t="s">
        <v>30</v>
      </c>
      <c r="D3663">
        <v>-24.9477405907123</v>
      </c>
    </row>
    <row r="3664" spans="1:4" hidden="1" x14ac:dyDescent="0.3">
      <c r="A3664">
        <v>3662</v>
      </c>
      <c r="B3664" t="s">
        <v>4835</v>
      </c>
      <c r="C3664" t="s">
        <v>32</v>
      </c>
      <c r="D3664">
        <v>0.20856932837978101</v>
      </c>
    </row>
    <row r="3665" spans="1:4" hidden="1" x14ac:dyDescent="0.3">
      <c r="A3665">
        <v>3663</v>
      </c>
      <c r="B3665" s="1" t="s">
        <v>4836</v>
      </c>
      <c r="C3665" t="s">
        <v>155</v>
      </c>
      <c r="D3665" s="1" t="s">
        <v>4837</v>
      </c>
    </row>
    <row r="3666" spans="1:4" hidden="1" x14ac:dyDescent="0.3">
      <c r="A3666">
        <v>3664</v>
      </c>
      <c r="B3666" t="s">
        <v>4838</v>
      </c>
      <c r="C3666" t="s">
        <v>40</v>
      </c>
      <c r="D3666">
        <v>-38.224205361611801</v>
      </c>
    </row>
    <row r="3667" spans="1:4" hidden="1" x14ac:dyDescent="0.3">
      <c r="A3667">
        <v>3665</v>
      </c>
      <c r="B3667" t="s">
        <v>4839</v>
      </c>
      <c r="C3667" t="s">
        <v>42</v>
      </c>
      <c r="D3667">
        <v>0.20192300254100901</v>
      </c>
    </row>
    <row r="3668" spans="1:4" hidden="1" x14ac:dyDescent="0.3">
      <c r="A3668">
        <v>3666</v>
      </c>
      <c r="B3668" s="1" t="s">
        <v>4840</v>
      </c>
      <c r="C3668" t="s">
        <v>159</v>
      </c>
      <c r="D3668" s="1" t="s">
        <v>4841</v>
      </c>
    </row>
    <row r="3669" spans="1:4" hidden="1" x14ac:dyDescent="0.3">
      <c r="A3669">
        <v>3667</v>
      </c>
      <c r="B3669" t="s">
        <v>4842</v>
      </c>
      <c r="C3669" t="s">
        <v>161</v>
      </c>
      <c r="D3669">
        <v>1.0116539668310101</v>
      </c>
    </row>
    <row r="3670" spans="1:4" hidden="1" x14ac:dyDescent="0.3">
      <c r="A3670">
        <v>3668</v>
      </c>
      <c r="B3670" t="s">
        <v>4843</v>
      </c>
      <c r="C3670" t="s">
        <v>163</v>
      </c>
      <c r="D3670">
        <v>0.99904022123509595</v>
      </c>
    </row>
    <row r="3671" spans="1:4" hidden="1" x14ac:dyDescent="0.3">
      <c r="A3671">
        <v>3669</v>
      </c>
      <c r="B3671" s="1" t="s">
        <v>4844</v>
      </c>
      <c r="C3671" t="s">
        <v>165</v>
      </c>
      <c r="D3671" s="1" t="s">
        <v>4845</v>
      </c>
    </row>
    <row r="3672" spans="1:4" hidden="1" x14ac:dyDescent="0.3">
      <c r="A3672">
        <v>3670</v>
      </c>
      <c r="B3672" t="s">
        <v>4846</v>
      </c>
      <c r="C3672" t="s">
        <v>168</v>
      </c>
      <c r="D3672">
        <v>1.0020910655164199</v>
      </c>
    </row>
    <row r="3673" spans="1:4" hidden="1" x14ac:dyDescent="0.3">
      <c r="A3673">
        <v>3671</v>
      </c>
      <c r="B3673" t="s">
        <v>4847</v>
      </c>
      <c r="C3673" t="s">
        <v>170</v>
      </c>
      <c r="D3673">
        <v>0.998684329556497</v>
      </c>
    </row>
    <row r="3674" spans="1:4" hidden="1" x14ac:dyDescent="0.3">
      <c r="A3674">
        <v>3672</v>
      </c>
      <c r="B3674" s="1" t="s">
        <v>4848</v>
      </c>
      <c r="C3674" t="s">
        <v>172</v>
      </c>
      <c r="D3674" s="1" t="s">
        <v>4849</v>
      </c>
    </row>
    <row r="3675" spans="1:4" hidden="1" x14ac:dyDescent="0.3">
      <c r="A3675">
        <v>3673</v>
      </c>
      <c r="B3675" s="1" t="s">
        <v>4850</v>
      </c>
      <c r="C3675" t="s">
        <v>55</v>
      </c>
      <c r="D3675" s="1" t="s">
        <v>4851</v>
      </c>
    </row>
    <row r="3676" spans="1:4" hidden="1" x14ac:dyDescent="0.3">
      <c r="A3676">
        <v>3674</v>
      </c>
      <c r="B3676" s="1" t="s">
        <v>4852</v>
      </c>
      <c r="C3676" t="s">
        <v>52</v>
      </c>
      <c r="D3676" s="1" t="s">
        <v>4853</v>
      </c>
    </row>
    <row r="3677" spans="1:4" hidden="1" x14ac:dyDescent="0.3">
      <c r="A3677">
        <v>3675</v>
      </c>
      <c r="B3677" s="1" t="s">
        <v>4854</v>
      </c>
      <c r="C3677" t="s">
        <v>58</v>
      </c>
      <c r="D3677" s="1" t="s">
        <v>4855</v>
      </c>
    </row>
    <row r="3678" spans="1:4" hidden="1" x14ac:dyDescent="0.3">
      <c r="A3678">
        <v>3676</v>
      </c>
      <c r="B3678" t="s">
        <v>4856</v>
      </c>
      <c r="C3678" t="s">
        <v>61</v>
      </c>
      <c r="D3678">
        <v>148146475.51958001</v>
      </c>
    </row>
    <row r="3679" spans="1:4" hidden="1" x14ac:dyDescent="0.3">
      <c r="A3679">
        <v>3677</v>
      </c>
      <c r="B3679" t="s">
        <v>4857</v>
      </c>
      <c r="C3679" t="s">
        <v>63</v>
      </c>
      <c r="D3679">
        <v>78742498.254430294</v>
      </c>
    </row>
    <row r="3680" spans="1:4" hidden="1" x14ac:dyDescent="0.3">
      <c r="A3680">
        <v>3678</v>
      </c>
      <c r="B3680" t="s">
        <v>4858</v>
      </c>
      <c r="C3680" t="s">
        <v>65</v>
      </c>
      <c r="D3680">
        <v>39693194.338575602</v>
      </c>
    </row>
    <row r="3681" spans="1:4" hidden="1" x14ac:dyDescent="0.3">
      <c r="A3681">
        <v>3679</v>
      </c>
      <c r="B3681" s="1" t="s">
        <v>4859</v>
      </c>
      <c r="C3681" t="s">
        <v>67</v>
      </c>
      <c r="D3681" s="1" t="s">
        <v>4860</v>
      </c>
    </row>
    <row r="3682" spans="1:4" hidden="1" x14ac:dyDescent="0.3">
      <c r="A3682">
        <v>3680</v>
      </c>
      <c r="B3682" s="1" t="s">
        <v>4861</v>
      </c>
      <c r="C3682" t="s">
        <v>70</v>
      </c>
      <c r="D3682" s="1" t="s">
        <v>4862</v>
      </c>
    </row>
    <row r="3683" spans="1:4" hidden="1" x14ac:dyDescent="0.3">
      <c r="A3683">
        <v>3681</v>
      </c>
      <c r="B3683" t="s">
        <v>4863</v>
      </c>
      <c r="C3683" t="s">
        <v>73</v>
      </c>
      <c r="D3683">
        <v>1.0002256924065001</v>
      </c>
    </row>
    <row r="3684" spans="1:4" hidden="1" x14ac:dyDescent="0.3">
      <c r="A3684">
        <v>3682</v>
      </c>
      <c r="B3684" t="s">
        <v>74</v>
      </c>
      <c r="C3684" t="s">
        <v>75</v>
      </c>
      <c r="D3684">
        <v>2.7397260273972599E-3</v>
      </c>
    </row>
    <row r="3685" spans="1:4" hidden="1" x14ac:dyDescent="0.3">
      <c r="A3685">
        <v>3683</v>
      </c>
      <c r="B3685" t="s">
        <v>76</v>
      </c>
      <c r="C3685" t="s">
        <v>77</v>
      </c>
      <c r="D3685">
        <v>0</v>
      </c>
    </row>
    <row r="3686" spans="1:4" hidden="1" x14ac:dyDescent="0.3">
      <c r="A3686">
        <v>3684</v>
      </c>
      <c r="B3686" t="s">
        <v>78</v>
      </c>
      <c r="C3686" t="s">
        <v>79</v>
      </c>
      <c r="D3686">
        <v>0</v>
      </c>
    </row>
    <row r="3687" spans="1:4" hidden="1" x14ac:dyDescent="0.3">
      <c r="A3687">
        <v>3685</v>
      </c>
      <c r="B3687" s="1" t="s">
        <v>4864</v>
      </c>
      <c r="C3687" t="s">
        <v>81</v>
      </c>
      <c r="D3687" s="1" t="s">
        <v>4865</v>
      </c>
    </row>
    <row r="3688" spans="1:4" hidden="1" x14ac:dyDescent="0.3">
      <c r="A3688">
        <v>3686</v>
      </c>
      <c r="B3688" t="s">
        <v>4866</v>
      </c>
      <c r="C3688" t="s">
        <v>84</v>
      </c>
      <c r="D3688">
        <v>1.0002237245435699</v>
      </c>
    </row>
    <row r="3689" spans="1:4" hidden="1" x14ac:dyDescent="0.3">
      <c r="A3689">
        <v>3687</v>
      </c>
      <c r="B3689" s="1" t="s">
        <v>4867</v>
      </c>
      <c r="C3689" t="s">
        <v>86</v>
      </c>
      <c r="D3689" s="1" t="s">
        <v>4868</v>
      </c>
    </row>
    <row r="3690" spans="1:4" hidden="1" x14ac:dyDescent="0.3">
      <c r="A3690">
        <v>3688</v>
      </c>
      <c r="B3690" t="s">
        <v>4869</v>
      </c>
      <c r="C3690" t="s">
        <v>89</v>
      </c>
      <c r="D3690">
        <v>101167145.909909</v>
      </c>
    </row>
    <row r="3691" spans="1:4" hidden="1" x14ac:dyDescent="0.3">
      <c r="A3691">
        <v>3689</v>
      </c>
      <c r="B3691" s="1" t="s">
        <v>4870</v>
      </c>
      <c r="C3691" t="s">
        <v>91</v>
      </c>
      <c r="D3691" s="1" t="s">
        <v>4805</v>
      </c>
    </row>
    <row r="3692" spans="1:4" hidden="1" x14ac:dyDescent="0.3">
      <c r="A3692">
        <v>3690</v>
      </c>
      <c r="B3692" t="s">
        <v>4871</v>
      </c>
      <c r="C3692" t="s">
        <v>94</v>
      </c>
      <c r="D3692">
        <v>78742498.254430294</v>
      </c>
    </row>
    <row r="3693" spans="1:4" hidden="1" x14ac:dyDescent="0.3">
      <c r="A3693">
        <v>3691</v>
      </c>
      <c r="B3693" t="s">
        <v>4872</v>
      </c>
      <c r="C3693" t="s">
        <v>96</v>
      </c>
      <c r="D3693">
        <v>39693194.338575602</v>
      </c>
    </row>
    <row r="3694" spans="1:4" hidden="1" x14ac:dyDescent="0.3">
      <c r="A3694">
        <v>3692</v>
      </c>
      <c r="B3694" t="s">
        <v>4873</v>
      </c>
      <c r="C3694" t="s">
        <v>98</v>
      </c>
      <c r="D3694">
        <v>29710782.9265747</v>
      </c>
    </row>
    <row r="3695" spans="1:4" hidden="1" x14ac:dyDescent="0.3">
      <c r="A3695">
        <v>3693</v>
      </c>
      <c r="B3695" s="1" t="s">
        <v>4874</v>
      </c>
      <c r="C3695" t="s">
        <v>100</v>
      </c>
      <c r="D3695" s="1" t="s">
        <v>4875</v>
      </c>
    </row>
    <row r="3696" spans="1:4" hidden="1" x14ac:dyDescent="0.3">
      <c r="A3696">
        <v>3694</v>
      </c>
      <c r="B3696" t="s">
        <v>4876</v>
      </c>
      <c r="C3696" t="s">
        <v>103</v>
      </c>
      <c r="D3696">
        <v>8.0506748059173301E-3</v>
      </c>
    </row>
    <row r="3697" spans="1:4" hidden="1" x14ac:dyDescent="0.3">
      <c r="A3697">
        <v>3695</v>
      </c>
      <c r="B3697" t="s">
        <v>4877</v>
      </c>
      <c r="C3697" t="s">
        <v>105</v>
      </c>
      <c r="D3697">
        <v>1.45258434658446E-3</v>
      </c>
    </row>
    <row r="3698" spans="1:4" hidden="1" x14ac:dyDescent="0.3">
      <c r="A3698">
        <v>3696</v>
      </c>
      <c r="B3698" t="s">
        <v>4878</v>
      </c>
      <c r="C3698" t="s">
        <v>107</v>
      </c>
      <c r="D3698">
        <v>1.0649024987418499E-2</v>
      </c>
    </row>
    <row r="3699" spans="1:4" hidden="1" x14ac:dyDescent="0.3">
      <c r="A3699">
        <v>3697</v>
      </c>
      <c r="B3699" s="1" t="s">
        <v>4879</v>
      </c>
      <c r="C3699" t="s">
        <v>109</v>
      </c>
      <c r="D3699" s="1" t="s">
        <v>4880</v>
      </c>
    </row>
    <row r="3700" spans="1:4" x14ac:dyDescent="0.3">
      <c r="A3700">
        <v>3698</v>
      </c>
      <c r="B3700" t="s">
        <v>4881</v>
      </c>
      <c r="C3700" t="s">
        <v>207</v>
      </c>
      <c r="D3700">
        <v>148146406.720579</v>
      </c>
    </row>
    <row r="3701" spans="1:4" hidden="1" x14ac:dyDescent="0.3">
      <c r="A3701">
        <v>3699</v>
      </c>
      <c r="B3701" t="s">
        <v>4882</v>
      </c>
      <c r="C3701" t="s">
        <v>209</v>
      </c>
      <c r="D3701">
        <v>154.91937525893201</v>
      </c>
    </row>
    <row r="3702" spans="1:4" hidden="1" x14ac:dyDescent="0.3">
      <c r="A3702">
        <v>3700</v>
      </c>
      <c r="B3702" t="s">
        <v>4883</v>
      </c>
      <c r="C3702" t="s">
        <v>211</v>
      </c>
      <c r="D3702">
        <v>78.093120227499099</v>
      </c>
    </row>
    <row r="3703" spans="1:4" hidden="1" x14ac:dyDescent="0.3">
      <c r="A3703">
        <v>3701</v>
      </c>
      <c r="B3703" s="1" t="s">
        <v>4884</v>
      </c>
      <c r="C3703" t="s">
        <v>213</v>
      </c>
      <c r="D3703" s="1" t="s">
        <v>4885</v>
      </c>
    </row>
    <row r="3704" spans="1:4" hidden="1" x14ac:dyDescent="0.3">
      <c r="A3704">
        <v>3702</v>
      </c>
      <c r="B3704" t="s">
        <v>4886</v>
      </c>
      <c r="C3704" t="s">
        <v>216</v>
      </c>
      <c r="D3704">
        <v>78742290.426949203</v>
      </c>
    </row>
    <row r="3705" spans="1:4" hidden="1" x14ac:dyDescent="0.3">
      <c r="A3705">
        <v>3703</v>
      </c>
      <c r="B3705" t="s">
        <v>4887</v>
      </c>
      <c r="C3705" t="s">
        <v>218</v>
      </c>
      <c r="D3705">
        <v>39693105.804374501</v>
      </c>
    </row>
    <row r="3706" spans="1:4" hidden="1" x14ac:dyDescent="0.3">
      <c r="A3706">
        <v>3704</v>
      </c>
      <c r="B3706" t="s">
        <v>4888</v>
      </c>
      <c r="C3706" t="s">
        <v>220</v>
      </c>
      <c r="D3706">
        <v>29710719.023215398</v>
      </c>
    </row>
    <row r="3707" spans="1:4" hidden="1" x14ac:dyDescent="0.3">
      <c r="A3707">
        <v>3705</v>
      </c>
      <c r="B3707" s="1" t="s">
        <v>4889</v>
      </c>
      <c r="C3707" t="s">
        <v>222</v>
      </c>
      <c r="D3707" s="1" t="s">
        <v>4890</v>
      </c>
    </row>
    <row r="3708" spans="1:4" hidden="1" x14ac:dyDescent="0.3">
      <c r="A3708">
        <v>3706</v>
      </c>
      <c r="B3708" t="s">
        <v>4891</v>
      </c>
      <c r="C3708" t="s">
        <v>225</v>
      </c>
      <c r="D3708">
        <v>101166946.87175401</v>
      </c>
    </row>
    <row r="3709" spans="1:4" hidden="1" x14ac:dyDescent="0.3">
      <c r="A3709">
        <v>3707</v>
      </c>
      <c r="B3709" t="s">
        <v>4892</v>
      </c>
      <c r="C3709" t="s">
        <v>227</v>
      </c>
      <c r="D3709">
        <v>199.03815498948001</v>
      </c>
    </row>
    <row r="3710" spans="1:4" hidden="1" x14ac:dyDescent="0.3">
      <c r="A3710">
        <v>3708</v>
      </c>
      <c r="B3710" s="1" t="s">
        <v>4893</v>
      </c>
      <c r="C3710" t="s">
        <v>229</v>
      </c>
      <c r="D3710" s="1" t="s">
        <v>4894</v>
      </c>
    </row>
    <row r="3711" spans="1:4" hidden="1" x14ac:dyDescent="0.3">
      <c r="A3711">
        <v>3709</v>
      </c>
      <c r="B3711" t="s">
        <v>4895</v>
      </c>
      <c r="C3711" t="s">
        <v>112</v>
      </c>
      <c r="D3711">
        <v>-52.908105778570899</v>
      </c>
    </row>
    <row r="3712" spans="1:4" hidden="1" x14ac:dyDescent="0.3">
      <c r="A3712">
        <v>3710</v>
      </c>
      <c r="B3712" t="s">
        <v>4896</v>
      </c>
      <c r="C3712" t="s">
        <v>114</v>
      </c>
      <c r="D3712">
        <v>-10.4410809198511</v>
      </c>
    </row>
    <row r="3713" spans="1:4" hidden="1" x14ac:dyDescent="0.3">
      <c r="A3713">
        <v>3711</v>
      </c>
      <c r="B3713" s="1" t="s">
        <v>4897</v>
      </c>
      <c r="C3713" t="s">
        <v>116</v>
      </c>
      <c r="D3713" s="1" t="s">
        <v>4898</v>
      </c>
    </row>
    <row r="3714" spans="1:4" hidden="1" x14ac:dyDescent="0.3">
      <c r="A3714">
        <v>3712</v>
      </c>
      <c r="B3714" t="s">
        <v>4899</v>
      </c>
      <c r="C3714" t="s">
        <v>119</v>
      </c>
      <c r="D3714">
        <v>78742290.426949203</v>
      </c>
    </row>
    <row r="3715" spans="1:4" hidden="1" x14ac:dyDescent="0.3">
      <c r="A3715">
        <v>3713</v>
      </c>
      <c r="B3715" t="s">
        <v>4900</v>
      </c>
      <c r="C3715" t="s">
        <v>121</v>
      </c>
      <c r="D3715">
        <v>39693105.804374501</v>
      </c>
    </row>
    <row r="3716" spans="1:4" hidden="1" x14ac:dyDescent="0.3">
      <c r="A3716">
        <v>3714</v>
      </c>
      <c r="B3716" s="1" t="s">
        <v>4901</v>
      </c>
      <c r="C3716" t="s">
        <v>123</v>
      </c>
      <c r="D3716" s="1" t="s">
        <v>4902</v>
      </c>
    </row>
    <row r="3717" spans="1:4" hidden="1" x14ac:dyDescent="0.3">
      <c r="A3717">
        <v>3715</v>
      </c>
      <c r="B3717" t="s">
        <v>4903</v>
      </c>
      <c r="C3717" t="s">
        <v>126</v>
      </c>
      <c r="D3717">
        <v>0.77816599411801601</v>
      </c>
    </row>
    <row r="3718" spans="1:4" hidden="1" x14ac:dyDescent="0.3">
      <c r="A3718">
        <v>3716</v>
      </c>
      <c r="B3718" t="s">
        <v>4904</v>
      </c>
      <c r="C3718" t="s">
        <v>128</v>
      </c>
      <c r="D3718">
        <v>0.39226475341796102</v>
      </c>
    </row>
    <row r="3719" spans="1:4" hidden="1" x14ac:dyDescent="0.3">
      <c r="A3719">
        <v>3717</v>
      </c>
      <c r="B3719" s="1" t="s">
        <v>4905</v>
      </c>
      <c r="C3719" t="s">
        <v>130</v>
      </c>
      <c r="D3719" s="1" t="s">
        <v>4906</v>
      </c>
    </row>
    <row r="3720" spans="1:4" hidden="1" x14ac:dyDescent="0.3">
      <c r="A3720">
        <v>3718</v>
      </c>
      <c r="B3720" s="1" t="s">
        <v>4907</v>
      </c>
      <c r="C3720" t="s">
        <v>4</v>
      </c>
      <c r="D3720" t="s">
        <v>4908</v>
      </c>
    </row>
    <row r="3721" spans="1:4" hidden="1" x14ac:dyDescent="0.3">
      <c r="A3721">
        <v>3719</v>
      </c>
      <c r="B3721" t="s">
        <v>4909</v>
      </c>
      <c r="C3721" t="s">
        <v>7</v>
      </c>
      <c r="D3721">
        <v>1814.19</v>
      </c>
    </row>
    <row r="3722" spans="1:4" hidden="1" x14ac:dyDescent="0.3">
      <c r="A3722">
        <v>3720</v>
      </c>
      <c r="B3722" s="1" t="s">
        <v>4910</v>
      </c>
      <c r="C3722" t="s">
        <v>9</v>
      </c>
      <c r="D3722" s="1" t="s">
        <v>4911</v>
      </c>
    </row>
    <row r="3723" spans="1:4" hidden="1" x14ac:dyDescent="0.3">
      <c r="A3723">
        <v>3721</v>
      </c>
      <c r="B3723" t="s">
        <v>4912</v>
      </c>
      <c r="C3723" t="s">
        <v>14</v>
      </c>
      <c r="D3723">
        <v>98.9921875</v>
      </c>
    </row>
    <row r="3724" spans="1:4" hidden="1" x14ac:dyDescent="0.3">
      <c r="A3724">
        <v>3722</v>
      </c>
      <c r="B3724" t="s">
        <v>4913</v>
      </c>
      <c r="C3724" t="s">
        <v>16</v>
      </c>
      <c r="D3724">
        <v>4.4010725964414901</v>
      </c>
    </row>
    <row r="3725" spans="1:4" hidden="1" x14ac:dyDescent="0.3">
      <c r="A3725">
        <v>3723</v>
      </c>
      <c r="B3725" s="1" t="s">
        <v>4914</v>
      </c>
      <c r="C3725" t="s">
        <v>140</v>
      </c>
      <c r="D3725" s="1" t="s">
        <v>4915</v>
      </c>
    </row>
    <row r="3726" spans="1:4" hidden="1" x14ac:dyDescent="0.3">
      <c r="A3726">
        <v>3724</v>
      </c>
      <c r="B3726" t="s">
        <v>1331</v>
      </c>
      <c r="C3726" t="s">
        <v>22</v>
      </c>
      <c r="D3726">
        <v>74.3</v>
      </c>
    </row>
    <row r="3727" spans="1:4" hidden="1" x14ac:dyDescent="0.3">
      <c r="A3727">
        <v>3725</v>
      </c>
      <c r="B3727" t="s">
        <v>4916</v>
      </c>
      <c r="C3727" t="s">
        <v>24</v>
      </c>
      <c r="D3727">
        <v>6.48403379389213</v>
      </c>
    </row>
    <row r="3728" spans="1:4" hidden="1" x14ac:dyDescent="0.3">
      <c r="A3728">
        <v>3726</v>
      </c>
      <c r="B3728" s="1" t="s">
        <v>4917</v>
      </c>
      <c r="C3728" t="s">
        <v>145</v>
      </c>
      <c r="D3728" s="1" t="s">
        <v>4918</v>
      </c>
    </row>
    <row r="3729" spans="1:4" hidden="1" x14ac:dyDescent="0.3">
      <c r="A3729">
        <v>3727</v>
      </c>
      <c r="B3729" t="s">
        <v>4919</v>
      </c>
      <c r="C3729" t="s">
        <v>35</v>
      </c>
      <c r="D3729">
        <v>-0.10998270784829001</v>
      </c>
    </row>
    <row r="3730" spans="1:4" hidden="1" x14ac:dyDescent="0.3">
      <c r="A3730">
        <v>3728</v>
      </c>
      <c r="B3730" t="s">
        <v>4920</v>
      </c>
      <c r="C3730" t="s">
        <v>149</v>
      </c>
      <c r="D3730">
        <v>0.71072483395034503</v>
      </c>
    </row>
    <row r="3731" spans="1:4" hidden="1" x14ac:dyDescent="0.3">
      <c r="A3731">
        <v>3729</v>
      </c>
      <c r="B3731" s="1" t="s">
        <v>4921</v>
      </c>
      <c r="C3731" t="s">
        <v>151</v>
      </c>
      <c r="D3731" s="1" t="s">
        <v>4922</v>
      </c>
    </row>
    <row r="3732" spans="1:4" hidden="1" x14ac:dyDescent="0.3">
      <c r="A3732">
        <v>3730</v>
      </c>
      <c r="B3732" t="s">
        <v>4923</v>
      </c>
      <c r="C3732" t="s">
        <v>30</v>
      </c>
      <c r="D3732">
        <v>0.43721654532797299</v>
      </c>
    </row>
    <row r="3733" spans="1:4" hidden="1" x14ac:dyDescent="0.3">
      <c r="A3733">
        <v>3731</v>
      </c>
      <c r="B3733" t="s">
        <v>4924</v>
      </c>
      <c r="C3733" t="s">
        <v>32</v>
      </c>
      <c r="D3733">
        <v>0.20815964320689301</v>
      </c>
    </row>
    <row r="3734" spans="1:4" hidden="1" x14ac:dyDescent="0.3">
      <c r="A3734">
        <v>3732</v>
      </c>
      <c r="B3734" s="1" t="s">
        <v>4925</v>
      </c>
      <c r="C3734" t="s">
        <v>155</v>
      </c>
      <c r="D3734" s="1" t="s">
        <v>4926</v>
      </c>
    </row>
    <row r="3735" spans="1:4" hidden="1" x14ac:dyDescent="0.3">
      <c r="A3735">
        <v>3733</v>
      </c>
      <c r="B3735" t="s">
        <v>4927</v>
      </c>
      <c r="C3735" t="s">
        <v>40</v>
      </c>
      <c r="D3735">
        <v>0.67276616252031596</v>
      </c>
    </row>
    <row r="3736" spans="1:4" hidden="1" x14ac:dyDescent="0.3">
      <c r="A3736">
        <v>3734</v>
      </c>
      <c r="B3736" t="s">
        <v>4928</v>
      </c>
      <c r="C3736" t="s">
        <v>42</v>
      </c>
      <c r="D3736">
        <v>0.19885465013334</v>
      </c>
    </row>
    <row r="3737" spans="1:4" hidden="1" x14ac:dyDescent="0.3">
      <c r="A3737">
        <v>3735</v>
      </c>
      <c r="B3737" s="1" t="s">
        <v>4929</v>
      </c>
      <c r="C3737" t="s">
        <v>159</v>
      </c>
      <c r="D3737" s="1" t="s">
        <v>4930</v>
      </c>
    </row>
    <row r="3738" spans="1:4" hidden="1" x14ac:dyDescent="0.3">
      <c r="A3738">
        <v>3736</v>
      </c>
      <c r="B3738" t="s">
        <v>4931</v>
      </c>
      <c r="C3738" t="s">
        <v>161</v>
      </c>
      <c r="D3738">
        <v>0.99235300874645105</v>
      </c>
    </row>
    <row r="3739" spans="1:4" hidden="1" x14ac:dyDescent="0.3">
      <c r="A3739">
        <v>3737</v>
      </c>
      <c r="B3739" t="s">
        <v>4932</v>
      </c>
      <c r="C3739" t="s">
        <v>163</v>
      </c>
      <c r="D3739">
        <v>1.0018079987081101</v>
      </c>
    </row>
    <row r="3740" spans="1:4" hidden="1" x14ac:dyDescent="0.3">
      <c r="A3740">
        <v>3738</v>
      </c>
      <c r="B3740" s="1" t="s">
        <v>4933</v>
      </c>
      <c r="C3740" t="s">
        <v>165</v>
      </c>
      <c r="D3740" s="1" t="s">
        <v>4934</v>
      </c>
    </row>
    <row r="3741" spans="1:4" hidden="1" x14ac:dyDescent="0.3">
      <c r="A3741">
        <v>3739</v>
      </c>
      <c r="B3741" t="s">
        <v>4935</v>
      </c>
      <c r="C3741" t="s">
        <v>168</v>
      </c>
      <c r="D3741">
        <v>1.0010254866403001</v>
      </c>
    </row>
    <row r="3742" spans="1:4" hidden="1" x14ac:dyDescent="0.3">
      <c r="A3742">
        <v>3740</v>
      </c>
      <c r="B3742" t="s">
        <v>4936</v>
      </c>
      <c r="C3742" t="s">
        <v>170</v>
      </c>
      <c r="D3742">
        <v>0.99966101640736005</v>
      </c>
    </row>
    <row r="3743" spans="1:4" hidden="1" x14ac:dyDescent="0.3">
      <c r="A3743">
        <v>3741</v>
      </c>
      <c r="B3743" s="1" t="s">
        <v>4937</v>
      </c>
      <c r="C3743" t="s">
        <v>172</v>
      </c>
      <c r="D3743" s="1" t="s">
        <v>4938</v>
      </c>
    </row>
    <row r="3744" spans="1:4" hidden="1" x14ac:dyDescent="0.3">
      <c r="A3744">
        <v>3742</v>
      </c>
      <c r="B3744" s="1" t="s">
        <v>4939</v>
      </c>
      <c r="C3744" t="s">
        <v>55</v>
      </c>
      <c r="D3744" s="1" t="s">
        <v>4940</v>
      </c>
    </row>
    <row r="3745" spans="1:4" hidden="1" x14ac:dyDescent="0.3">
      <c r="A3745">
        <v>3743</v>
      </c>
      <c r="B3745" s="1" t="s">
        <v>4941</v>
      </c>
      <c r="C3745" t="s">
        <v>52</v>
      </c>
      <c r="D3745" s="1" t="s">
        <v>4942</v>
      </c>
    </row>
    <row r="3746" spans="1:4" hidden="1" x14ac:dyDescent="0.3">
      <c r="A3746">
        <v>3744</v>
      </c>
      <c r="B3746" s="1" t="s">
        <v>4943</v>
      </c>
      <c r="C3746" t="s">
        <v>58</v>
      </c>
      <c r="D3746" s="1" t="s">
        <v>4944</v>
      </c>
    </row>
    <row r="3747" spans="1:4" hidden="1" x14ac:dyDescent="0.3">
      <c r="A3747">
        <v>3745</v>
      </c>
      <c r="B3747" t="s">
        <v>4945</v>
      </c>
      <c r="C3747" t="s">
        <v>61</v>
      </c>
      <c r="D3747">
        <v>147377881.310388</v>
      </c>
    </row>
    <row r="3748" spans="1:4" hidden="1" x14ac:dyDescent="0.3">
      <c r="A3748">
        <v>3746</v>
      </c>
      <c r="B3748" t="s">
        <v>4946</v>
      </c>
      <c r="C3748" t="s">
        <v>63</v>
      </c>
      <c r="D3748">
        <v>78140148.820769995</v>
      </c>
    </row>
    <row r="3749" spans="1:4" hidden="1" x14ac:dyDescent="0.3">
      <c r="A3749">
        <v>3747</v>
      </c>
      <c r="B3749" t="s">
        <v>4947</v>
      </c>
      <c r="C3749" t="s">
        <v>65</v>
      </c>
      <c r="D3749">
        <v>39764870.888390101</v>
      </c>
    </row>
    <row r="3750" spans="1:4" hidden="1" x14ac:dyDescent="0.3">
      <c r="A3750">
        <v>3748</v>
      </c>
      <c r="B3750" s="1" t="s">
        <v>4948</v>
      </c>
      <c r="C3750" t="s">
        <v>67</v>
      </c>
      <c r="D3750" s="1" t="s">
        <v>4949</v>
      </c>
    </row>
    <row r="3751" spans="1:4" hidden="1" x14ac:dyDescent="0.3">
      <c r="A3751">
        <v>3749</v>
      </c>
      <c r="B3751" s="1" t="s">
        <v>4950</v>
      </c>
      <c r="C3751" t="s">
        <v>70</v>
      </c>
      <c r="D3751" s="1" t="s">
        <v>4951</v>
      </c>
    </row>
    <row r="3752" spans="1:4" hidden="1" x14ac:dyDescent="0.3">
      <c r="A3752">
        <v>3750</v>
      </c>
      <c r="B3752" t="s">
        <v>4952</v>
      </c>
      <c r="C3752" t="s">
        <v>73</v>
      </c>
      <c r="D3752">
        <v>1.0002237245435699</v>
      </c>
    </row>
    <row r="3753" spans="1:4" hidden="1" x14ac:dyDescent="0.3">
      <c r="A3753">
        <v>3751</v>
      </c>
      <c r="B3753" t="s">
        <v>74</v>
      </c>
      <c r="C3753" t="s">
        <v>75</v>
      </c>
      <c r="D3753">
        <v>2.7397260273972599E-3</v>
      </c>
    </row>
    <row r="3754" spans="1:4" hidden="1" x14ac:dyDescent="0.3">
      <c r="A3754">
        <v>3752</v>
      </c>
      <c r="B3754" t="s">
        <v>76</v>
      </c>
      <c r="C3754" t="s">
        <v>77</v>
      </c>
      <c r="D3754">
        <v>0</v>
      </c>
    </row>
    <row r="3755" spans="1:4" hidden="1" x14ac:dyDescent="0.3">
      <c r="A3755">
        <v>3753</v>
      </c>
      <c r="B3755" t="s">
        <v>650</v>
      </c>
      <c r="C3755" t="s">
        <v>79</v>
      </c>
      <c r="D3755" s="2">
        <v>2.2204460492503101E-16</v>
      </c>
    </row>
    <row r="3756" spans="1:4" hidden="1" x14ac:dyDescent="0.3">
      <c r="A3756">
        <v>3754</v>
      </c>
      <c r="B3756" s="1" t="s">
        <v>4953</v>
      </c>
      <c r="C3756" t="s">
        <v>81</v>
      </c>
      <c r="D3756" s="1" t="s">
        <v>4954</v>
      </c>
    </row>
    <row r="3757" spans="1:4" hidden="1" x14ac:dyDescent="0.3">
      <c r="A3757">
        <v>3755</v>
      </c>
      <c r="B3757" t="s">
        <v>4955</v>
      </c>
      <c r="C3757" t="s">
        <v>84</v>
      </c>
      <c r="D3757">
        <v>1.0002327069124</v>
      </c>
    </row>
    <row r="3758" spans="1:4" hidden="1" x14ac:dyDescent="0.3">
      <c r="A3758">
        <v>3756</v>
      </c>
      <c r="B3758" s="1" t="s">
        <v>4956</v>
      </c>
      <c r="C3758" t="s">
        <v>86</v>
      </c>
      <c r="D3758" s="1" t="s">
        <v>4957</v>
      </c>
    </row>
    <row r="3759" spans="1:4" hidden="1" x14ac:dyDescent="0.3">
      <c r="A3759">
        <v>3757</v>
      </c>
      <c r="B3759" t="s">
        <v>4958</v>
      </c>
      <c r="C3759" t="s">
        <v>89</v>
      </c>
      <c r="D3759">
        <v>101166237.400708</v>
      </c>
    </row>
    <row r="3760" spans="1:4" hidden="1" x14ac:dyDescent="0.3">
      <c r="A3760">
        <v>3758</v>
      </c>
      <c r="B3760" s="1" t="s">
        <v>4959</v>
      </c>
      <c r="C3760" t="s">
        <v>91</v>
      </c>
      <c r="D3760" s="1" t="s">
        <v>4894</v>
      </c>
    </row>
    <row r="3761" spans="1:4" hidden="1" x14ac:dyDescent="0.3">
      <c r="A3761">
        <v>3759</v>
      </c>
      <c r="B3761" t="s">
        <v>4960</v>
      </c>
      <c r="C3761" t="s">
        <v>94</v>
      </c>
      <c r="D3761">
        <v>78140148.820769995</v>
      </c>
    </row>
    <row r="3762" spans="1:4" hidden="1" x14ac:dyDescent="0.3">
      <c r="A3762">
        <v>3760</v>
      </c>
      <c r="B3762" t="s">
        <v>4961</v>
      </c>
      <c r="C3762" t="s">
        <v>96</v>
      </c>
      <c r="D3762">
        <v>39764870.888390101</v>
      </c>
    </row>
    <row r="3763" spans="1:4" hidden="1" x14ac:dyDescent="0.3">
      <c r="A3763">
        <v>3761</v>
      </c>
      <c r="B3763" t="s">
        <v>4962</v>
      </c>
      <c r="C3763" t="s">
        <v>98</v>
      </c>
      <c r="D3763">
        <v>29472861.601227999</v>
      </c>
    </row>
    <row r="3764" spans="1:4" hidden="1" x14ac:dyDescent="0.3">
      <c r="A3764">
        <v>3762</v>
      </c>
      <c r="B3764" s="1" t="s">
        <v>4963</v>
      </c>
      <c r="C3764" t="s">
        <v>100</v>
      </c>
      <c r="D3764" s="1" t="s">
        <v>4964</v>
      </c>
    </row>
    <row r="3765" spans="1:4" hidden="1" x14ac:dyDescent="0.3">
      <c r="A3765">
        <v>3763</v>
      </c>
      <c r="B3765" t="s">
        <v>4965</v>
      </c>
      <c r="C3765" t="s">
        <v>103</v>
      </c>
      <c r="D3765">
        <v>8.0962059716442498E-3</v>
      </c>
    </row>
    <row r="3766" spans="1:4" hidden="1" x14ac:dyDescent="0.3">
      <c r="A3766">
        <v>3764</v>
      </c>
      <c r="B3766" t="s">
        <v>4966</v>
      </c>
      <c r="C3766" t="s">
        <v>105</v>
      </c>
      <c r="D3766">
        <v>1.45446996340244E-3</v>
      </c>
    </row>
    <row r="3767" spans="1:4" hidden="1" x14ac:dyDescent="0.3">
      <c r="A3767">
        <v>3765</v>
      </c>
      <c r="B3767" t="s">
        <v>4967</v>
      </c>
      <c r="C3767" t="s">
        <v>107</v>
      </c>
      <c r="D3767">
        <v>1.0693230982762701E-2</v>
      </c>
    </row>
    <row r="3768" spans="1:4" hidden="1" x14ac:dyDescent="0.3">
      <c r="A3768">
        <v>3766</v>
      </c>
      <c r="B3768" s="1" t="s">
        <v>4968</v>
      </c>
      <c r="C3768" t="s">
        <v>109</v>
      </c>
      <c r="D3768" s="1" t="s">
        <v>4969</v>
      </c>
    </row>
    <row r="3769" spans="1:4" x14ac:dyDescent="0.3">
      <c r="A3769">
        <v>3767</v>
      </c>
      <c r="B3769" t="s">
        <v>4970</v>
      </c>
      <c r="C3769" t="s">
        <v>207</v>
      </c>
      <c r="D3769">
        <v>147378195.95718399</v>
      </c>
    </row>
    <row r="3770" spans="1:4" hidden="1" x14ac:dyDescent="0.3">
      <c r="A3770">
        <v>3768</v>
      </c>
      <c r="B3770" t="s">
        <v>4971</v>
      </c>
      <c r="C3770" t="s">
        <v>209</v>
      </c>
      <c r="D3770">
        <v>-701.72871993612603</v>
      </c>
    </row>
    <row r="3771" spans="1:4" hidden="1" x14ac:dyDescent="0.3">
      <c r="A3771">
        <v>3769</v>
      </c>
      <c r="B3771" t="s">
        <v>4972</v>
      </c>
      <c r="C3771" t="s">
        <v>211</v>
      </c>
      <c r="D3771">
        <v>-357.10326496077499</v>
      </c>
    </row>
    <row r="3772" spans="1:4" hidden="1" x14ac:dyDescent="0.3">
      <c r="A3772">
        <v>3770</v>
      </c>
      <c r="B3772" s="1" t="s">
        <v>4973</v>
      </c>
      <c r="C3772" t="s">
        <v>213</v>
      </c>
      <c r="D3772" s="1" t="s">
        <v>4974</v>
      </c>
    </row>
    <row r="3773" spans="1:4" hidden="1" x14ac:dyDescent="0.3">
      <c r="A3773">
        <v>3771</v>
      </c>
      <c r="B3773" t="s">
        <v>4975</v>
      </c>
      <c r="C3773" t="s">
        <v>216</v>
      </c>
      <c r="D3773">
        <v>78141081.752770096</v>
      </c>
    </row>
    <row r="3774" spans="1:4" hidden="1" x14ac:dyDescent="0.3">
      <c r="A3774">
        <v>3772</v>
      </c>
      <c r="B3774" t="s">
        <v>4976</v>
      </c>
      <c r="C3774" t="s">
        <v>218</v>
      </c>
      <c r="D3774">
        <v>39765274.854392402</v>
      </c>
    </row>
    <row r="3775" spans="1:4" hidden="1" x14ac:dyDescent="0.3">
      <c r="A3775">
        <v>3773</v>
      </c>
      <c r="B3775" t="s">
        <v>4977</v>
      </c>
      <c r="C3775" t="s">
        <v>220</v>
      </c>
      <c r="D3775">
        <v>29473162.859234001</v>
      </c>
    </row>
    <row r="3776" spans="1:4" hidden="1" x14ac:dyDescent="0.3">
      <c r="A3776">
        <v>3774</v>
      </c>
      <c r="B3776" s="1" t="s">
        <v>4978</v>
      </c>
      <c r="C3776" t="s">
        <v>222</v>
      </c>
      <c r="D3776" s="1" t="s">
        <v>4979</v>
      </c>
    </row>
    <row r="3777" spans="1:4" hidden="1" x14ac:dyDescent="0.3">
      <c r="A3777">
        <v>3775</v>
      </c>
      <c r="B3777" t="s">
        <v>4980</v>
      </c>
      <c r="C3777" t="s">
        <v>225</v>
      </c>
      <c r="D3777">
        <v>101167145.909909</v>
      </c>
    </row>
    <row r="3778" spans="1:4" hidden="1" x14ac:dyDescent="0.3">
      <c r="A3778">
        <v>3776</v>
      </c>
      <c r="B3778" t="s">
        <v>4981</v>
      </c>
      <c r="C3778" t="s">
        <v>227</v>
      </c>
      <c r="D3778">
        <v>-908.50920164585102</v>
      </c>
    </row>
    <row r="3779" spans="1:4" hidden="1" x14ac:dyDescent="0.3">
      <c r="A3779">
        <v>3777</v>
      </c>
      <c r="B3779" s="1" t="s">
        <v>4982</v>
      </c>
      <c r="C3779" t="s">
        <v>229</v>
      </c>
      <c r="D3779" s="1" t="s">
        <v>4983</v>
      </c>
    </row>
    <row r="3780" spans="1:4" hidden="1" x14ac:dyDescent="0.3">
      <c r="A3780">
        <v>3778</v>
      </c>
      <c r="B3780" t="s">
        <v>4984</v>
      </c>
      <c r="C3780" t="s">
        <v>112</v>
      </c>
      <c r="D3780">
        <v>231.20328015043299</v>
      </c>
    </row>
    <row r="3781" spans="1:4" hidden="1" x14ac:dyDescent="0.3">
      <c r="A3781">
        <v>3779</v>
      </c>
      <c r="B3781" t="s">
        <v>4985</v>
      </c>
      <c r="C3781" t="s">
        <v>114</v>
      </c>
      <c r="D3781">
        <v>46.8627373886562</v>
      </c>
    </row>
    <row r="3782" spans="1:4" hidden="1" x14ac:dyDescent="0.3">
      <c r="A3782">
        <v>3780</v>
      </c>
      <c r="B3782" s="1" t="s">
        <v>4986</v>
      </c>
      <c r="C3782" t="s">
        <v>116</v>
      </c>
      <c r="D3782" s="1" t="s">
        <v>4987</v>
      </c>
    </row>
    <row r="3783" spans="1:4" hidden="1" x14ac:dyDescent="0.3">
      <c r="A3783">
        <v>3781</v>
      </c>
      <c r="B3783" t="s">
        <v>4988</v>
      </c>
      <c r="C3783" t="s">
        <v>119</v>
      </c>
      <c r="D3783">
        <v>78141081.752770096</v>
      </c>
    </row>
    <row r="3784" spans="1:4" hidden="1" x14ac:dyDescent="0.3">
      <c r="A3784">
        <v>3782</v>
      </c>
      <c r="B3784" t="s">
        <v>4989</v>
      </c>
      <c r="C3784" t="s">
        <v>121</v>
      </c>
      <c r="D3784">
        <v>39765274.854392402</v>
      </c>
    </row>
    <row r="3785" spans="1:4" hidden="1" x14ac:dyDescent="0.3">
      <c r="A3785">
        <v>3783</v>
      </c>
      <c r="B3785" s="1" t="s">
        <v>4990</v>
      </c>
      <c r="C3785" t="s">
        <v>123</v>
      </c>
      <c r="D3785" s="1" t="s">
        <v>4991</v>
      </c>
    </row>
    <row r="3786" spans="1:4" hidden="1" x14ac:dyDescent="0.3">
      <c r="A3786">
        <v>3784</v>
      </c>
      <c r="B3786" t="s">
        <v>4992</v>
      </c>
      <c r="C3786" t="s">
        <v>126</v>
      </c>
      <c r="D3786">
        <v>0.77221613114422805</v>
      </c>
    </row>
    <row r="3787" spans="1:4" hidden="1" x14ac:dyDescent="0.3">
      <c r="A3787">
        <v>3785</v>
      </c>
      <c r="B3787" t="s">
        <v>4993</v>
      </c>
      <c r="C3787" t="s">
        <v>128</v>
      </c>
      <c r="D3787">
        <v>0.39297365755826902</v>
      </c>
    </row>
    <row r="3788" spans="1:4" hidden="1" x14ac:dyDescent="0.3">
      <c r="A3788">
        <v>3786</v>
      </c>
      <c r="B3788" s="1" t="s">
        <v>4994</v>
      </c>
      <c r="C3788" t="s">
        <v>130</v>
      </c>
      <c r="D3788" s="1" t="s">
        <v>4995</v>
      </c>
    </row>
    <row r="3789" spans="1:4" hidden="1" x14ac:dyDescent="0.3">
      <c r="A3789">
        <v>3787</v>
      </c>
      <c r="B3789" s="1" t="s">
        <v>4996</v>
      </c>
      <c r="C3789" t="s">
        <v>4</v>
      </c>
      <c r="D3789" t="s">
        <v>4997</v>
      </c>
    </row>
    <row r="3790" spans="1:4" hidden="1" x14ac:dyDescent="0.3">
      <c r="A3790">
        <v>3788</v>
      </c>
      <c r="B3790" t="s">
        <v>4998</v>
      </c>
      <c r="C3790" t="s">
        <v>7</v>
      </c>
      <c r="D3790">
        <v>1813.47</v>
      </c>
    </row>
    <row r="3791" spans="1:4" hidden="1" x14ac:dyDescent="0.3">
      <c r="A3791">
        <v>3789</v>
      </c>
      <c r="B3791" s="1" t="s">
        <v>4999</v>
      </c>
      <c r="C3791" t="s">
        <v>9</v>
      </c>
      <c r="D3791" s="1" t="s">
        <v>5000</v>
      </c>
    </row>
    <row r="3792" spans="1:4" hidden="1" x14ac:dyDescent="0.3">
      <c r="A3792">
        <v>3790</v>
      </c>
      <c r="B3792" t="s">
        <v>5001</v>
      </c>
      <c r="C3792" t="s">
        <v>14</v>
      </c>
      <c r="D3792">
        <v>99.13671875</v>
      </c>
    </row>
    <row r="3793" spans="1:4" hidden="1" x14ac:dyDescent="0.3">
      <c r="A3793">
        <v>3791</v>
      </c>
      <c r="B3793" t="s">
        <v>5002</v>
      </c>
      <c r="C3793" t="s">
        <v>16</v>
      </c>
      <c r="D3793">
        <v>4.4041257949713204</v>
      </c>
    </row>
    <row r="3794" spans="1:4" hidden="1" x14ac:dyDescent="0.3">
      <c r="A3794">
        <v>3792</v>
      </c>
      <c r="B3794" s="1" t="s">
        <v>5003</v>
      </c>
      <c r="C3794" t="s">
        <v>140</v>
      </c>
      <c r="D3794" s="1" t="s">
        <v>5004</v>
      </c>
    </row>
    <row r="3795" spans="1:4" hidden="1" x14ac:dyDescent="0.3">
      <c r="A3795">
        <v>3793</v>
      </c>
      <c r="B3795" t="s">
        <v>3663</v>
      </c>
      <c r="C3795" t="s">
        <v>22</v>
      </c>
      <c r="D3795">
        <v>75</v>
      </c>
    </row>
    <row r="3796" spans="1:4" hidden="1" x14ac:dyDescent="0.3">
      <c r="A3796">
        <v>3794</v>
      </c>
      <c r="B3796" t="s">
        <v>5005</v>
      </c>
      <c r="C3796" t="s">
        <v>24</v>
      </c>
      <c r="D3796">
        <v>6.4884512249970703</v>
      </c>
    </row>
    <row r="3797" spans="1:4" hidden="1" x14ac:dyDescent="0.3">
      <c r="A3797">
        <v>3795</v>
      </c>
      <c r="B3797" s="1" t="s">
        <v>5006</v>
      </c>
      <c r="C3797" t="s">
        <v>145</v>
      </c>
      <c r="D3797" s="1" t="s">
        <v>5007</v>
      </c>
    </row>
    <row r="3798" spans="1:4" hidden="1" x14ac:dyDescent="0.3">
      <c r="A3798">
        <v>3796</v>
      </c>
      <c r="B3798" t="s">
        <v>5008</v>
      </c>
      <c r="C3798" t="s">
        <v>35</v>
      </c>
      <c r="D3798">
        <v>0.39517310163146901</v>
      </c>
    </row>
    <row r="3799" spans="1:4" hidden="1" x14ac:dyDescent="0.3">
      <c r="A3799">
        <v>3797</v>
      </c>
      <c r="B3799" t="s">
        <v>5009</v>
      </c>
      <c r="C3799" t="s">
        <v>149</v>
      </c>
      <c r="D3799">
        <v>0.71296143201787798</v>
      </c>
    </row>
    <row r="3800" spans="1:4" hidden="1" x14ac:dyDescent="0.3">
      <c r="A3800">
        <v>3798</v>
      </c>
      <c r="B3800" s="1" t="s">
        <v>5010</v>
      </c>
      <c r="C3800" t="s">
        <v>151</v>
      </c>
      <c r="D3800" s="1" t="s">
        <v>5011</v>
      </c>
    </row>
    <row r="3801" spans="1:4" hidden="1" x14ac:dyDescent="0.3">
      <c r="A3801">
        <v>3799</v>
      </c>
      <c r="B3801" t="s">
        <v>5012</v>
      </c>
      <c r="C3801" t="s">
        <v>30</v>
      </c>
      <c r="D3801">
        <v>0.23476693513942801</v>
      </c>
    </row>
    <row r="3802" spans="1:4" hidden="1" x14ac:dyDescent="0.3">
      <c r="A3802">
        <v>3800</v>
      </c>
      <c r="B3802" t="s">
        <v>5013</v>
      </c>
      <c r="C3802" t="s">
        <v>32</v>
      </c>
      <c r="D3802">
        <v>0.207653494873134</v>
      </c>
    </row>
    <row r="3803" spans="1:4" hidden="1" x14ac:dyDescent="0.3">
      <c r="A3803">
        <v>3801</v>
      </c>
      <c r="B3803" s="1" t="s">
        <v>5014</v>
      </c>
      <c r="C3803" t="s">
        <v>155</v>
      </c>
      <c r="D3803" s="1" t="s">
        <v>5015</v>
      </c>
    </row>
    <row r="3804" spans="1:4" hidden="1" x14ac:dyDescent="0.3">
      <c r="A3804">
        <v>3802</v>
      </c>
      <c r="B3804" t="s">
        <v>5016</v>
      </c>
      <c r="C3804" t="s">
        <v>40</v>
      </c>
      <c r="D3804">
        <v>0.37005996322910101</v>
      </c>
    </row>
    <row r="3805" spans="1:4" hidden="1" x14ac:dyDescent="0.3">
      <c r="A3805">
        <v>3803</v>
      </c>
      <c r="B3805" t="s">
        <v>5017</v>
      </c>
      <c r="C3805" t="s">
        <v>42</v>
      </c>
      <c r="D3805">
        <v>0.19494691952757601</v>
      </c>
    </row>
    <row r="3806" spans="1:4" hidden="1" x14ac:dyDescent="0.3">
      <c r="A3806">
        <v>3804</v>
      </c>
      <c r="B3806" s="1" t="s">
        <v>5018</v>
      </c>
      <c r="C3806" t="s">
        <v>159</v>
      </c>
      <c r="D3806" s="1" t="s">
        <v>5019</v>
      </c>
    </row>
    <row r="3807" spans="1:4" hidden="1" x14ac:dyDescent="0.3">
      <c r="A3807">
        <v>3805</v>
      </c>
      <c r="B3807" t="s">
        <v>5020</v>
      </c>
      <c r="C3807" t="s">
        <v>161</v>
      </c>
      <c r="D3807">
        <v>0.99960312866899204</v>
      </c>
    </row>
    <row r="3808" spans="1:4" hidden="1" x14ac:dyDescent="0.3">
      <c r="A3808">
        <v>3806</v>
      </c>
      <c r="B3808" t="s">
        <v>5021</v>
      </c>
      <c r="C3808" t="s">
        <v>163</v>
      </c>
      <c r="D3808">
        <v>1.0014274087923301</v>
      </c>
    </row>
    <row r="3809" spans="1:4" hidden="1" x14ac:dyDescent="0.3">
      <c r="A3809">
        <v>3807</v>
      </c>
      <c r="B3809" s="1" t="s">
        <v>5022</v>
      </c>
      <c r="C3809" t="s">
        <v>165</v>
      </c>
      <c r="D3809" s="1" t="s">
        <v>5023</v>
      </c>
    </row>
    <row r="3810" spans="1:4" hidden="1" x14ac:dyDescent="0.3">
      <c r="A3810">
        <v>3808</v>
      </c>
      <c r="B3810" t="s">
        <v>5024</v>
      </c>
      <c r="C3810" t="s">
        <v>168</v>
      </c>
      <c r="D3810">
        <v>1.0013073979071001</v>
      </c>
    </row>
    <row r="3811" spans="1:4" hidden="1" x14ac:dyDescent="0.3">
      <c r="A3811">
        <v>3809</v>
      </c>
      <c r="B3811" t="s">
        <v>5025</v>
      </c>
      <c r="C3811" t="s">
        <v>170</v>
      </c>
      <c r="D3811">
        <v>0.99958105840018296</v>
      </c>
    </row>
    <row r="3812" spans="1:4" hidden="1" x14ac:dyDescent="0.3">
      <c r="A3812">
        <v>3810</v>
      </c>
      <c r="B3812" s="1" t="s">
        <v>5026</v>
      </c>
      <c r="C3812" t="s">
        <v>172</v>
      </c>
      <c r="D3812" s="1" t="s">
        <v>5027</v>
      </c>
    </row>
    <row r="3813" spans="1:4" hidden="1" x14ac:dyDescent="0.3">
      <c r="A3813">
        <v>3811</v>
      </c>
      <c r="B3813" s="1" t="s">
        <v>5028</v>
      </c>
      <c r="C3813" t="s">
        <v>55</v>
      </c>
      <c r="D3813" s="1" t="s">
        <v>5029</v>
      </c>
    </row>
    <row r="3814" spans="1:4" hidden="1" x14ac:dyDescent="0.3">
      <c r="A3814">
        <v>3812</v>
      </c>
      <c r="B3814" s="1" t="s">
        <v>5030</v>
      </c>
      <c r="C3814" t="s">
        <v>52</v>
      </c>
      <c r="D3814" s="1" t="s">
        <v>5031</v>
      </c>
    </row>
    <row r="3815" spans="1:4" hidden="1" x14ac:dyDescent="0.3">
      <c r="A3815">
        <v>3813</v>
      </c>
      <c r="B3815" s="1" t="s">
        <v>5032</v>
      </c>
      <c r="C3815" t="s">
        <v>58</v>
      </c>
      <c r="D3815" s="1" t="s">
        <v>5033</v>
      </c>
    </row>
    <row r="3816" spans="1:4" hidden="1" x14ac:dyDescent="0.3">
      <c r="A3816">
        <v>3814</v>
      </c>
      <c r="B3816" t="s">
        <v>5034</v>
      </c>
      <c r="C3816" t="s">
        <v>61</v>
      </c>
      <c r="D3816">
        <v>147662267.737073</v>
      </c>
    </row>
    <row r="3817" spans="1:4" hidden="1" x14ac:dyDescent="0.3">
      <c r="A3817">
        <v>3815</v>
      </c>
      <c r="B3817" t="s">
        <v>5035</v>
      </c>
      <c r="C3817" t="s">
        <v>63</v>
      </c>
      <c r="D3817">
        <v>78110069.797648504</v>
      </c>
    </row>
    <row r="3818" spans="1:4" hidden="1" x14ac:dyDescent="0.3">
      <c r="A3818">
        <v>3816</v>
      </c>
      <c r="B3818" t="s">
        <v>5036</v>
      </c>
      <c r="C3818" t="s">
        <v>65</v>
      </c>
      <c r="D3818">
        <v>39822036.157349199</v>
      </c>
    </row>
    <row r="3819" spans="1:4" hidden="1" x14ac:dyDescent="0.3">
      <c r="A3819">
        <v>3817</v>
      </c>
      <c r="B3819" s="1" t="s">
        <v>5037</v>
      </c>
      <c r="C3819" t="s">
        <v>67</v>
      </c>
      <c r="D3819" s="1" t="s">
        <v>5038</v>
      </c>
    </row>
    <row r="3820" spans="1:4" hidden="1" x14ac:dyDescent="0.3">
      <c r="A3820">
        <v>3818</v>
      </c>
      <c r="B3820" s="1" t="s">
        <v>5039</v>
      </c>
      <c r="C3820" t="s">
        <v>70</v>
      </c>
      <c r="D3820" s="1" t="s">
        <v>5040</v>
      </c>
    </row>
    <row r="3821" spans="1:4" hidden="1" x14ac:dyDescent="0.3">
      <c r="A3821">
        <v>3819</v>
      </c>
      <c r="B3821" t="s">
        <v>5041</v>
      </c>
      <c r="C3821" t="s">
        <v>73</v>
      </c>
      <c r="D3821">
        <v>1.0002327069124</v>
      </c>
    </row>
    <row r="3822" spans="1:4" hidden="1" x14ac:dyDescent="0.3">
      <c r="A3822">
        <v>3820</v>
      </c>
      <c r="B3822" t="s">
        <v>74</v>
      </c>
      <c r="C3822" t="s">
        <v>75</v>
      </c>
      <c r="D3822">
        <v>2.7397260273972599E-3</v>
      </c>
    </row>
    <row r="3823" spans="1:4" hidden="1" x14ac:dyDescent="0.3">
      <c r="A3823">
        <v>3821</v>
      </c>
      <c r="B3823" t="s">
        <v>76</v>
      </c>
      <c r="C3823" t="s">
        <v>77</v>
      </c>
      <c r="D3823">
        <v>0</v>
      </c>
    </row>
    <row r="3824" spans="1:4" hidden="1" x14ac:dyDescent="0.3">
      <c r="A3824">
        <v>3822</v>
      </c>
      <c r="B3824" t="s">
        <v>78</v>
      </c>
      <c r="C3824" t="s">
        <v>79</v>
      </c>
      <c r="D3824">
        <v>0</v>
      </c>
    </row>
    <row r="3825" spans="1:4" hidden="1" x14ac:dyDescent="0.3">
      <c r="A3825">
        <v>3823</v>
      </c>
      <c r="B3825" s="1" t="s">
        <v>5042</v>
      </c>
      <c r="C3825" t="s">
        <v>81</v>
      </c>
      <c r="D3825" s="1" t="s">
        <v>5043</v>
      </c>
    </row>
    <row r="3826" spans="1:4" hidden="1" x14ac:dyDescent="0.3">
      <c r="A3826">
        <v>3824</v>
      </c>
      <c r="B3826" t="s">
        <v>5044</v>
      </c>
      <c r="C3826" t="s">
        <v>84</v>
      </c>
      <c r="D3826">
        <v>1.00024876287315</v>
      </c>
    </row>
    <row r="3827" spans="1:4" hidden="1" x14ac:dyDescent="0.3">
      <c r="A3827">
        <v>3825</v>
      </c>
      <c r="B3827" s="1" t="s">
        <v>5045</v>
      </c>
      <c r="C3827" t="s">
        <v>86</v>
      </c>
      <c r="D3827" s="1" t="s">
        <v>5046</v>
      </c>
    </row>
    <row r="3828" spans="1:4" hidden="1" x14ac:dyDescent="0.3">
      <c r="A3828">
        <v>3826</v>
      </c>
      <c r="B3828" t="s">
        <v>5047</v>
      </c>
      <c r="C3828" t="s">
        <v>89</v>
      </c>
      <c r="D3828">
        <v>101164613.483541</v>
      </c>
    </row>
    <row r="3829" spans="1:4" hidden="1" x14ac:dyDescent="0.3">
      <c r="A3829">
        <v>3827</v>
      </c>
      <c r="B3829" s="1" t="s">
        <v>5048</v>
      </c>
      <c r="C3829" t="s">
        <v>91</v>
      </c>
      <c r="D3829" s="1" t="s">
        <v>4983</v>
      </c>
    </row>
    <row r="3830" spans="1:4" hidden="1" x14ac:dyDescent="0.3">
      <c r="A3830">
        <v>3828</v>
      </c>
      <c r="B3830" t="s">
        <v>5049</v>
      </c>
      <c r="C3830" t="s">
        <v>94</v>
      </c>
      <c r="D3830">
        <v>78110069.797648504</v>
      </c>
    </row>
    <row r="3831" spans="1:4" hidden="1" x14ac:dyDescent="0.3">
      <c r="A3831">
        <v>3829</v>
      </c>
      <c r="B3831" t="s">
        <v>5050</v>
      </c>
      <c r="C3831" t="s">
        <v>96</v>
      </c>
      <c r="D3831">
        <v>39822036.157349199</v>
      </c>
    </row>
    <row r="3832" spans="1:4" hidden="1" x14ac:dyDescent="0.3">
      <c r="A3832">
        <v>3830</v>
      </c>
      <c r="B3832" t="s">
        <v>5051</v>
      </c>
      <c r="C3832" t="s">
        <v>98</v>
      </c>
      <c r="D3832">
        <v>29730161.782075699</v>
      </c>
    </row>
    <row r="3833" spans="1:4" hidden="1" x14ac:dyDescent="0.3">
      <c r="A3833">
        <v>3831</v>
      </c>
      <c r="B3833" s="1" t="s">
        <v>5052</v>
      </c>
      <c r="C3833" t="s">
        <v>100</v>
      </c>
      <c r="D3833" s="1" t="s">
        <v>5053</v>
      </c>
    </row>
    <row r="3834" spans="1:4" hidden="1" x14ac:dyDescent="0.3">
      <c r="A3834">
        <v>3832</v>
      </c>
      <c r="B3834" t="s">
        <v>5054</v>
      </c>
      <c r="C3834" t="s">
        <v>103</v>
      </c>
      <c r="D3834">
        <v>7.9727292121893195E-3</v>
      </c>
    </row>
    <row r="3835" spans="1:4" hidden="1" x14ac:dyDescent="0.3">
      <c r="A3835">
        <v>3833</v>
      </c>
      <c r="B3835" t="s">
        <v>5055</v>
      </c>
      <c r="C3835" t="s">
        <v>105</v>
      </c>
      <c r="D3835">
        <v>1.4205906220746099E-3</v>
      </c>
    </row>
    <row r="3836" spans="1:4" hidden="1" x14ac:dyDescent="0.3">
      <c r="A3836">
        <v>3834</v>
      </c>
      <c r="B3836" t="s">
        <v>5056</v>
      </c>
      <c r="C3836" t="s">
        <v>107</v>
      </c>
      <c r="D3836">
        <v>1.0712349689144999E-2</v>
      </c>
    </row>
    <row r="3837" spans="1:4" hidden="1" x14ac:dyDescent="0.3">
      <c r="A3837">
        <v>3835</v>
      </c>
      <c r="B3837" s="1" t="s">
        <v>5057</v>
      </c>
      <c r="C3837" t="s">
        <v>109</v>
      </c>
      <c r="D3837" s="1" t="s">
        <v>5058</v>
      </c>
    </row>
    <row r="3838" spans="1:4" x14ac:dyDescent="0.3">
      <c r="A3838">
        <v>3836</v>
      </c>
      <c r="B3838" t="s">
        <v>5059</v>
      </c>
      <c r="C3838" t="s">
        <v>207</v>
      </c>
      <c r="D3838">
        <v>147662829.33915201</v>
      </c>
    </row>
    <row r="3839" spans="1:4" hidden="1" x14ac:dyDescent="0.3">
      <c r="A3839">
        <v>3837</v>
      </c>
      <c r="B3839" t="s">
        <v>5060</v>
      </c>
      <c r="C3839" t="s">
        <v>209</v>
      </c>
      <c r="D3839">
        <v>-1253.84733378639</v>
      </c>
    </row>
    <row r="3840" spans="1:4" hidden="1" x14ac:dyDescent="0.3">
      <c r="A3840">
        <v>3838</v>
      </c>
      <c r="B3840" t="s">
        <v>5061</v>
      </c>
      <c r="C3840" t="s">
        <v>211</v>
      </c>
      <c r="D3840">
        <v>-639.23369132545895</v>
      </c>
    </row>
    <row r="3841" spans="1:4" hidden="1" x14ac:dyDescent="0.3">
      <c r="A3841">
        <v>3839</v>
      </c>
      <c r="B3841" s="1" t="s">
        <v>5062</v>
      </c>
      <c r="C3841" t="s">
        <v>213</v>
      </c>
      <c r="D3841" s="1" t="s">
        <v>5063</v>
      </c>
    </row>
    <row r="3842" spans="1:4" hidden="1" x14ac:dyDescent="0.3">
      <c r="A3842">
        <v>3840</v>
      </c>
      <c r="B3842" t="s">
        <v>5064</v>
      </c>
      <c r="C3842" t="s">
        <v>216</v>
      </c>
      <c r="D3842">
        <v>78111753.2530424</v>
      </c>
    </row>
    <row r="3843" spans="1:4" hidden="1" x14ac:dyDescent="0.3">
      <c r="A3843">
        <v>3841</v>
      </c>
      <c r="B3843" t="s">
        <v>5065</v>
      </c>
      <c r="C3843" t="s">
        <v>218</v>
      </c>
      <c r="D3843">
        <v>39822762.3271017</v>
      </c>
    </row>
    <row r="3844" spans="1:4" hidden="1" x14ac:dyDescent="0.3">
      <c r="A3844">
        <v>3842</v>
      </c>
      <c r="B3844" t="s">
        <v>5066</v>
      </c>
      <c r="C3844" t="s">
        <v>220</v>
      </c>
      <c r="D3844">
        <v>29730684.076011699</v>
      </c>
    </row>
    <row r="3845" spans="1:4" hidden="1" x14ac:dyDescent="0.3">
      <c r="A3845">
        <v>3843</v>
      </c>
      <c r="B3845" s="1" t="s">
        <v>5067</v>
      </c>
      <c r="C3845" t="s">
        <v>222</v>
      </c>
      <c r="D3845" s="1" t="s">
        <v>5068</v>
      </c>
    </row>
    <row r="3846" spans="1:4" hidden="1" x14ac:dyDescent="0.3">
      <c r="A3846">
        <v>3844</v>
      </c>
      <c r="B3846" t="s">
        <v>5069</v>
      </c>
      <c r="C3846" t="s">
        <v>225</v>
      </c>
      <c r="D3846">
        <v>101166237.400708</v>
      </c>
    </row>
    <row r="3847" spans="1:4" hidden="1" x14ac:dyDescent="0.3">
      <c r="A3847">
        <v>3845</v>
      </c>
      <c r="B3847" t="s">
        <v>5070</v>
      </c>
      <c r="C3847" t="s">
        <v>227</v>
      </c>
      <c r="D3847">
        <v>-1623.9171667695</v>
      </c>
    </row>
    <row r="3848" spans="1:4" hidden="1" x14ac:dyDescent="0.3">
      <c r="A3848">
        <v>3846</v>
      </c>
      <c r="B3848" s="1" t="s">
        <v>5071</v>
      </c>
      <c r="C3848" t="s">
        <v>229</v>
      </c>
      <c r="D3848" s="1" t="s">
        <v>5072</v>
      </c>
    </row>
    <row r="3849" spans="1:4" hidden="1" x14ac:dyDescent="0.3">
      <c r="A3849">
        <v>3847</v>
      </c>
      <c r="B3849" t="s">
        <v>5073</v>
      </c>
      <c r="C3849" t="s">
        <v>112</v>
      </c>
      <c r="D3849">
        <v>429.60806009518899</v>
      </c>
    </row>
    <row r="3850" spans="1:4" hidden="1" x14ac:dyDescent="0.3">
      <c r="A3850">
        <v>3848</v>
      </c>
      <c r="B3850" t="s">
        <v>5074</v>
      </c>
      <c r="C3850" t="s">
        <v>114</v>
      </c>
      <c r="D3850">
        <v>86.936061187129994</v>
      </c>
    </row>
    <row r="3851" spans="1:4" hidden="1" x14ac:dyDescent="0.3">
      <c r="A3851">
        <v>3849</v>
      </c>
      <c r="B3851" s="1" t="s">
        <v>5075</v>
      </c>
      <c r="C3851" t="s">
        <v>116</v>
      </c>
      <c r="D3851" s="1" t="s">
        <v>5076</v>
      </c>
    </row>
    <row r="3852" spans="1:4" hidden="1" x14ac:dyDescent="0.3">
      <c r="A3852">
        <v>3850</v>
      </c>
      <c r="B3852" t="s">
        <v>5077</v>
      </c>
      <c r="C3852" t="s">
        <v>119</v>
      </c>
      <c r="D3852">
        <v>78111753.2530424</v>
      </c>
    </row>
    <row r="3853" spans="1:4" hidden="1" x14ac:dyDescent="0.3">
      <c r="A3853">
        <v>3851</v>
      </c>
      <c r="B3853" t="s">
        <v>5078</v>
      </c>
      <c r="C3853" t="s">
        <v>121</v>
      </c>
      <c r="D3853">
        <v>39822762.3271017</v>
      </c>
    </row>
    <row r="3854" spans="1:4" hidden="1" x14ac:dyDescent="0.3">
      <c r="A3854">
        <v>3852</v>
      </c>
      <c r="B3854" s="1" t="s">
        <v>5079</v>
      </c>
      <c r="C3854" t="s">
        <v>123</v>
      </c>
      <c r="D3854" s="1" t="s">
        <v>5080</v>
      </c>
    </row>
    <row r="3855" spans="1:4" hidden="1" x14ac:dyDescent="0.3">
      <c r="A3855">
        <v>3853</v>
      </c>
      <c r="B3855" t="s">
        <v>5081</v>
      </c>
      <c r="C3855" t="s">
        <v>126</v>
      </c>
      <c r="D3855">
        <v>0.77192083829455405</v>
      </c>
    </row>
    <row r="3856" spans="1:4" hidden="1" x14ac:dyDescent="0.3">
      <c r="A3856">
        <v>3854</v>
      </c>
      <c r="B3856" t="s">
        <v>5082</v>
      </c>
      <c r="C3856" t="s">
        <v>128</v>
      </c>
      <c r="D3856">
        <v>0.39353898483316702</v>
      </c>
    </row>
    <row r="3857" spans="1:4" hidden="1" x14ac:dyDescent="0.3">
      <c r="A3857">
        <v>3855</v>
      </c>
      <c r="B3857" s="1" t="s">
        <v>5083</v>
      </c>
      <c r="C3857" t="s">
        <v>130</v>
      </c>
      <c r="D3857" s="1" t="s">
        <v>5084</v>
      </c>
    </row>
    <row r="3858" spans="1:4" hidden="1" x14ac:dyDescent="0.3">
      <c r="A3858">
        <v>3856</v>
      </c>
      <c r="B3858" s="1" t="s">
        <v>5085</v>
      </c>
      <c r="C3858" t="s">
        <v>4</v>
      </c>
      <c r="D3858" t="s">
        <v>5086</v>
      </c>
    </row>
    <row r="3859" spans="1:4" hidden="1" x14ac:dyDescent="0.3">
      <c r="A3859">
        <v>3857</v>
      </c>
      <c r="B3859" t="s">
        <v>5087</v>
      </c>
      <c r="C3859" t="s">
        <v>7</v>
      </c>
      <c r="D3859">
        <v>1810.44</v>
      </c>
    </row>
    <row r="3860" spans="1:4" hidden="1" x14ac:dyDescent="0.3">
      <c r="A3860">
        <v>3858</v>
      </c>
      <c r="B3860" s="1" t="s">
        <v>5088</v>
      </c>
      <c r="C3860" t="s">
        <v>9</v>
      </c>
      <c r="D3860" s="1" t="s">
        <v>5089</v>
      </c>
    </row>
    <row r="3861" spans="1:4" hidden="1" x14ac:dyDescent="0.3">
      <c r="A3861">
        <v>3859</v>
      </c>
      <c r="B3861" t="s">
        <v>5090</v>
      </c>
      <c r="C3861" t="s">
        <v>14</v>
      </c>
      <c r="D3861">
        <v>99.1640625</v>
      </c>
    </row>
    <row r="3862" spans="1:4" hidden="1" x14ac:dyDescent="0.3">
      <c r="A3862">
        <v>3860</v>
      </c>
      <c r="B3862" t="s">
        <v>5091</v>
      </c>
      <c r="C3862" t="s">
        <v>16</v>
      </c>
      <c r="D3862">
        <v>4.4048989480018497</v>
      </c>
    </row>
    <row r="3863" spans="1:4" hidden="1" x14ac:dyDescent="0.3">
      <c r="A3863">
        <v>3861</v>
      </c>
      <c r="B3863" s="1" t="s">
        <v>5092</v>
      </c>
      <c r="C3863" t="s">
        <v>140</v>
      </c>
      <c r="D3863" s="1" t="s">
        <v>5093</v>
      </c>
    </row>
    <row r="3864" spans="1:4" hidden="1" x14ac:dyDescent="0.3">
      <c r="A3864">
        <v>3862</v>
      </c>
      <c r="B3864" t="s">
        <v>4199</v>
      </c>
      <c r="C3864" t="s">
        <v>22</v>
      </c>
      <c r="D3864">
        <v>74.599999999999994</v>
      </c>
    </row>
    <row r="3865" spans="1:4" hidden="1" x14ac:dyDescent="0.3">
      <c r="A3865">
        <v>3863</v>
      </c>
      <c r="B3865" t="s">
        <v>5094</v>
      </c>
      <c r="C3865" t="s">
        <v>24</v>
      </c>
      <c r="D3865">
        <v>6.5087132337679403</v>
      </c>
    </row>
    <row r="3866" spans="1:4" hidden="1" x14ac:dyDescent="0.3">
      <c r="A3866">
        <v>3864</v>
      </c>
      <c r="B3866" s="1" t="s">
        <v>5095</v>
      </c>
      <c r="C3866" t="s">
        <v>145</v>
      </c>
      <c r="D3866" s="1" t="s">
        <v>5096</v>
      </c>
    </row>
    <row r="3867" spans="1:4" hidden="1" x14ac:dyDescent="0.3">
      <c r="A3867">
        <v>3865</v>
      </c>
      <c r="B3867" t="s">
        <v>5097</v>
      </c>
      <c r="C3867" t="s">
        <v>35</v>
      </c>
      <c r="D3867">
        <v>-6.7648668556271399E-2</v>
      </c>
    </row>
    <row r="3868" spans="1:4" hidden="1" x14ac:dyDescent="0.3">
      <c r="A3868">
        <v>3866</v>
      </c>
      <c r="B3868" t="s">
        <v>5098</v>
      </c>
      <c r="C3868" t="s">
        <v>149</v>
      </c>
      <c r="D3868">
        <v>0.71727600949255099</v>
      </c>
    </row>
    <row r="3869" spans="1:4" hidden="1" x14ac:dyDescent="0.3">
      <c r="A3869">
        <v>3867</v>
      </c>
      <c r="B3869" s="1" t="s">
        <v>5099</v>
      </c>
      <c r="C3869" t="s">
        <v>151</v>
      </c>
      <c r="D3869" s="1" t="s">
        <v>5100</v>
      </c>
    </row>
    <row r="3870" spans="1:4" hidden="1" x14ac:dyDescent="0.3">
      <c r="A3870">
        <v>3868</v>
      </c>
      <c r="B3870" t="s">
        <v>5101</v>
      </c>
      <c r="C3870" t="s">
        <v>30</v>
      </c>
      <c r="D3870">
        <v>0.41875980065806601</v>
      </c>
    </row>
    <row r="3871" spans="1:4" hidden="1" x14ac:dyDescent="0.3">
      <c r="A3871">
        <v>3869</v>
      </c>
      <c r="B3871" t="s">
        <v>5102</v>
      </c>
      <c r="C3871" t="s">
        <v>32</v>
      </c>
      <c r="D3871">
        <v>0.203309315629807</v>
      </c>
    </row>
    <row r="3872" spans="1:4" hidden="1" x14ac:dyDescent="0.3">
      <c r="A3872">
        <v>3870</v>
      </c>
      <c r="B3872" s="1" t="s">
        <v>5103</v>
      </c>
      <c r="C3872" t="s">
        <v>155</v>
      </c>
      <c r="D3872" s="1" t="s">
        <v>5104</v>
      </c>
    </row>
    <row r="3873" spans="1:4" hidden="1" x14ac:dyDescent="0.3">
      <c r="A3873">
        <v>3871</v>
      </c>
      <c r="B3873" t="s">
        <v>5105</v>
      </c>
      <c r="C3873" t="s">
        <v>40</v>
      </c>
      <c r="D3873">
        <v>0.64888886789820399</v>
      </c>
    </row>
    <row r="3874" spans="1:4" hidden="1" x14ac:dyDescent="0.3">
      <c r="A3874">
        <v>3872</v>
      </c>
      <c r="B3874" t="s">
        <v>5106</v>
      </c>
      <c r="C3874" t="s">
        <v>42</v>
      </c>
      <c r="D3874">
        <v>0.190854139951908</v>
      </c>
    </row>
    <row r="3875" spans="1:4" hidden="1" x14ac:dyDescent="0.3">
      <c r="A3875">
        <v>3873</v>
      </c>
      <c r="B3875" s="1" t="s">
        <v>5107</v>
      </c>
      <c r="C3875" t="s">
        <v>159</v>
      </c>
      <c r="D3875" s="1" t="s">
        <v>5108</v>
      </c>
    </row>
    <row r="3876" spans="1:4" hidden="1" x14ac:dyDescent="0.3">
      <c r="A3876">
        <v>3874</v>
      </c>
      <c r="B3876" t="s">
        <v>5109</v>
      </c>
      <c r="C3876" t="s">
        <v>161</v>
      </c>
      <c r="D3876">
        <v>0.99832917004416899</v>
      </c>
    </row>
    <row r="3877" spans="1:4" hidden="1" x14ac:dyDescent="0.3">
      <c r="A3877">
        <v>3875</v>
      </c>
      <c r="B3877" t="s">
        <v>5110</v>
      </c>
      <c r="C3877" t="s">
        <v>163</v>
      </c>
      <c r="D3877">
        <v>1.0002715537347</v>
      </c>
    </row>
    <row r="3878" spans="1:4" hidden="1" x14ac:dyDescent="0.3">
      <c r="A3878">
        <v>3876</v>
      </c>
      <c r="B3878" s="1" t="s">
        <v>5111</v>
      </c>
      <c r="C3878" t="s">
        <v>165</v>
      </c>
      <c r="D3878" s="1" t="s">
        <v>5112</v>
      </c>
    </row>
    <row r="3879" spans="1:4" hidden="1" x14ac:dyDescent="0.3">
      <c r="A3879">
        <v>3877</v>
      </c>
      <c r="B3879" t="s">
        <v>5113</v>
      </c>
      <c r="C3879" t="s">
        <v>168</v>
      </c>
      <c r="D3879">
        <v>1.0025187826147299</v>
      </c>
    </row>
    <row r="3880" spans="1:4" hidden="1" x14ac:dyDescent="0.3">
      <c r="A3880">
        <v>3878</v>
      </c>
      <c r="B3880" t="s">
        <v>5114</v>
      </c>
      <c r="C3880" t="s">
        <v>170</v>
      </c>
      <c r="D3880">
        <v>0.996402793299759</v>
      </c>
    </row>
    <row r="3881" spans="1:4" hidden="1" x14ac:dyDescent="0.3">
      <c r="A3881">
        <v>3879</v>
      </c>
      <c r="B3881" s="1" t="s">
        <v>5115</v>
      </c>
      <c r="C3881" t="s">
        <v>172</v>
      </c>
      <c r="D3881" s="1" t="s">
        <v>5116</v>
      </c>
    </row>
    <row r="3882" spans="1:4" hidden="1" x14ac:dyDescent="0.3">
      <c r="A3882">
        <v>3880</v>
      </c>
      <c r="B3882" s="1" t="s">
        <v>5117</v>
      </c>
      <c r="C3882" t="s">
        <v>55</v>
      </c>
      <c r="D3882" s="1" t="s">
        <v>5118</v>
      </c>
    </row>
    <row r="3883" spans="1:4" hidden="1" x14ac:dyDescent="0.3">
      <c r="A3883">
        <v>3881</v>
      </c>
      <c r="B3883" s="1" t="s">
        <v>5119</v>
      </c>
      <c r="C3883" t="s">
        <v>52</v>
      </c>
      <c r="D3883" s="1" t="s">
        <v>5120</v>
      </c>
    </row>
    <row r="3884" spans="1:4" hidden="1" x14ac:dyDescent="0.3">
      <c r="A3884">
        <v>3882</v>
      </c>
      <c r="B3884" s="1" t="s">
        <v>5121</v>
      </c>
      <c r="C3884" t="s">
        <v>58</v>
      </c>
      <c r="D3884" s="1" t="s">
        <v>5122</v>
      </c>
    </row>
    <row r="3885" spans="1:4" hidden="1" x14ac:dyDescent="0.3">
      <c r="A3885">
        <v>3883</v>
      </c>
      <c r="B3885" t="s">
        <v>5123</v>
      </c>
      <c r="C3885" t="s">
        <v>61</v>
      </c>
      <c r="D3885">
        <v>147406956.57112899</v>
      </c>
    </row>
    <row r="3886" spans="1:4" hidden="1" x14ac:dyDescent="0.3">
      <c r="A3886">
        <v>3884</v>
      </c>
      <c r="B3886" t="s">
        <v>5124</v>
      </c>
      <c r="C3886" t="s">
        <v>63</v>
      </c>
      <c r="D3886">
        <v>77981241.795804694</v>
      </c>
    </row>
    <row r="3887" spans="1:4" hidden="1" x14ac:dyDescent="0.3">
      <c r="A3887">
        <v>3885</v>
      </c>
      <c r="B3887" t="s">
        <v>5125</v>
      </c>
      <c r="C3887" t="s">
        <v>65</v>
      </c>
      <c r="D3887">
        <v>39833576.346937798</v>
      </c>
    </row>
    <row r="3888" spans="1:4" hidden="1" x14ac:dyDescent="0.3">
      <c r="A3888">
        <v>3886</v>
      </c>
      <c r="B3888" s="1" t="s">
        <v>5126</v>
      </c>
      <c r="C3888" t="s">
        <v>67</v>
      </c>
      <c r="D3888" s="1" t="s">
        <v>5127</v>
      </c>
    </row>
    <row r="3889" spans="1:4" hidden="1" x14ac:dyDescent="0.3">
      <c r="A3889">
        <v>3887</v>
      </c>
      <c r="B3889" s="1" t="s">
        <v>5128</v>
      </c>
      <c r="C3889" t="s">
        <v>70</v>
      </c>
      <c r="D3889" s="1" t="s">
        <v>5129</v>
      </c>
    </row>
    <row r="3890" spans="1:4" hidden="1" x14ac:dyDescent="0.3">
      <c r="A3890">
        <v>3888</v>
      </c>
      <c r="B3890" t="s">
        <v>5130</v>
      </c>
      <c r="C3890" t="s">
        <v>73</v>
      </c>
      <c r="D3890">
        <v>1.00024876287315</v>
      </c>
    </row>
    <row r="3891" spans="1:4" hidden="1" x14ac:dyDescent="0.3">
      <c r="A3891">
        <v>3889</v>
      </c>
      <c r="B3891" t="s">
        <v>74</v>
      </c>
      <c r="C3891" t="s">
        <v>75</v>
      </c>
      <c r="D3891">
        <v>2.7397260273972599E-3</v>
      </c>
    </row>
    <row r="3892" spans="1:4" hidden="1" x14ac:dyDescent="0.3">
      <c r="A3892">
        <v>3890</v>
      </c>
      <c r="B3892" t="s">
        <v>76</v>
      </c>
      <c r="C3892" t="s">
        <v>77</v>
      </c>
      <c r="D3892">
        <v>0</v>
      </c>
    </row>
    <row r="3893" spans="1:4" hidden="1" x14ac:dyDescent="0.3">
      <c r="A3893">
        <v>3891</v>
      </c>
      <c r="B3893" t="s">
        <v>78</v>
      </c>
      <c r="C3893" t="s">
        <v>79</v>
      </c>
      <c r="D3893">
        <v>0</v>
      </c>
    </row>
    <row r="3894" spans="1:4" hidden="1" x14ac:dyDescent="0.3">
      <c r="A3894">
        <v>3892</v>
      </c>
      <c r="B3894" s="1" t="s">
        <v>5131</v>
      </c>
      <c r="C3894" t="s">
        <v>81</v>
      </c>
      <c r="D3894" s="1" t="s">
        <v>5132</v>
      </c>
    </row>
    <row r="3895" spans="1:4" hidden="1" x14ac:dyDescent="0.3">
      <c r="A3895">
        <v>3893</v>
      </c>
      <c r="B3895" t="s">
        <v>5133</v>
      </c>
      <c r="C3895" t="s">
        <v>84</v>
      </c>
      <c r="D3895">
        <v>1.00027024004508</v>
      </c>
    </row>
    <row r="3896" spans="1:4" hidden="1" x14ac:dyDescent="0.3">
      <c r="A3896">
        <v>3894</v>
      </c>
      <c r="B3896" s="1" t="s">
        <v>5134</v>
      </c>
      <c r="C3896" t="s">
        <v>86</v>
      </c>
      <c r="D3896" s="1" t="s">
        <v>5135</v>
      </c>
    </row>
    <row r="3897" spans="1:4" hidden="1" x14ac:dyDescent="0.3">
      <c r="A3897">
        <v>3895</v>
      </c>
      <c r="B3897" t="s">
        <v>5136</v>
      </c>
      <c r="C3897" t="s">
        <v>89</v>
      </c>
      <c r="D3897">
        <v>101162441.340744</v>
      </c>
    </row>
    <row r="3898" spans="1:4" hidden="1" x14ac:dyDescent="0.3">
      <c r="A3898">
        <v>3896</v>
      </c>
      <c r="B3898" s="1" t="s">
        <v>5137</v>
      </c>
      <c r="C3898" t="s">
        <v>91</v>
      </c>
      <c r="D3898" s="1" t="s">
        <v>5072</v>
      </c>
    </row>
    <row r="3899" spans="1:4" hidden="1" x14ac:dyDescent="0.3">
      <c r="A3899">
        <v>3897</v>
      </c>
      <c r="B3899" t="s">
        <v>5138</v>
      </c>
      <c r="C3899" t="s">
        <v>94</v>
      </c>
      <c r="D3899">
        <v>77981241.795804694</v>
      </c>
    </row>
    <row r="3900" spans="1:4" hidden="1" x14ac:dyDescent="0.3">
      <c r="A3900">
        <v>3898</v>
      </c>
      <c r="B3900" t="s">
        <v>5139</v>
      </c>
      <c r="C3900" t="s">
        <v>96</v>
      </c>
      <c r="D3900">
        <v>39833576.346937798</v>
      </c>
    </row>
    <row r="3901" spans="1:4" hidden="1" x14ac:dyDescent="0.3">
      <c r="A3901">
        <v>3899</v>
      </c>
      <c r="B3901" t="s">
        <v>5140</v>
      </c>
      <c r="C3901" t="s">
        <v>98</v>
      </c>
      <c r="D3901">
        <v>29592138.428387102</v>
      </c>
    </row>
    <row r="3902" spans="1:4" hidden="1" x14ac:dyDescent="0.3">
      <c r="A3902">
        <v>3900</v>
      </c>
      <c r="B3902" s="1" t="s">
        <v>5141</v>
      </c>
      <c r="C3902" t="s">
        <v>100</v>
      </c>
      <c r="D3902" s="1" t="s">
        <v>5142</v>
      </c>
    </row>
    <row r="3903" spans="1:4" hidden="1" x14ac:dyDescent="0.3">
      <c r="A3903">
        <v>3901</v>
      </c>
      <c r="B3903" t="s">
        <v>5143</v>
      </c>
      <c r="C3903" t="s">
        <v>103</v>
      </c>
      <c r="D3903">
        <v>7.9251098528281896E-3</v>
      </c>
    </row>
    <row r="3904" spans="1:4" hidden="1" x14ac:dyDescent="0.3">
      <c r="A3904">
        <v>3902</v>
      </c>
      <c r="B3904" t="s">
        <v>5144</v>
      </c>
      <c r="C3904" t="s">
        <v>105</v>
      </c>
      <c r="D3904">
        <v>1.3911936158647301E-3</v>
      </c>
    </row>
    <row r="3905" spans="1:4" hidden="1" x14ac:dyDescent="0.3">
      <c r="A3905">
        <v>3903</v>
      </c>
      <c r="B3905" t="s">
        <v>5145</v>
      </c>
      <c r="C3905" t="s">
        <v>107</v>
      </c>
      <c r="D3905">
        <v>1.07179551753374E-2</v>
      </c>
    </row>
    <row r="3906" spans="1:4" hidden="1" x14ac:dyDescent="0.3">
      <c r="A3906">
        <v>3904</v>
      </c>
      <c r="B3906" s="1" t="s">
        <v>5146</v>
      </c>
      <c r="C3906" t="s">
        <v>109</v>
      </c>
      <c r="D3906" s="1" t="s">
        <v>5147</v>
      </c>
    </row>
    <row r="3907" spans="1:4" x14ac:dyDescent="0.3">
      <c r="A3907">
        <v>3905</v>
      </c>
      <c r="B3907" t="s">
        <v>5148</v>
      </c>
      <c r="C3907" t="s">
        <v>207</v>
      </c>
      <c r="D3907">
        <v>147407708.35945699</v>
      </c>
    </row>
    <row r="3908" spans="1:4" hidden="1" x14ac:dyDescent="0.3">
      <c r="A3908">
        <v>3906</v>
      </c>
      <c r="B3908" t="s">
        <v>5149</v>
      </c>
      <c r="C3908" t="s">
        <v>209</v>
      </c>
      <c r="D3908">
        <v>-1674.4118490994299</v>
      </c>
    </row>
    <row r="3909" spans="1:4" hidden="1" x14ac:dyDescent="0.3">
      <c r="A3909">
        <v>3907</v>
      </c>
      <c r="B3909" t="s">
        <v>5150</v>
      </c>
      <c r="C3909" t="s">
        <v>211</v>
      </c>
      <c r="D3909">
        <v>-855.30221502646998</v>
      </c>
    </row>
    <row r="3910" spans="1:4" hidden="1" x14ac:dyDescent="0.3">
      <c r="A3910">
        <v>3908</v>
      </c>
      <c r="B3910" s="1" t="s">
        <v>5151</v>
      </c>
      <c r="C3910" t="s">
        <v>213</v>
      </c>
      <c r="D3910" s="1" t="s">
        <v>5152</v>
      </c>
    </row>
    <row r="3911" spans="1:4" hidden="1" x14ac:dyDescent="0.3">
      <c r="A3911">
        <v>3909</v>
      </c>
      <c r="B3911" t="s">
        <v>5153</v>
      </c>
      <c r="C3911" t="s">
        <v>216</v>
      </c>
      <c r="D3911">
        <v>77983467.650999501</v>
      </c>
    </row>
    <row r="3912" spans="1:4" hidden="1" x14ac:dyDescent="0.3">
      <c r="A3912">
        <v>3910</v>
      </c>
      <c r="B3912" t="s">
        <v>5154</v>
      </c>
      <c r="C3912" t="s">
        <v>218</v>
      </c>
      <c r="D3912">
        <v>39834544.083773904</v>
      </c>
    </row>
    <row r="3913" spans="1:4" hidden="1" x14ac:dyDescent="0.3">
      <c r="A3913">
        <v>3911</v>
      </c>
      <c r="B3913" t="s">
        <v>5155</v>
      </c>
      <c r="C3913" t="s">
        <v>220</v>
      </c>
      <c r="D3913">
        <v>29592861.738016602</v>
      </c>
    </row>
    <row r="3914" spans="1:4" hidden="1" x14ac:dyDescent="0.3">
      <c r="A3914">
        <v>3912</v>
      </c>
      <c r="B3914" s="1" t="s">
        <v>5156</v>
      </c>
      <c r="C3914" t="s">
        <v>222</v>
      </c>
      <c r="D3914" s="1" t="s">
        <v>5157</v>
      </c>
    </row>
    <row r="3915" spans="1:4" hidden="1" x14ac:dyDescent="0.3">
      <c r="A3915">
        <v>3913</v>
      </c>
      <c r="B3915" t="s">
        <v>5158</v>
      </c>
      <c r="C3915" t="s">
        <v>225</v>
      </c>
      <c r="D3915">
        <v>101164613.483541</v>
      </c>
    </row>
    <row r="3916" spans="1:4" hidden="1" x14ac:dyDescent="0.3">
      <c r="A3916">
        <v>3914</v>
      </c>
      <c r="B3916" t="s">
        <v>5159</v>
      </c>
      <c r="C3916" t="s">
        <v>227</v>
      </c>
      <c r="D3916">
        <v>-2172.1427967846298</v>
      </c>
    </row>
    <row r="3917" spans="1:4" hidden="1" x14ac:dyDescent="0.3">
      <c r="A3917">
        <v>3915</v>
      </c>
      <c r="B3917" s="1" t="s">
        <v>5160</v>
      </c>
      <c r="C3917" t="s">
        <v>229</v>
      </c>
      <c r="D3917" s="1" t="s">
        <v>5161</v>
      </c>
    </row>
    <row r="3918" spans="1:4" hidden="1" x14ac:dyDescent="0.3">
      <c r="A3918">
        <v>3916</v>
      </c>
      <c r="B3918" t="s">
        <v>5162</v>
      </c>
      <c r="C3918" t="s">
        <v>112</v>
      </c>
      <c r="D3918">
        <v>551.44334568593695</v>
      </c>
    </row>
    <row r="3919" spans="1:4" hidden="1" x14ac:dyDescent="0.3">
      <c r="A3919">
        <v>3917</v>
      </c>
      <c r="B3919" t="s">
        <v>5163</v>
      </c>
      <c r="C3919" t="s">
        <v>114</v>
      </c>
      <c r="D3919">
        <v>112.434621053977</v>
      </c>
    </row>
    <row r="3920" spans="1:4" hidden="1" x14ac:dyDescent="0.3">
      <c r="A3920">
        <v>3918</v>
      </c>
      <c r="B3920" s="1" t="s">
        <v>5164</v>
      </c>
      <c r="C3920" t="s">
        <v>116</v>
      </c>
      <c r="D3920" s="1" t="s">
        <v>5165</v>
      </c>
    </row>
    <row r="3921" spans="1:4" hidden="1" x14ac:dyDescent="0.3">
      <c r="A3921">
        <v>3919</v>
      </c>
      <c r="B3921" t="s">
        <v>5166</v>
      </c>
      <c r="C3921" t="s">
        <v>119</v>
      </c>
      <c r="D3921">
        <v>77983467.650999501</v>
      </c>
    </row>
    <row r="3922" spans="1:4" hidden="1" x14ac:dyDescent="0.3">
      <c r="A3922">
        <v>3920</v>
      </c>
      <c r="B3922" t="s">
        <v>5167</v>
      </c>
      <c r="C3922" t="s">
        <v>121</v>
      </c>
      <c r="D3922">
        <v>39834544.083773904</v>
      </c>
    </row>
    <row r="3923" spans="1:4" hidden="1" x14ac:dyDescent="0.3">
      <c r="A3923">
        <v>3921</v>
      </c>
      <c r="B3923" s="1" t="s">
        <v>5168</v>
      </c>
      <c r="C3923" t="s">
        <v>123</v>
      </c>
      <c r="D3923" s="1" t="s">
        <v>5169</v>
      </c>
    </row>
    <row r="3924" spans="1:4" hidden="1" x14ac:dyDescent="0.3">
      <c r="A3924">
        <v>3922</v>
      </c>
      <c r="B3924" t="s">
        <v>5170</v>
      </c>
      <c r="C3924" t="s">
        <v>126</v>
      </c>
      <c r="D3924">
        <v>0.77064890977356004</v>
      </c>
    </row>
    <row r="3925" spans="1:4" hidden="1" x14ac:dyDescent="0.3">
      <c r="A3925">
        <v>3923</v>
      </c>
      <c r="B3925" t="s">
        <v>5171</v>
      </c>
      <c r="C3925" t="s">
        <v>128</v>
      </c>
      <c r="D3925">
        <v>0.393653281832405</v>
      </c>
    </row>
    <row r="3926" spans="1:4" hidden="1" x14ac:dyDescent="0.3">
      <c r="A3926">
        <v>3924</v>
      </c>
      <c r="B3926" s="1" t="s">
        <v>5172</v>
      </c>
      <c r="C3926" t="s">
        <v>130</v>
      </c>
      <c r="D3926" s="1" t="s">
        <v>5173</v>
      </c>
    </row>
    <row r="3927" spans="1:4" hidden="1" x14ac:dyDescent="0.3">
      <c r="A3927">
        <v>3925</v>
      </c>
      <c r="B3927" s="1" t="s">
        <v>5174</v>
      </c>
      <c r="C3927" t="s">
        <v>4</v>
      </c>
      <c r="D3927" t="s">
        <v>5175</v>
      </c>
    </row>
    <row r="3928" spans="1:4" hidden="1" x14ac:dyDescent="0.3">
      <c r="A3928">
        <v>3926</v>
      </c>
      <c r="B3928" t="s">
        <v>5176</v>
      </c>
      <c r="C3928" t="s">
        <v>7</v>
      </c>
      <c r="D3928">
        <v>1811.74</v>
      </c>
    </row>
    <row r="3929" spans="1:4" hidden="1" x14ac:dyDescent="0.3">
      <c r="A3929">
        <v>3927</v>
      </c>
      <c r="B3929" s="1" t="s">
        <v>5177</v>
      </c>
      <c r="C3929" t="s">
        <v>9</v>
      </c>
      <c r="D3929" s="1" t="s">
        <v>5178</v>
      </c>
    </row>
    <row r="3930" spans="1:4" hidden="1" x14ac:dyDescent="0.3">
      <c r="A3930">
        <v>3928</v>
      </c>
      <c r="B3930" t="s">
        <v>5179</v>
      </c>
      <c r="C3930" t="s">
        <v>14</v>
      </c>
      <c r="D3930">
        <v>99.02734375</v>
      </c>
    </row>
    <row r="3931" spans="1:4" hidden="1" x14ac:dyDescent="0.3">
      <c r="A3931">
        <v>3929</v>
      </c>
      <c r="B3931" t="s">
        <v>5180</v>
      </c>
      <c r="C3931" t="s">
        <v>16</v>
      </c>
      <c r="D3931">
        <v>4.4050298499276197</v>
      </c>
    </row>
    <row r="3932" spans="1:4" hidden="1" x14ac:dyDescent="0.3">
      <c r="A3932">
        <v>3930</v>
      </c>
      <c r="B3932" s="1" t="s">
        <v>5181</v>
      </c>
      <c r="C3932" t="s">
        <v>140</v>
      </c>
      <c r="D3932" s="1" t="s">
        <v>5182</v>
      </c>
    </row>
    <row r="3933" spans="1:4" hidden="1" x14ac:dyDescent="0.3">
      <c r="A3933">
        <v>3931</v>
      </c>
      <c r="B3933" t="s">
        <v>5183</v>
      </c>
      <c r="C3933" t="s">
        <v>22</v>
      </c>
      <c r="D3933">
        <v>74.25</v>
      </c>
    </row>
    <row r="3934" spans="1:4" hidden="1" x14ac:dyDescent="0.3">
      <c r="A3934">
        <v>3932</v>
      </c>
      <c r="B3934" t="s">
        <v>5184</v>
      </c>
      <c r="C3934" t="s">
        <v>24</v>
      </c>
      <c r="D3934">
        <v>6.5184846398151901</v>
      </c>
    </row>
    <row r="3935" spans="1:4" hidden="1" x14ac:dyDescent="0.3">
      <c r="A3935">
        <v>3933</v>
      </c>
      <c r="B3935" s="1" t="s">
        <v>5185</v>
      </c>
      <c r="C3935" t="s">
        <v>145</v>
      </c>
      <c r="D3935" s="1" t="s">
        <v>5186</v>
      </c>
    </row>
    <row r="3936" spans="1:4" hidden="1" x14ac:dyDescent="0.3">
      <c r="A3936">
        <v>3934</v>
      </c>
      <c r="B3936" t="s">
        <v>5187</v>
      </c>
      <c r="C3936" t="s">
        <v>35</v>
      </c>
      <c r="D3936">
        <v>-0.570133700375834</v>
      </c>
    </row>
    <row r="3937" spans="1:4" hidden="1" x14ac:dyDescent="0.3">
      <c r="A3937">
        <v>3935</v>
      </c>
      <c r="B3937" t="s">
        <v>5188</v>
      </c>
      <c r="C3937" t="s">
        <v>149</v>
      </c>
      <c r="D3937">
        <v>0.71602179825561296</v>
      </c>
    </row>
    <row r="3938" spans="1:4" hidden="1" x14ac:dyDescent="0.3">
      <c r="A3938">
        <v>3936</v>
      </c>
      <c r="B3938" s="1" t="s">
        <v>5189</v>
      </c>
      <c r="C3938" t="s">
        <v>151</v>
      </c>
      <c r="D3938" s="1" t="s">
        <v>5190</v>
      </c>
    </row>
    <row r="3939" spans="1:4" hidden="1" x14ac:dyDescent="0.3">
      <c r="A3939">
        <v>3937</v>
      </c>
      <c r="B3939" t="s">
        <v>5191</v>
      </c>
      <c r="C3939" t="s">
        <v>30</v>
      </c>
      <c r="D3939">
        <v>0.61725293747110999</v>
      </c>
    </row>
    <row r="3940" spans="1:4" hidden="1" x14ac:dyDescent="0.3">
      <c r="A3940">
        <v>3938</v>
      </c>
      <c r="B3940" t="s">
        <v>5192</v>
      </c>
      <c r="C3940" t="s">
        <v>32</v>
      </c>
      <c r="D3940">
        <v>0.20475127387648501</v>
      </c>
    </row>
    <row r="3941" spans="1:4" hidden="1" x14ac:dyDescent="0.3">
      <c r="A3941">
        <v>3939</v>
      </c>
      <c r="B3941" s="1" t="s">
        <v>5193</v>
      </c>
      <c r="C3941" t="s">
        <v>155</v>
      </c>
      <c r="D3941" s="1" t="s">
        <v>5194</v>
      </c>
    </row>
    <row r="3942" spans="1:4" hidden="1" x14ac:dyDescent="0.3">
      <c r="A3942">
        <v>3940</v>
      </c>
      <c r="B3942" t="s">
        <v>5195</v>
      </c>
      <c r="C3942" t="s">
        <v>40</v>
      </c>
      <c r="D3942">
        <v>0.95288076290472401</v>
      </c>
    </row>
    <row r="3943" spans="1:4" hidden="1" x14ac:dyDescent="0.3">
      <c r="A3943">
        <v>3941</v>
      </c>
      <c r="B3943" t="s">
        <v>5196</v>
      </c>
      <c r="C3943" t="s">
        <v>42</v>
      </c>
      <c r="D3943">
        <v>0.19185425187178101</v>
      </c>
    </row>
    <row r="3944" spans="1:4" hidden="1" x14ac:dyDescent="0.3">
      <c r="A3944">
        <v>3942</v>
      </c>
      <c r="B3944" s="1" t="s">
        <v>5197</v>
      </c>
      <c r="C3944" t="s">
        <v>159</v>
      </c>
      <c r="D3944" s="1" t="s">
        <v>5198</v>
      </c>
    </row>
    <row r="3945" spans="1:4" hidden="1" x14ac:dyDescent="0.3">
      <c r="A3945">
        <v>3943</v>
      </c>
      <c r="B3945" t="s">
        <v>5199</v>
      </c>
      <c r="C3945" t="s">
        <v>161</v>
      </c>
      <c r="D3945">
        <v>1.00071805748878</v>
      </c>
    </row>
    <row r="3946" spans="1:4" hidden="1" x14ac:dyDescent="0.3">
      <c r="A3946">
        <v>3944</v>
      </c>
      <c r="B3946" t="s">
        <v>5200</v>
      </c>
      <c r="C3946" t="s">
        <v>163</v>
      </c>
      <c r="D3946">
        <v>0.99868118936248196</v>
      </c>
    </row>
    <row r="3947" spans="1:4" hidden="1" x14ac:dyDescent="0.3">
      <c r="A3947">
        <v>3945</v>
      </c>
      <c r="B3947" s="1" t="s">
        <v>5201</v>
      </c>
      <c r="C3947" t="s">
        <v>165</v>
      </c>
      <c r="D3947" s="1" t="s">
        <v>5202</v>
      </c>
    </row>
    <row r="3948" spans="1:4" hidden="1" x14ac:dyDescent="0.3">
      <c r="A3948">
        <v>3946</v>
      </c>
      <c r="B3948" t="s">
        <v>5203</v>
      </c>
      <c r="C3948" t="s">
        <v>168</v>
      </c>
      <c r="D3948">
        <v>0.99926965075502905</v>
      </c>
    </row>
    <row r="3949" spans="1:4" hidden="1" x14ac:dyDescent="0.3">
      <c r="A3949">
        <v>3947</v>
      </c>
      <c r="B3949" t="s">
        <v>5204</v>
      </c>
      <c r="C3949" t="s">
        <v>170</v>
      </c>
      <c r="D3949">
        <v>1.0011983271698699</v>
      </c>
    </row>
    <row r="3950" spans="1:4" hidden="1" x14ac:dyDescent="0.3">
      <c r="A3950">
        <v>3948</v>
      </c>
      <c r="B3950" s="1" t="s">
        <v>5205</v>
      </c>
      <c r="C3950" t="s">
        <v>172</v>
      </c>
      <c r="D3950" s="1" t="s">
        <v>5206</v>
      </c>
    </row>
    <row r="3951" spans="1:4" hidden="1" x14ac:dyDescent="0.3">
      <c r="A3951">
        <v>3949</v>
      </c>
      <c r="B3951" s="1" t="s">
        <v>5207</v>
      </c>
      <c r="C3951" t="s">
        <v>55</v>
      </c>
      <c r="D3951" s="1" t="s">
        <v>5208</v>
      </c>
    </row>
    <row r="3952" spans="1:4" hidden="1" x14ac:dyDescent="0.3">
      <c r="A3952">
        <v>3950</v>
      </c>
      <c r="B3952" s="1" t="s">
        <v>5209</v>
      </c>
      <c r="C3952" t="s">
        <v>52</v>
      </c>
      <c r="D3952" s="1" t="s">
        <v>5210</v>
      </c>
    </row>
    <row r="3953" spans="1:4" hidden="1" x14ac:dyDescent="0.3">
      <c r="A3953">
        <v>3951</v>
      </c>
      <c r="B3953" s="1" t="s">
        <v>5211</v>
      </c>
      <c r="C3953" t="s">
        <v>58</v>
      </c>
      <c r="D3953" s="1" t="s">
        <v>5212</v>
      </c>
    </row>
    <row r="3954" spans="1:4" hidden="1" x14ac:dyDescent="0.3">
      <c r="A3954">
        <v>3952</v>
      </c>
      <c r="B3954" t="s">
        <v>5213</v>
      </c>
      <c r="C3954" t="s">
        <v>61</v>
      </c>
      <c r="D3954">
        <v>147290202.00418901</v>
      </c>
    </row>
    <row r="3955" spans="1:4" hidden="1" x14ac:dyDescent="0.3">
      <c r="A3955">
        <v>3953</v>
      </c>
      <c r="B3955" t="s">
        <v>5214</v>
      </c>
      <c r="C3955" t="s">
        <v>63</v>
      </c>
      <c r="D3955">
        <v>78039464.263947904</v>
      </c>
    </row>
    <row r="3956" spans="1:4" hidden="1" x14ac:dyDescent="0.3">
      <c r="A3956">
        <v>3954</v>
      </c>
      <c r="B3956" t="s">
        <v>5215</v>
      </c>
      <c r="C3956" t="s">
        <v>65</v>
      </c>
      <c r="D3956">
        <v>39782009.8632956</v>
      </c>
    </row>
    <row r="3957" spans="1:4" hidden="1" x14ac:dyDescent="0.3">
      <c r="A3957">
        <v>3955</v>
      </c>
      <c r="B3957" s="1" t="s">
        <v>5216</v>
      </c>
      <c r="C3957" t="s">
        <v>67</v>
      </c>
      <c r="D3957" s="1" t="s">
        <v>5217</v>
      </c>
    </row>
    <row r="3958" spans="1:4" hidden="1" x14ac:dyDescent="0.3">
      <c r="A3958">
        <v>3956</v>
      </c>
      <c r="B3958" s="1" t="s">
        <v>5218</v>
      </c>
      <c r="C3958" t="s">
        <v>70</v>
      </c>
      <c r="D3958" s="1" t="s">
        <v>5219</v>
      </c>
    </row>
    <row r="3959" spans="1:4" hidden="1" x14ac:dyDescent="0.3">
      <c r="A3959">
        <v>3957</v>
      </c>
      <c r="B3959" t="s">
        <v>5220</v>
      </c>
      <c r="C3959" t="s">
        <v>73</v>
      </c>
      <c r="D3959">
        <v>1.00027024004508</v>
      </c>
    </row>
    <row r="3960" spans="1:4" hidden="1" x14ac:dyDescent="0.3">
      <c r="A3960">
        <v>3958</v>
      </c>
      <c r="B3960" t="s">
        <v>74</v>
      </c>
      <c r="C3960" t="s">
        <v>75</v>
      </c>
      <c r="D3960">
        <v>2.7397260273972599E-3</v>
      </c>
    </row>
    <row r="3961" spans="1:4" hidden="1" x14ac:dyDescent="0.3">
      <c r="A3961">
        <v>3959</v>
      </c>
      <c r="B3961" t="s">
        <v>76</v>
      </c>
      <c r="C3961" t="s">
        <v>77</v>
      </c>
      <c r="D3961">
        <v>0</v>
      </c>
    </row>
    <row r="3962" spans="1:4" hidden="1" x14ac:dyDescent="0.3">
      <c r="A3962">
        <v>3960</v>
      </c>
      <c r="B3962" t="s">
        <v>78</v>
      </c>
      <c r="C3962" t="s">
        <v>79</v>
      </c>
      <c r="D3962">
        <v>0</v>
      </c>
    </row>
    <row r="3963" spans="1:4" hidden="1" x14ac:dyDescent="0.3">
      <c r="A3963">
        <v>3961</v>
      </c>
      <c r="B3963" s="1" t="s">
        <v>5221</v>
      </c>
      <c r="C3963" t="s">
        <v>81</v>
      </c>
      <c r="D3963" s="1" t="s">
        <v>5222</v>
      </c>
    </row>
    <row r="3964" spans="1:4" hidden="1" x14ac:dyDescent="0.3">
      <c r="A3964">
        <v>3962</v>
      </c>
      <c r="B3964" t="s">
        <v>5223</v>
      </c>
      <c r="C3964" t="s">
        <v>84</v>
      </c>
      <c r="D3964">
        <v>1.0002912593787601</v>
      </c>
    </row>
    <row r="3965" spans="1:4" hidden="1" x14ac:dyDescent="0.3">
      <c r="A3965">
        <v>3963</v>
      </c>
      <c r="B3965" s="1" t="s">
        <v>5224</v>
      </c>
      <c r="C3965" t="s">
        <v>86</v>
      </c>
      <c r="D3965" s="1" t="s">
        <v>5225</v>
      </c>
    </row>
    <row r="3966" spans="1:4" hidden="1" x14ac:dyDescent="0.3">
      <c r="A3966">
        <v>3964</v>
      </c>
      <c r="B3966" t="s">
        <v>5226</v>
      </c>
      <c r="C3966" t="s">
        <v>89</v>
      </c>
      <c r="D3966">
        <v>101160315.592778</v>
      </c>
    </row>
    <row r="3967" spans="1:4" hidden="1" x14ac:dyDescent="0.3">
      <c r="A3967">
        <v>3965</v>
      </c>
      <c r="B3967" s="1" t="s">
        <v>5227</v>
      </c>
      <c r="C3967" t="s">
        <v>91</v>
      </c>
      <c r="D3967" s="1" t="s">
        <v>5161</v>
      </c>
    </row>
    <row r="3968" spans="1:4" hidden="1" x14ac:dyDescent="0.3">
      <c r="A3968">
        <v>3966</v>
      </c>
      <c r="B3968" t="s">
        <v>5228</v>
      </c>
      <c r="C3968" t="s">
        <v>94</v>
      </c>
      <c r="D3968">
        <v>78039464.263947904</v>
      </c>
    </row>
    <row r="3969" spans="1:4" hidden="1" x14ac:dyDescent="0.3">
      <c r="A3969">
        <v>3967</v>
      </c>
      <c r="B3969" t="s">
        <v>5229</v>
      </c>
      <c r="C3969" t="s">
        <v>96</v>
      </c>
      <c r="D3969">
        <v>39782009.8632956</v>
      </c>
    </row>
    <row r="3970" spans="1:4" hidden="1" x14ac:dyDescent="0.3">
      <c r="A3970">
        <v>3968</v>
      </c>
      <c r="B3970" t="s">
        <v>5230</v>
      </c>
      <c r="C3970" t="s">
        <v>98</v>
      </c>
      <c r="D3970">
        <v>29468727.8769462</v>
      </c>
    </row>
    <row r="3971" spans="1:4" hidden="1" x14ac:dyDescent="0.3">
      <c r="A3971">
        <v>3969</v>
      </c>
      <c r="B3971" s="1" t="s">
        <v>5231</v>
      </c>
      <c r="C3971" t="s">
        <v>100</v>
      </c>
      <c r="D3971" s="1" t="s">
        <v>5232</v>
      </c>
    </row>
    <row r="3972" spans="1:4" hidden="1" x14ac:dyDescent="0.3">
      <c r="A3972">
        <v>3970</v>
      </c>
      <c r="B3972" t="s">
        <v>5233</v>
      </c>
      <c r="C3972" t="s">
        <v>103</v>
      </c>
      <c r="D3972">
        <v>7.9278401335692392E-3</v>
      </c>
    </row>
    <row r="3973" spans="1:4" hidden="1" x14ac:dyDescent="0.3">
      <c r="A3973">
        <v>3971</v>
      </c>
      <c r="B3973" t="s">
        <v>5234</v>
      </c>
      <c r="C3973" t="s">
        <v>105</v>
      </c>
      <c r="D3973">
        <v>1.3982081207863299E-3</v>
      </c>
    </row>
    <row r="3974" spans="1:4" hidden="1" x14ac:dyDescent="0.3">
      <c r="A3974">
        <v>3972</v>
      </c>
      <c r="B3974" t="s">
        <v>5235</v>
      </c>
      <c r="C3974" t="s">
        <v>107</v>
      </c>
      <c r="D3974">
        <v>1.073077157863E-2</v>
      </c>
    </row>
    <row r="3975" spans="1:4" hidden="1" x14ac:dyDescent="0.3">
      <c r="A3975">
        <v>3973</v>
      </c>
      <c r="B3975" s="1" t="s">
        <v>5236</v>
      </c>
      <c r="C3975" t="s">
        <v>109</v>
      </c>
      <c r="D3975" s="1" t="s">
        <v>5237</v>
      </c>
    </row>
    <row r="3976" spans="1:4" x14ac:dyDescent="0.3">
      <c r="A3976">
        <v>3974</v>
      </c>
      <c r="B3976" t="s">
        <v>5238</v>
      </c>
      <c r="C3976" t="s">
        <v>207</v>
      </c>
      <c r="D3976">
        <v>147290937.102626</v>
      </c>
    </row>
    <row r="3977" spans="1:4" hidden="1" x14ac:dyDescent="0.3">
      <c r="A3977">
        <v>3975</v>
      </c>
      <c r="B3977" t="s">
        <v>5239</v>
      </c>
      <c r="C3977" t="s">
        <v>209</v>
      </c>
      <c r="D3977">
        <v>-1639.90491002986</v>
      </c>
    </row>
    <row r="3978" spans="1:4" hidden="1" x14ac:dyDescent="0.3">
      <c r="A3978">
        <v>3976</v>
      </c>
      <c r="B3978" t="s">
        <v>5240</v>
      </c>
      <c r="C3978" t="s">
        <v>211</v>
      </c>
      <c r="D3978">
        <v>-835.96855286731397</v>
      </c>
    </row>
    <row r="3979" spans="1:4" hidden="1" x14ac:dyDescent="0.3">
      <c r="A3979">
        <v>3977</v>
      </c>
      <c r="B3979" s="1" t="s">
        <v>5241</v>
      </c>
      <c r="C3979" t="s">
        <v>213</v>
      </c>
      <c r="D3979" s="1" t="s">
        <v>5242</v>
      </c>
    </row>
    <row r="3980" spans="1:4" hidden="1" x14ac:dyDescent="0.3">
      <c r="A3980">
        <v>3978</v>
      </c>
      <c r="B3980" t="s">
        <v>5243</v>
      </c>
      <c r="C3980" t="s">
        <v>216</v>
      </c>
      <c r="D3980">
        <v>78041605.553838894</v>
      </c>
    </row>
    <row r="3981" spans="1:4" hidden="1" x14ac:dyDescent="0.3">
      <c r="A3981">
        <v>3979</v>
      </c>
      <c r="B3981" t="s">
        <v>5244</v>
      </c>
      <c r="C3981" t="s">
        <v>218</v>
      </c>
      <c r="D3981">
        <v>39782994.525637701</v>
      </c>
    </row>
    <row r="3982" spans="1:4" hidden="1" x14ac:dyDescent="0.3">
      <c r="A3982">
        <v>3980</v>
      </c>
      <c r="B3982" t="s">
        <v>5245</v>
      </c>
      <c r="C3982" t="s">
        <v>220</v>
      </c>
      <c r="D3982">
        <v>29469432.144078601</v>
      </c>
    </row>
    <row r="3983" spans="1:4" hidden="1" x14ac:dyDescent="0.3">
      <c r="A3983">
        <v>3981</v>
      </c>
      <c r="B3983" s="1" t="s">
        <v>5246</v>
      </c>
      <c r="C3983" t="s">
        <v>222</v>
      </c>
      <c r="D3983" s="1" t="s">
        <v>5247</v>
      </c>
    </row>
    <row r="3984" spans="1:4" hidden="1" x14ac:dyDescent="0.3">
      <c r="A3984">
        <v>3982</v>
      </c>
      <c r="B3984" t="s">
        <v>5248</v>
      </c>
      <c r="C3984" t="s">
        <v>225</v>
      </c>
      <c r="D3984">
        <v>101162441.340744</v>
      </c>
    </row>
    <row r="3985" spans="1:4" hidden="1" x14ac:dyDescent="0.3">
      <c r="A3985">
        <v>3983</v>
      </c>
      <c r="B3985" t="s">
        <v>5249</v>
      </c>
      <c r="C3985" t="s">
        <v>227</v>
      </c>
      <c r="D3985">
        <v>-2125.7479659467899</v>
      </c>
    </row>
    <row r="3986" spans="1:4" hidden="1" x14ac:dyDescent="0.3">
      <c r="A3986">
        <v>3984</v>
      </c>
      <c r="B3986" s="1" t="s">
        <v>5250</v>
      </c>
      <c r="C3986" t="s">
        <v>229</v>
      </c>
      <c r="D3986" s="1" t="s">
        <v>5251</v>
      </c>
    </row>
    <row r="3987" spans="1:4" hidden="1" x14ac:dyDescent="0.3">
      <c r="A3987">
        <v>3985</v>
      </c>
      <c r="B3987" t="s">
        <v>5252</v>
      </c>
      <c r="C3987" t="s">
        <v>112</v>
      </c>
      <c r="D3987">
        <v>501.38498098266501</v>
      </c>
    </row>
    <row r="3988" spans="1:4" hidden="1" x14ac:dyDescent="0.3">
      <c r="A3988">
        <v>3986</v>
      </c>
      <c r="B3988" t="s">
        <v>5253</v>
      </c>
      <c r="C3988" t="s">
        <v>114</v>
      </c>
      <c r="D3988">
        <v>148.69378929022901</v>
      </c>
    </row>
    <row r="3989" spans="1:4" hidden="1" x14ac:dyDescent="0.3">
      <c r="A3989">
        <v>3987</v>
      </c>
      <c r="B3989" s="1" t="s">
        <v>5254</v>
      </c>
      <c r="C3989" t="s">
        <v>116</v>
      </c>
      <c r="D3989" s="1" t="s">
        <v>5255</v>
      </c>
    </row>
    <row r="3990" spans="1:4" hidden="1" x14ac:dyDescent="0.3">
      <c r="A3990">
        <v>3988</v>
      </c>
      <c r="B3990" t="s">
        <v>5256</v>
      </c>
      <c r="C3990" t="s">
        <v>119</v>
      </c>
      <c r="D3990">
        <v>78041605.553838894</v>
      </c>
    </row>
    <row r="3991" spans="1:4" hidden="1" x14ac:dyDescent="0.3">
      <c r="A3991">
        <v>3989</v>
      </c>
      <c r="B3991" t="s">
        <v>5257</v>
      </c>
      <c r="C3991" t="s">
        <v>121</v>
      </c>
      <c r="D3991">
        <v>39782994.525637701</v>
      </c>
    </row>
    <row r="3992" spans="1:4" hidden="1" x14ac:dyDescent="0.3">
      <c r="A3992">
        <v>3990</v>
      </c>
      <c r="B3992" s="1" t="s">
        <v>5258</v>
      </c>
      <c r="C3992" t="s">
        <v>123</v>
      </c>
      <c r="D3992" s="1" t="s">
        <v>5259</v>
      </c>
    </row>
    <row r="3993" spans="1:4" hidden="1" x14ac:dyDescent="0.3">
      <c r="A3993">
        <v>3991</v>
      </c>
      <c r="B3993" t="s">
        <v>5260</v>
      </c>
      <c r="C3993" t="s">
        <v>126</v>
      </c>
      <c r="D3993">
        <v>0.77122379401656704</v>
      </c>
    </row>
    <row r="3994" spans="1:4" hidden="1" x14ac:dyDescent="0.3">
      <c r="A3994">
        <v>3992</v>
      </c>
      <c r="B3994" t="s">
        <v>5261</v>
      </c>
      <c r="C3994" t="s">
        <v>128</v>
      </c>
      <c r="D3994">
        <v>0.39314403846082102</v>
      </c>
    </row>
    <row r="3995" spans="1:4" hidden="1" x14ac:dyDescent="0.3">
      <c r="A3995">
        <v>3993</v>
      </c>
      <c r="B3995" s="1" t="s">
        <v>5262</v>
      </c>
      <c r="C3995" t="s">
        <v>130</v>
      </c>
      <c r="D3995" s="1" t="s">
        <v>5263</v>
      </c>
    </row>
    <row r="3996" spans="1:4" hidden="1" x14ac:dyDescent="0.3">
      <c r="A3996">
        <v>3994</v>
      </c>
      <c r="B3996" s="1" t="s">
        <v>5264</v>
      </c>
      <c r="C3996" t="s">
        <v>4</v>
      </c>
      <c r="D3996" t="s">
        <v>5265</v>
      </c>
    </row>
    <row r="3997" spans="1:4" hidden="1" x14ac:dyDescent="0.3">
      <c r="A3997">
        <v>3995</v>
      </c>
      <c r="B3997" t="s">
        <v>5266</v>
      </c>
      <c r="C3997" t="s">
        <v>7</v>
      </c>
      <c r="D3997">
        <v>1804.41</v>
      </c>
    </row>
    <row r="3998" spans="1:4" hidden="1" x14ac:dyDescent="0.3">
      <c r="A3998">
        <v>3996</v>
      </c>
      <c r="B3998" s="1" t="s">
        <v>5267</v>
      </c>
      <c r="C3998" t="s">
        <v>9</v>
      </c>
      <c r="D3998" s="1" t="s">
        <v>5268</v>
      </c>
    </row>
    <row r="3999" spans="1:4" hidden="1" x14ac:dyDescent="0.3">
      <c r="A3999">
        <v>3997</v>
      </c>
      <c r="B3999" t="s">
        <v>4106</v>
      </c>
      <c r="C3999" t="s">
        <v>14</v>
      </c>
      <c r="D3999">
        <v>98.828125</v>
      </c>
    </row>
    <row r="4000" spans="1:4" hidden="1" x14ac:dyDescent="0.3">
      <c r="A4000">
        <v>3998</v>
      </c>
      <c r="B4000" t="s">
        <v>5269</v>
      </c>
      <c r="C4000" t="s">
        <v>16</v>
      </c>
      <c r="D4000">
        <v>4.4020331570543698</v>
      </c>
    </row>
    <row r="4001" spans="1:4" hidden="1" x14ac:dyDescent="0.3">
      <c r="A4001">
        <v>3999</v>
      </c>
      <c r="B4001" s="1" t="s">
        <v>5270</v>
      </c>
      <c r="C4001" t="s">
        <v>140</v>
      </c>
      <c r="D4001" s="1" t="s">
        <v>5271</v>
      </c>
    </row>
    <row r="4002" spans="1:4" hidden="1" x14ac:dyDescent="0.3">
      <c r="A4002">
        <v>4000</v>
      </c>
      <c r="B4002" t="s">
        <v>5272</v>
      </c>
      <c r="C4002" t="s">
        <v>22</v>
      </c>
      <c r="D4002">
        <v>73.95</v>
      </c>
    </row>
    <row r="4003" spans="1:4" hidden="1" x14ac:dyDescent="0.3">
      <c r="A4003">
        <v>4001</v>
      </c>
      <c r="B4003" t="s">
        <v>5273</v>
      </c>
      <c r="C4003" t="s">
        <v>24</v>
      </c>
      <c r="D4003">
        <v>6.5002147024395196</v>
      </c>
    </row>
    <row r="4004" spans="1:4" hidden="1" x14ac:dyDescent="0.3">
      <c r="A4004">
        <v>4002</v>
      </c>
      <c r="B4004" s="1" t="s">
        <v>5274</v>
      </c>
      <c r="C4004" t="s">
        <v>145</v>
      </c>
      <c r="D4004" s="1" t="s">
        <v>5275</v>
      </c>
    </row>
    <row r="4005" spans="1:4" hidden="1" x14ac:dyDescent="0.3">
      <c r="A4005">
        <v>4003</v>
      </c>
      <c r="B4005" t="s">
        <v>5276</v>
      </c>
      <c r="C4005" t="s">
        <v>35</v>
      </c>
      <c r="D4005">
        <v>0.35724238609725201</v>
      </c>
    </row>
    <row r="4006" spans="1:4" hidden="1" x14ac:dyDescent="0.3">
      <c r="A4006">
        <v>4004</v>
      </c>
      <c r="B4006" t="s">
        <v>5277</v>
      </c>
      <c r="C4006" t="s">
        <v>149</v>
      </c>
      <c r="D4006">
        <v>0.717108531299956</v>
      </c>
    </row>
    <row r="4007" spans="1:4" hidden="1" x14ac:dyDescent="0.3">
      <c r="A4007">
        <v>4005</v>
      </c>
      <c r="B4007" s="1" t="s">
        <v>5278</v>
      </c>
      <c r="C4007" t="s">
        <v>151</v>
      </c>
      <c r="D4007" s="1" t="s">
        <v>5279</v>
      </c>
    </row>
    <row r="4008" spans="1:4" hidden="1" x14ac:dyDescent="0.3">
      <c r="A4008">
        <v>4006</v>
      </c>
      <c r="B4008" t="s">
        <v>5280</v>
      </c>
      <c r="C4008" t="s">
        <v>30</v>
      </c>
      <c r="D4008">
        <v>0.25153933903891301</v>
      </c>
    </row>
    <row r="4009" spans="1:4" hidden="1" x14ac:dyDescent="0.3">
      <c r="A4009">
        <v>4007</v>
      </c>
      <c r="B4009" t="s">
        <v>5281</v>
      </c>
      <c r="C4009" t="s">
        <v>32</v>
      </c>
      <c r="D4009">
        <v>0.20400647597670099</v>
      </c>
    </row>
    <row r="4010" spans="1:4" hidden="1" x14ac:dyDescent="0.3">
      <c r="A4010">
        <v>4008</v>
      </c>
      <c r="B4010" s="1" t="s">
        <v>5282</v>
      </c>
      <c r="C4010" t="s">
        <v>155</v>
      </c>
      <c r="D4010" s="1" t="s">
        <v>5283</v>
      </c>
    </row>
    <row r="4011" spans="1:4" hidden="1" x14ac:dyDescent="0.3">
      <c r="A4011">
        <v>4009</v>
      </c>
      <c r="B4011" t="s">
        <v>5284</v>
      </c>
      <c r="C4011" t="s">
        <v>40</v>
      </c>
      <c r="D4011">
        <v>0.39121827486383398</v>
      </c>
    </row>
    <row r="4012" spans="1:4" hidden="1" x14ac:dyDescent="0.3">
      <c r="A4012">
        <v>4010</v>
      </c>
      <c r="B4012" t="s">
        <v>5285</v>
      </c>
      <c r="C4012" t="s">
        <v>42</v>
      </c>
      <c r="D4012">
        <v>0.19048258161019499</v>
      </c>
    </row>
    <row r="4013" spans="1:4" hidden="1" x14ac:dyDescent="0.3">
      <c r="A4013">
        <v>4011</v>
      </c>
      <c r="B4013" s="1" t="s">
        <v>5286</v>
      </c>
      <c r="C4013" t="s">
        <v>159</v>
      </c>
      <c r="D4013" s="1" t="s">
        <v>5287</v>
      </c>
    </row>
    <row r="4014" spans="1:4" hidden="1" x14ac:dyDescent="0.3">
      <c r="A4014">
        <v>4012</v>
      </c>
      <c r="B4014" t="s">
        <v>5288</v>
      </c>
      <c r="C4014" t="s">
        <v>161</v>
      </c>
      <c r="D4014">
        <v>0.99595416560875105</v>
      </c>
    </row>
    <row r="4015" spans="1:4" hidden="1" x14ac:dyDescent="0.3">
      <c r="A4015">
        <v>4013</v>
      </c>
      <c r="B4015" t="s">
        <v>5289</v>
      </c>
      <c r="C4015" t="s">
        <v>163</v>
      </c>
      <c r="D4015">
        <v>0.99804495018498296</v>
      </c>
    </row>
    <row r="4016" spans="1:4" hidden="1" x14ac:dyDescent="0.3">
      <c r="A4016">
        <v>4014</v>
      </c>
      <c r="B4016" s="1" t="s">
        <v>5290</v>
      </c>
      <c r="C4016" t="s">
        <v>165</v>
      </c>
      <c r="D4016" s="1" t="s">
        <v>5291</v>
      </c>
    </row>
    <row r="4017" spans="1:4" hidden="1" x14ac:dyDescent="0.3">
      <c r="A4017">
        <v>4015</v>
      </c>
      <c r="B4017" t="s">
        <v>5292</v>
      </c>
      <c r="C4017" t="s">
        <v>168</v>
      </c>
      <c r="D4017">
        <v>1.00063328627028</v>
      </c>
    </row>
    <row r="4018" spans="1:4" hidden="1" x14ac:dyDescent="0.3">
      <c r="A4018">
        <v>4016</v>
      </c>
      <c r="B4018" t="s">
        <v>5293</v>
      </c>
      <c r="C4018" t="s">
        <v>170</v>
      </c>
      <c r="D4018">
        <v>0.99938178284934498</v>
      </c>
    </row>
    <row r="4019" spans="1:4" hidden="1" x14ac:dyDescent="0.3">
      <c r="A4019">
        <v>4017</v>
      </c>
      <c r="B4019" s="1" t="s">
        <v>5294</v>
      </c>
      <c r="C4019" t="s">
        <v>172</v>
      </c>
      <c r="D4019" s="1" t="s">
        <v>5295</v>
      </c>
    </row>
    <row r="4020" spans="1:4" hidden="1" x14ac:dyDescent="0.3">
      <c r="A4020">
        <v>4018</v>
      </c>
      <c r="B4020" s="1" t="s">
        <v>5296</v>
      </c>
      <c r="C4020" t="s">
        <v>55</v>
      </c>
      <c r="D4020" s="1" t="s">
        <v>5297</v>
      </c>
    </row>
    <row r="4021" spans="1:4" hidden="1" x14ac:dyDescent="0.3">
      <c r="A4021">
        <v>4019</v>
      </c>
      <c r="B4021" s="1" t="s">
        <v>5298</v>
      </c>
      <c r="C4021" t="s">
        <v>52</v>
      </c>
      <c r="D4021" s="1" t="s">
        <v>5299</v>
      </c>
    </row>
    <row r="4022" spans="1:4" hidden="1" x14ac:dyDescent="0.3">
      <c r="A4022">
        <v>4020</v>
      </c>
      <c r="B4022" s="1" t="s">
        <v>5300</v>
      </c>
      <c r="C4022" t="s">
        <v>58</v>
      </c>
      <c r="D4022" s="1" t="s">
        <v>5301</v>
      </c>
    </row>
    <row r="4023" spans="1:4" hidden="1" x14ac:dyDescent="0.3">
      <c r="A4023">
        <v>4021</v>
      </c>
      <c r="B4023" t="s">
        <v>5302</v>
      </c>
      <c r="C4023" t="s">
        <v>61</v>
      </c>
      <c r="D4023">
        <v>146784386.149508</v>
      </c>
    </row>
    <row r="4024" spans="1:4" hidden="1" x14ac:dyDescent="0.3">
      <c r="A4024">
        <v>4022</v>
      </c>
      <c r="B4024" t="s">
        <v>5303</v>
      </c>
      <c r="C4024" t="s">
        <v>63</v>
      </c>
      <c r="D4024">
        <v>77725862.142140999</v>
      </c>
    </row>
    <row r="4025" spans="1:4" hidden="1" x14ac:dyDescent="0.3">
      <c r="A4025">
        <v>4023</v>
      </c>
      <c r="B4025" t="s">
        <v>5304</v>
      </c>
      <c r="C4025" t="s">
        <v>65</v>
      </c>
      <c r="D4025">
        <v>39705216.789549597</v>
      </c>
    </row>
    <row r="4026" spans="1:4" hidden="1" x14ac:dyDescent="0.3">
      <c r="A4026">
        <v>4024</v>
      </c>
      <c r="B4026" s="1" t="s">
        <v>5305</v>
      </c>
      <c r="C4026" t="s">
        <v>67</v>
      </c>
      <c r="D4026" s="1" t="s">
        <v>5306</v>
      </c>
    </row>
    <row r="4027" spans="1:4" hidden="1" x14ac:dyDescent="0.3">
      <c r="A4027">
        <v>4025</v>
      </c>
      <c r="B4027" s="1" t="s">
        <v>5307</v>
      </c>
      <c r="C4027" t="s">
        <v>70</v>
      </c>
      <c r="D4027" s="1" t="s">
        <v>5308</v>
      </c>
    </row>
    <row r="4028" spans="1:4" hidden="1" x14ac:dyDescent="0.3">
      <c r="A4028">
        <v>4026</v>
      </c>
      <c r="B4028" t="s">
        <v>5309</v>
      </c>
      <c r="C4028" t="s">
        <v>73</v>
      </c>
      <c r="D4028">
        <v>1.0002912593787601</v>
      </c>
    </row>
    <row r="4029" spans="1:4" hidden="1" x14ac:dyDescent="0.3">
      <c r="A4029">
        <v>4027</v>
      </c>
      <c r="B4029" t="s">
        <v>74</v>
      </c>
      <c r="C4029" t="s">
        <v>75</v>
      </c>
      <c r="D4029">
        <v>2.7397260273972599E-3</v>
      </c>
    </row>
    <row r="4030" spans="1:4" hidden="1" x14ac:dyDescent="0.3">
      <c r="A4030">
        <v>4028</v>
      </c>
      <c r="B4030" t="s">
        <v>76</v>
      </c>
      <c r="C4030" t="s">
        <v>77</v>
      </c>
      <c r="D4030">
        <v>0</v>
      </c>
    </row>
    <row r="4031" spans="1:4" hidden="1" x14ac:dyDescent="0.3">
      <c r="A4031">
        <v>4029</v>
      </c>
      <c r="B4031" t="s">
        <v>78</v>
      </c>
      <c r="C4031" t="s">
        <v>79</v>
      </c>
      <c r="D4031">
        <v>0</v>
      </c>
    </row>
    <row r="4032" spans="1:4" hidden="1" x14ac:dyDescent="0.3">
      <c r="A4032">
        <v>4030</v>
      </c>
      <c r="B4032" s="1" t="s">
        <v>5310</v>
      </c>
      <c r="C4032" t="s">
        <v>81</v>
      </c>
      <c r="D4032" s="1" t="s">
        <v>5311</v>
      </c>
    </row>
    <row r="4033" spans="1:4" hidden="1" x14ac:dyDescent="0.3">
      <c r="A4033">
        <v>4031</v>
      </c>
      <c r="B4033" t="s">
        <v>5312</v>
      </c>
      <c r="C4033" t="s">
        <v>84</v>
      </c>
      <c r="D4033">
        <v>1.0002657975591001</v>
      </c>
    </row>
    <row r="4034" spans="1:4" hidden="1" x14ac:dyDescent="0.3">
      <c r="A4034">
        <v>4032</v>
      </c>
      <c r="B4034" s="1" t="s">
        <v>5313</v>
      </c>
      <c r="C4034" t="s">
        <v>86</v>
      </c>
      <c r="D4034" s="1" t="s">
        <v>5314</v>
      </c>
    </row>
    <row r="4035" spans="1:4" hidden="1" x14ac:dyDescent="0.3">
      <c r="A4035">
        <v>4033</v>
      </c>
      <c r="B4035" t="s">
        <v>5315</v>
      </c>
      <c r="C4035" t="s">
        <v>89</v>
      </c>
      <c r="D4035">
        <v>101162890.634051</v>
      </c>
    </row>
    <row r="4036" spans="1:4" hidden="1" x14ac:dyDescent="0.3">
      <c r="A4036">
        <v>4034</v>
      </c>
      <c r="B4036" s="1" t="s">
        <v>5316</v>
      </c>
      <c r="C4036" t="s">
        <v>91</v>
      </c>
      <c r="D4036" s="1" t="s">
        <v>5251</v>
      </c>
    </row>
    <row r="4037" spans="1:4" hidden="1" x14ac:dyDescent="0.3">
      <c r="A4037">
        <v>4035</v>
      </c>
      <c r="B4037" t="s">
        <v>5317</v>
      </c>
      <c r="C4037" t="s">
        <v>94</v>
      </c>
      <c r="D4037">
        <v>77725862.142140999</v>
      </c>
    </row>
    <row r="4038" spans="1:4" hidden="1" x14ac:dyDescent="0.3">
      <c r="A4038">
        <v>4036</v>
      </c>
      <c r="B4038" t="s">
        <v>5318</v>
      </c>
      <c r="C4038" t="s">
        <v>96</v>
      </c>
      <c r="D4038">
        <v>39705216.789549597</v>
      </c>
    </row>
    <row r="4039" spans="1:4" hidden="1" x14ac:dyDescent="0.3">
      <c r="A4039">
        <v>4037</v>
      </c>
      <c r="B4039" t="s">
        <v>5319</v>
      </c>
      <c r="C4039" t="s">
        <v>98</v>
      </c>
      <c r="D4039">
        <v>29353307.217817798</v>
      </c>
    </row>
    <row r="4040" spans="1:4" hidden="1" x14ac:dyDescent="0.3">
      <c r="A4040">
        <v>4038</v>
      </c>
      <c r="B4040" s="1" t="s">
        <v>5320</v>
      </c>
      <c r="C4040" t="s">
        <v>100</v>
      </c>
      <c r="D4040" s="1" t="s">
        <v>5321</v>
      </c>
    </row>
    <row r="4041" spans="1:4" hidden="1" x14ac:dyDescent="0.3">
      <c r="A4041">
        <v>4039</v>
      </c>
      <c r="B4041" t="s">
        <v>5322</v>
      </c>
      <c r="C4041" t="s">
        <v>103</v>
      </c>
      <c r="D4041">
        <v>7.8526953591011497E-3</v>
      </c>
    </row>
    <row r="4042" spans="1:4" hidden="1" x14ac:dyDescent="0.3">
      <c r="A4042">
        <v>4040</v>
      </c>
      <c r="B4042" t="s">
        <v>5323</v>
      </c>
      <c r="C4042" t="s">
        <v>105</v>
      </c>
      <c r="D4042">
        <v>1.38819772520272E-3</v>
      </c>
    </row>
    <row r="4043" spans="1:4" hidden="1" x14ac:dyDescent="0.3">
      <c r="A4043">
        <v>4041</v>
      </c>
      <c r="B4043" t="s">
        <v>5324</v>
      </c>
      <c r="C4043" t="s">
        <v>107</v>
      </c>
      <c r="D4043">
        <v>1.07154824453791E-2</v>
      </c>
    </row>
    <row r="4044" spans="1:4" hidden="1" x14ac:dyDescent="0.3">
      <c r="A4044">
        <v>4042</v>
      </c>
      <c r="B4044" s="1" t="s">
        <v>5325</v>
      </c>
      <c r="C4044" t="s">
        <v>109</v>
      </c>
      <c r="D4044" s="1" t="s">
        <v>5326</v>
      </c>
    </row>
    <row r="4045" spans="1:4" x14ac:dyDescent="0.3">
      <c r="A4045">
        <v>4043</v>
      </c>
      <c r="B4045" t="s">
        <v>5327</v>
      </c>
      <c r="C4045" t="s">
        <v>207</v>
      </c>
      <c r="D4045">
        <v>146783494.826702</v>
      </c>
    </row>
    <row r="4046" spans="1:4" hidden="1" x14ac:dyDescent="0.3">
      <c r="A4046">
        <v>4044</v>
      </c>
      <c r="B4046" t="s">
        <v>5328</v>
      </c>
      <c r="C4046" t="s">
        <v>209</v>
      </c>
      <c r="D4046">
        <v>1978.45019777932</v>
      </c>
    </row>
    <row r="4047" spans="1:4" hidden="1" x14ac:dyDescent="0.3">
      <c r="A4047">
        <v>4045</v>
      </c>
      <c r="B4047" t="s">
        <v>5329</v>
      </c>
      <c r="C4047" t="s">
        <v>211</v>
      </c>
      <c r="D4047">
        <v>1010.66789109992</v>
      </c>
    </row>
    <row r="4048" spans="1:4" hidden="1" x14ac:dyDescent="0.3">
      <c r="A4048">
        <v>4046</v>
      </c>
      <c r="B4048" s="1" t="s">
        <v>5330</v>
      </c>
      <c r="C4048" t="s">
        <v>213</v>
      </c>
      <c r="D4048" s="1" t="s">
        <v>5331</v>
      </c>
    </row>
    <row r="4049" spans="1:4" hidden="1" x14ac:dyDescent="0.3">
      <c r="A4049">
        <v>4047</v>
      </c>
      <c r="B4049" t="s">
        <v>5332</v>
      </c>
      <c r="C4049" t="s">
        <v>216</v>
      </c>
      <c r="D4049">
        <v>77723277.108367801</v>
      </c>
    </row>
    <row r="4050" spans="1:4" hidden="1" x14ac:dyDescent="0.3">
      <c r="A4050">
        <v>4048</v>
      </c>
      <c r="B4050" t="s">
        <v>5333</v>
      </c>
      <c r="C4050" t="s">
        <v>218</v>
      </c>
      <c r="D4050">
        <v>39704017.1406179</v>
      </c>
    </row>
    <row r="4051" spans="1:4" hidden="1" x14ac:dyDescent="0.3">
      <c r="A4051">
        <v>4049</v>
      </c>
      <c r="B4051" t="s">
        <v>5334</v>
      </c>
      <c r="C4051" t="s">
        <v>220</v>
      </c>
      <c r="D4051">
        <v>29352464.2910707</v>
      </c>
    </row>
    <row r="4052" spans="1:4" hidden="1" x14ac:dyDescent="0.3">
      <c r="A4052">
        <v>4050</v>
      </c>
      <c r="B4052" s="1" t="s">
        <v>5335</v>
      </c>
      <c r="C4052" t="s">
        <v>222</v>
      </c>
      <c r="D4052" s="1" t="s">
        <v>5336</v>
      </c>
    </row>
    <row r="4053" spans="1:4" hidden="1" x14ac:dyDescent="0.3">
      <c r="A4053">
        <v>4051</v>
      </c>
      <c r="B4053" t="s">
        <v>5337</v>
      </c>
      <c r="C4053" t="s">
        <v>225</v>
      </c>
      <c r="D4053">
        <v>101160315.592778</v>
      </c>
    </row>
    <row r="4054" spans="1:4" hidden="1" x14ac:dyDescent="0.3">
      <c r="A4054">
        <v>4052</v>
      </c>
      <c r="B4054" t="s">
        <v>5338</v>
      </c>
      <c r="C4054" t="s">
        <v>227</v>
      </c>
      <c r="D4054">
        <v>2575.0412725508199</v>
      </c>
    </row>
    <row r="4055" spans="1:4" hidden="1" x14ac:dyDescent="0.3">
      <c r="A4055">
        <v>4053</v>
      </c>
      <c r="B4055" s="1" t="s">
        <v>5339</v>
      </c>
      <c r="C4055" t="s">
        <v>229</v>
      </c>
      <c r="D4055" s="1" t="s">
        <v>5340</v>
      </c>
    </row>
    <row r="4056" spans="1:4" hidden="1" x14ac:dyDescent="0.3">
      <c r="A4056">
        <v>4054</v>
      </c>
      <c r="B4056" t="s">
        <v>5341</v>
      </c>
      <c r="C4056" t="s">
        <v>112</v>
      </c>
      <c r="D4056">
        <v>-606.58357541709199</v>
      </c>
    </row>
    <row r="4057" spans="1:4" hidden="1" x14ac:dyDescent="0.3">
      <c r="A4057">
        <v>4055</v>
      </c>
      <c r="B4057" t="s">
        <v>5342</v>
      </c>
      <c r="C4057" t="s">
        <v>114</v>
      </c>
      <c r="D4057">
        <v>-188.981040610219</v>
      </c>
    </row>
    <row r="4058" spans="1:4" hidden="1" x14ac:dyDescent="0.3">
      <c r="A4058">
        <v>4056</v>
      </c>
      <c r="B4058" s="1" t="s">
        <v>5343</v>
      </c>
      <c r="C4058" t="s">
        <v>116</v>
      </c>
      <c r="D4058" s="1" t="s">
        <v>5344</v>
      </c>
    </row>
    <row r="4059" spans="1:4" hidden="1" x14ac:dyDescent="0.3">
      <c r="A4059">
        <v>4057</v>
      </c>
      <c r="B4059" t="s">
        <v>5345</v>
      </c>
      <c r="C4059" t="s">
        <v>119</v>
      </c>
      <c r="D4059">
        <v>77723277.108367801</v>
      </c>
    </row>
    <row r="4060" spans="1:4" hidden="1" x14ac:dyDescent="0.3">
      <c r="A4060">
        <v>4058</v>
      </c>
      <c r="B4060" t="s">
        <v>5346</v>
      </c>
      <c r="C4060" t="s">
        <v>121</v>
      </c>
      <c r="D4060">
        <v>39704017.1406179</v>
      </c>
    </row>
    <row r="4061" spans="1:4" hidden="1" x14ac:dyDescent="0.3">
      <c r="A4061">
        <v>4059</v>
      </c>
      <c r="B4061" s="1" t="s">
        <v>5347</v>
      </c>
      <c r="C4061" t="s">
        <v>123</v>
      </c>
      <c r="D4061" s="1" t="s">
        <v>5348</v>
      </c>
    </row>
    <row r="4062" spans="1:4" hidden="1" x14ac:dyDescent="0.3">
      <c r="A4062">
        <v>4060</v>
      </c>
      <c r="B4062" t="s">
        <v>5349</v>
      </c>
      <c r="C4062" t="s">
        <v>126</v>
      </c>
      <c r="D4062">
        <v>0.76811369641609994</v>
      </c>
    </row>
    <row r="4063" spans="1:4" hidden="1" x14ac:dyDescent="0.3">
      <c r="A4063">
        <v>4061</v>
      </c>
      <c r="B4063" t="s">
        <v>5350</v>
      </c>
      <c r="C4063" t="s">
        <v>128</v>
      </c>
      <c r="D4063">
        <v>0.39238179993268502</v>
      </c>
    </row>
    <row r="4064" spans="1:4" hidden="1" x14ac:dyDescent="0.3">
      <c r="A4064">
        <v>4062</v>
      </c>
      <c r="B4064" s="1" t="s">
        <v>5351</v>
      </c>
      <c r="C4064" t="s">
        <v>130</v>
      </c>
      <c r="D4064" s="1" t="s">
        <v>5352</v>
      </c>
    </row>
    <row r="4065" spans="1:4" hidden="1" x14ac:dyDescent="0.3">
      <c r="A4065">
        <v>4063</v>
      </c>
      <c r="B4065" s="1" t="s">
        <v>5353</v>
      </c>
      <c r="C4065" t="s">
        <v>4</v>
      </c>
      <c r="D4065" t="s">
        <v>5354</v>
      </c>
    </row>
    <row r="4066" spans="1:4" hidden="1" x14ac:dyDescent="0.3">
      <c r="A4066">
        <v>4064</v>
      </c>
      <c r="B4066" t="s">
        <v>5355</v>
      </c>
      <c r="C4066" t="s">
        <v>7</v>
      </c>
      <c r="D4066">
        <v>1763.03</v>
      </c>
    </row>
    <row r="4067" spans="1:4" hidden="1" x14ac:dyDescent="0.3">
      <c r="A4067">
        <v>4065</v>
      </c>
      <c r="B4067" s="1" t="s">
        <v>5356</v>
      </c>
      <c r="C4067" t="s">
        <v>9</v>
      </c>
      <c r="D4067" s="1" t="s">
        <v>5357</v>
      </c>
    </row>
    <row r="4068" spans="1:4" hidden="1" x14ac:dyDescent="0.3">
      <c r="A4068">
        <v>4066</v>
      </c>
      <c r="B4068" t="s">
        <v>5358</v>
      </c>
      <c r="C4068" t="s">
        <v>14</v>
      </c>
      <c r="D4068">
        <v>98.640625</v>
      </c>
    </row>
    <row r="4069" spans="1:4" hidden="1" x14ac:dyDescent="0.3">
      <c r="A4069">
        <v>4067</v>
      </c>
      <c r="B4069" t="s">
        <v>5359</v>
      </c>
      <c r="C4069" t="s">
        <v>16</v>
      </c>
      <c r="D4069">
        <v>4.3958556139143097</v>
      </c>
    </row>
    <row r="4070" spans="1:4" hidden="1" x14ac:dyDescent="0.3">
      <c r="A4070">
        <v>4068</v>
      </c>
      <c r="B4070" s="1" t="s">
        <v>5360</v>
      </c>
      <c r="C4070" t="s">
        <v>140</v>
      </c>
      <c r="D4070" s="1" t="s">
        <v>5361</v>
      </c>
    </row>
    <row r="4071" spans="1:4" hidden="1" x14ac:dyDescent="0.3">
      <c r="A4071">
        <v>4069</v>
      </c>
      <c r="B4071" t="s">
        <v>5362</v>
      </c>
      <c r="C4071" t="s">
        <v>22</v>
      </c>
      <c r="D4071">
        <v>73.8</v>
      </c>
    </row>
    <row r="4072" spans="1:4" hidden="1" x14ac:dyDescent="0.3">
      <c r="A4072">
        <v>4070</v>
      </c>
      <c r="B4072" t="s">
        <v>5363</v>
      </c>
      <c r="C4072" t="s">
        <v>24</v>
      </c>
      <c r="D4072">
        <v>6.4647516350264498</v>
      </c>
    </row>
    <row r="4073" spans="1:4" hidden="1" x14ac:dyDescent="0.3">
      <c r="A4073">
        <v>4071</v>
      </c>
      <c r="B4073" s="1" t="s">
        <v>5364</v>
      </c>
      <c r="C4073" t="s">
        <v>145</v>
      </c>
      <c r="D4073" s="1" t="s">
        <v>5365</v>
      </c>
    </row>
    <row r="4074" spans="1:4" hidden="1" x14ac:dyDescent="0.3">
      <c r="A4074">
        <v>4072</v>
      </c>
      <c r="B4074" t="s">
        <v>5366</v>
      </c>
      <c r="C4074" t="s">
        <v>35</v>
      </c>
      <c r="D4074">
        <v>0.48190771208656402</v>
      </c>
    </row>
    <row r="4075" spans="1:4" hidden="1" x14ac:dyDescent="0.3">
      <c r="A4075">
        <v>4073</v>
      </c>
      <c r="B4075" t="s">
        <v>5367</v>
      </c>
      <c r="C4075" t="s">
        <v>149</v>
      </c>
      <c r="D4075">
        <v>0.71282626999229803</v>
      </c>
    </row>
    <row r="4076" spans="1:4" hidden="1" x14ac:dyDescent="0.3">
      <c r="A4076">
        <v>4074</v>
      </c>
      <c r="B4076" s="1" t="s">
        <v>5368</v>
      </c>
      <c r="C4076" t="s">
        <v>151</v>
      </c>
      <c r="D4076" s="1" t="s">
        <v>5369</v>
      </c>
    </row>
    <row r="4077" spans="1:4" hidden="1" x14ac:dyDescent="0.3">
      <c r="A4077">
        <v>4075</v>
      </c>
      <c r="B4077" t="s">
        <v>5370</v>
      </c>
      <c r="C4077" t="s">
        <v>30</v>
      </c>
      <c r="D4077">
        <v>0.20499361517013401</v>
      </c>
    </row>
    <row r="4078" spans="1:4" hidden="1" x14ac:dyDescent="0.3">
      <c r="A4078">
        <v>4076</v>
      </c>
      <c r="B4078" t="s">
        <v>5371</v>
      </c>
      <c r="C4078" t="s">
        <v>32</v>
      </c>
      <c r="D4078">
        <v>0.207782505119357</v>
      </c>
    </row>
    <row r="4079" spans="1:4" hidden="1" x14ac:dyDescent="0.3">
      <c r="A4079">
        <v>4077</v>
      </c>
      <c r="B4079" s="1" t="s">
        <v>5372</v>
      </c>
      <c r="C4079" t="s">
        <v>155</v>
      </c>
      <c r="D4079" s="1" t="s">
        <v>5373</v>
      </c>
    </row>
    <row r="4080" spans="1:4" hidden="1" x14ac:dyDescent="0.3">
      <c r="A4080">
        <v>4078</v>
      </c>
      <c r="B4080" t="s">
        <v>5374</v>
      </c>
      <c r="C4080" t="s">
        <v>40</v>
      </c>
      <c r="D4080">
        <v>0.313098672743301</v>
      </c>
    </row>
    <row r="4081" spans="1:4" hidden="1" x14ac:dyDescent="0.3">
      <c r="A4081">
        <v>4079</v>
      </c>
      <c r="B4081" t="s">
        <v>5375</v>
      </c>
      <c r="C4081" t="s">
        <v>42</v>
      </c>
      <c r="D4081">
        <v>0.19508386232078101</v>
      </c>
    </row>
    <row r="4082" spans="1:4" hidden="1" x14ac:dyDescent="0.3">
      <c r="A4082">
        <v>4080</v>
      </c>
      <c r="B4082" s="1" t="s">
        <v>5376</v>
      </c>
      <c r="C4082" t="s">
        <v>159</v>
      </c>
      <c r="D4082" s="1" t="s">
        <v>5377</v>
      </c>
    </row>
    <row r="4083" spans="1:4" hidden="1" x14ac:dyDescent="0.3">
      <c r="A4083">
        <v>4081</v>
      </c>
      <c r="B4083" t="s">
        <v>5378</v>
      </c>
      <c r="C4083" t="s">
        <v>161</v>
      </c>
      <c r="D4083">
        <v>0.97706729623533395</v>
      </c>
    </row>
    <row r="4084" spans="1:4" hidden="1" x14ac:dyDescent="0.3">
      <c r="A4084">
        <v>4082</v>
      </c>
      <c r="B4084" t="s">
        <v>5379</v>
      </c>
      <c r="C4084" t="s">
        <v>163</v>
      </c>
      <c r="D4084">
        <v>0.99812382789489296</v>
      </c>
    </row>
    <row r="4085" spans="1:4" hidden="1" x14ac:dyDescent="0.3">
      <c r="A4085">
        <v>4083</v>
      </c>
      <c r="B4085" s="1" t="s">
        <v>5380</v>
      </c>
      <c r="C4085" t="s">
        <v>165</v>
      </c>
      <c r="D4085" s="1" t="s">
        <v>5381</v>
      </c>
    </row>
    <row r="4086" spans="1:4" hidden="1" x14ac:dyDescent="0.3">
      <c r="A4086">
        <v>4084</v>
      </c>
      <c r="B4086" t="s">
        <v>5382</v>
      </c>
      <c r="C4086" t="s">
        <v>168</v>
      </c>
      <c r="D4086">
        <v>0.99750612076662604</v>
      </c>
    </row>
    <row r="4087" spans="1:4" hidden="1" x14ac:dyDescent="0.3">
      <c r="A4087">
        <v>4085</v>
      </c>
      <c r="B4087" t="s">
        <v>5383</v>
      </c>
      <c r="C4087" t="s">
        <v>170</v>
      </c>
      <c r="D4087">
        <v>1.0031362199606</v>
      </c>
    </row>
    <row r="4088" spans="1:4" hidden="1" x14ac:dyDescent="0.3">
      <c r="A4088">
        <v>4086</v>
      </c>
      <c r="B4088" s="1" t="s">
        <v>5384</v>
      </c>
      <c r="C4088" t="s">
        <v>172</v>
      </c>
      <c r="D4088" s="1" t="s">
        <v>5385</v>
      </c>
    </row>
    <row r="4089" spans="1:4" hidden="1" x14ac:dyDescent="0.3">
      <c r="A4089">
        <v>4087</v>
      </c>
      <c r="B4089" s="1" t="s">
        <v>5386</v>
      </c>
      <c r="C4089" t="s">
        <v>55</v>
      </c>
      <c r="D4089" s="1" t="s">
        <v>5387</v>
      </c>
    </row>
    <row r="4090" spans="1:4" hidden="1" x14ac:dyDescent="0.3">
      <c r="A4090">
        <v>4088</v>
      </c>
      <c r="B4090" s="1" t="s">
        <v>5388</v>
      </c>
      <c r="C4090" t="s">
        <v>52</v>
      </c>
      <c r="D4090" s="1" t="s">
        <v>5389</v>
      </c>
    </row>
    <row r="4091" spans="1:4" hidden="1" x14ac:dyDescent="0.3">
      <c r="A4091">
        <v>4089</v>
      </c>
      <c r="B4091" s="1" t="s">
        <v>5390</v>
      </c>
      <c r="C4091" t="s">
        <v>58</v>
      </c>
      <c r="D4091" s="1" t="s">
        <v>5391</v>
      </c>
    </row>
    <row r="4092" spans="1:4" hidden="1" x14ac:dyDescent="0.3">
      <c r="A4092">
        <v>4090</v>
      </c>
      <c r="B4092" t="s">
        <v>5392</v>
      </c>
      <c r="C4092" t="s">
        <v>61</v>
      </c>
      <c r="D4092">
        <v>144855195.41191301</v>
      </c>
    </row>
    <row r="4093" spans="1:4" hidden="1" x14ac:dyDescent="0.3">
      <c r="A4093">
        <v>4091</v>
      </c>
      <c r="B4093" t="s">
        <v>5393</v>
      </c>
      <c r="C4093" t="s">
        <v>63</v>
      </c>
      <c r="D4093">
        <v>75940872.218822598</v>
      </c>
    </row>
    <row r="4094" spans="1:4" hidden="1" x14ac:dyDescent="0.3">
      <c r="A4094">
        <v>4092</v>
      </c>
      <c r="B4094" t="s">
        <v>5394</v>
      </c>
      <c r="C4094" t="s">
        <v>65</v>
      </c>
      <c r="D4094">
        <v>39629525.571197897</v>
      </c>
    </row>
    <row r="4095" spans="1:4" hidden="1" x14ac:dyDescent="0.3">
      <c r="A4095">
        <v>4093</v>
      </c>
      <c r="B4095" s="1" t="s">
        <v>5395</v>
      </c>
      <c r="C4095" t="s">
        <v>67</v>
      </c>
      <c r="D4095" s="1" t="s">
        <v>5396</v>
      </c>
    </row>
    <row r="4096" spans="1:4" hidden="1" x14ac:dyDescent="0.3">
      <c r="A4096">
        <v>4094</v>
      </c>
      <c r="B4096" s="1" t="s">
        <v>5397</v>
      </c>
      <c r="C4096" t="s">
        <v>70</v>
      </c>
      <c r="D4096" s="1" t="s">
        <v>5398</v>
      </c>
    </row>
    <row r="4097" spans="1:4" hidden="1" x14ac:dyDescent="0.3">
      <c r="A4097">
        <v>4095</v>
      </c>
      <c r="B4097" t="s">
        <v>5399</v>
      </c>
      <c r="C4097" t="s">
        <v>73</v>
      </c>
      <c r="D4097">
        <v>1.0002657975591001</v>
      </c>
    </row>
    <row r="4098" spans="1:4" hidden="1" x14ac:dyDescent="0.3">
      <c r="A4098">
        <v>4096</v>
      </c>
      <c r="B4098" t="s">
        <v>74</v>
      </c>
      <c r="C4098" t="s">
        <v>75</v>
      </c>
      <c r="D4098">
        <v>2.7397260273972599E-3</v>
      </c>
    </row>
    <row r="4099" spans="1:4" hidden="1" x14ac:dyDescent="0.3">
      <c r="A4099">
        <v>4097</v>
      </c>
      <c r="B4099" t="s">
        <v>76</v>
      </c>
      <c r="C4099" t="s">
        <v>77</v>
      </c>
      <c r="D4099">
        <v>0</v>
      </c>
    </row>
    <row r="4100" spans="1:4" hidden="1" x14ac:dyDescent="0.3">
      <c r="A4100">
        <v>4098</v>
      </c>
      <c r="B4100" t="s">
        <v>650</v>
      </c>
      <c r="C4100" t="s">
        <v>79</v>
      </c>
      <c r="D4100" s="2">
        <v>2.2204460492503101E-16</v>
      </c>
    </row>
    <row r="4101" spans="1:4" hidden="1" x14ac:dyDescent="0.3">
      <c r="A4101">
        <v>4099</v>
      </c>
      <c r="B4101" s="1" t="s">
        <v>5400</v>
      </c>
      <c r="C4101" t="s">
        <v>81</v>
      </c>
      <c r="D4101" s="1" t="s">
        <v>5401</v>
      </c>
    </row>
    <row r="4102" spans="1:4" hidden="1" x14ac:dyDescent="0.3">
      <c r="A4102">
        <v>4100</v>
      </c>
      <c r="B4102" t="s">
        <v>5402</v>
      </c>
      <c r="C4102" t="s">
        <v>84</v>
      </c>
      <c r="D4102">
        <v>1.00021806210294</v>
      </c>
    </row>
    <row r="4103" spans="1:4" hidden="1" x14ac:dyDescent="0.3">
      <c r="A4103">
        <v>4101</v>
      </c>
      <c r="B4103" s="1" t="s">
        <v>5403</v>
      </c>
      <c r="C4103" t="s">
        <v>86</v>
      </c>
      <c r="D4103" s="1" t="s">
        <v>5404</v>
      </c>
    </row>
    <row r="4104" spans="1:4" hidden="1" x14ac:dyDescent="0.3">
      <c r="A4104">
        <v>4102</v>
      </c>
      <c r="B4104" t="s">
        <v>5405</v>
      </c>
      <c r="C4104" t="s">
        <v>89</v>
      </c>
      <c r="D4104">
        <v>101167718.637977</v>
      </c>
    </row>
    <row r="4105" spans="1:4" hidden="1" x14ac:dyDescent="0.3">
      <c r="A4105">
        <v>4103</v>
      </c>
      <c r="B4105" s="1" t="s">
        <v>5406</v>
      </c>
      <c r="C4105" t="s">
        <v>91</v>
      </c>
      <c r="D4105" s="1" t="s">
        <v>5340</v>
      </c>
    </row>
    <row r="4106" spans="1:4" hidden="1" x14ac:dyDescent="0.3">
      <c r="A4106">
        <v>4104</v>
      </c>
      <c r="B4106" t="s">
        <v>5407</v>
      </c>
      <c r="C4106" t="s">
        <v>94</v>
      </c>
      <c r="D4106">
        <v>75940872.218822598</v>
      </c>
    </row>
    <row r="4107" spans="1:4" hidden="1" x14ac:dyDescent="0.3">
      <c r="A4107">
        <v>4105</v>
      </c>
      <c r="B4107" t="s">
        <v>5408</v>
      </c>
      <c r="C4107" t="s">
        <v>96</v>
      </c>
      <c r="D4107">
        <v>39629525.571197897</v>
      </c>
    </row>
    <row r="4108" spans="1:4" hidden="1" x14ac:dyDescent="0.3">
      <c r="A4108">
        <v>4106</v>
      </c>
      <c r="B4108" t="s">
        <v>5409</v>
      </c>
      <c r="C4108" t="s">
        <v>98</v>
      </c>
      <c r="D4108">
        <v>29284797.621892899</v>
      </c>
    </row>
    <row r="4109" spans="1:4" hidden="1" x14ac:dyDescent="0.3">
      <c r="A4109">
        <v>4107</v>
      </c>
      <c r="B4109" s="1" t="s">
        <v>5410</v>
      </c>
      <c r="C4109" t="s">
        <v>100</v>
      </c>
      <c r="D4109" s="1" t="s">
        <v>5411</v>
      </c>
    </row>
    <row r="4110" spans="1:4" hidden="1" x14ac:dyDescent="0.3">
      <c r="A4110">
        <v>4108</v>
      </c>
      <c r="B4110" t="s">
        <v>5412</v>
      </c>
      <c r="C4110" t="s">
        <v>103</v>
      </c>
      <c r="D4110">
        <v>7.6374358059897599E-3</v>
      </c>
    </row>
    <row r="4111" spans="1:4" hidden="1" x14ac:dyDescent="0.3">
      <c r="A4111">
        <v>4109</v>
      </c>
      <c r="B4111" t="s">
        <v>5413</v>
      </c>
      <c r="C4111" t="s">
        <v>105</v>
      </c>
      <c r="D4111">
        <v>1.3854943384064399E-3</v>
      </c>
    </row>
    <row r="4112" spans="1:4" hidden="1" x14ac:dyDescent="0.3">
      <c r="A4112">
        <v>4110</v>
      </c>
      <c r="B4112" t="s">
        <v>5414</v>
      </c>
      <c r="C4112" t="s">
        <v>107</v>
      </c>
      <c r="D4112">
        <v>1.05775576934361E-2</v>
      </c>
    </row>
    <row r="4113" spans="1:4" hidden="1" x14ac:dyDescent="0.3">
      <c r="A4113">
        <v>4111</v>
      </c>
      <c r="B4113" s="1" t="s">
        <v>5415</v>
      </c>
      <c r="C4113" t="s">
        <v>109</v>
      </c>
      <c r="D4113" s="1" t="s">
        <v>5416</v>
      </c>
    </row>
    <row r="4114" spans="1:4" x14ac:dyDescent="0.3">
      <c r="A4114">
        <v>4112</v>
      </c>
      <c r="B4114" t="s">
        <v>5417</v>
      </c>
      <c r="C4114" t="s">
        <v>207</v>
      </c>
      <c r="D4114">
        <v>144853524.52172101</v>
      </c>
    </row>
    <row r="4115" spans="1:4" hidden="1" x14ac:dyDescent="0.3">
      <c r="A4115">
        <v>4113</v>
      </c>
      <c r="B4115" t="s">
        <v>5418</v>
      </c>
      <c r="C4115" t="s">
        <v>209</v>
      </c>
      <c r="D4115">
        <v>3624.0553519290102</v>
      </c>
    </row>
    <row r="4116" spans="1:4" hidden="1" x14ac:dyDescent="0.3">
      <c r="A4116">
        <v>4114</v>
      </c>
      <c r="B4116" t="s">
        <v>5419</v>
      </c>
      <c r="C4116" t="s">
        <v>211</v>
      </c>
      <c r="D4116">
        <v>1891.21338494117</v>
      </c>
    </row>
    <row r="4117" spans="1:4" hidden="1" x14ac:dyDescent="0.3">
      <c r="A4117">
        <v>4115</v>
      </c>
      <c r="B4117" s="1" t="s">
        <v>5420</v>
      </c>
      <c r="C4117" t="s">
        <v>213</v>
      </c>
      <c r="D4117" s="1" t="s">
        <v>5421</v>
      </c>
    </row>
    <row r="4118" spans="1:4" hidden="1" x14ac:dyDescent="0.3">
      <c r="A4118">
        <v>4116</v>
      </c>
      <c r="B4118" t="s">
        <v>5422</v>
      </c>
      <c r="C4118" t="s">
        <v>216</v>
      </c>
      <c r="D4118">
        <v>75936126.154004395</v>
      </c>
    </row>
    <row r="4119" spans="1:4" hidden="1" x14ac:dyDescent="0.3">
      <c r="A4119">
        <v>4117</v>
      </c>
      <c r="B4119" t="s">
        <v>5423</v>
      </c>
      <c r="C4119" t="s">
        <v>218</v>
      </c>
      <c r="D4119">
        <v>39627269.519101903</v>
      </c>
    </row>
    <row r="4120" spans="1:4" hidden="1" x14ac:dyDescent="0.3">
      <c r="A4120">
        <v>4118</v>
      </c>
      <c r="B4120" t="s">
        <v>5424</v>
      </c>
      <c r="C4120" t="s">
        <v>220</v>
      </c>
      <c r="D4120">
        <v>29283216.036954202</v>
      </c>
    </row>
    <row r="4121" spans="1:4" hidden="1" x14ac:dyDescent="0.3">
      <c r="A4121">
        <v>4119</v>
      </c>
      <c r="B4121" s="1" t="s">
        <v>5425</v>
      </c>
      <c r="C4121" t="s">
        <v>222</v>
      </c>
      <c r="D4121" s="1" t="s">
        <v>5426</v>
      </c>
    </row>
    <row r="4122" spans="1:4" hidden="1" x14ac:dyDescent="0.3">
      <c r="A4122">
        <v>4120</v>
      </c>
      <c r="B4122" t="s">
        <v>5427</v>
      </c>
      <c r="C4122" t="s">
        <v>225</v>
      </c>
      <c r="D4122">
        <v>101162890.634051</v>
      </c>
    </row>
    <row r="4123" spans="1:4" hidden="1" x14ac:dyDescent="0.3">
      <c r="A4123">
        <v>4121</v>
      </c>
      <c r="B4123" t="s">
        <v>5428</v>
      </c>
      <c r="C4123" t="s">
        <v>227</v>
      </c>
      <c r="D4123">
        <v>4828.00392629206</v>
      </c>
    </row>
    <row r="4124" spans="1:4" hidden="1" x14ac:dyDescent="0.3">
      <c r="A4124">
        <v>4122</v>
      </c>
      <c r="B4124" s="1" t="s">
        <v>5429</v>
      </c>
      <c r="C4124" t="s">
        <v>229</v>
      </c>
      <c r="D4124" s="1" t="s">
        <v>5430</v>
      </c>
    </row>
    <row r="4125" spans="1:4" hidden="1" x14ac:dyDescent="0.3">
      <c r="A4125">
        <v>4123</v>
      </c>
      <c r="B4125" t="s">
        <v>5431</v>
      </c>
      <c r="C4125" t="s">
        <v>112</v>
      </c>
      <c r="D4125">
        <v>-1122.0094662116101</v>
      </c>
    </row>
    <row r="4126" spans="1:4" hidden="1" x14ac:dyDescent="0.3">
      <c r="A4126">
        <v>4124</v>
      </c>
      <c r="B4126" t="s">
        <v>5432</v>
      </c>
      <c r="C4126" t="s">
        <v>114</v>
      </c>
      <c r="D4126">
        <v>-364.83871107358999</v>
      </c>
    </row>
    <row r="4127" spans="1:4" hidden="1" x14ac:dyDescent="0.3">
      <c r="A4127">
        <v>4125</v>
      </c>
      <c r="B4127" s="1" t="s">
        <v>5433</v>
      </c>
      <c r="C4127" t="s">
        <v>116</v>
      </c>
      <c r="D4127" s="1" t="s">
        <v>5434</v>
      </c>
    </row>
    <row r="4128" spans="1:4" hidden="1" x14ac:dyDescent="0.3">
      <c r="A4128">
        <v>4126</v>
      </c>
      <c r="B4128" t="s">
        <v>5435</v>
      </c>
      <c r="C4128" t="s">
        <v>119</v>
      </c>
      <c r="D4128">
        <v>75936126.154004395</v>
      </c>
    </row>
    <row r="4129" spans="1:4" hidden="1" x14ac:dyDescent="0.3">
      <c r="A4129">
        <v>4127</v>
      </c>
      <c r="B4129" t="s">
        <v>5436</v>
      </c>
      <c r="C4129" t="s">
        <v>121</v>
      </c>
      <c r="D4129">
        <v>39627269.519101903</v>
      </c>
    </row>
    <row r="4130" spans="1:4" hidden="1" x14ac:dyDescent="0.3">
      <c r="A4130">
        <v>4128</v>
      </c>
      <c r="B4130" s="1" t="s">
        <v>5437</v>
      </c>
      <c r="C4130" t="s">
        <v>123</v>
      </c>
      <c r="D4130" s="1" t="s">
        <v>5438</v>
      </c>
    </row>
    <row r="4131" spans="1:4" hidden="1" x14ac:dyDescent="0.3">
      <c r="A4131">
        <v>4129</v>
      </c>
      <c r="B4131" t="s">
        <v>5439</v>
      </c>
      <c r="C4131" t="s">
        <v>126</v>
      </c>
      <c r="D4131">
        <v>0.75046858088838797</v>
      </c>
    </row>
    <row r="4132" spans="1:4" hidden="1" x14ac:dyDescent="0.3">
      <c r="A4132">
        <v>4130</v>
      </c>
      <c r="B4132" t="s">
        <v>5440</v>
      </c>
      <c r="C4132" t="s">
        <v>128</v>
      </c>
      <c r="D4132">
        <v>0.391632049548709</v>
      </c>
    </row>
    <row r="4133" spans="1:4" hidden="1" x14ac:dyDescent="0.3">
      <c r="A4133">
        <v>4131</v>
      </c>
      <c r="B4133" s="1" t="s">
        <v>5441</v>
      </c>
      <c r="C4133" t="s">
        <v>130</v>
      </c>
      <c r="D4133" s="1" t="s">
        <v>5442</v>
      </c>
    </row>
    <row r="4134" spans="1:4" hidden="1" x14ac:dyDescent="0.3">
      <c r="A4134">
        <v>4132</v>
      </c>
      <c r="B4134" s="1" t="s">
        <v>5443</v>
      </c>
      <c r="C4134" t="s">
        <v>4</v>
      </c>
      <c r="D4134" t="s">
        <v>5444</v>
      </c>
    </row>
    <row r="4135" spans="1:4" hidden="1" x14ac:dyDescent="0.3">
      <c r="A4135">
        <v>4133</v>
      </c>
      <c r="B4135" t="s">
        <v>5445</v>
      </c>
      <c r="C4135" t="s">
        <v>7</v>
      </c>
      <c r="D4135">
        <v>1729.94</v>
      </c>
    </row>
    <row r="4136" spans="1:4" hidden="1" x14ac:dyDescent="0.3">
      <c r="A4136">
        <v>4134</v>
      </c>
      <c r="B4136" s="1" t="s">
        <v>5446</v>
      </c>
      <c r="C4136" t="s">
        <v>9</v>
      </c>
      <c r="D4136" s="1" t="s">
        <v>5447</v>
      </c>
    </row>
    <row r="4137" spans="1:4" hidden="1" x14ac:dyDescent="0.3">
      <c r="A4137">
        <v>4135</v>
      </c>
      <c r="B4137" t="s">
        <v>5448</v>
      </c>
      <c r="C4137" t="s">
        <v>14</v>
      </c>
      <c r="D4137">
        <v>98.5390625</v>
      </c>
    </row>
    <row r="4138" spans="1:4" hidden="1" x14ac:dyDescent="0.3">
      <c r="A4138">
        <v>4136</v>
      </c>
      <c r="B4138" t="s">
        <v>5449</v>
      </c>
      <c r="C4138" t="s">
        <v>16</v>
      </c>
      <c r="D4138">
        <v>4.3943734619906101</v>
      </c>
    </row>
    <row r="4139" spans="1:4" hidden="1" x14ac:dyDescent="0.3">
      <c r="A4139">
        <v>4137</v>
      </c>
      <c r="B4139" s="1" t="s">
        <v>5450</v>
      </c>
      <c r="C4139" t="s">
        <v>140</v>
      </c>
      <c r="D4139" s="1" t="s">
        <v>5451</v>
      </c>
    </row>
    <row r="4140" spans="1:4" hidden="1" x14ac:dyDescent="0.3">
      <c r="A4140">
        <v>4138</v>
      </c>
      <c r="B4140" t="s">
        <v>5452</v>
      </c>
      <c r="C4140" t="s">
        <v>22</v>
      </c>
      <c r="D4140">
        <v>73.400000000000006</v>
      </c>
    </row>
    <row r="4141" spans="1:4" hidden="1" x14ac:dyDescent="0.3">
      <c r="A4141">
        <v>4139</v>
      </c>
      <c r="B4141" t="s">
        <v>5453</v>
      </c>
      <c r="C4141" t="s">
        <v>24</v>
      </c>
      <c r="D4141">
        <v>6.4613184823662202</v>
      </c>
    </row>
    <row r="4142" spans="1:4" hidden="1" x14ac:dyDescent="0.3">
      <c r="A4142">
        <v>4140</v>
      </c>
      <c r="B4142" s="1" t="s">
        <v>5454</v>
      </c>
      <c r="C4142" t="s">
        <v>145</v>
      </c>
      <c r="D4142" s="1" t="s">
        <v>5455</v>
      </c>
    </row>
    <row r="4143" spans="1:4" hidden="1" x14ac:dyDescent="0.3">
      <c r="A4143">
        <v>4141</v>
      </c>
      <c r="B4143" t="s">
        <v>5456</v>
      </c>
      <c r="C4143" t="s">
        <v>35</v>
      </c>
      <c r="D4143">
        <v>0.60537560841441396</v>
      </c>
    </row>
    <row r="4144" spans="1:4" hidden="1" x14ac:dyDescent="0.3">
      <c r="A4144">
        <v>4142</v>
      </c>
      <c r="B4144" t="s">
        <v>5457</v>
      </c>
      <c r="C4144" t="s">
        <v>149</v>
      </c>
      <c r="D4144">
        <v>0.72466784977657905</v>
      </c>
    </row>
    <row r="4145" spans="1:4" hidden="1" x14ac:dyDescent="0.3">
      <c r="A4145">
        <v>4143</v>
      </c>
      <c r="B4145" s="1" t="s">
        <v>5458</v>
      </c>
      <c r="C4145" t="s">
        <v>151</v>
      </c>
      <c r="D4145" s="1" t="s">
        <v>5459</v>
      </c>
    </row>
    <row r="4146" spans="1:4" hidden="1" x14ac:dyDescent="0.3">
      <c r="A4146">
        <v>4144</v>
      </c>
      <c r="B4146" t="s">
        <v>5460</v>
      </c>
      <c r="C4146" t="s">
        <v>30</v>
      </c>
      <c r="D4146">
        <v>0.15582952020684601</v>
      </c>
    </row>
    <row r="4147" spans="1:4" hidden="1" x14ac:dyDescent="0.3">
      <c r="A4147">
        <v>4145</v>
      </c>
      <c r="B4147" t="s">
        <v>5461</v>
      </c>
      <c r="C4147" t="s">
        <v>32</v>
      </c>
      <c r="D4147">
        <v>0.19637162806059899</v>
      </c>
    </row>
    <row r="4148" spans="1:4" hidden="1" x14ac:dyDescent="0.3">
      <c r="A4148">
        <v>4146</v>
      </c>
      <c r="B4148" s="1" t="s">
        <v>5462</v>
      </c>
      <c r="C4148" t="s">
        <v>155</v>
      </c>
      <c r="D4148" s="1" t="s">
        <v>5463</v>
      </c>
    </row>
    <row r="4149" spans="1:4" hidden="1" x14ac:dyDescent="0.3">
      <c r="A4149">
        <v>4147</v>
      </c>
      <c r="B4149" t="s">
        <v>5464</v>
      </c>
      <c r="C4149" t="s">
        <v>40</v>
      </c>
      <c r="D4149">
        <v>0.23879487137873801</v>
      </c>
    </row>
    <row r="4150" spans="1:4" hidden="1" x14ac:dyDescent="0.3">
      <c r="A4150">
        <v>4148</v>
      </c>
      <c r="B4150" t="s">
        <v>5465</v>
      </c>
      <c r="C4150" t="s">
        <v>42</v>
      </c>
      <c r="D4150">
        <v>0.18357092121671001</v>
      </c>
    </row>
    <row r="4151" spans="1:4" hidden="1" x14ac:dyDescent="0.3">
      <c r="A4151">
        <v>4149</v>
      </c>
      <c r="B4151" s="1" t="s">
        <v>5466</v>
      </c>
      <c r="C4151" t="s">
        <v>159</v>
      </c>
      <c r="D4151" s="1" t="s">
        <v>5467</v>
      </c>
    </row>
    <row r="4152" spans="1:4" hidden="1" x14ac:dyDescent="0.3">
      <c r="A4152">
        <v>4150</v>
      </c>
      <c r="B4152" t="s">
        <v>5468</v>
      </c>
      <c r="C4152" t="s">
        <v>161</v>
      </c>
      <c r="D4152">
        <v>0.98123117587335396</v>
      </c>
    </row>
    <row r="4153" spans="1:4" hidden="1" x14ac:dyDescent="0.3">
      <c r="A4153">
        <v>4151</v>
      </c>
      <c r="B4153" t="s">
        <v>5469</v>
      </c>
      <c r="C4153" t="s">
        <v>163</v>
      </c>
      <c r="D4153">
        <v>0.998999920694983</v>
      </c>
    </row>
    <row r="4154" spans="1:4" hidden="1" x14ac:dyDescent="0.3">
      <c r="A4154">
        <v>4152</v>
      </c>
      <c r="B4154" s="1" t="s">
        <v>5470</v>
      </c>
      <c r="C4154" t="s">
        <v>165</v>
      </c>
      <c r="D4154" s="1" t="s">
        <v>5471</v>
      </c>
    </row>
    <row r="4155" spans="1:4" hidden="1" x14ac:dyDescent="0.3">
      <c r="A4155">
        <v>4153</v>
      </c>
      <c r="B4155" t="s">
        <v>5472</v>
      </c>
      <c r="C4155" t="s">
        <v>168</v>
      </c>
      <c r="D4155">
        <v>1.00691347394171</v>
      </c>
    </row>
    <row r="4156" spans="1:4" hidden="1" x14ac:dyDescent="0.3">
      <c r="A4156">
        <v>4154</v>
      </c>
      <c r="B4156" t="s">
        <v>5473</v>
      </c>
      <c r="C4156" t="s">
        <v>170</v>
      </c>
      <c r="D4156">
        <v>0.99055220868791205</v>
      </c>
    </row>
    <row r="4157" spans="1:4" hidden="1" x14ac:dyDescent="0.3">
      <c r="A4157">
        <v>4155</v>
      </c>
      <c r="B4157" s="1" t="s">
        <v>5474</v>
      </c>
      <c r="C4157" t="s">
        <v>172</v>
      </c>
      <c r="D4157" s="1" t="s">
        <v>5475</v>
      </c>
    </row>
    <row r="4158" spans="1:4" hidden="1" x14ac:dyDescent="0.3">
      <c r="A4158">
        <v>4156</v>
      </c>
      <c r="B4158" s="1" t="s">
        <v>5476</v>
      </c>
      <c r="C4158" t="s">
        <v>55</v>
      </c>
      <c r="D4158" s="1" t="s">
        <v>5477</v>
      </c>
    </row>
    <row r="4159" spans="1:4" hidden="1" x14ac:dyDescent="0.3">
      <c r="A4159">
        <v>4157</v>
      </c>
      <c r="B4159" s="1" t="s">
        <v>5478</v>
      </c>
      <c r="C4159" t="s">
        <v>52</v>
      </c>
      <c r="D4159" s="1" t="s">
        <v>5479</v>
      </c>
    </row>
    <row r="4160" spans="1:4" hidden="1" x14ac:dyDescent="0.3">
      <c r="A4160">
        <v>4158</v>
      </c>
      <c r="B4160" s="1" t="s">
        <v>5480</v>
      </c>
      <c r="C4160" t="s">
        <v>58</v>
      </c>
      <c r="D4160" s="1" t="s">
        <v>5481</v>
      </c>
    </row>
    <row r="4161" spans="1:4" hidden="1" x14ac:dyDescent="0.3">
      <c r="A4161">
        <v>4159</v>
      </c>
      <c r="B4161" t="s">
        <v>5482</v>
      </c>
      <c r="C4161" t="s">
        <v>61</v>
      </c>
      <c r="D4161">
        <v>143234563.844724</v>
      </c>
    </row>
    <row r="4162" spans="1:4" hidden="1" x14ac:dyDescent="0.3">
      <c r="A4162">
        <v>4160</v>
      </c>
      <c r="B4162" t="s">
        <v>5483</v>
      </c>
      <c r="C4162" t="s">
        <v>63</v>
      </c>
      <c r="D4162">
        <v>74510894.357361197</v>
      </c>
    </row>
    <row r="4163" spans="1:4" hidden="1" x14ac:dyDescent="0.3">
      <c r="A4163">
        <v>4161</v>
      </c>
      <c r="B4163" t="s">
        <v>5484</v>
      </c>
      <c r="C4163" t="s">
        <v>65</v>
      </c>
      <c r="D4163">
        <v>39587639.106941499</v>
      </c>
    </row>
    <row r="4164" spans="1:4" hidden="1" x14ac:dyDescent="0.3">
      <c r="A4164">
        <v>4162</v>
      </c>
      <c r="B4164" s="1" t="s">
        <v>5485</v>
      </c>
      <c r="C4164" t="s">
        <v>67</v>
      </c>
      <c r="D4164" s="1" t="s">
        <v>5486</v>
      </c>
    </row>
    <row r="4165" spans="1:4" hidden="1" x14ac:dyDescent="0.3">
      <c r="A4165">
        <v>4163</v>
      </c>
      <c r="B4165" s="1" t="s">
        <v>5487</v>
      </c>
      <c r="C4165" t="s">
        <v>70</v>
      </c>
      <c r="D4165" s="1" t="s">
        <v>5488</v>
      </c>
    </row>
    <row r="4166" spans="1:4" hidden="1" x14ac:dyDescent="0.3">
      <c r="A4166">
        <v>4164</v>
      </c>
      <c r="B4166" t="s">
        <v>5489</v>
      </c>
      <c r="C4166" t="s">
        <v>73</v>
      </c>
      <c r="D4166">
        <v>1.00021806210294</v>
      </c>
    </row>
    <row r="4167" spans="1:4" hidden="1" x14ac:dyDescent="0.3">
      <c r="A4167">
        <v>4165</v>
      </c>
      <c r="B4167" t="s">
        <v>74</v>
      </c>
      <c r="C4167" t="s">
        <v>75</v>
      </c>
      <c r="D4167">
        <v>2.7397260273972599E-3</v>
      </c>
    </row>
    <row r="4168" spans="1:4" hidden="1" x14ac:dyDescent="0.3">
      <c r="A4168">
        <v>4166</v>
      </c>
      <c r="B4168" t="s">
        <v>76</v>
      </c>
      <c r="C4168" t="s">
        <v>77</v>
      </c>
      <c r="D4168">
        <v>0</v>
      </c>
    </row>
    <row r="4169" spans="1:4" hidden="1" x14ac:dyDescent="0.3">
      <c r="A4169">
        <v>4167</v>
      </c>
      <c r="B4169" t="s">
        <v>1459</v>
      </c>
      <c r="C4169" t="s">
        <v>79</v>
      </c>
      <c r="D4169" s="2">
        <v>-2.2204460492503101E-16</v>
      </c>
    </row>
    <row r="4170" spans="1:4" hidden="1" x14ac:dyDescent="0.3">
      <c r="A4170">
        <v>4168</v>
      </c>
      <c r="B4170" s="1" t="s">
        <v>5490</v>
      </c>
      <c r="C4170" t="s">
        <v>81</v>
      </c>
      <c r="D4170" s="1" t="s">
        <v>5491</v>
      </c>
    </row>
    <row r="4171" spans="1:4" hidden="1" x14ac:dyDescent="0.3">
      <c r="A4171">
        <v>4169</v>
      </c>
      <c r="B4171" t="s">
        <v>5492</v>
      </c>
      <c r="C4171" t="s">
        <v>84</v>
      </c>
      <c r="D4171">
        <v>1.00021090092502</v>
      </c>
    </row>
    <row r="4172" spans="1:4" hidden="1" x14ac:dyDescent="0.3">
      <c r="A4172">
        <v>4170</v>
      </c>
      <c r="B4172" s="1" t="s">
        <v>5493</v>
      </c>
      <c r="C4172" t="s">
        <v>86</v>
      </c>
      <c r="D4172" s="1" t="s">
        <v>5494</v>
      </c>
    </row>
    <row r="4173" spans="1:4" hidden="1" x14ac:dyDescent="0.3">
      <c r="A4173">
        <v>4171</v>
      </c>
      <c r="B4173" t="s">
        <v>5495</v>
      </c>
      <c r="C4173" t="s">
        <v>89</v>
      </c>
      <c r="D4173">
        <v>101168442.965248</v>
      </c>
    </row>
    <row r="4174" spans="1:4" hidden="1" x14ac:dyDescent="0.3">
      <c r="A4174">
        <v>4172</v>
      </c>
      <c r="B4174" s="1" t="s">
        <v>5496</v>
      </c>
      <c r="C4174" t="s">
        <v>91</v>
      </c>
      <c r="D4174" s="1" t="s">
        <v>5430</v>
      </c>
    </row>
    <row r="4175" spans="1:4" hidden="1" x14ac:dyDescent="0.3">
      <c r="A4175">
        <v>4173</v>
      </c>
      <c r="B4175" t="s">
        <v>5497</v>
      </c>
      <c r="C4175" t="s">
        <v>94</v>
      </c>
      <c r="D4175">
        <v>74510894.357361197</v>
      </c>
    </row>
    <row r="4176" spans="1:4" hidden="1" x14ac:dyDescent="0.3">
      <c r="A4176">
        <v>4174</v>
      </c>
      <c r="B4176" t="s">
        <v>5498</v>
      </c>
      <c r="C4176" t="s">
        <v>96</v>
      </c>
      <c r="D4176">
        <v>39587639.106941499</v>
      </c>
    </row>
    <row r="4177" spans="1:4" hidden="1" x14ac:dyDescent="0.3">
      <c r="A4177">
        <v>4175</v>
      </c>
      <c r="B4177" t="s">
        <v>5499</v>
      </c>
      <c r="C4177" t="s">
        <v>98</v>
      </c>
      <c r="D4177">
        <v>29136030.380421702</v>
      </c>
    </row>
    <row r="4178" spans="1:4" hidden="1" x14ac:dyDescent="0.3">
      <c r="A4178">
        <v>4176</v>
      </c>
      <c r="B4178" s="1" t="s">
        <v>5500</v>
      </c>
      <c r="C4178" t="s">
        <v>100</v>
      </c>
      <c r="D4178" s="1" t="s">
        <v>5501</v>
      </c>
    </row>
    <row r="4179" spans="1:4" hidden="1" x14ac:dyDescent="0.3">
      <c r="A4179">
        <v>4177</v>
      </c>
      <c r="B4179" t="s">
        <v>5502</v>
      </c>
      <c r="C4179" t="s">
        <v>103</v>
      </c>
      <c r="D4179">
        <v>7.9712124528936099E-3</v>
      </c>
    </row>
    <row r="4180" spans="1:4" hidden="1" x14ac:dyDescent="0.3">
      <c r="A4180">
        <v>4178</v>
      </c>
      <c r="B4180" t="s">
        <v>5503</v>
      </c>
      <c r="C4180" t="s">
        <v>105</v>
      </c>
      <c r="D4180">
        <v>1.3881132949105899E-3</v>
      </c>
    </row>
    <row r="4181" spans="1:4" hidden="1" x14ac:dyDescent="0.3">
      <c r="A4181">
        <v>4179</v>
      </c>
      <c r="B4181" t="s">
        <v>5504</v>
      </c>
      <c r="C4181" t="s">
        <v>107</v>
      </c>
      <c r="D4181">
        <v>1.05909905170271E-2</v>
      </c>
    </row>
    <row r="4182" spans="1:4" hidden="1" x14ac:dyDescent="0.3">
      <c r="A4182">
        <v>4180</v>
      </c>
      <c r="B4182" s="1" t="s">
        <v>5505</v>
      </c>
      <c r="C4182" t="s">
        <v>109</v>
      </c>
      <c r="D4182" s="1" t="s">
        <v>5506</v>
      </c>
    </row>
    <row r="4183" spans="1:4" x14ac:dyDescent="0.3">
      <c r="A4183">
        <v>4181</v>
      </c>
      <c r="B4183" t="s">
        <v>5507</v>
      </c>
      <c r="C4183" t="s">
        <v>207</v>
      </c>
      <c r="D4183">
        <v>143234312.87255999</v>
      </c>
    </row>
    <row r="4184" spans="1:4" hidden="1" x14ac:dyDescent="0.3">
      <c r="A4184">
        <v>4182</v>
      </c>
      <c r="B4184" t="s">
        <v>5508</v>
      </c>
      <c r="C4184" t="s">
        <v>209</v>
      </c>
      <c r="D4184">
        <v>533.46824970221303</v>
      </c>
    </row>
    <row r="4185" spans="1:4" hidden="1" x14ac:dyDescent="0.3">
      <c r="A4185">
        <v>4183</v>
      </c>
      <c r="B4185" t="s">
        <v>5509</v>
      </c>
      <c r="C4185" t="s">
        <v>211</v>
      </c>
      <c r="D4185">
        <v>283.431917449043</v>
      </c>
    </row>
    <row r="4186" spans="1:4" hidden="1" x14ac:dyDescent="0.3">
      <c r="A4186">
        <v>4184</v>
      </c>
      <c r="B4186" s="1" t="s">
        <v>5510</v>
      </c>
      <c r="C4186" t="s">
        <v>213</v>
      </c>
      <c r="D4186" s="1" t="s">
        <v>5511</v>
      </c>
    </row>
    <row r="4187" spans="1:4" hidden="1" x14ac:dyDescent="0.3">
      <c r="A4187">
        <v>4185</v>
      </c>
      <c r="B4187" t="s">
        <v>5512</v>
      </c>
      <c r="C4187" t="s">
        <v>216</v>
      </c>
      <c r="D4187">
        <v>74510194.432349294</v>
      </c>
    </row>
    <row r="4188" spans="1:4" hidden="1" x14ac:dyDescent="0.3">
      <c r="A4188">
        <v>4186</v>
      </c>
      <c r="B4188" t="s">
        <v>5513</v>
      </c>
      <c r="C4188" t="s">
        <v>218</v>
      </c>
      <c r="D4188">
        <v>39587299.317720301</v>
      </c>
    </row>
    <row r="4189" spans="1:4" hidden="1" x14ac:dyDescent="0.3">
      <c r="A4189">
        <v>4187</v>
      </c>
      <c r="B4189" t="s">
        <v>5514</v>
      </c>
      <c r="C4189" t="s">
        <v>220</v>
      </c>
      <c r="D4189">
        <v>29135793.619716201</v>
      </c>
    </row>
    <row r="4190" spans="1:4" hidden="1" x14ac:dyDescent="0.3">
      <c r="A4190">
        <v>4188</v>
      </c>
      <c r="B4190" s="1" t="s">
        <v>5515</v>
      </c>
      <c r="C4190" t="s">
        <v>222</v>
      </c>
      <c r="D4190" s="1" t="s">
        <v>5516</v>
      </c>
    </row>
    <row r="4191" spans="1:4" hidden="1" x14ac:dyDescent="0.3">
      <c r="A4191">
        <v>4189</v>
      </c>
      <c r="B4191" t="s">
        <v>5517</v>
      </c>
      <c r="C4191" t="s">
        <v>225</v>
      </c>
      <c r="D4191">
        <v>101167718.637977</v>
      </c>
    </row>
    <row r="4192" spans="1:4" hidden="1" x14ac:dyDescent="0.3">
      <c r="A4192">
        <v>4190</v>
      </c>
      <c r="B4192" t="s">
        <v>5518</v>
      </c>
      <c r="C4192" t="s">
        <v>227</v>
      </c>
      <c r="D4192">
        <v>724.32727091014306</v>
      </c>
    </row>
    <row r="4193" spans="1:4" hidden="1" x14ac:dyDescent="0.3">
      <c r="A4193">
        <v>4191</v>
      </c>
      <c r="B4193" s="1" t="s">
        <v>5519</v>
      </c>
      <c r="C4193" t="s">
        <v>229</v>
      </c>
      <c r="D4193" s="1" t="s">
        <v>5520</v>
      </c>
    </row>
    <row r="4194" spans="1:4" hidden="1" x14ac:dyDescent="0.3">
      <c r="A4194">
        <v>4192</v>
      </c>
      <c r="B4194" t="s">
        <v>5521</v>
      </c>
      <c r="C4194" t="s">
        <v>112</v>
      </c>
      <c r="D4194">
        <v>-166.456762111519</v>
      </c>
    </row>
    <row r="4195" spans="1:4" hidden="1" x14ac:dyDescent="0.3">
      <c r="A4195">
        <v>4193</v>
      </c>
      <c r="B4195" t="s">
        <v>5522</v>
      </c>
      <c r="C4195" t="s">
        <v>114</v>
      </c>
      <c r="D4195">
        <v>-56.357303834324199</v>
      </c>
    </row>
    <row r="4196" spans="1:4" hidden="1" x14ac:dyDescent="0.3">
      <c r="A4196">
        <v>4194</v>
      </c>
      <c r="B4196" s="1" t="s">
        <v>5523</v>
      </c>
      <c r="C4196" t="s">
        <v>116</v>
      </c>
      <c r="D4196" s="1" t="s">
        <v>5524</v>
      </c>
    </row>
    <row r="4197" spans="1:4" hidden="1" x14ac:dyDescent="0.3">
      <c r="A4197">
        <v>4195</v>
      </c>
      <c r="B4197" t="s">
        <v>5525</v>
      </c>
      <c r="C4197" t="s">
        <v>119</v>
      </c>
      <c r="D4197">
        <v>74510194.432349294</v>
      </c>
    </row>
    <row r="4198" spans="1:4" hidden="1" x14ac:dyDescent="0.3">
      <c r="A4198">
        <v>4196</v>
      </c>
      <c r="B4198" t="s">
        <v>5526</v>
      </c>
      <c r="C4198" t="s">
        <v>121</v>
      </c>
      <c r="D4198">
        <v>39587299.317720301</v>
      </c>
    </row>
    <row r="4199" spans="1:4" hidden="1" x14ac:dyDescent="0.3">
      <c r="A4199">
        <v>4197</v>
      </c>
      <c r="B4199" s="1" t="s">
        <v>5527</v>
      </c>
      <c r="C4199" t="s">
        <v>123</v>
      </c>
      <c r="D4199" s="1" t="s">
        <v>5528</v>
      </c>
    </row>
    <row r="4200" spans="1:4" hidden="1" x14ac:dyDescent="0.3">
      <c r="A4200">
        <v>4198</v>
      </c>
      <c r="B4200" t="s">
        <v>5529</v>
      </c>
      <c r="C4200" t="s">
        <v>126</v>
      </c>
      <c r="D4200">
        <v>0.73634638083960802</v>
      </c>
    </row>
    <row r="4201" spans="1:4" hidden="1" x14ac:dyDescent="0.3">
      <c r="A4201">
        <v>4199</v>
      </c>
      <c r="B4201" t="s">
        <v>5530</v>
      </c>
      <c r="C4201" t="s">
        <v>128</v>
      </c>
      <c r="D4201">
        <v>0.39122115841858301</v>
      </c>
    </row>
    <row r="4202" spans="1:4" hidden="1" x14ac:dyDescent="0.3">
      <c r="A4202">
        <v>4200</v>
      </c>
      <c r="B4202" s="1" t="s">
        <v>5531</v>
      </c>
      <c r="C4202" t="s">
        <v>130</v>
      </c>
      <c r="D4202" s="1" t="s">
        <v>5532</v>
      </c>
    </row>
    <row r="4203" spans="1:4" hidden="1" x14ac:dyDescent="0.3">
      <c r="A4203">
        <v>4201</v>
      </c>
      <c r="B4203" s="1" t="s">
        <v>5533</v>
      </c>
      <c r="C4203" t="s">
        <v>4</v>
      </c>
      <c r="D4203" t="s">
        <v>5534</v>
      </c>
    </row>
    <row r="4204" spans="1:4" hidden="1" x14ac:dyDescent="0.3">
      <c r="A4204">
        <v>4202</v>
      </c>
      <c r="B4204" t="s">
        <v>5535</v>
      </c>
      <c r="C4204" t="s">
        <v>7</v>
      </c>
      <c r="D4204">
        <v>1728.93</v>
      </c>
    </row>
    <row r="4205" spans="1:4" hidden="1" x14ac:dyDescent="0.3">
      <c r="A4205">
        <v>4203</v>
      </c>
      <c r="B4205" s="1" t="s">
        <v>5536</v>
      </c>
      <c r="C4205" t="s">
        <v>9</v>
      </c>
      <c r="D4205" s="1" t="s">
        <v>5537</v>
      </c>
    </row>
    <row r="4206" spans="1:4" hidden="1" x14ac:dyDescent="0.3">
      <c r="A4206">
        <v>4204</v>
      </c>
      <c r="B4206" t="s">
        <v>5538</v>
      </c>
      <c r="C4206" t="s">
        <v>14</v>
      </c>
      <c r="D4206">
        <v>98.41015625</v>
      </c>
    </row>
    <row r="4207" spans="1:4" hidden="1" x14ac:dyDescent="0.3">
      <c r="A4207">
        <v>4205</v>
      </c>
      <c r="B4207" t="s">
        <v>5539</v>
      </c>
      <c r="C4207" t="s">
        <v>16</v>
      </c>
      <c r="D4207">
        <v>4.3921306707247902</v>
      </c>
    </row>
    <row r="4208" spans="1:4" hidden="1" x14ac:dyDescent="0.3">
      <c r="A4208">
        <v>4206</v>
      </c>
      <c r="B4208" s="1" t="s">
        <v>5540</v>
      </c>
      <c r="C4208" t="s">
        <v>140</v>
      </c>
      <c r="D4208" s="1" t="s">
        <v>5541</v>
      </c>
    </row>
    <row r="4209" spans="1:4" hidden="1" x14ac:dyDescent="0.3">
      <c r="A4209">
        <v>4207</v>
      </c>
      <c r="B4209" t="s">
        <v>5542</v>
      </c>
      <c r="C4209" t="s">
        <v>22</v>
      </c>
      <c r="D4209">
        <v>72.599999999999994</v>
      </c>
    </row>
    <row r="4210" spans="1:4" hidden="1" x14ac:dyDescent="0.3">
      <c r="A4210">
        <v>4208</v>
      </c>
      <c r="B4210" t="s">
        <v>5543</v>
      </c>
      <c r="C4210" t="s">
        <v>24</v>
      </c>
      <c r="D4210">
        <v>6.4655954689059296</v>
      </c>
    </row>
    <row r="4211" spans="1:4" hidden="1" x14ac:dyDescent="0.3">
      <c r="A4211">
        <v>4209</v>
      </c>
      <c r="B4211" s="1" t="s">
        <v>5544</v>
      </c>
      <c r="C4211" t="s">
        <v>145</v>
      </c>
      <c r="D4211" s="1" t="s">
        <v>5545</v>
      </c>
    </row>
    <row r="4212" spans="1:4" hidden="1" x14ac:dyDescent="0.3">
      <c r="A4212">
        <v>4210</v>
      </c>
      <c r="B4212" t="s">
        <v>5546</v>
      </c>
      <c r="C4212" t="s">
        <v>35</v>
      </c>
      <c r="D4212">
        <v>0.34119779459537197</v>
      </c>
    </row>
    <row r="4213" spans="1:4" hidden="1" x14ac:dyDescent="0.3">
      <c r="A4213">
        <v>4211</v>
      </c>
      <c r="B4213" t="s">
        <v>5547</v>
      </c>
      <c r="C4213" t="s">
        <v>149</v>
      </c>
      <c r="D4213">
        <v>0.73128297407063902</v>
      </c>
    </row>
    <row r="4214" spans="1:4" hidden="1" x14ac:dyDescent="0.3">
      <c r="A4214">
        <v>4212</v>
      </c>
      <c r="B4214" s="1" t="s">
        <v>5548</v>
      </c>
      <c r="C4214" t="s">
        <v>151</v>
      </c>
      <c r="D4214" s="1" t="s">
        <v>5549</v>
      </c>
    </row>
    <row r="4215" spans="1:4" hidden="1" x14ac:dyDescent="0.3">
      <c r="A4215">
        <v>4213</v>
      </c>
      <c r="B4215" t="s">
        <v>5550</v>
      </c>
      <c r="C4215" t="s">
        <v>30</v>
      </c>
      <c r="D4215">
        <v>0.25845125424889098</v>
      </c>
    </row>
    <row r="4216" spans="1:4" hidden="1" x14ac:dyDescent="0.3">
      <c r="A4216">
        <v>4214</v>
      </c>
      <c r="B4216" t="s">
        <v>5551</v>
      </c>
      <c r="C4216" t="s">
        <v>32</v>
      </c>
      <c r="D4216">
        <v>0.19096843056995899</v>
      </c>
    </row>
    <row r="4217" spans="1:4" hidden="1" x14ac:dyDescent="0.3">
      <c r="A4217">
        <v>4215</v>
      </c>
      <c r="B4217" s="1" t="s">
        <v>5552</v>
      </c>
      <c r="C4217" t="s">
        <v>155</v>
      </c>
      <c r="D4217" s="1" t="s">
        <v>5553</v>
      </c>
    </row>
    <row r="4218" spans="1:4" hidden="1" x14ac:dyDescent="0.3">
      <c r="A4218">
        <v>4216</v>
      </c>
      <c r="B4218" t="s">
        <v>5554</v>
      </c>
      <c r="C4218" t="s">
        <v>40</v>
      </c>
      <c r="D4218">
        <v>0.40035095115573699</v>
      </c>
    </row>
    <row r="4219" spans="1:4" hidden="1" x14ac:dyDescent="0.3">
      <c r="A4219">
        <v>4217</v>
      </c>
      <c r="B4219" t="s">
        <v>5555</v>
      </c>
      <c r="C4219" t="s">
        <v>42</v>
      </c>
      <c r="D4219">
        <v>0.17649127443802601</v>
      </c>
    </row>
    <row r="4220" spans="1:4" hidden="1" x14ac:dyDescent="0.3">
      <c r="A4220">
        <v>4218</v>
      </c>
      <c r="B4220" s="1" t="s">
        <v>5556</v>
      </c>
      <c r="C4220" t="s">
        <v>159</v>
      </c>
      <c r="D4220" s="1" t="s">
        <v>5557</v>
      </c>
    </row>
    <row r="4221" spans="1:4" hidden="1" x14ac:dyDescent="0.3">
      <c r="A4221">
        <v>4219</v>
      </c>
      <c r="B4221" t="s">
        <v>5558</v>
      </c>
      <c r="C4221" t="s">
        <v>161</v>
      </c>
      <c r="D4221">
        <v>0.99941616472247596</v>
      </c>
    </row>
    <row r="4222" spans="1:4" hidden="1" x14ac:dyDescent="0.3">
      <c r="A4222">
        <v>4220</v>
      </c>
      <c r="B4222" t="s">
        <v>5559</v>
      </c>
      <c r="C4222" t="s">
        <v>163</v>
      </c>
      <c r="D4222">
        <v>0.99872588493680203</v>
      </c>
    </row>
    <row r="4223" spans="1:4" hidden="1" x14ac:dyDescent="0.3">
      <c r="A4223">
        <v>4221</v>
      </c>
      <c r="B4223" s="1" t="s">
        <v>5560</v>
      </c>
      <c r="C4223" t="s">
        <v>165</v>
      </c>
      <c r="D4223" s="1" t="s">
        <v>5561</v>
      </c>
    </row>
    <row r="4224" spans="1:4" hidden="1" x14ac:dyDescent="0.3">
      <c r="A4224">
        <v>4222</v>
      </c>
      <c r="B4224" t="s">
        <v>5562</v>
      </c>
      <c r="C4224" t="s">
        <v>168</v>
      </c>
      <c r="D4224">
        <v>1.0038355932099701</v>
      </c>
    </row>
    <row r="4225" spans="1:4" hidden="1" x14ac:dyDescent="0.3">
      <c r="A4225">
        <v>4223</v>
      </c>
      <c r="B4225" t="s">
        <v>5563</v>
      </c>
      <c r="C4225" t="s">
        <v>170</v>
      </c>
      <c r="D4225">
        <v>0.99548367968287699</v>
      </c>
    </row>
    <row r="4226" spans="1:4" hidden="1" x14ac:dyDescent="0.3">
      <c r="A4226">
        <v>4224</v>
      </c>
      <c r="B4226" s="1" t="s">
        <v>5564</v>
      </c>
      <c r="C4226" t="s">
        <v>172</v>
      </c>
      <c r="D4226" s="1" t="s">
        <v>5565</v>
      </c>
    </row>
    <row r="4227" spans="1:4" hidden="1" x14ac:dyDescent="0.3">
      <c r="A4227">
        <v>4225</v>
      </c>
      <c r="B4227" s="1" t="s">
        <v>5566</v>
      </c>
      <c r="C4227" t="s">
        <v>55</v>
      </c>
      <c r="D4227" s="1" t="s">
        <v>5567</v>
      </c>
    </row>
    <row r="4228" spans="1:4" hidden="1" x14ac:dyDescent="0.3">
      <c r="A4228">
        <v>4226</v>
      </c>
      <c r="B4228" s="1" t="s">
        <v>5568</v>
      </c>
      <c r="C4228" t="s">
        <v>52</v>
      </c>
      <c r="D4228" s="1" t="s">
        <v>5569</v>
      </c>
    </row>
    <row r="4229" spans="1:4" hidden="1" x14ac:dyDescent="0.3">
      <c r="A4229">
        <v>4227</v>
      </c>
      <c r="B4229" s="1" t="s">
        <v>5570</v>
      </c>
      <c r="C4229" t="s">
        <v>58</v>
      </c>
      <c r="D4229" s="1" t="s">
        <v>5571</v>
      </c>
    </row>
    <row r="4230" spans="1:4" hidden="1" x14ac:dyDescent="0.3">
      <c r="A4230">
        <v>4228</v>
      </c>
      <c r="B4230" t="s">
        <v>5572</v>
      </c>
      <c r="C4230" t="s">
        <v>61</v>
      </c>
      <c r="D4230">
        <v>142849043.39998499</v>
      </c>
    </row>
    <row r="4231" spans="1:4" hidden="1" x14ac:dyDescent="0.3">
      <c r="A4231">
        <v>4229</v>
      </c>
      <c r="B4231" t="s">
        <v>5573</v>
      </c>
      <c r="C4231" t="s">
        <v>63</v>
      </c>
      <c r="D4231">
        <v>74466692.752304599</v>
      </c>
    </row>
    <row r="4232" spans="1:4" hidden="1" x14ac:dyDescent="0.3">
      <c r="A4232">
        <v>4230</v>
      </c>
      <c r="B4232" t="s">
        <v>5574</v>
      </c>
      <c r="C4232" t="s">
        <v>65</v>
      </c>
      <c r="D4232">
        <v>39536860.543348297</v>
      </c>
    </row>
    <row r="4233" spans="1:4" hidden="1" x14ac:dyDescent="0.3">
      <c r="A4233">
        <v>4231</v>
      </c>
      <c r="B4233" s="1" t="s">
        <v>5575</v>
      </c>
      <c r="C4233" t="s">
        <v>67</v>
      </c>
      <c r="D4233" s="1" t="s">
        <v>5576</v>
      </c>
    </row>
    <row r="4234" spans="1:4" hidden="1" x14ac:dyDescent="0.3">
      <c r="A4234">
        <v>4232</v>
      </c>
      <c r="B4234" s="1" t="s">
        <v>5577</v>
      </c>
      <c r="C4234" t="s">
        <v>70</v>
      </c>
      <c r="D4234" s="1" t="s">
        <v>5578</v>
      </c>
    </row>
    <row r="4235" spans="1:4" hidden="1" x14ac:dyDescent="0.3">
      <c r="A4235">
        <v>4233</v>
      </c>
      <c r="B4235" t="s">
        <v>5579</v>
      </c>
      <c r="C4235" t="s">
        <v>73</v>
      </c>
      <c r="D4235">
        <v>1.00021090092502</v>
      </c>
    </row>
    <row r="4236" spans="1:4" hidden="1" x14ac:dyDescent="0.3">
      <c r="A4236">
        <v>4234</v>
      </c>
      <c r="B4236" t="s">
        <v>74</v>
      </c>
      <c r="C4236" t="s">
        <v>75</v>
      </c>
      <c r="D4236">
        <v>2.7397260273972599E-3</v>
      </c>
    </row>
    <row r="4237" spans="1:4" hidden="1" x14ac:dyDescent="0.3">
      <c r="A4237">
        <v>4235</v>
      </c>
      <c r="B4237" t="s">
        <v>76</v>
      </c>
      <c r="C4237" t="s">
        <v>77</v>
      </c>
      <c r="D4237">
        <v>0</v>
      </c>
    </row>
    <row r="4238" spans="1:4" hidden="1" x14ac:dyDescent="0.3">
      <c r="A4238">
        <v>4236</v>
      </c>
      <c r="B4238" t="s">
        <v>78</v>
      </c>
      <c r="C4238" t="s">
        <v>79</v>
      </c>
      <c r="D4238">
        <v>0</v>
      </c>
    </row>
    <row r="4239" spans="1:4" hidden="1" x14ac:dyDescent="0.3">
      <c r="A4239">
        <v>4237</v>
      </c>
      <c r="B4239" s="1" t="s">
        <v>5580</v>
      </c>
      <c r="C4239" t="s">
        <v>81</v>
      </c>
      <c r="D4239" s="1" t="s">
        <v>5581</v>
      </c>
    </row>
    <row r="4240" spans="1:4" hidden="1" x14ac:dyDescent="0.3">
      <c r="A4240">
        <v>4238</v>
      </c>
      <c r="B4240" t="s">
        <v>5582</v>
      </c>
      <c r="C4240" t="s">
        <v>84</v>
      </c>
      <c r="D4240">
        <v>1.00022123828967</v>
      </c>
    </row>
    <row r="4241" spans="1:4" hidden="1" x14ac:dyDescent="0.3">
      <c r="A4241">
        <v>4239</v>
      </c>
      <c r="B4241" s="1" t="s">
        <v>5583</v>
      </c>
      <c r="C4241" t="s">
        <v>86</v>
      </c>
      <c r="D4241" s="1" t="s">
        <v>5584</v>
      </c>
    </row>
    <row r="4242" spans="1:4" hidden="1" x14ac:dyDescent="0.3">
      <c r="A4242">
        <v>4240</v>
      </c>
      <c r="B4242" t="s">
        <v>5585</v>
      </c>
      <c r="C4242" t="s">
        <v>89</v>
      </c>
      <c r="D4242">
        <v>101167397.381485</v>
      </c>
    </row>
    <row r="4243" spans="1:4" hidden="1" x14ac:dyDescent="0.3">
      <c r="A4243">
        <v>4241</v>
      </c>
      <c r="B4243" s="1" t="s">
        <v>5586</v>
      </c>
      <c r="C4243" t="s">
        <v>91</v>
      </c>
      <c r="D4243" s="1" t="s">
        <v>5520</v>
      </c>
    </row>
    <row r="4244" spans="1:4" hidden="1" x14ac:dyDescent="0.3">
      <c r="A4244">
        <v>4242</v>
      </c>
      <c r="B4244" t="s">
        <v>5587</v>
      </c>
      <c r="C4244" t="s">
        <v>94</v>
      </c>
      <c r="D4244">
        <v>74466692.752304599</v>
      </c>
    </row>
    <row r="4245" spans="1:4" hidden="1" x14ac:dyDescent="0.3">
      <c r="A4245">
        <v>4243</v>
      </c>
      <c r="B4245" t="s">
        <v>5588</v>
      </c>
      <c r="C4245" t="s">
        <v>96</v>
      </c>
      <c r="D4245">
        <v>39536860.543348297</v>
      </c>
    </row>
    <row r="4246" spans="1:4" hidden="1" x14ac:dyDescent="0.3">
      <c r="A4246">
        <v>4244</v>
      </c>
      <c r="B4246" t="s">
        <v>5589</v>
      </c>
      <c r="C4246" t="s">
        <v>98</v>
      </c>
      <c r="D4246">
        <v>28845490.104332101</v>
      </c>
    </row>
    <row r="4247" spans="1:4" hidden="1" x14ac:dyDescent="0.3">
      <c r="A4247">
        <v>4245</v>
      </c>
      <c r="B4247" s="1" t="s">
        <v>5590</v>
      </c>
      <c r="C4247" t="s">
        <v>100</v>
      </c>
      <c r="D4247" s="1" t="s">
        <v>5591</v>
      </c>
    </row>
    <row r="4248" spans="1:4" hidden="1" x14ac:dyDescent="0.3">
      <c r="A4248">
        <v>4246</v>
      </c>
      <c r="B4248" t="s">
        <v>5592</v>
      </c>
      <c r="C4248" t="s">
        <v>103</v>
      </c>
      <c r="D4248">
        <v>8.1933352359804604E-3</v>
      </c>
    </row>
    <row r="4249" spans="1:4" hidden="1" x14ac:dyDescent="0.3">
      <c r="A4249">
        <v>4247</v>
      </c>
      <c r="B4249" t="s">
        <v>5593</v>
      </c>
      <c r="C4249" t="s">
        <v>105</v>
      </c>
      <c r="D4249">
        <v>1.3944876875121601E-3</v>
      </c>
    </row>
    <row r="4250" spans="1:4" hidden="1" x14ac:dyDescent="0.3">
      <c r="A4250">
        <v>4248</v>
      </c>
      <c r="B4250" t="s">
        <v>5594</v>
      </c>
      <c r="C4250" t="s">
        <v>107</v>
      </c>
      <c r="D4250">
        <v>1.0596834051866601E-2</v>
      </c>
    </row>
    <row r="4251" spans="1:4" hidden="1" x14ac:dyDescent="0.3">
      <c r="A4251">
        <v>4249</v>
      </c>
      <c r="B4251" s="1" t="s">
        <v>5595</v>
      </c>
      <c r="C4251" t="s">
        <v>109</v>
      </c>
      <c r="D4251" s="1" t="s">
        <v>5596</v>
      </c>
    </row>
    <row r="4252" spans="1:4" x14ac:dyDescent="0.3">
      <c r="A4252">
        <v>4250</v>
      </c>
      <c r="B4252" t="s">
        <v>5597</v>
      </c>
      <c r="C4252" t="s">
        <v>207</v>
      </c>
      <c r="D4252">
        <v>142849404.74926299</v>
      </c>
    </row>
    <row r="4253" spans="1:4" hidden="1" x14ac:dyDescent="0.3">
      <c r="A4253">
        <v>4251</v>
      </c>
      <c r="B4253" t="s">
        <v>5598</v>
      </c>
      <c r="C4253" t="s">
        <v>209</v>
      </c>
      <c r="D4253">
        <v>-769.629535780933</v>
      </c>
    </row>
    <row r="4254" spans="1:4" hidden="1" x14ac:dyDescent="0.3">
      <c r="A4254">
        <v>4252</v>
      </c>
      <c r="B4254" t="s">
        <v>5599</v>
      </c>
      <c r="C4254" t="s">
        <v>211</v>
      </c>
      <c r="D4254">
        <v>-408.621563401424</v>
      </c>
    </row>
    <row r="4255" spans="1:4" hidden="1" x14ac:dyDescent="0.3">
      <c r="A4255">
        <v>4253</v>
      </c>
      <c r="B4255" s="1" t="s">
        <v>5600</v>
      </c>
      <c r="C4255" t="s">
        <v>213</v>
      </c>
      <c r="D4255" s="1" t="s">
        <v>5601</v>
      </c>
    </row>
    <row r="4256" spans="1:4" hidden="1" x14ac:dyDescent="0.3">
      <c r="A4256">
        <v>4254</v>
      </c>
      <c r="B4256" t="s">
        <v>5602</v>
      </c>
      <c r="C4256" t="s">
        <v>216</v>
      </c>
      <c r="D4256">
        <v>74467703.676938996</v>
      </c>
    </row>
    <row r="4257" spans="1:4" hidden="1" x14ac:dyDescent="0.3">
      <c r="A4257">
        <v>4255</v>
      </c>
      <c r="B4257" t="s">
        <v>5603</v>
      </c>
      <c r="C4257" t="s">
        <v>218</v>
      </c>
      <c r="D4257">
        <v>39537346.326643802</v>
      </c>
    </row>
    <row r="4258" spans="1:4" hidden="1" x14ac:dyDescent="0.3">
      <c r="A4258">
        <v>4256</v>
      </c>
      <c r="B4258" t="s">
        <v>5604</v>
      </c>
      <c r="C4258" t="s">
        <v>220</v>
      </c>
      <c r="D4258">
        <v>28845831.120698299</v>
      </c>
    </row>
    <row r="4259" spans="1:4" hidden="1" x14ac:dyDescent="0.3">
      <c r="A4259">
        <v>4257</v>
      </c>
      <c r="B4259" s="1" t="s">
        <v>5605</v>
      </c>
      <c r="C4259" t="s">
        <v>222</v>
      </c>
      <c r="D4259" s="1" t="s">
        <v>5606</v>
      </c>
    </row>
    <row r="4260" spans="1:4" hidden="1" x14ac:dyDescent="0.3">
      <c r="A4260">
        <v>4258</v>
      </c>
      <c r="B4260" t="s">
        <v>5607</v>
      </c>
      <c r="C4260" t="s">
        <v>225</v>
      </c>
      <c r="D4260">
        <v>101168442.965248</v>
      </c>
    </row>
    <row r="4261" spans="1:4" hidden="1" x14ac:dyDescent="0.3">
      <c r="A4261">
        <v>4259</v>
      </c>
      <c r="B4261" t="s">
        <v>5608</v>
      </c>
      <c r="C4261" t="s">
        <v>227</v>
      </c>
      <c r="D4261">
        <v>-1045.5837624967</v>
      </c>
    </row>
    <row r="4262" spans="1:4" hidden="1" x14ac:dyDescent="0.3">
      <c r="A4262">
        <v>4260</v>
      </c>
      <c r="B4262" s="1" t="s">
        <v>5609</v>
      </c>
      <c r="C4262" t="s">
        <v>229</v>
      </c>
      <c r="D4262" s="1" t="s">
        <v>5610</v>
      </c>
    </row>
    <row r="4263" spans="1:4" hidden="1" x14ac:dyDescent="0.3">
      <c r="A4263">
        <v>4261</v>
      </c>
      <c r="B4263" t="s">
        <v>5611</v>
      </c>
      <c r="C4263" t="s">
        <v>112</v>
      </c>
      <c r="D4263">
        <v>241.295098709966</v>
      </c>
    </row>
    <row r="4264" spans="1:4" hidden="1" x14ac:dyDescent="0.3">
      <c r="A4264">
        <v>4262</v>
      </c>
      <c r="B4264" t="s">
        <v>5612</v>
      </c>
      <c r="C4264" t="s">
        <v>114</v>
      </c>
      <c r="D4264">
        <v>77.161732089020205</v>
      </c>
    </row>
    <row r="4265" spans="1:4" hidden="1" x14ac:dyDescent="0.3">
      <c r="A4265">
        <v>4263</v>
      </c>
      <c r="B4265" s="1" t="s">
        <v>5613</v>
      </c>
      <c r="C4265" t="s">
        <v>116</v>
      </c>
      <c r="D4265" s="1" t="s">
        <v>5614</v>
      </c>
    </row>
    <row r="4266" spans="1:4" hidden="1" x14ac:dyDescent="0.3">
      <c r="A4266">
        <v>4264</v>
      </c>
      <c r="B4266" t="s">
        <v>5615</v>
      </c>
      <c r="C4266" t="s">
        <v>119</v>
      </c>
      <c r="D4266">
        <v>74467703.676938996</v>
      </c>
    </row>
    <row r="4267" spans="1:4" hidden="1" x14ac:dyDescent="0.3">
      <c r="A4267">
        <v>4265</v>
      </c>
      <c r="B4267" t="s">
        <v>5616</v>
      </c>
      <c r="C4267" t="s">
        <v>121</v>
      </c>
      <c r="D4267">
        <v>39537346.326643802</v>
      </c>
    </row>
    <row r="4268" spans="1:4" hidden="1" x14ac:dyDescent="0.3">
      <c r="A4268">
        <v>4266</v>
      </c>
      <c r="B4268" s="1" t="s">
        <v>5617</v>
      </c>
      <c r="C4268" t="s">
        <v>123</v>
      </c>
      <c r="D4268" s="1" t="s">
        <v>5618</v>
      </c>
    </row>
    <row r="4269" spans="1:4" hidden="1" x14ac:dyDescent="0.3">
      <c r="A4269">
        <v>4267</v>
      </c>
      <c r="B4269" t="s">
        <v>5619</v>
      </c>
      <c r="C4269" t="s">
        <v>126</v>
      </c>
      <c r="D4269">
        <v>0.73591359154587299</v>
      </c>
    </row>
    <row r="4270" spans="1:4" hidden="1" x14ac:dyDescent="0.3">
      <c r="A4270">
        <v>4268</v>
      </c>
      <c r="B4270" t="s">
        <v>5620</v>
      </c>
      <c r="C4270" t="s">
        <v>128</v>
      </c>
      <c r="D4270">
        <v>0.390720662767581</v>
      </c>
    </row>
    <row r="4271" spans="1:4" hidden="1" x14ac:dyDescent="0.3">
      <c r="A4271">
        <v>4269</v>
      </c>
      <c r="B4271" s="1" t="s">
        <v>5621</v>
      </c>
      <c r="C4271" t="s">
        <v>130</v>
      </c>
      <c r="D4271" s="1" t="s">
        <v>5622</v>
      </c>
    </row>
    <row r="4272" spans="1:4" hidden="1" x14ac:dyDescent="0.3">
      <c r="A4272">
        <v>4270</v>
      </c>
      <c r="B4272" s="1" t="s">
        <v>5623</v>
      </c>
      <c r="C4272" t="s">
        <v>4</v>
      </c>
      <c r="D4272" t="s">
        <v>5624</v>
      </c>
    </row>
    <row r="4273" spans="1:4" hidden="1" x14ac:dyDescent="0.3">
      <c r="A4273">
        <v>4271</v>
      </c>
      <c r="B4273" t="s">
        <v>5625</v>
      </c>
      <c r="C4273" t="s">
        <v>7</v>
      </c>
      <c r="D4273">
        <v>1751.7</v>
      </c>
    </row>
    <row r="4274" spans="1:4" hidden="1" x14ac:dyDescent="0.3">
      <c r="A4274">
        <v>4272</v>
      </c>
      <c r="B4274" s="1" t="s">
        <v>5626</v>
      </c>
      <c r="C4274" t="s">
        <v>9</v>
      </c>
      <c r="D4274" s="1" t="s">
        <v>5627</v>
      </c>
    </row>
    <row r="4275" spans="1:4" hidden="1" x14ac:dyDescent="0.3">
      <c r="A4275">
        <v>4273</v>
      </c>
      <c r="B4275" t="s">
        <v>3659</v>
      </c>
      <c r="C4275" t="s">
        <v>14</v>
      </c>
      <c r="D4275">
        <v>98.4921875</v>
      </c>
    </row>
    <row r="4276" spans="1:4" hidden="1" x14ac:dyDescent="0.3">
      <c r="A4276">
        <v>4274</v>
      </c>
      <c r="B4276" t="s">
        <v>5628</v>
      </c>
      <c r="C4276" t="s">
        <v>16</v>
      </c>
      <c r="D4276">
        <v>4.3928351504054399</v>
      </c>
    </row>
    <row r="4277" spans="1:4" hidden="1" x14ac:dyDescent="0.3">
      <c r="A4277">
        <v>4275</v>
      </c>
      <c r="B4277" s="1" t="s">
        <v>5629</v>
      </c>
      <c r="C4277" t="s">
        <v>140</v>
      </c>
      <c r="D4277" s="1" t="s">
        <v>5630</v>
      </c>
    </row>
    <row r="4278" spans="1:4" hidden="1" x14ac:dyDescent="0.3">
      <c r="A4278">
        <v>4276</v>
      </c>
      <c r="B4278" t="s">
        <v>5631</v>
      </c>
      <c r="C4278" t="s">
        <v>22</v>
      </c>
      <c r="D4278">
        <v>72.5</v>
      </c>
    </row>
    <row r="4279" spans="1:4" hidden="1" x14ac:dyDescent="0.3">
      <c r="A4279">
        <v>4277</v>
      </c>
      <c r="B4279" t="s">
        <v>5632</v>
      </c>
      <c r="C4279" t="s">
        <v>24</v>
      </c>
      <c r="D4279">
        <v>6.4764273362062701</v>
      </c>
    </row>
    <row r="4280" spans="1:4" hidden="1" x14ac:dyDescent="0.3">
      <c r="A4280">
        <v>4278</v>
      </c>
      <c r="B4280" s="1" t="s">
        <v>5633</v>
      </c>
      <c r="C4280" t="s">
        <v>145</v>
      </c>
      <c r="D4280" s="1" t="s">
        <v>5634</v>
      </c>
    </row>
    <row r="4281" spans="1:4" hidden="1" x14ac:dyDescent="0.3">
      <c r="A4281">
        <v>4279</v>
      </c>
      <c r="B4281" t="s">
        <v>5635</v>
      </c>
      <c r="C4281" t="s">
        <v>35</v>
      </c>
      <c r="D4281">
        <v>-0.88993392826031203</v>
      </c>
    </row>
    <row r="4282" spans="1:4" hidden="1" x14ac:dyDescent="0.3">
      <c r="A4282">
        <v>4280</v>
      </c>
      <c r="B4282" t="s">
        <v>5636</v>
      </c>
      <c r="C4282" t="s">
        <v>149</v>
      </c>
      <c r="D4282">
        <v>0.73454398904046103</v>
      </c>
    </row>
    <row r="4283" spans="1:4" hidden="1" x14ac:dyDescent="0.3">
      <c r="A4283">
        <v>4281</v>
      </c>
      <c r="B4283" s="1" t="s">
        <v>5637</v>
      </c>
      <c r="C4283" t="s">
        <v>151</v>
      </c>
      <c r="D4283" s="1" t="s">
        <v>5638</v>
      </c>
    </row>
    <row r="4284" spans="1:4" hidden="1" x14ac:dyDescent="0.3">
      <c r="A4284">
        <v>4282</v>
      </c>
      <c r="B4284" t="s">
        <v>5639</v>
      </c>
      <c r="C4284" t="s">
        <v>30</v>
      </c>
      <c r="D4284">
        <v>0.73763913427877403</v>
      </c>
    </row>
    <row r="4285" spans="1:4" hidden="1" x14ac:dyDescent="0.3">
      <c r="A4285">
        <v>4283</v>
      </c>
      <c r="B4285" t="s">
        <v>5640</v>
      </c>
      <c r="C4285" t="s">
        <v>32</v>
      </c>
      <c r="D4285">
        <v>0.18826665447444699</v>
      </c>
    </row>
    <row r="4286" spans="1:4" hidden="1" x14ac:dyDescent="0.3">
      <c r="A4286">
        <v>4284</v>
      </c>
      <c r="B4286" s="1" t="s">
        <v>5641</v>
      </c>
      <c r="C4286" t="s">
        <v>155</v>
      </c>
      <c r="D4286" s="1" t="s">
        <v>5642</v>
      </c>
    </row>
    <row r="4287" spans="1:4" hidden="1" x14ac:dyDescent="0.3">
      <c r="A4287">
        <v>4285</v>
      </c>
      <c r="B4287" t="s">
        <v>5643</v>
      </c>
      <c r="C4287" t="s">
        <v>40</v>
      </c>
      <c r="D4287">
        <v>1.15229479398153</v>
      </c>
    </row>
    <row r="4288" spans="1:4" hidden="1" x14ac:dyDescent="0.3">
      <c r="A4288">
        <v>4286</v>
      </c>
      <c r="B4288" t="s">
        <v>5644</v>
      </c>
      <c r="C4288" t="s">
        <v>42</v>
      </c>
      <c r="D4288">
        <v>0.173122200271072</v>
      </c>
    </row>
    <row r="4289" spans="1:4" hidden="1" x14ac:dyDescent="0.3">
      <c r="A4289">
        <v>4287</v>
      </c>
      <c r="B4289" s="1" t="s">
        <v>5645</v>
      </c>
      <c r="C4289" t="s">
        <v>159</v>
      </c>
      <c r="D4289" s="1" t="s">
        <v>5646</v>
      </c>
    </row>
    <row r="4290" spans="1:4" hidden="1" x14ac:dyDescent="0.3">
      <c r="A4290">
        <v>4288</v>
      </c>
      <c r="B4290" t="s">
        <v>5647</v>
      </c>
      <c r="C4290" t="s">
        <v>161</v>
      </c>
      <c r="D4290">
        <v>1.0131699953150199</v>
      </c>
    </row>
    <row r="4291" spans="1:4" hidden="1" x14ac:dyDescent="0.3">
      <c r="A4291">
        <v>4289</v>
      </c>
      <c r="B4291" t="s">
        <v>5648</v>
      </c>
      <c r="C4291" t="s">
        <v>163</v>
      </c>
      <c r="D4291">
        <v>1.0008048043692299</v>
      </c>
    </row>
    <row r="4292" spans="1:4" hidden="1" x14ac:dyDescent="0.3">
      <c r="A4292">
        <v>4290</v>
      </c>
      <c r="B4292" s="1" t="s">
        <v>5649</v>
      </c>
      <c r="C4292" t="s">
        <v>165</v>
      </c>
      <c r="D4292" s="1" t="s">
        <v>5650</v>
      </c>
    </row>
    <row r="4293" spans="1:4" hidden="1" x14ac:dyDescent="0.3">
      <c r="A4293">
        <v>4291</v>
      </c>
      <c r="B4293" t="s">
        <v>5651</v>
      </c>
      <c r="C4293" t="s">
        <v>168</v>
      </c>
      <c r="D4293">
        <v>1.00188358287966</v>
      </c>
    </row>
    <row r="4294" spans="1:4" hidden="1" x14ac:dyDescent="0.3">
      <c r="A4294">
        <v>4292</v>
      </c>
      <c r="B4294" t="s">
        <v>5652</v>
      </c>
      <c r="C4294" t="s">
        <v>170</v>
      </c>
      <c r="D4294">
        <v>0.99773144608525</v>
      </c>
    </row>
    <row r="4295" spans="1:4" hidden="1" x14ac:dyDescent="0.3">
      <c r="A4295">
        <v>4293</v>
      </c>
      <c r="B4295" s="1" t="s">
        <v>5653</v>
      </c>
      <c r="C4295" t="s">
        <v>172</v>
      </c>
      <c r="D4295" s="1" t="s">
        <v>5654</v>
      </c>
    </row>
    <row r="4296" spans="1:4" hidden="1" x14ac:dyDescent="0.3">
      <c r="A4296">
        <v>4294</v>
      </c>
      <c r="B4296" s="1" t="s">
        <v>5655</v>
      </c>
      <c r="C4296" t="s">
        <v>55</v>
      </c>
      <c r="D4296" s="1" t="s">
        <v>5656</v>
      </c>
    </row>
    <row r="4297" spans="1:4" hidden="1" x14ac:dyDescent="0.3">
      <c r="A4297">
        <v>4295</v>
      </c>
      <c r="B4297" s="1" t="s">
        <v>5657</v>
      </c>
      <c r="C4297" t="s">
        <v>52</v>
      </c>
      <c r="D4297" s="1" t="s">
        <v>5658</v>
      </c>
    </row>
    <row r="4298" spans="1:4" hidden="1" x14ac:dyDescent="0.3">
      <c r="A4298">
        <v>4296</v>
      </c>
      <c r="B4298" s="1" t="s">
        <v>5659</v>
      </c>
      <c r="C4298" t="s">
        <v>58</v>
      </c>
      <c r="D4298" s="1" t="s">
        <v>5660</v>
      </c>
    </row>
    <row r="4299" spans="1:4" hidden="1" x14ac:dyDescent="0.3">
      <c r="A4299">
        <v>4297</v>
      </c>
      <c r="B4299" t="s">
        <v>5661</v>
      </c>
      <c r="C4299" t="s">
        <v>61</v>
      </c>
      <c r="D4299">
        <v>143830908.67996299</v>
      </c>
    </row>
    <row r="4300" spans="1:4" hidden="1" x14ac:dyDescent="0.3">
      <c r="A4300">
        <v>4298</v>
      </c>
      <c r="B4300" t="s">
        <v>5662</v>
      </c>
      <c r="C4300" t="s">
        <v>63</v>
      </c>
      <c r="D4300">
        <v>75448442.985484704</v>
      </c>
    </row>
    <row r="4301" spans="1:4" hidden="1" x14ac:dyDescent="0.3">
      <c r="A4301">
        <v>4299</v>
      </c>
      <c r="B4301" t="s">
        <v>5663</v>
      </c>
      <c r="C4301" t="s">
        <v>65</v>
      </c>
      <c r="D4301">
        <v>39569166.155715197</v>
      </c>
    </row>
    <row r="4302" spans="1:4" hidden="1" x14ac:dyDescent="0.3">
      <c r="A4302">
        <v>4300</v>
      </c>
      <c r="B4302" s="1" t="s">
        <v>5664</v>
      </c>
      <c r="C4302" t="s">
        <v>67</v>
      </c>
      <c r="D4302" s="1" t="s">
        <v>5665</v>
      </c>
    </row>
    <row r="4303" spans="1:4" hidden="1" x14ac:dyDescent="0.3">
      <c r="A4303">
        <v>4301</v>
      </c>
      <c r="B4303" s="1" t="s">
        <v>5666</v>
      </c>
      <c r="C4303" t="s">
        <v>70</v>
      </c>
      <c r="D4303" s="1" t="s">
        <v>5667</v>
      </c>
    </row>
    <row r="4304" spans="1:4" hidden="1" x14ac:dyDescent="0.3">
      <c r="A4304">
        <v>4302</v>
      </c>
      <c r="B4304" t="s">
        <v>5668</v>
      </c>
      <c r="C4304" t="s">
        <v>73</v>
      </c>
      <c r="D4304">
        <v>1.00022123828967</v>
      </c>
    </row>
    <row r="4305" spans="1:4" hidden="1" x14ac:dyDescent="0.3">
      <c r="A4305">
        <v>4303</v>
      </c>
      <c r="B4305" t="s">
        <v>74</v>
      </c>
      <c r="C4305" t="s">
        <v>75</v>
      </c>
      <c r="D4305">
        <v>2.7397260273972599E-3</v>
      </c>
    </row>
    <row r="4306" spans="1:4" hidden="1" x14ac:dyDescent="0.3">
      <c r="A4306">
        <v>4304</v>
      </c>
      <c r="B4306" t="s">
        <v>76</v>
      </c>
      <c r="C4306" t="s">
        <v>77</v>
      </c>
      <c r="D4306">
        <v>0</v>
      </c>
    </row>
    <row r="4307" spans="1:4" hidden="1" x14ac:dyDescent="0.3">
      <c r="A4307">
        <v>4305</v>
      </c>
      <c r="B4307" t="s">
        <v>78</v>
      </c>
      <c r="C4307" t="s">
        <v>79</v>
      </c>
      <c r="D4307">
        <v>0</v>
      </c>
    </row>
    <row r="4308" spans="1:4" hidden="1" x14ac:dyDescent="0.3">
      <c r="A4308">
        <v>4306</v>
      </c>
      <c r="B4308" s="1" t="s">
        <v>5669</v>
      </c>
      <c r="C4308" t="s">
        <v>81</v>
      </c>
      <c r="D4308" s="1" t="s">
        <v>5670</v>
      </c>
    </row>
    <row r="4309" spans="1:4" hidden="1" x14ac:dyDescent="0.3">
      <c r="A4309">
        <v>4307</v>
      </c>
      <c r="B4309" t="s">
        <v>5671</v>
      </c>
      <c r="C4309" t="s">
        <v>84</v>
      </c>
      <c r="D4309">
        <v>1.0002321479993399</v>
      </c>
    </row>
    <row r="4310" spans="1:4" hidden="1" x14ac:dyDescent="0.3">
      <c r="A4310">
        <v>4308</v>
      </c>
      <c r="B4310" s="1" t="s">
        <v>5672</v>
      </c>
      <c r="C4310" t="s">
        <v>86</v>
      </c>
      <c r="D4310" s="1" t="s">
        <v>5673</v>
      </c>
    </row>
    <row r="4311" spans="1:4" hidden="1" x14ac:dyDescent="0.3">
      <c r="A4311">
        <v>4309</v>
      </c>
      <c r="B4311" t="s">
        <v>5674</v>
      </c>
      <c r="C4311" t="s">
        <v>89</v>
      </c>
      <c r="D4311">
        <v>101166293.93071599</v>
      </c>
    </row>
    <row r="4312" spans="1:4" hidden="1" x14ac:dyDescent="0.3">
      <c r="A4312">
        <v>4310</v>
      </c>
      <c r="B4312" s="1" t="s">
        <v>5675</v>
      </c>
      <c r="C4312" t="s">
        <v>91</v>
      </c>
      <c r="D4312" s="1" t="s">
        <v>5610</v>
      </c>
    </row>
    <row r="4313" spans="1:4" hidden="1" x14ac:dyDescent="0.3">
      <c r="A4313">
        <v>4311</v>
      </c>
      <c r="B4313" t="s">
        <v>5676</v>
      </c>
      <c r="C4313" t="s">
        <v>94</v>
      </c>
      <c r="D4313">
        <v>75448442.985484704</v>
      </c>
    </row>
    <row r="4314" spans="1:4" hidden="1" x14ac:dyDescent="0.3">
      <c r="A4314">
        <v>4312</v>
      </c>
      <c r="B4314" t="s">
        <v>5677</v>
      </c>
      <c r="C4314" t="s">
        <v>96</v>
      </c>
      <c r="D4314">
        <v>39569166.155715197</v>
      </c>
    </row>
    <row r="4315" spans="1:4" hidden="1" x14ac:dyDescent="0.3">
      <c r="A4315">
        <v>4313</v>
      </c>
      <c r="B4315" t="s">
        <v>5678</v>
      </c>
      <c r="C4315" t="s">
        <v>98</v>
      </c>
      <c r="D4315">
        <v>28813299.538763799</v>
      </c>
    </row>
    <row r="4316" spans="1:4" hidden="1" x14ac:dyDescent="0.3">
      <c r="A4316">
        <v>4314</v>
      </c>
      <c r="B4316" s="1" t="s">
        <v>5679</v>
      </c>
      <c r="C4316" t="s">
        <v>100</v>
      </c>
      <c r="D4316" s="1" t="s">
        <v>5680</v>
      </c>
    </row>
    <row r="4317" spans="1:4" hidden="1" x14ac:dyDescent="0.3">
      <c r="A4317">
        <v>4315</v>
      </c>
      <c r="B4317" t="s">
        <v>5681</v>
      </c>
      <c r="C4317" t="s">
        <v>103</v>
      </c>
      <c r="D4317">
        <v>8.1895204265016609E-3</v>
      </c>
    </row>
    <row r="4318" spans="1:4" hidden="1" x14ac:dyDescent="0.3">
      <c r="A4318">
        <v>4316</v>
      </c>
      <c r="B4318" t="s">
        <v>5682</v>
      </c>
      <c r="C4318" t="s">
        <v>105</v>
      </c>
      <c r="D4318">
        <v>1.37306837066895E-3</v>
      </c>
    </row>
    <row r="4319" spans="1:4" hidden="1" x14ac:dyDescent="0.3">
      <c r="A4319">
        <v>4317</v>
      </c>
      <c r="B4319" t="s">
        <v>5683</v>
      </c>
      <c r="C4319" t="s">
        <v>107</v>
      </c>
      <c r="D4319">
        <v>1.05979401247228E-2</v>
      </c>
    </row>
    <row r="4320" spans="1:4" hidden="1" x14ac:dyDescent="0.3">
      <c r="A4320">
        <v>4318</v>
      </c>
      <c r="B4320" s="1" t="s">
        <v>5684</v>
      </c>
      <c r="C4320" t="s">
        <v>109</v>
      </c>
      <c r="D4320" s="1" t="s">
        <v>5685</v>
      </c>
    </row>
    <row r="4321" spans="1:4" x14ac:dyDescent="0.3">
      <c r="A4321">
        <v>4319</v>
      </c>
      <c r="B4321" t="s">
        <v>5686</v>
      </c>
      <c r="C4321" t="s">
        <v>207</v>
      </c>
      <c r="D4321">
        <v>143831289.57401401</v>
      </c>
    </row>
    <row r="4322" spans="1:4" hidden="1" x14ac:dyDescent="0.3">
      <c r="A4322">
        <v>4320</v>
      </c>
      <c r="B4322" t="s">
        <v>5687</v>
      </c>
      <c r="C4322" t="s">
        <v>209</v>
      </c>
      <c r="D4322">
        <v>-822.94134559464396</v>
      </c>
    </row>
    <row r="4323" spans="1:4" hidden="1" x14ac:dyDescent="0.3">
      <c r="A4323">
        <v>4321</v>
      </c>
      <c r="B4323" t="s">
        <v>5688</v>
      </c>
      <c r="C4323" t="s">
        <v>211</v>
      </c>
      <c r="D4323">
        <v>-431.59350041419901</v>
      </c>
    </row>
    <row r="4324" spans="1:4" hidden="1" x14ac:dyDescent="0.3">
      <c r="A4324">
        <v>4322</v>
      </c>
      <c r="B4324" s="1" t="s">
        <v>5689</v>
      </c>
      <c r="C4324" t="s">
        <v>213</v>
      </c>
      <c r="D4324" s="1" t="s">
        <v>5690</v>
      </c>
    </row>
    <row r="4325" spans="1:4" hidden="1" x14ac:dyDescent="0.3">
      <c r="A4325">
        <v>4323</v>
      </c>
      <c r="B4325" t="s">
        <v>5691</v>
      </c>
      <c r="C4325" t="s">
        <v>216</v>
      </c>
      <c r="D4325">
        <v>75449522.904970706</v>
      </c>
    </row>
    <row r="4326" spans="1:4" hidden="1" x14ac:dyDescent="0.3">
      <c r="A4326">
        <v>4324</v>
      </c>
      <c r="B4326" t="s">
        <v>5692</v>
      </c>
      <c r="C4326" t="s">
        <v>218</v>
      </c>
      <c r="D4326">
        <v>39569677.5589853</v>
      </c>
    </row>
    <row r="4327" spans="1:4" hidden="1" x14ac:dyDescent="0.3">
      <c r="A4327">
        <v>4325</v>
      </c>
      <c r="B4327" t="s">
        <v>5693</v>
      </c>
      <c r="C4327" t="s">
        <v>220</v>
      </c>
      <c r="D4327">
        <v>28813657.920588601</v>
      </c>
    </row>
    <row r="4328" spans="1:4" hidden="1" x14ac:dyDescent="0.3">
      <c r="A4328">
        <v>4326</v>
      </c>
      <c r="B4328" s="1" t="s">
        <v>5694</v>
      </c>
      <c r="C4328" t="s">
        <v>222</v>
      </c>
      <c r="D4328" s="1" t="s">
        <v>5695</v>
      </c>
    </row>
    <row r="4329" spans="1:4" hidden="1" x14ac:dyDescent="0.3">
      <c r="A4329">
        <v>4327</v>
      </c>
      <c r="B4329" t="s">
        <v>5696</v>
      </c>
      <c r="C4329" t="s">
        <v>225</v>
      </c>
      <c r="D4329">
        <v>101167397.381485</v>
      </c>
    </row>
    <row r="4330" spans="1:4" hidden="1" x14ac:dyDescent="0.3">
      <c r="A4330">
        <v>4328</v>
      </c>
      <c r="B4330" t="s">
        <v>5697</v>
      </c>
      <c r="C4330" t="s">
        <v>227</v>
      </c>
      <c r="D4330">
        <v>-1103.45076981186</v>
      </c>
    </row>
    <row r="4331" spans="1:4" hidden="1" x14ac:dyDescent="0.3">
      <c r="A4331">
        <v>4329</v>
      </c>
      <c r="B4331" s="1" t="s">
        <v>5698</v>
      </c>
      <c r="C4331" t="s">
        <v>229</v>
      </c>
      <c r="D4331" s="1" t="s">
        <v>5699</v>
      </c>
    </row>
    <row r="4332" spans="1:4" hidden="1" x14ac:dyDescent="0.3">
      <c r="A4332">
        <v>4330</v>
      </c>
      <c r="B4332" t="s">
        <v>5700</v>
      </c>
      <c r="C4332" t="s">
        <v>112</v>
      </c>
      <c r="D4332">
        <v>256.97814036500301</v>
      </c>
    </row>
    <row r="4333" spans="1:4" hidden="1" x14ac:dyDescent="0.3">
      <c r="A4333">
        <v>4331</v>
      </c>
      <c r="B4333" t="s">
        <v>5701</v>
      </c>
      <c r="C4333" t="s">
        <v>114</v>
      </c>
      <c r="D4333">
        <v>79.809769671568702</v>
      </c>
    </row>
    <row r="4334" spans="1:4" hidden="1" x14ac:dyDescent="0.3">
      <c r="A4334">
        <v>4332</v>
      </c>
      <c r="B4334" s="1" t="s">
        <v>5702</v>
      </c>
      <c r="C4334" t="s">
        <v>116</v>
      </c>
      <c r="D4334" s="1" t="s">
        <v>5703</v>
      </c>
    </row>
    <row r="4335" spans="1:4" hidden="1" x14ac:dyDescent="0.3">
      <c r="A4335">
        <v>4333</v>
      </c>
      <c r="B4335" t="s">
        <v>5704</v>
      </c>
      <c r="C4335" t="s">
        <v>119</v>
      </c>
      <c r="D4335">
        <v>75449522.904970706</v>
      </c>
    </row>
    <row r="4336" spans="1:4" hidden="1" x14ac:dyDescent="0.3">
      <c r="A4336">
        <v>4334</v>
      </c>
      <c r="B4336" t="s">
        <v>5705</v>
      </c>
      <c r="C4336" t="s">
        <v>121</v>
      </c>
      <c r="D4336">
        <v>39569677.5589853</v>
      </c>
    </row>
    <row r="4337" spans="1:4" hidden="1" x14ac:dyDescent="0.3">
      <c r="A4337">
        <v>4335</v>
      </c>
      <c r="B4337" s="1" t="s">
        <v>5706</v>
      </c>
      <c r="C4337" t="s">
        <v>123</v>
      </c>
      <c r="D4337" s="1" t="s">
        <v>5707</v>
      </c>
    </row>
    <row r="4338" spans="1:4" hidden="1" x14ac:dyDescent="0.3">
      <c r="A4338">
        <v>4336</v>
      </c>
      <c r="B4338" t="s">
        <v>5708</v>
      </c>
      <c r="C4338" t="s">
        <v>126</v>
      </c>
      <c r="D4338">
        <v>0.74561581563642398</v>
      </c>
    </row>
    <row r="4339" spans="1:4" hidden="1" x14ac:dyDescent="0.3">
      <c r="A4339">
        <v>4337</v>
      </c>
      <c r="B4339" t="s">
        <v>5709</v>
      </c>
      <c r="C4339" t="s">
        <v>128</v>
      </c>
      <c r="D4339">
        <v>0.39103994659811597</v>
      </c>
    </row>
    <row r="4340" spans="1:4" hidden="1" x14ac:dyDescent="0.3">
      <c r="A4340">
        <v>4338</v>
      </c>
      <c r="B4340" s="1" t="s">
        <v>5710</v>
      </c>
      <c r="C4340" t="s">
        <v>130</v>
      </c>
      <c r="D4340" s="1" t="s">
        <v>5711</v>
      </c>
    </row>
    <row r="4341" spans="1:4" hidden="1" x14ac:dyDescent="0.3">
      <c r="A4341">
        <v>4339</v>
      </c>
      <c r="B4341" s="1" t="s">
        <v>5712</v>
      </c>
      <c r="C4341" t="s">
        <v>4</v>
      </c>
      <c r="D4341" t="s">
        <v>5713</v>
      </c>
    </row>
    <row r="4342" spans="1:4" hidden="1" x14ac:dyDescent="0.3">
      <c r="A4342">
        <v>4340</v>
      </c>
      <c r="B4342" t="s">
        <v>5714</v>
      </c>
      <c r="C4342" t="s">
        <v>7</v>
      </c>
      <c r="D4342">
        <v>1752.9</v>
      </c>
    </row>
    <row r="4343" spans="1:4" hidden="1" x14ac:dyDescent="0.3">
      <c r="A4343">
        <v>4341</v>
      </c>
      <c r="B4343" s="1" t="s">
        <v>5715</v>
      </c>
      <c r="C4343" t="s">
        <v>9</v>
      </c>
      <c r="D4343" s="1" t="s">
        <v>5716</v>
      </c>
    </row>
    <row r="4344" spans="1:4" hidden="1" x14ac:dyDescent="0.3">
      <c r="A4344">
        <v>4342</v>
      </c>
      <c r="B4344" t="s">
        <v>5717</v>
      </c>
      <c r="C4344" t="s">
        <v>14</v>
      </c>
      <c r="D4344">
        <v>98.421875</v>
      </c>
    </row>
    <row r="4345" spans="1:4" hidden="1" x14ac:dyDescent="0.3">
      <c r="A4345">
        <v>4343</v>
      </c>
      <c r="B4345" t="s">
        <v>5718</v>
      </c>
      <c r="C4345" t="s">
        <v>16</v>
      </c>
      <c r="D4345">
        <v>4.3921178468022797</v>
      </c>
    </row>
    <row r="4346" spans="1:4" hidden="1" x14ac:dyDescent="0.3">
      <c r="A4346">
        <v>4344</v>
      </c>
      <c r="B4346" s="1" t="s">
        <v>5719</v>
      </c>
      <c r="C4346" t="s">
        <v>140</v>
      </c>
      <c r="D4346" s="1" t="s">
        <v>5720</v>
      </c>
    </row>
    <row r="4347" spans="1:4" hidden="1" x14ac:dyDescent="0.3">
      <c r="A4347">
        <v>4345</v>
      </c>
      <c r="B4347" t="s">
        <v>5542</v>
      </c>
      <c r="C4347" t="s">
        <v>22</v>
      </c>
      <c r="D4347">
        <v>72.599999999999994</v>
      </c>
    </row>
    <row r="4348" spans="1:4" hidden="1" x14ac:dyDescent="0.3">
      <c r="A4348">
        <v>4346</v>
      </c>
      <c r="B4348" t="s">
        <v>5721</v>
      </c>
      <c r="C4348" t="s">
        <v>24</v>
      </c>
      <c r="D4348">
        <v>6.4653800403477302</v>
      </c>
    </row>
    <row r="4349" spans="1:4" hidden="1" x14ac:dyDescent="0.3">
      <c r="A4349">
        <v>4347</v>
      </c>
      <c r="B4349" s="1" t="s">
        <v>5722</v>
      </c>
      <c r="C4349" t="s">
        <v>145</v>
      </c>
      <c r="D4349" s="1" t="s">
        <v>5723</v>
      </c>
    </row>
    <row r="4350" spans="1:4" hidden="1" x14ac:dyDescent="0.3">
      <c r="A4350">
        <v>4348</v>
      </c>
      <c r="B4350" t="s">
        <v>5724</v>
      </c>
      <c r="C4350" t="s">
        <v>35</v>
      </c>
      <c r="D4350">
        <v>-0.90583344334608995</v>
      </c>
    </row>
    <row r="4351" spans="1:4" hidden="1" x14ac:dyDescent="0.3">
      <c r="A4351">
        <v>4349</v>
      </c>
      <c r="B4351" t="s">
        <v>5725</v>
      </c>
      <c r="C4351" t="s">
        <v>149</v>
      </c>
      <c r="D4351">
        <v>0.73572773971709504</v>
      </c>
    </row>
    <row r="4352" spans="1:4" hidden="1" x14ac:dyDescent="0.3">
      <c r="A4352">
        <v>4350</v>
      </c>
      <c r="B4352" s="1" t="s">
        <v>5726</v>
      </c>
      <c r="C4352" t="s">
        <v>151</v>
      </c>
      <c r="D4352" s="1" t="s">
        <v>5727</v>
      </c>
    </row>
    <row r="4353" spans="1:4" hidden="1" x14ac:dyDescent="0.3">
      <c r="A4353">
        <v>4351</v>
      </c>
      <c r="B4353" t="s">
        <v>5728</v>
      </c>
      <c r="C4353" t="s">
        <v>30</v>
      </c>
      <c r="D4353">
        <v>0.74075606634727498</v>
      </c>
    </row>
    <row r="4354" spans="1:4" hidden="1" x14ac:dyDescent="0.3">
      <c r="A4354">
        <v>4352</v>
      </c>
      <c r="B4354" t="s">
        <v>5729</v>
      </c>
      <c r="C4354" t="s">
        <v>32</v>
      </c>
      <c r="D4354">
        <v>0.18708348930572199</v>
      </c>
    </row>
    <row r="4355" spans="1:4" hidden="1" x14ac:dyDescent="0.3">
      <c r="A4355">
        <v>4353</v>
      </c>
      <c r="B4355" s="1" t="s">
        <v>5730</v>
      </c>
      <c r="C4355" t="s">
        <v>155</v>
      </c>
      <c r="D4355" s="1" t="s">
        <v>5731</v>
      </c>
    </row>
    <row r="4356" spans="1:4" hidden="1" x14ac:dyDescent="0.3">
      <c r="A4356">
        <v>4354</v>
      </c>
      <c r="B4356" t="s">
        <v>5732</v>
      </c>
      <c r="C4356" t="s">
        <v>40</v>
      </c>
      <c r="D4356">
        <v>1.1650773769988101</v>
      </c>
    </row>
    <row r="4357" spans="1:4" hidden="1" x14ac:dyDescent="0.3">
      <c r="A4357">
        <v>4355</v>
      </c>
      <c r="B4357" t="s">
        <v>5733</v>
      </c>
      <c r="C4357" t="s">
        <v>42</v>
      </c>
      <c r="D4357">
        <v>0.17211495601118701</v>
      </c>
    </row>
    <row r="4358" spans="1:4" hidden="1" x14ac:dyDescent="0.3">
      <c r="A4358">
        <v>4356</v>
      </c>
      <c r="B4358" s="1" t="s">
        <v>5734</v>
      </c>
      <c r="C4358" t="s">
        <v>159</v>
      </c>
      <c r="D4358" s="1" t="s">
        <v>5735</v>
      </c>
    </row>
    <row r="4359" spans="1:4" hidden="1" x14ac:dyDescent="0.3">
      <c r="A4359">
        <v>4357</v>
      </c>
      <c r="B4359" t="s">
        <v>5736</v>
      </c>
      <c r="C4359" t="s">
        <v>161</v>
      </c>
      <c r="D4359">
        <v>1.0006850488097201</v>
      </c>
    </row>
    <row r="4360" spans="1:4" hidden="1" x14ac:dyDescent="0.3">
      <c r="A4360">
        <v>4358</v>
      </c>
      <c r="B4360" t="s">
        <v>5737</v>
      </c>
      <c r="C4360" t="s">
        <v>163</v>
      </c>
      <c r="D4360">
        <v>0.99930961959502496</v>
      </c>
    </row>
    <row r="4361" spans="1:4" hidden="1" x14ac:dyDescent="0.3">
      <c r="A4361">
        <v>4359</v>
      </c>
      <c r="B4361" s="1" t="s">
        <v>5738</v>
      </c>
      <c r="C4361" t="s">
        <v>165</v>
      </c>
      <c r="D4361" s="1" t="s">
        <v>5739</v>
      </c>
    </row>
    <row r="4362" spans="1:4" hidden="1" x14ac:dyDescent="0.3">
      <c r="A4362">
        <v>4360</v>
      </c>
      <c r="B4362" t="s">
        <v>5740</v>
      </c>
      <c r="C4362" t="s">
        <v>168</v>
      </c>
      <c r="D4362">
        <v>1.0006824564174199</v>
      </c>
    </row>
    <row r="4363" spans="1:4" hidden="1" x14ac:dyDescent="0.3">
      <c r="A4363">
        <v>4361</v>
      </c>
      <c r="B4363" t="s">
        <v>5741</v>
      </c>
      <c r="C4363" t="s">
        <v>170</v>
      </c>
      <c r="D4363">
        <v>0.99900429321628303</v>
      </c>
    </row>
    <row r="4364" spans="1:4" hidden="1" x14ac:dyDescent="0.3">
      <c r="A4364">
        <v>4362</v>
      </c>
      <c r="B4364" s="1" t="s">
        <v>5742</v>
      </c>
      <c r="C4364" t="s">
        <v>172</v>
      </c>
      <c r="D4364" s="1" t="s">
        <v>5743</v>
      </c>
    </row>
    <row r="4365" spans="1:4" hidden="1" x14ac:dyDescent="0.3">
      <c r="A4365">
        <v>4363</v>
      </c>
      <c r="B4365" s="1" t="s">
        <v>5744</v>
      </c>
      <c r="C4365" t="s">
        <v>55</v>
      </c>
      <c r="D4365" s="1" t="s">
        <v>5745</v>
      </c>
    </row>
    <row r="4366" spans="1:4" hidden="1" x14ac:dyDescent="0.3">
      <c r="A4366">
        <v>4364</v>
      </c>
      <c r="B4366" s="1" t="s">
        <v>5746</v>
      </c>
      <c r="C4366" t="s">
        <v>52</v>
      </c>
      <c r="D4366" s="1" t="s">
        <v>5747</v>
      </c>
    </row>
    <row r="4367" spans="1:4" hidden="1" x14ac:dyDescent="0.3">
      <c r="A4367">
        <v>4365</v>
      </c>
      <c r="B4367" s="1" t="s">
        <v>5748</v>
      </c>
      <c r="C4367" t="s">
        <v>58</v>
      </c>
      <c r="D4367" s="1" t="s">
        <v>5749</v>
      </c>
    </row>
    <row r="4368" spans="1:4" hidden="1" x14ac:dyDescent="0.3">
      <c r="A4368">
        <v>4366</v>
      </c>
      <c r="B4368" t="s">
        <v>5750</v>
      </c>
      <c r="C4368" t="s">
        <v>61</v>
      </c>
      <c r="D4368">
        <v>143889680.250274</v>
      </c>
    </row>
    <row r="4369" spans="1:4" hidden="1" x14ac:dyDescent="0.3">
      <c r="A4369">
        <v>4367</v>
      </c>
      <c r="B4369" t="s">
        <v>5751</v>
      </c>
      <c r="C4369" t="s">
        <v>63</v>
      </c>
      <c r="D4369">
        <v>75501209.510831296</v>
      </c>
    </row>
    <row r="4370" spans="1:4" hidden="1" x14ac:dyDescent="0.3">
      <c r="A4370">
        <v>4368</v>
      </c>
      <c r="B4370" t="s">
        <v>5752</v>
      </c>
      <c r="C4370" t="s">
        <v>65</v>
      </c>
      <c r="D4370">
        <v>39542359.428967401</v>
      </c>
    </row>
    <row r="4371" spans="1:4" hidden="1" x14ac:dyDescent="0.3">
      <c r="A4371">
        <v>4369</v>
      </c>
      <c r="B4371" s="1" t="s">
        <v>5753</v>
      </c>
      <c r="C4371" t="s">
        <v>67</v>
      </c>
      <c r="D4371" s="1" t="s">
        <v>5754</v>
      </c>
    </row>
    <row r="4372" spans="1:4" hidden="1" x14ac:dyDescent="0.3">
      <c r="A4372">
        <v>4370</v>
      </c>
      <c r="B4372" s="1" t="s">
        <v>5755</v>
      </c>
      <c r="C4372" t="s">
        <v>70</v>
      </c>
      <c r="D4372" s="1" t="s">
        <v>5756</v>
      </c>
    </row>
    <row r="4373" spans="1:4" hidden="1" x14ac:dyDescent="0.3">
      <c r="A4373">
        <v>4371</v>
      </c>
      <c r="B4373" t="s">
        <v>5757</v>
      </c>
      <c r="C4373" t="s">
        <v>73</v>
      </c>
      <c r="D4373">
        <v>1.0002321479993399</v>
      </c>
    </row>
    <row r="4374" spans="1:4" hidden="1" x14ac:dyDescent="0.3">
      <c r="A4374">
        <v>4372</v>
      </c>
      <c r="B4374" t="s">
        <v>74</v>
      </c>
      <c r="C4374" t="s">
        <v>75</v>
      </c>
      <c r="D4374">
        <v>2.7397260273972599E-3</v>
      </c>
    </row>
    <row r="4375" spans="1:4" hidden="1" x14ac:dyDescent="0.3">
      <c r="A4375">
        <v>4373</v>
      </c>
      <c r="B4375" t="s">
        <v>76</v>
      </c>
      <c r="C4375" t="s">
        <v>77</v>
      </c>
      <c r="D4375">
        <v>0</v>
      </c>
    </row>
    <row r="4376" spans="1:4" hidden="1" x14ac:dyDescent="0.3">
      <c r="A4376">
        <v>4374</v>
      </c>
      <c r="B4376" t="s">
        <v>78</v>
      </c>
      <c r="C4376" t="s">
        <v>79</v>
      </c>
      <c r="D4376">
        <v>0</v>
      </c>
    </row>
    <row r="4377" spans="1:4" hidden="1" x14ac:dyDescent="0.3">
      <c r="A4377">
        <v>4375</v>
      </c>
      <c r="B4377" s="1" t="s">
        <v>5758</v>
      </c>
      <c r="C4377" t="s">
        <v>81</v>
      </c>
      <c r="D4377" s="1" t="s">
        <v>5759</v>
      </c>
    </row>
    <row r="4378" spans="1:4" hidden="1" x14ac:dyDescent="0.3">
      <c r="A4378">
        <v>4376</v>
      </c>
      <c r="B4378" t="s">
        <v>5760</v>
      </c>
      <c r="C4378" t="s">
        <v>84</v>
      </c>
      <c r="D4378">
        <v>1.00020389703331</v>
      </c>
    </row>
    <row r="4379" spans="1:4" hidden="1" x14ac:dyDescent="0.3">
      <c r="A4379">
        <v>4377</v>
      </c>
      <c r="B4379" s="1" t="s">
        <v>5761</v>
      </c>
      <c r="C4379" t="s">
        <v>86</v>
      </c>
      <c r="D4379" s="1" t="s">
        <v>5762</v>
      </c>
    </row>
    <row r="4380" spans="1:4" hidden="1" x14ac:dyDescent="0.3">
      <c r="A4380">
        <v>4378</v>
      </c>
      <c r="B4380" t="s">
        <v>5763</v>
      </c>
      <c r="C4380" t="s">
        <v>89</v>
      </c>
      <c r="D4380">
        <v>101169151.393621</v>
      </c>
    </row>
    <row r="4381" spans="1:4" hidden="1" x14ac:dyDescent="0.3">
      <c r="A4381">
        <v>4379</v>
      </c>
      <c r="B4381" s="1" t="s">
        <v>5764</v>
      </c>
      <c r="C4381" t="s">
        <v>91</v>
      </c>
      <c r="D4381" s="1" t="s">
        <v>5699</v>
      </c>
    </row>
    <row r="4382" spans="1:4" hidden="1" x14ac:dyDescent="0.3">
      <c r="A4382">
        <v>4380</v>
      </c>
      <c r="B4382" t="s">
        <v>5765</v>
      </c>
      <c r="C4382" t="s">
        <v>94</v>
      </c>
      <c r="D4382">
        <v>75501209.510831296</v>
      </c>
    </row>
    <row r="4383" spans="1:4" hidden="1" x14ac:dyDescent="0.3">
      <c r="A4383">
        <v>4381</v>
      </c>
      <c r="B4383" t="s">
        <v>5766</v>
      </c>
      <c r="C4383" t="s">
        <v>96</v>
      </c>
      <c r="D4383">
        <v>39542359.428967401</v>
      </c>
    </row>
    <row r="4384" spans="1:4" hidden="1" x14ac:dyDescent="0.3">
      <c r="A4384">
        <v>4382</v>
      </c>
      <c r="B4384" t="s">
        <v>5767</v>
      </c>
      <c r="C4384" t="s">
        <v>98</v>
      </c>
      <c r="D4384">
        <v>28846111.3104758</v>
      </c>
    </row>
    <row r="4385" spans="1:4" hidden="1" x14ac:dyDescent="0.3">
      <c r="A4385">
        <v>4383</v>
      </c>
      <c r="B4385" s="1" t="s">
        <v>5768</v>
      </c>
      <c r="C4385" t="s">
        <v>100</v>
      </c>
      <c r="D4385" s="1" t="s">
        <v>5769</v>
      </c>
    </row>
    <row r="4386" spans="1:4" hidden="1" x14ac:dyDescent="0.3">
      <c r="A4386">
        <v>4384</v>
      </c>
      <c r="B4386" t="s">
        <v>5770</v>
      </c>
      <c r="C4386" t="s">
        <v>103</v>
      </c>
      <c r="D4386">
        <v>8.2913153618495907E-3</v>
      </c>
    </row>
    <row r="4387" spans="1:4" hidden="1" x14ac:dyDescent="0.3">
      <c r="A4387">
        <v>4385</v>
      </c>
      <c r="B4387" t="s">
        <v>5771</v>
      </c>
      <c r="C4387" t="s">
        <v>105</v>
      </c>
      <c r="D4387">
        <v>1.37396137370133E-3</v>
      </c>
    </row>
    <row r="4388" spans="1:4" hidden="1" x14ac:dyDescent="0.3">
      <c r="A4388">
        <v>4386</v>
      </c>
      <c r="B4388" t="s">
        <v>5772</v>
      </c>
      <c r="C4388" t="s">
        <v>107</v>
      </c>
      <c r="D4388">
        <v>1.0598304881259501E-2</v>
      </c>
    </row>
    <row r="4389" spans="1:4" hidden="1" x14ac:dyDescent="0.3">
      <c r="A4389">
        <v>4387</v>
      </c>
      <c r="B4389" s="1" t="s">
        <v>5773</v>
      </c>
      <c r="C4389" t="s">
        <v>109</v>
      </c>
      <c r="D4389" s="1" t="s">
        <v>5774</v>
      </c>
    </row>
    <row r="4390" spans="1:4" x14ac:dyDescent="0.3">
      <c r="A4390">
        <v>4388</v>
      </c>
      <c r="B4390" t="s">
        <v>5775</v>
      </c>
      <c r="C4390" t="s">
        <v>207</v>
      </c>
      <c r="D4390">
        <v>143888692.731603</v>
      </c>
    </row>
    <row r="4391" spans="1:4" hidden="1" x14ac:dyDescent="0.3">
      <c r="A4391">
        <v>4389</v>
      </c>
      <c r="B4391" t="s">
        <v>5776</v>
      </c>
      <c r="C4391" t="s">
        <v>209</v>
      </c>
      <c r="D4391">
        <v>2132.4667250882299</v>
      </c>
    </row>
    <row r="4392" spans="1:4" hidden="1" x14ac:dyDescent="0.3">
      <c r="A4392">
        <v>4390</v>
      </c>
      <c r="B4392" t="s">
        <v>5777</v>
      </c>
      <c r="C4392" t="s">
        <v>211</v>
      </c>
      <c r="D4392">
        <v>1116.8462598514</v>
      </c>
    </row>
    <row r="4393" spans="1:4" hidden="1" x14ac:dyDescent="0.3">
      <c r="A4393">
        <v>4391</v>
      </c>
      <c r="B4393" s="1" t="s">
        <v>5778</v>
      </c>
      <c r="C4393" t="s">
        <v>213</v>
      </c>
      <c r="D4393" s="1" t="s">
        <v>5779</v>
      </c>
    </row>
    <row r="4394" spans="1:4" hidden="1" x14ac:dyDescent="0.3">
      <c r="A4394">
        <v>4392</v>
      </c>
      <c r="B4394" t="s">
        <v>5780</v>
      </c>
      <c r="C4394" t="s">
        <v>216</v>
      </c>
      <c r="D4394">
        <v>75498357.340670004</v>
      </c>
    </row>
    <row r="4395" spans="1:4" hidden="1" x14ac:dyDescent="0.3">
      <c r="A4395">
        <v>4393</v>
      </c>
      <c r="B4395" t="s">
        <v>5781</v>
      </c>
      <c r="C4395" t="s">
        <v>218</v>
      </c>
      <c r="D4395">
        <v>39541089.682120502</v>
      </c>
    </row>
    <row r="4396" spans="1:4" hidden="1" x14ac:dyDescent="0.3">
      <c r="A4396">
        <v>4394</v>
      </c>
      <c r="B4396" t="s">
        <v>5782</v>
      </c>
      <c r="C4396" t="s">
        <v>220</v>
      </c>
      <c r="D4396">
        <v>28845181.657703198</v>
      </c>
    </row>
    <row r="4397" spans="1:4" hidden="1" x14ac:dyDescent="0.3">
      <c r="A4397">
        <v>4395</v>
      </c>
      <c r="B4397" s="1" t="s">
        <v>5783</v>
      </c>
      <c r="C4397" t="s">
        <v>222</v>
      </c>
      <c r="D4397" s="1" t="s">
        <v>5784</v>
      </c>
    </row>
    <row r="4398" spans="1:4" hidden="1" x14ac:dyDescent="0.3">
      <c r="A4398">
        <v>4396</v>
      </c>
      <c r="B4398" t="s">
        <v>5785</v>
      </c>
      <c r="C4398" t="s">
        <v>225</v>
      </c>
      <c r="D4398">
        <v>101166293.93071599</v>
      </c>
    </row>
    <row r="4399" spans="1:4" hidden="1" x14ac:dyDescent="0.3">
      <c r="A4399">
        <v>4397</v>
      </c>
      <c r="B4399" t="s">
        <v>5786</v>
      </c>
      <c r="C4399" t="s">
        <v>227</v>
      </c>
      <c r="D4399">
        <v>2857.46290524303</v>
      </c>
    </row>
    <row r="4400" spans="1:4" hidden="1" x14ac:dyDescent="0.3">
      <c r="A4400">
        <v>4398</v>
      </c>
      <c r="B4400" s="1" t="s">
        <v>5787</v>
      </c>
      <c r="C4400" t="s">
        <v>229</v>
      </c>
      <c r="D4400" s="1" t="s">
        <v>5788</v>
      </c>
    </row>
    <row r="4401" spans="1:4" hidden="1" x14ac:dyDescent="0.3">
      <c r="A4401">
        <v>4399</v>
      </c>
      <c r="B4401" t="s">
        <v>5789</v>
      </c>
      <c r="C4401" t="s">
        <v>112</v>
      </c>
      <c r="D4401">
        <v>-719.703436153658</v>
      </c>
    </row>
    <row r="4402" spans="1:4" hidden="1" x14ac:dyDescent="0.3">
      <c r="A4402">
        <v>4400</v>
      </c>
      <c r="B4402" t="s">
        <v>5790</v>
      </c>
      <c r="C4402" t="s">
        <v>114</v>
      </c>
      <c r="D4402">
        <v>-152.90058708145301</v>
      </c>
    </row>
    <row r="4403" spans="1:4" hidden="1" x14ac:dyDescent="0.3">
      <c r="A4403">
        <v>4401</v>
      </c>
      <c r="B4403" s="1" t="s">
        <v>5791</v>
      </c>
      <c r="C4403" t="s">
        <v>116</v>
      </c>
      <c r="D4403" s="1" t="s">
        <v>5792</v>
      </c>
    </row>
    <row r="4404" spans="1:4" hidden="1" x14ac:dyDescent="0.3">
      <c r="A4404">
        <v>4402</v>
      </c>
      <c r="B4404" t="s">
        <v>5793</v>
      </c>
      <c r="C4404" t="s">
        <v>119</v>
      </c>
      <c r="D4404">
        <v>75498357.340670004</v>
      </c>
    </row>
    <row r="4405" spans="1:4" hidden="1" x14ac:dyDescent="0.3">
      <c r="A4405">
        <v>4403</v>
      </c>
      <c r="B4405" t="s">
        <v>5794</v>
      </c>
      <c r="C4405" t="s">
        <v>121</v>
      </c>
      <c r="D4405">
        <v>39541089.682120502</v>
      </c>
    </row>
    <row r="4406" spans="1:4" hidden="1" x14ac:dyDescent="0.3">
      <c r="A4406">
        <v>4404</v>
      </c>
      <c r="B4406" s="1" t="s">
        <v>5795</v>
      </c>
      <c r="C4406" t="s">
        <v>123</v>
      </c>
      <c r="D4406" s="1" t="s">
        <v>5796</v>
      </c>
    </row>
    <row r="4407" spans="1:4" hidden="1" x14ac:dyDescent="0.3">
      <c r="A4407">
        <v>4405</v>
      </c>
      <c r="B4407" t="s">
        <v>5797</v>
      </c>
      <c r="C4407" t="s">
        <v>126</v>
      </c>
      <c r="D4407">
        <v>0.74612762467518601</v>
      </c>
    </row>
    <row r="4408" spans="1:4" hidden="1" x14ac:dyDescent="0.3">
      <c r="A4408">
        <v>4406</v>
      </c>
      <c r="B4408" t="s">
        <v>5798</v>
      </c>
      <c r="C4408" t="s">
        <v>128</v>
      </c>
      <c r="D4408">
        <v>0.39077273149751501</v>
      </c>
    </row>
    <row r="4409" spans="1:4" hidden="1" x14ac:dyDescent="0.3">
      <c r="A4409">
        <v>4407</v>
      </c>
      <c r="B4409" s="1" t="s">
        <v>5799</v>
      </c>
      <c r="C4409" t="s">
        <v>130</v>
      </c>
      <c r="D4409" s="1" t="s">
        <v>5800</v>
      </c>
    </row>
    <row r="4410" spans="1:4" hidden="1" x14ac:dyDescent="0.3">
      <c r="A4410">
        <v>4408</v>
      </c>
      <c r="B4410" s="1" t="s">
        <v>5801</v>
      </c>
      <c r="C4410" t="s">
        <v>4</v>
      </c>
      <c r="D4410" t="s">
        <v>5802</v>
      </c>
    </row>
    <row r="4411" spans="1:4" hidden="1" x14ac:dyDescent="0.3">
      <c r="A4411">
        <v>4409</v>
      </c>
      <c r="B4411" t="s">
        <v>5803</v>
      </c>
      <c r="C4411" t="s">
        <v>7</v>
      </c>
      <c r="D4411">
        <v>1779.74</v>
      </c>
    </row>
    <row r="4412" spans="1:4" hidden="1" x14ac:dyDescent="0.3">
      <c r="A4412">
        <v>4410</v>
      </c>
      <c r="B4412" s="1" t="s">
        <v>5804</v>
      </c>
      <c r="C4412" t="s">
        <v>9</v>
      </c>
      <c r="D4412" s="1" t="s">
        <v>5805</v>
      </c>
    </row>
    <row r="4413" spans="1:4" hidden="1" x14ac:dyDescent="0.3">
      <c r="A4413">
        <v>4411</v>
      </c>
      <c r="B4413" t="s">
        <v>5806</v>
      </c>
      <c r="C4413" t="s">
        <v>14</v>
      </c>
      <c r="D4413">
        <v>98.6328125</v>
      </c>
    </row>
    <row r="4414" spans="1:4" hidden="1" x14ac:dyDescent="0.3">
      <c r="A4414">
        <v>4412</v>
      </c>
      <c r="B4414" t="s">
        <v>5807</v>
      </c>
      <c r="C4414" t="s">
        <v>16</v>
      </c>
      <c r="D4414">
        <v>4.3974545370299101</v>
      </c>
    </row>
    <row r="4415" spans="1:4" hidden="1" x14ac:dyDescent="0.3">
      <c r="A4415">
        <v>4413</v>
      </c>
      <c r="B4415" s="1" t="s">
        <v>5808</v>
      </c>
      <c r="C4415" t="s">
        <v>140</v>
      </c>
      <c r="D4415" s="1" t="s">
        <v>5809</v>
      </c>
    </row>
    <row r="4416" spans="1:4" hidden="1" x14ac:dyDescent="0.3">
      <c r="A4416">
        <v>4414</v>
      </c>
      <c r="B4416" t="s">
        <v>5810</v>
      </c>
      <c r="C4416" t="s">
        <v>22</v>
      </c>
      <c r="D4416">
        <v>72.95</v>
      </c>
    </row>
    <row r="4417" spans="1:4" hidden="1" x14ac:dyDescent="0.3">
      <c r="A4417">
        <v>4415</v>
      </c>
      <c r="B4417" t="s">
        <v>5811</v>
      </c>
      <c r="C4417" t="s">
        <v>24</v>
      </c>
      <c r="D4417">
        <v>6.50888009982563</v>
      </c>
    </row>
    <row r="4418" spans="1:4" hidden="1" x14ac:dyDescent="0.3">
      <c r="A4418">
        <v>4416</v>
      </c>
      <c r="B4418" s="1" t="s">
        <v>5812</v>
      </c>
      <c r="C4418" t="s">
        <v>145</v>
      </c>
      <c r="D4418" s="1" t="s">
        <v>5813</v>
      </c>
    </row>
    <row r="4419" spans="1:4" hidden="1" x14ac:dyDescent="0.3">
      <c r="A4419">
        <v>4417</v>
      </c>
      <c r="B4419" t="s">
        <v>5814</v>
      </c>
      <c r="C4419" t="s">
        <v>35</v>
      </c>
      <c r="D4419">
        <v>-1.1559595277466399</v>
      </c>
    </row>
    <row r="4420" spans="1:4" hidden="1" x14ac:dyDescent="0.3">
      <c r="A4420">
        <v>4418</v>
      </c>
      <c r="B4420" t="s">
        <v>5815</v>
      </c>
      <c r="C4420" t="s">
        <v>149</v>
      </c>
      <c r="D4420">
        <v>0.73415452833134998</v>
      </c>
    </row>
    <row r="4421" spans="1:4" hidden="1" x14ac:dyDescent="0.3">
      <c r="A4421">
        <v>4419</v>
      </c>
      <c r="B4421" s="1" t="s">
        <v>5816</v>
      </c>
      <c r="C4421" t="s">
        <v>151</v>
      </c>
      <c r="D4421" s="1" t="s">
        <v>5817</v>
      </c>
    </row>
    <row r="4422" spans="1:4" hidden="1" x14ac:dyDescent="0.3">
      <c r="A4422">
        <v>4420</v>
      </c>
      <c r="B4422" t="s">
        <v>5818</v>
      </c>
      <c r="C4422" t="s">
        <v>30</v>
      </c>
      <c r="D4422">
        <v>0.82829415125126804</v>
      </c>
    </row>
    <row r="4423" spans="1:4" hidden="1" x14ac:dyDescent="0.3">
      <c r="A4423">
        <v>4421</v>
      </c>
      <c r="B4423" t="s">
        <v>5819</v>
      </c>
      <c r="C4423" t="s">
        <v>32</v>
      </c>
      <c r="D4423">
        <v>0.189177445864914</v>
      </c>
    </row>
    <row r="4424" spans="1:4" hidden="1" x14ac:dyDescent="0.3">
      <c r="A4424">
        <v>4422</v>
      </c>
      <c r="B4424" s="1" t="s">
        <v>5820</v>
      </c>
      <c r="C4424" t="s">
        <v>155</v>
      </c>
      <c r="D4424" s="1" t="s">
        <v>5821</v>
      </c>
    </row>
    <row r="4425" spans="1:4" hidden="1" x14ac:dyDescent="0.3">
      <c r="A4425">
        <v>4423</v>
      </c>
      <c r="B4425" t="s">
        <v>5822</v>
      </c>
      <c r="C4425" t="s">
        <v>40</v>
      </c>
      <c r="D4425">
        <v>1.3276653764953701</v>
      </c>
    </row>
    <row r="4426" spans="1:4" hidden="1" x14ac:dyDescent="0.3">
      <c r="A4426">
        <v>4424</v>
      </c>
      <c r="B4426" t="s">
        <v>5823</v>
      </c>
      <c r="C4426" t="s">
        <v>42</v>
      </c>
      <c r="D4426">
        <v>0.17293361033586399</v>
      </c>
    </row>
    <row r="4427" spans="1:4" hidden="1" x14ac:dyDescent="0.3">
      <c r="A4427">
        <v>4425</v>
      </c>
      <c r="B4427" s="1" t="s">
        <v>5824</v>
      </c>
      <c r="C4427" t="s">
        <v>159</v>
      </c>
      <c r="D4427" s="1" t="s">
        <v>5825</v>
      </c>
    </row>
    <row r="4428" spans="1:4" hidden="1" x14ac:dyDescent="0.3">
      <c r="A4428">
        <v>4426</v>
      </c>
      <c r="B4428" t="s">
        <v>5826</v>
      </c>
      <c r="C4428" t="s">
        <v>161</v>
      </c>
      <c r="D4428">
        <v>1.0153117690683999</v>
      </c>
    </row>
    <row r="4429" spans="1:4" hidden="1" x14ac:dyDescent="0.3">
      <c r="A4429">
        <v>4427</v>
      </c>
      <c r="B4429" t="s">
        <v>5827</v>
      </c>
      <c r="C4429" t="s">
        <v>163</v>
      </c>
      <c r="D4429">
        <v>1.0021035482062199</v>
      </c>
    </row>
    <row r="4430" spans="1:4" hidden="1" x14ac:dyDescent="0.3">
      <c r="A4430">
        <v>4428</v>
      </c>
      <c r="B4430" s="1" t="s">
        <v>5828</v>
      </c>
      <c r="C4430" t="s">
        <v>165</v>
      </c>
      <c r="D4430" s="1" t="s">
        <v>5829</v>
      </c>
    </row>
    <row r="4431" spans="1:4" hidden="1" x14ac:dyDescent="0.3">
      <c r="A4431">
        <v>4429</v>
      </c>
      <c r="B4431" t="s">
        <v>5830</v>
      </c>
      <c r="C4431" t="s">
        <v>168</v>
      </c>
      <c r="D4431">
        <v>0.99909363009546504</v>
      </c>
    </row>
    <row r="4432" spans="1:4" hidden="1" x14ac:dyDescent="0.3">
      <c r="A4432">
        <v>4430</v>
      </c>
      <c r="B4432" t="s">
        <v>5831</v>
      </c>
      <c r="C4432" t="s">
        <v>170</v>
      </c>
      <c r="D4432">
        <v>1.0017639505376399</v>
      </c>
    </row>
    <row r="4433" spans="1:4" hidden="1" x14ac:dyDescent="0.3">
      <c r="A4433">
        <v>4431</v>
      </c>
      <c r="B4433" s="1" t="s">
        <v>5832</v>
      </c>
      <c r="C4433" t="s">
        <v>172</v>
      </c>
      <c r="D4433" s="1" t="s">
        <v>5833</v>
      </c>
    </row>
    <row r="4434" spans="1:4" hidden="1" x14ac:dyDescent="0.3">
      <c r="A4434">
        <v>4432</v>
      </c>
      <c r="B4434" s="1" t="s">
        <v>5834</v>
      </c>
      <c r="C4434" t="s">
        <v>55</v>
      </c>
      <c r="D4434" s="1" t="s">
        <v>5835</v>
      </c>
    </row>
    <row r="4435" spans="1:4" hidden="1" x14ac:dyDescent="0.3">
      <c r="A4435">
        <v>4433</v>
      </c>
      <c r="B4435" s="1" t="s">
        <v>5836</v>
      </c>
      <c r="C4435" t="s">
        <v>52</v>
      </c>
      <c r="D4435" s="1" t="s">
        <v>5837</v>
      </c>
    </row>
    <row r="4436" spans="1:4" hidden="1" x14ac:dyDescent="0.3">
      <c r="A4436">
        <v>4434</v>
      </c>
      <c r="B4436" s="1" t="s">
        <v>5838</v>
      </c>
      <c r="C4436" t="s">
        <v>58</v>
      </c>
      <c r="D4436" s="1" t="s">
        <v>5839</v>
      </c>
    </row>
    <row r="4437" spans="1:4" hidden="1" x14ac:dyDescent="0.3">
      <c r="A4437">
        <v>4435</v>
      </c>
      <c r="B4437" t="s">
        <v>5840</v>
      </c>
      <c r="C4437" t="s">
        <v>61</v>
      </c>
      <c r="D4437">
        <v>145267378.10896501</v>
      </c>
    </row>
    <row r="4438" spans="1:4" hidden="1" x14ac:dyDescent="0.3">
      <c r="A4438">
        <v>4436</v>
      </c>
      <c r="B4438" t="s">
        <v>5841</v>
      </c>
      <c r="C4438" t="s">
        <v>63</v>
      </c>
      <c r="D4438">
        <v>76654370.753314003</v>
      </c>
    </row>
    <row r="4439" spans="1:4" hidden="1" x14ac:dyDescent="0.3">
      <c r="A4439">
        <v>4437</v>
      </c>
      <c r="B4439" t="s">
        <v>5842</v>
      </c>
      <c r="C4439" t="s">
        <v>65</v>
      </c>
      <c r="D4439">
        <v>39624266.270393498</v>
      </c>
    </row>
    <row r="4440" spans="1:4" hidden="1" x14ac:dyDescent="0.3">
      <c r="A4440">
        <v>4438</v>
      </c>
      <c r="B4440" s="1" t="s">
        <v>5843</v>
      </c>
      <c r="C4440" t="s">
        <v>67</v>
      </c>
      <c r="D4440" s="1" t="s">
        <v>5844</v>
      </c>
    </row>
    <row r="4441" spans="1:4" hidden="1" x14ac:dyDescent="0.3">
      <c r="A4441">
        <v>4439</v>
      </c>
      <c r="B4441" s="1" t="s">
        <v>5845</v>
      </c>
      <c r="C4441" t="s">
        <v>70</v>
      </c>
      <c r="D4441" s="1" t="s">
        <v>5846</v>
      </c>
    </row>
    <row r="4442" spans="1:4" hidden="1" x14ac:dyDescent="0.3">
      <c r="A4442">
        <v>4440</v>
      </c>
      <c r="B4442" t="s">
        <v>5847</v>
      </c>
      <c r="C4442" t="s">
        <v>73</v>
      </c>
      <c r="D4442">
        <v>1.00020389703331</v>
      </c>
    </row>
    <row r="4443" spans="1:4" hidden="1" x14ac:dyDescent="0.3">
      <c r="A4443">
        <v>4441</v>
      </c>
      <c r="B4443" t="s">
        <v>74</v>
      </c>
      <c r="C4443" t="s">
        <v>75</v>
      </c>
      <c r="D4443">
        <v>2.7397260273972599E-3</v>
      </c>
    </row>
    <row r="4444" spans="1:4" hidden="1" x14ac:dyDescent="0.3">
      <c r="A4444">
        <v>4442</v>
      </c>
      <c r="B4444" t="s">
        <v>76</v>
      </c>
      <c r="C4444" t="s">
        <v>77</v>
      </c>
      <c r="D4444">
        <v>0</v>
      </c>
    </row>
    <row r="4445" spans="1:4" hidden="1" x14ac:dyDescent="0.3">
      <c r="A4445">
        <v>4443</v>
      </c>
      <c r="B4445" t="s">
        <v>1459</v>
      </c>
      <c r="C4445" t="s">
        <v>79</v>
      </c>
      <c r="D4445" s="2">
        <v>-2.2204460492503101E-16</v>
      </c>
    </row>
    <row r="4446" spans="1:4" hidden="1" x14ac:dyDescent="0.3">
      <c r="A4446">
        <v>4444</v>
      </c>
      <c r="B4446" s="1" t="s">
        <v>5848</v>
      </c>
      <c r="C4446" t="s">
        <v>81</v>
      </c>
      <c r="D4446" s="1" t="s">
        <v>5849</v>
      </c>
    </row>
    <row r="4447" spans="1:4" hidden="1" x14ac:dyDescent="0.3">
      <c r="A4447">
        <v>4445</v>
      </c>
      <c r="B4447" t="s">
        <v>5850</v>
      </c>
      <c r="C4447" t="s">
        <v>84</v>
      </c>
      <c r="D4447">
        <v>1.00019506901985</v>
      </c>
    </row>
    <row r="4448" spans="1:4" hidden="1" x14ac:dyDescent="0.3">
      <c r="A4448">
        <v>4446</v>
      </c>
      <c r="B4448" s="1" t="s">
        <v>5851</v>
      </c>
      <c r="C4448" t="s">
        <v>86</v>
      </c>
      <c r="D4448" s="1" t="s">
        <v>5852</v>
      </c>
    </row>
    <row r="4449" spans="1:4" hidden="1" x14ac:dyDescent="0.3">
      <c r="A4449">
        <v>4447</v>
      </c>
      <c r="B4449" t="s">
        <v>5853</v>
      </c>
      <c r="C4449" t="s">
        <v>89</v>
      </c>
      <c r="D4449">
        <v>101170044.34206399</v>
      </c>
    </row>
    <row r="4450" spans="1:4" hidden="1" x14ac:dyDescent="0.3">
      <c r="A4450">
        <v>4448</v>
      </c>
      <c r="B4450" s="1" t="s">
        <v>5854</v>
      </c>
      <c r="C4450" t="s">
        <v>91</v>
      </c>
      <c r="D4450" s="1" t="s">
        <v>5788</v>
      </c>
    </row>
    <row r="4451" spans="1:4" hidden="1" x14ac:dyDescent="0.3">
      <c r="A4451">
        <v>4449</v>
      </c>
      <c r="B4451" t="s">
        <v>5855</v>
      </c>
      <c r="C4451" t="s">
        <v>94</v>
      </c>
      <c r="D4451">
        <v>76654370.753314003</v>
      </c>
    </row>
    <row r="4452" spans="1:4" hidden="1" x14ac:dyDescent="0.3">
      <c r="A4452">
        <v>4450</v>
      </c>
      <c r="B4452" t="s">
        <v>5856</v>
      </c>
      <c r="C4452" t="s">
        <v>96</v>
      </c>
      <c r="D4452">
        <v>39624266.270393498</v>
      </c>
    </row>
    <row r="4453" spans="1:4" hidden="1" x14ac:dyDescent="0.3">
      <c r="A4453">
        <v>4451</v>
      </c>
      <c r="B4453" t="s">
        <v>5857</v>
      </c>
      <c r="C4453" t="s">
        <v>98</v>
      </c>
      <c r="D4453">
        <v>28988741.0852575</v>
      </c>
    </row>
    <row r="4454" spans="1:4" hidden="1" x14ac:dyDescent="0.3">
      <c r="A4454">
        <v>4452</v>
      </c>
      <c r="B4454" s="1" t="s">
        <v>5858</v>
      </c>
      <c r="C4454" t="s">
        <v>100</v>
      </c>
      <c r="D4454" s="1" t="s">
        <v>5859</v>
      </c>
    </row>
    <row r="4455" spans="1:4" hidden="1" x14ac:dyDescent="0.3">
      <c r="A4455">
        <v>4453</v>
      </c>
      <c r="B4455" t="s">
        <v>5860</v>
      </c>
      <c r="C4455" t="s">
        <v>103</v>
      </c>
      <c r="D4455">
        <v>8.2914275710363004E-3</v>
      </c>
    </row>
    <row r="4456" spans="1:4" hidden="1" x14ac:dyDescent="0.3">
      <c r="A4456">
        <v>4454</v>
      </c>
      <c r="B4456" t="s">
        <v>5861</v>
      </c>
      <c r="C4456" t="s">
        <v>105</v>
      </c>
      <c r="D4456">
        <v>1.3898853352817999E-3</v>
      </c>
    </row>
    <row r="4457" spans="1:4" hidden="1" x14ac:dyDescent="0.3">
      <c r="A4457">
        <v>4455</v>
      </c>
      <c r="B4457" t="s">
        <v>5862</v>
      </c>
      <c r="C4457" t="s">
        <v>107</v>
      </c>
      <c r="D4457">
        <v>1.0578654142925499E-2</v>
      </c>
    </row>
    <row r="4458" spans="1:4" hidden="1" x14ac:dyDescent="0.3">
      <c r="A4458">
        <v>4456</v>
      </c>
      <c r="B4458" s="1" t="s">
        <v>5863</v>
      </c>
      <c r="C4458" t="s">
        <v>109</v>
      </c>
      <c r="D4458" s="1" t="s">
        <v>5864</v>
      </c>
    </row>
    <row r="4459" spans="1:4" x14ac:dyDescent="0.3">
      <c r="A4459">
        <v>4457</v>
      </c>
      <c r="B4459" t="s">
        <v>5865</v>
      </c>
      <c r="C4459" t="s">
        <v>207</v>
      </c>
      <c r="D4459">
        <v>145267069.973712</v>
      </c>
    </row>
    <row r="4460" spans="1:4" hidden="1" x14ac:dyDescent="0.3">
      <c r="A4460">
        <v>4458</v>
      </c>
      <c r="B4460" t="s">
        <v>5866</v>
      </c>
      <c r="C4460" t="s">
        <v>209</v>
      </c>
      <c r="D4460">
        <v>676.56578650896495</v>
      </c>
    </row>
    <row r="4461" spans="1:4" hidden="1" x14ac:dyDescent="0.3">
      <c r="A4461">
        <v>4459</v>
      </c>
      <c r="B4461" t="s">
        <v>5867</v>
      </c>
      <c r="C4461" t="s">
        <v>211</v>
      </c>
      <c r="D4461">
        <v>349.731835751689</v>
      </c>
    </row>
    <row r="4462" spans="1:4" hidden="1" x14ac:dyDescent="0.3">
      <c r="A4462">
        <v>4460</v>
      </c>
      <c r="B4462" s="1" t="s">
        <v>5868</v>
      </c>
      <c r="C4462" t="s">
        <v>213</v>
      </c>
      <c r="D4462" s="1" t="s">
        <v>5869</v>
      </c>
    </row>
    <row r="4463" spans="1:4" hidden="1" x14ac:dyDescent="0.3">
      <c r="A4463">
        <v>4461</v>
      </c>
      <c r="B4463" t="s">
        <v>5870</v>
      </c>
      <c r="C4463" t="s">
        <v>216</v>
      </c>
      <c r="D4463">
        <v>76653458.544954598</v>
      </c>
    </row>
    <row r="4464" spans="1:4" hidden="1" x14ac:dyDescent="0.3">
      <c r="A4464">
        <v>4462</v>
      </c>
      <c r="B4464" t="s">
        <v>5871</v>
      </c>
      <c r="C4464" t="s">
        <v>218</v>
      </c>
      <c r="D4464">
        <v>39623870.003789701</v>
      </c>
    </row>
    <row r="4465" spans="1:4" hidden="1" x14ac:dyDescent="0.3">
      <c r="A4465">
        <v>4463</v>
      </c>
      <c r="B4465" t="s">
        <v>5872</v>
      </c>
      <c r="C4465" t="s">
        <v>220</v>
      </c>
      <c r="D4465">
        <v>28988459.2667473</v>
      </c>
    </row>
    <row r="4466" spans="1:4" hidden="1" x14ac:dyDescent="0.3">
      <c r="A4466">
        <v>4464</v>
      </c>
      <c r="B4466" s="1" t="s">
        <v>5873</v>
      </c>
      <c r="C4466" t="s">
        <v>222</v>
      </c>
      <c r="D4466" s="1" t="s">
        <v>5874</v>
      </c>
    </row>
    <row r="4467" spans="1:4" hidden="1" x14ac:dyDescent="0.3">
      <c r="A4467">
        <v>4465</v>
      </c>
      <c r="B4467" t="s">
        <v>5875</v>
      </c>
      <c r="C4467" t="s">
        <v>225</v>
      </c>
      <c r="D4467">
        <v>101169151.393621</v>
      </c>
    </row>
    <row r="4468" spans="1:4" hidden="1" x14ac:dyDescent="0.3">
      <c r="A4468">
        <v>4466</v>
      </c>
      <c r="B4468" t="s">
        <v>5876</v>
      </c>
      <c r="C4468" t="s">
        <v>227</v>
      </c>
      <c r="D4468">
        <v>892.948443323373</v>
      </c>
    </row>
    <row r="4469" spans="1:4" hidden="1" x14ac:dyDescent="0.3">
      <c r="A4469">
        <v>4467</v>
      </c>
      <c r="B4469" s="1" t="s">
        <v>5877</v>
      </c>
      <c r="C4469" t="s">
        <v>229</v>
      </c>
      <c r="D4469" s="1" t="s">
        <v>5878</v>
      </c>
    </row>
    <row r="4470" spans="1:4" hidden="1" x14ac:dyDescent="0.3">
      <c r="A4470">
        <v>4468</v>
      </c>
      <c r="B4470" t="s">
        <v>5879</v>
      </c>
      <c r="C4470" t="s">
        <v>112</v>
      </c>
      <c r="D4470">
        <v>-235.642572879374</v>
      </c>
    </row>
    <row r="4471" spans="1:4" hidden="1" x14ac:dyDescent="0.3">
      <c r="A4471">
        <v>4469</v>
      </c>
      <c r="B4471" t="s">
        <v>5880</v>
      </c>
      <c r="C4471" t="s">
        <v>114</v>
      </c>
      <c r="D4471">
        <v>-46.534767997098797</v>
      </c>
    </row>
    <row r="4472" spans="1:4" hidden="1" x14ac:dyDescent="0.3">
      <c r="A4472">
        <v>4470</v>
      </c>
      <c r="B4472" s="1" t="s">
        <v>5881</v>
      </c>
      <c r="C4472" t="s">
        <v>116</v>
      </c>
      <c r="D4472" s="1" t="s">
        <v>5882</v>
      </c>
    </row>
    <row r="4473" spans="1:4" hidden="1" x14ac:dyDescent="0.3">
      <c r="A4473">
        <v>4471</v>
      </c>
      <c r="B4473" t="s">
        <v>5883</v>
      </c>
      <c r="C4473" t="s">
        <v>119</v>
      </c>
      <c r="D4473">
        <v>76653458.544954598</v>
      </c>
    </row>
    <row r="4474" spans="1:4" hidden="1" x14ac:dyDescent="0.3">
      <c r="A4474">
        <v>4472</v>
      </c>
      <c r="B4474" t="s">
        <v>5884</v>
      </c>
      <c r="C4474" t="s">
        <v>121</v>
      </c>
      <c r="D4474">
        <v>39623870.003789701</v>
      </c>
    </row>
    <row r="4475" spans="1:4" hidden="1" x14ac:dyDescent="0.3">
      <c r="A4475">
        <v>4473</v>
      </c>
      <c r="B4475" s="1" t="s">
        <v>5885</v>
      </c>
      <c r="C4475" t="s">
        <v>123</v>
      </c>
      <c r="D4475" s="1" t="s">
        <v>5886</v>
      </c>
    </row>
    <row r="4476" spans="1:4" hidden="1" x14ac:dyDescent="0.3">
      <c r="A4476">
        <v>4474</v>
      </c>
      <c r="B4476" t="s">
        <v>5887</v>
      </c>
      <c r="C4476" t="s">
        <v>126</v>
      </c>
      <c r="D4476">
        <v>0.75752843322754204</v>
      </c>
    </row>
    <row r="4477" spans="1:4" hidden="1" x14ac:dyDescent="0.3">
      <c r="A4477">
        <v>4475</v>
      </c>
      <c r="B4477" t="s">
        <v>5888</v>
      </c>
      <c r="C4477" t="s">
        <v>128</v>
      </c>
      <c r="D4477">
        <v>0.39158322053765099</v>
      </c>
    </row>
    <row r="4478" spans="1:4" hidden="1" x14ac:dyDescent="0.3">
      <c r="A4478">
        <v>4476</v>
      </c>
      <c r="B4478" s="1" t="s">
        <v>5889</v>
      </c>
      <c r="C4478" t="s">
        <v>130</v>
      </c>
      <c r="D4478" s="1" t="s">
        <v>5890</v>
      </c>
    </row>
    <row r="4479" spans="1:4" hidden="1" x14ac:dyDescent="0.3">
      <c r="A4479">
        <v>4477</v>
      </c>
      <c r="B4479" s="1" t="s">
        <v>5891</v>
      </c>
      <c r="C4479" t="s">
        <v>4</v>
      </c>
      <c r="D4479" t="s">
        <v>5892</v>
      </c>
    </row>
    <row r="4480" spans="1:4" hidden="1" x14ac:dyDescent="0.3">
      <c r="A4480">
        <v>4478</v>
      </c>
      <c r="B4480" t="s">
        <v>5893</v>
      </c>
      <c r="C4480" t="s">
        <v>7</v>
      </c>
      <c r="D4480">
        <v>1787.45</v>
      </c>
    </row>
    <row r="4481" spans="1:4" hidden="1" x14ac:dyDescent="0.3">
      <c r="A4481">
        <v>4479</v>
      </c>
      <c r="B4481" s="1" t="s">
        <v>5894</v>
      </c>
      <c r="C4481" t="s">
        <v>9</v>
      </c>
      <c r="D4481" s="1" t="s">
        <v>5895</v>
      </c>
    </row>
    <row r="4482" spans="1:4" hidden="1" x14ac:dyDescent="0.3">
      <c r="A4482">
        <v>4480</v>
      </c>
      <c r="B4482" t="s">
        <v>5896</v>
      </c>
      <c r="C4482" t="s">
        <v>14</v>
      </c>
      <c r="D4482">
        <v>98.6640625</v>
      </c>
    </row>
    <row r="4483" spans="1:4" hidden="1" x14ac:dyDescent="0.3">
      <c r="A4483">
        <v>4481</v>
      </c>
      <c r="B4483" t="s">
        <v>5897</v>
      </c>
      <c r="C4483" t="s">
        <v>16</v>
      </c>
      <c r="D4483">
        <v>4.3998088402504001</v>
      </c>
    </row>
    <row r="4484" spans="1:4" hidden="1" x14ac:dyDescent="0.3">
      <c r="A4484">
        <v>4482</v>
      </c>
      <c r="B4484" s="1" t="s">
        <v>5898</v>
      </c>
      <c r="C4484" t="s">
        <v>140</v>
      </c>
      <c r="D4484" s="1" t="s">
        <v>5899</v>
      </c>
    </row>
    <row r="4485" spans="1:4" hidden="1" x14ac:dyDescent="0.3">
      <c r="A4485">
        <v>4483</v>
      </c>
      <c r="B4485" t="s">
        <v>5900</v>
      </c>
      <c r="C4485" t="s">
        <v>22</v>
      </c>
      <c r="D4485">
        <v>73.3</v>
      </c>
    </row>
    <row r="4486" spans="1:4" hidden="1" x14ac:dyDescent="0.3">
      <c r="A4486">
        <v>4484</v>
      </c>
      <c r="B4486" t="s">
        <v>5901</v>
      </c>
      <c r="C4486" t="s">
        <v>24</v>
      </c>
      <c r="D4486">
        <v>6.5182592833425703</v>
      </c>
    </row>
    <row r="4487" spans="1:4" hidden="1" x14ac:dyDescent="0.3">
      <c r="A4487">
        <v>4485</v>
      </c>
      <c r="B4487" s="1" t="s">
        <v>5902</v>
      </c>
      <c r="C4487" t="s">
        <v>145</v>
      </c>
      <c r="D4487" s="1" t="s">
        <v>5903</v>
      </c>
    </row>
    <row r="4488" spans="1:4" hidden="1" x14ac:dyDescent="0.3">
      <c r="A4488">
        <v>4486</v>
      </c>
      <c r="B4488" t="s">
        <v>5904</v>
      </c>
      <c r="C4488" t="s">
        <v>35</v>
      </c>
      <c r="D4488">
        <v>-1.4267365226678701</v>
      </c>
    </row>
    <row r="4489" spans="1:4" hidden="1" x14ac:dyDescent="0.3">
      <c r="A4489">
        <v>4487</v>
      </c>
      <c r="B4489" t="s">
        <v>5905</v>
      </c>
      <c r="C4489" t="s">
        <v>149</v>
      </c>
      <c r="D4489">
        <v>0.73497622369825499</v>
      </c>
    </row>
    <row r="4490" spans="1:4" hidden="1" x14ac:dyDescent="0.3">
      <c r="A4490">
        <v>4488</v>
      </c>
      <c r="B4490" s="1" t="s">
        <v>5906</v>
      </c>
      <c r="C4490" t="s">
        <v>151</v>
      </c>
      <c r="D4490" s="1" t="s">
        <v>5907</v>
      </c>
    </row>
    <row r="4491" spans="1:4" hidden="1" x14ac:dyDescent="0.3">
      <c r="A4491">
        <v>4489</v>
      </c>
      <c r="B4491" t="s">
        <v>5908</v>
      </c>
      <c r="C4491" t="s">
        <v>30</v>
      </c>
      <c r="D4491">
        <v>0.95936639967468196</v>
      </c>
    </row>
    <row r="4492" spans="1:4" hidden="1" x14ac:dyDescent="0.3">
      <c r="A4492">
        <v>4490</v>
      </c>
      <c r="B4492" t="s">
        <v>5909</v>
      </c>
      <c r="C4492" t="s">
        <v>32</v>
      </c>
      <c r="D4492">
        <v>0.18680511000195801</v>
      </c>
    </row>
    <row r="4493" spans="1:4" hidden="1" x14ac:dyDescent="0.3">
      <c r="A4493">
        <v>4491</v>
      </c>
      <c r="B4493" s="1" t="s">
        <v>5910</v>
      </c>
      <c r="C4493" t="s">
        <v>155</v>
      </c>
      <c r="D4493" s="1" t="s">
        <v>5911</v>
      </c>
    </row>
    <row r="4494" spans="1:4" hidden="1" x14ac:dyDescent="0.3">
      <c r="A4494">
        <v>4492</v>
      </c>
      <c r="B4494" t="s">
        <v>5912</v>
      </c>
      <c r="C4494" t="s">
        <v>40</v>
      </c>
      <c r="D4494">
        <v>1.4673701229931799</v>
      </c>
    </row>
    <row r="4495" spans="1:4" hidden="1" x14ac:dyDescent="0.3">
      <c r="A4495">
        <v>4493</v>
      </c>
      <c r="B4495" t="s">
        <v>5913</v>
      </c>
      <c r="C4495" t="s">
        <v>42</v>
      </c>
      <c r="D4495">
        <v>0.17378312095903301</v>
      </c>
    </row>
    <row r="4496" spans="1:4" hidden="1" x14ac:dyDescent="0.3">
      <c r="A4496">
        <v>4494</v>
      </c>
      <c r="B4496" s="1" t="s">
        <v>5914</v>
      </c>
      <c r="C4496" t="s">
        <v>159</v>
      </c>
      <c r="D4496" s="1" t="s">
        <v>5915</v>
      </c>
    </row>
    <row r="4497" spans="1:4" hidden="1" x14ac:dyDescent="0.3">
      <c r="A4497">
        <v>4495</v>
      </c>
      <c r="B4497" t="s">
        <v>5916</v>
      </c>
      <c r="C4497" t="s">
        <v>161</v>
      </c>
      <c r="D4497">
        <v>1.00433209345185</v>
      </c>
    </row>
    <row r="4498" spans="1:4" hidden="1" x14ac:dyDescent="0.3">
      <c r="A4498">
        <v>4496</v>
      </c>
      <c r="B4498" t="s">
        <v>5917</v>
      </c>
      <c r="C4498" t="s">
        <v>163</v>
      </c>
      <c r="D4498">
        <v>1.0003261595275501</v>
      </c>
    </row>
    <row r="4499" spans="1:4" hidden="1" x14ac:dyDescent="0.3">
      <c r="A4499">
        <v>4497</v>
      </c>
      <c r="B4499" s="1" t="s">
        <v>5918</v>
      </c>
      <c r="C4499" t="s">
        <v>165</v>
      </c>
      <c r="D4499" s="1" t="s">
        <v>5919</v>
      </c>
    </row>
    <row r="4500" spans="1:4" hidden="1" x14ac:dyDescent="0.3">
      <c r="A4500">
        <v>4498</v>
      </c>
      <c r="B4500" t="s">
        <v>5920</v>
      </c>
      <c r="C4500" t="s">
        <v>168</v>
      </c>
      <c r="D4500">
        <v>1.0004738305344001</v>
      </c>
    </row>
    <row r="4501" spans="1:4" hidden="1" x14ac:dyDescent="0.3">
      <c r="A4501">
        <v>4499</v>
      </c>
      <c r="B4501" t="s">
        <v>5921</v>
      </c>
      <c r="C4501" t="s">
        <v>170</v>
      </c>
      <c r="D4501">
        <v>0.99800506150599699</v>
      </c>
    </row>
    <row r="4502" spans="1:4" hidden="1" x14ac:dyDescent="0.3">
      <c r="A4502">
        <v>4500</v>
      </c>
      <c r="B4502" s="1" t="s">
        <v>5922</v>
      </c>
      <c r="C4502" t="s">
        <v>172</v>
      </c>
      <c r="D4502" s="1" t="s">
        <v>5923</v>
      </c>
    </row>
    <row r="4503" spans="1:4" hidden="1" x14ac:dyDescent="0.3">
      <c r="A4503">
        <v>4501</v>
      </c>
      <c r="B4503" s="1" t="s">
        <v>5924</v>
      </c>
      <c r="C4503" t="s">
        <v>55</v>
      </c>
      <c r="D4503" s="1" t="s">
        <v>5925</v>
      </c>
    </row>
    <row r="4504" spans="1:4" hidden="1" x14ac:dyDescent="0.3">
      <c r="A4504">
        <v>4502</v>
      </c>
      <c r="B4504" s="1" t="s">
        <v>5926</v>
      </c>
      <c r="C4504" t="s">
        <v>52</v>
      </c>
      <c r="D4504" s="1" t="s">
        <v>5927</v>
      </c>
    </row>
    <row r="4505" spans="1:4" hidden="1" x14ac:dyDescent="0.3">
      <c r="A4505">
        <v>4503</v>
      </c>
      <c r="B4505" s="1" t="s">
        <v>5928</v>
      </c>
      <c r="C4505" t="s">
        <v>58</v>
      </c>
      <c r="D4505" s="1" t="s">
        <v>5929</v>
      </c>
    </row>
    <row r="4506" spans="1:4" hidden="1" x14ac:dyDescent="0.3">
      <c r="A4506">
        <v>4504</v>
      </c>
      <c r="B4506" t="s">
        <v>5930</v>
      </c>
      <c r="C4506" t="s">
        <v>61</v>
      </c>
      <c r="D4506">
        <v>145741891.401775</v>
      </c>
    </row>
    <row r="4507" spans="1:4" hidden="1" x14ac:dyDescent="0.3">
      <c r="A4507">
        <v>4505</v>
      </c>
      <c r="B4507" t="s">
        <v>5931</v>
      </c>
      <c r="C4507" t="s">
        <v>63</v>
      </c>
      <c r="D4507">
        <v>76985528.490778998</v>
      </c>
    </row>
    <row r="4508" spans="1:4" hidden="1" x14ac:dyDescent="0.3">
      <c r="A4508">
        <v>4506</v>
      </c>
      <c r="B4508" t="s">
        <v>5932</v>
      </c>
      <c r="C4508" t="s">
        <v>65</v>
      </c>
      <c r="D4508">
        <v>39636793.70651</v>
      </c>
    </row>
    <row r="4509" spans="1:4" hidden="1" x14ac:dyDescent="0.3">
      <c r="A4509">
        <v>4507</v>
      </c>
      <c r="B4509" s="1" t="s">
        <v>5933</v>
      </c>
      <c r="C4509" t="s">
        <v>67</v>
      </c>
      <c r="D4509" s="1" t="s">
        <v>5934</v>
      </c>
    </row>
    <row r="4510" spans="1:4" hidden="1" x14ac:dyDescent="0.3">
      <c r="A4510">
        <v>4508</v>
      </c>
      <c r="B4510" s="1" t="s">
        <v>5935</v>
      </c>
      <c r="C4510" t="s">
        <v>70</v>
      </c>
      <c r="D4510" s="1" t="s">
        <v>5936</v>
      </c>
    </row>
    <row r="4511" spans="1:4" hidden="1" x14ac:dyDescent="0.3">
      <c r="A4511">
        <v>4509</v>
      </c>
      <c r="B4511" t="s">
        <v>5937</v>
      </c>
      <c r="C4511" t="s">
        <v>73</v>
      </c>
      <c r="D4511">
        <v>1.00019506901985</v>
      </c>
    </row>
    <row r="4512" spans="1:4" hidden="1" x14ac:dyDescent="0.3">
      <c r="A4512">
        <v>4510</v>
      </c>
      <c r="B4512" t="s">
        <v>74</v>
      </c>
      <c r="C4512" t="s">
        <v>75</v>
      </c>
      <c r="D4512">
        <v>2.7397260273972599E-3</v>
      </c>
    </row>
    <row r="4513" spans="1:4" hidden="1" x14ac:dyDescent="0.3">
      <c r="A4513">
        <v>4511</v>
      </c>
      <c r="B4513" t="s">
        <v>76</v>
      </c>
      <c r="C4513" t="s">
        <v>77</v>
      </c>
      <c r="D4513">
        <v>0</v>
      </c>
    </row>
    <row r="4514" spans="1:4" hidden="1" x14ac:dyDescent="0.3">
      <c r="A4514">
        <v>4512</v>
      </c>
      <c r="B4514" t="s">
        <v>1459</v>
      </c>
      <c r="C4514" t="s">
        <v>79</v>
      </c>
      <c r="D4514" s="2">
        <v>-2.2204460492503101E-16</v>
      </c>
    </row>
    <row r="4515" spans="1:4" hidden="1" x14ac:dyDescent="0.3">
      <c r="A4515">
        <v>4513</v>
      </c>
      <c r="B4515" s="1" t="s">
        <v>5938</v>
      </c>
      <c r="C4515" t="s">
        <v>81</v>
      </c>
      <c r="D4515" s="1" t="s">
        <v>5939</v>
      </c>
    </row>
    <row r="4516" spans="1:4" hidden="1" x14ac:dyDescent="0.3">
      <c r="A4516">
        <v>4514</v>
      </c>
      <c r="B4516" t="s">
        <v>5940</v>
      </c>
      <c r="C4516" t="s">
        <v>84</v>
      </c>
      <c r="D4516">
        <v>1.00017583347074</v>
      </c>
    </row>
    <row r="4517" spans="1:4" hidden="1" x14ac:dyDescent="0.3">
      <c r="A4517">
        <v>4515</v>
      </c>
      <c r="B4517" s="1" t="s">
        <v>5941</v>
      </c>
      <c r="C4517" t="s">
        <v>86</v>
      </c>
      <c r="D4517" s="1" t="s">
        <v>5942</v>
      </c>
    </row>
    <row r="4518" spans="1:4" hidden="1" x14ac:dyDescent="0.3">
      <c r="A4518">
        <v>4516</v>
      </c>
      <c r="B4518" t="s">
        <v>5943</v>
      </c>
      <c r="C4518" t="s">
        <v>89</v>
      </c>
      <c r="D4518">
        <v>101171990.061298</v>
      </c>
    </row>
    <row r="4519" spans="1:4" hidden="1" x14ac:dyDescent="0.3">
      <c r="A4519">
        <v>4517</v>
      </c>
      <c r="B4519" s="1" t="s">
        <v>5944</v>
      </c>
      <c r="C4519" t="s">
        <v>91</v>
      </c>
      <c r="D4519" s="1" t="s">
        <v>5878</v>
      </c>
    </row>
    <row r="4520" spans="1:4" hidden="1" x14ac:dyDescent="0.3">
      <c r="A4520">
        <v>4518</v>
      </c>
      <c r="B4520" t="s">
        <v>5945</v>
      </c>
      <c r="C4520" t="s">
        <v>94</v>
      </c>
      <c r="D4520">
        <v>76985528.490778998</v>
      </c>
    </row>
    <row r="4521" spans="1:4" hidden="1" x14ac:dyDescent="0.3">
      <c r="A4521">
        <v>4519</v>
      </c>
      <c r="B4521" t="s">
        <v>5946</v>
      </c>
      <c r="C4521" t="s">
        <v>96</v>
      </c>
      <c r="D4521">
        <v>39636793.70651</v>
      </c>
    </row>
    <row r="4522" spans="1:4" hidden="1" x14ac:dyDescent="0.3">
      <c r="A4522">
        <v>4520</v>
      </c>
      <c r="B4522" t="s">
        <v>5947</v>
      </c>
      <c r="C4522" t="s">
        <v>98</v>
      </c>
      <c r="D4522">
        <v>29119569.204486299</v>
      </c>
    </row>
    <row r="4523" spans="1:4" hidden="1" x14ac:dyDescent="0.3">
      <c r="A4523">
        <v>4521</v>
      </c>
      <c r="B4523" s="1" t="s">
        <v>5948</v>
      </c>
      <c r="C4523" t="s">
        <v>100</v>
      </c>
      <c r="D4523" s="1" t="s">
        <v>5949</v>
      </c>
    </row>
    <row r="4524" spans="1:4" hidden="1" x14ac:dyDescent="0.3">
      <c r="A4524">
        <v>4522</v>
      </c>
      <c r="B4524" t="s">
        <v>5950</v>
      </c>
      <c r="C4524" t="s">
        <v>103</v>
      </c>
      <c r="D4524">
        <v>8.39346882669228E-3</v>
      </c>
    </row>
    <row r="4525" spans="1:4" hidden="1" x14ac:dyDescent="0.3">
      <c r="A4525">
        <v>4523</v>
      </c>
      <c r="B4525" t="s">
        <v>5951</v>
      </c>
      <c r="C4525" t="s">
        <v>105</v>
      </c>
      <c r="D4525">
        <v>1.3819867147387801E-3</v>
      </c>
    </row>
    <row r="4526" spans="1:4" hidden="1" x14ac:dyDescent="0.3">
      <c r="A4526">
        <v>4524</v>
      </c>
      <c r="B4526" t="s">
        <v>5952</v>
      </c>
      <c r="C4526" t="s">
        <v>107</v>
      </c>
      <c r="D4526">
        <v>1.05881743944354E-2</v>
      </c>
    </row>
    <row r="4527" spans="1:4" hidden="1" x14ac:dyDescent="0.3">
      <c r="A4527">
        <v>4525</v>
      </c>
      <c r="B4527" s="1" t="s">
        <v>5953</v>
      </c>
      <c r="C4527" t="s">
        <v>109</v>
      </c>
      <c r="D4527" s="1" t="s">
        <v>5954</v>
      </c>
    </row>
    <row r="4528" spans="1:4" x14ac:dyDescent="0.3">
      <c r="A4528">
        <v>4526</v>
      </c>
      <c r="B4528" t="s">
        <v>5955</v>
      </c>
      <c r="C4528" t="s">
        <v>207</v>
      </c>
      <c r="D4528">
        <v>145741218.748959</v>
      </c>
    </row>
    <row r="4529" spans="1:4" hidden="1" x14ac:dyDescent="0.3">
      <c r="A4529">
        <v>4527</v>
      </c>
      <c r="B4529" t="s">
        <v>5956</v>
      </c>
      <c r="C4529" t="s">
        <v>209</v>
      </c>
      <c r="D4529">
        <v>1480.5606091157699</v>
      </c>
    </row>
    <row r="4530" spans="1:4" hidden="1" x14ac:dyDescent="0.3">
      <c r="A4530">
        <v>4528</v>
      </c>
      <c r="B4530" t="s">
        <v>5957</v>
      </c>
      <c r="C4530" t="s">
        <v>211</v>
      </c>
      <c r="D4530">
        <v>762.284838201551</v>
      </c>
    </row>
    <row r="4531" spans="1:4" hidden="1" x14ac:dyDescent="0.3">
      <c r="A4531">
        <v>4529</v>
      </c>
      <c r="B4531" s="1" t="s">
        <v>5958</v>
      </c>
      <c r="C4531" t="s">
        <v>213</v>
      </c>
      <c r="D4531" s="1" t="s">
        <v>5959</v>
      </c>
    </row>
    <row r="4532" spans="1:4" hidden="1" x14ac:dyDescent="0.3">
      <c r="A4532">
        <v>4530</v>
      </c>
      <c r="B4532" t="s">
        <v>5960</v>
      </c>
      <c r="C4532" t="s">
        <v>216</v>
      </c>
      <c r="D4532">
        <v>76983554.388889998</v>
      </c>
    </row>
    <row r="4533" spans="1:4" hidden="1" x14ac:dyDescent="0.3">
      <c r="A4533">
        <v>4531</v>
      </c>
      <c r="B4533" t="s">
        <v>5961</v>
      </c>
      <c r="C4533" t="s">
        <v>218</v>
      </c>
      <c r="D4533">
        <v>39635929.755393498</v>
      </c>
    </row>
    <row r="4534" spans="1:4" hidden="1" x14ac:dyDescent="0.3">
      <c r="A4534">
        <v>4532</v>
      </c>
      <c r="B4534" t="s">
        <v>5962</v>
      </c>
      <c r="C4534" t="s">
        <v>220</v>
      </c>
      <c r="D4534">
        <v>29118931.739057101</v>
      </c>
    </row>
    <row r="4535" spans="1:4" hidden="1" x14ac:dyDescent="0.3">
      <c r="A4535">
        <v>4533</v>
      </c>
      <c r="B4535" s="1" t="s">
        <v>5963</v>
      </c>
      <c r="C4535" t="s">
        <v>222</v>
      </c>
      <c r="D4535" s="1" t="s">
        <v>5964</v>
      </c>
    </row>
    <row r="4536" spans="1:4" hidden="1" x14ac:dyDescent="0.3">
      <c r="A4536">
        <v>4534</v>
      </c>
      <c r="B4536" t="s">
        <v>5965</v>
      </c>
      <c r="C4536" t="s">
        <v>225</v>
      </c>
      <c r="D4536">
        <v>101170044.34206399</v>
      </c>
    </row>
    <row r="4537" spans="1:4" hidden="1" x14ac:dyDescent="0.3">
      <c r="A4537">
        <v>4535</v>
      </c>
      <c r="B4537" t="s">
        <v>5966</v>
      </c>
      <c r="C4537" t="s">
        <v>227</v>
      </c>
      <c r="D4537">
        <v>1945.7192339897099</v>
      </c>
    </row>
    <row r="4538" spans="1:4" hidden="1" x14ac:dyDescent="0.3">
      <c r="A4538">
        <v>4536</v>
      </c>
      <c r="B4538" s="1" t="s">
        <v>5967</v>
      </c>
      <c r="C4538" t="s">
        <v>229</v>
      </c>
      <c r="D4538" s="1" t="s">
        <v>5968</v>
      </c>
    </row>
    <row r="4539" spans="1:4" hidden="1" x14ac:dyDescent="0.3">
      <c r="A4539">
        <v>4537</v>
      </c>
      <c r="B4539" t="s">
        <v>5969</v>
      </c>
      <c r="C4539" t="s">
        <v>112</v>
      </c>
      <c r="D4539">
        <v>-493.541279892582</v>
      </c>
    </row>
    <row r="4540" spans="1:4" hidden="1" x14ac:dyDescent="0.3">
      <c r="A4540">
        <v>4538</v>
      </c>
      <c r="B4540" t="s">
        <v>5970</v>
      </c>
      <c r="C4540" t="s">
        <v>114</v>
      </c>
      <c r="D4540">
        <v>-101.666278266925</v>
      </c>
    </row>
    <row r="4541" spans="1:4" hidden="1" x14ac:dyDescent="0.3">
      <c r="A4541">
        <v>4539</v>
      </c>
      <c r="B4541" s="1" t="s">
        <v>5971</v>
      </c>
      <c r="C4541" t="s">
        <v>116</v>
      </c>
      <c r="D4541" s="1" t="s">
        <v>5972</v>
      </c>
    </row>
    <row r="4542" spans="1:4" hidden="1" x14ac:dyDescent="0.3">
      <c r="A4542">
        <v>4540</v>
      </c>
      <c r="B4542" t="s">
        <v>5973</v>
      </c>
      <c r="C4542" t="s">
        <v>119</v>
      </c>
      <c r="D4542">
        <v>76983554.388889998</v>
      </c>
    </row>
    <row r="4543" spans="1:4" hidden="1" x14ac:dyDescent="0.3">
      <c r="A4543">
        <v>4541</v>
      </c>
      <c r="B4543" t="s">
        <v>5974</v>
      </c>
      <c r="C4543" t="s">
        <v>121</v>
      </c>
      <c r="D4543">
        <v>39635929.755393498</v>
      </c>
    </row>
    <row r="4544" spans="1:4" hidden="1" x14ac:dyDescent="0.3">
      <c r="A4544">
        <v>4542</v>
      </c>
      <c r="B4544" s="1" t="s">
        <v>5975</v>
      </c>
      <c r="C4544" t="s">
        <v>123</v>
      </c>
      <c r="D4544" s="1" t="s">
        <v>5976</v>
      </c>
    </row>
    <row r="4545" spans="1:4" hidden="1" x14ac:dyDescent="0.3">
      <c r="A4545">
        <v>4543</v>
      </c>
      <c r="B4545" t="s">
        <v>5977</v>
      </c>
      <c r="C4545" t="s">
        <v>126</v>
      </c>
      <c r="D4545">
        <v>0.76079852473724996</v>
      </c>
    </row>
    <row r="4546" spans="1:4" hidden="1" x14ac:dyDescent="0.3">
      <c r="A4546">
        <v>4544</v>
      </c>
      <c r="B4546" t="s">
        <v>5978</v>
      </c>
      <c r="C4546" t="s">
        <v>128</v>
      </c>
      <c r="D4546">
        <v>0.39170647710239398</v>
      </c>
    </row>
    <row r="4547" spans="1:4" hidden="1" x14ac:dyDescent="0.3">
      <c r="A4547">
        <v>4545</v>
      </c>
      <c r="B4547" s="1" t="s">
        <v>5979</v>
      </c>
      <c r="C4547" t="s">
        <v>130</v>
      </c>
      <c r="D4547" s="1" t="s">
        <v>5980</v>
      </c>
    </row>
    <row r="4548" spans="1:4" hidden="1" x14ac:dyDescent="0.3">
      <c r="A4548">
        <v>4546</v>
      </c>
      <c r="B4548" s="1" t="s">
        <v>5981</v>
      </c>
      <c r="C4548" t="s">
        <v>4</v>
      </c>
      <c r="D4548" t="s">
        <v>5982</v>
      </c>
    </row>
    <row r="4549" spans="1:4" hidden="1" x14ac:dyDescent="0.3">
      <c r="A4549">
        <v>4547</v>
      </c>
      <c r="B4549" t="s">
        <v>5983</v>
      </c>
      <c r="C4549" t="s">
        <v>7</v>
      </c>
      <c r="D4549">
        <v>1786.19</v>
      </c>
    </row>
    <row r="4550" spans="1:4" hidden="1" x14ac:dyDescent="0.3">
      <c r="A4550">
        <v>4548</v>
      </c>
      <c r="B4550" s="1" t="s">
        <v>5984</v>
      </c>
      <c r="C4550" t="s">
        <v>9</v>
      </c>
      <c r="D4550" s="1" t="s">
        <v>5985</v>
      </c>
    </row>
    <row r="4551" spans="1:4" hidden="1" x14ac:dyDescent="0.3">
      <c r="A4551">
        <v>4549</v>
      </c>
      <c r="B4551" t="s">
        <v>5986</v>
      </c>
      <c r="C4551" t="s">
        <v>14</v>
      </c>
      <c r="D4551">
        <v>98.6484375</v>
      </c>
    </row>
    <row r="4552" spans="1:4" hidden="1" x14ac:dyDescent="0.3">
      <c r="A4552">
        <v>4550</v>
      </c>
      <c r="B4552" t="s">
        <v>5987</v>
      </c>
      <c r="C4552" t="s">
        <v>16</v>
      </c>
      <c r="D4552">
        <v>4.3998246809293597</v>
      </c>
    </row>
    <row r="4553" spans="1:4" hidden="1" x14ac:dyDescent="0.3">
      <c r="A4553">
        <v>4551</v>
      </c>
      <c r="B4553" s="1" t="s">
        <v>5988</v>
      </c>
      <c r="C4553" t="s">
        <v>140</v>
      </c>
      <c r="D4553" s="1" t="s">
        <v>5989</v>
      </c>
    </row>
    <row r="4554" spans="1:4" hidden="1" x14ac:dyDescent="0.3">
      <c r="A4554">
        <v>4552</v>
      </c>
      <c r="B4554" t="s">
        <v>5990</v>
      </c>
      <c r="C4554" t="s">
        <v>22</v>
      </c>
      <c r="D4554">
        <v>73.25</v>
      </c>
    </row>
    <row r="4555" spans="1:4" hidden="1" x14ac:dyDescent="0.3">
      <c r="A4555">
        <v>4553</v>
      </c>
      <c r="B4555" t="s">
        <v>5991</v>
      </c>
      <c r="C4555" t="s">
        <v>24</v>
      </c>
      <c r="D4555">
        <v>6.5293890957129497</v>
      </c>
    </row>
    <row r="4556" spans="1:4" hidden="1" x14ac:dyDescent="0.3">
      <c r="A4556">
        <v>4554</v>
      </c>
      <c r="B4556" s="1" t="s">
        <v>5992</v>
      </c>
      <c r="C4556" t="s">
        <v>145</v>
      </c>
      <c r="D4556" s="1" t="s">
        <v>5993</v>
      </c>
    </row>
    <row r="4557" spans="1:4" hidden="1" x14ac:dyDescent="0.3">
      <c r="A4557">
        <v>4555</v>
      </c>
      <c r="B4557" t="s">
        <v>5994</v>
      </c>
      <c r="C4557" t="s">
        <v>35</v>
      </c>
      <c r="D4557">
        <v>-0.66746148959502505</v>
      </c>
    </row>
    <row r="4558" spans="1:4" hidden="1" x14ac:dyDescent="0.3">
      <c r="A4558">
        <v>4556</v>
      </c>
      <c r="B4558" t="s">
        <v>5995</v>
      </c>
      <c r="C4558" t="s">
        <v>149</v>
      </c>
      <c r="D4558">
        <v>0.74182783921444995</v>
      </c>
    </row>
    <row r="4559" spans="1:4" hidden="1" x14ac:dyDescent="0.3">
      <c r="A4559">
        <v>4557</v>
      </c>
      <c r="B4559" s="1" t="s">
        <v>5996</v>
      </c>
      <c r="C4559" t="s">
        <v>151</v>
      </c>
      <c r="D4559" s="1" t="s">
        <v>5997</v>
      </c>
    </row>
    <row r="4560" spans="1:4" hidden="1" x14ac:dyDescent="0.3">
      <c r="A4560">
        <v>4558</v>
      </c>
      <c r="B4560" t="s">
        <v>5998</v>
      </c>
      <c r="C4560" t="s">
        <v>30</v>
      </c>
      <c r="D4560">
        <v>0.64692537491715196</v>
      </c>
    </row>
    <row r="4561" spans="1:4" hidden="1" x14ac:dyDescent="0.3">
      <c r="A4561">
        <v>4559</v>
      </c>
      <c r="B4561" t="s">
        <v>5999</v>
      </c>
      <c r="C4561" t="s">
        <v>32</v>
      </c>
      <c r="D4561">
        <v>0.181321919873633</v>
      </c>
    </row>
    <row r="4562" spans="1:4" hidden="1" x14ac:dyDescent="0.3">
      <c r="A4562">
        <v>4560</v>
      </c>
      <c r="B4562" s="1" t="s">
        <v>6000</v>
      </c>
      <c r="C4562" t="s">
        <v>155</v>
      </c>
      <c r="D4562" s="1" t="s">
        <v>6001</v>
      </c>
    </row>
    <row r="4563" spans="1:4" hidden="1" x14ac:dyDescent="0.3">
      <c r="A4563">
        <v>4561</v>
      </c>
      <c r="B4563" t="s">
        <v>6002</v>
      </c>
      <c r="C4563" t="s">
        <v>40</v>
      </c>
      <c r="D4563">
        <v>1.02053611467787</v>
      </c>
    </row>
    <row r="4564" spans="1:4" hidden="1" x14ac:dyDescent="0.3">
      <c r="A4564">
        <v>4562</v>
      </c>
      <c r="B4564" t="s">
        <v>6003</v>
      </c>
      <c r="C4564" t="s">
        <v>42</v>
      </c>
      <c r="D4564">
        <v>0.16669974652667</v>
      </c>
    </row>
    <row r="4565" spans="1:4" hidden="1" x14ac:dyDescent="0.3">
      <c r="A4565">
        <v>4563</v>
      </c>
      <c r="B4565" s="1" t="s">
        <v>6004</v>
      </c>
      <c r="C4565" t="s">
        <v>159</v>
      </c>
      <c r="D4565" s="1" t="s">
        <v>6005</v>
      </c>
    </row>
    <row r="4566" spans="1:4" hidden="1" x14ac:dyDescent="0.3">
      <c r="A4566">
        <v>4564</v>
      </c>
      <c r="B4566" t="s">
        <v>6006</v>
      </c>
      <c r="C4566" t="s">
        <v>161</v>
      </c>
      <c r="D4566">
        <v>0.999295085177207</v>
      </c>
    </row>
    <row r="4567" spans="1:4" hidden="1" x14ac:dyDescent="0.3">
      <c r="A4567">
        <v>4565</v>
      </c>
      <c r="B4567" t="s">
        <v>6007</v>
      </c>
      <c r="C4567" t="s">
        <v>163</v>
      </c>
      <c r="D4567">
        <v>0.99984854868036599</v>
      </c>
    </row>
    <row r="4568" spans="1:4" hidden="1" x14ac:dyDescent="0.3">
      <c r="A4568">
        <v>4566</v>
      </c>
      <c r="B4568" s="1" t="s">
        <v>6008</v>
      </c>
      <c r="C4568" t="s">
        <v>165</v>
      </c>
      <c r="D4568" s="1" t="s">
        <v>6009</v>
      </c>
    </row>
    <row r="4569" spans="1:4" hidden="1" x14ac:dyDescent="0.3">
      <c r="A4569">
        <v>4567</v>
      </c>
      <c r="B4569" t="s">
        <v>6010</v>
      </c>
      <c r="C4569" t="s">
        <v>168</v>
      </c>
      <c r="D4569">
        <v>1.00394911205272</v>
      </c>
    </row>
    <row r="4570" spans="1:4" hidden="1" x14ac:dyDescent="0.3">
      <c r="A4570">
        <v>4568</v>
      </c>
      <c r="B4570" t="s">
        <v>6011</v>
      </c>
      <c r="C4570" t="s">
        <v>170</v>
      </c>
      <c r="D4570">
        <v>0.99537987317200105</v>
      </c>
    </row>
    <row r="4571" spans="1:4" hidden="1" x14ac:dyDescent="0.3">
      <c r="A4571">
        <v>4569</v>
      </c>
      <c r="B4571" s="1" t="s">
        <v>6012</v>
      </c>
      <c r="C4571" t="s">
        <v>172</v>
      </c>
      <c r="D4571" s="1" t="s">
        <v>6013</v>
      </c>
    </row>
    <row r="4572" spans="1:4" hidden="1" x14ac:dyDescent="0.3">
      <c r="A4572">
        <v>4570</v>
      </c>
      <c r="B4572" s="1" t="s">
        <v>6014</v>
      </c>
      <c r="C4572" t="s">
        <v>55</v>
      </c>
      <c r="D4572" s="1" t="s">
        <v>6015</v>
      </c>
    </row>
    <row r="4573" spans="1:4" hidden="1" x14ac:dyDescent="0.3">
      <c r="A4573">
        <v>4571</v>
      </c>
      <c r="B4573" s="1" t="s">
        <v>6016</v>
      </c>
      <c r="C4573" t="s">
        <v>52</v>
      </c>
      <c r="D4573" s="1" t="s">
        <v>6017</v>
      </c>
    </row>
    <row r="4574" spans="1:4" hidden="1" x14ac:dyDescent="0.3">
      <c r="A4574">
        <v>4572</v>
      </c>
      <c r="B4574" s="1" t="s">
        <v>6018</v>
      </c>
      <c r="C4574" t="s">
        <v>58</v>
      </c>
      <c r="D4574" s="1" t="s">
        <v>6019</v>
      </c>
    </row>
    <row r="4575" spans="1:4" hidden="1" x14ac:dyDescent="0.3">
      <c r="A4575">
        <v>4573</v>
      </c>
      <c r="B4575" t="s">
        <v>6020</v>
      </c>
      <c r="C4575" t="s">
        <v>61</v>
      </c>
      <c r="D4575">
        <v>145663965.67706999</v>
      </c>
    </row>
    <row r="4576" spans="1:4" hidden="1" x14ac:dyDescent="0.3">
      <c r="A4576">
        <v>4574</v>
      </c>
      <c r="B4576" t="s">
        <v>6021</v>
      </c>
      <c r="C4576" t="s">
        <v>63</v>
      </c>
      <c r="D4576">
        <v>76929287.540289998</v>
      </c>
    </row>
    <row r="4577" spans="1:4" hidden="1" x14ac:dyDescent="0.3">
      <c r="A4577">
        <v>4575</v>
      </c>
      <c r="B4577" t="s">
        <v>6022</v>
      </c>
      <c r="C4577" t="s">
        <v>65</v>
      </c>
      <c r="D4577">
        <v>39629926.841527201</v>
      </c>
    </row>
    <row r="4578" spans="1:4" hidden="1" x14ac:dyDescent="0.3">
      <c r="A4578">
        <v>4576</v>
      </c>
      <c r="B4578" s="1" t="s">
        <v>6023</v>
      </c>
      <c r="C4578" t="s">
        <v>67</v>
      </c>
      <c r="D4578" s="1" t="s">
        <v>6024</v>
      </c>
    </row>
    <row r="4579" spans="1:4" hidden="1" x14ac:dyDescent="0.3">
      <c r="A4579">
        <v>4577</v>
      </c>
      <c r="B4579" s="1" t="s">
        <v>6025</v>
      </c>
      <c r="C4579" t="s">
        <v>70</v>
      </c>
      <c r="D4579" s="1" t="s">
        <v>6026</v>
      </c>
    </row>
    <row r="4580" spans="1:4" hidden="1" x14ac:dyDescent="0.3">
      <c r="A4580">
        <v>4578</v>
      </c>
      <c r="B4580" t="s">
        <v>6027</v>
      </c>
      <c r="C4580" t="s">
        <v>73</v>
      </c>
      <c r="D4580">
        <v>1.00017583347074</v>
      </c>
    </row>
    <row r="4581" spans="1:4" hidden="1" x14ac:dyDescent="0.3">
      <c r="A4581">
        <v>4579</v>
      </c>
      <c r="B4581" t="s">
        <v>74</v>
      </c>
      <c r="C4581" t="s">
        <v>75</v>
      </c>
      <c r="D4581">
        <v>2.7397260273972599E-3</v>
      </c>
    </row>
    <row r="4582" spans="1:4" hidden="1" x14ac:dyDescent="0.3">
      <c r="A4582">
        <v>4580</v>
      </c>
      <c r="B4582" t="s">
        <v>76</v>
      </c>
      <c r="C4582" t="s">
        <v>77</v>
      </c>
      <c r="D4582">
        <v>0</v>
      </c>
    </row>
    <row r="4583" spans="1:4" hidden="1" x14ac:dyDescent="0.3">
      <c r="A4583">
        <v>4581</v>
      </c>
      <c r="B4583" t="s">
        <v>78</v>
      </c>
      <c r="C4583" t="s">
        <v>79</v>
      </c>
      <c r="D4583">
        <v>0</v>
      </c>
    </row>
    <row r="4584" spans="1:4" hidden="1" x14ac:dyDescent="0.3">
      <c r="A4584">
        <v>4582</v>
      </c>
      <c r="B4584" s="1" t="s">
        <v>6028</v>
      </c>
      <c r="C4584" t="s">
        <v>81</v>
      </c>
      <c r="D4584" s="1" t="s">
        <v>6029</v>
      </c>
    </row>
    <row r="4585" spans="1:4" hidden="1" x14ac:dyDescent="0.3">
      <c r="A4585">
        <v>4583</v>
      </c>
      <c r="B4585" t="s">
        <v>6030</v>
      </c>
      <c r="C4585" t="s">
        <v>84</v>
      </c>
      <c r="D4585">
        <v>1.00016422210834</v>
      </c>
    </row>
    <row r="4586" spans="1:4" hidden="1" x14ac:dyDescent="0.3">
      <c r="A4586">
        <v>4584</v>
      </c>
      <c r="B4586" s="1" t="s">
        <v>6031</v>
      </c>
      <c r="C4586" t="s">
        <v>86</v>
      </c>
      <c r="D4586" s="1" t="s">
        <v>6032</v>
      </c>
    </row>
    <row r="4587" spans="1:4" hidden="1" x14ac:dyDescent="0.3">
      <c r="A4587">
        <v>4585</v>
      </c>
      <c r="B4587" t="s">
        <v>6033</v>
      </c>
      <c r="C4587" t="s">
        <v>89</v>
      </c>
      <c r="D4587">
        <v>101173164.61305299</v>
      </c>
    </row>
    <row r="4588" spans="1:4" hidden="1" x14ac:dyDescent="0.3">
      <c r="A4588">
        <v>4586</v>
      </c>
      <c r="B4588" s="1" t="s">
        <v>6034</v>
      </c>
      <c r="C4588" t="s">
        <v>91</v>
      </c>
      <c r="D4588" s="1" t="s">
        <v>5968</v>
      </c>
    </row>
    <row r="4589" spans="1:4" hidden="1" x14ac:dyDescent="0.3">
      <c r="A4589">
        <v>4587</v>
      </c>
      <c r="B4589" t="s">
        <v>6035</v>
      </c>
      <c r="C4589" t="s">
        <v>94</v>
      </c>
      <c r="D4589">
        <v>76929287.540289998</v>
      </c>
    </row>
    <row r="4590" spans="1:4" hidden="1" x14ac:dyDescent="0.3">
      <c r="A4590">
        <v>4588</v>
      </c>
      <c r="B4590" t="s">
        <v>6036</v>
      </c>
      <c r="C4590" t="s">
        <v>96</v>
      </c>
      <c r="D4590">
        <v>39629926.841527201</v>
      </c>
    </row>
    <row r="4591" spans="1:4" hidden="1" x14ac:dyDescent="0.3">
      <c r="A4591">
        <v>4589</v>
      </c>
      <c r="B4591" t="s">
        <v>6037</v>
      </c>
      <c r="C4591" t="s">
        <v>98</v>
      </c>
      <c r="D4591">
        <v>29104751.2952535</v>
      </c>
    </row>
    <row r="4592" spans="1:4" hidden="1" x14ac:dyDescent="0.3">
      <c r="A4592">
        <v>4590</v>
      </c>
      <c r="B4592" s="1" t="s">
        <v>6038</v>
      </c>
      <c r="C4592" t="s">
        <v>100</v>
      </c>
      <c r="D4592" s="1" t="s">
        <v>6039</v>
      </c>
    </row>
    <row r="4593" spans="1:4" hidden="1" x14ac:dyDescent="0.3">
      <c r="A4593">
        <v>4591</v>
      </c>
      <c r="B4593" t="s">
        <v>6040</v>
      </c>
      <c r="C4593" t="s">
        <v>103</v>
      </c>
      <c r="D4593">
        <v>8.3857875241956197E-3</v>
      </c>
    </row>
    <row r="4594" spans="1:4" hidden="1" x14ac:dyDescent="0.3">
      <c r="A4594">
        <v>4592</v>
      </c>
      <c r="B4594" t="s">
        <v>6041</v>
      </c>
      <c r="C4594" t="s">
        <v>105</v>
      </c>
      <c r="D4594">
        <v>1.34676147616815E-3</v>
      </c>
    </row>
    <row r="4595" spans="1:4" hidden="1" x14ac:dyDescent="0.3">
      <c r="A4595">
        <v>4593</v>
      </c>
      <c r="B4595" t="s">
        <v>6042</v>
      </c>
      <c r="C4595" t="s">
        <v>107</v>
      </c>
      <c r="D4595">
        <v>1.05242480860072E-2</v>
      </c>
    </row>
    <row r="4596" spans="1:4" hidden="1" x14ac:dyDescent="0.3">
      <c r="A4596">
        <v>4594</v>
      </c>
      <c r="B4596" s="1" t="s">
        <v>6043</v>
      </c>
      <c r="C4596" t="s">
        <v>109</v>
      </c>
      <c r="D4596" s="1" t="s">
        <v>6044</v>
      </c>
    </row>
    <row r="4597" spans="1:4" x14ac:dyDescent="0.3">
      <c r="A4597">
        <v>4595</v>
      </c>
      <c r="B4597" t="s">
        <v>6045</v>
      </c>
      <c r="C4597" t="s">
        <v>207</v>
      </c>
      <c r="D4597">
        <v>145663559.03559899</v>
      </c>
    </row>
    <row r="4598" spans="1:4" hidden="1" x14ac:dyDescent="0.3">
      <c r="A4598">
        <v>4596</v>
      </c>
      <c r="B4598" t="s">
        <v>6046</v>
      </c>
      <c r="C4598" t="s">
        <v>209</v>
      </c>
      <c r="D4598">
        <v>893.09360118754705</v>
      </c>
    </row>
    <row r="4599" spans="1:4" hidden="1" x14ac:dyDescent="0.3">
      <c r="A4599">
        <v>4597</v>
      </c>
      <c r="B4599" t="s">
        <v>6047</v>
      </c>
      <c r="C4599" t="s">
        <v>211</v>
      </c>
      <c r="D4599">
        <v>460.07553163122998</v>
      </c>
    </row>
    <row r="4600" spans="1:4" hidden="1" x14ac:dyDescent="0.3">
      <c r="A4600">
        <v>4598</v>
      </c>
      <c r="B4600" s="1" t="s">
        <v>6048</v>
      </c>
      <c r="C4600" t="s">
        <v>213</v>
      </c>
      <c r="D4600" s="1" t="s">
        <v>6049</v>
      </c>
    </row>
    <row r="4601" spans="1:4" hidden="1" x14ac:dyDescent="0.3">
      <c r="A4601">
        <v>4599</v>
      </c>
      <c r="B4601" t="s">
        <v>6050</v>
      </c>
      <c r="C4601" t="s">
        <v>216</v>
      </c>
      <c r="D4601">
        <v>76928118.835436001</v>
      </c>
    </row>
    <row r="4602" spans="1:4" hidden="1" x14ac:dyDescent="0.3">
      <c r="A4602">
        <v>4600</v>
      </c>
      <c r="B4602" t="s">
        <v>6051</v>
      </c>
      <c r="C4602" t="s">
        <v>218</v>
      </c>
      <c r="D4602">
        <v>39629379.410558797</v>
      </c>
    </row>
    <row r="4603" spans="1:4" hidden="1" x14ac:dyDescent="0.3">
      <c r="A4603">
        <v>4601</v>
      </c>
      <c r="B4603" t="s">
        <v>6052</v>
      </c>
      <c r="C4603" t="s">
        <v>220</v>
      </c>
      <c r="D4603">
        <v>29104369.734575499</v>
      </c>
    </row>
    <row r="4604" spans="1:4" hidden="1" x14ac:dyDescent="0.3">
      <c r="A4604">
        <v>4602</v>
      </c>
      <c r="B4604" s="1" t="s">
        <v>6053</v>
      </c>
      <c r="C4604" t="s">
        <v>222</v>
      </c>
      <c r="D4604" s="1" t="s">
        <v>6054</v>
      </c>
    </row>
    <row r="4605" spans="1:4" hidden="1" x14ac:dyDescent="0.3">
      <c r="A4605">
        <v>4603</v>
      </c>
      <c r="B4605" t="s">
        <v>6055</v>
      </c>
      <c r="C4605" t="s">
        <v>225</v>
      </c>
      <c r="D4605">
        <v>101171990.061298</v>
      </c>
    </row>
    <row r="4606" spans="1:4" hidden="1" x14ac:dyDescent="0.3">
      <c r="A4606">
        <v>4604</v>
      </c>
      <c r="B4606" t="s">
        <v>6056</v>
      </c>
      <c r="C4606" t="s">
        <v>227</v>
      </c>
      <c r="D4606">
        <v>1174.55175442993</v>
      </c>
    </row>
    <row r="4607" spans="1:4" hidden="1" x14ac:dyDescent="0.3">
      <c r="A4607">
        <v>4605</v>
      </c>
      <c r="B4607" s="1" t="s">
        <v>6057</v>
      </c>
      <c r="C4607" t="s">
        <v>229</v>
      </c>
      <c r="D4607" s="1" t="s">
        <v>6058</v>
      </c>
    </row>
    <row r="4608" spans="1:4" hidden="1" x14ac:dyDescent="0.3">
      <c r="A4608">
        <v>4606</v>
      </c>
      <c r="B4608" t="s">
        <v>6059</v>
      </c>
      <c r="C4608" t="s">
        <v>112</v>
      </c>
      <c r="D4608">
        <v>-275.61125285934202</v>
      </c>
    </row>
    <row r="4609" spans="1:4" hidden="1" x14ac:dyDescent="0.3">
      <c r="A4609">
        <v>4607</v>
      </c>
      <c r="B4609" t="s">
        <v>6060</v>
      </c>
      <c r="C4609" t="s">
        <v>114</v>
      </c>
      <c r="D4609">
        <v>-87.355436693873699</v>
      </c>
    </row>
    <row r="4610" spans="1:4" hidden="1" x14ac:dyDescent="0.3">
      <c r="A4610">
        <v>4608</v>
      </c>
      <c r="B4610" s="1" t="s">
        <v>6061</v>
      </c>
      <c r="C4610" t="s">
        <v>116</v>
      </c>
      <c r="D4610" s="1" t="s">
        <v>6062</v>
      </c>
    </row>
    <row r="4611" spans="1:4" hidden="1" x14ac:dyDescent="0.3">
      <c r="A4611">
        <v>4609</v>
      </c>
      <c r="B4611" t="s">
        <v>6063</v>
      </c>
      <c r="C4611" t="s">
        <v>119</v>
      </c>
      <c r="D4611">
        <v>76928118.835436001</v>
      </c>
    </row>
    <row r="4612" spans="1:4" hidden="1" x14ac:dyDescent="0.3">
      <c r="A4612">
        <v>4610</v>
      </c>
      <c r="B4612" t="s">
        <v>6064</v>
      </c>
      <c r="C4612" t="s">
        <v>121</v>
      </c>
      <c r="D4612">
        <v>39629379.410558797</v>
      </c>
    </row>
    <row r="4613" spans="1:4" hidden="1" x14ac:dyDescent="0.3">
      <c r="A4613">
        <v>4611</v>
      </c>
      <c r="B4613" s="1" t="s">
        <v>6065</v>
      </c>
      <c r="C4613" t="s">
        <v>123</v>
      </c>
      <c r="D4613" s="1" t="s">
        <v>6066</v>
      </c>
    </row>
    <row r="4614" spans="1:4" hidden="1" x14ac:dyDescent="0.3">
      <c r="A4614">
        <v>4612</v>
      </c>
      <c r="B4614" t="s">
        <v>6067</v>
      </c>
      <c r="C4614" t="s">
        <v>126</v>
      </c>
      <c r="D4614">
        <v>0.76024488166432402</v>
      </c>
    </row>
    <row r="4615" spans="1:4" hidden="1" x14ac:dyDescent="0.3">
      <c r="A4615">
        <v>4613</v>
      </c>
      <c r="B4615" t="s">
        <v>6068</v>
      </c>
      <c r="C4615" t="s">
        <v>128</v>
      </c>
      <c r="D4615">
        <v>0.39163875727756398</v>
      </c>
    </row>
    <row r="4616" spans="1:4" hidden="1" x14ac:dyDescent="0.3">
      <c r="A4616">
        <v>4614</v>
      </c>
      <c r="B4616" s="1" t="s">
        <v>6069</v>
      </c>
      <c r="C4616" t="s">
        <v>130</v>
      </c>
      <c r="D4616" s="1" t="s">
        <v>6070</v>
      </c>
    </row>
    <row r="4617" spans="1:4" hidden="1" x14ac:dyDescent="0.3">
      <c r="A4617">
        <v>4615</v>
      </c>
      <c r="B4617" s="1" t="s">
        <v>6071</v>
      </c>
      <c r="C4617" t="s">
        <v>4</v>
      </c>
      <c r="D4617" t="s">
        <v>6072</v>
      </c>
    </row>
    <row r="4618" spans="1:4" hidden="1" x14ac:dyDescent="0.3">
      <c r="A4618">
        <v>4616</v>
      </c>
      <c r="B4618" t="s">
        <v>6073</v>
      </c>
      <c r="C4618" t="s">
        <v>7</v>
      </c>
      <c r="D4618">
        <v>1787.82</v>
      </c>
    </row>
    <row r="4619" spans="1:4" hidden="1" x14ac:dyDescent="0.3">
      <c r="A4619">
        <v>4617</v>
      </c>
      <c r="B4619" s="1" t="s">
        <v>6074</v>
      </c>
      <c r="C4619" t="s">
        <v>9</v>
      </c>
      <c r="D4619" s="1" t="s">
        <v>6075</v>
      </c>
    </row>
    <row r="4620" spans="1:4" hidden="1" x14ac:dyDescent="0.3">
      <c r="A4620">
        <v>4618</v>
      </c>
      <c r="B4620" t="s">
        <v>6076</v>
      </c>
      <c r="C4620" t="s">
        <v>14</v>
      </c>
      <c r="D4620">
        <v>98.64453125</v>
      </c>
    </row>
    <row r="4621" spans="1:4" hidden="1" x14ac:dyDescent="0.3">
      <c r="A4621">
        <v>4619</v>
      </c>
      <c r="B4621" t="s">
        <v>6077</v>
      </c>
      <c r="C4621" t="s">
        <v>16</v>
      </c>
      <c r="D4621">
        <v>4.3990332249534703</v>
      </c>
    </row>
    <row r="4622" spans="1:4" hidden="1" x14ac:dyDescent="0.3">
      <c r="A4622">
        <v>4620</v>
      </c>
      <c r="B4622" s="1" t="s">
        <v>6078</v>
      </c>
      <c r="C4622" t="s">
        <v>140</v>
      </c>
      <c r="D4622" s="1" t="s">
        <v>6079</v>
      </c>
    </row>
    <row r="4623" spans="1:4" hidden="1" x14ac:dyDescent="0.3">
      <c r="A4623">
        <v>4621</v>
      </c>
      <c r="B4623" t="s">
        <v>6080</v>
      </c>
      <c r="C4623" t="s">
        <v>22</v>
      </c>
      <c r="D4623">
        <v>73.599999999999994</v>
      </c>
    </row>
    <row r="4624" spans="1:4" hidden="1" x14ac:dyDescent="0.3">
      <c r="A4624">
        <v>4622</v>
      </c>
      <c r="B4624" t="s">
        <v>6081</v>
      </c>
      <c r="C4624" t="s">
        <v>24</v>
      </c>
      <c r="D4624">
        <v>6.5120432744282999</v>
      </c>
    </row>
    <row r="4625" spans="1:4" hidden="1" x14ac:dyDescent="0.3">
      <c r="A4625">
        <v>4623</v>
      </c>
      <c r="B4625" s="1" t="s">
        <v>6082</v>
      </c>
      <c r="C4625" t="s">
        <v>145</v>
      </c>
      <c r="D4625" s="1" t="s">
        <v>6083</v>
      </c>
    </row>
    <row r="4626" spans="1:4" hidden="1" x14ac:dyDescent="0.3">
      <c r="A4626">
        <v>4624</v>
      </c>
      <c r="B4626" t="s">
        <v>6084</v>
      </c>
      <c r="C4626" t="s">
        <v>35</v>
      </c>
      <c r="D4626">
        <v>0.182076747060304</v>
      </c>
    </row>
    <row r="4627" spans="1:4" hidden="1" x14ac:dyDescent="0.3">
      <c r="A4627">
        <v>4625</v>
      </c>
      <c r="B4627" t="s">
        <v>6085</v>
      </c>
      <c r="C4627" t="s">
        <v>149</v>
      </c>
      <c r="D4627">
        <v>0.74132168477602001</v>
      </c>
    </row>
    <row r="4628" spans="1:4" hidden="1" x14ac:dyDescent="0.3">
      <c r="A4628">
        <v>4626</v>
      </c>
      <c r="B4628" s="1" t="s">
        <v>6086</v>
      </c>
      <c r="C4628" t="s">
        <v>151</v>
      </c>
      <c r="D4628" s="1" t="s">
        <v>6087</v>
      </c>
    </row>
    <row r="4629" spans="1:4" hidden="1" x14ac:dyDescent="0.3">
      <c r="A4629">
        <v>4627</v>
      </c>
      <c r="B4629" t="s">
        <v>6088</v>
      </c>
      <c r="C4629" t="s">
        <v>30</v>
      </c>
      <c r="D4629">
        <v>0.31616201602898703</v>
      </c>
    </row>
    <row r="4630" spans="1:4" hidden="1" x14ac:dyDescent="0.3">
      <c r="A4630">
        <v>4628</v>
      </c>
      <c r="B4630" t="s">
        <v>6089</v>
      </c>
      <c r="C4630" t="s">
        <v>32</v>
      </c>
      <c r="D4630">
        <v>0.18154072445112199</v>
      </c>
    </row>
    <row r="4631" spans="1:4" hidden="1" x14ac:dyDescent="0.3">
      <c r="A4631">
        <v>4629</v>
      </c>
      <c r="B4631" s="1" t="s">
        <v>6090</v>
      </c>
      <c r="C4631" t="s">
        <v>155</v>
      </c>
      <c r="D4631" s="1" t="s">
        <v>6091</v>
      </c>
    </row>
    <row r="4632" spans="1:4" hidden="1" x14ac:dyDescent="0.3">
      <c r="A4632">
        <v>4630</v>
      </c>
      <c r="B4632" t="s">
        <v>6092</v>
      </c>
      <c r="C4632" t="s">
        <v>40</v>
      </c>
      <c r="D4632">
        <v>0.50176123691070795</v>
      </c>
    </row>
    <row r="4633" spans="1:4" hidden="1" x14ac:dyDescent="0.3">
      <c r="A4633">
        <v>4631</v>
      </c>
      <c r="B4633" t="s">
        <v>6093</v>
      </c>
      <c r="C4633" t="s">
        <v>42</v>
      </c>
      <c r="D4633">
        <v>0.167401334760508</v>
      </c>
    </row>
    <row r="4634" spans="1:4" hidden="1" x14ac:dyDescent="0.3">
      <c r="A4634">
        <v>4632</v>
      </c>
      <c r="B4634" s="1" t="s">
        <v>6094</v>
      </c>
      <c r="C4634" t="s">
        <v>159</v>
      </c>
      <c r="D4634" s="1" t="s">
        <v>6095</v>
      </c>
    </row>
    <row r="4635" spans="1:4" hidden="1" x14ac:dyDescent="0.3">
      <c r="A4635">
        <v>4633</v>
      </c>
      <c r="B4635" t="s">
        <v>6096</v>
      </c>
      <c r="C4635" t="s">
        <v>161</v>
      </c>
      <c r="D4635">
        <v>1.00091255689484</v>
      </c>
    </row>
    <row r="4636" spans="1:4" hidden="1" x14ac:dyDescent="0.3">
      <c r="A4636">
        <v>4634</v>
      </c>
      <c r="B4636" t="s">
        <v>6097</v>
      </c>
      <c r="C4636" t="s">
        <v>163</v>
      </c>
      <c r="D4636">
        <v>0.99995441256478701</v>
      </c>
    </row>
    <row r="4637" spans="1:4" hidden="1" x14ac:dyDescent="0.3">
      <c r="A4637">
        <v>4635</v>
      </c>
      <c r="B4637" s="1" t="s">
        <v>6098</v>
      </c>
      <c r="C4637" t="s">
        <v>165</v>
      </c>
      <c r="D4637" s="1" t="s">
        <v>6099</v>
      </c>
    </row>
    <row r="4638" spans="1:4" hidden="1" x14ac:dyDescent="0.3">
      <c r="A4638">
        <v>4636</v>
      </c>
      <c r="B4638" t="s">
        <v>6100</v>
      </c>
      <c r="C4638" t="s">
        <v>168</v>
      </c>
      <c r="D4638">
        <v>0.99970941190223594</v>
      </c>
    </row>
    <row r="4639" spans="1:4" hidden="1" x14ac:dyDescent="0.3">
      <c r="A4639">
        <v>4637</v>
      </c>
      <c r="B4639" t="s">
        <v>6101</v>
      </c>
      <c r="C4639" t="s">
        <v>170</v>
      </c>
      <c r="D4639">
        <v>1.0001852201113</v>
      </c>
    </row>
    <row r="4640" spans="1:4" hidden="1" x14ac:dyDescent="0.3">
      <c r="A4640">
        <v>4638</v>
      </c>
      <c r="B4640" s="1" t="s">
        <v>6102</v>
      </c>
      <c r="C4640" t="s">
        <v>172</v>
      </c>
      <c r="D4640" s="1" t="s">
        <v>6103</v>
      </c>
    </row>
    <row r="4641" spans="1:4" hidden="1" x14ac:dyDescent="0.3">
      <c r="A4641">
        <v>4639</v>
      </c>
      <c r="B4641" s="1" t="s">
        <v>6104</v>
      </c>
      <c r="C4641" t="s">
        <v>55</v>
      </c>
      <c r="D4641" s="1" t="s">
        <v>6105</v>
      </c>
    </row>
    <row r="4642" spans="1:4" hidden="1" x14ac:dyDescent="0.3">
      <c r="A4642">
        <v>4640</v>
      </c>
      <c r="B4642" s="1" t="s">
        <v>6106</v>
      </c>
      <c r="C4642" t="s">
        <v>52</v>
      </c>
      <c r="D4642" s="1" t="s">
        <v>6107</v>
      </c>
    </row>
    <row r="4643" spans="1:4" hidden="1" x14ac:dyDescent="0.3">
      <c r="A4643">
        <v>4641</v>
      </c>
      <c r="B4643" s="1" t="s">
        <v>6108</v>
      </c>
      <c r="C4643" t="s">
        <v>58</v>
      </c>
      <c r="D4643" s="1" t="s">
        <v>6109</v>
      </c>
    </row>
    <row r="4644" spans="1:4" hidden="1" x14ac:dyDescent="0.3">
      <c r="A4644">
        <v>4642</v>
      </c>
      <c r="B4644" t="s">
        <v>6110</v>
      </c>
      <c r="C4644" t="s">
        <v>61</v>
      </c>
      <c r="D4644">
        <v>145851618.446805</v>
      </c>
    </row>
    <row r="4645" spans="1:4" hidden="1" x14ac:dyDescent="0.3">
      <c r="A4645">
        <v>4643</v>
      </c>
      <c r="B4645" t="s">
        <v>6111</v>
      </c>
      <c r="C4645" t="s">
        <v>63</v>
      </c>
      <c r="D4645">
        <v>76998320.120686606</v>
      </c>
    </row>
    <row r="4646" spans="1:4" hidden="1" x14ac:dyDescent="0.3">
      <c r="A4646">
        <v>4644</v>
      </c>
      <c r="B4646" t="s">
        <v>6112</v>
      </c>
      <c r="C4646" t="s">
        <v>65</v>
      </c>
      <c r="D4646">
        <v>39627572.808792502</v>
      </c>
    </row>
    <row r="4647" spans="1:4" hidden="1" x14ac:dyDescent="0.3">
      <c r="A4647">
        <v>4645</v>
      </c>
      <c r="B4647" s="1" t="s">
        <v>6113</v>
      </c>
      <c r="C4647" t="s">
        <v>67</v>
      </c>
      <c r="D4647" s="1" t="s">
        <v>6114</v>
      </c>
    </row>
    <row r="4648" spans="1:4" hidden="1" x14ac:dyDescent="0.3">
      <c r="A4648">
        <v>4646</v>
      </c>
      <c r="B4648" s="1" t="s">
        <v>6115</v>
      </c>
      <c r="C4648" t="s">
        <v>70</v>
      </c>
      <c r="D4648" s="1" t="s">
        <v>6116</v>
      </c>
    </row>
    <row r="4649" spans="1:4" hidden="1" x14ac:dyDescent="0.3">
      <c r="A4649">
        <v>4647</v>
      </c>
      <c r="B4649" t="s">
        <v>6117</v>
      </c>
      <c r="C4649" t="s">
        <v>73</v>
      </c>
      <c r="D4649">
        <v>1.00016422210834</v>
      </c>
    </row>
    <row r="4650" spans="1:4" hidden="1" x14ac:dyDescent="0.3">
      <c r="A4650">
        <v>4648</v>
      </c>
      <c r="B4650" t="s">
        <v>74</v>
      </c>
      <c r="C4650" t="s">
        <v>75</v>
      </c>
      <c r="D4650">
        <v>2.7397260273972599E-3</v>
      </c>
    </row>
    <row r="4651" spans="1:4" hidden="1" x14ac:dyDescent="0.3">
      <c r="A4651">
        <v>4649</v>
      </c>
      <c r="B4651" t="s">
        <v>76</v>
      </c>
      <c r="C4651" t="s">
        <v>77</v>
      </c>
      <c r="D4651">
        <v>0</v>
      </c>
    </row>
    <row r="4652" spans="1:4" hidden="1" x14ac:dyDescent="0.3">
      <c r="A4652">
        <v>4650</v>
      </c>
      <c r="B4652" t="s">
        <v>78</v>
      </c>
      <c r="C4652" t="s">
        <v>79</v>
      </c>
      <c r="D4652">
        <v>0</v>
      </c>
    </row>
    <row r="4653" spans="1:4" hidden="1" x14ac:dyDescent="0.3">
      <c r="A4653">
        <v>4651</v>
      </c>
      <c r="B4653" s="1" t="s">
        <v>6118</v>
      </c>
      <c r="C4653" t="s">
        <v>81</v>
      </c>
      <c r="D4653" s="1" t="s">
        <v>6119</v>
      </c>
    </row>
    <row r="4654" spans="1:4" hidden="1" x14ac:dyDescent="0.3">
      <c r="A4654">
        <v>4652</v>
      </c>
      <c r="B4654" t="s">
        <v>6120</v>
      </c>
      <c r="C4654" t="s">
        <v>84</v>
      </c>
      <c r="D4654">
        <v>1.00015513063874</v>
      </c>
    </row>
    <row r="4655" spans="1:4" hidden="1" x14ac:dyDescent="0.3">
      <c r="A4655">
        <v>4653</v>
      </c>
      <c r="B4655" s="1" t="s">
        <v>6121</v>
      </c>
      <c r="C4655" t="s">
        <v>86</v>
      </c>
      <c r="D4655" s="1" t="s">
        <v>6122</v>
      </c>
    </row>
    <row r="4656" spans="1:4" hidden="1" x14ac:dyDescent="0.3">
      <c r="A4656">
        <v>4654</v>
      </c>
      <c r="B4656" t="s">
        <v>6123</v>
      </c>
      <c r="C4656" t="s">
        <v>89</v>
      </c>
      <c r="D4656">
        <v>101174084.283134</v>
      </c>
    </row>
    <row r="4657" spans="1:4" hidden="1" x14ac:dyDescent="0.3">
      <c r="A4657">
        <v>4655</v>
      </c>
      <c r="B4657" s="1" t="s">
        <v>6124</v>
      </c>
      <c r="C4657" t="s">
        <v>91</v>
      </c>
      <c r="D4657" s="1" t="s">
        <v>6058</v>
      </c>
    </row>
    <row r="4658" spans="1:4" hidden="1" x14ac:dyDescent="0.3">
      <c r="A4658">
        <v>4656</v>
      </c>
      <c r="B4658" t="s">
        <v>6125</v>
      </c>
      <c r="C4658" t="s">
        <v>94</v>
      </c>
      <c r="D4658">
        <v>76998320.120686606</v>
      </c>
    </row>
    <row r="4659" spans="1:4" hidden="1" x14ac:dyDescent="0.3">
      <c r="A4659">
        <v>4657</v>
      </c>
      <c r="B4659" t="s">
        <v>6126</v>
      </c>
      <c r="C4659" t="s">
        <v>96</v>
      </c>
      <c r="D4659">
        <v>39627572.808792502</v>
      </c>
    </row>
    <row r="4660" spans="1:4" hidden="1" x14ac:dyDescent="0.3">
      <c r="A4660">
        <v>4658</v>
      </c>
      <c r="B4660" t="s">
        <v>6127</v>
      </c>
      <c r="C4660" t="s">
        <v>98</v>
      </c>
      <c r="D4660">
        <v>29225725.517326199</v>
      </c>
    </row>
    <row r="4661" spans="1:4" hidden="1" x14ac:dyDescent="0.3">
      <c r="A4661">
        <v>4659</v>
      </c>
      <c r="B4661" s="1" t="s">
        <v>6128</v>
      </c>
      <c r="C4661" t="s">
        <v>100</v>
      </c>
      <c r="D4661" s="1" t="s">
        <v>6129</v>
      </c>
    </row>
    <row r="4662" spans="1:4" hidden="1" x14ac:dyDescent="0.3">
      <c r="A4662">
        <v>4660</v>
      </c>
      <c r="B4662" t="s">
        <v>6130</v>
      </c>
      <c r="C4662" t="s">
        <v>103</v>
      </c>
      <c r="D4662">
        <v>8.3855739937287697E-3</v>
      </c>
    </row>
    <row r="4663" spans="1:4" hidden="1" x14ac:dyDescent="0.3">
      <c r="A4663">
        <v>4661</v>
      </c>
      <c r="B4663" t="s">
        <v>6131</v>
      </c>
      <c r="C4663" t="s">
        <v>105</v>
      </c>
      <c r="D4663">
        <v>1.3468116158721201E-3</v>
      </c>
    </row>
    <row r="4664" spans="1:4" hidden="1" x14ac:dyDescent="0.3">
      <c r="A4664">
        <v>4662</v>
      </c>
      <c r="B4664" t="s">
        <v>6132</v>
      </c>
      <c r="C4664" t="s">
        <v>107</v>
      </c>
      <c r="D4664">
        <v>1.0510308159215999E-2</v>
      </c>
    </row>
    <row r="4665" spans="1:4" hidden="1" x14ac:dyDescent="0.3">
      <c r="A4665">
        <v>4663</v>
      </c>
      <c r="B4665" s="1" t="s">
        <v>6133</v>
      </c>
      <c r="C4665" t="s">
        <v>109</v>
      </c>
      <c r="D4665" s="1" t="s">
        <v>6134</v>
      </c>
    </row>
    <row r="4666" spans="1:4" x14ac:dyDescent="0.3">
      <c r="A4666">
        <v>4664</v>
      </c>
      <c r="B4666" t="s">
        <v>6135</v>
      </c>
      <c r="C4666" t="s">
        <v>207</v>
      </c>
      <c r="D4666">
        <v>145851300.55279601</v>
      </c>
    </row>
    <row r="4667" spans="1:4" hidden="1" x14ac:dyDescent="0.3">
      <c r="A4667">
        <v>4665</v>
      </c>
      <c r="B4667" t="s">
        <v>6136</v>
      </c>
      <c r="C4667" t="s">
        <v>209</v>
      </c>
      <c r="D4667">
        <v>699.91082679156398</v>
      </c>
    </row>
    <row r="4668" spans="1:4" hidden="1" x14ac:dyDescent="0.3">
      <c r="A4668">
        <v>4666</v>
      </c>
      <c r="B4668" t="s">
        <v>6137</v>
      </c>
      <c r="C4668" t="s">
        <v>211</v>
      </c>
      <c r="D4668">
        <v>360.21328258268898</v>
      </c>
    </row>
    <row r="4669" spans="1:4" hidden="1" x14ac:dyDescent="0.3">
      <c r="A4669">
        <v>4667</v>
      </c>
      <c r="B4669" s="1" t="s">
        <v>6138</v>
      </c>
      <c r="C4669" t="s">
        <v>213</v>
      </c>
      <c r="D4669" s="1" t="s">
        <v>6139</v>
      </c>
    </row>
    <row r="4670" spans="1:4" hidden="1" x14ac:dyDescent="0.3">
      <c r="A4670">
        <v>4668</v>
      </c>
      <c r="B4670" t="s">
        <v>6140</v>
      </c>
      <c r="C4670" t="s">
        <v>216</v>
      </c>
      <c r="D4670">
        <v>76997387.151250497</v>
      </c>
    </row>
    <row r="4671" spans="1:4" hidden="1" x14ac:dyDescent="0.3">
      <c r="A4671">
        <v>4669</v>
      </c>
      <c r="B4671" t="s">
        <v>6141</v>
      </c>
      <c r="C4671" t="s">
        <v>218</v>
      </c>
      <c r="D4671">
        <v>39627164.653507799</v>
      </c>
    </row>
    <row r="4672" spans="1:4" hidden="1" x14ac:dyDescent="0.3">
      <c r="A4672">
        <v>4670</v>
      </c>
      <c r="B4672" t="s">
        <v>6142</v>
      </c>
      <c r="C4672" t="s">
        <v>220</v>
      </c>
      <c r="D4672">
        <v>29225422.963096</v>
      </c>
    </row>
    <row r="4673" spans="1:4" hidden="1" x14ac:dyDescent="0.3">
      <c r="A4673">
        <v>4671</v>
      </c>
      <c r="B4673" s="1" t="s">
        <v>6143</v>
      </c>
      <c r="C4673" t="s">
        <v>222</v>
      </c>
      <c r="D4673" s="1" t="s">
        <v>6144</v>
      </c>
    </row>
    <row r="4674" spans="1:4" hidden="1" x14ac:dyDescent="0.3">
      <c r="A4674">
        <v>4672</v>
      </c>
      <c r="B4674" t="s">
        <v>6145</v>
      </c>
      <c r="C4674" t="s">
        <v>225</v>
      </c>
      <c r="D4674">
        <v>101173164.61305299</v>
      </c>
    </row>
    <row r="4675" spans="1:4" hidden="1" x14ac:dyDescent="0.3">
      <c r="A4675">
        <v>4673</v>
      </c>
      <c r="B4675" t="s">
        <v>6146</v>
      </c>
      <c r="C4675" t="s">
        <v>227</v>
      </c>
      <c r="D4675">
        <v>919.67008119821503</v>
      </c>
    </row>
    <row r="4676" spans="1:4" hidden="1" x14ac:dyDescent="0.3">
      <c r="A4676">
        <v>4674</v>
      </c>
      <c r="B4676" s="1" t="s">
        <v>6147</v>
      </c>
      <c r="C4676" t="s">
        <v>229</v>
      </c>
      <c r="D4676" s="1" t="s">
        <v>6148</v>
      </c>
    </row>
    <row r="4677" spans="1:4" hidden="1" x14ac:dyDescent="0.3">
      <c r="A4677">
        <v>4675</v>
      </c>
      <c r="B4677" t="s">
        <v>6149</v>
      </c>
      <c r="C4677" t="s">
        <v>112</v>
      </c>
      <c r="D4677">
        <v>-233.05860930191201</v>
      </c>
    </row>
    <row r="4678" spans="1:4" hidden="1" x14ac:dyDescent="0.3">
      <c r="A4678">
        <v>4676</v>
      </c>
      <c r="B4678" t="s">
        <v>6150</v>
      </c>
      <c r="C4678" t="s">
        <v>114</v>
      </c>
      <c r="D4678">
        <v>-47.942002026610901</v>
      </c>
    </row>
    <row r="4679" spans="1:4" hidden="1" x14ac:dyDescent="0.3">
      <c r="A4679">
        <v>4677</v>
      </c>
      <c r="B4679" s="1" t="s">
        <v>6151</v>
      </c>
      <c r="C4679" t="s">
        <v>116</v>
      </c>
      <c r="D4679" s="1" t="s">
        <v>6152</v>
      </c>
    </row>
    <row r="4680" spans="1:4" hidden="1" x14ac:dyDescent="0.3">
      <c r="A4680">
        <v>4678</v>
      </c>
      <c r="B4680" t="s">
        <v>6153</v>
      </c>
      <c r="C4680" t="s">
        <v>119</v>
      </c>
      <c r="D4680">
        <v>76997387.151250497</v>
      </c>
    </row>
    <row r="4681" spans="1:4" hidden="1" x14ac:dyDescent="0.3">
      <c r="A4681">
        <v>4679</v>
      </c>
      <c r="B4681" t="s">
        <v>6154</v>
      </c>
      <c r="C4681" t="s">
        <v>121</v>
      </c>
      <c r="D4681">
        <v>39627164.653507799</v>
      </c>
    </row>
    <row r="4682" spans="1:4" hidden="1" x14ac:dyDescent="0.3">
      <c r="A4682">
        <v>4680</v>
      </c>
      <c r="B4682" s="1" t="s">
        <v>6155</v>
      </c>
      <c r="C4682" t="s">
        <v>123</v>
      </c>
      <c r="D4682" s="1" t="s">
        <v>6156</v>
      </c>
    </row>
    <row r="4683" spans="1:4" hidden="1" x14ac:dyDescent="0.3">
      <c r="A4683">
        <v>4681</v>
      </c>
      <c r="B4683" t="s">
        <v>6157</v>
      </c>
      <c r="C4683" t="s">
        <v>126</v>
      </c>
      <c r="D4683">
        <v>0.76092751120846103</v>
      </c>
    </row>
    <row r="4684" spans="1:4" hidden="1" x14ac:dyDescent="0.3">
      <c r="A4684">
        <v>4682</v>
      </c>
      <c r="B4684" t="s">
        <v>6158</v>
      </c>
      <c r="C4684" t="s">
        <v>128</v>
      </c>
      <c r="D4684">
        <v>0.391615883235226</v>
      </c>
    </row>
    <row r="4685" spans="1:4" hidden="1" x14ac:dyDescent="0.3">
      <c r="A4685">
        <v>4683</v>
      </c>
      <c r="B4685" s="1" t="s">
        <v>6159</v>
      </c>
      <c r="C4685" t="s">
        <v>130</v>
      </c>
      <c r="D4685" s="1" t="s">
        <v>6160</v>
      </c>
    </row>
    <row r="4686" spans="1:4" hidden="1" x14ac:dyDescent="0.3">
      <c r="A4686">
        <v>4684</v>
      </c>
      <c r="B4686" s="1" t="s">
        <v>6161</v>
      </c>
      <c r="C4686" t="s">
        <v>4</v>
      </c>
      <c r="D4686" t="s">
        <v>6162</v>
      </c>
    </row>
    <row r="4687" spans="1:4" hidden="1" x14ac:dyDescent="0.3">
      <c r="A4687">
        <v>4685</v>
      </c>
      <c r="B4687" t="s">
        <v>6163</v>
      </c>
      <c r="C4687" t="s">
        <v>7</v>
      </c>
      <c r="D4687">
        <v>1780.38</v>
      </c>
    </row>
    <row r="4688" spans="1:4" hidden="1" x14ac:dyDescent="0.3">
      <c r="A4688">
        <v>4686</v>
      </c>
      <c r="B4688" s="1" t="s">
        <v>6164</v>
      </c>
      <c r="C4688" t="s">
        <v>9</v>
      </c>
      <c r="D4688" s="1" t="s">
        <v>6165</v>
      </c>
    </row>
    <row r="4689" spans="1:4" hidden="1" x14ac:dyDescent="0.3">
      <c r="A4689">
        <v>4687</v>
      </c>
      <c r="B4689" t="s">
        <v>6166</v>
      </c>
      <c r="C4689" t="s">
        <v>14</v>
      </c>
      <c r="D4689">
        <v>98.63671875</v>
      </c>
    </row>
    <row r="4690" spans="1:4" hidden="1" x14ac:dyDescent="0.3">
      <c r="A4690">
        <v>4688</v>
      </c>
      <c r="B4690" t="s">
        <v>6167</v>
      </c>
      <c r="C4690" t="s">
        <v>16</v>
      </c>
      <c r="D4690">
        <v>4.4014272487902399</v>
      </c>
    </row>
    <row r="4691" spans="1:4" hidden="1" x14ac:dyDescent="0.3">
      <c r="A4691">
        <v>4689</v>
      </c>
      <c r="B4691" s="1" t="s">
        <v>6168</v>
      </c>
      <c r="C4691" t="s">
        <v>140</v>
      </c>
      <c r="D4691" s="1" t="s">
        <v>6169</v>
      </c>
    </row>
    <row r="4692" spans="1:4" hidden="1" x14ac:dyDescent="0.3">
      <c r="A4692">
        <v>4690</v>
      </c>
      <c r="B4692" t="s">
        <v>342</v>
      </c>
      <c r="C4692" t="s">
        <v>22</v>
      </c>
      <c r="D4692">
        <v>72.900000000000006</v>
      </c>
    </row>
    <row r="4693" spans="1:4" hidden="1" x14ac:dyDescent="0.3">
      <c r="A4693">
        <v>4691</v>
      </c>
      <c r="B4693" t="s">
        <v>6170</v>
      </c>
      <c r="C4693" t="s">
        <v>24</v>
      </c>
      <c r="D4693">
        <v>6.5513456291541399</v>
      </c>
    </row>
    <row r="4694" spans="1:4" hidden="1" x14ac:dyDescent="0.3">
      <c r="A4694">
        <v>4692</v>
      </c>
      <c r="B4694" s="1" t="s">
        <v>6171</v>
      </c>
      <c r="C4694" t="s">
        <v>145</v>
      </c>
      <c r="D4694" s="1" t="s">
        <v>6172</v>
      </c>
    </row>
    <row r="4695" spans="1:4" hidden="1" x14ac:dyDescent="0.3">
      <c r="A4695">
        <v>4693</v>
      </c>
      <c r="B4695" t="s">
        <v>6173</v>
      </c>
      <c r="C4695" t="s">
        <v>35</v>
      </c>
      <c r="D4695">
        <v>2.3720316459572899E-2</v>
      </c>
    </row>
    <row r="4696" spans="1:4" hidden="1" x14ac:dyDescent="0.3">
      <c r="A4696">
        <v>4694</v>
      </c>
      <c r="B4696" t="s">
        <v>6174</v>
      </c>
      <c r="C4696" t="s">
        <v>149</v>
      </c>
      <c r="D4696">
        <v>0.74483484410832601</v>
      </c>
    </row>
    <row r="4697" spans="1:4" hidden="1" x14ac:dyDescent="0.3">
      <c r="A4697">
        <v>4695</v>
      </c>
      <c r="B4697" s="1" t="s">
        <v>6175</v>
      </c>
      <c r="C4697" t="s">
        <v>151</v>
      </c>
      <c r="D4697" s="1" t="s">
        <v>6176</v>
      </c>
    </row>
    <row r="4698" spans="1:4" hidden="1" x14ac:dyDescent="0.3">
      <c r="A4698">
        <v>4696</v>
      </c>
      <c r="B4698" t="s">
        <v>6177</v>
      </c>
      <c r="C4698" t="s">
        <v>30</v>
      </c>
      <c r="D4698">
        <v>0.37948861637923398</v>
      </c>
    </row>
    <row r="4699" spans="1:4" hidden="1" x14ac:dyDescent="0.3">
      <c r="A4699">
        <v>4697</v>
      </c>
      <c r="B4699" t="s">
        <v>6178</v>
      </c>
      <c r="C4699" t="s">
        <v>32</v>
      </c>
      <c r="D4699">
        <v>0.17880233428175299</v>
      </c>
    </row>
    <row r="4700" spans="1:4" hidden="1" x14ac:dyDescent="0.3">
      <c r="A4700">
        <v>4698</v>
      </c>
      <c r="B4700" s="1" t="s">
        <v>6179</v>
      </c>
      <c r="C4700" t="s">
        <v>155</v>
      </c>
      <c r="D4700" s="1" t="s">
        <v>6180</v>
      </c>
    </row>
    <row r="4701" spans="1:4" hidden="1" x14ac:dyDescent="0.3">
      <c r="A4701">
        <v>4699</v>
      </c>
      <c r="B4701" t="s">
        <v>6181</v>
      </c>
      <c r="C4701" t="s">
        <v>40</v>
      </c>
      <c r="D4701">
        <v>0.59679106716119201</v>
      </c>
    </row>
    <row r="4702" spans="1:4" hidden="1" x14ac:dyDescent="0.3">
      <c r="A4702">
        <v>4700</v>
      </c>
      <c r="B4702" t="s">
        <v>6182</v>
      </c>
      <c r="C4702" t="s">
        <v>42</v>
      </c>
      <c r="D4702">
        <v>0.16377717567275499</v>
      </c>
    </row>
    <row r="4703" spans="1:4" hidden="1" x14ac:dyDescent="0.3">
      <c r="A4703">
        <v>4701</v>
      </c>
      <c r="B4703" s="1" t="s">
        <v>6183</v>
      </c>
      <c r="C4703" t="s">
        <v>159</v>
      </c>
      <c r="D4703" s="1" t="s">
        <v>6184</v>
      </c>
    </row>
    <row r="4704" spans="1:4" hidden="1" x14ac:dyDescent="0.3">
      <c r="A4704">
        <v>4702</v>
      </c>
      <c r="B4704" t="s">
        <v>6185</v>
      </c>
      <c r="C4704" t="s">
        <v>161</v>
      </c>
      <c r="D4704">
        <v>0.99583850723227096</v>
      </c>
    </row>
    <row r="4705" spans="1:4" hidden="1" x14ac:dyDescent="0.3">
      <c r="A4705">
        <v>4703</v>
      </c>
      <c r="B4705" t="s">
        <v>6186</v>
      </c>
      <c r="C4705" t="s">
        <v>163</v>
      </c>
      <c r="D4705">
        <v>0.99994741567616696</v>
      </c>
    </row>
    <row r="4706" spans="1:4" hidden="1" x14ac:dyDescent="0.3">
      <c r="A4706">
        <v>4704</v>
      </c>
      <c r="B4706" s="1" t="s">
        <v>6187</v>
      </c>
      <c r="C4706" t="s">
        <v>165</v>
      </c>
      <c r="D4706" s="1" t="s">
        <v>6188</v>
      </c>
    </row>
    <row r="4707" spans="1:4" hidden="1" x14ac:dyDescent="0.3">
      <c r="A4707">
        <v>4705</v>
      </c>
      <c r="B4707" t="s">
        <v>6189</v>
      </c>
      <c r="C4707" t="s">
        <v>168</v>
      </c>
      <c r="D4707">
        <v>1.00201752459813</v>
      </c>
    </row>
    <row r="4708" spans="1:4" hidden="1" x14ac:dyDescent="0.3">
      <c r="A4708">
        <v>4706</v>
      </c>
      <c r="B4708" t="s">
        <v>6190</v>
      </c>
      <c r="C4708" t="s">
        <v>170</v>
      </c>
      <c r="D4708">
        <v>0.99768235650900505</v>
      </c>
    </row>
    <row r="4709" spans="1:4" hidden="1" x14ac:dyDescent="0.3">
      <c r="A4709">
        <v>4707</v>
      </c>
      <c r="B4709" s="1" t="s">
        <v>6191</v>
      </c>
      <c r="C4709" t="s">
        <v>172</v>
      </c>
      <c r="D4709" s="1" t="s">
        <v>6192</v>
      </c>
    </row>
    <row r="4710" spans="1:4" hidden="1" x14ac:dyDescent="0.3">
      <c r="A4710">
        <v>4708</v>
      </c>
      <c r="B4710" s="1" t="s">
        <v>6193</v>
      </c>
      <c r="C4710" t="s">
        <v>55</v>
      </c>
      <c r="D4710" s="1" t="s">
        <v>6194</v>
      </c>
    </row>
    <row r="4711" spans="1:4" hidden="1" x14ac:dyDescent="0.3">
      <c r="A4711">
        <v>4709</v>
      </c>
      <c r="B4711" s="1" t="s">
        <v>6195</v>
      </c>
      <c r="C4711" t="s">
        <v>52</v>
      </c>
      <c r="D4711" s="1" t="s">
        <v>6196</v>
      </c>
    </row>
    <row r="4712" spans="1:4" hidden="1" x14ac:dyDescent="0.3">
      <c r="A4712">
        <v>4710</v>
      </c>
      <c r="B4712" s="1" t="s">
        <v>6197</v>
      </c>
      <c r="C4712" t="s">
        <v>58</v>
      </c>
      <c r="D4712" s="1" t="s">
        <v>6198</v>
      </c>
    </row>
    <row r="4713" spans="1:4" hidden="1" x14ac:dyDescent="0.3">
      <c r="A4713">
        <v>4711</v>
      </c>
      <c r="B4713" t="s">
        <v>6199</v>
      </c>
      <c r="C4713" t="s">
        <v>61</v>
      </c>
      <c r="D4713">
        <v>145286439.89698401</v>
      </c>
    </row>
    <row r="4714" spans="1:4" hidden="1" x14ac:dyDescent="0.3">
      <c r="A4714">
        <v>4712</v>
      </c>
      <c r="B4714" t="s">
        <v>6200</v>
      </c>
      <c r="C4714" t="s">
        <v>63</v>
      </c>
      <c r="D4714">
        <v>76676963.081486598</v>
      </c>
    </row>
    <row r="4715" spans="1:4" hidden="1" x14ac:dyDescent="0.3">
      <c r="A4715">
        <v>4713</v>
      </c>
      <c r="B4715" t="s">
        <v>6201</v>
      </c>
      <c r="C4715" t="s">
        <v>65</v>
      </c>
      <c r="D4715">
        <v>39625080.885849103</v>
      </c>
    </row>
    <row r="4716" spans="1:4" hidden="1" x14ac:dyDescent="0.3">
      <c r="A4716">
        <v>4714</v>
      </c>
      <c r="B4716" s="1" t="s">
        <v>6202</v>
      </c>
      <c r="C4716" t="s">
        <v>67</v>
      </c>
      <c r="D4716" s="1" t="s">
        <v>6203</v>
      </c>
    </row>
    <row r="4717" spans="1:4" hidden="1" x14ac:dyDescent="0.3">
      <c r="A4717">
        <v>4715</v>
      </c>
      <c r="B4717" s="1" t="s">
        <v>6204</v>
      </c>
      <c r="C4717" t="s">
        <v>70</v>
      </c>
      <c r="D4717" s="1" t="s">
        <v>6205</v>
      </c>
    </row>
    <row r="4718" spans="1:4" hidden="1" x14ac:dyDescent="0.3">
      <c r="A4718">
        <v>4716</v>
      </c>
      <c r="B4718" t="s">
        <v>6206</v>
      </c>
      <c r="C4718" t="s">
        <v>73</v>
      </c>
      <c r="D4718">
        <v>1.00015513063874</v>
      </c>
    </row>
    <row r="4719" spans="1:4" hidden="1" x14ac:dyDescent="0.3">
      <c r="A4719">
        <v>4717</v>
      </c>
      <c r="B4719" t="s">
        <v>74</v>
      </c>
      <c r="C4719" t="s">
        <v>75</v>
      </c>
      <c r="D4719">
        <v>2.7397260273972599E-3</v>
      </c>
    </row>
    <row r="4720" spans="1:4" hidden="1" x14ac:dyDescent="0.3">
      <c r="A4720">
        <v>4718</v>
      </c>
      <c r="B4720" t="s">
        <v>76</v>
      </c>
      <c r="C4720" t="s">
        <v>77</v>
      </c>
      <c r="D4720">
        <v>0</v>
      </c>
    </row>
    <row r="4721" spans="1:4" hidden="1" x14ac:dyDescent="0.3">
      <c r="A4721">
        <v>4719</v>
      </c>
      <c r="B4721" t="s">
        <v>78</v>
      </c>
      <c r="C4721" t="s">
        <v>79</v>
      </c>
      <c r="D4721">
        <v>0</v>
      </c>
    </row>
    <row r="4722" spans="1:4" hidden="1" x14ac:dyDescent="0.3">
      <c r="A4722">
        <v>4720</v>
      </c>
      <c r="B4722" s="1" t="s">
        <v>6207</v>
      </c>
      <c r="C4722" t="s">
        <v>81</v>
      </c>
      <c r="D4722" s="1" t="s">
        <v>6208</v>
      </c>
    </row>
    <row r="4723" spans="1:4" hidden="1" x14ac:dyDescent="0.3">
      <c r="A4723">
        <v>4721</v>
      </c>
      <c r="B4723" t="s">
        <v>6209</v>
      </c>
      <c r="C4723" t="s">
        <v>84</v>
      </c>
      <c r="D4723">
        <v>1.0001501223570199</v>
      </c>
    </row>
    <row r="4724" spans="1:4" hidden="1" x14ac:dyDescent="0.3">
      <c r="A4724">
        <v>4722</v>
      </c>
      <c r="B4724" s="1" t="s">
        <v>6210</v>
      </c>
      <c r="C4724" t="s">
        <v>86</v>
      </c>
      <c r="D4724" s="1" t="s">
        <v>6211</v>
      </c>
    </row>
    <row r="4725" spans="1:4" hidden="1" x14ac:dyDescent="0.3">
      <c r="A4725">
        <v>4723</v>
      </c>
      <c r="B4725" t="s">
        <v>6212</v>
      </c>
      <c r="C4725" t="s">
        <v>89</v>
      </c>
      <c r="D4725">
        <v>101174590.91539299</v>
      </c>
    </row>
    <row r="4726" spans="1:4" hidden="1" x14ac:dyDescent="0.3">
      <c r="A4726">
        <v>4724</v>
      </c>
      <c r="B4726" s="1" t="s">
        <v>6213</v>
      </c>
      <c r="C4726" t="s">
        <v>91</v>
      </c>
      <c r="D4726" s="1" t="s">
        <v>6148</v>
      </c>
    </row>
    <row r="4727" spans="1:4" hidden="1" x14ac:dyDescent="0.3">
      <c r="A4727">
        <v>4725</v>
      </c>
      <c r="B4727" t="s">
        <v>6214</v>
      </c>
      <c r="C4727" t="s">
        <v>94</v>
      </c>
      <c r="D4727">
        <v>76676963.081486598</v>
      </c>
    </row>
    <row r="4728" spans="1:4" hidden="1" x14ac:dyDescent="0.3">
      <c r="A4728">
        <v>4726</v>
      </c>
      <c r="B4728" t="s">
        <v>6215</v>
      </c>
      <c r="C4728" t="s">
        <v>96</v>
      </c>
      <c r="D4728">
        <v>39625080.885849103</v>
      </c>
    </row>
    <row r="4729" spans="1:4" hidden="1" x14ac:dyDescent="0.3">
      <c r="A4729">
        <v>4727</v>
      </c>
      <c r="B4729" t="s">
        <v>6216</v>
      </c>
      <c r="C4729" t="s">
        <v>98</v>
      </c>
      <c r="D4729">
        <v>28984395.929648399</v>
      </c>
    </row>
    <row r="4730" spans="1:4" hidden="1" x14ac:dyDescent="0.3">
      <c r="A4730">
        <v>4728</v>
      </c>
      <c r="B4730" s="1" t="s">
        <v>6217</v>
      </c>
      <c r="C4730" t="s">
        <v>100</v>
      </c>
      <c r="D4730" s="1" t="s">
        <v>6218</v>
      </c>
    </row>
    <row r="4731" spans="1:4" hidden="1" x14ac:dyDescent="0.3">
      <c r="A4731">
        <v>4729</v>
      </c>
      <c r="B4731" t="s">
        <v>6219</v>
      </c>
      <c r="C4731" t="s">
        <v>103</v>
      </c>
      <c r="D4731">
        <v>8.3539434088636191E-3</v>
      </c>
    </row>
    <row r="4732" spans="1:4" hidden="1" x14ac:dyDescent="0.3">
      <c r="A4732">
        <v>4730</v>
      </c>
      <c r="B4732" t="s">
        <v>6220</v>
      </c>
      <c r="C4732" t="s">
        <v>105</v>
      </c>
      <c r="D4732">
        <v>1.3298448042146499E-3</v>
      </c>
    </row>
    <row r="4733" spans="1:4" hidden="1" x14ac:dyDescent="0.3">
      <c r="A4733">
        <v>4731</v>
      </c>
      <c r="B4733" t="s">
        <v>6221</v>
      </c>
      <c r="C4733" t="s">
        <v>107</v>
      </c>
      <c r="D4733">
        <v>1.05577348972318E-2</v>
      </c>
    </row>
    <row r="4734" spans="1:4" hidden="1" x14ac:dyDescent="0.3">
      <c r="A4734">
        <v>4732</v>
      </c>
      <c r="B4734" s="1" t="s">
        <v>6222</v>
      </c>
      <c r="C4734" t="s">
        <v>109</v>
      </c>
      <c r="D4734" s="1" t="s">
        <v>6223</v>
      </c>
    </row>
    <row r="4735" spans="1:4" x14ac:dyDescent="0.3">
      <c r="A4735">
        <v>4733</v>
      </c>
      <c r="B4735" t="s">
        <v>6224</v>
      </c>
      <c r="C4735" t="s">
        <v>207</v>
      </c>
      <c r="D4735">
        <v>145286264.512555</v>
      </c>
    </row>
    <row r="4736" spans="1:4" hidden="1" x14ac:dyDescent="0.3">
      <c r="A4736">
        <v>4734</v>
      </c>
      <c r="B4736" t="s">
        <v>6225</v>
      </c>
      <c r="C4736" t="s">
        <v>209</v>
      </c>
      <c r="D4736">
        <v>383.95964865355103</v>
      </c>
    </row>
    <row r="4737" spans="1:4" hidden="1" x14ac:dyDescent="0.3">
      <c r="A4737">
        <v>4735</v>
      </c>
      <c r="B4737" t="s">
        <v>6226</v>
      </c>
      <c r="C4737" t="s">
        <v>211</v>
      </c>
      <c r="D4737">
        <v>198.422597058881</v>
      </c>
    </row>
    <row r="4738" spans="1:4" hidden="1" x14ac:dyDescent="0.3">
      <c r="A4738">
        <v>4736</v>
      </c>
      <c r="B4738" s="1" t="s">
        <v>6227</v>
      </c>
      <c r="C4738" t="s">
        <v>213</v>
      </c>
      <c r="D4738" s="1" t="s">
        <v>6228</v>
      </c>
    </row>
    <row r="4739" spans="1:4" hidden="1" x14ac:dyDescent="0.3">
      <c r="A4739">
        <v>4737</v>
      </c>
      <c r="B4739" t="s">
        <v>6229</v>
      </c>
      <c r="C4739" t="s">
        <v>216</v>
      </c>
      <c r="D4739">
        <v>76676455.399295807</v>
      </c>
    </row>
    <row r="4740" spans="1:4" hidden="1" x14ac:dyDescent="0.3">
      <c r="A4740">
        <v>4738</v>
      </c>
      <c r="B4740" t="s">
        <v>6230</v>
      </c>
      <c r="C4740" t="s">
        <v>218</v>
      </c>
      <c r="D4740">
        <v>39624844.607891798</v>
      </c>
    </row>
    <row r="4741" spans="1:4" hidden="1" x14ac:dyDescent="0.3">
      <c r="A4741">
        <v>4739</v>
      </c>
      <c r="B4741" t="s">
        <v>6231</v>
      </c>
      <c r="C4741" t="s">
        <v>220</v>
      </c>
      <c r="D4741">
        <v>28984236.9836866</v>
      </c>
    </row>
    <row r="4742" spans="1:4" hidden="1" x14ac:dyDescent="0.3">
      <c r="A4742">
        <v>4740</v>
      </c>
      <c r="B4742" s="1" t="s">
        <v>6232</v>
      </c>
      <c r="C4742" t="s">
        <v>222</v>
      </c>
      <c r="D4742" s="1" t="s">
        <v>6233</v>
      </c>
    </row>
    <row r="4743" spans="1:4" hidden="1" x14ac:dyDescent="0.3">
      <c r="A4743">
        <v>4741</v>
      </c>
      <c r="B4743" t="s">
        <v>6234</v>
      </c>
      <c r="C4743" t="s">
        <v>225</v>
      </c>
      <c r="D4743">
        <v>101174084.283134</v>
      </c>
    </row>
    <row r="4744" spans="1:4" hidden="1" x14ac:dyDescent="0.3">
      <c r="A4744">
        <v>4742</v>
      </c>
      <c r="B4744" t="s">
        <v>6235</v>
      </c>
      <c r="C4744" t="s">
        <v>227</v>
      </c>
      <c r="D4744">
        <v>506.63225956261101</v>
      </c>
    </row>
    <row r="4745" spans="1:4" hidden="1" x14ac:dyDescent="0.3">
      <c r="A4745">
        <v>4743</v>
      </c>
      <c r="B4745" s="1" t="s">
        <v>6236</v>
      </c>
      <c r="C4745" t="s">
        <v>229</v>
      </c>
      <c r="D4745" s="1" t="s">
        <v>6237</v>
      </c>
    </row>
    <row r="4746" spans="1:4" hidden="1" x14ac:dyDescent="0.3">
      <c r="A4746">
        <v>4744</v>
      </c>
      <c r="B4746" t="s">
        <v>6238</v>
      </c>
      <c r="C4746" t="s">
        <v>112</v>
      </c>
      <c r="D4746">
        <v>-123.72254214511101</v>
      </c>
    </row>
    <row r="4747" spans="1:4" hidden="1" x14ac:dyDescent="0.3">
      <c r="A4747">
        <v>4745</v>
      </c>
      <c r="B4747" t="s">
        <v>6239</v>
      </c>
      <c r="C4747" t="s">
        <v>114</v>
      </c>
      <c r="D4747">
        <v>-37.855360250142603</v>
      </c>
    </row>
    <row r="4748" spans="1:4" hidden="1" x14ac:dyDescent="0.3">
      <c r="A4748">
        <v>4746</v>
      </c>
      <c r="B4748" s="1" t="s">
        <v>6240</v>
      </c>
      <c r="C4748" t="s">
        <v>116</v>
      </c>
      <c r="D4748" s="1" t="s">
        <v>6241</v>
      </c>
    </row>
    <row r="4749" spans="1:4" hidden="1" x14ac:dyDescent="0.3">
      <c r="A4749">
        <v>4747</v>
      </c>
      <c r="B4749" t="s">
        <v>6242</v>
      </c>
      <c r="C4749" t="s">
        <v>119</v>
      </c>
      <c r="D4749">
        <v>76676455.399295807</v>
      </c>
    </row>
    <row r="4750" spans="1:4" hidden="1" x14ac:dyDescent="0.3">
      <c r="A4750">
        <v>4748</v>
      </c>
      <c r="B4750" t="s">
        <v>6243</v>
      </c>
      <c r="C4750" t="s">
        <v>121</v>
      </c>
      <c r="D4750">
        <v>39624844.607891798</v>
      </c>
    </row>
    <row r="4751" spans="1:4" hidden="1" x14ac:dyDescent="0.3">
      <c r="A4751">
        <v>4749</v>
      </c>
      <c r="B4751" s="1" t="s">
        <v>6244</v>
      </c>
      <c r="C4751" t="s">
        <v>123</v>
      </c>
      <c r="D4751" s="1" t="s">
        <v>6245</v>
      </c>
    </row>
    <row r="4752" spans="1:4" hidden="1" x14ac:dyDescent="0.3">
      <c r="A4752">
        <v>4750</v>
      </c>
      <c r="B4752" t="s">
        <v>6246</v>
      </c>
      <c r="C4752" t="s">
        <v>126</v>
      </c>
      <c r="D4752">
        <v>0.75775280616638296</v>
      </c>
    </row>
    <row r="4753" spans="1:4" hidden="1" x14ac:dyDescent="0.3">
      <c r="A4753">
        <v>4751</v>
      </c>
      <c r="B4753" t="s">
        <v>6247</v>
      </c>
      <c r="C4753" t="s">
        <v>128</v>
      </c>
      <c r="D4753">
        <v>0.39159135668408401</v>
      </c>
    </row>
    <row r="4754" spans="1:4" hidden="1" x14ac:dyDescent="0.3">
      <c r="A4754">
        <v>4752</v>
      </c>
      <c r="B4754" s="1" t="s">
        <v>6248</v>
      </c>
      <c r="C4754" t="s">
        <v>130</v>
      </c>
      <c r="D4754" s="1" t="s">
        <v>6249</v>
      </c>
    </row>
    <row r="4755" spans="1:4" hidden="1" x14ac:dyDescent="0.3">
      <c r="A4755">
        <v>4753</v>
      </c>
      <c r="B4755" s="1" t="s">
        <v>6250</v>
      </c>
      <c r="C4755" t="s">
        <v>4</v>
      </c>
      <c r="D4755" t="s">
        <v>6251</v>
      </c>
    </row>
    <row r="4756" spans="1:4" hidden="1" x14ac:dyDescent="0.3">
      <c r="A4756">
        <v>4754</v>
      </c>
      <c r="B4756" t="s">
        <v>6252</v>
      </c>
      <c r="C4756" t="s">
        <v>7</v>
      </c>
      <c r="D4756">
        <v>1781.11</v>
      </c>
    </row>
    <row r="4757" spans="1:4" hidden="1" x14ac:dyDescent="0.3">
      <c r="A4757">
        <v>4755</v>
      </c>
      <c r="B4757" s="1" t="s">
        <v>6253</v>
      </c>
      <c r="C4757" t="s">
        <v>9</v>
      </c>
      <c r="D4757" s="1" t="s">
        <v>6254</v>
      </c>
    </row>
    <row r="4758" spans="1:4" hidden="1" x14ac:dyDescent="0.3">
      <c r="A4758">
        <v>4756</v>
      </c>
      <c r="B4758" t="s">
        <v>1598</v>
      </c>
      <c r="C4758" t="s">
        <v>14</v>
      </c>
      <c r="D4758">
        <v>98.58203125</v>
      </c>
    </row>
    <row r="4759" spans="1:4" hidden="1" x14ac:dyDescent="0.3">
      <c r="A4759">
        <v>4757</v>
      </c>
      <c r="B4759" t="s">
        <v>6255</v>
      </c>
      <c r="C4759" t="s">
        <v>16</v>
      </c>
      <c r="D4759">
        <v>4.3998920038149798</v>
      </c>
    </row>
    <row r="4760" spans="1:4" hidden="1" x14ac:dyDescent="0.3">
      <c r="A4760">
        <v>4758</v>
      </c>
      <c r="B4760" s="1" t="s">
        <v>6256</v>
      </c>
      <c r="C4760" t="s">
        <v>140</v>
      </c>
      <c r="D4760" s="1" t="s">
        <v>6257</v>
      </c>
    </row>
    <row r="4761" spans="1:4" hidden="1" x14ac:dyDescent="0.3">
      <c r="A4761">
        <v>4759</v>
      </c>
      <c r="B4761" t="s">
        <v>6258</v>
      </c>
      <c r="C4761" t="s">
        <v>22</v>
      </c>
      <c r="D4761">
        <v>74</v>
      </c>
    </row>
    <row r="4762" spans="1:4" hidden="1" x14ac:dyDescent="0.3">
      <c r="A4762">
        <v>4760</v>
      </c>
      <c r="B4762" t="s">
        <v>6259</v>
      </c>
      <c r="C4762" t="s">
        <v>24</v>
      </c>
      <c r="D4762">
        <v>6.4846075078398098</v>
      </c>
    </row>
    <row r="4763" spans="1:4" hidden="1" x14ac:dyDescent="0.3">
      <c r="A4763">
        <v>4761</v>
      </c>
      <c r="B4763" s="1" t="s">
        <v>6260</v>
      </c>
      <c r="C4763" t="s">
        <v>145</v>
      </c>
      <c r="D4763" s="1" t="s">
        <v>6261</v>
      </c>
    </row>
    <row r="4764" spans="1:4" hidden="1" x14ac:dyDescent="0.3">
      <c r="A4764">
        <v>4762</v>
      </c>
      <c r="B4764" t="s">
        <v>6262</v>
      </c>
      <c r="C4764" t="s">
        <v>35</v>
      </c>
      <c r="D4764">
        <v>0.13468491821484599</v>
      </c>
    </row>
    <row r="4765" spans="1:4" hidden="1" x14ac:dyDescent="0.3">
      <c r="A4765">
        <v>4763</v>
      </c>
      <c r="B4765" t="s">
        <v>6263</v>
      </c>
      <c r="C4765" t="s">
        <v>149</v>
      </c>
      <c r="D4765">
        <v>0.74187145691815704</v>
      </c>
    </row>
    <row r="4766" spans="1:4" hidden="1" x14ac:dyDescent="0.3">
      <c r="A4766">
        <v>4764</v>
      </c>
      <c r="B4766" s="1" t="s">
        <v>6264</v>
      </c>
      <c r="C4766" t="s">
        <v>151</v>
      </c>
      <c r="D4766" s="1" t="s">
        <v>6265</v>
      </c>
    </row>
    <row r="4767" spans="1:4" hidden="1" x14ac:dyDescent="0.3">
      <c r="A4767">
        <v>4765</v>
      </c>
      <c r="B4767" t="s">
        <v>6266</v>
      </c>
      <c r="C4767" t="s">
        <v>30</v>
      </c>
      <c r="D4767">
        <v>0.338947474139218</v>
      </c>
    </row>
    <row r="4768" spans="1:4" hidden="1" x14ac:dyDescent="0.3">
      <c r="A4768">
        <v>4766</v>
      </c>
      <c r="B4768" t="s">
        <v>6267</v>
      </c>
      <c r="C4768" t="s">
        <v>32</v>
      </c>
      <c r="D4768">
        <v>0.17966091805204101</v>
      </c>
    </row>
    <row r="4769" spans="1:4" hidden="1" x14ac:dyDescent="0.3">
      <c r="A4769">
        <v>4767</v>
      </c>
      <c r="B4769" s="1" t="s">
        <v>6268</v>
      </c>
      <c r="C4769" t="s">
        <v>155</v>
      </c>
      <c r="D4769" s="1" t="s">
        <v>6269</v>
      </c>
    </row>
    <row r="4770" spans="1:4" hidden="1" x14ac:dyDescent="0.3">
      <c r="A4770">
        <v>4768</v>
      </c>
      <c r="B4770" t="s">
        <v>6270</v>
      </c>
      <c r="C4770" t="s">
        <v>40</v>
      </c>
      <c r="D4770">
        <v>0.52636760764593404</v>
      </c>
    </row>
    <row r="4771" spans="1:4" hidden="1" x14ac:dyDescent="0.3">
      <c r="A4771">
        <v>4769</v>
      </c>
      <c r="B4771" t="s">
        <v>6271</v>
      </c>
      <c r="C4771" t="s">
        <v>42</v>
      </c>
      <c r="D4771">
        <v>0.168281492556591</v>
      </c>
    </row>
    <row r="4772" spans="1:4" hidden="1" x14ac:dyDescent="0.3">
      <c r="A4772">
        <v>4770</v>
      </c>
      <c r="B4772" s="1" t="s">
        <v>6272</v>
      </c>
      <c r="C4772" t="s">
        <v>159</v>
      </c>
      <c r="D4772" s="1" t="s">
        <v>6273</v>
      </c>
    </row>
    <row r="4773" spans="1:4" hidden="1" x14ac:dyDescent="0.3">
      <c r="A4773">
        <v>4771</v>
      </c>
      <c r="B4773" t="s">
        <v>6274</v>
      </c>
      <c r="C4773" t="s">
        <v>161</v>
      </c>
      <c r="D4773">
        <v>1.00041002482616</v>
      </c>
    </row>
    <row r="4774" spans="1:4" hidden="1" x14ac:dyDescent="0.3">
      <c r="A4774">
        <v>4772</v>
      </c>
      <c r="B4774" t="s">
        <v>6275</v>
      </c>
      <c r="C4774" t="s">
        <v>163</v>
      </c>
      <c r="D4774">
        <v>0.99945435018817197</v>
      </c>
    </row>
    <row r="4775" spans="1:4" hidden="1" x14ac:dyDescent="0.3">
      <c r="A4775">
        <v>4773</v>
      </c>
      <c r="B4775" s="1" t="s">
        <v>6276</v>
      </c>
      <c r="C4775" t="s">
        <v>165</v>
      </c>
      <c r="D4775" s="1" t="s">
        <v>6277</v>
      </c>
    </row>
    <row r="4776" spans="1:4" hidden="1" x14ac:dyDescent="0.3">
      <c r="A4776">
        <v>4774</v>
      </c>
      <c r="B4776" t="s">
        <v>6278</v>
      </c>
      <c r="C4776" t="s">
        <v>168</v>
      </c>
      <c r="D4776">
        <v>0.99830162310193604</v>
      </c>
    </row>
    <row r="4777" spans="1:4" hidden="1" x14ac:dyDescent="0.3">
      <c r="A4777">
        <v>4775</v>
      </c>
      <c r="B4777" t="s">
        <v>6279</v>
      </c>
      <c r="C4777" t="s">
        <v>170</v>
      </c>
      <c r="D4777">
        <v>1.0007283526213999</v>
      </c>
    </row>
    <row r="4778" spans="1:4" hidden="1" x14ac:dyDescent="0.3">
      <c r="A4778">
        <v>4776</v>
      </c>
      <c r="B4778" s="1" t="s">
        <v>6280</v>
      </c>
      <c r="C4778" t="s">
        <v>172</v>
      </c>
      <c r="D4778" s="1" t="s">
        <v>6281</v>
      </c>
    </row>
    <row r="4779" spans="1:4" hidden="1" x14ac:dyDescent="0.3">
      <c r="A4779">
        <v>4777</v>
      </c>
      <c r="B4779" s="1" t="s">
        <v>6282</v>
      </c>
      <c r="C4779" t="s">
        <v>55</v>
      </c>
      <c r="D4779" s="1" t="s">
        <v>6283</v>
      </c>
    </row>
    <row r="4780" spans="1:4" hidden="1" x14ac:dyDescent="0.3">
      <c r="A4780">
        <v>4778</v>
      </c>
      <c r="B4780" s="1" t="s">
        <v>6284</v>
      </c>
      <c r="C4780" t="s">
        <v>52</v>
      </c>
      <c r="D4780" s="1" t="s">
        <v>6285</v>
      </c>
    </row>
    <row r="4781" spans="1:4" hidden="1" x14ac:dyDescent="0.3">
      <c r="A4781">
        <v>4779</v>
      </c>
      <c r="B4781" s="1" t="s">
        <v>6286</v>
      </c>
      <c r="C4781" t="s">
        <v>58</v>
      </c>
      <c r="D4781" s="1" t="s">
        <v>6287</v>
      </c>
    </row>
    <row r="4782" spans="1:4" hidden="1" x14ac:dyDescent="0.3">
      <c r="A4782">
        <v>4780</v>
      </c>
      <c r="B4782" t="s">
        <v>6288</v>
      </c>
      <c r="C4782" t="s">
        <v>61</v>
      </c>
      <c r="D4782">
        <v>145672293.906703</v>
      </c>
    </row>
    <row r="4783" spans="1:4" hidden="1" x14ac:dyDescent="0.3">
      <c r="A4783">
        <v>4781</v>
      </c>
      <c r="B4783" t="s">
        <v>6289</v>
      </c>
      <c r="C4783" t="s">
        <v>63</v>
      </c>
      <c r="D4783">
        <v>76707894.649591506</v>
      </c>
    </row>
    <row r="4784" spans="1:4" hidden="1" x14ac:dyDescent="0.3">
      <c r="A4784">
        <v>4782</v>
      </c>
      <c r="B4784" t="s">
        <v>6290</v>
      </c>
      <c r="C4784" t="s">
        <v>65</v>
      </c>
      <c r="D4784">
        <v>39603223.318887897</v>
      </c>
    </row>
    <row r="4785" spans="1:4" hidden="1" x14ac:dyDescent="0.3">
      <c r="A4785">
        <v>4783</v>
      </c>
      <c r="B4785" s="1" t="s">
        <v>6291</v>
      </c>
      <c r="C4785" t="s">
        <v>67</v>
      </c>
      <c r="D4785" s="1" t="s">
        <v>6292</v>
      </c>
    </row>
    <row r="4786" spans="1:4" hidden="1" x14ac:dyDescent="0.3">
      <c r="A4786">
        <v>4784</v>
      </c>
      <c r="B4786" s="1" t="s">
        <v>6293</v>
      </c>
      <c r="C4786" t="s">
        <v>70</v>
      </c>
      <c r="D4786" s="1" t="s">
        <v>6294</v>
      </c>
    </row>
    <row r="4787" spans="1:4" hidden="1" x14ac:dyDescent="0.3">
      <c r="A4787">
        <v>4785</v>
      </c>
      <c r="B4787" t="s">
        <v>6295</v>
      </c>
      <c r="C4787" t="s">
        <v>73</v>
      </c>
      <c r="D4787">
        <v>1.0001501223570199</v>
      </c>
    </row>
    <row r="4788" spans="1:4" hidden="1" x14ac:dyDescent="0.3">
      <c r="A4788">
        <v>4786</v>
      </c>
      <c r="B4788" t="s">
        <v>74</v>
      </c>
      <c r="C4788" t="s">
        <v>75</v>
      </c>
      <c r="D4788">
        <v>2.7397260273972599E-3</v>
      </c>
    </row>
    <row r="4789" spans="1:4" hidden="1" x14ac:dyDescent="0.3">
      <c r="A4789">
        <v>4787</v>
      </c>
      <c r="B4789" t="s">
        <v>76</v>
      </c>
      <c r="C4789" t="s">
        <v>77</v>
      </c>
      <c r="D4789">
        <v>0</v>
      </c>
    </row>
    <row r="4790" spans="1:4" hidden="1" x14ac:dyDescent="0.3">
      <c r="A4790">
        <v>4788</v>
      </c>
      <c r="B4790" t="s">
        <v>78</v>
      </c>
      <c r="C4790" t="s">
        <v>79</v>
      </c>
      <c r="D4790">
        <v>0</v>
      </c>
    </row>
    <row r="4791" spans="1:4" hidden="1" x14ac:dyDescent="0.3">
      <c r="A4791">
        <v>4789</v>
      </c>
      <c r="B4791" s="1" t="s">
        <v>6296</v>
      </c>
      <c r="C4791" t="s">
        <v>81</v>
      </c>
      <c r="D4791" s="1" t="s">
        <v>6297</v>
      </c>
    </row>
    <row r="4792" spans="1:4" hidden="1" x14ac:dyDescent="0.3">
      <c r="A4792">
        <v>4790</v>
      </c>
      <c r="B4792" t="s">
        <v>6298</v>
      </c>
      <c r="C4792" t="s">
        <v>84</v>
      </c>
      <c r="D4792">
        <v>1.0001301379088099</v>
      </c>
    </row>
    <row r="4793" spans="1:4" hidden="1" x14ac:dyDescent="0.3">
      <c r="A4793">
        <v>4791</v>
      </c>
      <c r="B4793" s="1" t="s">
        <v>6299</v>
      </c>
      <c r="C4793" t="s">
        <v>86</v>
      </c>
      <c r="D4793" s="1" t="s">
        <v>6300</v>
      </c>
    </row>
    <row r="4794" spans="1:4" hidden="1" x14ac:dyDescent="0.3">
      <c r="A4794">
        <v>4792</v>
      </c>
      <c r="B4794" t="s">
        <v>6301</v>
      </c>
      <c r="C4794" t="s">
        <v>89</v>
      </c>
      <c r="D4794">
        <v>101176612.57067201</v>
      </c>
    </row>
    <row r="4795" spans="1:4" hidden="1" x14ac:dyDescent="0.3">
      <c r="A4795">
        <v>4793</v>
      </c>
      <c r="B4795" s="1" t="s">
        <v>6302</v>
      </c>
      <c r="C4795" t="s">
        <v>91</v>
      </c>
      <c r="D4795" s="1" t="s">
        <v>6237</v>
      </c>
    </row>
    <row r="4796" spans="1:4" hidden="1" x14ac:dyDescent="0.3">
      <c r="A4796">
        <v>4794</v>
      </c>
      <c r="B4796" t="s">
        <v>6303</v>
      </c>
      <c r="C4796" t="s">
        <v>94</v>
      </c>
      <c r="D4796">
        <v>76707894.649591506</v>
      </c>
    </row>
    <row r="4797" spans="1:4" hidden="1" x14ac:dyDescent="0.3">
      <c r="A4797">
        <v>4795</v>
      </c>
      <c r="B4797" t="s">
        <v>6304</v>
      </c>
      <c r="C4797" t="s">
        <v>96</v>
      </c>
      <c r="D4797">
        <v>39603223.318887897</v>
      </c>
    </row>
    <row r="4798" spans="1:4" hidden="1" x14ac:dyDescent="0.3">
      <c r="A4798">
        <v>4796</v>
      </c>
      <c r="B4798" t="s">
        <v>6305</v>
      </c>
      <c r="C4798" t="s">
        <v>98</v>
      </c>
      <c r="D4798">
        <v>29361175.938223898</v>
      </c>
    </row>
    <row r="4799" spans="1:4" hidden="1" x14ac:dyDescent="0.3">
      <c r="A4799">
        <v>4797</v>
      </c>
      <c r="B4799" s="1" t="s">
        <v>6306</v>
      </c>
      <c r="C4799" t="s">
        <v>100</v>
      </c>
      <c r="D4799" s="1" t="s">
        <v>6307</v>
      </c>
    </row>
    <row r="4800" spans="1:4" hidden="1" x14ac:dyDescent="0.3">
      <c r="A4800">
        <v>4798</v>
      </c>
      <c r="B4800" t="s">
        <v>6308</v>
      </c>
      <c r="C4800" t="s">
        <v>103</v>
      </c>
      <c r="D4800">
        <v>8.3562343900316204E-3</v>
      </c>
    </row>
    <row r="4801" spans="1:4" hidden="1" x14ac:dyDescent="0.3">
      <c r="A4801">
        <v>4799</v>
      </c>
      <c r="B4801" t="s">
        <v>6309</v>
      </c>
      <c r="C4801" t="s">
        <v>105</v>
      </c>
      <c r="D4801">
        <v>1.3307961853057701E-3</v>
      </c>
    </row>
    <row r="4802" spans="1:4" hidden="1" x14ac:dyDescent="0.3">
      <c r="A4802">
        <v>4800</v>
      </c>
      <c r="B4802" t="s">
        <v>6310</v>
      </c>
      <c r="C4802" t="s">
        <v>107</v>
      </c>
      <c r="D4802">
        <v>1.06548978881859E-2</v>
      </c>
    </row>
    <row r="4803" spans="1:4" hidden="1" x14ac:dyDescent="0.3">
      <c r="A4803">
        <v>4801</v>
      </c>
      <c r="B4803" s="1" t="s">
        <v>6311</v>
      </c>
      <c r="C4803" t="s">
        <v>109</v>
      </c>
      <c r="D4803" s="1" t="s">
        <v>6312</v>
      </c>
    </row>
    <row r="4804" spans="1:4" x14ac:dyDescent="0.3">
      <c r="A4804">
        <v>4802</v>
      </c>
      <c r="B4804" t="s">
        <v>6313</v>
      </c>
      <c r="C4804" t="s">
        <v>207</v>
      </c>
      <c r="D4804">
        <v>145671595.72236401</v>
      </c>
    </row>
    <row r="4805" spans="1:4" hidden="1" x14ac:dyDescent="0.3">
      <c r="A4805">
        <v>4803</v>
      </c>
      <c r="B4805" t="s">
        <v>6314</v>
      </c>
      <c r="C4805" t="s">
        <v>209</v>
      </c>
      <c r="D4805">
        <v>1532.72464358449</v>
      </c>
    </row>
    <row r="4806" spans="1:4" hidden="1" x14ac:dyDescent="0.3">
      <c r="A4806">
        <v>4804</v>
      </c>
      <c r="B4806" t="s">
        <v>6315</v>
      </c>
      <c r="C4806" t="s">
        <v>211</v>
      </c>
      <c r="D4806">
        <v>791.32766018705195</v>
      </c>
    </row>
    <row r="4807" spans="1:4" hidden="1" x14ac:dyDescent="0.3">
      <c r="A4807">
        <v>4805</v>
      </c>
      <c r="B4807" s="1" t="s">
        <v>6316</v>
      </c>
      <c r="C4807" t="s">
        <v>213</v>
      </c>
      <c r="D4807" s="1" t="s">
        <v>6317</v>
      </c>
    </row>
    <row r="4808" spans="1:4" hidden="1" x14ac:dyDescent="0.3">
      <c r="A4808">
        <v>4806</v>
      </c>
      <c r="B4808" t="s">
        <v>6318</v>
      </c>
      <c r="C4808" t="s">
        <v>216</v>
      </c>
      <c r="D4808">
        <v>76705851.105728596</v>
      </c>
    </row>
    <row r="4809" spans="1:4" hidden="1" x14ac:dyDescent="0.3">
      <c r="A4809">
        <v>4807</v>
      </c>
      <c r="B4809" t="s">
        <v>6319</v>
      </c>
      <c r="C4809" t="s">
        <v>218</v>
      </c>
      <c r="D4809">
        <v>39602326.440187097</v>
      </c>
    </row>
    <row r="4810" spans="1:4" hidden="1" x14ac:dyDescent="0.3">
      <c r="A4810">
        <v>4808</v>
      </c>
      <c r="B4810" t="s">
        <v>6320</v>
      </c>
      <c r="C4810" t="s">
        <v>220</v>
      </c>
      <c r="D4810">
        <v>29360507.4469532</v>
      </c>
    </row>
    <row r="4811" spans="1:4" hidden="1" x14ac:dyDescent="0.3">
      <c r="A4811">
        <v>4809</v>
      </c>
      <c r="B4811" s="1" t="s">
        <v>6321</v>
      </c>
      <c r="C4811" t="s">
        <v>222</v>
      </c>
      <c r="D4811" s="1" t="s">
        <v>6322</v>
      </c>
    </row>
    <row r="4812" spans="1:4" hidden="1" x14ac:dyDescent="0.3">
      <c r="A4812">
        <v>4810</v>
      </c>
      <c r="B4812" t="s">
        <v>6323</v>
      </c>
      <c r="C4812" t="s">
        <v>225</v>
      </c>
      <c r="D4812">
        <v>101174590.91539299</v>
      </c>
    </row>
    <row r="4813" spans="1:4" hidden="1" x14ac:dyDescent="0.3">
      <c r="A4813">
        <v>4811</v>
      </c>
      <c r="B4813" t="s">
        <v>6324</v>
      </c>
      <c r="C4813" t="s">
        <v>227</v>
      </c>
      <c r="D4813">
        <v>2021.65527877211</v>
      </c>
    </row>
    <row r="4814" spans="1:4" hidden="1" x14ac:dyDescent="0.3">
      <c r="A4814">
        <v>4812</v>
      </c>
      <c r="B4814" s="1" t="s">
        <v>6325</v>
      </c>
      <c r="C4814" t="s">
        <v>229</v>
      </c>
      <c r="D4814" s="1" t="s">
        <v>6326</v>
      </c>
    </row>
    <row r="4815" spans="1:4" hidden="1" x14ac:dyDescent="0.3">
      <c r="A4815">
        <v>4813</v>
      </c>
      <c r="B4815" t="s">
        <v>6327</v>
      </c>
      <c r="C4815" t="s">
        <v>112</v>
      </c>
      <c r="D4815">
        <v>-510.81921933389799</v>
      </c>
    </row>
    <row r="4816" spans="1:4" hidden="1" x14ac:dyDescent="0.3">
      <c r="A4816">
        <v>4814</v>
      </c>
      <c r="B4816" t="s">
        <v>6328</v>
      </c>
      <c r="C4816" t="s">
        <v>114</v>
      </c>
      <c r="D4816">
        <v>-105.551040594143</v>
      </c>
    </row>
    <row r="4817" spans="1:4" hidden="1" x14ac:dyDescent="0.3">
      <c r="A4817">
        <v>4815</v>
      </c>
      <c r="B4817" s="1" t="s">
        <v>6329</v>
      </c>
      <c r="C4817" t="s">
        <v>116</v>
      </c>
      <c r="D4817" s="1" t="s">
        <v>6330</v>
      </c>
    </row>
    <row r="4818" spans="1:4" hidden="1" x14ac:dyDescent="0.3">
      <c r="A4818">
        <v>4816</v>
      </c>
      <c r="B4818" t="s">
        <v>6331</v>
      </c>
      <c r="C4818" t="s">
        <v>119</v>
      </c>
      <c r="D4818">
        <v>76705851.105728596</v>
      </c>
    </row>
    <row r="4819" spans="1:4" hidden="1" x14ac:dyDescent="0.3">
      <c r="A4819">
        <v>4817</v>
      </c>
      <c r="B4819" t="s">
        <v>6332</v>
      </c>
      <c r="C4819" t="s">
        <v>121</v>
      </c>
      <c r="D4819">
        <v>39602326.440187097</v>
      </c>
    </row>
    <row r="4820" spans="1:4" hidden="1" x14ac:dyDescent="0.3">
      <c r="A4820">
        <v>4818</v>
      </c>
      <c r="B4820" s="1" t="s">
        <v>6333</v>
      </c>
      <c r="C4820" t="s">
        <v>123</v>
      </c>
      <c r="D4820" s="1" t="s">
        <v>6334</v>
      </c>
    </row>
    <row r="4821" spans="1:4" hidden="1" x14ac:dyDescent="0.3">
      <c r="A4821">
        <v>4819</v>
      </c>
      <c r="B4821" t="s">
        <v>6335</v>
      </c>
      <c r="C4821" t="s">
        <v>126</v>
      </c>
      <c r="D4821">
        <v>0.75805465949172501</v>
      </c>
    </row>
    <row r="4822" spans="1:4" hidden="1" x14ac:dyDescent="0.3">
      <c r="A4822">
        <v>4820</v>
      </c>
      <c r="B4822" t="s">
        <v>6336</v>
      </c>
      <c r="C4822" t="s">
        <v>128</v>
      </c>
      <c r="D4822">
        <v>0.391374682008504</v>
      </c>
    </row>
    <row r="4823" spans="1:4" hidden="1" x14ac:dyDescent="0.3">
      <c r="A4823">
        <v>4821</v>
      </c>
      <c r="B4823" s="1" t="s">
        <v>6337</v>
      </c>
      <c r="C4823" t="s">
        <v>130</v>
      </c>
      <c r="D4823" s="1" t="s">
        <v>6338</v>
      </c>
    </row>
    <row r="4824" spans="1:4" hidden="1" x14ac:dyDescent="0.3">
      <c r="A4824">
        <v>4822</v>
      </c>
      <c r="B4824" s="1" t="s">
        <v>6339</v>
      </c>
      <c r="C4824" t="s">
        <v>4</v>
      </c>
      <c r="D4824" t="s">
        <v>6340</v>
      </c>
    </row>
    <row r="4825" spans="1:4" hidden="1" x14ac:dyDescent="0.3">
      <c r="A4825">
        <v>4823</v>
      </c>
      <c r="B4825" t="s">
        <v>6341</v>
      </c>
      <c r="C4825" t="s">
        <v>7</v>
      </c>
      <c r="D4825">
        <v>1805.43</v>
      </c>
    </row>
    <row r="4826" spans="1:4" hidden="1" x14ac:dyDescent="0.3">
      <c r="A4826">
        <v>4824</v>
      </c>
      <c r="B4826" s="1" t="s">
        <v>6342</v>
      </c>
      <c r="C4826" t="s">
        <v>9</v>
      </c>
      <c r="D4826" s="1" t="s">
        <v>6343</v>
      </c>
    </row>
    <row r="4827" spans="1:4" hidden="1" x14ac:dyDescent="0.3">
      <c r="A4827">
        <v>4825</v>
      </c>
      <c r="B4827" t="s">
        <v>6076</v>
      </c>
      <c r="C4827" t="s">
        <v>14</v>
      </c>
      <c r="D4827">
        <v>98.64453125</v>
      </c>
    </row>
    <row r="4828" spans="1:4" hidden="1" x14ac:dyDescent="0.3">
      <c r="A4828">
        <v>4826</v>
      </c>
      <c r="B4828" t="s">
        <v>6344</v>
      </c>
      <c r="C4828" t="s">
        <v>16</v>
      </c>
      <c r="D4828">
        <v>4.4006240508589602</v>
      </c>
    </row>
    <row r="4829" spans="1:4" hidden="1" x14ac:dyDescent="0.3">
      <c r="A4829">
        <v>4827</v>
      </c>
      <c r="B4829" s="1" t="s">
        <v>6345</v>
      </c>
      <c r="C4829" t="s">
        <v>140</v>
      </c>
      <c r="D4829" s="1" t="s">
        <v>6346</v>
      </c>
    </row>
    <row r="4830" spans="1:4" hidden="1" x14ac:dyDescent="0.3">
      <c r="A4830">
        <v>4828</v>
      </c>
      <c r="B4830" t="s">
        <v>5900</v>
      </c>
      <c r="C4830" t="s">
        <v>22</v>
      </c>
      <c r="D4830">
        <v>73.3</v>
      </c>
    </row>
    <row r="4831" spans="1:4" hidden="1" x14ac:dyDescent="0.3">
      <c r="A4831">
        <v>4829</v>
      </c>
      <c r="B4831" t="s">
        <v>6347</v>
      </c>
      <c r="C4831" t="s">
        <v>24</v>
      </c>
      <c r="D4831">
        <v>6.5089278389002603</v>
      </c>
    </row>
    <row r="4832" spans="1:4" hidden="1" x14ac:dyDescent="0.3">
      <c r="A4832">
        <v>4830</v>
      </c>
      <c r="B4832" s="1" t="s">
        <v>6348</v>
      </c>
      <c r="C4832" t="s">
        <v>145</v>
      </c>
      <c r="D4832" s="1" t="s">
        <v>6349</v>
      </c>
    </row>
    <row r="4833" spans="1:4" hidden="1" x14ac:dyDescent="0.3">
      <c r="A4833">
        <v>4831</v>
      </c>
      <c r="B4833" t="s">
        <v>6350</v>
      </c>
      <c r="C4833" t="s">
        <v>35</v>
      </c>
      <c r="D4833">
        <v>-1.0550948757837999</v>
      </c>
    </row>
    <row r="4834" spans="1:4" hidden="1" x14ac:dyDescent="0.3">
      <c r="A4834">
        <v>4832</v>
      </c>
      <c r="B4834" t="s">
        <v>6351</v>
      </c>
      <c r="C4834" t="s">
        <v>149</v>
      </c>
      <c r="D4834">
        <v>0.74320633530618796</v>
      </c>
    </row>
    <row r="4835" spans="1:4" hidden="1" x14ac:dyDescent="0.3">
      <c r="A4835">
        <v>4833</v>
      </c>
      <c r="B4835" s="1" t="s">
        <v>6352</v>
      </c>
      <c r="C4835" t="s">
        <v>151</v>
      </c>
      <c r="D4835" s="1" t="s">
        <v>6353</v>
      </c>
    </row>
    <row r="4836" spans="1:4" hidden="1" x14ac:dyDescent="0.3">
      <c r="A4836">
        <v>4834</v>
      </c>
      <c r="B4836" t="s">
        <v>6354</v>
      </c>
      <c r="C4836" t="s">
        <v>30</v>
      </c>
      <c r="D4836">
        <v>0.80546480316354696</v>
      </c>
    </row>
    <row r="4837" spans="1:4" hidden="1" x14ac:dyDescent="0.3">
      <c r="A4837">
        <v>4835</v>
      </c>
      <c r="B4837" t="s">
        <v>6355</v>
      </c>
      <c r="C4837" t="s">
        <v>32</v>
      </c>
      <c r="D4837">
        <v>0.17917677404030899</v>
      </c>
    </row>
    <row r="4838" spans="1:4" hidden="1" x14ac:dyDescent="0.3">
      <c r="A4838">
        <v>4836</v>
      </c>
      <c r="B4838" s="1" t="s">
        <v>6356</v>
      </c>
      <c r="C4838" t="s">
        <v>155</v>
      </c>
      <c r="D4838" s="1" t="s">
        <v>6357</v>
      </c>
    </row>
    <row r="4839" spans="1:4" hidden="1" x14ac:dyDescent="0.3">
      <c r="A4839">
        <v>4837</v>
      </c>
      <c r="B4839" t="s">
        <v>6358</v>
      </c>
      <c r="C4839" t="s">
        <v>40</v>
      </c>
      <c r="D4839">
        <v>1.24963007262026</v>
      </c>
    </row>
    <row r="4840" spans="1:4" hidden="1" x14ac:dyDescent="0.3">
      <c r="A4840">
        <v>4838</v>
      </c>
      <c r="B4840" t="s">
        <v>6359</v>
      </c>
      <c r="C4840" t="s">
        <v>42</v>
      </c>
      <c r="D4840">
        <v>0.16634458724897</v>
      </c>
    </row>
    <row r="4841" spans="1:4" hidden="1" x14ac:dyDescent="0.3">
      <c r="A4841">
        <v>4839</v>
      </c>
      <c r="B4841" s="1" t="s">
        <v>6360</v>
      </c>
      <c r="C4841" t="s">
        <v>159</v>
      </c>
      <c r="D4841" s="1" t="s">
        <v>6361</v>
      </c>
    </row>
    <row r="4842" spans="1:4" hidden="1" x14ac:dyDescent="0.3">
      <c r="A4842">
        <v>4840</v>
      </c>
      <c r="B4842" t="s">
        <v>6362</v>
      </c>
      <c r="C4842" t="s">
        <v>161</v>
      </c>
      <c r="D4842">
        <v>1.0136544065217701</v>
      </c>
    </row>
    <row r="4843" spans="1:4" hidden="1" x14ac:dyDescent="0.3">
      <c r="A4843">
        <v>4841</v>
      </c>
      <c r="B4843" t="s">
        <v>6363</v>
      </c>
      <c r="C4843" t="s">
        <v>163</v>
      </c>
      <c r="D4843">
        <v>1.0006140111297701</v>
      </c>
    </row>
    <row r="4844" spans="1:4" hidden="1" x14ac:dyDescent="0.3">
      <c r="A4844">
        <v>4842</v>
      </c>
      <c r="B4844" s="1" t="s">
        <v>6364</v>
      </c>
      <c r="C4844" t="s">
        <v>165</v>
      </c>
      <c r="D4844" s="1" t="s">
        <v>6365</v>
      </c>
    </row>
    <row r="4845" spans="1:4" hidden="1" x14ac:dyDescent="0.3">
      <c r="A4845">
        <v>4843</v>
      </c>
      <c r="B4845" t="s">
        <v>6366</v>
      </c>
      <c r="C4845" t="s">
        <v>168</v>
      </c>
      <c r="D4845">
        <v>1.00076634724263</v>
      </c>
    </row>
    <row r="4846" spans="1:4" hidden="1" x14ac:dyDescent="0.3">
      <c r="A4846">
        <v>4844</v>
      </c>
      <c r="B4846" t="s">
        <v>6367</v>
      </c>
      <c r="C4846" t="s">
        <v>170</v>
      </c>
      <c r="D4846">
        <v>0.99958959053036101</v>
      </c>
    </row>
    <row r="4847" spans="1:4" hidden="1" x14ac:dyDescent="0.3">
      <c r="A4847">
        <v>4845</v>
      </c>
      <c r="B4847" s="1" t="s">
        <v>6368</v>
      </c>
      <c r="C4847" t="s">
        <v>172</v>
      </c>
      <c r="D4847" s="1" t="s">
        <v>6369</v>
      </c>
    </row>
    <row r="4848" spans="1:4" hidden="1" x14ac:dyDescent="0.3">
      <c r="A4848">
        <v>4846</v>
      </c>
      <c r="B4848" s="1" t="s">
        <v>6370</v>
      </c>
      <c r="C4848" t="s">
        <v>55</v>
      </c>
      <c r="D4848" s="1" t="s">
        <v>6371</v>
      </c>
    </row>
    <row r="4849" spans="1:4" hidden="1" x14ac:dyDescent="0.3">
      <c r="A4849">
        <v>4847</v>
      </c>
      <c r="B4849" s="1" t="s">
        <v>6372</v>
      </c>
      <c r="C4849" t="s">
        <v>52</v>
      </c>
      <c r="D4849" s="1" t="s">
        <v>6373</v>
      </c>
    </row>
    <row r="4850" spans="1:4" hidden="1" x14ac:dyDescent="0.3">
      <c r="A4850">
        <v>4848</v>
      </c>
      <c r="B4850" s="1" t="s">
        <v>6374</v>
      </c>
      <c r="C4850" t="s">
        <v>58</v>
      </c>
      <c r="D4850" s="1" t="s">
        <v>6375</v>
      </c>
    </row>
    <row r="4851" spans="1:4" hidden="1" x14ac:dyDescent="0.3">
      <c r="A4851">
        <v>4849</v>
      </c>
      <c r="B4851" t="s">
        <v>6376</v>
      </c>
      <c r="C4851" t="s">
        <v>61</v>
      </c>
      <c r="D4851">
        <v>146493888.52101201</v>
      </c>
    </row>
    <row r="4852" spans="1:4" hidden="1" x14ac:dyDescent="0.3">
      <c r="A4852">
        <v>4850</v>
      </c>
      <c r="B4852" t="s">
        <v>6377</v>
      </c>
      <c r="C4852" t="s">
        <v>63</v>
      </c>
      <c r="D4852">
        <v>77753223.979324996</v>
      </c>
    </row>
    <row r="4853" spans="1:4" hidden="1" x14ac:dyDescent="0.3">
      <c r="A4853">
        <v>4851</v>
      </c>
      <c r="B4853" t="s">
        <v>6378</v>
      </c>
      <c r="C4853" t="s">
        <v>65</v>
      </c>
      <c r="D4853">
        <v>39626642.709386498</v>
      </c>
    </row>
    <row r="4854" spans="1:4" hidden="1" x14ac:dyDescent="0.3">
      <c r="A4854">
        <v>4852</v>
      </c>
      <c r="B4854" s="1" t="s">
        <v>6379</v>
      </c>
      <c r="C4854" t="s">
        <v>67</v>
      </c>
      <c r="D4854" s="1" t="s">
        <v>6380</v>
      </c>
    </row>
    <row r="4855" spans="1:4" hidden="1" x14ac:dyDescent="0.3">
      <c r="A4855">
        <v>4853</v>
      </c>
      <c r="B4855" s="1" t="s">
        <v>6381</v>
      </c>
      <c r="C4855" t="s">
        <v>70</v>
      </c>
      <c r="D4855" s="1" t="s">
        <v>6382</v>
      </c>
    </row>
    <row r="4856" spans="1:4" hidden="1" x14ac:dyDescent="0.3">
      <c r="A4856">
        <v>4854</v>
      </c>
      <c r="B4856" t="s">
        <v>6383</v>
      </c>
      <c r="C4856" t="s">
        <v>73</v>
      </c>
      <c r="D4856">
        <v>1.0001301379088099</v>
      </c>
    </row>
    <row r="4857" spans="1:4" hidden="1" x14ac:dyDescent="0.3">
      <c r="A4857">
        <v>4855</v>
      </c>
      <c r="B4857" t="s">
        <v>74</v>
      </c>
      <c r="C4857" t="s">
        <v>75</v>
      </c>
      <c r="D4857">
        <v>2.7397260273972599E-3</v>
      </c>
    </row>
    <row r="4858" spans="1:4" hidden="1" x14ac:dyDescent="0.3">
      <c r="A4858">
        <v>4856</v>
      </c>
      <c r="B4858" t="s">
        <v>76</v>
      </c>
      <c r="C4858" t="s">
        <v>77</v>
      </c>
      <c r="D4858">
        <v>0</v>
      </c>
    </row>
    <row r="4859" spans="1:4" hidden="1" x14ac:dyDescent="0.3">
      <c r="A4859">
        <v>4857</v>
      </c>
      <c r="B4859" t="s">
        <v>650</v>
      </c>
      <c r="C4859" t="s">
        <v>79</v>
      </c>
      <c r="D4859" s="2">
        <v>2.2204460492503101E-16</v>
      </c>
    </row>
    <row r="4860" spans="1:4" hidden="1" x14ac:dyDescent="0.3">
      <c r="A4860">
        <v>4858</v>
      </c>
      <c r="B4860" s="1" t="s">
        <v>6384</v>
      </c>
      <c r="C4860" t="s">
        <v>81</v>
      </c>
      <c r="D4860" s="1" t="s">
        <v>6385</v>
      </c>
    </row>
    <row r="4861" spans="1:4" hidden="1" x14ac:dyDescent="0.3">
      <c r="A4861">
        <v>4859</v>
      </c>
      <c r="B4861" t="s">
        <v>6386</v>
      </c>
      <c r="C4861" t="s">
        <v>84</v>
      </c>
      <c r="D4861">
        <v>1.0001357254871499</v>
      </c>
    </row>
    <row r="4862" spans="1:4" hidden="1" x14ac:dyDescent="0.3">
      <c r="A4862">
        <v>4860</v>
      </c>
      <c r="B4862" s="1" t="s">
        <v>6387</v>
      </c>
      <c r="C4862" t="s">
        <v>86</v>
      </c>
      <c r="D4862" s="1" t="s">
        <v>6388</v>
      </c>
    </row>
    <row r="4863" spans="1:4" hidden="1" x14ac:dyDescent="0.3">
      <c r="A4863">
        <v>4861</v>
      </c>
      <c r="B4863" t="s">
        <v>6389</v>
      </c>
      <c r="C4863" t="s">
        <v>89</v>
      </c>
      <c r="D4863">
        <v>101176047.315143</v>
      </c>
    </row>
    <row r="4864" spans="1:4" hidden="1" x14ac:dyDescent="0.3">
      <c r="A4864">
        <v>4862</v>
      </c>
      <c r="B4864" s="1" t="s">
        <v>6390</v>
      </c>
      <c r="C4864" t="s">
        <v>91</v>
      </c>
      <c r="D4864" s="1" t="s">
        <v>6326</v>
      </c>
    </row>
    <row r="4865" spans="1:4" hidden="1" x14ac:dyDescent="0.3">
      <c r="A4865">
        <v>4863</v>
      </c>
      <c r="B4865" t="s">
        <v>6391</v>
      </c>
      <c r="C4865" t="s">
        <v>94</v>
      </c>
      <c r="D4865">
        <v>77753223.979324996</v>
      </c>
    </row>
    <row r="4866" spans="1:4" hidden="1" x14ac:dyDescent="0.3">
      <c r="A4866">
        <v>4864</v>
      </c>
      <c r="B4866" t="s">
        <v>6392</v>
      </c>
      <c r="C4866" t="s">
        <v>96</v>
      </c>
      <c r="D4866">
        <v>39626642.709386498</v>
      </c>
    </row>
    <row r="4867" spans="1:4" hidden="1" x14ac:dyDescent="0.3">
      <c r="A4867">
        <v>4865</v>
      </c>
      <c r="B4867" t="s">
        <v>6393</v>
      </c>
      <c r="C4867" t="s">
        <v>98</v>
      </c>
      <c r="D4867">
        <v>29114021.832300499</v>
      </c>
    </row>
    <row r="4868" spans="1:4" hidden="1" x14ac:dyDescent="0.3">
      <c r="A4868">
        <v>4866</v>
      </c>
      <c r="B4868" s="1" t="s">
        <v>6394</v>
      </c>
      <c r="C4868" t="s">
        <v>100</v>
      </c>
      <c r="D4868" s="1" t="s">
        <v>6395</v>
      </c>
    </row>
    <row r="4869" spans="1:4" hidden="1" x14ac:dyDescent="0.3">
      <c r="A4869">
        <v>4867</v>
      </c>
      <c r="B4869" t="s">
        <v>6396</v>
      </c>
      <c r="C4869" t="s">
        <v>103</v>
      </c>
      <c r="D4869">
        <v>8.3421671448224606E-3</v>
      </c>
    </row>
    <row r="4870" spans="1:4" hidden="1" x14ac:dyDescent="0.3">
      <c r="A4870">
        <v>4868</v>
      </c>
      <c r="B4870" t="s">
        <v>6397</v>
      </c>
      <c r="C4870" t="s">
        <v>105</v>
      </c>
      <c r="D4870">
        <v>1.3317533237737699E-3</v>
      </c>
    </row>
    <row r="4871" spans="1:4" hidden="1" x14ac:dyDescent="0.3">
      <c r="A4871">
        <v>4869</v>
      </c>
      <c r="B4871" t="s">
        <v>6398</v>
      </c>
      <c r="C4871" t="s">
        <v>107</v>
      </c>
      <c r="D4871">
        <v>1.0702637001269701E-2</v>
      </c>
    </row>
    <row r="4872" spans="1:4" hidden="1" x14ac:dyDescent="0.3">
      <c r="A4872">
        <v>4870</v>
      </c>
      <c r="B4872" s="1" t="s">
        <v>6399</v>
      </c>
      <c r="C4872" t="s">
        <v>109</v>
      </c>
      <c r="D4872" s="1" t="s">
        <v>6400</v>
      </c>
    </row>
    <row r="4873" spans="1:4" x14ac:dyDescent="0.3">
      <c r="A4873">
        <v>4871</v>
      </c>
      <c r="B4873" t="s">
        <v>6401</v>
      </c>
      <c r="C4873" t="s">
        <v>207</v>
      </c>
      <c r="D4873">
        <v>146494083.855342</v>
      </c>
    </row>
    <row r="4874" spans="1:4" hidden="1" x14ac:dyDescent="0.3">
      <c r="A4874">
        <v>4872</v>
      </c>
      <c r="B4874" t="s">
        <v>6402</v>
      </c>
      <c r="C4874" t="s">
        <v>209</v>
      </c>
      <c r="D4874">
        <v>-434.396445320716</v>
      </c>
    </row>
    <row r="4875" spans="1:4" hidden="1" x14ac:dyDescent="0.3">
      <c r="A4875">
        <v>4873</v>
      </c>
      <c r="B4875" t="s">
        <v>6403</v>
      </c>
      <c r="C4875" t="s">
        <v>211</v>
      </c>
      <c r="D4875">
        <v>-221.388379885772</v>
      </c>
    </row>
    <row r="4876" spans="1:4" hidden="1" x14ac:dyDescent="0.3">
      <c r="A4876">
        <v>4874</v>
      </c>
      <c r="B4876" s="1" t="s">
        <v>6404</v>
      </c>
      <c r="C4876" t="s">
        <v>213</v>
      </c>
      <c r="D4876" s="1" t="s">
        <v>6405</v>
      </c>
    </row>
    <row r="4877" spans="1:4" hidden="1" x14ac:dyDescent="0.3">
      <c r="A4877">
        <v>4875</v>
      </c>
      <c r="B4877" t="s">
        <v>6406</v>
      </c>
      <c r="C4877" t="s">
        <v>216</v>
      </c>
      <c r="D4877">
        <v>77753792.035933405</v>
      </c>
    </row>
    <row r="4878" spans="1:4" hidden="1" x14ac:dyDescent="0.3">
      <c r="A4878">
        <v>4876</v>
      </c>
      <c r="B4878" t="s">
        <v>6407</v>
      </c>
      <c r="C4878" t="s">
        <v>218</v>
      </c>
      <c r="D4878">
        <v>39626903.5675501</v>
      </c>
    </row>
    <row r="4879" spans="1:4" hidden="1" x14ac:dyDescent="0.3">
      <c r="A4879">
        <v>4877</v>
      </c>
      <c r="B4879" t="s">
        <v>6408</v>
      </c>
      <c r="C4879" t="s">
        <v>220</v>
      </c>
      <c r="D4879">
        <v>29114206.692517702</v>
      </c>
    </row>
    <row r="4880" spans="1:4" hidden="1" x14ac:dyDescent="0.3">
      <c r="A4880">
        <v>4878</v>
      </c>
      <c r="B4880" s="1" t="s">
        <v>6409</v>
      </c>
      <c r="C4880" t="s">
        <v>222</v>
      </c>
      <c r="D4880" s="1" t="s">
        <v>6410</v>
      </c>
    </row>
    <row r="4881" spans="1:4" hidden="1" x14ac:dyDescent="0.3">
      <c r="A4881">
        <v>4879</v>
      </c>
      <c r="B4881" t="s">
        <v>6411</v>
      </c>
      <c r="C4881" t="s">
        <v>225</v>
      </c>
      <c r="D4881">
        <v>101176612.57067201</v>
      </c>
    </row>
    <row r="4882" spans="1:4" hidden="1" x14ac:dyDescent="0.3">
      <c r="A4882">
        <v>4880</v>
      </c>
      <c r="B4882" t="s">
        <v>6412</v>
      </c>
      <c r="C4882" t="s">
        <v>227</v>
      </c>
      <c r="D4882">
        <v>-565.25552901625599</v>
      </c>
    </row>
    <row r="4883" spans="1:4" hidden="1" x14ac:dyDescent="0.3">
      <c r="A4883">
        <v>4881</v>
      </c>
      <c r="B4883" s="1" t="s">
        <v>6413</v>
      </c>
      <c r="C4883" t="s">
        <v>229</v>
      </c>
      <c r="D4883" s="1" t="s">
        <v>6414</v>
      </c>
    </row>
    <row r="4884" spans="1:4" hidden="1" x14ac:dyDescent="0.3">
      <c r="A4884">
        <v>4882</v>
      </c>
      <c r="B4884" t="s">
        <v>6415</v>
      </c>
      <c r="C4884" t="s">
        <v>112</v>
      </c>
      <c r="D4884">
        <v>133.660163096171</v>
      </c>
    </row>
    <row r="4885" spans="1:4" hidden="1" x14ac:dyDescent="0.3">
      <c r="A4885">
        <v>4883</v>
      </c>
      <c r="B4885" t="s">
        <v>6416</v>
      </c>
      <c r="C4885" t="s">
        <v>114</v>
      </c>
      <c r="D4885">
        <v>39.469783701053899</v>
      </c>
    </row>
    <row r="4886" spans="1:4" hidden="1" x14ac:dyDescent="0.3">
      <c r="A4886">
        <v>4884</v>
      </c>
      <c r="B4886" s="1" t="s">
        <v>6417</v>
      </c>
      <c r="C4886" t="s">
        <v>116</v>
      </c>
      <c r="D4886" s="1" t="s">
        <v>6418</v>
      </c>
    </row>
    <row r="4887" spans="1:4" hidden="1" x14ac:dyDescent="0.3">
      <c r="A4887">
        <v>4885</v>
      </c>
      <c r="B4887" t="s">
        <v>6419</v>
      </c>
      <c r="C4887" t="s">
        <v>119</v>
      </c>
      <c r="D4887">
        <v>77753792.035933405</v>
      </c>
    </row>
    <row r="4888" spans="1:4" hidden="1" x14ac:dyDescent="0.3">
      <c r="A4888">
        <v>4886</v>
      </c>
      <c r="B4888" t="s">
        <v>6420</v>
      </c>
      <c r="C4888" t="s">
        <v>121</v>
      </c>
      <c r="D4888">
        <v>39626903.5675501</v>
      </c>
    </row>
    <row r="4889" spans="1:4" hidden="1" x14ac:dyDescent="0.3">
      <c r="A4889">
        <v>4887</v>
      </c>
      <c r="B4889" s="1" t="s">
        <v>6421</v>
      </c>
      <c r="C4889" t="s">
        <v>123</v>
      </c>
      <c r="D4889" s="1" t="s">
        <v>6422</v>
      </c>
    </row>
    <row r="4890" spans="1:4" hidden="1" x14ac:dyDescent="0.3">
      <c r="A4890">
        <v>4888</v>
      </c>
      <c r="B4890" t="s">
        <v>6423</v>
      </c>
      <c r="C4890" t="s">
        <v>126</v>
      </c>
      <c r="D4890">
        <v>0.76839141301026603</v>
      </c>
    </row>
    <row r="4891" spans="1:4" hidden="1" x14ac:dyDescent="0.3">
      <c r="A4891">
        <v>4889</v>
      </c>
      <c r="B4891" t="s">
        <v>6424</v>
      </c>
      <c r="C4891" t="s">
        <v>128</v>
      </c>
      <c r="D4891">
        <v>0.39160755544140602</v>
      </c>
    </row>
    <row r="4892" spans="1:4" hidden="1" x14ac:dyDescent="0.3">
      <c r="A4892">
        <v>4890</v>
      </c>
      <c r="B4892" s="1" t="s">
        <v>6425</v>
      </c>
      <c r="C4892" t="s">
        <v>130</v>
      </c>
      <c r="D4892" s="1" t="s">
        <v>6426</v>
      </c>
    </row>
    <row r="4893" spans="1:4" hidden="1" x14ac:dyDescent="0.3">
      <c r="A4893">
        <v>4891</v>
      </c>
      <c r="B4893" s="1" t="s">
        <v>6427</v>
      </c>
      <c r="C4893" t="s">
        <v>4</v>
      </c>
      <c r="D4893" t="s">
        <v>6428</v>
      </c>
    </row>
    <row r="4894" spans="1:4" hidden="1" x14ac:dyDescent="0.3">
      <c r="A4894">
        <v>4892</v>
      </c>
      <c r="B4894" t="s">
        <v>6429</v>
      </c>
      <c r="C4894" t="s">
        <v>7</v>
      </c>
      <c r="D4894">
        <v>1802.9</v>
      </c>
    </row>
    <row r="4895" spans="1:4" hidden="1" x14ac:dyDescent="0.3">
      <c r="A4895">
        <v>4893</v>
      </c>
      <c r="B4895" s="1" t="s">
        <v>6430</v>
      </c>
      <c r="C4895" t="s">
        <v>9</v>
      </c>
      <c r="D4895" s="1" t="s">
        <v>6431</v>
      </c>
    </row>
    <row r="4896" spans="1:4" hidden="1" x14ac:dyDescent="0.3">
      <c r="A4896">
        <v>4894</v>
      </c>
      <c r="B4896" t="s">
        <v>5448</v>
      </c>
      <c r="C4896" t="s">
        <v>14</v>
      </c>
      <c r="D4896">
        <v>98.5390625</v>
      </c>
    </row>
    <row r="4897" spans="1:4" hidden="1" x14ac:dyDescent="0.3">
      <c r="A4897">
        <v>4895</v>
      </c>
      <c r="B4897" t="s">
        <v>6432</v>
      </c>
      <c r="C4897" t="s">
        <v>16</v>
      </c>
      <c r="D4897">
        <v>4.3975518452318703</v>
      </c>
    </row>
    <row r="4898" spans="1:4" hidden="1" x14ac:dyDescent="0.3">
      <c r="A4898">
        <v>4896</v>
      </c>
      <c r="B4898" s="1" t="s">
        <v>6433</v>
      </c>
      <c r="C4898" t="s">
        <v>140</v>
      </c>
      <c r="D4898" s="1" t="s">
        <v>6434</v>
      </c>
    </row>
    <row r="4899" spans="1:4" hidden="1" x14ac:dyDescent="0.3">
      <c r="A4899">
        <v>4897</v>
      </c>
      <c r="B4899" t="s">
        <v>6435</v>
      </c>
      <c r="C4899" t="s">
        <v>22</v>
      </c>
      <c r="D4899">
        <v>72.8</v>
      </c>
    </row>
    <row r="4900" spans="1:4" hidden="1" x14ac:dyDescent="0.3">
      <c r="A4900">
        <v>4898</v>
      </c>
      <c r="B4900" t="s">
        <v>6436</v>
      </c>
      <c r="C4900" t="s">
        <v>24</v>
      </c>
      <c r="D4900">
        <v>6.4925712405424303</v>
      </c>
    </row>
    <row r="4901" spans="1:4" hidden="1" x14ac:dyDescent="0.3">
      <c r="A4901">
        <v>4899</v>
      </c>
      <c r="B4901" s="1" t="s">
        <v>6437</v>
      </c>
      <c r="C4901" t="s">
        <v>145</v>
      </c>
      <c r="D4901" s="1" t="s">
        <v>6438</v>
      </c>
    </row>
    <row r="4902" spans="1:4" hidden="1" x14ac:dyDescent="0.3">
      <c r="A4902">
        <v>4900</v>
      </c>
      <c r="B4902" t="s">
        <v>6439</v>
      </c>
      <c r="C4902" t="s">
        <v>35</v>
      </c>
      <c r="D4902">
        <v>-0.73613989337221797</v>
      </c>
    </row>
    <row r="4903" spans="1:4" hidden="1" x14ac:dyDescent="0.3">
      <c r="A4903">
        <v>4901</v>
      </c>
      <c r="B4903" t="s">
        <v>6440</v>
      </c>
      <c r="C4903" t="s">
        <v>149</v>
      </c>
      <c r="D4903">
        <v>0.74542698688140796</v>
      </c>
    </row>
    <row r="4904" spans="1:4" hidden="1" x14ac:dyDescent="0.3">
      <c r="A4904">
        <v>4902</v>
      </c>
      <c r="B4904" s="1" t="s">
        <v>6441</v>
      </c>
      <c r="C4904" t="s">
        <v>151</v>
      </c>
      <c r="D4904" s="1" t="s">
        <v>6442</v>
      </c>
    </row>
    <row r="4905" spans="1:4" hidden="1" x14ac:dyDescent="0.3">
      <c r="A4905">
        <v>4903</v>
      </c>
      <c r="B4905" t="s">
        <v>6443</v>
      </c>
      <c r="C4905" t="s">
        <v>30</v>
      </c>
      <c r="D4905">
        <v>0.67747758107452205</v>
      </c>
    </row>
    <row r="4906" spans="1:4" hidden="1" x14ac:dyDescent="0.3">
      <c r="A4906">
        <v>4904</v>
      </c>
      <c r="B4906" t="s">
        <v>6444</v>
      </c>
      <c r="C4906" t="s">
        <v>32</v>
      </c>
      <c r="D4906">
        <v>0.17759035768148501</v>
      </c>
    </row>
    <row r="4907" spans="1:4" hidden="1" x14ac:dyDescent="0.3">
      <c r="A4907">
        <v>4905</v>
      </c>
      <c r="B4907" s="1" t="s">
        <v>6445</v>
      </c>
      <c r="C4907" t="s">
        <v>155</v>
      </c>
      <c r="D4907" s="1" t="s">
        <v>6446</v>
      </c>
    </row>
    <row r="4908" spans="1:4" hidden="1" x14ac:dyDescent="0.3">
      <c r="A4908">
        <v>4906</v>
      </c>
      <c r="B4908" t="s">
        <v>6447</v>
      </c>
      <c r="C4908" t="s">
        <v>40</v>
      </c>
      <c r="D4908">
        <v>1.0586623122976899</v>
      </c>
    </row>
    <row r="4909" spans="1:4" hidden="1" x14ac:dyDescent="0.3">
      <c r="A4909">
        <v>4907</v>
      </c>
      <c r="B4909" t="s">
        <v>6448</v>
      </c>
      <c r="C4909" t="s">
        <v>42</v>
      </c>
      <c r="D4909">
        <v>0.16392265110242099</v>
      </c>
    </row>
    <row r="4910" spans="1:4" hidden="1" x14ac:dyDescent="0.3">
      <c r="A4910">
        <v>4908</v>
      </c>
      <c r="B4910" s="1" t="s">
        <v>6449</v>
      </c>
      <c r="C4910" t="s">
        <v>159</v>
      </c>
      <c r="D4910" s="1" t="s">
        <v>6450</v>
      </c>
    </row>
    <row r="4911" spans="1:4" hidden="1" x14ac:dyDescent="0.3">
      <c r="A4911">
        <v>4909</v>
      </c>
      <c r="B4911" t="s">
        <v>6451</v>
      </c>
      <c r="C4911" t="s">
        <v>161</v>
      </c>
      <c r="D4911">
        <v>0.99859867178456097</v>
      </c>
    </row>
    <row r="4912" spans="1:4" hidden="1" x14ac:dyDescent="0.3">
      <c r="A4912">
        <v>4910</v>
      </c>
      <c r="B4912" t="s">
        <v>6452</v>
      </c>
      <c r="C4912" t="s">
        <v>163</v>
      </c>
      <c r="D4912">
        <v>0.99894666609691396</v>
      </c>
    </row>
    <row r="4913" spans="1:4" hidden="1" x14ac:dyDescent="0.3">
      <c r="A4913">
        <v>4911</v>
      </c>
      <c r="B4913" s="1" t="s">
        <v>6453</v>
      </c>
      <c r="C4913" t="s">
        <v>165</v>
      </c>
      <c r="D4913" s="1" t="s">
        <v>6454</v>
      </c>
    </row>
    <row r="4914" spans="1:4" hidden="1" x14ac:dyDescent="0.3">
      <c r="A4914">
        <v>4912</v>
      </c>
      <c r="B4914" t="s">
        <v>6455</v>
      </c>
      <c r="C4914" t="s">
        <v>168</v>
      </c>
      <c r="D4914">
        <v>1.00127388911469</v>
      </c>
    </row>
    <row r="4915" spans="1:4" hidden="1" x14ac:dyDescent="0.3">
      <c r="A4915">
        <v>4913</v>
      </c>
      <c r="B4915" t="s">
        <v>6456</v>
      </c>
      <c r="C4915" t="s">
        <v>170</v>
      </c>
      <c r="D4915">
        <v>0.99865464076824595</v>
      </c>
    </row>
    <row r="4916" spans="1:4" hidden="1" x14ac:dyDescent="0.3">
      <c r="A4916">
        <v>4914</v>
      </c>
      <c r="B4916" s="1" t="s">
        <v>6457</v>
      </c>
      <c r="C4916" t="s">
        <v>172</v>
      </c>
      <c r="D4916" s="1" t="s">
        <v>6458</v>
      </c>
    </row>
    <row r="4917" spans="1:4" hidden="1" x14ac:dyDescent="0.3">
      <c r="A4917">
        <v>4915</v>
      </c>
      <c r="B4917" s="1" t="s">
        <v>6459</v>
      </c>
      <c r="C4917" t="s">
        <v>55</v>
      </c>
      <c r="D4917" s="1" t="s">
        <v>6460</v>
      </c>
    </row>
    <row r="4918" spans="1:4" hidden="1" x14ac:dyDescent="0.3">
      <c r="A4918">
        <v>4916</v>
      </c>
      <c r="B4918" s="1" t="s">
        <v>6461</v>
      </c>
      <c r="C4918" t="s">
        <v>52</v>
      </c>
      <c r="D4918" s="1" t="s">
        <v>6462</v>
      </c>
    </row>
    <row r="4919" spans="1:4" hidden="1" x14ac:dyDescent="0.3">
      <c r="A4919">
        <v>4917</v>
      </c>
      <c r="B4919" s="1" t="s">
        <v>6463</v>
      </c>
      <c r="C4919" t="s">
        <v>58</v>
      </c>
      <c r="D4919" s="1" t="s">
        <v>6464</v>
      </c>
    </row>
    <row r="4920" spans="1:4" hidden="1" x14ac:dyDescent="0.3">
      <c r="A4920">
        <v>4918</v>
      </c>
      <c r="B4920" t="s">
        <v>6465</v>
      </c>
      <c r="C4920" t="s">
        <v>61</v>
      </c>
      <c r="D4920">
        <v>146155837.04875699</v>
      </c>
    </row>
    <row r="4921" spans="1:4" hidden="1" x14ac:dyDescent="0.3">
      <c r="A4921">
        <v>4919</v>
      </c>
      <c r="B4921" t="s">
        <v>6466</v>
      </c>
      <c r="C4921" t="s">
        <v>63</v>
      </c>
      <c r="D4921">
        <v>77644833.453296095</v>
      </c>
    </row>
    <row r="4922" spans="1:4" hidden="1" x14ac:dyDescent="0.3">
      <c r="A4922">
        <v>4920</v>
      </c>
      <c r="B4922" t="s">
        <v>6467</v>
      </c>
      <c r="C4922" t="s">
        <v>65</v>
      </c>
      <c r="D4922">
        <v>39585163.206548102</v>
      </c>
    </row>
    <row r="4923" spans="1:4" hidden="1" x14ac:dyDescent="0.3">
      <c r="A4923">
        <v>4921</v>
      </c>
      <c r="B4923" s="1" t="s">
        <v>6468</v>
      </c>
      <c r="C4923" t="s">
        <v>67</v>
      </c>
      <c r="D4923" s="1" t="s">
        <v>6469</v>
      </c>
    </row>
    <row r="4924" spans="1:4" hidden="1" x14ac:dyDescent="0.3">
      <c r="A4924">
        <v>4922</v>
      </c>
      <c r="B4924" s="1" t="s">
        <v>6470</v>
      </c>
      <c r="C4924" t="s">
        <v>70</v>
      </c>
      <c r="D4924" s="1" t="s">
        <v>6471</v>
      </c>
    </row>
    <row r="4925" spans="1:4" hidden="1" x14ac:dyDescent="0.3">
      <c r="A4925">
        <v>4923</v>
      </c>
      <c r="B4925" t="s">
        <v>6472</v>
      </c>
      <c r="C4925" t="s">
        <v>73</v>
      </c>
      <c r="D4925">
        <v>1.0001357254871499</v>
      </c>
    </row>
    <row r="4926" spans="1:4" hidden="1" x14ac:dyDescent="0.3">
      <c r="A4926">
        <v>4924</v>
      </c>
      <c r="B4926" t="s">
        <v>74</v>
      </c>
      <c r="C4926" t="s">
        <v>75</v>
      </c>
      <c r="D4926">
        <v>2.7397260273972599E-3</v>
      </c>
    </row>
    <row r="4927" spans="1:4" hidden="1" x14ac:dyDescent="0.3">
      <c r="A4927">
        <v>4925</v>
      </c>
      <c r="B4927" t="s">
        <v>76</v>
      </c>
      <c r="C4927" t="s">
        <v>77</v>
      </c>
      <c r="D4927">
        <v>0</v>
      </c>
    </row>
    <row r="4928" spans="1:4" hidden="1" x14ac:dyDescent="0.3">
      <c r="A4928">
        <v>4926</v>
      </c>
      <c r="B4928" t="s">
        <v>78</v>
      </c>
      <c r="C4928" t="s">
        <v>79</v>
      </c>
      <c r="D4928">
        <v>0</v>
      </c>
    </row>
    <row r="4929" spans="1:4" hidden="1" x14ac:dyDescent="0.3">
      <c r="A4929">
        <v>4927</v>
      </c>
      <c r="B4929" s="1" t="s">
        <v>6473</v>
      </c>
      <c r="C4929" t="s">
        <v>81</v>
      </c>
      <c r="D4929" s="1" t="s">
        <v>6474</v>
      </c>
    </row>
    <row r="4930" spans="1:4" hidden="1" x14ac:dyDescent="0.3">
      <c r="A4930">
        <v>4928</v>
      </c>
      <c r="B4930" t="s">
        <v>6475</v>
      </c>
      <c r="C4930" t="s">
        <v>84</v>
      </c>
      <c r="D4930">
        <v>1.0001393166974499</v>
      </c>
    </row>
    <row r="4931" spans="1:4" hidden="1" x14ac:dyDescent="0.3">
      <c r="A4931">
        <v>4929</v>
      </c>
      <c r="B4931" s="1" t="s">
        <v>6476</v>
      </c>
      <c r="C4931" t="s">
        <v>86</v>
      </c>
      <c r="D4931" s="1" t="s">
        <v>6477</v>
      </c>
    </row>
    <row r="4932" spans="1:4" hidden="1" x14ac:dyDescent="0.3">
      <c r="A4932">
        <v>4930</v>
      </c>
      <c r="B4932" t="s">
        <v>6478</v>
      </c>
      <c r="C4932" t="s">
        <v>89</v>
      </c>
      <c r="D4932">
        <v>101175684.021293</v>
      </c>
    </row>
    <row r="4933" spans="1:4" hidden="1" x14ac:dyDescent="0.3">
      <c r="A4933">
        <v>4931</v>
      </c>
      <c r="B4933" s="1" t="s">
        <v>6479</v>
      </c>
      <c r="C4933" t="s">
        <v>91</v>
      </c>
      <c r="D4933" s="1" t="s">
        <v>6414</v>
      </c>
    </row>
    <row r="4934" spans="1:4" hidden="1" x14ac:dyDescent="0.3">
      <c r="A4934">
        <v>4932</v>
      </c>
      <c r="B4934" t="s">
        <v>6480</v>
      </c>
      <c r="C4934" t="s">
        <v>94</v>
      </c>
      <c r="D4934">
        <v>77644833.453296095</v>
      </c>
    </row>
    <row r="4935" spans="1:4" hidden="1" x14ac:dyDescent="0.3">
      <c r="A4935">
        <v>4933</v>
      </c>
      <c r="B4935" t="s">
        <v>6481</v>
      </c>
      <c r="C4935" t="s">
        <v>96</v>
      </c>
      <c r="D4935">
        <v>39585163.206548102</v>
      </c>
    </row>
    <row r="4936" spans="1:4" hidden="1" x14ac:dyDescent="0.3">
      <c r="A4936">
        <v>4934</v>
      </c>
      <c r="B4936" t="s">
        <v>6482</v>
      </c>
      <c r="C4936" t="s">
        <v>98</v>
      </c>
      <c r="D4936">
        <v>28925840.3889134</v>
      </c>
    </row>
    <row r="4937" spans="1:4" hidden="1" x14ac:dyDescent="0.3">
      <c r="A4937">
        <v>4935</v>
      </c>
      <c r="B4937" s="1" t="s">
        <v>6483</v>
      </c>
      <c r="C4937" t="s">
        <v>100</v>
      </c>
      <c r="D4937" s="1" t="s">
        <v>6484</v>
      </c>
    </row>
    <row r="4938" spans="1:4" hidden="1" x14ac:dyDescent="0.3">
      <c r="A4938">
        <v>4936</v>
      </c>
      <c r="B4938" t="s">
        <v>6485</v>
      </c>
      <c r="C4938" t="s">
        <v>103</v>
      </c>
      <c r="D4938">
        <v>8.4440253253849698E-3</v>
      </c>
    </row>
    <row r="4939" spans="1:4" hidden="1" x14ac:dyDescent="0.3">
      <c r="A4939">
        <v>4937</v>
      </c>
      <c r="B4939" t="s">
        <v>6486</v>
      </c>
      <c r="C4939" t="s">
        <v>105</v>
      </c>
      <c r="D4939">
        <v>1.3290066051963899E-3</v>
      </c>
    </row>
    <row r="4940" spans="1:4" hidden="1" x14ac:dyDescent="0.3">
      <c r="A4940">
        <v>4938</v>
      </c>
      <c r="B4940" t="s">
        <v>6487</v>
      </c>
      <c r="C4940" t="s">
        <v>107</v>
      </c>
      <c r="D4940">
        <v>1.07246629791664E-2</v>
      </c>
    </row>
    <row r="4941" spans="1:4" hidden="1" x14ac:dyDescent="0.3">
      <c r="A4941">
        <v>4939</v>
      </c>
      <c r="B4941" s="1" t="s">
        <v>6488</v>
      </c>
      <c r="C4941" t="s">
        <v>109</v>
      </c>
      <c r="D4941" s="1" t="s">
        <v>6489</v>
      </c>
    </row>
    <row r="4942" spans="1:4" x14ac:dyDescent="0.3">
      <c r="A4942">
        <v>4940</v>
      </c>
      <c r="B4942" t="s">
        <v>6490</v>
      </c>
      <c r="C4942" t="s">
        <v>207</v>
      </c>
      <c r="D4942">
        <v>146155962.883302</v>
      </c>
    </row>
    <row r="4943" spans="1:4" hidden="1" x14ac:dyDescent="0.3">
      <c r="A4943">
        <v>4941</v>
      </c>
      <c r="B4943" t="s">
        <v>6491</v>
      </c>
      <c r="C4943" t="s">
        <v>209</v>
      </c>
      <c r="D4943">
        <v>-278.80141803934902</v>
      </c>
    </row>
    <row r="4944" spans="1:4" hidden="1" x14ac:dyDescent="0.3">
      <c r="A4944">
        <v>4942</v>
      </c>
      <c r="B4944" t="s">
        <v>6492</v>
      </c>
      <c r="C4944" t="s">
        <v>211</v>
      </c>
      <c r="D4944">
        <v>-142.13942149458899</v>
      </c>
    </row>
    <row r="4945" spans="1:4" hidden="1" x14ac:dyDescent="0.3">
      <c r="A4945">
        <v>4943</v>
      </c>
      <c r="B4945" s="1" t="s">
        <v>6493</v>
      </c>
      <c r="C4945" t="s">
        <v>213</v>
      </c>
      <c r="D4945" s="1" t="s">
        <v>6494</v>
      </c>
    </row>
    <row r="4946" spans="1:4" hidden="1" x14ac:dyDescent="0.3">
      <c r="A4946">
        <v>4944</v>
      </c>
      <c r="B4946" t="s">
        <v>6495</v>
      </c>
      <c r="C4946" t="s">
        <v>216</v>
      </c>
      <c r="D4946">
        <v>77645204.976600796</v>
      </c>
    </row>
    <row r="4947" spans="1:4" hidden="1" x14ac:dyDescent="0.3">
      <c r="A4947">
        <v>4945</v>
      </c>
      <c r="B4947" t="s">
        <v>6496</v>
      </c>
      <c r="C4947" t="s">
        <v>218</v>
      </c>
      <c r="D4947">
        <v>39585324.1881475</v>
      </c>
    </row>
    <row r="4948" spans="1:4" hidden="1" x14ac:dyDescent="0.3">
      <c r="A4948">
        <v>4946</v>
      </c>
      <c r="B4948" t="s">
        <v>6497</v>
      </c>
      <c r="C4948" t="s">
        <v>220</v>
      </c>
      <c r="D4948">
        <v>28925958.524124</v>
      </c>
    </row>
    <row r="4949" spans="1:4" hidden="1" x14ac:dyDescent="0.3">
      <c r="A4949">
        <v>4947</v>
      </c>
      <c r="B4949" s="1" t="s">
        <v>6498</v>
      </c>
      <c r="C4949" t="s">
        <v>222</v>
      </c>
      <c r="D4949" s="1" t="s">
        <v>6499</v>
      </c>
    </row>
    <row r="4950" spans="1:4" hidden="1" x14ac:dyDescent="0.3">
      <c r="A4950">
        <v>4948</v>
      </c>
      <c r="B4950" t="s">
        <v>6500</v>
      </c>
      <c r="C4950" t="s">
        <v>225</v>
      </c>
      <c r="D4950">
        <v>101176047.315143</v>
      </c>
    </row>
    <row r="4951" spans="1:4" hidden="1" x14ac:dyDescent="0.3">
      <c r="A4951">
        <v>4949</v>
      </c>
      <c r="B4951" t="s">
        <v>6501</v>
      </c>
      <c r="C4951" t="s">
        <v>227</v>
      </c>
      <c r="D4951">
        <v>-363.29385016858498</v>
      </c>
    </row>
    <row r="4952" spans="1:4" hidden="1" x14ac:dyDescent="0.3">
      <c r="A4952">
        <v>4950</v>
      </c>
      <c r="B4952" s="1" t="s">
        <v>6502</v>
      </c>
      <c r="C4952" t="s">
        <v>229</v>
      </c>
      <c r="D4952" s="1" t="s">
        <v>6503</v>
      </c>
    </row>
    <row r="4953" spans="1:4" hidden="1" x14ac:dyDescent="0.3">
      <c r="A4953">
        <v>4951</v>
      </c>
      <c r="B4953" t="s">
        <v>6504</v>
      </c>
      <c r="C4953" t="s">
        <v>112</v>
      </c>
      <c r="D4953">
        <v>92.721886727959102</v>
      </c>
    </row>
    <row r="4954" spans="1:4" hidden="1" x14ac:dyDescent="0.3">
      <c r="A4954">
        <v>4952</v>
      </c>
      <c r="B4954" t="s">
        <v>6505</v>
      </c>
      <c r="C4954" t="s">
        <v>114</v>
      </c>
      <c r="D4954">
        <v>18.842177876613601</v>
      </c>
    </row>
    <row r="4955" spans="1:4" hidden="1" x14ac:dyDescent="0.3">
      <c r="A4955">
        <v>4953</v>
      </c>
      <c r="B4955" s="1" t="s">
        <v>6506</v>
      </c>
      <c r="C4955" t="s">
        <v>116</v>
      </c>
      <c r="D4955" s="1" t="s">
        <v>6507</v>
      </c>
    </row>
    <row r="4956" spans="1:4" hidden="1" x14ac:dyDescent="0.3">
      <c r="A4956">
        <v>4954</v>
      </c>
      <c r="B4956" t="s">
        <v>6508</v>
      </c>
      <c r="C4956" t="s">
        <v>119</v>
      </c>
      <c r="D4956">
        <v>77645204.976600796</v>
      </c>
    </row>
    <row r="4957" spans="1:4" hidden="1" x14ac:dyDescent="0.3">
      <c r="A4957">
        <v>4955</v>
      </c>
      <c r="B4957" t="s">
        <v>6509</v>
      </c>
      <c r="C4957" t="s">
        <v>121</v>
      </c>
      <c r="D4957">
        <v>39585324.1881475</v>
      </c>
    </row>
    <row r="4958" spans="1:4" hidden="1" x14ac:dyDescent="0.3">
      <c r="A4958">
        <v>4956</v>
      </c>
      <c r="B4958" s="1" t="s">
        <v>6510</v>
      </c>
      <c r="C4958" t="s">
        <v>123</v>
      </c>
      <c r="D4958" s="1" t="s">
        <v>6511</v>
      </c>
    </row>
    <row r="4959" spans="1:4" hidden="1" x14ac:dyDescent="0.3">
      <c r="A4959">
        <v>4957</v>
      </c>
      <c r="B4959" t="s">
        <v>6512</v>
      </c>
      <c r="C4959" t="s">
        <v>126</v>
      </c>
      <c r="D4959">
        <v>0.76731984763223304</v>
      </c>
    </row>
    <row r="4960" spans="1:4" hidden="1" x14ac:dyDescent="0.3">
      <c r="A4960">
        <v>4958</v>
      </c>
      <c r="B4960" t="s">
        <v>6513</v>
      </c>
      <c r="C4960" t="s">
        <v>128</v>
      </c>
      <c r="D4960">
        <v>0.39119743368151999</v>
      </c>
    </row>
    <row r="4961" spans="1:4" hidden="1" x14ac:dyDescent="0.3">
      <c r="A4961">
        <v>4959</v>
      </c>
      <c r="B4961" s="1" t="s">
        <v>6514</v>
      </c>
      <c r="C4961" t="s">
        <v>130</v>
      </c>
      <c r="D4961" s="1" t="s">
        <v>6515</v>
      </c>
    </row>
    <row r="4962" spans="1:4" hidden="1" x14ac:dyDescent="0.3">
      <c r="A4962">
        <v>4960</v>
      </c>
      <c r="B4962" s="1" t="s">
        <v>6516</v>
      </c>
      <c r="C4962" t="s">
        <v>4</v>
      </c>
      <c r="D4962" t="s">
        <v>6517</v>
      </c>
    </row>
    <row r="4963" spans="1:4" hidden="1" x14ac:dyDescent="0.3">
      <c r="A4963">
        <v>4961</v>
      </c>
      <c r="B4963" t="s">
        <v>6518</v>
      </c>
      <c r="C4963" t="s">
        <v>7</v>
      </c>
      <c r="D4963">
        <v>1791</v>
      </c>
    </row>
    <row r="4964" spans="1:4" hidden="1" x14ac:dyDescent="0.3">
      <c r="A4964">
        <v>4962</v>
      </c>
      <c r="B4964" s="1" t="s">
        <v>6519</v>
      </c>
      <c r="C4964" t="s">
        <v>9</v>
      </c>
      <c r="D4964" s="1" t="s">
        <v>6520</v>
      </c>
    </row>
    <row r="4965" spans="1:4" hidden="1" x14ac:dyDescent="0.3">
      <c r="A4965">
        <v>4963</v>
      </c>
      <c r="B4965" t="s">
        <v>6521</v>
      </c>
      <c r="C4965" t="s">
        <v>14</v>
      </c>
      <c r="D4965">
        <v>98.44921875</v>
      </c>
    </row>
    <row r="4966" spans="1:4" hidden="1" x14ac:dyDescent="0.3">
      <c r="A4966">
        <v>4964</v>
      </c>
      <c r="B4966" t="s">
        <v>6522</v>
      </c>
      <c r="C4966" t="s">
        <v>16</v>
      </c>
      <c r="D4966">
        <v>4.3928818255239301</v>
      </c>
    </row>
    <row r="4967" spans="1:4" hidden="1" x14ac:dyDescent="0.3">
      <c r="A4967">
        <v>4965</v>
      </c>
      <c r="B4967" s="1" t="s">
        <v>6523</v>
      </c>
      <c r="C4967" t="s">
        <v>140</v>
      </c>
      <c r="D4967" s="1" t="s">
        <v>6524</v>
      </c>
    </row>
    <row r="4968" spans="1:4" hidden="1" x14ac:dyDescent="0.3">
      <c r="A4968">
        <v>4966</v>
      </c>
      <c r="B4968" t="s">
        <v>6525</v>
      </c>
      <c r="C4968" t="s">
        <v>22</v>
      </c>
      <c r="D4968">
        <v>71.95</v>
      </c>
    </row>
    <row r="4969" spans="1:4" hidden="1" x14ac:dyDescent="0.3">
      <c r="A4969">
        <v>4967</v>
      </c>
      <c r="B4969" t="s">
        <v>6526</v>
      </c>
      <c r="C4969" t="s">
        <v>24</v>
      </c>
      <c r="D4969">
        <v>6.4746098931090899</v>
      </c>
    </row>
    <row r="4970" spans="1:4" hidden="1" x14ac:dyDescent="0.3">
      <c r="A4970">
        <v>4968</v>
      </c>
      <c r="B4970" s="1" t="s">
        <v>6527</v>
      </c>
      <c r="C4970" t="s">
        <v>145</v>
      </c>
      <c r="D4970" s="1" t="s">
        <v>6528</v>
      </c>
    </row>
    <row r="4971" spans="1:4" hidden="1" x14ac:dyDescent="0.3">
      <c r="A4971">
        <v>4969</v>
      </c>
      <c r="B4971" t="s">
        <v>6529</v>
      </c>
      <c r="C4971" t="s">
        <v>35</v>
      </c>
      <c r="D4971">
        <v>0.34621421686061499</v>
      </c>
    </row>
    <row r="4972" spans="1:4" hidden="1" x14ac:dyDescent="0.3">
      <c r="A4972">
        <v>4970</v>
      </c>
      <c r="B4972" t="s">
        <v>6530</v>
      </c>
      <c r="C4972" t="s">
        <v>149</v>
      </c>
      <c r="D4972">
        <v>0.74453357584007496</v>
      </c>
    </row>
    <row r="4973" spans="1:4" hidden="1" x14ac:dyDescent="0.3">
      <c r="A4973">
        <v>4971</v>
      </c>
      <c r="B4973" s="1" t="s">
        <v>6531</v>
      </c>
      <c r="C4973" t="s">
        <v>151</v>
      </c>
      <c r="D4973" s="1" t="s">
        <v>6532</v>
      </c>
    </row>
    <row r="4974" spans="1:4" hidden="1" x14ac:dyDescent="0.3">
      <c r="A4974">
        <v>4972</v>
      </c>
      <c r="B4974" t="s">
        <v>6533</v>
      </c>
      <c r="C4974" t="s">
        <v>30</v>
      </c>
      <c r="D4974">
        <v>0.25755080657768198</v>
      </c>
    </row>
    <row r="4975" spans="1:4" hidden="1" x14ac:dyDescent="0.3">
      <c r="A4975">
        <v>4973</v>
      </c>
      <c r="B4975" t="s">
        <v>6534</v>
      </c>
      <c r="C4975" t="s">
        <v>32</v>
      </c>
      <c r="D4975">
        <v>0.178656089830492</v>
      </c>
    </row>
    <row r="4976" spans="1:4" hidden="1" x14ac:dyDescent="0.3">
      <c r="A4976">
        <v>4974</v>
      </c>
      <c r="B4976" s="1" t="s">
        <v>6535</v>
      </c>
      <c r="C4976" t="s">
        <v>155</v>
      </c>
      <c r="D4976" s="1" t="s">
        <v>6536</v>
      </c>
    </row>
    <row r="4977" spans="1:4" hidden="1" x14ac:dyDescent="0.3">
      <c r="A4977">
        <v>4975</v>
      </c>
      <c r="B4977" t="s">
        <v>6537</v>
      </c>
      <c r="C4977" t="s">
        <v>40</v>
      </c>
      <c r="D4977">
        <v>0.39623497656170198</v>
      </c>
    </row>
    <row r="4978" spans="1:4" hidden="1" x14ac:dyDescent="0.3">
      <c r="A4978">
        <v>4976</v>
      </c>
      <c r="B4978" t="s">
        <v>6538</v>
      </c>
      <c r="C4978" t="s">
        <v>42</v>
      </c>
      <c r="D4978">
        <v>0.16446668186140201</v>
      </c>
    </row>
    <row r="4979" spans="1:4" hidden="1" x14ac:dyDescent="0.3">
      <c r="A4979">
        <v>4977</v>
      </c>
      <c r="B4979" s="1" t="s">
        <v>6539</v>
      </c>
      <c r="C4979" t="s">
        <v>159</v>
      </c>
      <c r="D4979" s="1" t="s">
        <v>6540</v>
      </c>
    </row>
    <row r="4980" spans="1:4" hidden="1" x14ac:dyDescent="0.3">
      <c r="A4980">
        <v>4978</v>
      </c>
      <c r="B4980" t="s">
        <v>6541</v>
      </c>
      <c r="C4980" t="s">
        <v>161</v>
      </c>
      <c r="D4980">
        <v>0.99339952299073697</v>
      </c>
    </row>
    <row r="4981" spans="1:4" hidden="1" x14ac:dyDescent="0.3">
      <c r="A4981">
        <v>4979</v>
      </c>
      <c r="B4981" t="s">
        <v>6542</v>
      </c>
      <c r="C4981" t="s">
        <v>163</v>
      </c>
      <c r="D4981">
        <v>0.99908182554566005</v>
      </c>
    </row>
    <row r="4982" spans="1:4" hidden="1" x14ac:dyDescent="0.3">
      <c r="A4982">
        <v>4980</v>
      </c>
      <c r="B4982" s="1" t="s">
        <v>6543</v>
      </c>
      <c r="C4982" t="s">
        <v>165</v>
      </c>
      <c r="D4982" s="1" t="s">
        <v>6544</v>
      </c>
    </row>
    <row r="4983" spans="1:4" hidden="1" x14ac:dyDescent="0.3">
      <c r="A4983">
        <v>4981</v>
      </c>
      <c r="B4983" t="s">
        <v>6545</v>
      </c>
      <c r="C4983" t="s">
        <v>168</v>
      </c>
      <c r="D4983">
        <v>0.99948814184262702</v>
      </c>
    </row>
    <row r="4984" spans="1:4" hidden="1" x14ac:dyDescent="0.3">
      <c r="A4984">
        <v>4982</v>
      </c>
      <c r="B4984" t="s">
        <v>6546</v>
      </c>
      <c r="C4984" t="s">
        <v>170</v>
      </c>
      <c r="D4984">
        <v>1.0009050109336</v>
      </c>
    </row>
    <row r="4985" spans="1:4" hidden="1" x14ac:dyDescent="0.3">
      <c r="A4985">
        <v>4983</v>
      </c>
      <c r="B4985" s="1" t="s">
        <v>6547</v>
      </c>
      <c r="C4985" t="s">
        <v>172</v>
      </c>
      <c r="D4985" s="1" t="s">
        <v>6548</v>
      </c>
    </row>
    <row r="4986" spans="1:4" hidden="1" x14ac:dyDescent="0.3">
      <c r="A4986">
        <v>4984</v>
      </c>
      <c r="B4986" s="1" t="s">
        <v>6549</v>
      </c>
      <c r="C4986" t="s">
        <v>55</v>
      </c>
      <c r="D4986" s="1" t="s">
        <v>6550</v>
      </c>
    </row>
    <row r="4987" spans="1:4" hidden="1" x14ac:dyDescent="0.3">
      <c r="A4987">
        <v>4985</v>
      </c>
      <c r="B4987" s="1" t="s">
        <v>6551</v>
      </c>
      <c r="C4987" t="s">
        <v>52</v>
      </c>
      <c r="D4987" s="1" t="s">
        <v>6552</v>
      </c>
    </row>
    <row r="4988" spans="1:4" hidden="1" x14ac:dyDescent="0.3">
      <c r="A4988">
        <v>4986</v>
      </c>
      <c r="B4988" s="1" t="s">
        <v>6553</v>
      </c>
      <c r="C4988" t="s">
        <v>58</v>
      </c>
      <c r="D4988" s="1" t="s">
        <v>6554</v>
      </c>
    </row>
    <row r="4989" spans="1:4" hidden="1" x14ac:dyDescent="0.3">
      <c r="A4989">
        <v>4987</v>
      </c>
      <c r="B4989" t="s">
        <v>6555</v>
      </c>
      <c r="C4989" t="s">
        <v>61</v>
      </c>
      <c r="D4989">
        <v>145291013.45320499</v>
      </c>
    </row>
    <row r="4990" spans="1:4" hidden="1" x14ac:dyDescent="0.3">
      <c r="A4990">
        <v>4988</v>
      </c>
      <c r="B4990" t="s">
        <v>6556</v>
      </c>
      <c r="C4990" t="s">
        <v>63</v>
      </c>
      <c r="D4990">
        <v>77132709.586273298</v>
      </c>
    </row>
    <row r="4991" spans="1:4" hidden="1" x14ac:dyDescent="0.3">
      <c r="A4991">
        <v>4989</v>
      </c>
      <c r="B4991" t="s">
        <v>6557</v>
      </c>
      <c r="C4991" t="s">
        <v>65</v>
      </c>
      <c r="D4991">
        <v>39548977.954711199</v>
      </c>
    </row>
    <row r="4992" spans="1:4" hidden="1" x14ac:dyDescent="0.3">
      <c r="A4992">
        <v>4990</v>
      </c>
      <c r="B4992" s="1" t="s">
        <v>6558</v>
      </c>
      <c r="C4992" t="s">
        <v>67</v>
      </c>
      <c r="D4992" s="1" t="s">
        <v>6559</v>
      </c>
    </row>
    <row r="4993" spans="1:4" hidden="1" x14ac:dyDescent="0.3">
      <c r="A4993">
        <v>4991</v>
      </c>
      <c r="B4993" s="1" t="s">
        <v>6560</v>
      </c>
      <c r="C4993" t="s">
        <v>70</v>
      </c>
      <c r="D4993" s="1" t="s">
        <v>6561</v>
      </c>
    </row>
    <row r="4994" spans="1:4" hidden="1" x14ac:dyDescent="0.3">
      <c r="A4994">
        <v>4992</v>
      </c>
      <c r="B4994" t="s">
        <v>6562</v>
      </c>
      <c r="C4994" t="s">
        <v>73</v>
      </c>
      <c r="D4994">
        <v>1.0001393166974499</v>
      </c>
    </row>
    <row r="4995" spans="1:4" hidden="1" x14ac:dyDescent="0.3">
      <c r="A4995">
        <v>4993</v>
      </c>
      <c r="B4995" t="s">
        <v>74</v>
      </c>
      <c r="C4995" t="s">
        <v>75</v>
      </c>
      <c r="D4995">
        <v>2.7397260273972599E-3</v>
      </c>
    </row>
    <row r="4996" spans="1:4" hidden="1" x14ac:dyDescent="0.3">
      <c r="A4996">
        <v>4994</v>
      </c>
      <c r="B4996" t="s">
        <v>76</v>
      </c>
      <c r="C4996" t="s">
        <v>77</v>
      </c>
      <c r="D4996">
        <v>0</v>
      </c>
    </row>
    <row r="4997" spans="1:4" hidden="1" x14ac:dyDescent="0.3">
      <c r="A4997">
        <v>4995</v>
      </c>
      <c r="B4997" t="s">
        <v>78</v>
      </c>
      <c r="C4997" t="s">
        <v>79</v>
      </c>
      <c r="D4997">
        <v>0</v>
      </c>
    </row>
    <row r="4998" spans="1:4" hidden="1" x14ac:dyDescent="0.3">
      <c r="A4998">
        <v>4996</v>
      </c>
      <c r="B4998" s="1" t="s">
        <v>6563</v>
      </c>
      <c r="C4998" t="s">
        <v>81</v>
      </c>
      <c r="D4998" s="1" t="s">
        <v>6564</v>
      </c>
    </row>
    <row r="4999" spans="1:4" hidden="1" x14ac:dyDescent="0.3">
      <c r="A4999">
        <v>4997</v>
      </c>
      <c r="B4999" t="s">
        <v>6565</v>
      </c>
      <c r="C4999" t="s">
        <v>84</v>
      </c>
      <c r="D4999">
        <v>1.0001255359993999</v>
      </c>
    </row>
    <row r="5000" spans="1:4" hidden="1" x14ac:dyDescent="0.3">
      <c r="A5000">
        <v>4998</v>
      </c>
      <c r="B5000" s="1" t="s">
        <v>6566</v>
      </c>
      <c r="C5000" t="s">
        <v>86</v>
      </c>
      <c r="D5000" s="1" t="s">
        <v>6567</v>
      </c>
    </row>
    <row r="5001" spans="1:4" hidden="1" x14ac:dyDescent="0.3">
      <c r="A5001">
        <v>4999</v>
      </c>
      <c r="B5001" t="s">
        <v>6568</v>
      </c>
      <c r="C5001" t="s">
        <v>89</v>
      </c>
      <c r="D5001">
        <v>101177078.117835</v>
      </c>
    </row>
    <row r="5002" spans="1:4" hidden="1" x14ac:dyDescent="0.3">
      <c r="A5002">
        <v>5000</v>
      </c>
      <c r="B5002" s="1" t="s">
        <v>6569</v>
      </c>
      <c r="C5002" t="s">
        <v>91</v>
      </c>
      <c r="D5002" s="1" t="s">
        <v>6503</v>
      </c>
    </row>
    <row r="5003" spans="1:4" hidden="1" x14ac:dyDescent="0.3">
      <c r="A5003">
        <v>5001</v>
      </c>
      <c r="B5003" t="s">
        <v>6570</v>
      </c>
      <c r="C5003" t="s">
        <v>94</v>
      </c>
      <c r="D5003">
        <v>77132709.586273298</v>
      </c>
    </row>
    <row r="5004" spans="1:4" hidden="1" x14ac:dyDescent="0.3">
      <c r="A5004">
        <v>5002</v>
      </c>
      <c r="B5004" t="s">
        <v>6571</v>
      </c>
      <c r="C5004" t="s">
        <v>96</v>
      </c>
      <c r="D5004">
        <v>39548977.954711199</v>
      </c>
    </row>
    <row r="5005" spans="1:4" hidden="1" x14ac:dyDescent="0.3">
      <c r="A5005">
        <v>5003</v>
      </c>
      <c r="B5005" t="s">
        <v>6572</v>
      </c>
      <c r="C5005" t="s">
        <v>98</v>
      </c>
      <c r="D5005">
        <v>28609325.912221</v>
      </c>
    </row>
    <row r="5006" spans="1:4" hidden="1" x14ac:dyDescent="0.3">
      <c r="A5006">
        <v>5004</v>
      </c>
      <c r="B5006" s="1" t="s">
        <v>6573</v>
      </c>
      <c r="C5006" t="s">
        <v>100</v>
      </c>
      <c r="D5006" s="1" t="s">
        <v>6574</v>
      </c>
    </row>
    <row r="5007" spans="1:4" hidden="1" x14ac:dyDescent="0.3">
      <c r="A5007">
        <v>5005</v>
      </c>
      <c r="B5007" t="s">
        <v>6575</v>
      </c>
      <c r="C5007" t="s">
        <v>103</v>
      </c>
      <c r="D5007">
        <v>8.3552748866186303E-3</v>
      </c>
    </row>
    <row r="5008" spans="1:4" hidden="1" x14ac:dyDescent="0.3">
      <c r="A5008">
        <v>5006</v>
      </c>
      <c r="B5008" t="s">
        <v>6576</v>
      </c>
      <c r="C5008" t="s">
        <v>105</v>
      </c>
      <c r="D5008">
        <v>1.3276833962497E-3</v>
      </c>
    </row>
    <row r="5009" spans="1:4" hidden="1" x14ac:dyDescent="0.3">
      <c r="A5009">
        <v>5007</v>
      </c>
      <c r="B5009" t="s">
        <v>6577</v>
      </c>
      <c r="C5009" t="s">
        <v>107</v>
      </c>
      <c r="D5009">
        <v>1.07423481458925E-2</v>
      </c>
    </row>
    <row r="5010" spans="1:4" hidden="1" x14ac:dyDescent="0.3">
      <c r="A5010">
        <v>5008</v>
      </c>
      <c r="B5010" s="1" t="s">
        <v>6578</v>
      </c>
      <c r="C5010" t="s">
        <v>109</v>
      </c>
      <c r="D5010" s="1" t="s">
        <v>6579</v>
      </c>
    </row>
    <row r="5011" spans="1:4" x14ac:dyDescent="0.3">
      <c r="A5011">
        <v>5009</v>
      </c>
      <c r="B5011" t="s">
        <v>6580</v>
      </c>
      <c r="C5011" t="s">
        <v>207</v>
      </c>
      <c r="D5011">
        <v>145290530.38285199</v>
      </c>
    </row>
    <row r="5012" spans="1:4" hidden="1" x14ac:dyDescent="0.3">
      <c r="A5012">
        <v>5010</v>
      </c>
      <c r="B5012" t="s">
        <v>6581</v>
      </c>
      <c r="C5012" t="s">
        <v>209</v>
      </c>
      <c r="D5012">
        <v>1062.7897945616901</v>
      </c>
    </row>
    <row r="5013" spans="1:4" hidden="1" x14ac:dyDescent="0.3">
      <c r="A5013">
        <v>5011</v>
      </c>
      <c r="B5013" t="s">
        <v>6582</v>
      </c>
      <c r="C5013" t="s">
        <v>211</v>
      </c>
      <c r="D5013">
        <v>544.93517714932898</v>
      </c>
    </row>
    <row r="5014" spans="1:4" hidden="1" x14ac:dyDescent="0.3">
      <c r="A5014">
        <v>5012</v>
      </c>
      <c r="B5014" s="1" t="s">
        <v>6583</v>
      </c>
      <c r="C5014" t="s">
        <v>213</v>
      </c>
      <c r="D5014" s="1" t="s">
        <v>6584</v>
      </c>
    </row>
    <row r="5015" spans="1:4" hidden="1" x14ac:dyDescent="0.3">
      <c r="A5015">
        <v>5013</v>
      </c>
      <c r="B5015" t="s">
        <v>6585</v>
      </c>
      <c r="C5015" t="s">
        <v>216</v>
      </c>
      <c r="D5015">
        <v>77131304.189485297</v>
      </c>
    </row>
    <row r="5016" spans="1:4" hidden="1" x14ac:dyDescent="0.3">
      <c r="A5016">
        <v>5014</v>
      </c>
      <c r="B5016" t="s">
        <v>6586</v>
      </c>
      <c r="C5016" t="s">
        <v>218</v>
      </c>
      <c r="D5016">
        <v>39548329.431964599</v>
      </c>
    </row>
    <row r="5017" spans="1:4" hidden="1" x14ac:dyDescent="0.3">
      <c r="A5017">
        <v>5015</v>
      </c>
      <c r="B5017" t="s">
        <v>6587</v>
      </c>
      <c r="C5017" t="s">
        <v>220</v>
      </c>
      <c r="D5017">
        <v>28608894.835375998</v>
      </c>
    </row>
    <row r="5018" spans="1:4" hidden="1" x14ac:dyDescent="0.3">
      <c r="A5018">
        <v>5016</v>
      </c>
      <c r="B5018" s="1" t="s">
        <v>6588</v>
      </c>
      <c r="C5018" t="s">
        <v>222</v>
      </c>
      <c r="D5018" s="1" t="s">
        <v>6589</v>
      </c>
    </row>
    <row r="5019" spans="1:4" hidden="1" x14ac:dyDescent="0.3">
      <c r="A5019">
        <v>5017</v>
      </c>
      <c r="B5019" t="s">
        <v>6590</v>
      </c>
      <c r="C5019" t="s">
        <v>225</v>
      </c>
      <c r="D5019">
        <v>101175684.021293</v>
      </c>
    </row>
    <row r="5020" spans="1:4" hidden="1" x14ac:dyDescent="0.3">
      <c r="A5020">
        <v>5018</v>
      </c>
      <c r="B5020" t="s">
        <v>6591</v>
      </c>
      <c r="C5020" t="s">
        <v>227</v>
      </c>
      <c r="D5020">
        <v>1394.09654180705</v>
      </c>
    </row>
    <row r="5021" spans="1:4" hidden="1" x14ac:dyDescent="0.3">
      <c r="A5021">
        <v>5019</v>
      </c>
      <c r="B5021" s="1" t="s">
        <v>6592</v>
      </c>
      <c r="C5021" t="s">
        <v>229</v>
      </c>
      <c r="D5021" s="1" t="s">
        <v>6593</v>
      </c>
    </row>
    <row r="5022" spans="1:4" hidden="1" x14ac:dyDescent="0.3">
      <c r="A5022">
        <v>5020</v>
      </c>
      <c r="B5022" t="s">
        <v>6594</v>
      </c>
      <c r="C5022" t="s">
        <v>112</v>
      </c>
      <c r="D5022">
        <v>-342.60699339397098</v>
      </c>
    </row>
    <row r="5023" spans="1:4" hidden="1" x14ac:dyDescent="0.3">
      <c r="A5023">
        <v>5021</v>
      </c>
      <c r="B5023" t="s">
        <v>6595</v>
      </c>
      <c r="C5023" t="s">
        <v>114</v>
      </c>
      <c r="D5023">
        <v>-103.587569419861</v>
      </c>
    </row>
    <row r="5024" spans="1:4" hidden="1" x14ac:dyDescent="0.3">
      <c r="A5024">
        <v>5022</v>
      </c>
      <c r="B5024" s="1" t="s">
        <v>6596</v>
      </c>
      <c r="C5024" t="s">
        <v>116</v>
      </c>
      <c r="D5024" s="1" t="s">
        <v>6597</v>
      </c>
    </row>
    <row r="5025" spans="1:4" hidden="1" x14ac:dyDescent="0.3">
      <c r="A5025">
        <v>5023</v>
      </c>
      <c r="B5025" t="s">
        <v>6598</v>
      </c>
      <c r="C5025" t="s">
        <v>119</v>
      </c>
      <c r="D5025">
        <v>77131304.189485297</v>
      </c>
    </row>
    <row r="5026" spans="1:4" hidden="1" x14ac:dyDescent="0.3">
      <c r="A5026">
        <v>5024</v>
      </c>
      <c r="B5026" t="s">
        <v>6599</v>
      </c>
      <c r="C5026" t="s">
        <v>121</v>
      </c>
      <c r="D5026">
        <v>39548329.431964599</v>
      </c>
    </row>
    <row r="5027" spans="1:4" hidden="1" x14ac:dyDescent="0.3">
      <c r="A5027">
        <v>5025</v>
      </c>
      <c r="B5027" s="1" t="s">
        <v>6600</v>
      </c>
      <c r="C5027" t="s">
        <v>123</v>
      </c>
      <c r="D5027" s="1" t="s">
        <v>6601</v>
      </c>
    </row>
    <row r="5028" spans="1:4" hidden="1" x14ac:dyDescent="0.3">
      <c r="A5028">
        <v>5026</v>
      </c>
      <c r="B5028" t="s">
        <v>6602</v>
      </c>
      <c r="C5028" t="s">
        <v>126</v>
      </c>
      <c r="D5028">
        <v>0.76225452187977605</v>
      </c>
    </row>
    <row r="5029" spans="1:4" hidden="1" x14ac:dyDescent="0.3">
      <c r="A5029">
        <v>5027</v>
      </c>
      <c r="B5029" t="s">
        <v>6603</v>
      </c>
      <c r="C5029" t="s">
        <v>128</v>
      </c>
      <c r="D5029">
        <v>0.39083862588719998</v>
      </c>
    </row>
    <row r="5030" spans="1:4" hidden="1" x14ac:dyDescent="0.3">
      <c r="A5030">
        <v>5028</v>
      </c>
      <c r="B5030" s="1" t="s">
        <v>6604</v>
      </c>
      <c r="C5030" t="s">
        <v>130</v>
      </c>
      <c r="D5030" s="1" t="s">
        <v>6605</v>
      </c>
    </row>
    <row r="5031" spans="1:4" hidden="1" x14ac:dyDescent="0.3">
      <c r="A5031">
        <v>5029</v>
      </c>
      <c r="B5031" s="1" t="s">
        <v>6606</v>
      </c>
      <c r="C5031" t="s">
        <v>4</v>
      </c>
      <c r="D5031" t="s">
        <v>6607</v>
      </c>
    </row>
    <row r="5032" spans="1:4" hidden="1" x14ac:dyDescent="0.3">
      <c r="A5032">
        <v>5030</v>
      </c>
      <c r="B5032" t="s">
        <v>6608</v>
      </c>
      <c r="C5032" t="s">
        <v>7</v>
      </c>
      <c r="D5032">
        <v>1792.43</v>
      </c>
    </row>
    <row r="5033" spans="1:4" hidden="1" x14ac:dyDescent="0.3">
      <c r="A5033">
        <v>5031</v>
      </c>
      <c r="B5033" s="1" t="s">
        <v>6609</v>
      </c>
      <c r="C5033" t="s">
        <v>9</v>
      </c>
      <c r="D5033" s="1" t="s">
        <v>6610</v>
      </c>
    </row>
    <row r="5034" spans="1:4" hidden="1" x14ac:dyDescent="0.3">
      <c r="A5034">
        <v>5032</v>
      </c>
      <c r="B5034" t="s">
        <v>6611</v>
      </c>
      <c r="C5034" t="s">
        <v>14</v>
      </c>
      <c r="D5034">
        <v>98.37890625</v>
      </c>
    </row>
    <row r="5035" spans="1:4" hidden="1" x14ac:dyDescent="0.3">
      <c r="A5035">
        <v>5033</v>
      </c>
      <c r="B5035" t="s">
        <v>6612</v>
      </c>
      <c r="C5035" t="s">
        <v>16</v>
      </c>
      <c r="D5035">
        <v>4.3937515317605804</v>
      </c>
    </row>
    <row r="5036" spans="1:4" hidden="1" x14ac:dyDescent="0.3">
      <c r="A5036">
        <v>5034</v>
      </c>
      <c r="B5036" s="1" t="s">
        <v>6613</v>
      </c>
      <c r="C5036" t="s">
        <v>140</v>
      </c>
      <c r="D5036" s="1" t="s">
        <v>6614</v>
      </c>
    </row>
    <row r="5037" spans="1:4" hidden="1" x14ac:dyDescent="0.3">
      <c r="A5037">
        <v>5035</v>
      </c>
      <c r="B5037" t="s">
        <v>6615</v>
      </c>
      <c r="C5037" t="s">
        <v>22</v>
      </c>
      <c r="D5037">
        <v>71.599999999999994</v>
      </c>
    </row>
    <row r="5038" spans="1:4" hidden="1" x14ac:dyDescent="0.3">
      <c r="A5038">
        <v>5036</v>
      </c>
      <c r="B5038" t="s">
        <v>6616</v>
      </c>
      <c r="C5038" t="s">
        <v>24</v>
      </c>
      <c r="D5038">
        <v>6.5536607814421899</v>
      </c>
    </row>
    <row r="5039" spans="1:4" hidden="1" x14ac:dyDescent="0.3">
      <c r="A5039">
        <v>5037</v>
      </c>
      <c r="B5039" s="1" t="s">
        <v>6617</v>
      </c>
      <c r="C5039" t="s">
        <v>145</v>
      </c>
      <c r="D5039" s="1" t="s">
        <v>6618</v>
      </c>
    </row>
    <row r="5040" spans="1:4" hidden="1" x14ac:dyDescent="0.3">
      <c r="A5040">
        <v>5038</v>
      </c>
      <c r="B5040" t="s">
        <v>6619</v>
      </c>
      <c r="C5040" t="s">
        <v>35</v>
      </c>
      <c r="D5040">
        <v>0.19646481878893499</v>
      </c>
    </row>
    <row r="5041" spans="1:4" hidden="1" x14ac:dyDescent="0.3">
      <c r="A5041">
        <v>5039</v>
      </c>
      <c r="B5041" t="s">
        <v>6620</v>
      </c>
      <c r="C5041" t="s">
        <v>149</v>
      </c>
      <c r="D5041">
        <v>0.74226599245935798</v>
      </c>
    </row>
    <row r="5042" spans="1:4" hidden="1" x14ac:dyDescent="0.3">
      <c r="A5042">
        <v>5040</v>
      </c>
      <c r="B5042" s="1" t="s">
        <v>6621</v>
      </c>
      <c r="C5042" t="s">
        <v>151</v>
      </c>
      <c r="D5042" s="1" t="s">
        <v>6622</v>
      </c>
    </row>
    <row r="5043" spans="1:4" hidden="1" x14ac:dyDescent="0.3">
      <c r="A5043">
        <v>5041</v>
      </c>
      <c r="B5043" t="s">
        <v>6623</v>
      </c>
      <c r="C5043" t="s">
        <v>30</v>
      </c>
      <c r="D5043">
        <v>0.31274310353093798</v>
      </c>
    </row>
    <row r="5044" spans="1:4" hidden="1" x14ac:dyDescent="0.3">
      <c r="A5044">
        <v>5042</v>
      </c>
      <c r="B5044" t="s">
        <v>6624</v>
      </c>
      <c r="C5044" t="s">
        <v>32</v>
      </c>
      <c r="D5044">
        <v>0.18249938982300901</v>
      </c>
    </row>
    <row r="5045" spans="1:4" hidden="1" x14ac:dyDescent="0.3">
      <c r="A5045">
        <v>5043</v>
      </c>
      <c r="B5045" s="1" t="s">
        <v>6625</v>
      </c>
      <c r="C5045" t="s">
        <v>155</v>
      </c>
      <c r="D5045" s="1" t="s">
        <v>6626</v>
      </c>
    </row>
    <row r="5046" spans="1:4" hidden="1" x14ac:dyDescent="0.3">
      <c r="A5046">
        <v>5044</v>
      </c>
      <c r="B5046" t="s">
        <v>6627</v>
      </c>
      <c r="C5046" t="s">
        <v>40</v>
      </c>
      <c r="D5046">
        <v>0.49079207768012501</v>
      </c>
    </row>
    <row r="5047" spans="1:4" hidden="1" x14ac:dyDescent="0.3">
      <c r="A5047">
        <v>5045</v>
      </c>
      <c r="B5047" t="s">
        <v>6628</v>
      </c>
      <c r="C5047" t="s">
        <v>42</v>
      </c>
      <c r="D5047">
        <v>0.16472655095691</v>
      </c>
    </row>
    <row r="5048" spans="1:4" hidden="1" x14ac:dyDescent="0.3">
      <c r="A5048">
        <v>5046</v>
      </c>
      <c r="B5048" s="1" t="s">
        <v>6629</v>
      </c>
      <c r="C5048" t="s">
        <v>159</v>
      </c>
      <c r="D5048" s="1" t="s">
        <v>6630</v>
      </c>
    </row>
    <row r="5049" spans="1:4" hidden="1" x14ac:dyDescent="0.3">
      <c r="A5049">
        <v>5047</v>
      </c>
      <c r="B5049" t="s">
        <v>6631</v>
      </c>
      <c r="C5049" t="s">
        <v>161</v>
      </c>
      <c r="D5049">
        <v>1.0007984366275799</v>
      </c>
    </row>
    <row r="5050" spans="1:4" hidden="1" x14ac:dyDescent="0.3">
      <c r="A5050">
        <v>5048</v>
      </c>
      <c r="B5050" t="s">
        <v>6632</v>
      </c>
      <c r="C5050" t="s">
        <v>163</v>
      </c>
      <c r="D5050">
        <v>0.99932476297766404</v>
      </c>
    </row>
    <row r="5051" spans="1:4" hidden="1" x14ac:dyDescent="0.3">
      <c r="A5051">
        <v>5049</v>
      </c>
      <c r="B5051" s="1" t="s">
        <v>6633</v>
      </c>
      <c r="C5051" t="s">
        <v>165</v>
      </c>
      <c r="D5051" s="1" t="s">
        <v>6634</v>
      </c>
    </row>
    <row r="5052" spans="1:4" hidden="1" x14ac:dyDescent="0.3">
      <c r="A5052">
        <v>5050</v>
      </c>
      <c r="B5052" t="s">
        <v>6635</v>
      </c>
      <c r="C5052" t="s">
        <v>168</v>
      </c>
      <c r="D5052">
        <v>0.99870017785147702</v>
      </c>
    </row>
    <row r="5053" spans="1:4" hidden="1" x14ac:dyDescent="0.3">
      <c r="A5053">
        <v>5051</v>
      </c>
      <c r="B5053" t="s">
        <v>6636</v>
      </c>
      <c r="C5053" t="s">
        <v>170</v>
      </c>
      <c r="D5053">
        <v>1.00326074757995</v>
      </c>
    </row>
    <row r="5054" spans="1:4" hidden="1" x14ac:dyDescent="0.3">
      <c r="A5054">
        <v>5052</v>
      </c>
      <c r="B5054" s="1" t="s">
        <v>6637</v>
      </c>
      <c r="C5054" t="s">
        <v>172</v>
      </c>
      <c r="D5054" s="1" t="s">
        <v>6638</v>
      </c>
    </row>
    <row r="5055" spans="1:4" hidden="1" x14ac:dyDescent="0.3">
      <c r="A5055">
        <v>5053</v>
      </c>
      <c r="B5055" s="1" t="s">
        <v>6639</v>
      </c>
      <c r="C5055" t="s">
        <v>55</v>
      </c>
      <c r="D5055" s="1" t="s">
        <v>6640</v>
      </c>
    </row>
    <row r="5056" spans="1:4" hidden="1" x14ac:dyDescent="0.3">
      <c r="A5056">
        <v>5054</v>
      </c>
      <c r="B5056" s="1" t="s">
        <v>6641</v>
      </c>
      <c r="C5056" t="s">
        <v>52</v>
      </c>
      <c r="D5056" s="1" t="s">
        <v>6642</v>
      </c>
    </row>
    <row r="5057" spans="1:4" hidden="1" x14ac:dyDescent="0.3">
      <c r="A5057">
        <v>5055</v>
      </c>
      <c r="B5057" s="1" t="s">
        <v>6643</v>
      </c>
      <c r="C5057" t="s">
        <v>58</v>
      </c>
      <c r="D5057" s="1" t="s">
        <v>6644</v>
      </c>
    </row>
    <row r="5058" spans="1:4" hidden="1" x14ac:dyDescent="0.3">
      <c r="A5058">
        <v>5056</v>
      </c>
      <c r="B5058" t="s">
        <v>6645</v>
      </c>
      <c r="C5058" t="s">
        <v>61</v>
      </c>
      <c r="D5058">
        <v>145224567.574902</v>
      </c>
    </row>
    <row r="5059" spans="1:4" hidden="1" x14ac:dyDescent="0.3">
      <c r="A5059">
        <v>5057</v>
      </c>
      <c r="B5059" t="s">
        <v>6646</v>
      </c>
      <c r="C5059" t="s">
        <v>63</v>
      </c>
      <c r="D5059">
        <v>77192888.6478834</v>
      </c>
    </row>
    <row r="5060" spans="1:4" hidden="1" x14ac:dyDescent="0.3">
      <c r="A5060">
        <v>5058</v>
      </c>
      <c r="B5060" t="s">
        <v>6647</v>
      </c>
      <c r="C5060" t="s">
        <v>65</v>
      </c>
      <c r="D5060">
        <v>39521624.935760602</v>
      </c>
    </row>
    <row r="5061" spans="1:4" hidden="1" x14ac:dyDescent="0.3">
      <c r="A5061">
        <v>5059</v>
      </c>
      <c r="B5061" s="1" t="s">
        <v>6648</v>
      </c>
      <c r="C5061" t="s">
        <v>67</v>
      </c>
      <c r="D5061" s="1" t="s">
        <v>6649</v>
      </c>
    </row>
    <row r="5062" spans="1:4" hidden="1" x14ac:dyDescent="0.3">
      <c r="A5062">
        <v>5060</v>
      </c>
      <c r="B5062" s="1" t="s">
        <v>6650</v>
      </c>
      <c r="C5062" t="s">
        <v>70</v>
      </c>
      <c r="D5062" s="1" t="s">
        <v>6651</v>
      </c>
    </row>
    <row r="5063" spans="1:4" hidden="1" x14ac:dyDescent="0.3">
      <c r="A5063">
        <v>5061</v>
      </c>
      <c r="B5063" t="s">
        <v>6652</v>
      </c>
      <c r="C5063" t="s">
        <v>73</v>
      </c>
      <c r="D5063">
        <v>1.0001255359993999</v>
      </c>
    </row>
    <row r="5064" spans="1:4" hidden="1" x14ac:dyDescent="0.3">
      <c r="A5064">
        <v>5062</v>
      </c>
      <c r="B5064" t="s">
        <v>74</v>
      </c>
      <c r="C5064" t="s">
        <v>75</v>
      </c>
      <c r="D5064">
        <v>2.7397260273972599E-3</v>
      </c>
    </row>
    <row r="5065" spans="1:4" hidden="1" x14ac:dyDescent="0.3">
      <c r="A5065">
        <v>5063</v>
      </c>
      <c r="B5065" t="s">
        <v>76</v>
      </c>
      <c r="C5065" t="s">
        <v>77</v>
      </c>
      <c r="D5065">
        <v>0</v>
      </c>
    </row>
    <row r="5066" spans="1:4" hidden="1" x14ac:dyDescent="0.3">
      <c r="A5066">
        <v>5064</v>
      </c>
      <c r="B5066" t="s">
        <v>78</v>
      </c>
      <c r="C5066" t="s">
        <v>79</v>
      </c>
      <c r="D5066">
        <v>0</v>
      </c>
    </row>
    <row r="5067" spans="1:4" hidden="1" x14ac:dyDescent="0.3">
      <c r="A5067">
        <v>5065</v>
      </c>
      <c r="B5067" s="1" t="s">
        <v>6653</v>
      </c>
      <c r="C5067" t="s">
        <v>81</v>
      </c>
      <c r="D5067" s="1" t="s">
        <v>6654</v>
      </c>
    </row>
    <row r="5068" spans="1:4" hidden="1" x14ac:dyDescent="0.3">
      <c r="A5068">
        <v>5066</v>
      </c>
      <c r="B5068" t="s">
        <v>6655</v>
      </c>
      <c r="C5068" t="s">
        <v>84</v>
      </c>
      <c r="D5068">
        <v>1.0001322755303801</v>
      </c>
    </row>
    <row r="5069" spans="1:4" hidden="1" x14ac:dyDescent="0.3">
      <c r="A5069">
        <v>5067</v>
      </c>
      <c r="B5069" s="1" t="s">
        <v>6656</v>
      </c>
      <c r="C5069" t="s">
        <v>86</v>
      </c>
      <c r="D5069" s="1" t="s">
        <v>6657</v>
      </c>
    </row>
    <row r="5070" spans="1:4" hidden="1" x14ac:dyDescent="0.3">
      <c r="A5070">
        <v>5068</v>
      </c>
      <c r="B5070" t="s">
        <v>6658</v>
      </c>
      <c r="C5070" t="s">
        <v>89</v>
      </c>
      <c r="D5070">
        <v>101176396.32196701</v>
      </c>
    </row>
    <row r="5071" spans="1:4" hidden="1" x14ac:dyDescent="0.3">
      <c r="A5071">
        <v>5069</v>
      </c>
      <c r="B5071" s="1" t="s">
        <v>6659</v>
      </c>
      <c r="C5071" t="s">
        <v>91</v>
      </c>
      <c r="D5071" s="1" t="s">
        <v>6593</v>
      </c>
    </row>
    <row r="5072" spans="1:4" hidden="1" x14ac:dyDescent="0.3">
      <c r="A5072">
        <v>5070</v>
      </c>
      <c r="B5072" t="s">
        <v>6660</v>
      </c>
      <c r="C5072" t="s">
        <v>94</v>
      </c>
      <c r="D5072">
        <v>77192888.6478834</v>
      </c>
    </row>
    <row r="5073" spans="1:4" hidden="1" x14ac:dyDescent="0.3">
      <c r="A5073">
        <v>5071</v>
      </c>
      <c r="B5073" t="s">
        <v>6661</v>
      </c>
      <c r="C5073" t="s">
        <v>96</v>
      </c>
      <c r="D5073">
        <v>39521624.935760602</v>
      </c>
    </row>
    <row r="5074" spans="1:4" hidden="1" x14ac:dyDescent="0.3">
      <c r="A5074">
        <v>5072</v>
      </c>
      <c r="B5074" t="s">
        <v>6662</v>
      </c>
      <c r="C5074" t="s">
        <v>98</v>
      </c>
      <c r="D5074">
        <v>28510053.991258498</v>
      </c>
    </row>
    <row r="5075" spans="1:4" hidden="1" x14ac:dyDescent="0.3">
      <c r="A5075">
        <v>5073</v>
      </c>
      <c r="B5075" s="1" t="s">
        <v>6663</v>
      </c>
      <c r="C5075" t="s">
        <v>100</v>
      </c>
      <c r="D5075" s="1" t="s">
        <v>6664</v>
      </c>
    </row>
    <row r="5076" spans="1:4" hidden="1" x14ac:dyDescent="0.3">
      <c r="A5076">
        <v>5074</v>
      </c>
      <c r="B5076" t="s">
        <v>6665</v>
      </c>
      <c r="C5076" t="s">
        <v>103</v>
      </c>
      <c r="D5076">
        <v>8.2221569216857499E-3</v>
      </c>
    </row>
    <row r="5077" spans="1:4" hidden="1" x14ac:dyDescent="0.3">
      <c r="A5077">
        <v>5075</v>
      </c>
      <c r="B5077" t="s">
        <v>6666</v>
      </c>
      <c r="C5077" t="s">
        <v>105</v>
      </c>
      <c r="D5077">
        <v>1.32916151102953E-3</v>
      </c>
    </row>
    <row r="5078" spans="1:4" hidden="1" x14ac:dyDescent="0.3">
      <c r="A5078">
        <v>5076</v>
      </c>
      <c r="B5078" t="s">
        <v>6667</v>
      </c>
      <c r="C5078" t="s">
        <v>107</v>
      </c>
      <c r="D5078">
        <v>1.0331325024073801E-2</v>
      </c>
    </row>
    <row r="5079" spans="1:4" hidden="1" x14ac:dyDescent="0.3">
      <c r="A5079">
        <v>5077</v>
      </c>
      <c r="B5079" s="1" t="s">
        <v>6668</v>
      </c>
      <c r="C5079" t="s">
        <v>109</v>
      </c>
      <c r="D5079" s="1" t="s">
        <v>6669</v>
      </c>
    </row>
    <row r="5080" spans="1:4" x14ac:dyDescent="0.3">
      <c r="A5080">
        <v>5078</v>
      </c>
      <c r="B5080" t="s">
        <v>6670</v>
      </c>
      <c r="C5080" t="s">
        <v>207</v>
      </c>
      <c r="D5080">
        <v>145224803.61478001</v>
      </c>
    </row>
    <row r="5081" spans="1:4" hidden="1" x14ac:dyDescent="0.3">
      <c r="A5081">
        <v>5079</v>
      </c>
      <c r="B5081" t="s">
        <v>6671</v>
      </c>
      <c r="C5081" t="s">
        <v>209</v>
      </c>
      <c r="D5081">
        <v>-520.17965065510896</v>
      </c>
    </row>
    <row r="5082" spans="1:4" hidden="1" x14ac:dyDescent="0.3">
      <c r="A5082">
        <v>5080</v>
      </c>
      <c r="B5082" t="s">
        <v>6672</v>
      </c>
      <c r="C5082" t="s">
        <v>211</v>
      </c>
      <c r="D5082">
        <v>-266.324108387791</v>
      </c>
    </row>
    <row r="5083" spans="1:4" hidden="1" x14ac:dyDescent="0.3">
      <c r="A5083">
        <v>5081</v>
      </c>
      <c r="B5083" s="1" t="s">
        <v>6673</v>
      </c>
      <c r="C5083" t="s">
        <v>213</v>
      </c>
      <c r="D5083" s="1" t="s">
        <v>6674</v>
      </c>
    </row>
    <row r="5084" spans="1:4" hidden="1" x14ac:dyDescent="0.3">
      <c r="A5084">
        <v>5082</v>
      </c>
      <c r="B5084" t="s">
        <v>6675</v>
      </c>
      <c r="C5084" t="s">
        <v>216</v>
      </c>
      <c r="D5084">
        <v>77193570.2099085</v>
      </c>
    </row>
    <row r="5085" spans="1:4" hidden="1" x14ac:dyDescent="0.3">
      <c r="A5085">
        <v>5083</v>
      </c>
      <c r="B5085" t="s">
        <v>6676</v>
      </c>
      <c r="C5085" t="s">
        <v>218</v>
      </c>
      <c r="D5085">
        <v>39521939.648221701</v>
      </c>
    </row>
    <row r="5086" spans="1:4" hidden="1" x14ac:dyDescent="0.3">
      <c r="A5086">
        <v>5084</v>
      </c>
      <c r="B5086" t="s">
        <v>6677</v>
      </c>
      <c r="C5086" t="s">
        <v>220</v>
      </c>
      <c r="D5086">
        <v>28510272.380860001</v>
      </c>
    </row>
    <row r="5087" spans="1:4" hidden="1" x14ac:dyDescent="0.3">
      <c r="A5087">
        <v>5085</v>
      </c>
      <c r="B5087" s="1" t="s">
        <v>6678</v>
      </c>
      <c r="C5087" t="s">
        <v>222</v>
      </c>
      <c r="D5087" s="1" t="s">
        <v>6679</v>
      </c>
    </row>
    <row r="5088" spans="1:4" hidden="1" x14ac:dyDescent="0.3">
      <c r="A5088">
        <v>5086</v>
      </c>
      <c r="B5088" t="s">
        <v>6680</v>
      </c>
      <c r="C5088" t="s">
        <v>225</v>
      </c>
      <c r="D5088">
        <v>101177078.117835</v>
      </c>
    </row>
    <row r="5089" spans="1:4" hidden="1" x14ac:dyDescent="0.3">
      <c r="A5089">
        <v>5087</v>
      </c>
      <c r="B5089" t="s">
        <v>6681</v>
      </c>
      <c r="C5089" t="s">
        <v>227</v>
      </c>
      <c r="D5089">
        <v>-681.79586727917194</v>
      </c>
    </row>
    <row r="5090" spans="1:4" hidden="1" x14ac:dyDescent="0.3">
      <c r="A5090">
        <v>5088</v>
      </c>
      <c r="B5090" s="1" t="s">
        <v>6682</v>
      </c>
      <c r="C5090" t="s">
        <v>229</v>
      </c>
      <c r="D5090" s="1" t="s">
        <v>6683</v>
      </c>
    </row>
    <row r="5091" spans="1:4" hidden="1" x14ac:dyDescent="0.3">
      <c r="A5091">
        <v>5089</v>
      </c>
      <c r="B5091" t="s">
        <v>6684</v>
      </c>
      <c r="C5091" t="s">
        <v>112</v>
      </c>
      <c r="D5091">
        <v>161.38237440949001</v>
      </c>
    </row>
    <row r="5092" spans="1:4" hidden="1" x14ac:dyDescent="0.3">
      <c r="A5092">
        <v>5090</v>
      </c>
      <c r="B5092" t="s">
        <v>6685</v>
      </c>
      <c r="C5092" t="s">
        <v>114</v>
      </c>
      <c r="D5092">
        <v>48.388352656731897</v>
      </c>
    </row>
    <row r="5093" spans="1:4" hidden="1" x14ac:dyDescent="0.3">
      <c r="A5093">
        <v>5091</v>
      </c>
      <c r="B5093" s="1" t="s">
        <v>6686</v>
      </c>
      <c r="C5093" t="s">
        <v>116</v>
      </c>
      <c r="D5093" s="1" t="s">
        <v>6687</v>
      </c>
    </row>
    <row r="5094" spans="1:4" hidden="1" x14ac:dyDescent="0.3">
      <c r="A5094">
        <v>5092</v>
      </c>
      <c r="B5094" t="s">
        <v>6688</v>
      </c>
      <c r="C5094" t="s">
        <v>119</v>
      </c>
      <c r="D5094">
        <v>77193570.2099085</v>
      </c>
    </row>
    <row r="5095" spans="1:4" hidden="1" x14ac:dyDescent="0.3">
      <c r="A5095">
        <v>5093</v>
      </c>
      <c r="B5095" t="s">
        <v>6689</v>
      </c>
      <c r="C5095" t="s">
        <v>121</v>
      </c>
      <c r="D5095">
        <v>39521939.648221701</v>
      </c>
    </row>
    <row r="5096" spans="1:4" hidden="1" x14ac:dyDescent="0.3">
      <c r="A5096">
        <v>5094</v>
      </c>
      <c r="B5096" s="1" t="s">
        <v>6690</v>
      </c>
      <c r="C5096" t="s">
        <v>123</v>
      </c>
      <c r="D5096" s="1" t="s">
        <v>6691</v>
      </c>
    </row>
    <row r="5097" spans="1:4" hidden="1" x14ac:dyDescent="0.3">
      <c r="A5097">
        <v>5095</v>
      </c>
      <c r="B5097" t="s">
        <v>6692</v>
      </c>
      <c r="C5097" t="s">
        <v>126</v>
      </c>
      <c r="D5097">
        <v>0.76285421733605396</v>
      </c>
    </row>
    <row r="5098" spans="1:4" hidden="1" x14ac:dyDescent="0.3">
      <c r="A5098">
        <v>5096</v>
      </c>
      <c r="B5098" t="s">
        <v>6693</v>
      </c>
      <c r="C5098" t="s">
        <v>128</v>
      </c>
      <c r="D5098">
        <v>0.39056981372882499</v>
      </c>
    </row>
    <row r="5099" spans="1:4" hidden="1" x14ac:dyDescent="0.3">
      <c r="A5099">
        <v>5097</v>
      </c>
      <c r="B5099" s="1" t="s">
        <v>6694</v>
      </c>
      <c r="C5099" t="s">
        <v>130</v>
      </c>
      <c r="D5099" s="1" t="s">
        <v>6695</v>
      </c>
    </row>
    <row r="5100" spans="1:4" hidden="1" x14ac:dyDescent="0.3">
      <c r="A5100">
        <v>5098</v>
      </c>
      <c r="B5100" s="1" t="s">
        <v>6696</v>
      </c>
      <c r="C5100" t="s">
        <v>4</v>
      </c>
      <c r="D5100" t="s">
        <v>6697</v>
      </c>
    </row>
    <row r="5101" spans="1:4" hidden="1" x14ac:dyDescent="0.3">
      <c r="A5101">
        <v>5099</v>
      </c>
      <c r="B5101" t="s">
        <v>6698</v>
      </c>
      <c r="C5101" t="s">
        <v>7</v>
      </c>
      <c r="D5101">
        <v>1817.57</v>
      </c>
    </row>
    <row r="5102" spans="1:4" hidden="1" x14ac:dyDescent="0.3">
      <c r="A5102">
        <v>5100</v>
      </c>
      <c r="B5102" s="1" t="s">
        <v>6699</v>
      </c>
      <c r="C5102" t="s">
        <v>9</v>
      </c>
      <c r="D5102" s="1" t="s">
        <v>6700</v>
      </c>
    </row>
    <row r="5103" spans="1:4" hidden="1" x14ac:dyDescent="0.3">
      <c r="A5103">
        <v>5101</v>
      </c>
      <c r="B5103" t="s">
        <v>6701</v>
      </c>
      <c r="C5103" t="s">
        <v>14</v>
      </c>
      <c r="D5103">
        <v>98.5859375</v>
      </c>
    </row>
    <row r="5104" spans="1:4" hidden="1" x14ac:dyDescent="0.3">
      <c r="A5104">
        <v>5102</v>
      </c>
      <c r="B5104" t="s">
        <v>6702</v>
      </c>
      <c r="C5104" t="s">
        <v>16</v>
      </c>
      <c r="D5104">
        <v>4.3959132575441204</v>
      </c>
    </row>
    <row r="5105" spans="1:4" hidden="1" x14ac:dyDescent="0.3">
      <c r="A5105">
        <v>5103</v>
      </c>
      <c r="B5105" s="1" t="s">
        <v>6703</v>
      </c>
      <c r="C5105" t="s">
        <v>140</v>
      </c>
      <c r="D5105" s="1" t="s">
        <v>6704</v>
      </c>
    </row>
    <row r="5106" spans="1:4" hidden="1" x14ac:dyDescent="0.3">
      <c r="A5106">
        <v>5104</v>
      </c>
      <c r="B5106" t="s">
        <v>6705</v>
      </c>
      <c r="C5106" t="s">
        <v>22</v>
      </c>
      <c r="D5106">
        <v>71.5</v>
      </c>
    </row>
    <row r="5107" spans="1:4" hidden="1" x14ac:dyDescent="0.3">
      <c r="A5107">
        <v>5105</v>
      </c>
      <c r="B5107" t="s">
        <v>6706</v>
      </c>
      <c r="C5107" t="s">
        <v>24</v>
      </c>
      <c r="D5107">
        <v>6.6231695673805397</v>
      </c>
    </row>
    <row r="5108" spans="1:4" hidden="1" x14ac:dyDescent="0.3">
      <c r="A5108">
        <v>5106</v>
      </c>
      <c r="B5108" s="1" t="s">
        <v>6707</v>
      </c>
      <c r="C5108" t="s">
        <v>145</v>
      </c>
      <c r="D5108" s="1" t="s">
        <v>6708</v>
      </c>
    </row>
    <row r="5109" spans="1:4" hidden="1" x14ac:dyDescent="0.3">
      <c r="A5109">
        <v>5107</v>
      </c>
      <c r="B5109" t="s">
        <v>6709</v>
      </c>
      <c r="C5109" t="s">
        <v>35</v>
      </c>
      <c r="D5109">
        <v>-0.81757970046488404</v>
      </c>
    </row>
    <row r="5110" spans="1:4" hidden="1" x14ac:dyDescent="0.3">
      <c r="A5110">
        <v>5108</v>
      </c>
      <c r="B5110" t="s">
        <v>6710</v>
      </c>
      <c r="C5110" t="s">
        <v>149</v>
      </c>
      <c r="D5110">
        <v>0.74211912209592401</v>
      </c>
    </row>
    <row r="5111" spans="1:4" hidden="1" x14ac:dyDescent="0.3">
      <c r="A5111">
        <v>5109</v>
      </c>
      <c r="B5111" s="1" t="s">
        <v>6711</v>
      </c>
      <c r="C5111" t="s">
        <v>151</v>
      </c>
      <c r="D5111" s="1" t="s">
        <v>6712</v>
      </c>
    </row>
    <row r="5112" spans="1:4" hidden="1" x14ac:dyDescent="0.3">
      <c r="A5112">
        <v>5110</v>
      </c>
      <c r="B5112" t="s">
        <v>6713</v>
      </c>
      <c r="C5112" t="s">
        <v>30</v>
      </c>
      <c r="D5112">
        <v>0.70802766492447999</v>
      </c>
    </row>
    <row r="5113" spans="1:4" hidden="1" x14ac:dyDescent="0.3">
      <c r="A5113">
        <v>5111</v>
      </c>
      <c r="B5113" t="s">
        <v>6714</v>
      </c>
      <c r="C5113" t="s">
        <v>32</v>
      </c>
      <c r="D5113">
        <v>0.18358338707441699</v>
      </c>
    </row>
    <row r="5114" spans="1:4" hidden="1" x14ac:dyDescent="0.3">
      <c r="A5114">
        <v>5112</v>
      </c>
      <c r="B5114" s="1" t="s">
        <v>6715</v>
      </c>
      <c r="C5114" t="s">
        <v>155</v>
      </c>
      <c r="D5114" s="1" t="s">
        <v>6716</v>
      </c>
    </row>
    <row r="5115" spans="1:4" hidden="1" x14ac:dyDescent="0.3">
      <c r="A5115">
        <v>5113</v>
      </c>
      <c r="B5115" t="s">
        <v>6717</v>
      </c>
      <c r="C5115" t="s">
        <v>40</v>
      </c>
      <c r="D5115">
        <v>1.1095520355404001</v>
      </c>
    </row>
    <row r="5116" spans="1:4" hidden="1" x14ac:dyDescent="0.3">
      <c r="A5116">
        <v>5114</v>
      </c>
      <c r="B5116" t="s">
        <v>6718</v>
      </c>
      <c r="C5116" t="s">
        <v>42</v>
      </c>
      <c r="D5116">
        <v>0.16390917877641001</v>
      </c>
    </row>
    <row r="5117" spans="1:4" hidden="1" x14ac:dyDescent="0.3">
      <c r="A5117">
        <v>5115</v>
      </c>
      <c r="B5117" s="1" t="s">
        <v>6719</v>
      </c>
      <c r="C5117" t="s">
        <v>159</v>
      </c>
      <c r="D5117" s="1" t="s">
        <v>6720</v>
      </c>
    </row>
    <row r="5118" spans="1:4" hidden="1" x14ac:dyDescent="0.3">
      <c r="A5118">
        <v>5116</v>
      </c>
      <c r="B5118" t="s">
        <v>6721</v>
      </c>
      <c r="C5118" t="s">
        <v>161</v>
      </c>
      <c r="D5118">
        <v>1.0140256523267199</v>
      </c>
    </row>
    <row r="5119" spans="1:4" hidden="1" x14ac:dyDescent="0.3">
      <c r="A5119">
        <v>5117</v>
      </c>
      <c r="B5119" t="s">
        <v>6722</v>
      </c>
      <c r="C5119" t="s">
        <v>163</v>
      </c>
      <c r="D5119">
        <v>1.0020354925161801</v>
      </c>
    </row>
    <row r="5120" spans="1:4" hidden="1" x14ac:dyDescent="0.3">
      <c r="A5120">
        <v>5118</v>
      </c>
      <c r="B5120" s="1" t="s">
        <v>6723</v>
      </c>
      <c r="C5120" t="s">
        <v>165</v>
      </c>
      <c r="D5120" s="1" t="s">
        <v>6724</v>
      </c>
    </row>
    <row r="5121" spans="1:4" hidden="1" x14ac:dyDescent="0.3">
      <c r="A5121">
        <v>5119</v>
      </c>
      <c r="B5121" t="s">
        <v>6725</v>
      </c>
      <c r="C5121" t="s">
        <v>168</v>
      </c>
      <c r="D5121">
        <v>0.99991570152659204</v>
      </c>
    </row>
    <row r="5122" spans="1:4" hidden="1" x14ac:dyDescent="0.3">
      <c r="A5122">
        <v>5120</v>
      </c>
      <c r="B5122" t="s">
        <v>6726</v>
      </c>
      <c r="C5122" t="s">
        <v>170</v>
      </c>
      <c r="D5122">
        <v>1.0009167000513799</v>
      </c>
    </row>
    <row r="5123" spans="1:4" hidden="1" x14ac:dyDescent="0.3">
      <c r="A5123">
        <v>5121</v>
      </c>
      <c r="B5123" s="1" t="s">
        <v>6727</v>
      </c>
      <c r="C5123" t="s">
        <v>172</v>
      </c>
      <c r="D5123" s="1" t="s">
        <v>6728</v>
      </c>
    </row>
    <row r="5124" spans="1:4" hidden="1" x14ac:dyDescent="0.3">
      <c r="A5124">
        <v>5122</v>
      </c>
      <c r="B5124" s="1" t="s">
        <v>6729</v>
      </c>
      <c r="C5124" t="s">
        <v>55</v>
      </c>
      <c r="D5124" s="1" t="s">
        <v>6730</v>
      </c>
    </row>
    <row r="5125" spans="1:4" hidden="1" x14ac:dyDescent="0.3">
      <c r="A5125">
        <v>5123</v>
      </c>
      <c r="B5125" s="1" t="s">
        <v>6731</v>
      </c>
      <c r="C5125" t="s">
        <v>52</v>
      </c>
      <c r="D5125" s="1" t="s">
        <v>6732</v>
      </c>
    </row>
    <row r="5126" spans="1:4" hidden="1" x14ac:dyDescent="0.3">
      <c r="A5126">
        <v>5124</v>
      </c>
      <c r="B5126" s="1" t="s">
        <v>6733</v>
      </c>
      <c r="C5126" t="s">
        <v>58</v>
      </c>
      <c r="D5126" s="1" t="s">
        <v>6734</v>
      </c>
    </row>
    <row r="5127" spans="1:4" hidden="1" x14ac:dyDescent="0.3">
      <c r="A5127">
        <v>5125</v>
      </c>
      <c r="B5127" t="s">
        <v>6735</v>
      </c>
      <c r="C5127" t="s">
        <v>61</v>
      </c>
      <c r="D5127">
        <v>146377795.905527</v>
      </c>
    </row>
    <row r="5128" spans="1:4" hidden="1" x14ac:dyDescent="0.3">
      <c r="A5128">
        <v>5126</v>
      </c>
      <c r="B5128" t="s">
        <v>6736</v>
      </c>
      <c r="C5128" t="s">
        <v>63</v>
      </c>
      <c r="D5128">
        <v>78276260.387531593</v>
      </c>
    </row>
    <row r="5129" spans="1:4" hidden="1" x14ac:dyDescent="0.3">
      <c r="A5129">
        <v>5127</v>
      </c>
      <c r="B5129" t="s">
        <v>6737</v>
      </c>
      <c r="C5129" t="s">
        <v>65</v>
      </c>
      <c r="D5129">
        <v>39602386.260600902</v>
      </c>
    </row>
    <row r="5130" spans="1:4" hidden="1" x14ac:dyDescent="0.3">
      <c r="A5130">
        <v>5128</v>
      </c>
      <c r="B5130" s="1" t="s">
        <v>6738</v>
      </c>
      <c r="C5130" t="s">
        <v>67</v>
      </c>
      <c r="D5130" s="1" t="s">
        <v>6739</v>
      </c>
    </row>
    <row r="5131" spans="1:4" hidden="1" x14ac:dyDescent="0.3">
      <c r="A5131">
        <v>5129</v>
      </c>
      <c r="B5131" s="1" t="s">
        <v>6740</v>
      </c>
      <c r="C5131" t="s">
        <v>70</v>
      </c>
      <c r="D5131" s="1" t="s">
        <v>6741</v>
      </c>
    </row>
    <row r="5132" spans="1:4" hidden="1" x14ac:dyDescent="0.3">
      <c r="A5132">
        <v>5130</v>
      </c>
      <c r="B5132" t="s">
        <v>6742</v>
      </c>
      <c r="C5132" t="s">
        <v>73</v>
      </c>
      <c r="D5132">
        <v>1.0001322755303801</v>
      </c>
    </row>
    <row r="5133" spans="1:4" hidden="1" x14ac:dyDescent="0.3">
      <c r="A5133">
        <v>5131</v>
      </c>
      <c r="B5133" t="s">
        <v>74</v>
      </c>
      <c r="C5133" t="s">
        <v>75</v>
      </c>
      <c r="D5133">
        <v>2.7397260273972599E-3</v>
      </c>
    </row>
    <row r="5134" spans="1:4" hidden="1" x14ac:dyDescent="0.3">
      <c r="A5134">
        <v>5132</v>
      </c>
      <c r="B5134" t="s">
        <v>76</v>
      </c>
      <c r="C5134" t="s">
        <v>77</v>
      </c>
      <c r="D5134">
        <v>0</v>
      </c>
    </row>
    <row r="5135" spans="1:4" hidden="1" x14ac:dyDescent="0.3">
      <c r="A5135">
        <v>5133</v>
      </c>
      <c r="B5135" t="s">
        <v>78</v>
      </c>
      <c r="C5135" t="s">
        <v>79</v>
      </c>
      <c r="D5135">
        <v>0</v>
      </c>
    </row>
    <row r="5136" spans="1:4" hidden="1" x14ac:dyDescent="0.3">
      <c r="A5136">
        <v>5134</v>
      </c>
      <c r="B5136" s="1" t="s">
        <v>6743</v>
      </c>
      <c r="C5136" t="s">
        <v>81</v>
      </c>
      <c r="D5136" s="1" t="s">
        <v>6744</v>
      </c>
    </row>
    <row r="5137" spans="1:4" hidden="1" x14ac:dyDescent="0.3">
      <c r="A5137">
        <v>5135</v>
      </c>
      <c r="B5137" t="s">
        <v>6745</v>
      </c>
      <c r="C5137" t="s">
        <v>84</v>
      </c>
      <c r="D5137">
        <v>1.0001046668736999</v>
      </c>
    </row>
    <row r="5138" spans="1:4" hidden="1" x14ac:dyDescent="0.3">
      <c r="A5138">
        <v>5136</v>
      </c>
      <c r="B5138" s="1" t="s">
        <v>6746</v>
      </c>
      <c r="C5138" t="s">
        <v>86</v>
      </c>
      <c r="D5138" s="1" t="s">
        <v>6747</v>
      </c>
    </row>
    <row r="5139" spans="1:4" hidden="1" x14ac:dyDescent="0.3">
      <c r="A5139">
        <v>5137</v>
      </c>
      <c r="B5139" t="s">
        <v>6748</v>
      </c>
      <c r="C5139" t="s">
        <v>89</v>
      </c>
      <c r="D5139">
        <v>101179189.374018</v>
      </c>
    </row>
    <row r="5140" spans="1:4" hidden="1" x14ac:dyDescent="0.3">
      <c r="A5140">
        <v>5138</v>
      </c>
      <c r="B5140" s="1" t="s">
        <v>6749</v>
      </c>
      <c r="C5140" t="s">
        <v>91</v>
      </c>
      <c r="D5140" s="1" t="s">
        <v>6683</v>
      </c>
    </row>
    <row r="5141" spans="1:4" hidden="1" x14ac:dyDescent="0.3">
      <c r="A5141">
        <v>5139</v>
      </c>
      <c r="B5141" t="s">
        <v>6750</v>
      </c>
      <c r="C5141" t="s">
        <v>94</v>
      </c>
      <c r="D5141">
        <v>78276260.387531593</v>
      </c>
    </row>
    <row r="5142" spans="1:4" hidden="1" x14ac:dyDescent="0.3">
      <c r="A5142">
        <v>5140</v>
      </c>
      <c r="B5142" t="s">
        <v>6751</v>
      </c>
      <c r="C5142" t="s">
        <v>96</v>
      </c>
      <c r="D5142">
        <v>39602386.260600902</v>
      </c>
    </row>
    <row r="5143" spans="1:4" hidden="1" x14ac:dyDescent="0.3">
      <c r="A5143">
        <v>5141</v>
      </c>
      <c r="B5143" t="s">
        <v>6752</v>
      </c>
      <c r="C5143" t="s">
        <v>98</v>
      </c>
      <c r="D5143">
        <v>28499149.257394899</v>
      </c>
    </row>
    <row r="5144" spans="1:4" hidden="1" x14ac:dyDescent="0.3">
      <c r="A5144">
        <v>5142</v>
      </c>
      <c r="B5144" s="1" t="s">
        <v>6753</v>
      </c>
      <c r="C5144" t="s">
        <v>100</v>
      </c>
      <c r="D5144" s="1" t="s">
        <v>6754</v>
      </c>
    </row>
    <row r="5145" spans="1:4" hidden="1" x14ac:dyDescent="0.3">
      <c r="A5145">
        <v>5143</v>
      </c>
      <c r="B5145" t="s">
        <v>6755</v>
      </c>
      <c r="C5145" t="s">
        <v>103</v>
      </c>
      <c r="D5145">
        <v>8.1204251344169399E-3</v>
      </c>
    </row>
    <row r="5146" spans="1:4" hidden="1" x14ac:dyDescent="0.3">
      <c r="A5146">
        <v>5144</v>
      </c>
      <c r="B5146" t="s">
        <v>6756</v>
      </c>
      <c r="C5146" t="s">
        <v>105</v>
      </c>
      <c r="D5146">
        <v>1.32771823958898E-3</v>
      </c>
    </row>
    <row r="5147" spans="1:4" hidden="1" x14ac:dyDescent="0.3">
      <c r="A5147">
        <v>5145</v>
      </c>
      <c r="B5147" t="s">
        <v>6757</v>
      </c>
      <c r="C5147" t="s">
        <v>107</v>
      </c>
      <c r="D5147">
        <v>1.0026565898422201E-2</v>
      </c>
    </row>
    <row r="5148" spans="1:4" hidden="1" x14ac:dyDescent="0.3">
      <c r="A5148">
        <v>5146</v>
      </c>
      <c r="B5148" s="1" t="s">
        <v>6758</v>
      </c>
      <c r="C5148" t="s">
        <v>109</v>
      </c>
      <c r="D5148" s="1" t="s">
        <v>6759</v>
      </c>
    </row>
    <row r="5149" spans="1:4" x14ac:dyDescent="0.3">
      <c r="A5149">
        <v>5147</v>
      </c>
      <c r="B5149" t="s">
        <v>6760</v>
      </c>
      <c r="C5149" t="s">
        <v>207</v>
      </c>
      <c r="D5149">
        <v>146376828.98572901</v>
      </c>
    </row>
    <row r="5150" spans="1:4" hidden="1" x14ac:dyDescent="0.3">
      <c r="A5150">
        <v>5148</v>
      </c>
      <c r="B5150" t="s">
        <v>6761</v>
      </c>
      <c r="C5150" t="s">
        <v>209</v>
      </c>
      <c r="D5150">
        <v>2160.7959579356602</v>
      </c>
    </row>
    <row r="5151" spans="1:4" hidden="1" x14ac:dyDescent="0.3">
      <c r="A5151">
        <v>5149</v>
      </c>
      <c r="B5151" t="s">
        <v>6762</v>
      </c>
      <c r="C5151" t="s">
        <v>211</v>
      </c>
      <c r="D5151">
        <v>1093.2199782499099</v>
      </c>
    </row>
    <row r="5152" spans="1:4" hidden="1" x14ac:dyDescent="0.3">
      <c r="A5152">
        <v>5150</v>
      </c>
      <c r="B5152" s="1" t="s">
        <v>6763</v>
      </c>
      <c r="C5152" t="s">
        <v>213</v>
      </c>
      <c r="D5152" s="1" t="s">
        <v>6764</v>
      </c>
    </row>
    <row r="5153" spans="1:4" hidden="1" x14ac:dyDescent="0.3">
      <c r="A5153">
        <v>5151</v>
      </c>
      <c r="B5153" t="s">
        <v>6765</v>
      </c>
      <c r="C5153" t="s">
        <v>216</v>
      </c>
      <c r="D5153">
        <v>78273352.693495497</v>
      </c>
    </row>
    <row r="5154" spans="1:4" hidden="1" x14ac:dyDescent="0.3">
      <c r="A5154">
        <v>5152</v>
      </c>
      <c r="B5154" t="s">
        <v>6766</v>
      </c>
      <c r="C5154" t="s">
        <v>218</v>
      </c>
      <c r="D5154">
        <v>39601144.483295597</v>
      </c>
    </row>
    <row r="5155" spans="1:4" hidden="1" x14ac:dyDescent="0.3">
      <c r="A5155">
        <v>5153</v>
      </c>
      <c r="B5155" t="s">
        <v>6767</v>
      </c>
      <c r="C5155" t="s">
        <v>220</v>
      </c>
      <c r="D5155">
        <v>28498291.0758113</v>
      </c>
    </row>
    <row r="5156" spans="1:4" hidden="1" x14ac:dyDescent="0.3">
      <c r="A5156">
        <v>5154</v>
      </c>
      <c r="B5156" s="1" t="s">
        <v>6768</v>
      </c>
      <c r="C5156" t="s">
        <v>222</v>
      </c>
      <c r="D5156" s="1" t="s">
        <v>6769</v>
      </c>
    </row>
    <row r="5157" spans="1:4" hidden="1" x14ac:dyDescent="0.3">
      <c r="A5157">
        <v>5155</v>
      </c>
      <c r="B5157" t="s">
        <v>6770</v>
      </c>
      <c r="C5157" t="s">
        <v>225</v>
      </c>
      <c r="D5157">
        <v>101176396.32196701</v>
      </c>
    </row>
    <row r="5158" spans="1:4" hidden="1" x14ac:dyDescent="0.3">
      <c r="A5158">
        <v>5156</v>
      </c>
      <c r="B5158" t="s">
        <v>6771</v>
      </c>
      <c r="C5158" t="s">
        <v>227</v>
      </c>
      <c r="D5158">
        <v>2793.05205012857</v>
      </c>
    </row>
    <row r="5159" spans="1:4" hidden="1" x14ac:dyDescent="0.3">
      <c r="A5159">
        <v>5157</v>
      </c>
      <c r="B5159" s="1" t="s">
        <v>6772</v>
      </c>
      <c r="C5159" t="s">
        <v>229</v>
      </c>
      <c r="D5159" s="1" t="s">
        <v>6773</v>
      </c>
    </row>
    <row r="5160" spans="1:4" hidden="1" x14ac:dyDescent="0.3">
      <c r="A5160">
        <v>5158</v>
      </c>
      <c r="B5160" t="s">
        <v>6774</v>
      </c>
      <c r="C5160" t="s">
        <v>112</v>
      </c>
      <c r="D5160">
        <v>-746.89807820181204</v>
      </c>
    </row>
    <row r="5161" spans="1:4" hidden="1" x14ac:dyDescent="0.3">
      <c r="A5161">
        <v>5159</v>
      </c>
      <c r="B5161" t="s">
        <v>6775</v>
      </c>
      <c r="C5161" t="s">
        <v>114</v>
      </c>
      <c r="D5161">
        <v>-148.55732707210601</v>
      </c>
    </row>
    <row r="5162" spans="1:4" hidden="1" x14ac:dyDescent="0.3">
      <c r="A5162">
        <v>5160</v>
      </c>
      <c r="B5162" s="1" t="s">
        <v>6776</v>
      </c>
      <c r="C5162" t="s">
        <v>116</v>
      </c>
      <c r="D5162" s="1" t="s">
        <v>6777</v>
      </c>
    </row>
    <row r="5163" spans="1:4" hidden="1" x14ac:dyDescent="0.3">
      <c r="A5163">
        <v>5161</v>
      </c>
      <c r="B5163" t="s">
        <v>6778</v>
      </c>
      <c r="C5163" t="s">
        <v>119</v>
      </c>
      <c r="D5163">
        <v>78273352.693495497</v>
      </c>
    </row>
    <row r="5164" spans="1:4" hidden="1" x14ac:dyDescent="0.3">
      <c r="A5164">
        <v>5162</v>
      </c>
      <c r="B5164" t="s">
        <v>6779</v>
      </c>
      <c r="C5164" t="s">
        <v>121</v>
      </c>
      <c r="D5164">
        <v>39601144.483295597</v>
      </c>
    </row>
    <row r="5165" spans="1:4" hidden="1" x14ac:dyDescent="0.3">
      <c r="A5165">
        <v>5163</v>
      </c>
      <c r="B5165" s="1" t="s">
        <v>6780</v>
      </c>
      <c r="C5165" t="s">
        <v>123</v>
      </c>
      <c r="D5165" s="1" t="s">
        <v>6781</v>
      </c>
    </row>
    <row r="5166" spans="1:4" hidden="1" x14ac:dyDescent="0.3">
      <c r="A5166">
        <v>5164</v>
      </c>
      <c r="B5166" t="s">
        <v>6782</v>
      </c>
      <c r="C5166" t="s">
        <v>126</v>
      </c>
      <c r="D5166">
        <v>0.77355157693819199</v>
      </c>
    </row>
    <row r="5167" spans="1:4" hidden="1" x14ac:dyDescent="0.3">
      <c r="A5167">
        <v>5165</v>
      </c>
      <c r="B5167" t="s">
        <v>6783</v>
      </c>
      <c r="C5167" t="s">
        <v>128</v>
      </c>
      <c r="D5167">
        <v>0.39136598483989699</v>
      </c>
    </row>
    <row r="5168" spans="1:4" hidden="1" x14ac:dyDescent="0.3">
      <c r="A5168">
        <v>5166</v>
      </c>
      <c r="B5168" s="1" t="s">
        <v>6784</v>
      </c>
      <c r="C5168" t="s">
        <v>130</v>
      </c>
      <c r="D5168" s="1" t="s">
        <v>6785</v>
      </c>
    </row>
    <row r="5169" spans="1:4" hidden="1" x14ac:dyDescent="0.3">
      <c r="A5169">
        <v>5167</v>
      </c>
      <c r="B5169" s="1" t="s">
        <v>6786</v>
      </c>
      <c r="C5169" t="s">
        <v>4</v>
      </c>
      <c r="D5169" t="s">
        <v>6787</v>
      </c>
    </row>
    <row r="5170" spans="1:4" hidden="1" x14ac:dyDescent="0.3">
      <c r="A5170">
        <v>5168</v>
      </c>
      <c r="B5170" t="s">
        <v>6788</v>
      </c>
      <c r="C5170" t="s">
        <v>7</v>
      </c>
      <c r="D5170">
        <v>1810.34</v>
      </c>
    </row>
    <row r="5171" spans="1:4" hidden="1" x14ac:dyDescent="0.3">
      <c r="A5171">
        <v>5169</v>
      </c>
      <c r="B5171" s="1" t="s">
        <v>6789</v>
      </c>
      <c r="C5171" t="s">
        <v>9</v>
      </c>
      <c r="D5171" s="1" t="s">
        <v>6790</v>
      </c>
    </row>
    <row r="5172" spans="1:4" hidden="1" x14ac:dyDescent="0.3">
      <c r="A5172">
        <v>5170</v>
      </c>
      <c r="B5172" t="s">
        <v>6791</v>
      </c>
      <c r="C5172" t="s">
        <v>14</v>
      </c>
      <c r="D5172">
        <v>98.71875</v>
      </c>
    </row>
    <row r="5173" spans="1:4" hidden="1" x14ac:dyDescent="0.3">
      <c r="A5173">
        <v>5171</v>
      </c>
      <c r="B5173" t="s">
        <v>6792</v>
      </c>
      <c r="C5173" t="s">
        <v>16</v>
      </c>
      <c r="D5173">
        <v>4.3973653378447697</v>
      </c>
    </row>
    <row r="5174" spans="1:4" hidden="1" x14ac:dyDescent="0.3">
      <c r="A5174">
        <v>5172</v>
      </c>
      <c r="B5174" s="1" t="s">
        <v>6793</v>
      </c>
      <c r="C5174" t="s">
        <v>140</v>
      </c>
      <c r="D5174" s="1" t="s">
        <v>6794</v>
      </c>
    </row>
    <row r="5175" spans="1:4" hidden="1" x14ac:dyDescent="0.3">
      <c r="A5175">
        <v>5173</v>
      </c>
      <c r="B5175" t="s">
        <v>6525</v>
      </c>
      <c r="C5175" t="s">
        <v>22</v>
      </c>
      <c r="D5175">
        <v>71.95</v>
      </c>
    </row>
    <row r="5176" spans="1:4" hidden="1" x14ac:dyDescent="0.3">
      <c r="A5176">
        <v>5174</v>
      </c>
      <c r="B5176" t="s">
        <v>6795</v>
      </c>
      <c r="C5176" t="s">
        <v>24</v>
      </c>
      <c r="D5176">
        <v>6.6235287610476297</v>
      </c>
    </row>
    <row r="5177" spans="1:4" hidden="1" x14ac:dyDescent="0.3">
      <c r="A5177">
        <v>5175</v>
      </c>
      <c r="B5177" s="1" t="s">
        <v>6796</v>
      </c>
      <c r="C5177" t="s">
        <v>145</v>
      </c>
      <c r="D5177" s="1" t="s">
        <v>6797</v>
      </c>
    </row>
    <row r="5178" spans="1:4" hidden="1" x14ac:dyDescent="0.3">
      <c r="A5178">
        <v>5176</v>
      </c>
      <c r="B5178" t="s">
        <v>6798</v>
      </c>
      <c r="C5178" t="s">
        <v>35</v>
      </c>
      <c r="D5178">
        <v>0</v>
      </c>
    </row>
    <row r="5179" spans="1:4" hidden="1" x14ac:dyDescent="0.3">
      <c r="A5179">
        <v>5177</v>
      </c>
      <c r="B5179" t="s">
        <v>6799</v>
      </c>
      <c r="C5179" t="s">
        <v>149</v>
      </c>
      <c r="D5179">
        <v>0.74288296680785704</v>
      </c>
    </row>
    <row r="5180" spans="1:4" hidden="1" x14ac:dyDescent="0.3">
      <c r="A5180">
        <v>5178</v>
      </c>
      <c r="B5180" s="1" t="s">
        <v>6800</v>
      </c>
      <c r="C5180" t="s">
        <v>151</v>
      </c>
      <c r="D5180" s="1" t="s">
        <v>6801</v>
      </c>
    </row>
    <row r="5181" spans="1:4" hidden="1" x14ac:dyDescent="0.3">
      <c r="A5181">
        <v>5179</v>
      </c>
      <c r="B5181" t="s">
        <v>6802</v>
      </c>
      <c r="C5181" t="s">
        <v>30</v>
      </c>
      <c r="D5181">
        <v>0.38978482853840601</v>
      </c>
    </row>
    <row r="5182" spans="1:4" hidden="1" x14ac:dyDescent="0.3">
      <c r="A5182">
        <v>5180</v>
      </c>
      <c r="B5182" t="s">
        <v>6803</v>
      </c>
      <c r="C5182" t="s">
        <v>32</v>
      </c>
      <c r="D5182">
        <v>0.182525929227601</v>
      </c>
    </row>
    <row r="5183" spans="1:4" hidden="1" x14ac:dyDescent="0.3">
      <c r="A5183">
        <v>5181</v>
      </c>
      <c r="B5183" s="1" t="s">
        <v>6804</v>
      </c>
      <c r="C5183" t="s">
        <v>155</v>
      </c>
      <c r="D5183" s="1" t="s">
        <v>6805</v>
      </c>
    </row>
    <row r="5184" spans="1:4" hidden="1" x14ac:dyDescent="0.3">
      <c r="A5184">
        <v>5182</v>
      </c>
      <c r="B5184" t="s">
        <v>6806</v>
      </c>
      <c r="C5184" t="s">
        <v>40</v>
      </c>
      <c r="D5184">
        <v>0.61021517146159399</v>
      </c>
    </row>
    <row r="5185" spans="1:4" hidden="1" x14ac:dyDescent="0.3">
      <c r="A5185">
        <v>5183</v>
      </c>
      <c r="B5185" t="s">
        <v>6807</v>
      </c>
      <c r="C5185" t="s">
        <v>42</v>
      </c>
      <c r="D5185">
        <v>0.163581122192578</v>
      </c>
    </row>
    <row r="5186" spans="1:4" hidden="1" x14ac:dyDescent="0.3">
      <c r="A5186">
        <v>5184</v>
      </c>
      <c r="B5186" s="1" t="s">
        <v>6808</v>
      </c>
      <c r="C5186" t="s">
        <v>159</v>
      </c>
      <c r="D5186" s="1" t="s">
        <v>6809</v>
      </c>
    </row>
    <row r="5187" spans="1:4" hidden="1" x14ac:dyDescent="0.3">
      <c r="A5187">
        <v>5185</v>
      </c>
      <c r="B5187" t="s">
        <v>6810</v>
      </c>
      <c r="C5187" t="s">
        <v>161</v>
      </c>
      <c r="D5187">
        <v>0.99602216145733002</v>
      </c>
    </row>
    <row r="5188" spans="1:4" hidden="1" x14ac:dyDescent="0.3">
      <c r="A5188">
        <v>5186</v>
      </c>
      <c r="B5188" t="s">
        <v>6811</v>
      </c>
      <c r="C5188" t="s">
        <v>163</v>
      </c>
      <c r="D5188">
        <v>1.0013037693468601</v>
      </c>
    </row>
    <row r="5189" spans="1:4" hidden="1" x14ac:dyDescent="0.3">
      <c r="A5189">
        <v>5187</v>
      </c>
      <c r="B5189" s="1" t="s">
        <v>6812</v>
      </c>
      <c r="C5189" t="s">
        <v>165</v>
      </c>
      <c r="D5189" s="1" t="s">
        <v>6813</v>
      </c>
    </row>
    <row r="5190" spans="1:4" hidden="1" x14ac:dyDescent="0.3">
      <c r="A5190">
        <v>5188</v>
      </c>
      <c r="B5190" t="s">
        <v>6814</v>
      </c>
      <c r="C5190" t="s">
        <v>168</v>
      </c>
      <c r="D5190">
        <v>1.0004384572227201</v>
      </c>
    </row>
    <row r="5191" spans="1:4" hidden="1" x14ac:dyDescent="0.3">
      <c r="A5191">
        <v>5189</v>
      </c>
      <c r="B5191" t="s">
        <v>6815</v>
      </c>
      <c r="C5191" t="s">
        <v>170</v>
      </c>
      <c r="D5191">
        <v>0.99910656244556695</v>
      </c>
    </row>
    <row r="5192" spans="1:4" hidden="1" x14ac:dyDescent="0.3">
      <c r="A5192">
        <v>5190</v>
      </c>
      <c r="B5192" s="1" t="s">
        <v>6816</v>
      </c>
      <c r="C5192" t="s">
        <v>172</v>
      </c>
      <c r="D5192" s="1" t="s">
        <v>6817</v>
      </c>
    </row>
    <row r="5193" spans="1:4" hidden="1" x14ac:dyDescent="0.3">
      <c r="A5193">
        <v>5191</v>
      </c>
      <c r="B5193" s="1" t="s">
        <v>6818</v>
      </c>
      <c r="C5193" t="s">
        <v>55</v>
      </c>
      <c r="D5193" s="1" t="s">
        <v>6819</v>
      </c>
    </row>
    <row r="5194" spans="1:4" hidden="1" x14ac:dyDescent="0.3">
      <c r="A5194">
        <v>5192</v>
      </c>
      <c r="B5194" s="1" t="s">
        <v>6820</v>
      </c>
      <c r="C5194" t="s">
        <v>52</v>
      </c>
      <c r="D5194" s="1" t="s">
        <v>6821</v>
      </c>
    </row>
    <row r="5195" spans="1:4" hidden="1" x14ac:dyDescent="0.3">
      <c r="A5195">
        <v>5193</v>
      </c>
      <c r="B5195" s="1" t="s">
        <v>6822</v>
      </c>
      <c r="C5195" t="s">
        <v>58</v>
      </c>
      <c r="D5195" s="1" t="s">
        <v>6823</v>
      </c>
    </row>
    <row r="5196" spans="1:4" hidden="1" x14ac:dyDescent="0.3">
      <c r="A5196">
        <v>5194</v>
      </c>
      <c r="B5196" t="s">
        <v>6824</v>
      </c>
      <c r="C5196" t="s">
        <v>61</v>
      </c>
      <c r="D5196">
        <v>146277345.28338301</v>
      </c>
    </row>
    <row r="5197" spans="1:4" hidden="1" x14ac:dyDescent="0.3">
      <c r="A5197">
        <v>5195</v>
      </c>
      <c r="B5197" t="s">
        <v>6825</v>
      </c>
      <c r="C5197" t="s">
        <v>63</v>
      </c>
      <c r="D5197">
        <v>77961993.934287295</v>
      </c>
    </row>
    <row r="5198" spans="1:4" hidden="1" x14ac:dyDescent="0.3">
      <c r="A5198">
        <v>5196</v>
      </c>
      <c r="B5198" t="s">
        <v>6826</v>
      </c>
      <c r="C5198" t="s">
        <v>65</v>
      </c>
      <c r="D5198">
        <v>39652775.241573498</v>
      </c>
    </row>
    <row r="5199" spans="1:4" hidden="1" x14ac:dyDescent="0.3">
      <c r="A5199">
        <v>5197</v>
      </c>
      <c r="B5199" s="1" t="s">
        <v>6827</v>
      </c>
      <c r="C5199" t="s">
        <v>67</v>
      </c>
      <c r="D5199" s="1" t="s">
        <v>6828</v>
      </c>
    </row>
    <row r="5200" spans="1:4" hidden="1" x14ac:dyDescent="0.3">
      <c r="A5200">
        <v>5198</v>
      </c>
      <c r="B5200" s="1" t="s">
        <v>6829</v>
      </c>
      <c r="C5200" t="s">
        <v>70</v>
      </c>
      <c r="D5200" s="1" t="s">
        <v>6830</v>
      </c>
    </row>
    <row r="5201" spans="1:4" hidden="1" x14ac:dyDescent="0.3">
      <c r="A5201">
        <v>5199</v>
      </c>
      <c r="B5201" t="s">
        <v>6831</v>
      </c>
      <c r="C5201" t="s">
        <v>73</v>
      </c>
      <c r="D5201">
        <v>1.0001046668736999</v>
      </c>
    </row>
    <row r="5202" spans="1:4" hidden="1" x14ac:dyDescent="0.3">
      <c r="A5202">
        <v>5200</v>
      </c>
      <c r="B5202" t="s">
        <v>74</v>
      </c>
      <c r="C5202" t="s">
        <v>75</v>
      </c>
      <c r="D5202">
        <v>2.7397260273972599E-3</v>
      </c>
    </row>
    <row r="5203" spans="1:4" hidden="1" x14ac:dyDescent="0.3">
      <c r="A5203">
        <v>5201</v>
      </c>
      <c r="B5203" t="s">
        <v>76</v>
      </c>
      <c r="C5203" t="s">
        <v>77</v>
      </c>
      <c r="D5203">
        <v>0</v>
      </c>
    </row>
    <row r="5204" spans="1:4" hidden="1" x14ac:dyDescent="0.3">
      <c r="A5204">
        <v>5202</v>
      </c>
      <c r="B5204" t="s">
        <v>78</v>
      </c>
      <c r="C5204" t="s">
        <v>79</v>
      </c>
      <c r="D5204">
        <v>0</v>
      </c>
    </row>
    <row r="5205" spans="1:4" hidden="1" x14ac:dyDescent="0.3">
      <c r="A5205">
        <v>5203</v>
      </c>
      <c r="B5205" s="1" t="s">
        <v>6832</v>
      </c>
      <c r="C5205" t="s">
        <v>81</v>
      </c>
      <c r="D5205" s="1" t="s">
        <v>6833</v>
      </c>
    </row>
    <row r="5206" spans="1:4" hidden="1" x14ac:dyDescent="0.3">
      <c r="A5206">
        <v>5204</v>
      </c>
      <c r="B5206" t="s">
        <v>6834</v>
      </c>
      <c r="C5206" t="s">
        <v>84</v>
      </c>
      <c r="D5206">
        <v>1.0000872677267201</v>
      </c>
    </row>
    <row r="5207" spans="1:4" hidden="1" x14ac:dyDescent="0.3">
      <c r="A5207">
        <v>5205</v>
      </c>
      <c r="B5207" s="1" t="s">
        <v>6835</v>
      </c>
      <c r="C5207" t="s">
        <v>86</v>
      </c>
      <c r="D5207" s="1" t="s">
        <v>6836</v>
      </c>
    </row>
    <row r="5208" spans="1:4" hidden="1" x14ac:dyDescent="0.3">
      <c r="A5208">
        <v>5206</v>
      </c>
      <c r="B5208" t="s">
        <v>6837</v>
      </c>
      <c r="C5208" t="s">
        <v>89</v>
      </c>
      <c r="D5208">
        <v>101180949.651989</v>
      </c>
    </row>
    <row r="5209" spans="1:4" hidden="1" x14ac:dyDescent="0.3">
      <c r="A5209">
        <v>5207</v>
      </c>
      <c r="B5209" s="1" t="s">
        <v>6838</v>
      </c>
      <c r="C5209" t="s">
        <v>91</v>
      </c>
      <c r="D5209" s="1" t="s">
        <v>6773</v>
      </c>
    </row>
    <row r="5210" spans="1:4" hidden="1" x14ac:dyDescent="0.3">
      <c r="A5210">
        <v>5208</v>
      </c>
      <c r="B5210" t="s">
        <v>6839</v>
      </c>
      <c r="C5210" t="s">
        <v>94</v>
      </c>
      <c r="D5210">
        <v>77961993.934287295</v>
      </c>
    </row>
    <row r="5211" spans="1:4" hidden="1" x14ac:dyDescent="0.3">
      <c r="A5211">
        <v>5209</v>
      </c>
      <c r="B5211" t="s">
        <v>6840</v>
      </c>
      <c r="C5211" t="s">
        <v>96</v>
      </c>
      <c r="D5211">
        <v>39652775.241573498</v>
      </c>
    </row>
    <row r="5212" spans="1:4" hidden="1" x14ac:dyDescent="0.3">
      <c r="A5212">
        <v>5210</v>
      </c>
      <c r="B5212" t="s">
        <v>6841</v>
      </c>
      <c r="C5212" t="s">
        <v>98</v>
      </c>
      <c r="D5212">
        <v>28662576.107523002</v>
      </c>
    </row>
    <row r="5213" spans="1:4" hidden="1" x14ac:dyDescent="0.3">
      <c r="A5213">
        <v>5211</v>
      </c>
      <c r="B5213" s="1" t="s">
        <v>6842</v>
      </c>
      <c r="C5213" t="s">
        <v>100</v>
      </c>
      <c r="D5213" s="1" t="s">
        <v>6843</v>
      </c>
    </row>
    <row r="5214" spans="1:4" hidden="1" x14ac:dyDescent="0.3">
      <c r="A5214">
        <v>5212</v>
      </c>
      <c r="B5214" t="s">
        <v>6844</v>
      </c>
      <c r="C5214" t="s">
        <v>103</v>
      </c>
      <c r="D5214">
        <v>8.1425502180493999E-3</v>
      </c>
    </row>
    <row r="5215" spans="1:4" hidden="1" x14ac:dyDescent="0.3">
      <c r="A5215">
        <v>5213</v>
      </c>
      <c r="B5215" t="s">
        <v>6845</v>
      </c>
      <c r="C5215" t="s">
        <v>105</v>
      </c>
      <c r="D5215">
        <v>1.3220896564199399E-3</v>
      </c>
    </row>
    <row r="5216" spans="1:4" hidden="1" x14ac:dyDescent="0.3">
      <c r="A5216">
        <v>5214</v>
      </c>
      <c r="B5216" t="s">
        <v>6846</v>
      </c>
      <c r="C5216" t="s">
        <v>107</v>
      </c>
      <c r="D5216">
        <v>1.0023451436546101E-2</v>
      </c>
    </row>
    <row r="5217" spans="1:4" hidden="1" x14ac:dyDescent="0.3">
      <c r="A5217">
        <v>5215</v>
      </c>
      <c r="B5217" s="1" t="s">
        <v>6847</v>
      </c>
      <c r="C5217" t="s">
        <v>109</v>
      </c>
      <c r="D5217" s="1" t="s">
        <v>6848</v>
      </c>
    </row>
    <row r="5218" spans="1:4" x14ac:dyDescent="0.3">
      <c r="A5218">
        <v>5216</v>
      </c>
      <c r="B5218" t="s">
        <v>6849</v>
      </c>
      <c r="C5218" t="s">
        <v>207</v>
      </c>
      <c r="D5218">
        <v>146276734.93734199</v>
      </c>
    </row>
    <row r="5219" spans="1:4" hidden="1" x14ac:dyDescent="0.3">
      <c r="A5219">
        <v>5217</v>
      </c>
      <c r="B5219" t="s">
        <v>6850</v>
      </c>
      <c r="C5219" t="s">
        <v>209</v>
      </c>
      <c r="D5219">
        <v>1356.32295910581</v>
      </c>
    </row>
    <row r="5220" spans="1:4" hidden="1" x14ac:dyDescent="0.3">
      <c r="A5220">
        <v>5218</v>
      </c>
      <c r="B5220" t="s">
        <v>6851</v>
      </c>
      <c r="C5220" t="s">
        <v>211</v>
      </c>
      <c r="D5220">
        <v>689.85008947628103</v>
      </c>
    </row>
    <row r="5221" spans="1:4" hidden="1" x14ac:dyDescent="0.3">
      <c r="A5221">
        <v>5219</v>
      </c>
      <c r="B5221" s="1" t="s">
        <v>6852</v>
      </c>
      <c r="C5221" t="s">
        <v>213</v>
      </c>
      <c r="D5221" s="1" t="s">
        <v>6853</v>
      </c>
    </row>
    <row r="5222" spans="1:4" hidden="1" x14ac:dyDescent="0.3">
      <c r="A5222">
        <v>5220</v>
      </c>
      <c r="B5222" t="s">
        <v>6854</v>
      </c>
      <c r="C5222" t="s">
        <v>216</v>
      </c>
      <c r="D5222">
        <v>77960219.771618396</v>
      </c>
    </row>
    <row r="5223" spans="1:4" hidden="1" x14ac:dyDescent="0.3">
      <c r="A5223">
        <v>5221</v>
      </c>
      <c r="B5223" t="s">
        <v>6855</v>
      </c>
      <c r="C5223" t="s">
        <v>218</v>
      </c>
      <c r="D5223">
        <v>39651960.636644803</v>
      </c>
    </row>
    <row r="5224" spans="1:4" hidden="1" x14ac:dyDescent="0.3">
      <c r="A5224">
        <v>5222</v>
      </c>
      <c r="B5224" t="s">
        <v>6856</v>
      </c>
      <c r="C5224" t="s">
        <v>220</v>
      </c>
      <c r="D5224">
        <v>28662009.7050271</v>
      </c>
    </row>
    <row r="5225" spans="1:4" hidden="1" x14ac:dyDescent="0.3">
      <c r="A5225">
        <v>5223</v>
      </c>
      <c r="B5225" s="1" t="s">
        <v>6857</v>
      </c>
      <c r="C5225" t="s">
        <v>222</v>
      </c>
      <c r="D5225" s="1" t="s">
        <v>6858</v>
      </c>
    </row>
    <row r="5226" spans="1:4" hidden="1" x14ac:dyDescent="0.3">
      <c r="A5226">
        <v>5224</v>
      </c>
      <c r="B5226" t="s">
        <v>6859</v>
      </c>
      <c r="C5226" t="s">
        <v>225</v>
      </c>
      <c r="D5226">
        <v>101179189.374018</v>
      </c>
    </row>
    <row r="5227" spans="1:4" hidden="1" x14ac:dyDescent="0.3">
      <c r="A5227">
        <v>5225</v>
      </c>
      <c r="B5227" t="s">
        <v>6860</v>
      </c>
      <c r="C5227" t="s">
        <v>227</v>
      </c>
      <c r="D5227">
        <v>1760.27797168493</v>
      </c>
    </row>
    <row r="5228" spans="1:4" hidden="1" x14ac:dyDescent="0.3">
      <c r="A5228">
        <v>5226</v>
      </c>
      <c r="B5228" s="1" t="s">
        <v>6861</v>
      </c>
      <c r="C5228" t="s">
        <v>229</v>
      </c>
      <c r="D5228" s="1" t="s">
        <v>6862</v>
      </c>
    </row>
    <row r="5229" spans="1:4" hidden="1" x14ac:dyDescent="0.3">
      <c r="A5229">
        <v>5227</v>
      </c>
      <c r="B5229" t="s">
        <v>6863</v>
      </c>
      <c r="C5229" t="s">
        <v>112</v>
      </c>
      <c r="D5229">
        <v>-417.839709859165</v>
      </c>
    </row>
    <row r="5230" spans="1:4" hidden="1" x14ac:dyDescent="0.3">
      <c r="A5230">
        <v>5228</v>
      </c>
      <c r="B5230" t="s">
        <v>6864</v>
      </c>
      <c r="C5230" t="s">
        <v>114</v>
      </c>
      <c r="D5230">
        <v>-124.75483918477801</v>
      </c>
    </row>
    <row r="5231" spans="1:4" hidden="1" x14ac:dyDescent="0.3">
      <c r="A5231">
        <v>5229</v>
      </c>
      <c r="B5231" s="1" t="s">
        <v>6865</v>
      </c>
      <c r="C5231" t="s">
        <v>116</v>
      </c>
      <c r="D5231" s="1" t="s">
        <v>6866</v>
      </c>
    </row>
    <row r="5232" spans="1:4" hidden="1" x14ac:dyDescent="0.3">
      <c r="A5232">
        <v>5230</v>
      </c>
      <c r="B5232" t="s">
        <v>6867</v>
      </c>
      <c r="C5232" t="s">
        <v>119</v>
      </c>
      <c r="D5232">
        <v>77960219.771618396</v>
      </c>
    </row>
    <row r="5233" spans="1:4" hidden="1" x14ac:dyDescent="0.3">
      <c r="A5233">
        <v>5231</v>
      </c>
      <c r="B5233" t="s">
        <v>6868</v>
      </c>
      <c r="C5233" t="s">
        <v>121</v>
      </c>
      <c r="D5233">
        <v>39651960.636644803</v>
      </c>
    </row>
    <row r="5234" spans="1:4" hidden="1" x14ac:dyDescent="0.3">
      <c r="A5234">
        <v>5232</v>
      </c>
      <c r="B5234" s="1" t="s">
        <v>6869</v>
      </c>
      <c r="C5234" t="s">
        <v>123</v>
      </c>
      <c r="D5234" s="1" t="s">
        <v>6870</v>
      </c>
    </row>
    <row r="5235" spans="1:4" hidden="1" x14ac:dyDescent="0.3">
      <c r="A5235">
        <v>5233</v>
      </c>
      <c r="B5235" t="s">
        <v>6871</v>
      </c>
      <c r="C5235" t="s">
        <v>126</v>
      </c>
      <c r="D5235">
        <v>0.77044911543982197</v>
      </c>
    </row>
    <row r="5236" spans="1:4" hidden="1" x14ac:dyDescent="0.3">
      <c r="A5236">
        <v>5234</v>
      </c>
      <c r="B5236" t="s">
        <v>6872</v>
      </c>
      <c r="C5236" t="s">
        <v>128</v>
      </c>
      <c r="D5236">
        <v>0.39186418518896199</v>
      </c>
    </row>
    <row r="5237" spans="1:4" hidden="1" x14ac:dyDescent="0.3">
      <c r="A5237">
        <v>5235</v>
      </c>
      <c r="B5237" s="1" t="s">
        <v>6873</v>
      </c>
      <c r="C5237" t="s">
        <v>130</v>
      </c>
      <c r="D5237" s="1" t="s">
        <v>6874</v>
      </c>
    </row>
    <row r="5238" spans="1:4" hidden="1" x14ac:dyDescent="0.3">
      <c r="A5238">
        <v>5236</v>
      </c>
      <c r="B5238" s="1" t="s">
        <v>6875</v>
      </c>
      <c r="C5238" t="s">
        <v>4</v>
      </c>
      <c r="D5238" t="s">
        <v>6876</v>
      </c>
    </row>
    <row r="5239" spans="1:4" hidden="1" x14ac:dyDescent="0.3">
      <c r="A5239">
        <v>5237</v>
      </c>
      <c r="B5239" t="s">
        <v>6877</v>
      </c>
      <c r="C5239" t="s">
        <v>7</v>
      </c>
      <c r="D5239">
        <v>1813.62</v>
      </c>
    </row>
    <row r="5240" spans="1:4" hidden="1" x14ac:dyDescent="0.3">
      <c r="A5240">
        <v>5238</v>
      </c>
      <c r="B5240" s="1" t="s">
        <v>6878</v>
      </c>
      <c r="C5240" t="s">
        <v>9</v>
      </c>
      <c r="D5240" s="1" t="s">
        <v>6879</v>
      </c>
    </row>
    <row r="5241" spans="1:4" hidden="1" x14ac:dyDescent="0.3">
      <c r="A5241">
        <v>5239</v>
      </c>
      <c r="B5241" t="s">
        <v>6880</v>
      </c>
      <c r="C5241" t="s">
        <v>14</v>
      </c>
      <c r="D5241">
        <v>98.6875</v>
      </c>
    </row>
    <row r="5242" spans="1:4" hidden="1" x14ac:dyDescent="0.3">
      <c r="A5242">
        <v>5240</v>
      </c>
      <c r="B5242" t="s">
        <v>6881</v>
      </c>
      <c r="C5242" t="s">
        <v>16</v>
      </c>
      <c r="D5242">
        <v>4.3966019926947997</v>
      </c>
    </row>
    <row r="5243" spans="1:4" hidden="1" x14ac:dyDescent="0.3">
      <c r="A5243">
        <v>5241</v>
      </c>
      <c r="B5243" s="1" t="s">
        <v>6882</v>
      </c>
      <c r="C5243" t="s">
        <v>140</v>
      </c>
      <c r="D5243" s="1" t="s">
        <v>6883</v>
      </c>
    </row>
    <row r="5244" spans="1:4" hidden="1" x14ac:dyDescent="0.3">
      <c r="A5244">
        <v>5242</v>
      </c>
      <c r="B5244" t="s">
        <v>6884</v>
      </c>
      <c r="C5244" t="s">
        <v>22</v>
      </c>
      <c r="D5244">
        <v>71.55</v>
      </c>
    </row>
    <row r="5245" spans="1:4" hidden="1" x14ac:dyDescent="0.3">
      <c r="A5245">
        <v>5243</v>
      </c>
      <c r="B5245" t="s">
        <v>6885</v>
      </c>
      <c r="C5245" t="s">
        <v>24</v>
      </c>
      <c r="D5245">
        <v>6.6269192267175301</v>
      </c>
    </row>
    <row r="5246" spans="1:4" hidden="1" x14ac:dyDescent="0.3">
      <c r="A5246">
        <v>5244</v>
      </c>
      <c r="B5246" s="1" t="s">
        <v>6886</v>
      </c>
      <c r="C5246" t="s">
        <v>145</v>
      </c>
      <c r="D5246" s="1" t="s">
        <v>6887</v>
      </c>
    </row>
    <row r="5247" spans="1:4" hidden="1" x14ac:dyDescent="0.3">
      <c r="A5247">
        <v>5245</v>
      </c>
      <c r="B5247" t="s">
        <v>6888</v>
      </c>
      <c r="C5247" t="s">
        <v>35</v>
      </c>
      <c r="D5247">
        <v>-1.9310489083809399</v>
      </c>
    </row>
    <row r="5248" spans="1:4" hidden="1" x14ac:dyDescent="0.3">
      <c r="A5248">
        <v>5246</v>
      </c>
      <c r="B5248" t="s">
        <v>6889</v>
      </c>
      <c r="C5248" t="s">
        <v>149</v>
      </c>
      <c r="D5248">
        <v>0.74378862014186697</v>
      </c>
    </row>
    <row r="5249" spans="1:4" hidden="1" x14ac:dyDescent="0.3">
      <c r="A5249">
        <v>5247</v>
      </c>
      <c r="B5249" s="1" t="s">
        <v>6890</v>
      </c>
      <c r="C5249" t="s">
        <v>151</v>
      </c>
      <c r="D5249" s="1" t="s">
        <v>6891</v>
      </c>
    </row>
    <row r="5250" spans="1:4" hidden="1" x14ac:dyDescent="0.3">
      <c r="A5250">
        <v>5248</v>
      </c>
      <c r="B5250" t="s">
        <v>6892</v>
      </c>
      <c r="C5250" t="s">
        <v>30</v>
      </c>
      <c r="D5250">
        <v>1.13445584505162</v>
      </c>
    </row>
    <row r="5251" spans="1:4" hidden="1" x14ac:dyDescent="0.3">
      <c r="A5251">
        <v>5249</v>
      </c>
      <c r="B5251" t="s">
        <v>6893</v>
      </c>
      <c r="C5251" t="s">
        <v>32</v>
      </c>
      <c r="D5251">
        <v>0.18224255921511201</v>
      </c>
    </row>
    <row r="5252" spans="1:4" hidden="1" x14ac:dyDescent="0.3">
      <c r="A5252">
        <v>5250</v>
      </c>
      <c r="B5252" s="1" t="s">
        <v>6894</v>
      </c>
      <c r="C5252" t="s">
        <v>155</v>
      </c>
      <c r="D5252" s="1" t="s">
        <v>6895</v>
      </c>
    </row>
    <row r="5253" spans="1:4" hidden="1" x14ac:dyDescent="0.3">
      <c r="A5253">
        <v>5251</v>
      </c>
      <c r="B5253" t="s">
        <v>6896</v>
      </c>
      <c r="C5253" t="s">
        <v>40</v>
      </c>
      <c r="D5253">
        <v>1.7965930633293199</v>
      </c>
    </row>
    <row r="5254" spans="1:4" hidden="1" x14ac:dyDescent="0.3">
      <c r="A5254">
        <v>5252</v>
      </c>
      <c r="B5254" t="s">
        <v>6897</v>
      </c>
      <c r="C5254" t="s">
        <v>42</v>
      </c>
      <c r="D5254">
        <v>0.16222544274122799</v>
      </c>
    </row>
    <row r="5255" spans="1:4" hidden="1" x14ac:dyDescent="0.3">
      <c r="A5255">
        <v>5253</v>
      </c>
      <c r="B5255" s="1" t="s">
        <v>6898</v>
      </c>
      <c r="C5255" t="s">
        <v>159</v>
      </c>
      <c r="D5255" s="1" t="s">
        <v>6899</v>
      </c>
    </row>
    <row r="5256" spans="1:4" hidden="1" x14ac:dyDescent="0.3">
      <c r="A5256">
        <v>5254</v>
      </c>
      <c r="B5256" t="s">
        <v>6900</v>
      </c>
      <c r="C5256" t="s">
        <v>161</v>
      </c>
      <c r="D5256">
        <v>1.0018118143553101</v>
      </c>
    </row>
    <row r="5257" spans="1:4" hidden="1" x14ac:dyDescent="0.3">
      <c r="A5257">
        <v>5255</v>
      </c>
      <c r="B5257" t="s">
        <v>6901</v>
      </c>
      <c r="C5257" t="s">
        <v>163</v>
      </c>
      <c r="D5257">
        <v>0.999689540814788</v>
      </c>
    </row>
    <row r="5258" spans="1:4" hidden="1" x14ac:dyDescent="0.3">
      <c r="A5258">
        <v>5256</v>
      </c>
      <c r="B5258" s="1" t="s">
        <v>6902</v>
      </c>
      <c r="C5258" t="s">
        <v>165</v>
      </c>
      <c r="D5258" s="1" t="s">
        <v>6903</v>
      </c>
    </row>
    <row r="5259" spans="1:4" hidden="1" x14ac:dyDescent="0.3">
      <c r="A5259">
        <v>5257</v>
      </c>
      <c r="B5259" t="s">
        <v>6904</v>
      </c>
      <c r="C5259" t="s">
        <v>168</v>
      </c>
      <c r="D5259">
        <v>1.00051962945949</v>
      </c>
    </row>
    <row r="5260" spans="1:4" hidden="1" x14ac:dyDescent="0.3">
      <c r="A5260">
        <v>5258</v>
      </c>
      <c r="B5260" t="s">
        <v>6905</v>
      </c>
      <c r="C5260" t="s">
        <v>170</v>
      </c>
      <c r="D5260">
        <v>0.99976036888030395</v>
      </c>
    </row>
    <row r="5261" spans="1:4" hidden="1" x14ac:dyDescent="0.3">
      <c r="A5261">
        <v>5259</v>
      </c>
      <c r="B5261" s="1" t="s">
        <v>6906</v>
      </c>
      <c r="C5261" t="s">
        <v>172</v>
      </c>
      <c r="D5261" s="1" t="s">
        <v>6907</v>
      </c>
    </row>
    <row r="5262" spans="1:4" hidden="1" x14ac:dyDescent="0.3">
      <c r="A5262">
        <v>5260</v>
      </c>
      <c r="B5262" s="1" t="s">
        <v>6908</v>
      </c>
      <c r="C5262" t="s">
        <v>55</v>
      </c>
      <c r="D5262" s="1" t="s">
        <v>6909</v>
      </c>
    </row>
    <row r="5263" spans="1:4" hidden="1" x14ac:dyDescent="0.3">
      <c r="A5263">
        <v>5261</v>
      </c>
      <c r="B5263" s="1" t="s">
        <v>6910</v>
      </c>
      <c r="C5263" t="s">
        <v>52</v>
      </c>
      <c r="D5263" s="1" t="s">
        <v>6911</v>
      </c>
    </row>
    <row r="5264" spans="1:4" hidden="1" x14ac:dyDescent="0.3">
      <c r="A5264">
        <v>5262</v>
      </c>
      <c r="B5264" s="1" t="s">
        <v>6912</v>
      </c>
      <c r="C5264" t="s">
        <v>58</v>
      </c>
      <c r="D5264" s="1" t="s">
        <v>6913</v>
      </c>
    </row>
    <row r="5265" spans="1:4" hidden="1" x14ac:dyDescent="0.3">
      <c r="A5265">
        <v>5263</v>
      </c>
      <c r="B5265" t="s">
        <v>6914</v>
      </c>
      <c r="C5265" t="s">
        <v>61</v>
      </c>
      <c r="D5265">
        <v>146258454.22987899</v>
      </c>
    </row>
    <row r="5266" spans="1:4" hidden="1" x14ac:dyDescent="0.3">
      <c r="A5266">
        <v>5264</v>
      </c>
      <c r="B5266" t="s">
        <v>6915</v>
      </c>
      <c r="C5266" t="s">
        <v>63</v>
      </c>
      <c r="D5266">
        <v>78101469.216943994</v>
      </c>
    </row>
    <row r="5267" spans="1:4" hidden="1" x14ac:dyDescent="0.3">
      <c r="A5267">
        <v>5265</v>
      </c>
      <c r="B5267" t="s">
        <v>6916</v>
      </c>
      <c r="C5267" t="s">
        <v>65</v>
      </c>
      <c r="D5267">
        <v>39639650.321253501</v>
      </c>
    </row>
    <row r="5268" spans="1:4" hidden="1" x14ac:dyDescent="0.3">
      <c r="A5268">
        <v>5266</v>
      </c>
      <c r="B5268" s="1" t="s">
        <v>6917</v>
      </c>
      <c r="C5268" t="s">
        <v>67</v>
      </c>
      <c r="D5268" s="1" t="s">
        <v>6918</v>
      </c>
    </row>
    <row r="5269" spans="1:4" hidden="1" x14ac:dyDescent="0.3">
      <c r="A5269">
        <v>5267</v>
      </c>
      <c r="B5269" s="1" t="s">
        <v>6919</v>
      </c>
      <c r="C5269" t="s">
        <v>70</v>
      </c>
      <c r="D5269" s="1" t="s">
        <v>6920</v>
      </c>
    </row>
    <row r="5270" spans="1:4" hidden="1" x14ac:dyDescent="0.3">
      <c r="A5270">
        <v>5268</v>
      </c>
      <c r="B5270" t="s">
        <v>6921</v>
      </c>
      <c r="C5270" t="s">
        <v>73</v>
      </c>
      <c r="D5270">
        <v>1.0000872677267201</v>
      </c>
    </row>
    <row r="5271" spans="1:4" hidden="1" x14ac:dyDescent="0.3">
      <c r="A5271">
        <v>5269</v>
      </c>
      <c r="B5271" t="s">
        <v>74</v>
      </c>
      <c r="C5271" t="s">
        <v>75</v>
      </c>
      <c r="D5271">
        <v>2.7397260273972599E-3</v>
      </c>
    </row>
    <row r="5272" spans="1:4" hidden="1" x14ac:dyDescent="0.3">
      <c r="A5272">
        <v>5270</v>
      </c>
      <c r="B5272" t="s">
        <v>76</v>
      </c>
      <c r="C5272" t="s">
        <v>77</v>
      </c>
      <c r="D5272">
        <v>0</v>
      </c>
    </row>
    <row r="5273" spans="1:4" hidden="1" x14ac:dyDescent="0.3">
      <c r="A5273">
        <v>5271</v>
      </c>
      <c r="B5273" t="s">
        <v>78</v>
      </c>
      <c r="C5273" t="s">
        <v>79</v>
      </c>
      <c r="D5273">
        <v>0</v>
      </c>
    </row>
    <row r="5274" spans="1:4" hidden="1" x14ac:dyDescent="0.3">
      <c r="A5274">
        <v>5272</v>
      </c>
      <c r="B5274" s="1" t="s">
        <v>6922</v>
      </c>
      <c r="C5274" t="s">
        <v>81</v>
      </c>
      <c r="D5274" s="1" t="s">
        <v>6923</v>
      </c>
    </row>
    <row r="5275" spans="1:4" hidden="1" x14ac:dyDescent="0.3">
      <c r="A5275">
        <v>5273</v>
      </c>
      <c r="B5275" t="s">
        <v>6924</v>
      </c>
      <c r="C5275" t="s">
        <v>84</v>
      </c>
      <c r="D5275">
        <v>1.00009575082882</v>
      </c>
    </row>
    <row r="5276" spans="1:4" hidden="1" x14ac:dyDescent="0.3">
      <c r="A5276">
        <v>5274</v>
      </c>
      <c r="B5276" s="1" t="s">
        <v>6925</v>
      </c>
      <c r="C5276" t="s">
        <v>86</v>
      </c>
      <c r="D5276" s="1" t="s">
        <v>6926</v>
      </c>
    </row>
    <row r="5277" spans="1:4" hidden="1" x14ac:dyDescent="0.3">
      <c r="A5277">
        <v>5275</v>
      </c>
      <c r="B5277" t="s">
        <v>6927</v>
      </c>
      <c r="C5277" t="s">
        <v>89</v>
      </c>
      <c r="D5277">
        <v>101180091.40584099</v>
      </c>
    </row>
    <row r="5278" spans="1:4" hidden="1" x14ac:dyDescent="0.3">
      <c r="A5278">
        <v>5276</v>
      </c>
      <c r="B5278" s="1" t="s">
        <v>6928</v>
      </c>
      <c r="C5278" t="s">
        <v>91</v>
      </c>
      <c r="D5278" s="1" t="s">
        <v>6862</v>
      </c>
    </row>
    <row r="5279" spans="1:4" hidden="1" x14ac:dyDescent="0.3">
      <c r="A5279">
        <v>5277</v>
      </c>
      <c r="B5279" t="s">
        <v>6929</v>
      </c>
      <c r="C5279" t="s">
        <v>94</v>
      </c>
      <c r="D5279">
        <v>78101469.216943994</v>
      </c>
    </row>
    <row r="5280" spans="1:4" hidden="1" x14ac:dyDescent="0.3">
      <c r="A5280">
        <v>5278</v>
      </c>
      <c r="B5280" t="s">
        <v>6930</v>
      </c>
      <c r="C5280" t="s">
        <v>96</v>
      </c>
      <c r="D5280">
        <v>39639650.321253501</v>
      </c>
    </row>
    <row r="5281" spans="1:4" hidden="1" x14ac:dyDescent="0.3">
      <c r="A5281">
        <v>5279</v>
      </c>
      <c r="B5281" t="s">
        <v>6931</v>
      </c>
      <c r="C5281" t="s">
        <v>98</v>
      </c>
      <c r="D5281">
        <v>28517334.691682</v>
      </c>
    </row>
    <row r="5282" spans="1:4" hidden="1" x14ac:dyDescent="0.3">
      <c r="A5282">
        <v>5280</v>
      </c>
      <c r="B5282" s="1" t="s">
        <v>6932</v>
      </c>
      <c r="C5282" t="s">
        <v>100</v>
      </c>
      <c r="D5282" s="1" t="s">
        <v>6933</v>
      </c>
    </row>
    <row r="5283" spans="1:4" hidden="1" x14ac:dyDescent="0.3">
      <c r="A5283">
        <v>5281</v>
      </c>
      <c r="B5283" t="s">
        <v>6934</v>
      </c>
      <c r="C5283" t="s">
        <v>103</v>
      </c>
      <c r="D5283">
        <v>8.1431432638419399E-3</v>
      </c>
    </row>
    <row r="5284" spans="1:4" hidden="1" x14ac:dyDescent="0.3">
      <c r="A5284">
        <v>5282</v>
      </c>
      <c r="B5284" t="s">
        <v>6935</v>
      </c>
      <c r="C5284" t="s">
        <v>105</v>
      </c>
      <c r="D5284">
        <v>1.31441446785964E-3</v>
      </c>
    </row>
    <row r="5285" spans="1:4" hidden="1" x14ac:dyDescent="0.3">
      <c r="A5285">
        <v>5283</v>
      </c>
      <c r="B5285" t="s">
        <v>6936</v>
      </c>
      <c r="C5285" t="s">
        <v>107</v>
      </c>
      <c r="D5285">
        <v>1.00403068731089E-2</v>
      </c>
    </row>
    <row r="5286" spans="1:4" hidden="1" x14ac:dyDescent="0.3">
      <c r="A5286">
        <v>5284</v>
      </c>
      <c r="B5286" s="1" t="s">
        <v>6937</v>
      </c>
      <c r="C5286" t="s">
        <v>109</v>
      </c>
      <c r="D5286" s="1" t="s">
        <v>6938</v>
      </c>
    </row>
    <row r="5287" spans="1:4" x14ac:dyDescent="0.3">
      <c r="A5287">
        <v>5285</v>
      </c>
      <c r="B5287" t="s">
        <v>6939</v>
      </c>
      <c r="C5287" t="s">
        <v>207</v>
      </c>
      <c r="D5287">
        <v>146258751.74641699</v>
      </c>
    </row>
    <row r="5288" spans="1:4" hidden="1" x14ac:dyDescent="0.3">
      <c r="A5288">
        <v>5286</v>
      </c>
      <c r="B5288" t="s">
        <v>6940</v>
      </c>
      <c r="C5288" t="s">
        <v>209</v>
      </c>
      <c r="D5288">
        <v>-662.48665658954906</v>
      </c>
    </row>
    <row r="5289" spans="1:4" hidden="1" x14ac:dyDescent="0.3">
      <c r="A5289">
        <v>5287</v>
      </c>
      <c r="B5289" t="s">
        <v>6941</v>
      </c>
      <c r="C5289" t="s">
        <v>211</v>
      </c>
      <c r="D5289">
        <v>-336.23837218557202</v>
      </c>
    </row>
    <row r="5290" spans="1:4" hidden="1" x14ac:dyDescent="0.3">
      <c r="A5290">
        <v>5288</v>
      </c>
      <c r="B5290" s="1" t="s">
        <v>6942</v>
      </c>
      <c r="C5290" t="s">
        <v>213</v>
      </c>
      <c r="D5290" s="1" t="s">
        <v>6943</v>
      </c>
    </row>
    <row r="5291" spans="1:4" hidden="1" x14ac:dyDescent="0.3">
      <c r="A5291">
        <v>5289</v>
      </c>
      <c r="B5291" t="s">
        <v>6944</v>
      </c>
      <c r="C5291" t="s">
        <v>216</v>
      </c>
      <c r="D5291">
        <v>78102335.978331</v>
      </c>
    </row>
    <row r="5292" spans="1:4" hidden="1" x14ac:dyDescent="0.3">
      <c r="A5292">
        <v>5290</v>
      </c>
      <c r="B5292" t="s">
        <v>6945</v>
      </c>
      <c r="C5292" t="s">
        <v>218</v>
      </c>
      <c r="D5292">
        <v>39640047.164776199</v>
      </c>
    </row>
    <row r="5293" spans="1:4" hidden="1" x14ac:dyDescent="0.3">
      <c r="A5293">
        <v>5291</v>
      </c>
      <c r="B5293" t="s">
        <v>6946</v>
      </c>
      <c r="C5293" t="s">
        <v>220</v>
      </c>
      <c r="D5293">
        <v>28517609.222967699</v>
      </c>
    </row>
    <row r="5294" spans="1:4" hidden="1" x14ac:dyDescent="0.3">
      <c r="A5294">
        <v>5292</v>
      </c>
      <c r="B5294" s="1" t="s">
        <v>6947</v>
      </c>
      <c r="C5294" t="s">
        <v>222</v>
      </c>
      <c r="D5294" s="1" t="s">
        <v>6948</v>
      </c>
    </row>
    <row r="5295" spans="1:4" hidden="1" x14ac:dyDescent="0.3">
      <c r="A5295">
        <v>5293</v>
      </c>
      <c r="B5295" t="s">
        <v>6949</v>
      </c>
      <c r="C5295" t="s">
        <v>225</v>
      </c>
      <c r="D5295">
        <v>101180949.651989</v>
      </c>
    </row>
    <row r="5296" spans="1:4" hidden="1" x14ac:dyDescent="0.3">
      <c r="A5296">
        <v>5294</v>
      </c>
      <c r="B5296" t="s">
        <v>6950</v>
      </c>
      <c r="C5296" t="s">
        <v>227</v>
      </c>
      <c r="D5296">
        <v>-858.24614854156903</v>
      </c>
    </row>
    <row r="5297" spans="1:4" hidden="1" x14ac:dyDescent="0.3">
      <c r="A5297">
        <v>5295</v>
      </c>
      <c r="B5297" s="1" t="s">
        <v>6951</v>
      </c>
      <c r="C5297" t="s">
        <v>229</v>
      </c>
      <c r="D5297" s="1" t="s">
        <v>6952</v>
      </c>
    </row>
    <row r="5298" spans="1:4" hidden="1" x14ac:dyDescent="0.3">
      <c r="A5298">
        <v>5296</v>
      </c>
      <c r="B5298" t="s">
        <v>6953</v>
      </c>
      <c r="C5298" t="s">
        <v>112</v>
      </c>
      <c r="D5298">
        <v>204.274730338354</v>
      </c>
    </row>
    <row r="5299" spans="1:4" hidden="1" x14ac:dyDescent="0.3">
      <c r="A5299">
        <v>5297</v>
      </c>
      <c r="B5299" t="s">
        <v>6954</v>
      </c>
      <c r="C5299" t="s">
        <v>114</v>
      </c>
      <c r="D5299">
        <v>60.6051505393878</v>
      </c>
    </row>
    <row r="5300" spans="1:4" hidden="1" x14ac:dyDescent="0.3">
      <c r="A5300">
        <v>5298</v>
      </c>
      <c r="B5300" s="1" t="s">
        <v>6955</v>
      </c>
      <c r="C5300" t="s">
        <v>116</v>
      </c>
      <c r="D5300" s="1" t="s">
        <v>6956</v>
      </c>
    </row>
    <row r="5301" spans="1:4" hidden="1" x14ac:dyDescent="0.3">
      <c r="A5301">
        <v>5299</v>
      </c>
      <c r="B5301" t="s">
        <v>6957</v>
      </c>
      <c r="C5301" t="s">
        <v>119</v>
      </c>
      <c r="D5301">
        <v>78102335.978331</v>
      </c>
    </row>
    <row r="5302" spans="1:4" hidden="1" x14ac:dyDescent="0.3">
      <c r="A5302">
        <v>5300</v>
      </c>
      <c r="B5302" t="s">
        <v>6958</v>
      </c>
      <c r="C5302" t="s">
        <v>121</v>
      </c>
      <c r="D5302">
        <v>39640047.164776199</v>
      </c>
    </row>
    <row r="5303" spans="1:4" hidden="1" x14ac:dyDescent="0.3">
      <c r="A5303">
        <v>5301</v>
      </c>
      <c r="B5303" s="1" t="s">
        <v>6959</v>
      </c>
      <c r="C5303" t="s">
        <v>123</v>
      </c>
      <c r="D5303" s="1" t="s">
        <v>6960</v>
      </c>
    </row>
    <row r="5304" spans="1:4" hidden="1" x14ac:dyDescent="0.3">
      <c r="A5304">
        <v>5302</v>
      </c>
      <c r="B5304" t="s">
        <v>6961</v>
      </c>
      <c r="C5304" t="s">
        <v>126</v>
      </c>
      <c r="D5304">
        <v>0.77183361689651198</v>
      </c>
    </row>
    <row r="5305" spans="1:4" hidden="1" x14ac:dyDescent="0.3">
      <c r="A5305">
        <v>5303</v>
      </c>
      <c r="B5305" t="s">
        <v>6962</v>
      </c>
      <c r="C5305" t="s">
        <v>128</v>
      </c>
      <c r="D5305">
        <v>0.39173631100644801</v>
      </c>
    </row>
    <row r="5306" spans="1:4" hidden="1" x14ac:dyDescent="0.3">
      <c r="A5306">
        <v>5304</v>
      </c>
      <c r="B5306" s="1" t="s">
        <v>6963</v>
      </c>
      <c r="C5306" t="s">
        <v>130</v>
      </c>
      <c r="D5306" s="1" t="s">
        <v>6964</v>
      </c>
    </row>
    <row r="5307" spans="1:4" hidden="1" x14ac:dyDescent="0.3">
      <c r="A5307">
        <v>5305</v>
      </c>
      <c r="B5307" s="1" t="s">
        <v>6965</v>
      </c>
      <c r="C5307" t="s">
        <v>4</v>
      </c>
      <c r="D5307" t="s">
        <v>6966</v>
      </c>
    </row>
    <row r="5308" spans="1:4" hidden="1" x14ac:dyDescent="0.3">
      <c r="A5308">
        <v>5306</v>
      </c>
      <c r="B5308" t="s">
        <v>6967</v>
      </c>
      <c r="C5308" t="s">
        <v>7</v>
      </c>
      <c r="D5308">
        <v>1813.9</v>
      </c>
    </row>
    <row r="5309" spans="1:4" hidden="1" x14ac:dyDescent="0.3">
      <c r="A5309">
        <v>5307</v>
      </c>
      <c r="B5309" s="1" t="s">
        <v>6968</v>
      </c>
      <c r="C5309" t="s">
        <v>9</v>
      </c>
      <c r="D5309" s="1" t="s">
        <v>6969</v>
      </c>
    </row>
    <row r="5310" spans="1:4" hidden="1" x14ac:dyDescent="0.3">
      <c r="A5310">
        <v>5308</v>
      </c>
      <c r="B5310" t="s">
        <v>3480</v>
      </c>
      <c r="C5310" t="s">
        <v>14</v>
      </c>
      <c r="D5310">
        <v>98.703125</v>
      </c>
    </row>
    <row r="5311" spans="1:4" hidden="1" x14ac:dyDescent="0.3">
      <c r="A5311">
        <v>5309</v>
      </c>
      <c r="B5311" t="s">
        <v>6970</v>
      </c>
      <c r="C5311" t="s">
        <v>16</v>
      </c>
      <c r="D5311">
        <v>4.3957897354802604</v>
      </c>
    </row>
    <row r="5312" spans="1:4" hidden="1" x14ac:dyDescent="0.3">
      <c r="A5312">
        <v>5310</v>
      </c>
      <c r="B5312" s="1" t="s">
        <v>6971</v>
      </c>
      <c r="C5312" t="s">
        <v>140</v>
      </c>
      <c r="D5312" s="1" t="s">
        <v>6972</v>
      </c>
    </row>
    <row r="5313" spans="1:4" hidden="1" x14ac:dyDescent="0.3">
      <c r="A5313">
        <v>5311</v>
      </c>
      <c r="B5313" t="s">
        <v>6973</v>
      </c>
      <c r="C5313" t="s">
        <v>22</v>
      </c>
      <c r="D5313">
        <v>71.3</v>
      </c>
    </row>
    <row r="5314" spans="1:4" hidden="1" x14ac:dyDescent="0.3">
      <c r="A5314">
        <v>5312</v>
      </c>
      <c r="B5314" t="s">
        <v>6974</v>
      </c>
      <c r="C5314" t="s">
        <v>24</v>
      </c>
      <c r="D5314">
        <v>6.6273786857815598</v>
      </c>
    </row>
    <row r="5315" spans="1:4" hidden="1" x14ac:dyDescent="0.3">
      <c r="A5315">
        <v>5313</v>
      </c>
      <c r="B5315" s="1" t="s">
        <v>6975</v>
      </c>
      <c r="C5315" t="s">
        <v>145</v>
      </c>
      <c r="D5315" s="1" t="s">
        <v>6976</v>
      </c>
    </row>
    <row r="5316" spans="1:4" hidden="1" x14ac:dyDescent="0.3">
      <c r="A5316">
        <v>5314</v>
      </c>
      <c r="B5316" t="s">
        <v>6977</v>
      </c>
      <c r="C5316" t="s">
        <v>35</v>
      </c>
      <c r="D5316">
        <v>6.0623970142898199E-2</v>
      </c>
    </row>
    <row r="5317" spans="1:4" hidden="1" x14ac:dyDescent="0.3">
      <c r="A5317">
        <v>5315</v>
      </c>
      <c r="B5317" t="s">
        <v>6978</v>
      </c>
      <c r="C5317" t="s">
        <v>149</v>
      </c>
      <c r="D5317">
        <v>0.74301374588471003</v>
      </c>
    </row>
    <row r="5318" spans="1:4" hidden="1" x14ac:dyDescent="0.3">
      <c r="A5318">
        <v>5316</v>
      </c>
      <c r="B5318" s="1" t="s">
        <v>6979</v>
      </c>
      <c r="C5318" t="s">
        <v>151</v>
      </c>
      <c r="D5318" s="1" t="s">
        <v>6980</v>
      </c>
    </row>
    <row r="5319" spans="1:4" hidden="1" x14ac:dyDescent="0.3">
      <c r="A5319">
        <v>5317</v>
      </c>
      <c r="B5319" t="s">
        <v>6981</v>
      </c>
      <c r="C5319" t="s">
        <v>30</v>
      </c>
      <c r="D5319">
        <v>0.36440623275675199</v>
      </c>
    </row>
    <row r="5320" spans="1:4" hidden="1" x14ac:dyDescent="0.3">
      <c r="A5320">
        <v>5318</v>
      </c>
      <c r="B5320" t="s">
        <v>6982</v>
      </c>
      <c r="C5320" t="s">
        <v>32</v>
      </c>
      <c r="D5320">
        <v>0.181847514633833</v>
      </c>
    </row>
    <row r="5321" spans="1:4" hidden="1" x14ac:dyDescent="0.3">
      <c r="A5321">
        <v>5319</v>
      </c>
      <c r="B5321" s="1" t="s">
        <v>6983</v>
      </c>
      <c r="C5321" t="s">
        <v>155</v>
      </c>
      <c r="D5321" s="1" t="s">
        <v>6984</v>
      </c>
    </row>
    <row r="5322" spans="1:4" hidden="1" x14ac:dyDescent="0.3">
      <c r="A5322">
        <v>5320</v>
      </c>
      <c r="B5322" t="s">
        <v>6985</v>
      </c>
      <c r="C5322" t="s">
        <v>40</v>
      </c>
      <c r="D5322">
        <v>0.57496979710034901</v>
      </c>
    </row>
    <row r="5323" spans="1:4" hidden="1" x14ac:dyDescent="0.3">
      <c r="A5323">
        <v>5321</v>
      </c>
      <c r="B5323" t="s">
        <v>6986</v>
      </c>
      <c r="C5323" t="s">
        <v>42</v>
      </c>
      <c r="D5323">
        <v>0.16402260626049001</v>
      </c>
    </row>
    <row r="5324" spans="1:4" hidden="1" x14ac:dyDescent="0.3">
      <c r="A5324">
        <v>5322</v>
      </c>
      <c r="B5324" s="1" t="s">
        <v>6987</v>
      </c>
      <c r="C5324" t="s">
        <v>159</v>
      </c>
      <c r="D5324" s="1" t="s">
        <v>6988</v>
      </c>
    </row>
    <row r="5325" spans="1:4" hidden="1" x14ac:dyDescent="0.3">
      <c r="A5325">
        <v>5323</v>
      </c>
      <c r="B5325" t="s">
        <v>6989</v>
      </c>
      <c r="C5325" t="s">
        <v>161</v>
      </c>
      <c r="D5325">
        <v>1.00015438735788</v>
      </c>
    </row>
    <row r="5326" spans="1:4" hidden="1" x14ac:dyDescent="0.3">
      <c r="A5326">
        <v>5324</v>
      </c>
      <c r="B5326" t="s">
        <v>6990</v>
      </c>
      <c r="C5326" t="s">
        <v>163</v>
      </c>
      <c r="D5326">
        <v>1.0001436957057299</v>
      </c>
    </row>
    <row r="5327" spans="1:4" hidden="1" x14ac:dyDescent="0.3">
      <c r="A5327">
        <v>5325</v>
      </c>
      <c r="B5327" s="1" t="s">
        <v>6991</v>
      </c>
      <c r="C5327" t="s">
        <v>165</v>
      </c>
      <c r="D5327" s="1" t="s">
        <v>6992</v>
      </c>
    </row>
    <row r="5328" spans="1:4" hidden="1" x14ac:dyDescent="0.3">
      <c r="A5328">
        <v>5326</v>
      </c>
      <c r="B5328" t="s">
        <v>6993</v>
      </c>
      <c r="C5328" t="s">
        <v>168</v>
      </c>
      <c r="D5328">
        <v>0.99955563750777598</v>
      </c>
    </row>
    <row r="5329" spans="1:4" hidden="1" x14ac:dyDescent="0.3">
      <c r="A5329">
        <v>5327</v>
      </c>
      <c r="B5329" t="s">
        <v>6994</v>
      </c>
      <c r="C5329" t="s">
        <v>170</v>
      </c>
      <c r="D5329">
        <v>0.999665851497055</v>
      </c>
    </row>
    <row r="5330" spans="1:4" hidden="1" x14ac:dyDescent="0.3">
      <c r="A5330">
        <v>5328</v>
      </c>
      <c r="B5330" s="1" t="s">
        <v>6995</v>
      </c>
      <c r="C5330" t="s">
        <v>172</v>
      </c>
      <c r="D5330" s="1" t="s">
        <v>6996</v>
      </c>
    </row>
    <row r="5331" spans="1:4" hidden="1" x14ac:dyDescent="0.3">
      <c r="A5331">
        <v>5329</v>
      </c>
      <c r="B5331" s="1" t="s">
        <v>6997</v>
      </c>
      <c r="C5331" t="s">
        <v>55</v>
      </c>
      <c r="D5331" s="1" t="s">
        <v>6998</v>
      </c>
    </row>
    <row r="5332" spans="1:4" hidden="1" x14ac:dyDescent="0.3">
      <c r="A5332">
        <v>5330</v>
      </c>
      <c r="B5332" s="1" t="s">
        <v>6999</v>
      </c>
      <c r="C5332" t="s">
        <v>52</v>
      </c>
      <c r="D5332" s="1" t="s">
        <v>7000</v>
      </c>
    </row>
    <row r="5333" spans="1:4" hidden="1" x14ac:dyDescent="0.3">
      <c r="A5333">
        <v>5331</v>
      </c>
      <c r="B5333" s="1" t="s">
        <v>7001</v>
      </c>
      <c r="C5333" t="s">
        <v>58</v>
      </c>
      <c r="D5333" s="1" t="s">
        <v>7002</v>
      </c>
    </row>
    <row r="5334" spans="1:4" hidden="1" x14ac:dyDescent="0.3">
      <c r="A5334">
        <v>5332</v>
      </c>
      <c r="B5334" t="s">
        <v>7003</v>
      </c>
      <c r="C5334" t="s">
        <v>61</v>
      </c>
      <c r="D5334">
        <v>146186718.34285399</v>
      </c>
    </row>
    <row r="5335" spans="1:4" hidden="1" x14ac:dyDescent="0.3">
      <c r="A5335">
        <v>5333</v>
      </c>
      <c r="B5335" t="s">
        <v>7004</v>
      </c>
      <c r="C5335" t="s">
        <v>63</v>
      </c>
      <c r="D5335">
        <v>78114393.991626993</v>
      </c>
    </row>
    <row r="5336" spans="1:4" hidden="1" x14ac:dyDescent="0.3">
      <c r="A5336">
        <v>5334</v>
      </c>
      <c r="B5336" t="s">
        <v>7005</v>
      </c>
      <c r="C5336" t="s">
        <v>65</v>
      </c>
      <c r="D5336">
        <v>39645743.269328803</v>
      </c>
    </row>
    <row r="5337" spans="1:4" hidden="1" x14ac:dyDescent="0.3">
      <c r="A5337">
        <v>5335</v>
      </c>
      <c r="B5337" s="1" t="s">
        <v>7006</v>
      </c>
      <c r="C5337" t="s">
        <v>67</v>
      </c>
      <c r="D5337" s="1" t="s">
        <v>7007</v>
      </c>
    </row>
    <row r="5338" spans="1:4" hidden="1" x14ac:dyDescent="0.3">
      <c r="A5338">
        <v>5336</v>
      </c>
      <c r="B5338" s="1" t="s">
        <v>7008</v>
      </c>
      <c r="C5338" t="s">
        <v>70</v>
      </c>
      <c r="D5338" s="1" t="s">
        <v>7009</v>
      </c>
    </row>
    <row r="5339" spans="1:4" hidden="1" x14ac:dyDescent="0.3">
      <c r="A5339">
        <v>5337</v>
      </c>
      <c r="B5339" t="s">
        <v>7010</v>
      </c>
      <c r="C5339" t="s">
        <v>73</v>
      </c>
      <c r="D5339">
        <v>1.00009575082882</v>
      </c>
    </row>
    <row r="5340" spans="1:4" hidden="1" x14ac:dyDescent="0.3">
      <c r="A5340">
        <v>5338</v>
      </c>
      <c r="B5340" t="s">
        <v>74</v>
      </c>
      <c r="C5340" t="s">
        <v>75</v>
      </c>
      <c r="D5340">
        <v>2.7397260273972599E-3</v>
      </c>
    </row>
    <row r="5341" spans="1:4" hidden="1" x14ac:dyDescent="0.3">
      <c r="A5341">
        <v>5339</v>
      </c>
      <c r="B5341" t="s">
        <v>76</v>
      </c>
      <c r="C5341" t="s">
        <v>77</v>
      </c>
      <c r="D5341">
        <v>0</v>
      </c>
    </row>
    <row r="5342" spans="1:4" hidden="1" x14ac:dyDescent="0.3">
      <c r="A5342">
        <v>5340</v>
      </c>
      <c r="B5342" t="s">
        <v>78</v>
      </c>
      <c r="C5342" t="s">
        <v>79</v>
      </c>
      <c r="D5342">
        <v>0</v>
      </c>
    </row>
    <row r="5343" spans="1:4" hidden="1" x14ac:dyDescent="0.3">
      <c r="A5343">
        <v>5341</v>
      </c>
      <c r="B5343" s="1" t="s">
        <v>7011</v>
      </c>
      <c r="C5343" t="s">
        <v>81</v>
      </c>
      <c r="D5343" s="1" t="s">
        <v>7012</v>
      </c>
    </row>
    <row r="5344" spans="1:4" hidden="1" x14ac:dyDescent="0.3">
      <c r="A5344">
        <v>5342</v>
      </c>
      <c r="B5344" t="s">
        <v>7013</v>
      </c>
      <c r="C5344" t="s">
        <v>84</v>
      </c>
      <c r="D5344">
        <v>1.00008503888196</v>
      </c>
    </row>
    <row r="5345" spans="1:4" hidden="1" x14ac:dyDescent="0.3">
      <c r="A5345">
        <v>5343</v>
      </c>
      <c r="B5345" s="1" t="s">
        <v>7014</v>
      </c>
      <c r="C5345" t="s">
        <v>86</v>
      </c>
      <c r="D5345" s="1" t="s">
        <v>7015</v>
      </c>
    </row>
    <row r="5346" spans="1:4" hidden="1" x14ac:dyDescent="0.3">
      <c r="A5346">
        <v>5344</v>
      </c>
      <c r="B5346" t="s">
        <v>7016</v>
      </c>
      <c r="C5346" t="s">
        <v>89</v>
      </c>
      <c r="D5346">
        <v>101181175.149443</v>
      </c>
    </row>
    <row r="5347" spans="1:4" hidden="1" x14ac:dyDescent="0.3">
      <c r="A5347">
        <v>5345</v>
      </c>
      <c r="B5347" s="1" t="s">
        <v>7017</v>
      </c>
      <c r="C5347" t="s">
        <v>91</v>
      </c>
      <c r="D5347" s="1" t="s">
        <v>6952</v>
      </c>
    </row>
    <row r="5348" spans="1:4" hidden="1" x14ac:dyDescent="0.3">
      <c r="A5348">
        <v>5346</v>
      </c>
      <c r="B5348" t="s">
        <v>7018</v>
      </c>
      <c r="C5348" t="s">
        <v>94</v>
      </c>
      <c r="D5348">
        <v>78114393.991626993</v>
      </c>
    </row>
    <row r="5349" spans="1:4" hidden="1" x14ac:dyDescent="0.3">
      <c r="A5349">
        <v>5347</v>
      </c>
      <c r="B5349" t="s">
        <v>7019</v>
      </c>
      <c r="C5349" t="s">
        <v>96</v>
      </c>
      <c r="D5349">
        <v>39645743.269328803</v>
      </c>
    </row>
    <row r="5350" spans="1:4" hidden="1" x14ac:dyDescent="0.3">
      <c r="A5350">
        <v>5348</v>
      </c>
      <c r="B5350" t="s">
        <v>7020</v>
      </c>
      <c r="C5350" t="s">
        <v>98</v>
      </c>
      <c r="D5350">
        <v>28426581.081898801</v>
      </c>
    </row>
    <row r="5351" spans="1:4" hidden="1" x14ac:dyDescent="0.3">
      <c r="A5351">
        <v>5349</v>
      </c>
      <c r="B5351" s="1" t="s">
        <v>7021</v>
      </c>
      <c r="C5351" t="s">
        <v>100</v>
      </c>
      <c r="D5351" s="1" t="s">
        <v>7022</v>
      </c>
    </row>
    <row r="5352" spans="1:4" hidden="1" x14ac:dyDescent="0.3">
      <c r="A5352">
        <v>5350</v>
      </c>
      <c r="B5352" t="s">
        <v>7023</v>
      </c>
      <c r="C5352" t="s">
        <v>103</v>
      </c>
      <c r="D5352">
        <v>8.0812350031804203E-3</v>
      </c>
    </row>
    <row r="5353" spans="1:4" hidden="1" x14ac:dyDescent="0.3">
      <c r="A5353">
        <v>5351</v>
      </c>
      <c r="B5353" t="s">
        <v>7024</v>
      </c>
      <c r="C5353" t="s">
        <v>105</v>
      </c>
      <c r="D5353">
        <v>1.30593629880509E-3</v>
      </c>
    </row>
    <row r="5354" spans="1:4" hidden="1" x14ac:dyDescent="0.3">
      <c r="A5354">
        <v>5352</v>
      </c>
      <c r="B5354" t="s">
        <v>7025</v>
      </c>
      <c r="C5354" t="s">
        <v>107</v>
      </c>
      <c r="D5354">
        <v>1.00435463746089E-2</v>
      </c>
    </row>
    <row r="5355" spans="1:4" hidden="1" x14ac:dyDescent="0.3">
      <c r="A5355">
        <v>5353</v>
      </c>
      <c r="B5355" s="1" t="s">
        <v>7026</v>
      </c>
      <c r="C5355" t="s">
        <v>109</v>
      </c>
      <c r="D5355" s="1" t="s">
        <v>7027</v>
      </c>
    </row>
    <row r="5356" spans="1:4" x14ac:dyDescent="0.3">
      <c r="A5356">
        <v>5354</v>
      </c>
      <c r="B5356" t="s">
        <v>7028</v>
      </c>
      <c r="C5356" t="s">
        <v>207</v>
      </c>
      <c r="D5356">
        <v>146186342.558801</v>
      </c>
    </row>
    <row r="5357" spans="1:4" hidden="1" x14ac:dyDescent="0.3">
      <c r="A5357">
        <v>5355</v>
      </c>
      <c r="B5357" t="s">
        <v>7029</v>
      </c>
      <c r="C5357" t="s">
        <v>209</v>
      </c>
      <c r="D5357">
        <v>836.67402333840903</v>
      </c>
    </row>
    <row r="5358" spans="1:4" hidden="1" x14ac:dyDescent="0.3">
      <c r="A5358">
        <v>5356</v>
      </c>
      <c r="B5358" t="s">
        <v>7030</v>
      </c>
      <c r="C5358" t="s">
        <v>211</v>
      </c>
      <c r="D5358">
        <v>424.641809432765</v>
      </c>
    </row>
    <row r="5359" spans="1:4" hidden="1" x14ac:dyDescent="0.3">
      <c r="A5359">
        <v>5357</v>
      </c>
      <c r="B5359" s="1" t="s">
        <v>7031</v>
      </c>
      <c r="C5359" t="s">
        <v>213</v>
      </c>
      <c r="D5359" s="1" t="s">
        <v>7032</v>
      </c>
    </row>
    <row r="5360" spans="1:4" hidden="1" x14ac:dyDescent="0.3">
      <c r="A5360">
        <v>5358</v>
      </c>
      <c r="B5360" t="s">
        <v>7033</v>
      </c>
      <c r="C5360" t="s">
        <v>216</v>
      </c>
      <c r="D5360">
        <v>78113267.742457703</v>
      </c>
    </row>
    <row r="5361" spans="1:4" hidden="1" x14ac:dyDescent="0.3">
      <c r="A5361">
        <v>5359</v>
      </c>
      <c r="B5361" t="s">
        <v>7034</v>
      </c>
      <c r="C5361" t="s">
        <v>218</v>
      </c>
      <c r="D5361">
        <v>39645260.196451597</v>
      </c>
    </row>
    <row r="5362" spans="1:4" hidden="1" x14ac:dyDescent="0.3">
      <c r="A5362">
        <v>5360</v>
      </c>
      <c r="B5362" t="s">
        <v>7035</v>
      </c>
      <c r="C5362" t="s">
        <v>220</v>
      </c>
      <c r="D5362">
        <v>28426248.829484101</v>
      </c>
    </row>
    <row r="5363" spans="1:4" hidden="1" x14ac:dyDescent="0.3">
      <c r="A5363">
        <v>5361</v>
      </c>
      <c r="B5363" s="1" t="s">
        <v>7036</v>
      </c>
      <c r="C5363" t="s">
        <v>222</v>
      </c>
      <c r="D5363" s="1" t="s">
        <v>7037</v>
      </c>
    </row>
    <row r="5364" spans="1:4" hidden="1" x14ac:dyDescent="0.3">
      <c r="A5364">
        <v>5362</v>
      </c>
      <c r="B5364" t="s">
        <v>7038</v>
      </c>
      <c r="C5364" t="s">
        <v>225</v>
      </c>
      <c r="D5364">
        <v>101180091.40584099</v>
      </c>
    </row>
    <row r="5365" spans="1:4" hidden="1" x14ac:dyDescent="0.3">
      <c r="A5365">
        <v>5363</v>
      </c>
      <c r="B5365" t="s">
        <v>7039</v>
      </c>
      <c r="C5365" t="s">
        <v>227</v>
      </c>
      <c r="D5365">
        <v>1083.74360214173</v>
      </c>
    </row>
    <row r="5366" spans="1:4" hidden="1" x14ac:dyDescent="0.3">
      <c r="A5366">
        <v>5364</v>
      </c>
      <c r="B5366" s="1" t="s">
        <v>7040</v>
      </c>
      <c r="C5366" t="s">
        <v>229</v>
      </c>
      <c r="D5366" s="1" t="s">
        <v>7041</v>
      </c>
    </row>
    <row r="5367" spans="1:4" hidden="1" x14ac:dyDescent="0.3">
      <c r="A5367">
        <v>5365</v>
      </c>
      <c r="B5367" t="s">
        <v>7042</v>
      </c>
      <c r="C5367" t="s">
        <v>112</v>
      </c>
      <c r="D5367">
        <v>-289.57514596309397</v>
      </c>
    </row>
    <row r="5368" spans="1:4" hidden="1" x14ac:dyDescent="0.3">
      <c r="A5368">
        <v>5366</v>
      </c>
      <c r="B5368" t="s">
        <v>7043</v>
      </c>
      <c r="C5368" t="s">
        <v>114</v>
      </c>
      <c r="D5368">
        <v>-58.4310677086578</v>
      </c>
    </row>
    <row r="5369" spans="1:4" hidden="1" x14ac:dyDescent="0.3">
      <c r="A5369">
        <v>5367</v>
      </c>
      <c r="B5369" s="1" t="s">
        <v>7044</v>
      </c>
      <c r="C5369" t="s">
        <v>116</v>
      </c>
      <c r="D5369" s="1" t="s">
        <v>7045</v>
      </c>
    </row>
    <row r="5370" spans="1:4" hidden="1" x14ac:dyDescent="0.3">
      <c r="A5370">
        <v>5368</v>
      </c>
      <c r="B5370" t="s">
        <v>7046</v>
      </c>
      <c r="C5370" t="s">
        <v>119</v>
      </c>
      <c r="D5370">
        <v>78113267.742457703</v>
      </c>
    </row>
    <row r="5371" spans="1:4" hidden="1" x14ac:dyDescent="0.3">
      <c r="A5371">
        <v>5369</v>
      </c>
      <c r="B5371" t="s">
        <v>7047</v>
      </c>
      <c r="C5371" t="s">
        <v>121</v>
      </c>
      <c r="D5371">
        <v>39645260.196451597</v>
      </c>
    </row>
    <row r="5372" spans="1:4" hidden="1" x14ac:dyDescent="0.3">
      <c r="A5372">
        <v>5370</v>
      </c>
      <c r="B5372" s="1" t="s">
        <v>7048</v>
      </c>
      <c r="C5372" t="s">
        <v>123</v>
      </c>
      <c r="D5372" s="1" t="s">
        <v>7049</v>
      </c>
    </row>
    <row r="5373" spans="1:4" hidden="1" x14ac:dyDescent="0.3">
      <c r="A5373">
        <v>5371</v>
      </c>
      <c r="B5373" t="s">
        <v>7050</v>
      </c>
      <c r="C5373" t="s">
        <v>126</v>
      </c>
      <c r="D5373">
        <v>0.77195646452865496</v>
      </c>
    </row>
    <row r="5374" spans="1:4" hidden="1" x14ac:dyDescent="0.3">
      <c r="A5374">
        <v>5372</v>
      </c>
      <c r="B5374" t="s">
        <v>7051</v>
      </c>
      <c r="C5374" t="s">
        <v>128</v>
      </c>
      <c r="D5374">
        <v>0.39179534771833202</v>
      </c>
    </row>
    <row r="5375" spans="1:4" hidden="1" x14ac:dyDescent="0.3">
      <c r="A5375">
        <v>5373</v>
      </c>
      <c r="B5375" s="1" t="s">
        <v>7052</v>
      </c>
      <c r="C5375" t="s">
        <v>130</v>
      </c>
      <c r="D5375" s="1" t="s">
        <v>7053</v>
      </c>
    </row>
    <row r="5376" spans="1:4" hidden="1" x14ac:dyDescent="0.3">
      <c r="A5376">
        <v>5374</v>
      </c>
      <c r="B5376" s="1" t="s">
        <v>7054</v>
      </c>
      <c r="C5376" t="s">
        <v>4</v>
      </c>
      <c r="D5376" t="s">
        <v>7055</v>
      </c>
    </row>
    <row r="5377" spans="1:4" hidden="1" x14ac:dyDescent="0.3">
      <c r="A5377">
        <v>5375</v>
      </c>
      <c r="B5377" t="s">
        <v>7056</v>
      </c>
      <c r="C5377" t="s">
        <v>7</v>
      </c>
      <c r="D5377">
        <v>1809.66</v>
      </c>
    </row>
    <row r="5378" spans="1:4" hidden="1" x14ac:dyDescent="0.3">
      <c r="A5378">
        <v>5376</v>
      </c>
      <c r="B5378" s="1" t="s">
        <v>7057</v>
      </c>
      <c r="C5378" t="s">
        <v>9</v>
      </c>
      <c r="D5378" s="1" t="s">
        <v>7058</v>
      </c>
    </row>
    <row r="5379" spans="1:4" hidden="1" x14ac:dyDescent="0.3">
      <c r="A5379">
        <v>5377</v>
      </c>
      <c r="B5379" t="s">
        <v>2045</v>
      </c>
      <c r="C5379" t="s">
        <v>14</v>
      </c>
      <c r="D5379">
        <v>98.73828125</v>
      </c>
    </row>
    <row r="5380" spans="1:4" hidden="1" x14ac:dyDescent="0.3">
      <c r="A5380">
        <v>5378</v>
      </c>
      <c r="B5380" t="s">
        <v>7059</v>
      </c>
      <c r="C5380" t="s">
        <v>16</v>
      </c>
      <c r="D5380">
        <v>4.3973450653026998</v>
      </c>
    </row>
    <row r="5381" spans="1:4" hidden="1" x14ac:dyDescent="0.3">
      <c r="A5381">
        <v>5379</v>
      </c>
      <c r="B5381" s="1" t="s">
        <v>7060</v>
      </c>
      <c r="C5381" t="s">
        <v>140</v>
      </c>
      <c r="D5381" s="1" t="s">
        <v>7061</v>
      </c>
    </row>
    <row r="5382" spans="1:4" hidden="1" x14ac:dyDescent="0.3">
      <c r="A5382">
        <v>5380</v>
      </c>
      <c r="B5382" t="s">
        <v>7062</v>
      </c>
      <c r="C5382" t="s">
        <v>22</v>
      </c>
      <c r="D5382">
        <v>71.75</v>
      </c>
    </row>
    <row r="5383" spans="1:4" hidden="1" x14ac:dyDescent="0.3">
      <c r="A5383">
        <v>5381</v>
      </c>
      <c r="B5383" t="s">
        <v>7063</v>
      </c>
      <c r="C5383" t="s">
        <v>24</v>
      </c>
      <c r="D5383">
        <v>6.6246952364161</v>
      </c>
    </row>
    <row r="5384" spans="1:4" hidden="1" x14ac:dyDescent="0.3">
      <c r="A5384">
        <v>5382</v>
      </c>
      <c r="B5384" s="1" t="s">
        <v>7064</v>
      </c>
      <c r="C5384" t="s">
        <v>145</v>
      </c>
      <c r="D5384" s="1" t="s">
        <v>7065</v>
      </c>
    </row>
    <row r="5385" spans="1:4" hidden="1" x14ac:dyDescent="0.3">
      <c r="A5385">
        <v>5383</v>
      </c>
      <c r="B5385" t="s">
        <v>7066</v>
      </c>
      <c r="C5385" t="s">
        <v>35</v>
      </c>
      <c r="D5385">
        <v>-3.8121299764904602E-2</v>
      </c>
    </row>
    <row r="5386" spans="1:4" hidden="1" x14ac:dyDescent="0.3">
      <c r="A5386">
        <v>5384</v>
      </c>
      <c r="B5386" t="s">
        <v>7067</v>
      </c>
      <c r="C5386" t="s">
        <v>149</v>
      </c>
      <c r="D5386">
        <v>0.74481127701920102</v>
      </c>
    </row>
    <row r="5387" spans="1:4" hidden="1" x14ac:dyDescent="0.3">
      <c r="A5387">
        <v>5385</v>
      </c>
      <c r="B5387" s="1" t="s">
        <v>7068</v>
      </c>
      <c r="C5387" t="s">
        <v>151</v>
      </c>
      <c r="D5387" s="1" t="s">
        <v>7069</v>
      </c>
    </row>
    <row r="5388" spans="1:4" hidden="1" x14ac:dyDescent="0.3">
      <c r="A5388">
        <v>5386</v>
      </c>
      <c r="B5388" t="s">
        <v>7070</v>
      </c>
      <c r="C5388" t="s">
        <v>30</v>
      </c>
      <c r="D5388">
        <v>0.39611620520198498</v>
      </c>
    </row>
    <row r="5389" spans="1:4" hidden="1" x14ac:dyDescent="0.3">
      <c r="A5389">
        <v>5387</v>
      </c>
      <c r="B5389" t="s">
        <v>7071</v>
      </c>
      <c r="C5389" t="s">
        <v>32</v>
      </c>
      <c r="D5389">
        <v>0.18037811653265601</v>
      </c>
    </row>
    <row r="5390" spans="1:4" hidden="1" x14ac:dyDescent="0.3">
      <c r="A5390">
        <v>5388</v>
      </c>
      <c r="B5390" s="1" t="s">
        <v>7072</v>
      </c>
      <c r="C5390" t="s">
        <v>155</v>
      </c>
      <c r="D5390" s="1" t="s">
        <v>7073</v>
      </c>
    </row>
    <row r="5391" spans="1:4" hidden="1" x14ac:dyDescent="0.3">
      <c r="A5391">
        <v>5389</v>
      </c>
      <c r="B5391" t="s">
        <v>7074</v>
      </c>
      <c r="C5391" t="s">
        <v>40</v>
      </c>
      <c r="D5391">
        <v>0.64200509456291899</v>
      </c>
    </row>
    <row r="5392" spans="1:4" hidden="1" x14ac:dyDescent="0.3">
      <c r="A5392">
        <v>5390</v>
      </c>
      <c r="B5392" t="s">
        <v>7075</v>
      </c>
      <c r="C5392" t="s">
        <v>42</v>
      </c>
      <c r="D5392">
        <v>0.16224387490937001</v>
      </c>
    </row>
    <row r="5393" spans="1:4" hidden="1" x14ac:dyDescent="0.3">
      <c r="A5393">
        <v>5391</v>
      </c>
      <c r="B5393" s="1" t="s">
        <v>7076</v>
      </c>
      <c r="C5393" t="s">
        <v>159</v>
      </c>
      <c r="D5393" s="1" t="s">
        <v>7077</v>
      </c>
    </row>
    <row r="5394" spans="1:4" hidden="1" x14ac:dyDescent="0.3">
      <c r="A5394">
        <v>5392</v>
      </c>
      <c r="B5394" t="s">
        <v>7078</v>
      </c>
      <c r="C5394" t="s">
        <v>161</v>
      </c>
      <c r="D5394">
        <v>0.99766249517613903</v>
      </c>
    </row>
    <row r="5395" spans="1:4" hidden="1" x14ac:dyDescent="0.3">
      <c r="A5395">
        <v>5393</v>
      </c>
      <c r="B5395" t="s">
        <v>7079</v>
      </c>
      <c r="C5395" t="s">
        <v>163</v>
      </c>
      <c r="D5395">
        <v>1.00035608114708</v>
      </c>
    </row>
    <row r="5396" spans="1:4" hidden="1" x14ac:dyDescent="0.3">
      <c r="A5396">
        <v>5394</v>
      </c>
      <c r="B5396" s="1" t="s">
        <v>7080</v>
      </c>
      <c r="C5396" t="s">
        <v>165</v>
      </c>
      <c r="D5396" s="1" t="s">
        <v>7081</v>
      </c>
    </row>
    <row r="5397" spans="1:4" hidden="1" x14ac:dyDescent="0.3">
      <c r="A5397">
        <v>5395</v>
      </c>
      <c r="B5397" t="s">
        <v>7082</v>
      </c>
      <c r="C5397" t="s">
        <v>168</v>
      </c>
      <c r="D5397">
        <v>1.00103127765844</v>
      </c>
    </row>
    <row r="5398" spans="1:4" hidden="1" x14ac:dyDescent="0.3">
      <c r="A5398">
        <v>5396</v>
      </c>
      <c r="B5398" t="s">
        <v>7083</v>
      </c>
      <c r="C5398" t="s">
        <v>170</v>
      </c>
      <c r="D5398">
        <v>0.99875669400410605</v>
      </c>
    </row>
    <row r="5399" spans="1:4" hidden="1" x14ac:dyDescent="0.3">
      <c r="A5399">
        <v>5397</v>
      </c>
      <c r="B5399" s="1" t="s">
        <v>7084</v>
      </c>
      <c r="C5399" t="s">
        <v>172</v>
      </c>
      <c r="D5399" s="1" t="s">
        <v>7085</v>
      </c>
    </row>
    <row r="5400" spans="1:4" hidden="1" x14ac:dyDescent="0.3">
      <c r="A5400">
        <v>5398</v>
      </c>
      <c r="B5400" s="1" t="s">
        <v>7086</v>
      </c>
      <c r="C5400" t="s">
        <v>55</v>
      </c>
      <c r="D5400" s="1" t="s">
        <v>7087</v>
      </c>
    </row>
    <row r="5401" spans="1:4" hidden="1" x14ac:dyDescent="0.3">
      <c r="A5401">
        <v>5399</v>
      </c>
      <c r="B5401" s="1" t="s">
        <v>7088</v>
      </c>
      <c r="C5401" t="s">
        <v>52</v>
      </c>
      <c r="D5401" s="1" t="s">
        <v>7089</v>
      </c>
    </row>
    <row r="5402" spans="1:4" hidden="1" x14ac:dyDescent="0.3">
      <c r="A5402">
        <v>5400</v>
      </c>
      <c r="B5402" s="1" t="s">
        <v>7090</v>
      </c>
      <c r="C5402" t="s">
        <v>58</v>
      </c>
      <c r="D5402" s="1" t="s">
        <v>7091</v>
      </c>
    </row>
    <row r="5403" spans="1:4" hidden="1" x14ac:dyDescent="0.3">
      <c r="A5403">
        <v>5401</v>
      </c>
      <c r="B5403" t="s">
        <v>7092</v>
      </c>
      <c r="C5403" t="s">
        <v>61</v>
      </c>
      <c r="D5403">
        <v>146179475.113179</v>
      </c>
    </row>
    <row r="5404" spans="1:4" hidden="1" x14ac:dyDescent="0.3">
      <c r="A5404">
        <v>5402</v>
      </c>
      <c r="B5404" t="s">
        <v>7093</v>
      </c>
      <c r="C5404" t="s">
        <v>63</v>
      </c>
      <c r="D5404">
        <v>77930677.602302194</v>
      </c>
    </row>
    <row r="5405" spans="1:4" hidden="1" x14ac:dyDescent="0.3">
      <c r="A5405">
        <v>5403</v>
      </c>
      <c r="B5405" t="s">
        <v>7094</v>
      </c>
      <c r="C5405" t="s">
        <v>65</v>
      </c>
      <c r="D5405">
        <v>39659377.126178898</v>
      </c>
    </row>
    <row r="5406" spans="1:4" hidden="1" x14ac:dyDescent="0.3">
      <c r="A5406">
        <v>5404</v>
      </c>
      <c r="B5406" s="1" t="s">
        <v>7095</v>
      </c>
      <c r="C5406" t="s">
        <v>67</v>
      </c>
      <c r="D5406" s="1" t="s">
        <v>7096</v>
      </c>
    </row>
    <row r="5407" spans="1:4" hidden="1" x14ac:dyDescent="0.3">
      <c r="A5407">
        <v>5405</v>
      </c>
      <c r="B5407" s="1" t="s">
        <v>7097</v>
      </c>
      <c r="C5407" t="s">
        <v>70</v>
      </c>
      <c r="D5407" s="1" t="s">
        <v>7098</v>
      </c>
    </row>
    <row r="5408" spans="1:4" hidden="1" x14ac:dyDescent="0.3">
      <c r="A5408">
        <v>5406</v>
      </c>
      <c r="B5408" t="s">
        <v>7099</v>
      </c>
      <c r="C5408" t="s">
        <v>73</v>
      </c>
      <c r="D5408">
        <v>1.00008503888196</v>
      </c>
    </row>
    <row r="5409" spans="1:4" hidden="1" x14ac:dyDescent="0.3">
      <c r="A5409">
        <v>5407</v>
      </c>
      <c r="B5409" t="s">
        <v>74</v>
      </c>
      <c r="C5409" t="s">
        <v>75</v>
      </c>
      <c r="D5409">
        <v>2.7397260273972599E-3</v>
      </c>
    </row>
    <row r="5410" spans="1:4" hidden="1" x14ac:dyDescent="0.3">
      <c r="A5410">
        <v>5408</v>
      </c>
      <c r="B5410" t="s">
        <v>76</v>
      </c>
      <c r="C5410" t="s">
        <v>77</v>
      </c>
      <c r="D5410">
        <v>0</v>
      </c>
    </row>
    <row r="5411" spans="1:4" hidden="1" x14ac:dyDescent="0.3">
      <c r="A5411">
        <v>5409</v>
      </c>
      <c r="B5411" t="s">
        <v>78</v>
      </c>
      <c r="C5411" t="s">
        <v>79</v>
      </c>
      <c r="D5411">
        <v>0</v>
      </c>
    </row>
    <row r="5412" spans="1:4" hidden="1" x14ac:dyDescent="0.3">
      <c r="A5412">
        <v>5410</v>
      </c>
      <c r="B5412" s="1" t="s">
        <v>7100</v>
      </c>
      <c r="C5412" t="s">
        <v>81</v>
      </c>
      <c r="D5412" s="1" t="s">
        <v>7101</v>
      </c>
    </row>
    <row r="5413" spans="1:4" hidden="1" x14ac:dyDescent="0.3">
      <c r="A5413">
        <v>5411</v>
      </c>
      <c r="B5413" t="s">
        <v>7102</v>
      </c>
      <c r="C5413" t="s">
        <v>84</v>
      </c>
      <c r="D5413">
        <v>1.00007974997001</v>
      </c>
    </row>
    <row r="5414" spans="1:4" hidden="1" x14ac:dyDescent="0.3">
      <c r="A5414">
        <v>5412</v>
      </c>
      <c r="B5414" s="1" t="s">
        <v>7103</v>
      </c>
      <c r="C5414" t="s">
        <v>86</v>
      </c>
      <c r="D5414" s="1" t="s">
        <v>7104</v>
      </c>
    </row>
    <row r="5415" spans="1:4" hidden="1" x14ac:dyDescent="0.3">
      <c r="A5415">
        <v>5413</v>
      </c>
      <c r="B5415" t="s">
        <v>7105</v>
      </c>
      <c r="C5415" t="s">
        <v>89</v>
      </c>
      <c r="D5415">
        <v>101181710.245095</v>
      </c>
    </row>
    <row r="5416" spans="1:4" hidden="1" x14ac:dyDescent="0.3">
      <c r="A5416">
        <v>5414</v>
      </c>
      <c r="B5416" s="1" t="s">
        <v>7106</v>
      </c>
      <c r="C5416" t="s">
        <v>91</v>
      </c>
      <c r="D5416" s="1" t="s">
        <v>7041</v>
      </c>
    </row>
    <row r="5417" spans="1:4" hidden="1" x14ac:dyDescent="0.3">
      <c r="A5417">
        <v>5415</v>
      </c>
      <c r="B5417" t="s">
        <v>7107</v>
      </c>
      <c r="C5417" t="s">
        <v>94</v>
      </c>
      <c r="D5417">
        <v>77930677.602302194</v>
      </c>
    </row>
    <row r="5418" spans="1:4" hidden="1" x14ac:dyDescent="0.3">
      <c r="A5418">
        <v>5416</v>
      </c>
      <c r="B5418" t="s">
        <v>7108</v>
      </c>
      <c r="C5418" t="s">
        <v>96</v>
      </c>
      <c r="D5418">
        <v>39659377.126178898</v>
      </c>
    </row>
    <row r="5419" spans="1:4" hidden="1" x14ac:dyDescent="0.3">
      <c r="A5419">
        <v>5417</v>
      </c>
      <c r="B5419" t="s">
        <v>7109</v>
      </c>
      <c r="C5419" t="s">
        <v>98</v>
      </c>
      <c r="D5419">
        <v>28589420.384697702</v>
      </c>
    </row>
    <row r="5420" spans="1:4" hidden="1" x14ac:dyDescent="0.3">
      <c r="A5420">
        <v>5418</v>
      </c>
      <c r="B5420" s="1" t="s">
        <v>7110</v>
      </c>
      <c r="C5420" t="s">
        <v>100</v>
      </c>
      <c r="D5420" s="1" t="s">
        <v>7111</v>
      </c>
    </row>
    <row r="5421" spans="1:4" hidden="1" x14ac:dyDescent="0.3">
      <c r="A5421">
        <v>5419</v>
      </c>
      <c r="B5421" t="s">
        <v>7112</v>
      </c>
      <c r="C5421" t="s">
        <v>103</v>
      </c>
      <c r="D5421">
        <v>8.0483834414404008E-3</v>
      </c>
    </row>
    <row r="5422" spans="1:4" hidden="1" x14ac:dyDescent="0.3">
      <c r="A5422">
        <v>5420</v>
      </c>
      <c r="B5422" t="s">
        <v>7113</v>
      </c>
      <c r="C5422" t="s">
        <v>105</v>
      </c>
      <c r="D5422">
        <v>1.2983745172065299E-3</v>
      </c>
    </row>
    <row r="5423" spans="1:4" hidden="1" x14ac:dyDescent="0.3">
      <c r="A5423">
        <v>5421</v>
      </c>
      <c r="B5423" t="s">
        <v>7114</v>
      </c>
      <c r="C5423" t="s">
        <v>107</v>
      </c>
      <c r="D5423">
        <v>1.0061085136996301E-2</v>
      </c>
    </row>
    <row r="5424" spans="1:4" hidden="1" x14ac:dyDescent="0.3">
      <c r="A5424">
        <v>5422</v>
      </c>
      <c r="B5424" s="1" t="s">
        <v>7115</v>
      </c>
      <c r="C5424" t="s">
        <v>109</v>
      </c>
      <c r="D5424" s="1" t="s">
        <v>7116</v>
      </c>
    </row>
    <row r="5425" spans="1:4" x14ac:dyDescent="0.3">
      <c r="A5425">
        <v>5423</v>
      </c>
      <c r="B5425" t="s">
        <v>7117</v>
      </c>
      <c r="C5425" t="s">
        <v>207</v>
      </c>
      <c r="D5425">
        <v>146179289.56424001</v>
      </c>
    </row>
    <row r="5426" spans="1:4" hidden="1" x14ac:dyDescent="0.3">
      <c r="A5426">
        <v>5424</v>
      </c>
      <c r="B5426" t="s">
        <v>7118</v>
      </c>
      <c r="C5426" t="s">
        <v>209</v>
      </c>
      <c r="D5426">
        <v>412.13277209329902</v>
      </c>
    </row>
    <row r="5427" spans="1:4" hidden="1" x14ac:dyDescent="0.3">
      <c r="A5427">
        <v>5425</v>
      </c>
      <c r="B5427" t="s">
        <v>7119</v>
      </c>
      <c r="C5427" t="s">
        <v>211</v>
      </c>
      <c r="D5427">
        <v>209.73691666007201</v>
      </c>
    </row>
    <row r="5428" spans="1:4" hidden="1" x14ac:dyDescent="0.3">
      <c r="A5428">
        <v>5426</v>
      </c>
      <c r="B5428" s="1" t="s">
        <v>7120</v>
      </c>
      <c r="C5428" t="s">
        <v>213</v>
      </c>
      <c r="D5428" s="1" t="s">
        <v>7121</v>
      </c>
    </row>
    <row r="5429" spans="1:4" hidden="1" x14ac:dyDescent="0.3">
      <c r="A5429">
        <v>5427</v>
      </c>
      <c r="B5429" t="s">
        <v>7122</v>
      </c>
      <c r="C5429" t="s">
        <v>216</v>
      </c>
      <c r="D5429">
        <v>77930138.415583104</v>
      </c>
    </row>
    <row r="5430" spans="1:4" hidden="1" x14ac:dyDescent="0.3">
      <c r="A5430">
        <v>5428</v>
      </c>
      <c r="B5430" t="s">
        <v>7123</v>
      </c>
      <c r="C5430" t="s">
        <v>218</v>
      </c>
      <c r="D5430">
        <v>39659129.418800101</v>
      </c>
    </row>
    <row r="5431" spans="1:4" hidden="1" x14ac:dyDescent="0.3">
      <c r="A5431">
        <v>5429</v>
      </c>
      <c r="B5431" t="s">
        <v>7124</v>
      </c>
      <c r="C5431" t="s">
        <v>220</v>
      </c>
      <c r="D5431">
        <v>28589248.666207898</v>
      </c>
    </row>
    <row r="5432" spans="1:4" hidden="1" x14ac:dyDescent="0.3">
      <c r="A5432">
        <v>5430</v>
      </c>
      <c r="B5432" s="1" t="s">
        <v>7125</v>
      </c>
      <c r="C5432" t="s">
        <v>222</v>
      </c>
      <c r="D5432" s="1" t="s">
        <v>7126</v>
      </c>
    </row>
    <row r="5433" spans="1:4" hidden="1" x14ac:dyDescent="0.3">
      <c r="A5433">
        <v>5431</v>
      </c>
      <c r="B5433" t="s">
        <v>7127</v>
      </c>
      <c r="C5433" t="s">
        <v>225</v>
      </c>
      <c r="D5433">
        <v>101181175.149443</v>
      </c>
    </row>
    <row r="5434" spans="1:4" hidden="1" x14ac:dyDescent="0.3">
      <c r="A5434">
        <v>5432</v>
      </c>
      <c r="B5434" t="s">
        <v>7128</v>
      </c>
      <c r="C5434" t="s">
        <v>227</v>
      </c>
      <c r="D5434">
        <v>535.09565164148796</v>
      </c>
    </row>
    <row r="5435" spans="1:4" hidden="1" x14ac:dyDescent="0.3">
      <c r="A5435">
        <v>5433</v>
      </c>
      <c r="B5435" s="1" t="s">
        <v>7129</v>
      </c>
      <c r="C5435" t="s">
        <v>229</v>
      </c>
      <c r="D5435" s="1" t="s">
        <v>7130</v>
      </c>
    </row>
    <row r="5436" spans="1:4" hidden="1" x14ac:dyDescent="0.3">
      <c r="A5436">
        <v>5434</v>
      </c>
      <c r="B5436" t="s">
        <v>7131</v>
      </c>
      <c r="C5436" t="s">
        <v>112</v>
      </c>
      <c r="D5436">
        <v>-127.05394703824599</v>
      </c>
    </row>
    <row r="5437" spans="1:4" hidden="1" x14ac:dyDescent="0.3">
      <c r="A5437">
        <v>5435</v>
      </c>
      <c r="B5437" t="s">
        <v>7132</v>
      </c>
      <c r="C5437" t="s">
        <v>114</v>
      </c>
      <c r="D5437">
        <v>-37.970462182640802</v>
      </c>
    </row>
    <row r="5438" spans="1:4" hidden="1" x14ac:dyDescent="0.3">
      <c r="A5438">
        <v>5436</v>
      </c>
      <c r="B5438" s="1" t="s">
        <v>7133</v>
      </c>
      <c r="C5438" t="s">
        <v>116</v>
      </c>
      <c r="D5438" s="1" t="s">
        <v>7134</v>
      </c>
    </row>
    <row r="5439" spans="1:4" hidden="1" x14ac:dyDescent="0.3">
      <c r="A5439">
        <v>5437</v>
      </c>
      <c r="B5439" t="s">
        <v>7135</v>
      </c>
      <c r="C5439" t="s">
        <v>119</v>
      </c>
      <c r="D5439">
        <v>77930138.415583104</v>
      </c>
    </row>
    <row r="5440" spans="1:4" hidden="1" x14ac:dyDescent="0.3">
      <c r="A5440">
        <v>5438</v>
      </c>
      <c r="B5440" t="s">
        <v>7136</v>
      </c>
      <c r="C5440" t="s">
        <v>121</v>
      </c>
      <c r="D5440">
        <v>39659129.418800101</v>
      </c>
    </row>
    <row r="5441" spans="1:4" hidden="1" x14ac:dyDescent="0.3">
      <c r="A5441">
        <v>5439</v>
      </c>
      <c r="B5441" s="1" t="s">
        <v>7137</v>
      </c>
      <c r="C5441" t="s">
        <v>123</v>
      </c>
      <c r="D5441" s="1" t="s">
        <v>7138</v>
      </c>
    </row>
    <row r="5442" spans="1:4" hidden="1" x14ac:dyDescent="0.3">
      <c r="A5442">
        <v>5440</v>
      </c>
      <c r="B5442" t="s">
        <v>7139</v>
      </c>
      <c r="C5442" t="s">
        <v>126</v>
      </c>
      <c r="D5442">
        <v>0.77014250793083605</v>
      </c>
    </row>
    <row r="5443" spans="1:4" hidden="1" x14ac:dyDescent="0.3">
      <c r="A5443">
        <v>5441</v>
      </c>
      <c r="B5443" t="s">
        <v>7140</v>
      </c>
      <c r="C5443" t="s">
        <v>128</v>
      </c>
      <c r="D5443">
        <v>0.39193028543166097</v>
      </c>
    </row>
    <row r="5444" spans="1:4" hidden="1" x14ac:dyDescent="0.3">
      <c r="A5444">
        <v>5442</v>
      </c>
      <c r="B5444" s="1" t="s">
        <v>7141</v>
      </c>
      <c r="C5444" t="s">
        <v>130</v>
      </c>
      <c r="D5444" s="1" t="s">
        <v>7142</v>
      </c>
    </row>
    <row r="5445" spans="1:4" hidden="1" x14ac:dyDescent="0.3">
      <c r="A5445">
        <v>5443</v>
      </c>
      <c r="B5445" s="1" t="s">
        <v>7143</v>
      </c>
      <c r="C5445" t="s">
        <v>4</v>
      </c>
      <c r="D5445" t="s">
        <v>7144</v>
      </c>
    </row>
    <row r="5446" spans="1:4" hidden="1" x14ac:dyDescent="0.3">
      <c r="A5446">
        <v>5444</v>
      </c>
      <c r="B5446" t="s">
        <v>7145</v>
      </c>
      <c r="C5446" t="s">
        <v>7</v>
      </c>
      <c r="D5446">
        <v>1827.73</v>
      </c>
    </row>
    <row r="5447" spans="1:4" hidden="1" x14ac:dyDescent="0.3">
      <c r="A5447">
        <v>5445</v>
      </c>
      <c r="B5447" s="1" t="s">
        <v>7146</v>
      </c>
      <c r="C5447" t="s">
        <v>9</v>
      </c>
      <c r="D5447" s="1" t="s">
        <v>7147</v>
      </c>
    </row>
    <row r="5448" spans="1:4" hidden="1" x14ac:dyDescent="0.3">
      <c r="A5448">
        <v>5446</v>
      </c>
      <c r="B5448" t="s">
        <v>7148</v>
      </c>
      <c r="C5448" t="s">
        <v>14</v>
      </c>
      <c r="D5448">
        <v>98.6796875</v>
      </c>
    </row>
    <row r="5449" spans="1:4" hidden="1" x14ac:dyDescent="0.3">
      <c r="A5449">
        <v>5447</v>
      </c>
      <c r="B5449" t="s">
        <v>7149</v>
      </c>
      <c r="C5449" t="s">
        <v>16</v>
      </c>
      <c r="D5449">
        <v>4.3942229713038996</v>
      </c>
    </row>
    <row r="5450" spans="1:4" hidden="1" x14ac:dyDescent="0.3">
      <c r="A5450">
        <v>5448</v>
      </c>
      <c r="B5450" s="1" t="s">
        <v>7150</v>
      </c>
      <c r="C5450" t="s">
        <v>140</v>
      </c>
      <c r="D5450" s="1" t="s">
        <v>7151</v>
      </c>
    </row>
    <row r="5451" spans="1:4" hidden="1" x14ac:dyDescent="0.3">
      <c r="A5451">
        <v>5449</v>
      </c>
      <c r="B5451" t="s">
        <v>7152</v>
      </c>
      <c r="C5451" t="s">
        <v>22</v>
      </c>
      <c r="D5451">
        <v>71.150000000000006</v>
      </c>
    </row>
    <row r="5452" spans="1:4" hidden="1" x14ac:dyDescent="0.3">
      <c r="A5452">
        <v>5450</v>
      </c>
      <c r="B5452" t="s">
        <v>7153</v>
      </c>
      <c r="C5452" t="s">
        <v>24</v>
      </c>
      <c r="D5452">
        <v>6.6099539041891804</v>
      </c>
    </row>
    <row r="5453" spans="1:4" hidden="1" x14ac:dyDescent="0.3">
      <c r="A5453">
        <v>5451</v>
      </c>
      <c r="B5453" s="1" t="s">
        <v>7154</v>
      </c>
      <c r="C5453" t="s">
        <v>145</v>
      </c>
      <c r="D5453" s="1" t="s">
        <v>7155</v>
      </c>
    </row>
    <row r="5454" spans="1:4" hidden="1" x14ac:dyDescent="0.3">
      <c r="A5454">
        <v>5452</v>
      </c>
      <c r="B5454" t="s">
        <v>7156</v>
      </c>
      <c r="C5454" t="s">
        <v>35</v>
      </c>
      <c r="D5454">
        <v>-0.177284199640767</v>
      </c>
    </row>
    <row r="5455" spans="1:4" hidden="1" x14ac:dyDescent="0.3">
      <c r="A5455">
        <v>5453</v>
      </c>
      <c r="B5455" t="s">
        <v>7157</v>
      </c>
      <c r="C5455" t="s">
        <v>149</v>
      </c>
      <c r="D5455">
        <v>0.74504067551122</v>
      </c>
    </row>
    <row r="5456" spans="1:4" hidden="1" x14ac:dyDescent="0.3">
      <c r="A5456">
        <v>5454</v>
      </c>
      <c r="B5456" s="1" t="s">
        <v>7158</v>
      </c>
      <c r="C5456" t="s">
        <v>151</v>
      </c>
      <c r="D5456" s="1" t="s">
        <v>7159</v>
      </c>
    </row>
    <row r="5457" spans="1:4" hidden="1" x14ac:dyDescent="0.3">
      <c r="A5457">
        <v>5455</v>
      </c>
      <c r="B5457" t="s">
        <v>7160</v>
      </c>
      <c r="C5457" t="s">
        <v>30</v>
      </c>
      <c r="D5457">
        <v>0.45379066231762699</v>
      </c>
    </row>
    <row r="5458" spans="1:4" hidden="1" x14ac:dyDescent="0.3">
      <c r="A5458">
        <v>5456</v>
      </c>
      <c r="B5458" t="s">
        <v>7161</v>
      </c>
      <c r="C5458" t="s">
        <v>32</v>
      </c>
      <c r="D5458">
        <v>0.18016146058400601</v>
      </c>
    </row>
    <row r="5459" spans="1:4" hidden="1" x14ac:dyDescent="0.3">
      <c r="A5459">
        <v>5457</v>
      </c>
      <c r="B5459" s="1" t="s">
        <v>7162</v>
      </c>
      <c r="C5459" t="s">
        <v>155</v>
      </c>
      <c r="D5459" s="1" t="s">
        <v>7163</v>
      </c>
    </row>
    <row r="5460" spans="1:4" hidden="1" x14ac:dyDescent="0.3">
      <c r="A5460">
        <v>5458</v>
      </c>
      <c r="B5460" t="s">
        <v>7164</v>
      </c>
      <c r="C5460" t="s">
        <v>40</v>
      </c>
      <c r="D5460">
        <v>0.72349353732313904</v>
      </c>
    </row>
    <row r="5461" spans="1:4" hidden="1" x14ac:dyDescent="0.3">
      <c r="A5461">
        <v>5459</v>
      </c>
      <c r="B5461" t="s">
        <v>7165</v>
      </c>
      <c r="C5461" t="s">
        <v>42</v>
      </c>
      <c r="D5461">
        <v>0.16204713670342999</v>
      </c>
    </row>
    <row r="5462" spans="1:4" hidden="1" x14ac:dyDescent="0.3">
      <c r="A5462">
        <v>5460</v>
      </c>
      <c r="B5462" s="1" t="s">
        <v>7166</v>
      </c>
      <c r="C5462" t="s">
        <v>159</v>
      </c>
      <c r="D5462" s="1" t="s">
        <v>7167</v>
      </c>
    </row>
    <row r="5463" spans="1:4" hidden="1" x14ac:dyDescent="0.3">
      <c r="A5463">
        <v>5461</v>
      </c>
      <c r="B5463" t="s">
        <v>7168</v>
      </c>
      <c r="C5463" t="s">
        <v>161</v>
      </c>
      <c r="D5463">
        <v>1.00998530110628</v>
      </c>
    </row>
    <row r="5464" spans="1:4" hidden="1" x14ac:dyDescent="0.3">
      <c r="A5464">
        <v>5462</v>
      </c>
      <c r="B5464" t="s">
        <v>7169</v>
      </c>
      <c r="C5464" t="s">
        <v>163</v>
      </c>
      <c r="D5464">
        <v>0.99940160499137198</v>
      </c>
    </row>
    <row r="5465" spans="1:4" hidden="1" x14ac:dyDescent="0.3">
      <c r="A5465">
        <v>5463</v>
      </c>
      <c r="B5465" s="1" t="s">
        <v>7170</v>
      </c>
      <c r="C5465" t="s">
        <v>165</v>
      </c>
      <c r="D5465" s="1" t="s">
        <v>7171</v>
      </c>
    </row>
    <row r="5466" spans="1:4" hidden="1" x14ac:dyDescent="0.3">
      <c r="A5466">
        <v>5464</v>
      </c>
      <c r="B5466" t="s">
        <v>7172</v>
      </c>
      <c r="C5466" t="s">
        <v>168</v>
      </c>
      <c r="D5466">
        <v>1.0001314746729499</v>
      </c>
    </row>
    <row r="5467" spans="1:4" hidden="1" x14ac:dyDescent="0.3">
      <c r="A5467">
        <v>5465</v>
      </c>
      <c r="B5467" t="s">
        <v>7173</v>
      </c>
      <c r="C5467" t="s">
        <v>170</v>
      </c>
      <c r="D5467">
        <v>0.99981645207953596</v>
      </c>
    </row>
    <row r="5468" spans="1:4" hidden="1" x14ac:dyDescent="0.3">
      <c r="A5468">
        <v>5466</v>
      </c>
      <c r="B5468" s="1" t="s">
        <v>7174</v>
      </c>
      <c r="C5468" t="s">
        <v>172</v>
      </c>
      <c r="D5468" s="1" t="s">
        <v>7175</v>
      </c>
    </row>
    <row r="5469" spans="1:4" hidden="1" x14ac:dyDescent="0.3">
      <c r="A5469">
        <v>5467</v>
      </c>
      <c r="B5469" s="1" t="s">
        <v>7176</v>
      </c>
      <c r="C5469" t="s">
        <v>55</v>
      </c>
      <c r="D5469" s="1" t="s">
        <v>7177</v>
      </c>
    </row>
    <row r="5470" spans="1:4" hidden="1" x14ac:dyDescent="0.3">
      <c r="A5470">
        <v>5468</v>
      </c>
      <c r="B5470" s="1" t="s">
        <v>7178</v>
      </c>
      <c r="C5470" t="s">
        <v>52</v>
      </c>
      <c r="D5470" s="1" t="s">
        <v>7179</v>
      </c>
    </row>
    <row r="5471" spans="1:4" hidden="1" x14ac:dyDescent="0.3">
      <c r="A5471">
        <v>5469</v>
      </c>
      <c r="B5471" s="1" t="s">
        <v>7180</v>
      </c>
      <c r="C5471" t="s">
        <v>58</v>
      </c>
      <c r="D5471" s="1" t="s">
        <v>7181</v>
      </c>
    </row>
    <row r="5472" spans="1:4" hidden="1" x14ac:dyDescent="0.3">
      <c r="A5472">
        <v>5470</v>
      </c>
      <c r="B5472" t="s">
        <v>7182</v>
      </c>
      <c r="C5472" t="s">
        <v>61</v>
      </c>
      <c r="D5472">
        <v>146708697.368323</v>
      </c>
    </row>
    <row r="5473" spans="1:4" hidden="1" x14ac:dyDescent="0.3">
      <c r="A5473">
        <v>5471</v>
      </c>
      <c r="B5473" t="s">
        <v>7183</v>
      </c>
      <c r="C5473" t="s">
        <v>63</v>
      </c>
      <c r="D5473">
        <v>78708294.312917203</v>
      </c>
    </row>
    <row r="5474" spans="1:4" hidden="1" x14ac:dyDescent="0.3">
      <c r="A5474">
        <v>5472</v>
      </c>
      <c r="B5474" t="s">
        <v>7184</v>
      </c>
      <c r="C5474" t="s">
        <v>65</v>
      </c>
      <c r="D5474">
        <v>39635397.593709402</v>
      </c>
    </row>
    <row r="5475" spans="1:4" hidden="1" x14ac:dyDescent="0.3">
      <c r="A5475">
        <v>5473</v>
      </c>
      <c r="B5475" s="1" t="s">
        <v>7185</v>
      </c>
      <c r="C5475" t="s">
        <v>67</v>
      </c>
      <c r="D5475" s="1" t="s">
        <v>7186</v>
      </c>
    </row>
    <row r="5476" spans="1:4" hidden="1" x14ac:dyDescent="0.3">
      <c r="A5476">
        <v>5474</v>
      </c>
      <c r="B5476" s="1" t="s">
        <v>7187</v>
      </c>
      <c r="C5476" t="s">
        <v>70</v>
      </c>
      <c r="D5476" s="1" t="s">
        <v>7188</v>
      </c>
    </row>
    <row r="5477" spans="1:4" hidden="1" x14ac:dyDescent="0.3">
      <c r="A5477">
        <v>5475</v>
      </c>
      <c r="B5477" t="s">
        <v>7189</v>
      </c>
      <c r="C5477" t="s">
        <v>73</v>
      </c>
      <c r="D5477">
        <v>1.00007974997001</v>
      </c>
    </row>
    <row r="5478" spans="1:4" hidden="1" x14ac:dyDescent="0.3">
      <c r="A5478">
        <v>5476</v>
      </c>
      <c r="B5478" t="s">
        <v>74</v>
      </c>
      <c r="C5478" t="s">
        <v>75</v>
      </c>
      <c r="D5478">
        <v>2.7397260273972599E-3</v>
      </c>
    </row>
    <row r="5479" spans="1:4" hidden="1" x14ac:dyDescent="0.3">
      <c r="A5479">
        <v>5477</v>
      </c>
      <c r="B5479" t="s">
        <v>76</v>
      </c>
      <c r="C5479" t="s">
        <v>77</v>
      </c>
      <c r="D5479">
        <v>0</v>
      </c>
    </row>
    <row r="5480" spans="1:4" hidden="1" x14ac:dyDescent="0.3">
      <c r="A5480">
        <v>5478</v>
      </c>
      <c r="B5480" t="s">
        <v>78</v>
      </c>
      <c r="C5480" t="s">
        <v>79</v>
      </c>
      <c r="D5480">
        <v>0</v>
      </c>
    </row>
    <row r="5481" spans="1:4" hidden="1" x14ac:dyDescent="0.3">
      <c r="A5481">
        <v>5479</v>
      </c>
      <c r="B5481" s="1" t="s">
        <v>7190</v>
      </c>
      <c r="C5481" t="s">
        <v>81</v>
      </c>
      <c r="D5481" s="1" t="s">
        <v>7191</v>
      </c>
    </row>
    <row r="5482" spans="1:4" hidden="1" x14ac:dyDescent="0.3">
      <c r="A5482">
        <v>5480</v>
      </c>
      <c r="B5482" t="s">
        <v>7192</v>
      </c>
      <c r="C5482" t="s">
        <v>84</v>
      </c>
      <c r="D5482">
        <v>1.00009067315709</v>
      </c>
    </row>
    <row r="5483" spans="1:4" hidden="1" x14ac:dyDescent="0.3">
      <c r="A5483">
        <v>5481</v>
      </c>
      <c r="B5483" s="1" t="s">
        <v>7193</v>
      </c>
      <c r="C5483" t="s">
        <v>86</v>
      </c>
      <c r="D5483" s="1" t="s">
        <v>7194</v>
      </c>
    </row>
    <row r="5484" spans="1:4" hidden="1" x14ac:dyDescent="0.3">
      <c r="A5484">
        <v>5482</v>
      </c>
      <c r="B5484" t="s">
        <v>7195</v>
      </c>
      <c r="C5484" t="s">
        <v>89</v>
      </c>
      <c r="D5484">
        <v>101180605.11855</v>
      </c>
    </row>
    <row r="5485" spans="1:4" hidden="1" x14ac:dyDescent="0.3">
      <c r="A5485">
        <v>5483</v>
      </c>
      <c r="B5485" s="1" t="s">
        <v>7196</v>
      </c>
      <c r="C5485" t="s">
        <v>91</v>
      </c>
      <c r="D5485" s="1" t="s">
        <v>7130</v>
      </c>
    </row>
    <row r="5486" spans="1:4" hidden="1" x14ac:dyDescent="0.3">
      <c r="A5486">
        <v>5484</v>
      </c>
      <c r="B5486" t="s">
        <v>7197</v>
      </c>
      <c r="C5486" t="s">
        <v>94</v>
      </c>
      <c r="D5486">
        <v>78708294.312917203</v>
      </c>
    </row>
    <row r="5487" spans="1:4" hidden="1" x14ac:dyDescent="0.3">
      <c r="A5487">
        <v>5485</v>
      </c>
      <c r="B5487" t="s">
        <v>7198</v>
      </c>
      <c r="C5487" t="s">
        <v>96</v>
      </c>
      <c r="D5487">
        <v>39635397.593709402</v>
      </c>
    </row>
    <row r="5488" spans="1:4" hidden="1" x14ac:dyDescent="0.3">
      <c r="A5488">
        <v>5486</v>
      </c>
      <c r="B5488" t="s">
        <v>7199</v>
      </c>
      <c r="C5488" t="s">
        <v>98</v>
      </c>
      <c r="D5488">
        <v>28365005.461696301</v>
      </c>
    </row>
    <row r="5489" spans="1:4" hidden="1" x14ac:dyDescent="0.3">
      <c r="A5489">
        <v>5487</v>
      </c>
      <c r="B5489" s="1" t="s">
        <v>7200</v>
      </c>
      <c r="C5489" t="s">
        <v>100</v>
      </c>
      <c r="D5489" s="1" t="s">
        <v>7201</v>
      </c>
    </row>
    <row r="5490" spans="1:4" hidden="1" x14ac:dyDescent="0.3">
      <c r="A5490">
        <v>5488</v>
      </c>
      <c r="B5490" t="s">
        <v>7202</v>
      </c>
      <c r="C5490" t="s">
        <v>103</v>
      </c>
      <c r="D5490">
        <v>8.0237041224301298E-3</v>
      </c>
    </row>
    <row r="5491" spans="1:4" hidden="1" x14ac:dyDescent="0.3">
      <c r="A5491">
        <v>5489</v>
      </c>
      <c r="B5491" t="s">
        <v>7203</v>
      </c>
      <c r="C5491" t="s">
        <v>105</v>
      </c>
      <c r="D5491">
        <v>1.2962659840431499E-3</v>
      </c>
    </row>
    <row r="5492" spans="1:4" hidden="1" x14ac:dyDescent="0.3">
      <c r="A5492">
        <v>5490</v>
      </c>
      <c r="B5492" t="s">
        <v>7204</v>
      </c>
      <c r="C5492" t="s">
        <v>107</v>
      </c>
      <c r="D5492">
        <v>1.0097324556855801E-2</v>
      </c>
    </row>
    <row r="5493" spans="1:4" hidden="1" x14ac:dyDescent="0.3">
      <c r="A5493">
        <v>5491</v>
      </c>
      <c r="B5493" s="1" t="s">
        <v>7205</v>
      </c>
      <c r="C5493" t="s">
        <v>109</v>
      </c>
      <c r="D5493" s="1" t="s">
        <v>7206</v>
      </c>
    </row>
    <row r="5494" spans="1:4" x14ac:dyDescent="0.3">
      <c r="A5494">
        <v>5492</v>
      </c>
      <c r="B5494" t="s">
        <v>7207</v>
      </c>
      <c r="C5494" t="s">
        <v>207</v>
      </c>
      <c r="D5494">
        <v>146709080.45505801</v>
      </c>
    </row>
    <row r="5495" spans="1:4" hidden="1" x14ac:dyDescent="0.3">
      <c r="A5495">
        <v>5493</v>
      </c>
      <c r="B5495" t="s">
        <v>7208</v>
      </c>
      <c r="C5495" t="s">
        <v>209</v>
      </c>
      <c r="D5495">
        <v>-859.67975560784703</v>
      </c>
    </row>
    <row r="5496" spans="1:4" hidden="1" x14ac:dyDescent="0.3">
      <c r="A5496">
        <v>5494</v>
      </c>
      <c r="B5496" t="s">
        <v>7209</v>
      </c>
      <c r="C5496" t="s">
        <v>211</v>
      </c>
      <c r="D5496">
        <v>-432.91118223371899</v>
      </c>
    </row>
    <row r="5497" spans="1:4" hidden="1" x14ac:dyDescent="0.3">
      <c r="A5497">
        <v>5495</v>
      </c>
      <c r="B5497" s="1" t="s">
        <v>7210</v>
      </c>
      <c r="C5497" t="s">
        <v>213</v>
      </c>
      <c r="D5497" s="1" t="s">
        <v>7211</v>
      </c>
    </row>
    <row r="5498" spans="1:4" hidden="1" x14ac:dyDescent="0.3">
      <c r="A5498">
        <v>5496</v>
      </c>
      <c r="B5498" t="s">
        <v>7212</v>
      </c>
      <c r="C5498" t="s">
        <v>216</v>
      </c>
      <c r="D5498">
        <v>78709418.711115301</v>
      </c>
    </row>
    <row r="5499" spans="1:4" hidden="1" x14ac:dyDescent="0.3">
      <c r="A5499">
        <v>5497</v>
      </c>
      <c r="B5499" t="s">
        <v>7213</v>
      </c>
      <c r="C5499" t="s">
        <v>218</v>
      </c>
      <c r="D5499">
        <v>39635907.772499703</v>
      </c>
    </row>
    <row r="5500" spans="1:4" hidden="1" x14ac:dyDescent="0.3">
      <c r="A5500">
        <v>5498</v>
      </c>
      <c r="B5500" t="s">
        <v>7214</v>
      </c>
      <c r="C5500" t="s">
        <v>220</v>
      </c>
      <c r="D5500">
        <v>28365356.374384198</v>
      </c>
    </row>
    <row r="5501" spans="1:4" hidden="1" x14ac:dyDescent="0.3">
      <c r="A5501">
        <v>5499</v>
      </c>
      <c r="B5501" s="1" t="s">
        <v>7215</v>
      </c>
      <c r="C5501" t="s">
        <v>222</v>
      </c>
      <c r="D5501" s="1" t="s">
        <v>7216</v>
      </c>
    </row>
    <row r="5502" spans="1:4" hidden="1" x14ac:dyDescent="0.3">
      <c r="A5502">
        <v>5500</v>
      </c>
      <c r="B5502" t="s">
        <v>7217</v>
      </c>
      <c r="C5502" t="s">
        <v>225</v>
      </c>
      <c r="D5502">
        <v>101181710.245095</v>
      </c>
    </row>
    <row r="5503" spans="1:4" hidden="1" x14ac:dyDescent="0.3">
      <c r="A5503">
        <v>5501</v>
      </c>
      <c r="B5503" t="s">
        <v>7218</v>
      </c>
      <c r="C5503" t="s">
        <v>227</v>
      </c>
      <c r="D5503">
        <v>-1105.1265446990701</v>
      </c>
    </row>
    <row r="5504" spans="1:4" hidden="1" x14ac:dyDescent="0.3">
      <c r="A5504">
        <v>5502</v>
      </c>
      <c r="B5504" s="1" t="s">
        <v>7219</v>
      </c>
      <c r="C5504" t="s">
        <v>229</v>
      </c>
      <c r="D5504" s="1" t="s">
        <v>7220</v>
      </c>
    </row>
    <row r="5505" spans="1:4" hidden="1" x14ac:dyDescent="0.3">
      <c r="A5505">
        <v>5503</v>
      </c>
      <c r="B5505" t="s">
        <v>7221</v>
      </c>
      <c r="C5505" t="s">
        <v>112</v>
      </c>
      <c r="D5505">
        <v>264.71844245747701</v>
      </c>
    </row>
    <row r="5506" spans="1:4" hidden="1" x14ac:dyDescent="0.3">
      <c r="A5506">
        <v>5504</v>
      </c>
      <c r="B5506" t="s">
        <v>7222</v>
      </c>
      <c r="C5506" t="s">
        <v>114</v>
      </c>
      <c r="D5506">
        <v>77.267608063283603</v>
      </c>
    </row>
    <row r="5507" spans="1:4" hidden="1" x14ac:dyDescent="0.3">
      <c r="A5507">
        <v>5505</v>
      </c>
      <c r="B5507" s="1" t="s">
        <v>7223</v>
      </c>
      <c r="C5507" t="s">
        <v>116</v>
      </c>
      <c r="D5507" s="1" t="s">
        <v>7224</v>
      </c>
    </row>
    <row r="5508" spans="1:4" hidden="1" x14ac:dyDescent="0.3">
      <c r="A5508">
        <v>5506</v>
      </c>
      <c r="B5508" t="s">
        <v>7225</v>
      </c>
      <c r="C5508" t="s">
        <v>119</v>
      </c>
      <c r="D5508">
        <v>78709418.711115301</v>
      </c>
    </row>
    <row r="5509" spans="1:4" hidden="1" x14ac:dyDescent="0.3">
      <c r="A5509">
        <v>5507</v>
      </c>
      <c r="B5509" t="s">
        <v>7226</v>
      </c>
      <c r="C5509" t="s">
        <v>121</v>
      </c>
      <c r="D5509">
        <v>39635907.772499703</v>
      </c>
    </row>
    <row r="5510" spans="1:4" hidden="1" x14ac:dyDescent="0.3">
      <c r="A5510">
        <v>5508</v>
      </c>
      <c r="B5510" s="1" t="s">
        <v>7227</v>
      </c>
      <c r="C5510" t="s">
        <v>123</v>
      </c>
      <c r="D5510" s="1" t="s">
        <v>7228</v>
      </c>
    </row>
    <row r="5511" spans="1:4" hidden="1" x14ac:dyDescent="0.3">
      <c r="A5511">
        <v>5509</v>
      </c>
      <c r="B5511" t="s">
        <v>7229</v>
      </c>
      <c r="C5511" t="s">
        <v>126</v>
      </c>
      <c r="D5511">
        <v>0.77783111528798199</v>
      </c>
    </row>
    <row r="5512" spans="1:4" hidden="1" x14ac:dyDescent="0.3">
      <c r="A5512">
        <v>5510</v>
      </c>
      <c r="B5512" t="s">
        <v>7230</v>
      </c>
      <c r="C5512" t="s">
        <v>128</v>
      </c>
      <c r="D5512">
        <v>0.39169444842795198</v>
      </c>
    </row>
    <row r="5513" spans="1:4" hidden="1" x14ac:dyDescent="0.3">
      <c r="A5513">
        <v>5511</v>
      </c>
      <c r="B5513" s="1" t="s">
        <v>7231</v>
      </c>
      <c r="C5513" t="s">
        <v>130</v>
      </c>
      <c r="D5513" s="1" t="s">
        <v>7232</v>
      </c>
    </row>
    <row r="5514" spans="1:4" hidden="1" x14ac:dyDescent="0.3">
      <c r="A5514">
        <v>5512</v>
      </c>
      <c r="B5514" s="1" t="s">
        <v>7233</v>
      </c>
      <c r="C5514" t="s">
        <v>4</v>
      </c>
      <c r="D5514" t="s">
        <v>7234</v>
      </c>
    </row>
    <row r="5515" spans="1:4" hidden="1" x14ac:dyDescent="0.3">
      <c r="A5515">
        <v>5513</v>
      </c>
      <c r="B5515" t="s">
        <v>7235</v>
      </c>
      <c r="C5515" t="s">
        <v>7</v>
      </c>
      <c r="D5515">
        <v>1794.36</v>
      </c>
    </row>
    <row r="5516" spans="1:4" hidden="1" x14ac:dyDescent="0.3">
      <c r="A5516">
        <v>5514</v>
      </c>
      <c r="B5516" s="1" t="s">
        <v>7236</v>
      </c>
      <c r="C5516" t="s">
        <v>9</v>
      </c>
      <c r="D5516" s="1" t="s">
        <v>7237</v>
      </c>
    </row>
    <row r="5517" spans="1:4" hidden="1" x14ac:dyDescent="0.3">
      <c r="A5517">
        <v>5515</v>
      </c>
      <c r="B5517" t="s">
        <v>7238</v>
      </c>
      <c r="C5517" t="s">
        <v>14</v>
      </c>
      <c r="D5517">
        <v>98.54296875</v>
      </c>
    </row>
    <row r="5518" spans="1:4" hidden="1" x14ac:dyDescent="0.3">
      <c r="A5518">
        <v>5516</v>
      </c>
      <c r="B5518" t="s">
        <v>7239</v>
      </c>
      <c r="C5518" t="s">
        <v>16</v>
      </c>
      <c r="D5518">
        <v>4.3903960018662103</v>
      </c>
    </row>
    <row r="5519" spans="1:4" hidden="1" x14ac:dyDescent="0.3">
      <c r="A5519">
        <v>5517</v>
      </c>
      <c r="B5519" s="1" t="s">
        <v>7240</v>
      </c>
      <c r="C5519" t="s">
        <v>140</v>
      </c>
      <c r="D5519" s="1" t="s">
        <v>7241</v>
      </c>
    </row>
    <row r="5520" spans="1:4" hidden="1" x14ac:dyDescent="0.3">
      <c r="A5520">
        <v>5518</v>
      </c>
      <c r="B5520" t="s">
        <v>7242</v>
      </c>
      <c r="C5520" t="s">
        <v>22</v>
      </c>
      <c r="D5520">
        <v>70.55</v>
      </c>
    </row>
    <row r="5521" spans="1:4" hidden="1" x14ac:dyDescent="0.3">
      <c r="A5521">
        <v>5519</v>
      </c>
      <c r="B5521" t="s">
        <v>7243</v>
      </c>
      <c r="C5521" t="s">
        <v>24</v>
      </c>
      <c r="D5521">
        <v>6.6189249775484704</v>
      </c>
    </row>
    <row r="5522" spans="1:4" hidden="1" x14ac:dyDescent="0.3">
      <c r="A5522">
        <v>5520</v>
      </c>
      <c r="B5522" s="1" t="s">
        <v>7244</v>
      </c>
      <c r="C5522" t="s">
        <v>145</v>
      </c>
      <c r="D5522" s="1" t="s">
        <v>7245</v>
      </c>
    </row>
    <row r="5523" spans="1:4" hidden="1" x14ac:dyDescent="0.3">
      <c r="A5523">
        <v>5521</v>
      </c>
      <c r="B5523" t="s">
        <v>7246</v>
      </c>
      <c r="C5523" t="s">
        <v>35</v>
      </c>
      <c r="D5523">
        <v>0.29626676872555102</v>
      </c>
    </row>
    <row r="5524" spans="1:4" hidden="1" x14ac:dyDescent="0.3">
      <c r="A5524">
        <v>5522</v>
      </c>
      <c r="B5524" t="s">
        <v>7247</v>
      </c>
      <c r="C5524" t="s">
        <v>149</v>
      </c>
      <c r="D5524">
        <v>0.74731244974879996</v>
      </c>
    </row>
    <row r="5525" spans="1:4" hidden="1" x14ac:dyDescent="0.3">
      <c r="A5525">
        <v>5523</v>
      </c>
      <c r="B5525" s="1" t="s">
        <v>7248</v>
      </c>
      <c r="C5525" t="s">
        <v>151</v>
      </c>
      <c r="D5525" s="1" t="s">
        <v>7249</v>
      </c>
    </row>
    <row r="5526" spans="1:4" hidden="1" x14ac:dyDescent="0.3">
      <c r="A5526">
        <v>5524</v>
      </c>
      <c r="B5526" t="s">
        <v>7250</v>
      </c>
      <c r="C5526" t="s">
        <v>30</v>
      </c>
      <c r="D5526">
        <v>0.27158529428520201</v>
      </c>
    </row>
    <row r="5527" spans="1:4" hidden="1" x14ac:dyDescent="0.3">
      <c r="A5527">
        <v>5525</v>
      </c>
      <c r="B5527" t="s">
        <v>7251</v>
      </c>
      <c r="C5527" t="s">
        <v>32</v>
      </c>
      <c r="D5527">
        <v>0.178683923278385</v>
      </c>
    </row>
    <row r="5528" spans="1:4" hidden="1" x14ac:dyDescent="0.3">
      <c r="A5528">
        <v>5526</v>
      </c>
      <c r="B5528" s="1" t="s">
        <v>7252</v>
      </c>
      <c r="C5528" t="s">
        <v>155</v>
      </c>
      <c r="D5528" s="1" t="s">
        <v>7253</v>
      </c>
    </row>
    <row r="5529" spans="1:4" hidden="1" x14ac:dyDescent="0.3">
      <c r="A5529">
        <v>5527</v>
      </c>
      <c r="B5529" t="s">
        <v>7254</v>
      </c>
      <c r="C5529" t="s">
        <v>40</v>
      </c>
      <c r="D5529">
        <v>0.43214793698924697</v>
      </c>
    </row>
    <row r="5530" spans="1:4" hidden="1" x14ac:dyDescent="0.3">
      <c r="A5530">
        <v>5528</v>
      </c>
      <c r="B5530" t="s">
        <v>7255</v>
      </c>
      <c r="C5530" t="s">
        <v>42</v>
      </c>
      <c r="D5530">
        <v>0.15944445975087801</v>
      </c>
    </row>
    <row r="5531" spans="1:4" hidden="1" x14ac:dyDescent="0.3">
      <c r="A5531">
        <v>5529</v>
      </c>
      <c r="B5531" s="1" t="s">
        <v>7256</v>
      </c>
      <c r="C5531" t="s">
        <v>159</v>
      </c>
      <c r="D5531" s="1" t="s">
        <v>7257</v>
      </c>
    </row>
    <row r="5532" spans="1:4" hidden="1" x14ac:dyDescent="0.3">
      <c r="A5532">
        <v>5530</v>
      </c>
      <c r="B5532" t="s">
        <v>7258</v>
      </c>
      <c r="C5532" t="s">
        <v>161</v>
      </c>
      <c r="D5532">
        <v>0.98174237989199697</v>
      </c>
    </row>
    <row r="5533" spans="1:4" hidden="1" x14ac:dyDescent="0.3">
      <c r="A5533">
        <v>5531</v>
      </c>
      <c r="B5533" t="s">
        <v>7259</v>
      </c>
      <c r="C5533" t="s">
        <v>163</v>
      </c>
      <c r="D5533">
        <v>0.99863645689976199</v>
      </c>
    </row>
    <row r="5534" spans="1:4" hidden="1" x14ac:dyDescent="0.3">
      <c r="A5534">
        <v>5532</v>
      </c>
      <c r="B5534" s="1" t="s">
        <v>7260</v>
      </c>
      <c r="C5534" t="s">
        <v>165</v>
      </c>
      <c r="D5534" s="1" t="s">
        <v>7261</v>
      </c>
    </row>
    <row r="5535" spans="1:4" hidden="1" x14ac:dyDescent="0.3">
      <c r="A5535">
        <v>5533</v>
      </c>
      <c r="B5535" t="s">
        <v>7262</v>
      </c>
      <c r="C5535" t="s">
        <v>168</v>
      </c>
      <c r="D5535">
        <v>1.0013018460082099</v>
      </c>
    </row>
    <row r="5536" spans="1:4" hidden="1" x14ac:dyDescent="0.3">
      <c r="A5536">
        <v>5534</v>
      </c>
      <c r="B5536" t="s">
        <v>7263</v>
      </c>
      <c r="C5536" t="s">
        <v>170</v>
      </c>
      <c r="D5536">
        <v>0.99874802105053395</v>
      </c>
    </row>
    <row r="5537" spans="1:4" hidden="1" x14ac:dyDescent="0.3">
      <c r="A5537">
        <v>5535</v>
      </c>
      <c r="B5537" s="1" t="s">
        <v>7264</v>
      </c>
      <c r="C5537" t="s">
        <v>172</v>
      </c>
      <c r="D5537" s="1" t="s">
        <v>7265</v>
      </c>
    </row>
    <row r="5538" spans="1:4" hidden="1" x14ac:dyDescent="0.3">
      <c r="A5538">
        <v>5536</v>
      </c>
      <c r="B5538" s="1" t="s">
        <v>7266</v>
      </c>
      <c r="C5538" t="s">
        <v>55</v>
      </c>
      <c r="D5538" s="1" t="s">
        <v>7267</v>
      </c>
    </row>
    <row r="5539" spans="1:4" hidden="1" x14ac:dyDescent="0.3">
      <c r="A5539">
        <v>5537</v>
      </c>
      <c r="B5539" s="1" t="s">
        <v>7268</v>
      </c>
      <c r="C5539" t="s">
        <v>52</v>
      </c>
      <c r="D5539" s="1" t="s">
        <v>7269</v>
      </c>
    </row>
    <row r="5540" spans="1:4" hidden="1" x14ac:dyDescent="0.3">
      <c r="A5540">
        <v>5538</v>
      </c>
      <c r="B5540" s="1" t="s">
        <v>7270</v>
      </c>
      <c r="C5540" t="s">
        <v>58</v>
      </c>
      <c r="D5540" s="1" t="s">
        <v>7271</v>
      </c>
    </row>
    <row r="5541" spans="1:4" hidden="1" x14ac:dyDescent="0.3">
      <c r="A5541">
        <v>5539</v>
      </c>
      <c r="B5541" t="s">
        <v>7272</v>
      </c>
      <c r="C5541" t="s">
        <v>61</v>
      </c>
      <c r="D5541">
        <v>145003994.780812</v>
      </c>
    </row>
    <row r="5542" spans="1:4" hidden="1" x14ac:dyDescent="0.3">
      <c r="A5542">
        <v>5540</v>
      </c>
      <c r="B5542" t="s">
        <v>7273</v>
      </c>
      <c r="C5542" t="s">
        <v>63</v>
      </c>
      <c r="D5542">
        <v>77272372.045366004</v>
      </c>
    </row>
    <row r="5543" spans="1:4" hidden="1" x14ac:dyDescent="0.3">
      <c r="A5543">
        <v>5541</v>
      </c>
      <c r="B5543" t="s">
        <v>7274</v>
      </c>
      <c r="C5543" t="s">
        <v>65</v>
      </c>
      <c r="D5543">
        <v>39581862.503934801</v>
      </c>
    </row>
    <row r="5544" spans="1:4" hidden="1" x14ac:dyDescent="0.3">
      <c r="A5544">
        <v>5542</v>
      </c>
      <c r="B5544" s="1" t="s">
        <v>7275</v>
      </c>
      <c r="C5544" t="s">
        <v>67</v>
      </c>
      <c r="D5544" s="1" t="s">
        <v>7276</v>
      </c>
    </row>
    <row r="5545" spans="1:4" hidden="1" x14ac:dyDescent="0.3">
      <c r="A5545">
        <v>5543</v>
      </c>
      <c r="B5545" s="1" t="s">
        <v>7277</v>
      </c>
      <c r="C5545" t="s">
        <v>70</v>
      </c>
      <c r="D5545" s="1" t="s">
        <v>7278</v>
      </c>
    </row>
    <row r="5546" spans="1:4" hidden="1" x14ac:dyDescent="0.3">
      <c r="A5546">
        <v>5544</v>
      </c>
      <c r="B5546" t="s">
        <v>7279</v>
      </c>
      <c r="C5546" t="s">
        <v>73</v>
      </c>
      <c r="D5546">
        <v>1.00009067315709</v>
      </c>
    </row>
    <row r="5547" spans="1:4" hidden="1" x14ac:dyDescent="0.3">
      <c r="A5547">
        <v>5545</v>
      </c>
      <c r="B5547" t="s">
        <v>74</v>
      </c>
      <c r="C5547" t="s">
        <v>75</v>
      </c>
      <c r="D5547">
        <v>2.7397260273972599E-3</v>
      </c>
    </row>
    <row r="5548" spans="1:4" hidden="1" x14ac:dyDescent="0.3">
      <c r="A5548">
        <v>5546</v>
      </c>
      <c r="B5548" t="s">
        <v>76</v>
      </c>
      <c r="C5548" t="s">
        <v>77</v>
      </c>
      <c r="D5548">
        <v>0</v>
      </c>
    </row>
    <row r="5549" spans="1:4" hidden="1" x14ac:dyDescent="0.3">
      <c r="A5549">
        <v>5547</v>
      </c>
      <c r="B5549" t="s">
        <v>78</v>
      </c>
      <c r="C5549" t="s">
        <v>79</v>
      </c>
      <c r="D5549">
        <v>0</v>
      </c>
    </row>
    <row r="5550" spans="1:4" hidden="1" x14ac:dyDescent="0.3">
      <c r="A5550">
        <v>5548</v>
      </c>
      <c r="B5550" s="1" t="s">
        <v>7280</v>
      </c>
      <c r="C5550" t="s">
        <v>81</v>
      </c>
      <c r="D5550" s="1" t="s">
        <v>7281</v>
      </c>
    </row>
    <row r="5551" spans="1:4" hidden="1" x14ac:dyDescent="0.3">
      <c r="A5551">
        <v>5549</v>
      </c>
      <c r="B5551" t="s">
        <v>7282</v>
      </c>
      <c r="C5551" t="s">
        <v>84</v>
      </c>
      <c r="D5551">
        <v>1.0000914219999</v>
      </c>
    </row>
    <row r="5552" spans="1:4" hidden="1" x14ac:dyDescent="0.3">
      <c r="A5552">
        <v>5550</v>
      </c>
      <c r="B5552" s="1" t="s">
        <v>7283</v>
      </c>
      <c r="C5552" t="s">
        <v>86</v>
      </c>
      <c r="D5552" s="1" t="s">
        <v>7284</v>
      </c>
    </row>
    <row r="5553" spans="1:4" hidden="1" x14ac:dyDescent="0.3">
      <c r="A5553">
        <v>5551</v>
      </c>
      <c r="B5553" t="s">
        <v>7285</v>
      </c>
      <c r="C5553" t="s">
        <v>89</v>
      </c>
      <c r="D5553">
        <v>101180529.357108</v>
      </c>
    </row>
    <row r="5554" spans="1:4" hidden="1" x14ac:dyDescent="0.3">
      <c r="A5554">
        <v>5552</v>
      </c>
      <c r="B5554" s="1" t="s">
        <v>7286</v>
      </c>
      <c r="C5554" t="s">
        <v>91</v>
      </c>
      <c r="D5554" s="1" t="s">
        <v>7220</v>
      </c>
    </row>
    <row r="5555" spans="1:4" hidden="1" x14ac:dyDescent="0.3">
      <c r="A5555">
        <v>5553</v>
      </c>
      <c r="B5555" t="s">
        <v>7287</v>
      </c>
      <c r="C5555" t="s">
        <v>94</v>
      </c>
      <c r="D5555">
        <v>77272372.045366004</v>
      </c>
    </row>
    <row r="5556" spans="1:4" hidden="1" x14ac:dyDescent="0.3">
      <c r="A5556">
        <v>5554</v>
      </c>
      <c r="B5556" t="s">
        <v>7288</v>
      </c>
      <c r="C5556" t="s">
        <v>96</v>
      </c>
      <c r="D5556">
        <v>39581862.503934801</v>
      </c>
    </row>
    <row r="5557" spans="1:4" hidden="1" x14ac:dyDescent="0.3">
      <c r="A5557">
        <v>5555</v>
      </c>
      <c r="B5557" t="s">
        <v>7289</v>
      </c>
      <c r="C5557" t="s">
        <v>98</v>
      </c>
      <c r="D5557">
        <v>28149760.231511101</v>
      </c>
    </row>
    <row r="5558" spans="1:4" hidden="1" x14ac:dyDescent="0.3">
      <c r="A5558">
        <v>5556</v>
      </c>
      <c r="B5558" s="1" t="s">
        <v>7290</v>
      </c>
      <c r="C5558" t="s">
        <v>100</v>
      </c>
      <c r="D5558" s="1" t="s">
        <v>7291</v>
      </c>
    </row>
    <row r="5559" spans="1:4" hidden="1" x14ac:dyDescent="0.3">
      <c r="A5559">
        <v>5557</v>
      </c>
      <c r="B5559" t="s">
        <v>7292</v>
      </c>
      <c r="C5559" t="s">
        <v>103</v>
      </c>
      <c r="D5559">
        <v>8.0509965640146695E-3</v>
      </c>
    </row>
    <row r="5560" spans="1:4" hidden="1" x14ac:dyDescent="0.3">
      <c r="A5560">
        <v>5558</v>
      </c>
      <c r="B5560" t="s">
        <v>7293</v>
      </c>
      <c r="C5560" t="s">
        <v>105</v>
      </c>
      <c r="D5560">
        <v>1.28807342833708E-3</v>
      </c>
    </row>
    <row r="5561" spans="1:4" hidden="1" x14ac:dyDescent="0.3">
      <c r="A5561">
        <v>5559</v>
      </c>
      <c r="B5561" t="s">
        <v>7294</v>
      </c>
      <c r="C5561" t="s">
        <v>107</v>
      </c>
      <c r="D5561">
        <v>9.9195601505707894E-3</v>
      </c>
    </row>
    <row r="5562" spans="1:4" hidden="1" x14ac:dyDescent="0.3">
      <c r="A5562">
        <v>5560</v>
      </c>
      <c r="B5562" s="1" t="s">
        <v>7295</v>
      </c>
      <c r="C5562" t="s">
        <v>109</v>
      </c>
      <c r="D5562" s="1" t="s">
        <v>7296</v>
      </c>
    </row>
    <row r="5563" spans="1:4" x14ac:dyDescent="0.3">
      <c r="A5563">
        <v>5561</v>
      </c>
      <c r="B5563" t="s">
        <v>7297</v>
      </c>
      <c r="C5563" t="s">
        <v>207</v>
      </c>
      <c r="D5563">
        <v>145004021.11622399</v>
      </c>
    </row>
    <row r="5564" spans="1:4" hidden="1" x14ac:dyDescent="0.3">
      <c r="A5564">
        <v>5562</v>
      </c>
      <c r="B5564" t="s">
        <v>7298</v>
      </c>
      <c r="C5564" t="s">
        <v>209</v>
      </c>
      <c r="D5564">
        <v>-57.859628862093501</v>
      </c>
    </row>
    <row r="5565" spans="1:4" hidden="1" x14ac:dyDescent="0.3">
      <c r="A5565">
        <v>5563</v>
      </c>
      <c r="B5565" t="s">
        <v>7299</v>
      </c>
      <c r="C5565" t="s">
        <v>211</v>
      </c>
      <c r="D5565">
        <v>-29.637908714354001</v>
      </c>
    </row>
    <row r="5566" spans="1:4" hidden="1" x14ac:dyDescent="0.3">
      <c r="A5566">
        <v>5564</v>
      </c>
      <c r="B5566" s="1" t="s">
        <v>7300</v>
      </c>
      <c r="C5566" t="s">
        <v>213</v>
      </c>
      <c r="D5566" s="1" t="s">
        <v>7301</v>
      </c>
    </row>
    <row r="5567" spans="1:4" hidden="1" x14ac:dyDescent="0.3">
      <c r="A5567">
        <v>5565</v>
      </c>
      <c r="B5567" t="s">
        <v>7302</v>
      </c>
      <c r="C5567" t="s">
        <v>216</v>
      </c>
      <c r="D5567">
        <v>77272450.093394399</v>
      </c>
    </row>
    <row r="5568" spans="1:4" hidden="1" x14ac:dyDescent="0.3">
      <c r="A5568">
        <v>5566</v>
      </c>
      <c r="B5568" t="s">
        <v>7303</v>
      </c>
      <c r="C5568" t="s">
        <v>218</v>
      </c>
      <c r="D5568">
        <v>39581896.169107802</v>
      </c>
    </row>
    <row r="5569" spans="1:4" hidden="1" x14ac:dyDescent="0.3">
      <c r="A5569">
        <v>5567</v>
      </c>
      <c r="B5569" t="s">
        <v>7304</v>
      </c>
      <c r="C5569" t="s">
        <v>220</v>
      </c>
      <c r="D5569">
        <v>28149783.429095801</v>
      </c>
    </row>
    <row r="5570" spans="1:4" hidden="1" x14ac:dyDescent="0.3">
      <c r="A5570">
        <v>5568</v>
      </c>
      <c r="B5570" s="1" t="s">
        <v>7305</v>
      </c>
      <c r="C5570" t="s">
        <v>222</v>
      </c>
      <c r="D5570" s="1" t="s">
        <v>7306</v>
      </c>
    </row>
    <row r="5571" spans="1:4" hidden="1" x14ac:dyDescent="0.3">
      <c r="A5571">
        <v>5569</v>
      </c>
      <c r="B5571" t="s">
        <v>7307</v>
      </c>
      <c r="C5571" t="s">
        <v>225</v>
      </c>
      <c r="D5571">
        <v>101180605.11855</v>
      </c>
    </row>
    <row r="5572" spans="1:4" hidden="1" x14ac:dyDescent="0.3">
      <c r="A5572">
        <v>5570</v>
      </c>
      <c r="B5572" t="s">
        <v>7308</v>
      </c>
      <c r="C5572" t="s">
        <v>227</v>
      </c>
      <c r="D5572">
        <v>-75.7614421844482</v>
      </c>
    </row>
    <row r="5573" spans="1:4" hidden="1" x14ac:dyDescent="0.3">
      <c r="A5573">
        <v>5571</v>
      </c>
      <c r="B5573" s="1" t="s">
        <v>7309</v>
      </c>
      <c r="C5573" t="s">
        <v>229</v>
      </c>
      <c r="D5573" s="1" t="s">
        <v>7310</v>
      </c>
    </row>
    <row r="5574" spans="1:4" hidden="1" x14ac:dyDescent="0.3">
      <c r="A5574">
        <v>5572</v>
      </c>
      <c r="B5574" t="s">
        <v>7311</v>
      </c>
      <c r="C5574" t="s">
        <v>112</v>
      </c>
      <c r="D5574">
        <v>20.188399571712399</v>
      </c>
    </row>
    <row r="5575" spans="1:4" hidden="1" x14ac:dyDescent="0.3">
      <c r="A5575">
        <v>5573</v>
      </c>
      <c r="B5575" t="s">
        <v>7312</v>
      </c>
      <c r="C5575" t="s">
        <v>114</v>
      </c>
      <c r="D5575">
        <v>4.0272643165701503</v>
      </c>
    </row>
    <row r="5576" spans="1:4" hidden="1" x14ac:dyDescent="0.3">
      <c r="A5576">
        <v>5574</v>
      </c>
      <c r="B5576" s="1" t="s">
        <v>7313</v>
      </c>
      <c r="C5576" t="s">
        <v>116</v>
      </c>
      <c r="D5576" s="1" t="s">
        <v>7314</v>
      </c>
    </row>
    <row r="5577" spans="1:4" hidden="1" x14ac:dyDescent="0.3">
      <c r="A5577">
        <v>5575</v>
      </c>
      <c r="B5577" t="s">
        <v>7315</v>
      </c>
      <c r="C5577" t="s">
        <v>119</v>
      </c>
      <c r="D5577">
        <v>77272450.093394399</v>
      </c>
    </row>
    <row r="5578" spans="1:4" hidden="1" x14ac:dyDescent="0.3">
      <c r="A5578">
        <v>5576</v>
      </c>
      <c r="B5578" t="s">
        <v>7316</v>
      </c>
      <c r="C5578" t="s">
        <v>121</v>
      </c>
      <c r="D5578">
        <v>39581896.169107802</v>
      </c>
    </row>
    <row r="5579" spans="1:4" hidden="1" x14ac:dyDescent="0.3">
      <c r="A5579">
        <v>5577</v>
      </c>
      <c r="B5579" s="1" t="s">
        <v>7317</v>
      </c>
      <c r="C5579" t="s">
        <v>123</v>
      </c>
      <c r="D5579" s="1" t="s">
        <v>7318</v>
      </c>
    </row>
    <row r="5580" spans="1:4" hidden="1" x14ac:dyDescent="0.3">
      <c r="A5580">
        <v>5578</v>
      </c>
      <c r="B5580" t="s">
        <v>7319</v>
      </c>
      <c r="C5580" t="s">
        <v>126</v>
      </c>
      <c r="D5580">
        <v>0.76363831039281005</v>
      </c>
    </row>
    <row r="5581" spans="1:4" hidden="1" x14ac:dyDescent="0.3">
      <c r="A5581">
        <v>5579</v>
      </c>
      <c r="B5581" t="s">
        <v>7320</v>
      </c>
      <c r="C5581" t="s">
        <v>128</v>
      </c>
      <c r="D5581">
        <v>0.39116466834154401</v>
      </c>
    </row>
    <row r="5582" spans="1:4" hidden="1" x14ac:dyDescent="0.3">
      <c r="A5582">
        <v>5580</v>
      </c>
      <c r="B5582" s="1" t="s">
        <v>7321</v>
      </c>
      <c r="C5582" t="s">
        <v>130</v>
      </c>
      <c r="D5582" s="1" t="s">
        <v>7322</v>
      </c>
    </row>
    <row r="5583" spans="1:4" hidden="1" x14ac:dyDescent="0.3">
      <c r="A5583">
        <v>5581</v>
      </c>
      <c r="B5583" s="1" t="s">
        <v>7323</v>
      </c>
      <c r="C5583" t="s">
        <v>4</v>
      </c>
      <c r="D5583" t="s">
        <v>7324</v>
      </c>
    </row>
    <row r="5584" spans="1:4" hidden="1" x14ac:dyDescent="0.3">
      <c r="A5584">
        <v>5582</v>
      </c>
      <c r="B5584" t="s">
        <v>7325</v>
      </c>
      <c r="C5584" t="s">
        <v>7</v>
      </c>
      <c r="D5584">
        <v>1789.26</v>
      </c>
    </row>
    <row r="5585" spans="1:4" hidden="1" x14ac:dyDescent="0.3">
      <c r="A5585">
        <v>5583</v>
      </c>
      <c r="B5585" s="1" t="s">
        <v>7326</v>
      </c>
      <c r="C5585" t="s">
        <v>9</v>
      </c>
      <c r="D5585" s="1" t="s">
        <v>7327</v>
      </c>
    </row>
    <row r="5586" spans="1:4" hidden="1" x14ac:dyDescent="0.3">
      <c r="A5586">
        <v>5584</v>
      </c>
      <c r="B5586" t="s">
        <v>7328</v>
      </c>
      <c r="C5586" t="s">
        <v>14</v>
      </c>
      <c r="D5586">
        <v>98.59765625</v>
      </c>
    </row>
    <row r="5587" spans="1:4" hidden="1" x14ac:dyDescent="0.3">
      <c r="A5587">
        <v>5585</v>
      </c>
      <c r="B5587" t="s">
        <v>7329</v>
      </c>
      <c r="C5587" t="s">
        <v>16</v>
      </c>
      <c r="D5587">
        <v>4.3927205842054997</v>
      </c>
    </row>
    <row r="5588" spans="1:4" hidden="1" x14ac:dyDescent="0.3">
      <c r="A5588">
        <v>5586</v>
      </c>
      <c r="B5588" s="1" t="s">
        <v>7330</v>
      </c>
      <c r="C5588" t="s">
        <v>140</v>
      </c>
      <c r="D5588" s="1" t="s">
        <v>7331</v>
      </c>
    </row>
    <row r="5589" spans="1:4" hidden="1" x14ac:dyDescent="0.3">
      <c r="A5589">
        <v>5587</v>
      </c>
      <c r="B5589" t="s">
        <v>7332</v>
      </c>
      <c r="C5589" t="s">
        <v>22</v>
      </c>
      <c r="D5589">
        <v>70</v>
      </c>
    </row>
    <row r="5590" spans="1:4" hidden="1" x14ac:dyDescent="0.3">
      <c r="A5590">
        <v>5588</v>
      </c>
      <c r="B5590" t="s">
        <v>7333</v>
      </c>
      <c r="C5590" t="s">
        <v>24</v>
      </c>
      <c r="D5590">
        <v>6.7130752931143798</v>
      </c>
    </row>
    <row r="5591" spans="1:4" hidden="1" x14ac:dyDescent="0.3">
      <c r="A5591">
        <v>5589</v>
      </c>
      <c r="B5591" s="1" t="s">
        <v>7334</v>
      </c>
      <c r="C5591" t="s">
        <v>145</v>
      </c>
      <c r="D5591" s="1" t="s">
        <v>7335</v>
      </c>
    </row>
    <row r="5592" spans="1:4" hidden="1" x14ac:dyDescent="0.3">
      <c r="A5592">
        <v>5590</v>
      </c>
      <c r="B5592" t="s">
        <v>7336</v>
      </c>
      <c r="C5592" t="s">
        <v>35</v>
      </c>
      <c r="D5592">
        <v>0.346871586623616</v>
      </c>
    </row>
    <row r="5593" spans="1:4" hidden="1" x14ac:dyDescent="0.3">
      <c r="A5593">
        <v>5591</v>
      </c>
      <c r="B5593" t="s">
        <v>7337</v>
      </c>
      <c r="C5593" t="s">
        <v>149</v>
      </c>
      <c r="D5593">
        <v>0.755358839778415</v>
      </c>
    </row>
    <row r="5594" spans="1:4" hidden="1" x14ac:dyDescent="0.3">
      <c r="A5594">
        <v>5592</v>
      </c>
      <c r="B5594" s="1" t="s">
        <v>7338</v>
      </c>
      <c r="C5594" t="s">
        <v>151</v>
      </c>
      <c r="D5594" s="1" t="s">
        <v>7339</v>
      </c>
    </row>
    <row r="5595" spans="1:4" hidden="1" x14ac:dyDescent="0.3">
      <c r="A5595">
        <v>5593</v>
      </c>
      <c r="B5595" t="s">
        <v>7340</v>
      </c>
      <c r="C5595" t="s">
        <v>30</v>
      </c>
      <c r="D5595">
        <v>0.24988631814991899</v>
      </c>
    </row>
    <row r="5596" spans="1:4" hidden="1" x14ac:dyDescent="0.3">
      <c r="A5596">
        <v>5594</v>
      </c>
      <c r="B5596" t="s">
        <v>7341</v>
      </c>
      <c r="C5596" t="s">
        <v>32</v>
      </c>
      <c r="D5596">
        <v>0.172817469714419</v>
      </c>
    </row>
    <row r="5597" spans="1:4" hidden="1" x14ac:dyDescent="0.3">
      <c r="A5597">
        <v>5595</v>
      </c>
      <c r="B5597" s="1" t="s">
        <v>7342</v>
      </c>
      <c r="C5597" t="s">
        <v>155</v>
      </c>
      <c r="D5597" s="1" t="s">
        <v>7343</v>
      </c>
    </row>
    <row r="5598" spans="1:4" hidden="1" x14ac:dyDescent="0.3">
      <c r="A5598">
        <v>5596</v>
      </c>
      <c r="B5598" t="s">
        <v>7344</v>
      </c>
      <c r="C5598" t="s">
        <v>40</v>
      </c>
      <c r="D5598">
        <v>0.40324209522646298</v>
      </c>
    </row>
    <row r="5599" spans="1:4" hidden="1" x14ac:dyDescent="0.3">
      <c r="A5599">
        <v>5597</v>
      </c>
      <c r="B5599" t="s">
        <v>7345</v>
      </c>
      <c r="C5599" t="s">
        <v>42</v>
      </c>
      <c r="D5599">
        <v>0.15105662474027701</v>
      </c>
    </row>
    <row r="5600" spans="1:4" hidden="1" x14ac:dyDescent="0.3">
      <c r="A5600">
        <v>5598</v>
      </c>
      <c r="B5600" s="1" t="s">
        <v>7346</v>
      </c>
      <c r="C5600" t="s">
        <v>159</v>
      </c>
      <c r="D5600" s="1" t="s">
        <v>7347</v>
      </c>
    </row>
    <row r="5601" spans="1:4" hidden="1" x14ac:dyDescent="0.3">
      <c r="A5601">
        <v>5599</v>
      </c>
      <c r="B5601" t="s">
        <v>7348</v>
      </c>
      <c r="C5601" t="s">
        <v>161</v>
      </c>
      <c r="D5601">
        <v>0.997157760984417</v>
      </c>
    </row>
    <row r="5602" spans="1:4" hidden="1" x14ac:dyDescent="0.3">
      <c r="A5602">
        <v>5600</v>
      </c>
      <c r="B5602" t="s">
        <v>7349</v>
      </c>
      <c r="C5602" t="s">
        <v>163</v>
      </c>
      <c r="D5602">
        <v>1.0005538736878601</v>
      </c>
    </row>
    <row r="5603" spans="1:4" hidden="1" x14ac:dyDescent="0.3">
      <c r="A5603">
        <v>5601</v>
      </c>
      <c r="B5603" s="1" t="s">
        <v>7350</v>
      </c>
      <c r="C5603" t="s">
        <v>165</v>
      </c>
      <c r="D5603" s="1" t="s">
        <v>7351</v>
      </c>
    </row>
    <row r="5604" spans="1:4" hidden="1" x14ac:dyDescent="0.3">
      <c r="A5604">
        <v>5602</v>
      </c>
      <c r="B5604" t="s">
        <v>7352</v>
      </c>
      <c r="C5604" t="s">
        <v>168</v>
      </c>
      <c r="D5604">
        <v>1.0046050092705301</v>
      </c>
    </row>
    <row r="5605" spans="1:4" hidden="1" x14ac:dyDescent="0.3">
      <c r="A5605">
        <v>5603</v>
      </c>
      <c r="B5605" t="s">
        <v>7353</v>
      </c>
      <c r="C5605" t="s">
        <v>170</v>
      </c>
      <c r="D5605">
        <v>0.99502287810319001</v>
      </c>
    </row>
    <row r="5606" spans="1:4" hidden="1" x14ac:dyDescent="0.3">
      <c r="A5606">
        <v>5604</v>
      </c>
      <c r="B5606" s="1" t="s">
        <v>7354</v>
      </c>
      <c r="C5606" t="s">
        <v>172</v>
      </c>
      <c r="D5606" s="1" t="s">
        <v>7355</v>
      </c>
    </row>
    <row r="5607" spans="1:4" hidden="1" x14ac:dyDescent="0.3">
      <c r="A5607">
        <v>5605</v>
      </c>
      <c r="B5607" s="1" t="s">
        <v>7356</v>
      </c>
      <c r="C5607" t="s">
        <v>55</v>
      </c>
      <c r="D5607" s="1" t="s">
        <v>7357</v>
      </c>
    </row>
    <row r="5608" spans="1:4" hidden="1" x14ac:dyDescent="0.3">
      <c r="A5608">
        <v>5606</v>
      </c>
      <c r="B5608" s="1" t="s">
        <v>7358</v>
      </c>
      <c r="C5608" t="s">
        <v>52</v>
      </c>
      <c r="D5608" s="1" t="s">
        <v>7359</v>
      </c>
    </row>
    <row r="5609" spans="1:4" hidden="1" x14ac:dyDescent="0.3">
      <c r="A5609">
        <v>5607</v>
      </c>
      <c r="B5609" s="1" t="s">
        <v>7360</v>
      </c>
      <c r="C5609" t="s">
        <v>58</v>
      </c>
      <c r="D5609" s="1" t="s">
        <v>7361</v>
      </c>
    </row>
    <row r="5610" spans="1:4" hidden="1" x14ac:dyDescent="0.3">
      <c r="A5610">
        <v>5608</v>
      </c>
      <c r="B5610" t="s">
        <v>7362</v>
      </c>
      <c r="C5610" t="s">
        <v>61</v>
      </c>
      <c r="D5610">
        <v>144640140.83373299</v>
      </c>
    </row>
    <row r="5611" spans="1:4" hidden="1" x14ac:dyDescent="0.3">
      <c r="A5611">
        <v>5609</v>
      </c>
      <c r="B5611" t="s">
        <v>7363</v>
      </c>
      <c r="C5611" t="s">
        <v>63</v>
      </c>
      <c r="D5611">
        <v>77052823.320909306</v>
      </c>
    </row>
    <row r="5612" spans="1:4" hidden="1" x14ac:dyDescent="0.3">
      <c r="A5612">
        <v>5610</v>
      </c>
      <c r="B5612" t="s">
        <v>7364</v>
      </c>
      <c r="C5612" t="s">
        <v>65</v>
      </c>
      <c r="D5612">
        <v>39603819.539911598</v>
      </c>
    </row>
    <row r="5613" spans="1:4" hidden="1" x14ac:dyDescent="0.3">
      <c r="A5613">
        <v>5611</v>
      </c>
      <c r="B5613" s="1" t="s">
        <v>7365</v>
      </c>
      <c r="C5613" t="s">
        <v>67</v>
      </c>
      <c r="D5613" s="1" t="s">
        <v>7366</v>
      </c>
    </row>
    <row r="5614" spans="1:4" hidden="1" x14ac:dyDescent="0.3">
      <c r="A5614">
        <v>5612</v>
      </c>
      <c r="B5614" s="1" t="s">
        <v>7367</v>
      </c>
      <c r="C5614" t="s">
        <v>70</v>
      </c>
      <c r="D5614" s="1" t="s">
        <v>7368</v>
      </c>
    </row>
    <row r="5615" spans="1:4" hidden="1" x14ac:dyDescent="0.3">
      <c r="A5615">
        <v>5613</v>
      </c>
      <c r="B5615" t="s">
        <v>7369</v>
      </c>
      <c r="C5615" t="s">
        <v>73</v>
      </c>
      <c r="D5615">
        <v>1.0000914219999</v>
      </c>
    </row>
    <row r="5616" spans="1:4" hidden="1" x14ac:dyDescent="0.3">
      <c r="A5616">
        <v>5614</v>
      </c>
      <c r="B5616" t="s">
        <v>74</v>
      </c>
      <c r="C5616" t="s">
        <v>75</v>
      </c>
      <c r="D5616">
        <v>2.7397260273972599E-3</v>
      </c>
    </row>
    <row r="5617" spans="1:4" hidden="1" x14ac:dyDescent="0.3">
      <c r="A5617">
        <v>5615</v>
      </c>
      <c r="B5617" t="s">
        <v>76</v>
      </c>
      <c r="C5617" t="s">
        <v>77</v>
      </c>
      <c r="D5617">
        <v>0</v>
      </c>
    </row>
    <row r="5618" spans="1:4" hidden="1" x14ac:dyDescent="0.3">
      <c r="A5618">
        <v>5616</v>
      </c>
      <c r="B5618" t="s">
        <v>650</v>
      </c>
      <c r="C5618" t="s">
        <v>79</v>
      </c>
      <c r="D5618" s="2">
        <v>2.2204460492503101E-16</v>
      </c>
    </row>
    <row r="5619" spans="1:4" hidden="1" x14ac:dyDescent="0.3">
      <c r="A5619">
        <v>5617</v>
      </c>
      <c r="B5619" s="1" t="s">
        <v>7370</v>
      </c>
      <c r="C5619" t="s">
        <v>81</v>
      </c>
      <c r="D5619" s="1" t="s">
        <v>7371</v>
      </c>
    </row>
    <row r="5620" spans="1:4" hidden="1" x14ac:dyDescent="0.3">
      <c r="A5620">
        <v>5618</v>
      </c>
      <c r="B5620" t="s">
        <v>7372</v>
      </c>
      <c r="C5620" t="s">
        <v>84</v>
      </c>
      <c r="D5620">
        <v>1.0001337078908401</v>
      </c>
    </row>
    <row r="5621" spans="1:4" hidden="1" x14ac:dyDescent="0.3">
      <c r="A5621">
        <v>5619</v>
      </c>
      <c r="B5621" s="1" t="s">
        <v>7373</v>
      </c>
      <c r="C5621" t="s">
        <v>86</v>
      </c>
      <c r="D5621" s="1" t="s">
        <v>7374</v>
      </c>
    </row>
    <row r="5622" spans="1:4" hidden="1" x14ac:dyDescent="0.3">
      <c r="A5622">
        <v>5620</v>
      </c>
      <c r="B5622" t="s">
        <v>7375</v>
      </c>
      <c r="C5622" t="s">
        <v>89</v>
      </c>
      <c r="D5622">
        <v>101176251.42027199</v>
      </c>
    </row>
    <row r="5623" spans="1:4" hidden="1" x14ac:dyDescent="0.3">
      <c r="A5623">
        <v>5621</v>
      </c>
      <c r="B5623" s="1" t="s">
        <v>7376</v>
      </c>
      <c r="C5623" t="s">
        <v>91</v>
      </c>
      <c r="D5623" s="1" t="s">
        <v>7310</v>
      </c>
    </row>
    <row r="5624" spans="1:4" hidden="1" x14ac:dyDescent="0.3">
      <c r="A5624">
        <v>5622</v>
      </c>
      <c r="B5624" t="s">
        <v>7377</v>
      </c>
      <c r="C5624" t="s">
        <v>94</v>
      </c>
      <c r="D5624">
        <v>77052823.320909306</v>
      </c>
    </row>
    <row r="5625" spans="1:4" hidden="1" x14ac:dyDescent="0.3">
      <c r="A5625">
        <v>5623</v>
      </c>
      <c r="B5625" t="s">
        <v>7378</v>
      </c>
      <c r="C5625" t="s">
        <v>96</v>
      </c>
      <c r="D5625">
        <v>39603819.539911598</v>
      </c>
    </row>
    <row r="5626" spans="1:4" hidden="1" x14ac:dyDescent="0.3">
      <c r="A5626">
        <v>5624</v>
      </c>
      <c r="B5626" t="s">
        <v>7379</v>
      </c>
      <c r="C5626" t="s">
        <v>98</v>
      </c>
      <c r="D5626">
        <v>27983497.9729128</v>
      </c>
    </row>
    <row r="5627" spans="1:4" hidden="1" x14ac:dyDescent="0.3">
      <c r="A5627">
        <v>5625</v>
      </c>
      <c r="B5627" s="1" t="s">
        <v>7380</v>
      </c>
      <c r="C5627" t="s">
        <v>100</v>
      </c>
      <c r="D5627" s="1" t="s">
        <v>7381</v>
      </c>
    </row>
    <row r="5628" spans="1:4" hidden="1" x14ac:dyDescent="0.3">
      <c r="A5628">
        <v>5626</v>
      </c>
      <c r="B5628" t="s">
        <v>7382</v>
      </c>
      <c r="C5628" t="s">
        <v>103</v>
      </c>
      <c r="D5628">
        <v>8.2498451299807905E-3</v>
      </c>
    </row>
    <row r="5629" spans="1:4" hidden="1" x14ac:dyDescent="0.3">
      <c r="A5629">
        <v>5627</v>
      </c>
      <c r="B5629" t="s">
        <v>7383</v>
      </c>
      <c r="C5629" t="s">
        <v>105</v>
      </c>
      <c r="D5629">
        <v>1.2853515221784701E-3</v>
      </c>
    </row>
    <row r="5630" spans="1:4" hidden="1" x14ac:dyDescent="0.3">
      <c r="A5630">
        <v>5628</v>
      </c>
      <c r="B5630" t="s">
        <v>7384</v>
      </c>
      <c r="C5630" t="s">
        <v>107</v>
      </c>
      <c r="D5630">
        <v>9.5375025392124002E-3</v>
      </c>
    </row>
    <row r="5631" spans="1:4" hidden="1" x14ac:dyDescent="0.3">
      <c r="A5631">
        <v>5629</v>
      </c>
      <c r="B5631" s="1" t="s">
        <v>7385</v>
      </c>
      <c r="C5631" t="s">
        <v>109</v>
      </c>
      <c r="D5631" s="1" t="s">
        <v>7386</v>
      </c>
    </row>
    <row r="5632" spans="1:4" x14ac:dyDescent="0.3">
      <c r="A5632">
        <v>5630</v>
      </c>
      <c r="B5632" t="s">
        <v>7387</v>
      </c>
      <c r="C5632" t="s">
        <v>207</v>
      </c>
      <c r="D5632">
        <v>144641626.72444299</v>
      </c>
    </row>
    <row r="5633" spans="1:4" hidden="1" x14ac:dyDescent="0.3">
      <c r="A5633">
        <v>5631</v>
      </c>
      <c r="B5633" t="s">
        <v>7388</v>
      </c>
      <c r="C5633" t="s">
        <v>209</v>
      </c>
      <c r="D5633">
        <v>-3257.9958003458701</v>
      </c>
    </row>
    <row r="5634" spans="1:4" hidden="1" x14ac:dyDescent="0.3">
      <c r="A5634">
        <v>5632</v>
      </c>
      <c r="B5634" t="s">
        <v>7389</v>
      </c>
      <c r="C5634" t="s">
        <v>211</v>
      </c>
      <c r="D5634">
        <v>-1674.5393383846499</v>
      </c>
    </row>
    <row r="5635" spans="1:4" hidden="1" x14ac:dyDescent="0.3">
      <c r="A5635">
        <v>5633</v>
      </c>
      <c r="B5635" s="1" t="s">
        <v>7390</v>
      </c>
      <c r="C5635" t="s">
        <v>213</v>
      </c>
      <c r="D5635" s="1" t="s">
        <v>7391</v>
      </c>
    </row>
    <row r="5636" spans="1:4" hidden="1" x14ac:dyDescent="0.3">
      <c r="A5636">
        <v>5634</v>
      </c>
      <c r="B5636" t="s">
        <v>7392</v>
      </c>
      <c r="C5636" t="s">
        <v>216</v>
      </c>
      <c r="D5636">
        <v>77057177.877860203</v>
      </c>
    </row>
    <row r="5637" spans="1:4" hidden="1" x14ac:dyDescent="0.3">
      <c r="A5637">
        <v>5635</v>
      </c>
      <c r="B5637" t="s">
        <v>7393</v>
      </c>
      <c r="C5637" t="s">
        <v>218</v>
      </c>
      <c r="D5637">
        <v>39605721.912742302</v>
      </c>
    </row>
    <row r="5638" spans="1:4" hidden="1" x14ac:dyDescent="0.3">
      <c r="A5638">
        <v>5636</v>
      </c>
      <c r="B5638" t="s">
        <v>7394</v>
      </c>
      <c r="C5638" t="s">
        <v>220</v>
      </c>
      <c r="D5638">
        <v>27984842.6747807</v>
      </c>
    </row>
    <row r="5639" spans="1:4" hidden="1" x14ac:dyDescent="0.3">
      <c r="A5639">
        <v>5637</v>
      </c>
      <c r="B5639" s="1" t="s">
        <v>7395</v>
      </c>
      <c r="C5639" t="s">
        <v>222</v>
      </c>
      <c r="D5639" s="1" t="s">
        <v>7396</v>
      </c>
    </row>
    <row r="5640" spans="1:4" hidden="1" x14ac:dyDescent="0.3">
      <c r="A5640">
        <v>5638</v>
      </c>
      <c r="B5640" t="s">
        <v>7397</v>
      </c>
      <c r="C5640" t="s">
        <v>225</v>
      </c>
      <c r="D5640">
        <v>101180529.357108</v>
      </c>
    </row>
    <row r="5641" spans="1:4" hidden="1" x14ac:dyDescent="0.3">
      <c r="A5641">
        <v>5639</v>
      </c>
      <c r="B5641" t="s">
        <v>7398</v>
      </c>
      <c r="C5641" t="s">
        <v>227</v>
      </c>
      <c r="D5641">
        <v>-4277.9368360042499</v>
      </c>
    </row>
    <row r="5642" spans="1:4" hidden="1" x14ac:dyDescent="0.3">
      <c r="A5642">
        <v>5640</v>
      </c>
      <c r="B5642" s="1" t="s">
        <v>7399</v>
      </c>
      <c r="C5642" t="s">
        <v>229</v>
      </c>
      <c r="D5642" s="1" t="s">
        <v>7400</v>
      </c>
    </row>
    <row r="5643" spans="1:4" hidden="1" x14ac:dyDescent="0.3">
      <c r="A5643">
        <v>5641</v>
      </c>
      <c r="B5643" t="s">
        <v>7401</v>
      </c>
      <c r="C5643" t="s">
        <v>112</v>
      </c>
      <c r="D5643">
        <v>1096.5611505546101</v>
      </c>
    </row>
    <row r="5644" spans="1:4" hidden="1" x14ac:dyDescent="0.3">
      <c r="A5644">
        <v>5642</v>
      </c>
      <c r="B5644" t="s">
        <v>7402</v>
      </c>
      <c r="C5644" t="s">
        <v>114</v>
      </c>
      <c r="D5644">
        <v>227.83349225128799</v>
      </c>
    </row>
    <row r="5645" spans="1:4" hidden="1" x14ac:dyDescent="0.3">
      <c r="A5645">
        <v>5643</v>
      </c>
      <c r="B5645" s="1" t="s">
        <v>7403</v>
      </c>
      <c r="C5645" t="s">
        <v>116</v>
      </c>
      <c r="D5645" s="1" t="s">
        <v>7404</v>
      </c>
    </row>
    <row r="5646" spans="1:4" hidden="1" x14ac:dyDescent="0.3">
      <c r="A5646">
        <v>5644</v>
      </c>
      <c r="B5646" t="s">
        <v>7405</v>
      </c>
      <c r="C5646" t="s">
        <v>119</v>
      </c>
      <c r="D5646">
        <v>77057177.877860203</v>
      </c>
    </row>
    <row r="5647" spans="1:4" hidden="1" x14ac:dyDescent="0.3">
      <c r="A5647">
        <v>5645</v>
      </c>
      <c r="B5647" t="s">
        <v>7406</v>
      </c>
      <c r="C5647" t="s">
        <v>121</v>
      </c>
      <c r="D5647">
        <v>39605721.912742302</v>
      </c>
    </row>
    <row r="5648" spans="1:4" hidden="1" x14ac:dyDescent="0.3">
      <c r="A5648">
        <v>5646</v>
      </c>
      <c r="B5648" s="1" t="s">
        <v>7407</v>
      </c>
      <c r="C5648" t="s">
        <v>123</v>
      </c>
      <c r="D5648" s="1" t="s">
        <v>7408</v>
      </c>
    </row>
    <row r="5649" spans="1:4" hidden="1" x14ac:dyDescent="0.3">
      <c r="A5649">
        <v>5647</v>
      </c>
      <c r="B5649" t="s">
        <v>7409</v>
      </c>
      <c r="C5649" t="s">
        <v>126</v>
      </c>
      <c r="D5649">
        <v>0.76147927464017895</v>
      </c>
    </row>
    <row r="5650" spans="1:4" hidden="1" x14ac:dyDescent="0.3">
      <c r="A5650">
        <v>5648</v>
      </c>
      <c r="B5650" t="s">
        <v>7410</v>
      </c>
      <c r="C5650" t="s">
        <v>128</v>
      </c>
      <c r="D5650">
        <v>0.39138386876196202</v>
      </c>
    </row>
    <row r="5651" spans="1:4" hidden="1" x14ac:dyDescent="0.3">
      <c r="A5651">
        <v>5649</v>
      </c>
      <c r="B5651" s="1" t="s">
        <v>7411</v>
      </c>
      <c r="C5651" t="s">
        <v>130</v>
      </c>
      <c r="D5651" s="1" t="s">
        <v>7412</v>
      </c>
    </row>
    <row r="5652" spans="1:4" hidden="1" x14ac:dyDescent="0.3">
      <c r="A5652">
        <v>5650</v>
      </c>
      <c r="B5652" s="1" t="s">
        <v>7413</v>
      </c>
      <c r="C5652" t="s">
        <v>4</v>
      </c>
      <c r="D5652" t="s">
        <v>7414</v>
      </c>
    </row>
    <row r="5653" spans="1:4" hidden="1" x14ac:dyDescent="0.3">
      <c r="A5653">
        <v>5651</v>
      </c>
      <c r="B5653" t="s">
        <v>7415</v>
      </c>
      <c r="C5653" t="s">
        <v>7</v>
      </c>
      <c r="D5653">
        <v>1794.58</v>
      </c>
    </row>
    <row r="5654" spans="1:4" hidden="1" x14ac:dyDescent="0.3">
      <c r="A5654">
        <v>5652</v>
      </c>
      <c r="B5654" s="1" t="s">
        <v>7416</v>
      </c>
      <c r="C5654" t="s">
        <v>9</v>
      </c>
      <c r="D5654" s="1" t="s">
        <v>7417</v>
      </c>
    </row>
    <row r="5655" spans="1:4" hidden="1" x14ac:dyDescent="0.3">
      <c r="A5655">
        <v>5653</v>
      </c>
      <c r="B5655" t="s">
        <v>5896</v>
      </c>
      <c r="C5655" t="s">
        <v>14</v>
      </c>
      <c r="D5655">
        <v>98.6640625</v>
      </c>
    </row>
    <row r="5656" spans="1:4" hidden="1" x14ac:dyDescent="0.3">
      <c r="A5656">
        <v>5654</v>
      </c>
      <c r="B5656" t="s">
        <v>7418</v>
      </c>
      <c r="C5656" t="s">
        <v>16</v>
      </c>
      <c r="D5656">
        <v>4.3966265084256797</v>
      </c>
    </row>
    <row r="5657" spans="1:4" hidden="1" x14ac:dyDescent="0.3">
      <c r="A5657">
        <v>5655</v>
      </c>
      <c r="B5657" s="1" t="s">
        <v>7419</v>
      </c>
      <c r="C5657" t="s">
        <v>140</v>
      </c>
      <c r="D5657" s="1" t="s">
        <v>7420</v>
      </c>
    </row>
    <row r="5658" spans="1:4" hidden="1" x14ac:dyDescent="0.3">
      <c r="A5658">
        <v>5656</v>
      </c>
      <c r="B5658" t="s">
        <v>7421</v>
      </c>
      <c r="C5658" t="s">
        <v>22</v>
      </c>
      <c r="D5658">
        <v>69.900000000000006</v>
      </c>
    </row>
    <row r="5659" spans="1:4" hidden="1" x14ac:dyDescent="0.3">
      <c r="A5659">
        <v>5657</v>
      </c>
      <c r="B5659" t="s">
        <v>7422</v>
      </c>
      <c r="C5659" t="s">
        <v>24</v>
      </c>
      <c r="D5659">
        <v>6.7598848970162697</v>
      </c>
    </row>
    <row r="5660" spans="1:4" hidden="1" x14ac:dyDescent="0.3">
      <c r="A5660">
        <v>5658</v>
      </c>
      <c r="B5660" s="1" t="s">
        <v>7423</v>
      </c>
      <c r="C5660" t="s">
        <v>145</v>
      </c>
      <c r="D5660" s="1" t="s">
        <v>7424</v>
      </c>
    </row>
    <row r="5661" spans="1:4" hidden="1" x14ac:dyDescent="0.3">
      <c r="A5661">
        <v>5659</v>
      </c>
      <c r="B5661" t="s">
        <v>7425</v>
      </c>
      <c r="C5661" t="s">
        <v>35</v>
      </c>
      <c r="D5661">
        <v>6.4687464619526697E-3</v>
      </c>
    </row>
    <row r="5662" spans="1:4" hidden="1" x14ac:dyDescent="0.3">
      <c r="A5662">
        <v>5660</v>
      </c>
      <c r="B5662" t="s">
        <v>7426</v>
      </c>
      <c r="C5662" t="s">
        <v>149</v>
      </c>
      <c r="D5662">
        <v>0.75461691594430702</v>
      </c>
    </row>
    <row r="5663" spans="1:4" hidden="1" x14ac:dyDescent="0.3">
      <c r="A5663">
        <v>5661</v>
      </c>
      <c r="B5663" s="1" t="s">
        <v>7427</v>
      </c>
      <c r="C5663" t="s">
        <v>151</v>
      </c>
      <c r="D5663" s="1" t="s">
        <v>7428</v>
      </c>
    </row>
    <row r="5664" spans="1:4" hidden="1" x14ac:dyDescent="0.3">
      <c r="A5664">
        <v>5662</v>
      </c>
      <c r="B5664" t="s">
        <v>7429</v>
      </c>
      <c r="C5664" t="s">
        <v>30</v>
      </c>
      <c r="D5664">
        <v>0.38273894097678901</v>
      </c>
    </row>
    <row r="5665" spans="1:4" hidden="1" x14ac:dyDescent="0.3">
      <c r="A5665">
        <v>5663</v>
      </c>
      <c r="B5665" t="s">
        <v>7430</v>
      </c>
      <c r="C5665" t="s">
        <v>32</v>
      </c>
      <c r="D5665">
        <v>0.17376597615629</v>
      </c>
    </row>
    <row r="5666" spans="1:4" hidden="1" x14ac:dyDescent="0.3">
      <c r="A5666">
        <v>5664</v>
      </c>
      <c r="B5666" s="1" t="s">
        <v>7431</v>
      </c>
      <c r="C5666" t="s">
        <v>155</v>
      </c>
      <c r="D5666" s="1" t="s">
        <v>7432</v>
      </c>
    </row>
    <row r="5667" spans="1:4" hidden="1" x14ac:dyDescent="0.3">
      <c r="A5667">
        <v>5665</v>
      </c>
      <c r="B5667" t="s">
        <v>7433</v>
      </c>
      <c r="C5667" t="s">
        <v>40</v>
      </c>
      <c r="D5667">
        <v>0.61079231256125799</v>
      </c>
    </row>
    <row r="5668" spans="1:4" hidden="1" x14ac:dyDescent="0.3">
      <c r="A5668">
        <v>5666</v>
      </c>
      <c r="B5668" t="s">
        <v>7434</v>
      </c>
      <c r="C5668" t="s">
        <v>42</v>
      </c>
      <c r="D5668">
        <v>0.15140972408444101</v>
      </c>
    </row>
    <row r="5669" spans="1:4" hidden="1" x14ac:dyDescent="0.3">
      <c r="A5669">
        <v>5667</v>
      </c>
      <c r="B5669" s="1" t="s">
        <v>7435</v>
      </c>
      <c r="C5669" t="s">
        <v>159</v>
      </c>
      <c r="D5669" s="1" t="s">
        <v>7436</v>
      </c>
    </row>
    <row r="5670" spans="1:4" hidden="1" x14ac:dyDescent="0.3">
      <c r="A5670">
        <v>5668</v>
      </c>
      <c r="B5670" t="s">
        <v>7437</v>
      </c>
      <c r="C5670" t="s">
        <v>161</v>
      </c>
      <c r="D5670">
        <v>1.00297329622301</v>
      </c>
    </row>
    <row r="5671" spans="1:4" hidden="1" x14ac:dyDescent="0.3">
      <c r="A5671">
        <v>5669</v>
      </c>
      <c r="B5671" t="s">
        <v>7438</v>
      </c>
      <c r="C5671" t="s">
        <v>163</v>
      </c>
      <c r="D5671">
        <v>1.0006827062525701</v>
      </c>
    </row>
    <row r="5672" spans="1:4" hidden="1" x14ac:dyDescent="0.3">
      <c r="A5672">
        <v>5670</v>
      </c>
      <c r="B5672" s="1" t="s">
        <v>7439</v>
      </c>
      <c r="C5672" t="s">
        <v>165</v>
      </c>
      <c r="D5672" s="1" t="s">
        <v>7440</v>
      </c>
    </row>
    <row r="5673" spans="1:4" hidden="1" x14ac:dyDescent="0.3">
      <c r="A5673">
        <v>5671</v>
      </c>
      <c r="B5673" t="s">
        <v>7441</v>
      </c>
      <c r="C5673" t="s">
        <v>168</v>
      </c>
      <c r="D5673">
        <v>0.99957733779709601</v>
      </c>
    </row>
    <row r="5674" spans="1:4" hidden="1" x14ac:dyDescent="0.3">
      <c r="A5674">
        <v>5672</v>
      </c>
      <c r="B5674" t="s">
        <v>7442</v>
      </c>
      <c r="C5674" t="s">
        <v>170</v>
      </c>
      <c r="D5674">
        <v>1.0008087417406</v>
      </c>
    </row>
    <row r="5675" spans="1:4" hidden="1" x14ac:dyDescent="0.3">
      <c r="A5675">
        <v>5673</v>
      </c>
      <c r="B5675" s="1" t="s">
        <v>7443</v>
      </c>
      <c r="C5675" t="s">
        <v>172</v>
      </c>
      <c r="D5675" s="1" t="s">
        <v>7444</v>
      </c>
    </row>
    <row r="5676" spans="1:4" hidden="1" x14ac:dyDescent="0.3">
      <c r="A5676">
        <v>5674</v>
      </c>
      <c r="B5676" s="1" t="s">
        <v>7445</v>
      </c>
      <c r="C5676" t="s">
        <v>55</v>
      </c>
      <c r="D5676" s="1" t="s">
        <v>7446</v>
      </c>
    </row>
    <row r="5677" spans="1:4" hidden="1" x14ac:dyDescent="0.3">
      <c r="A5677">
        <v>5675</v>
      </c>
      <c r="B5677" s="1" t="s">
        <v>7447</v>
      </c>
      <c r="C5677" t="s">
        <v>52</v>
      </c>
      <c r="D5677" s="1" t="s">
        <v>7448</v>
      </c>
    </row>
    <row r="5678" spans="1:4" hidden="1" x14ac:dyDescent="0.3">
      <c r="A5678">
        <v>5676</v>
      </c>
      <c r="B5678" s="1" t="s">
        <v>7449</v>
      </c>
      <c r="C5678" t="s">
        <v>58</v>
      </c>
      <c r="D5678" s="1" t="s">
        <v>7450</v>
      </c>
    </row>
    <row r="5679" spans="1:4" hidden="1" x14ac:dyDescent="0.3">
      <c r="A5679">
        <v>5677</v>
      </c>
      <c r="B5679" t="s">
        <v>7451</v>
      </c>
      <c r="C5679" t="s">
        <v>61</v>
      </c>
      <c r="D5679">
        <v>144884491.55927101</v>
      </c>
    </row>
    <row r="5680" spans="1:4" hidden="1" x14ac:dyDescent="0.3">
      <c r="A5680">
        <v>5678</v>
      </c>
      <c r="B5680" t="s">
        <v>7452</v>
      </c>
      <c r="C5680" t="s">
        <v>63</v>
      </c>
      <c r="D5680">
        <v>77286291.693801001</v>
      </c>
    </row>
    <row r="5681" spans="1:4" hidden="1" x14ac:dyDescent="0.3">
      <c r="A5681">
        <v>5679</v>
      </c>
      <c r="B5681" t="s">
        <v>7453</v>
      </c>
      <c r="C5681" t="s">
        <v>65</v>
      </c>
      <c r="D5681">
        <v>39632760.986730002</v>
      </c>
    </row>
    <row r="5682" spans="1:4" hidden="1" x14ac:dyDescent="0.3">
      <c r="A5682">
        <v>5680</v>
      </c>
      <c r="B5682" s="1" t="s">
        <v>7454</v>
      </c>
      <c r="C5682" t="s">
        <v>67</v>
      </c>
      <c r="D5682" s="1" t="s">
        <v>7455</v>
      </c>
    </row>
    <row r="5683" spans="1:4" hidden="1" x14ac:dyDescent="0.3">
      <c r="A5683">
        <v>5681</v>
      </c>
      <c r="B5683" s="1" t="s">
        <v>7456</v>
      </c>
      <c r="C5683" t="s">
        <v>70</v>
      </c>
      <c r="D5683" s="1" t="s">
        <v>7457</v>
      </c>
    </row>
    <row r="5684" spans="1:4" hidden="1" x14ac:dyDescent="0.3">
      <c r="A5684">
        <v>5682</v>
      </c>
      <c r="B5684" t="s">
        <v>7458</v>
      </c>
      <c r="C5684" t="s">
        <v>73</v>
      </c>
      <c r="D5684">
        <v>1.0001337078908401</v>
      </c>
    </row>
    <row r="5685" spans="1:4" hidden="1" x14ac:dyDescent="0.3">
      <c r="A5685">
        <v>5683</v>
      </c>
      <c r="B5685" t="s">
        <v>74</v>
      </c>
      <c r="C5685" t="s">
        <v>75</v>
      </c>
      <c r="D5685">
        <v>2.7397260273972599E-3</v>
      </c>
    </row>
    <row r="5686" spans="1:4" hidden="1" x14ac:dyDescent="0.3">
      <c r="A5686">
        <v>5684</v>
      </c>
      <c r="B5686" t="s">
        <v>76</v>
      </c>
      <c r="C5686" t="s">
        <v>77</v>
      </c>
      <c r="D5686">
        <v>0</v>
      </c>
    </row>
    <row r="5687" spans="1:4" hidden="1" x14ac:dyDescent="0.3">
      <c r="A5687">
        <v>5685</v>
      </c>
      <c r="B5687" t="s">
        <v>650</v>
      </c>
      <c r="C5687" t="s">
        <v>79</v>
      </c>
      <c r="D5687" s="2">
        <v>2.2204460492503101E-16</v>
      </c>
    </row>
    <row r="5688" spans="1:4" hidden="1" x14ac:dyDescent="0.3">
      <c r="A5688">
        <v>5686</v>
      </c>
      <c r="B5688" s="1" t="s">
        <v>7459</v>
      </c>
      <c r="C5688" t="s">
        <v>81</v>
      </c>
      <c r="D5688" s="1" t="s">
        <v>7460</v>
      </c>
    </row>
    <row r="5689" spans="1:4" hidden="1" x14ac:dyDescent="0.3">
      <c r="A5689">
        <v>5687</v>
      </c>
      <c r="B5689" t="s">
        <v>7461</v>
      </c>
      <c r="C5689" t="s">
        <v>84</v>
      </c>
      <c r="D5689">
        <v>1.0001446318387299</v>
      </c>
    </row>
    <row r="5690" spans="1:4" hidden="1" x14ac:dyDescent="0.3">
      <c r="A5690">
        <v>5688</v>
      </c>
      <c r="B5690" s="1" t="s">
        <v>7462</v>
      </c>
      <c r="C5690" t="s">
        <v>86</v>
      </c>
      <c r="D5690" s="1" t="s">
        <v>7463</v>
      </c>
    </row>
    <row r="5691" spans="1:4" hidden="1" x14ac:dyDescent="0.3">
      <c r="A5691">
        <v>5689</v>
      </c>
      <c r="B5691" t="s">
        <v>7464</v>
      </c>
      <c r="C5691" t="s">
        <v>89</v>
      </c>
      <c r="D5691">
        <v>101175146.336005</v>
      </c>
    </row>
    <row r="5692" spans="1:4" hidden="1" x14ac:dyDescent="0.3">
      <c r="A5692">
        <v>5690</v>
      </c>
      <c r="B5692" s="1" t="s">
        <v>7465</v>
      </c>
      <c r="C5692" t="s">
        <v>91</v>
      </c>
      <c r="D5692" s="1" t="s">
        <v>7400</v>
      </c>
    </row>
    <row r="5693" spans="1:4" hidden="1" x14ac:dyDescent="0.3">
      <c r="A5693">
        <v>5691</v>
      </c>
      <c r="B5693" t="s">
        <v>7466</v>
      </c>
      <c r="C5693" t="s">
        <v>94</v>
      </c>
      <c r="D5693">
        <v>77286291.693801001</v>
      </c>
    </row>
    <row r="5694" spans="1:4" hidden="1" x14ac:dyDescent="0.3">
      <c r="A5694">
        <v>5692</v>
      </c>
      <c r="B5694" t="s">
        <v>7467</v>
      </c>
      <c r="C5694" t="s">
        <v>96</v>
      </c>
      <c r="D5694">
        <v>39632760.986730002</v>
      </c>
    </row>
    <row r="5695" spans="1:4" hidden="1" x14ac:dyDescent="0.3">
      <c r="A5695">
        <v>5693</v>
      </c>
      <c r="B5695" t="s">
        <v>7468</v>
      </c>
      <c r="C5695" t="s">
        <v>98</v>
      </c>
      <c r="D5695">
        <v>27965438.878740299</v>
      </c>
    </row>
    <row r="5696" spans="1:4" hidden="1" x14ac:dyDescent="0.3">
      <c r="A5696">
        <v>5694</v>
      </c>
      <c r="B5696" s="1" t="s">
        <v>7469</v>
      </c>
      <c r="C5696" t="s">
        <v>100</v>
      </c>
      <c r="D5696" s="1" t="s">
        <v>7470</v>
      </c>
    </row>
    <row r="5697" spans="1:4" hidden="1" x14ac:dyDescent="0.3">
      <c r="A5697">
        <v>5695</v>
      </c>
      <c r="B5697" t="s">
        <v>7471</v>
      </c>
      <c r="C5697" t="s">
        <v>103</v>
      </c>
      <c r="D5697">
        <v>8.1045504754295901E-3</v>
      </c>
    </row>
    <row r="5698" spans="1:4" hidden="1" x14ac:dyDescent="0.3">
      <c r="A5698">
        <v>5696</v>
      </c>
      <c r="B5698" t="s">
        <v>7472</v>
      </c>
      <c r="C5698" t="s">
        <v>105</v>
      </c>
      <c r="D5698">
        <v>1.27495078424492E-3</v>
      </c>
    </row>
    <row r="5699" spans="1:4" hidden="1" x14ac:dyDescent="0.3">
      <c r="A5699">
        <v>5697</v>
      </c>
      <c r="B5699" t="s">
        <v>7473</v>
      </c>
      <c r="C5699" t="s">
        <v>107</v>
      </c>
      <c r="D5699">
        <v>9.48448956920552E-3</v>
      </c>
    </row>
    <row r="5700" spans="1:4" hidden="1" x14ac:dyDescent="0.3">
      <c r="A5700">
        <v>5698</v>
      </c>
      <c r="B5700" s="1" t="s">
        <v>7474</v>
      </c>
      <c r="C5700" t="s">
        <v>109</v>
      </c>
      <c r="D5700" s="1" t="s">
        <v>7475</v>
      </c>
    </row>
    <row r="5701" spans="1:4" x14ac:dyDescent="0.3">
      <c r="A5701">
        <v>5699</v>
      </c>
      <c r="B5701" t="s">
        <v>7476</v>
      </c>
      <c r="C5701" t="s">
        <v>207</v>
      </c>
      <c r="D5701">
        <v>144884874.73483399</v>
      </c>
    </row>
    <row r="5702" spans="1:4" hidden="1" x14ac:dyDescent="0.3">
      <c r="A5702">
        <v>5700</v>
      </c>
      <c r="B5702" t="s">
        <v>7477</v>
      </c>
      <c r="C5702" t="s">
        <v>209</v>
      </c>
      <c r="D5702">
        <v>-844.16142044792196</v>
      </c>
    </row>
    <row r="5703" spans="1:4" hidden="1" x14ac:dyDescent="0.3">
      <c r="A5703">
        <v>5701</v>
      </c>
      <c r="B5703" t="s">
        <v>7478</v>
      </c>
      <c r="C5703" t="s">
        <v>211</v>
      </c>
      <c r="D5703">
        <v>-432.88920256512699</v>
      </c>
    </row>
    <row r="5704" spans="1:4" hidden="1" x14ac:dyDescent="0.3">
      <c r="A5704">
        <v>5702</v>
      </c>
      <c r="B5704" s="1" t="s">
        <v>7479</v>
      </c>
      <c r="C5704" t="s">
        <v>213</v>
      </c>
      <c r="D5704" s="1" t="s">
        <v>7480</v>
      </c>
    </row>
    <row r="5705" spans="1:4" hidden="1" x14ac:dyDescent="0.3">
      <c r="A5705">
        <v>5703</v>
      </c>
      <c r="B5705" t="s">
        <v>7481</v>
      </c>
      <c r="C5705" t="s">
        <v>216</v>
      </c>
      <c r="D5705">
        <v>77287398.4886906</v>
      </c>
    </row>
    <row r="5706" spans="1:4" hidden="1" x14ac:dyDescent="0.3">
      <c r="A5706">
        <v>5704</v>
      </c>
      <c r="B5706" t="s">
        <v>7482</v>
      </c>
      <c r="C5706" t="s">
        <v>218</v>
      </c>
      <c r="D5706">
        <v>39633273.316790298</v>
      </c>
    </row>
    <row r="5707" spans="1:4" hidden="1" x14ac:dyDescent="0.3">
      <c r="A5707">
        <v>5705</v>
      </c>
      <c r="B5707" t="s">
        <v>7483</v>
      </c>
      <c r="C5707" t="s">
        <v>220</v>
      </c>
      <c r="D5707">
        <v>27965785.432581</v>
      </c>
    </row>
    <row r="5708" spans="1:4" hidden="1" x14ac:dyDescent="0.3">
      <c r="A5708">
        <v>5706</v>
      </c>
      <c r="B5708" s="1" t="s">
        <v>7484</v>
      </c>
      <c r="C5708" t="s">
        <v>222</v>
      </c>
      <c r="D5708" s="1" t="s">
        <v>7485</v>
      </c>
    </row>
    <row r="5709" spans="1:4" hidden="1" x14ac:dyDescent="0.3">
      <c r="A5709">
        <v>5707</v>
      </c>
      <c r="B5709" t="s">
        <v>7486</v>
      </c>
      <c r="C5709" t="s">
        <v>225</v>
      </c>
      <c r="D5709">
        <v>101176251.42027199</v>
      </c>
    </row>
    <row r="5710" spans="1:4" hidden="1" x14ac:dyDescent="0.3">
      <c r="A5710">
        <v>5708</v>
      </c>
      <c r="B5710" t="s">
        <v>7487</v>
      </c>
      <c r="C5710" t="s">
        <v>227</v>
      </c>
      <c r="D5710">
        <v>-1105.08426709473</v>
      </c>
    </row>
    <row r="5711" spans="1:4" hidden="1" x14ac:dyDescent="0.3">
      <c r="A5711">
        <v>5709</v>
      </c>
      <c r="B5711" s="1" t="s">
        <v>7488</v>
      </c>
      <c r="C5711" t="s">
        <v>229</v>
      </c>
      <c r="D5711" s="1" t="s">
        <v>7489</v>
      </c>
    </row>
    <row r="5712" spans="1:4" hidden="1" x14ac:dyDescent="0.3">
      <c r="A5712">
        <v>5710</v>
      </c>
      <c r="B5712" t="s">
        <v>7490</v>
      </c>
      <c r="C5712" t="s">
        <v>112</v>
      </c>
      <c r="D5712">
        <v>262.63346911928699</v>
      </c>
    </row>
    <row r="5713" spans="1:4" hidden="1" x14ac:dyDescent="0.3">
      <c r="A5713">
        <v>5711</v>
      </c>
      <c r="B5713" t="s">
        <v>7491</v>
      </c>
      <c r="C5713" t="s">
        <v>114</v>
      </c>
      <c r="D5713">
        <v>79.440857786671998</v>
      </c>
    </row>
    <row r="5714" spans="1:4" hidden="1" x14ac:dyDescent="0.3">
      <c r="A5714">
        <v>5712</v>
      </c>
      <c r="B5714" s="1" t="s">
        <v>7492</v>
      </c>
      <c r="C5714" t="s">
        <v>116</v>
      </c>
      <c r="D5714" s="1" t="s">
        <v>7493</v>
      </c>
    </row>
    <row r="5715" spans="1:4" hidden="1" x14ac:dyDescent="0.3">
      <c r="A5715">
        <v>5713</v>
      </c>
      <c r="B5715" t="s">
        <v>7494</v>
      </c>
      <c r="C5715" t="s">
        <v>119</v>
      </c>
      <c r="D5715">
        <v>77287398.4886906</v>
      </c>
    </row>
    <row r="5716" spans="1:4" hidden="1" x14ac:dyDescent="0.3">
      <c r="A5716">
        <v>5714</v>
      </c>
      <c r="B5716" t="s">
        <v>7495</v>
      </c>
      <c r="C5716" t="s">
        <v>121</v>
      </c>
      <c r="D5716">
        <v>39633273.316790298</v>
      </c>
    </row>
    <row r="5717" spans="1:4" hidden="1" x14ac:dyDescent="0.3">
      <c r="A5717">
        <v>5715</v>
      </c>
      <c r="B5717" s="1" t="s">
        <v>7496</v>
      </c>
      <c r="C5717" t="s">
        <v>123</v>
      </c>
      <c r="D5717" s="1" t="s">
        <v>7497</v>
      </c>
    </row>
    <row r="5718" spans="1:4" hidden="1" x14ac:dyDescent="0.3">
      <c r="A5718">
        <v>5716</v>
      </c>
      <c r="B5718" t="s">
        <v>7498</v>
      </c>
      <c r="C5718" t="s">
        <v>126</v>
      </c>
      <c r="D5718">
        <v>0.76377826616281896</v>
      </c>
    </row>
    <row r="5719" spans="1:4" hidden="1" x14ac:dyDescent="0.3">
      <c r="A5719">
        <v>5717</v>
      </c>
      <c r="B5719" t="s">
        <v>7499</v>
      </c>
      <c r="C5719" t="s">
        <v>128</v>
      </c>
      <c r="D5719">
        <v>0.39166841384478401</v>
      </c>
    </row>
    <row r="5720" spans="1:4" hidden="1" x14ac:dyDescent="0.3">
      <c r="A5720">
        <v>5718</v>
      </c>
      <c r="B5720" s="1" t="s">
        <v>7500</v>
      </c>
      <c r="C5720" t="s">
        <v>130</v>
      </c>
      <c r="D5720" s="1" t="s">
        <v>7501</v>
      </c>
    </row>
    <row r="5721" spans="1:4" hidden="1" x14ac:dyDescent="0.3">
      <c r="A5721">
        <v>5719</v>
      </c>
      <c r="B5721" s="1" t="s">
        <v>7502</v>
      </c>
      <c r="C5721" t="s">
        <v>4</v>
      </c>
      <c r="D5721" t="s">
        <v>7503</v>
      </c>
    </row>
    <row r="5722" spans="1:4" hidden="1" x14ac:dyDescent="0.3">
      <c r="A5722">
        <v>5720</v>
      </c>
      <c r="B5722" t="s">
        <v>7504</v>
      </c>
      <c r="C5722" t="s">
        <v>7</v>
      </c>
      <c r="D5722">
        <v>1787.58</v>
      </c>
    </row>
    <row r="5723" spans="1:4" hidden="1" x14ac:dyDescent="0.3">
      <c r="A5723">
        <v>5721</v>
      </c>
      <c r="B5723" s="1" t="s">
        <v>7505</v>
      </c>
      <c r="C5723" t="s">
        <v>9</v>
      </c>
      <c r="D5723" s="1" t="s">
        <v>7506</v>
      </c>
    </row>
    <row r="5724" spans="1:4" hidden="1" x14ac:dyDescent="0.3">
      <c r="A5724">
        <v>5722</v>
      </c>
      <c r="B5724" t="s">
        <v>7507</v>
      </c>
      <c r="C5724" t="s">
        <v>14</v>
      </c>
      <c r="D5724">
        <v>98.56640625</v>
      </c>
    </row>
    <row r="5725" spans="1:4" hidden="1" x14ac:dyDescent="0.3">
      <c r="A5725">
        <v>5723</v>
      </c>
      <c r="B5725" t="s">
        <v>7508</v>
      </c>
      <c r="C5725" t="s">
        <v>16</v>
      </c>
      <c r="D5725">
        <v>4.39275452974623</v>
      </c>
    </row>
    <row r="5726" spans="1:4" hidden="1" x14ac:dyDescent="0.3">
      <c r="A5726">
        <v>5724</v>
      </c>
      <c r="B5726" s="1" t="s">
        <v>7509</v>
      </c>
      <c r="C5726" t="s">
        <v>140</v>
      </c>
      <c r="D5726" s="1" t="s">
        <v>7510</v>
      </c>
    </row>
    <row r="5727" spans="1:4" hidden="1" x14ac:dyDescent="0.3">
      <c r="A5727">
        <v>5725</v>
      </c>
      <c r="B5727" t="s">
        <v>7511</v>
      </c>
      <c r="C5727" t="s">
        <v>22</v>
      </c>
      <c r="D5727">
        <v>70.05</v>
      </c>
    </row>
    <row r="5728" spans="1:4" hidden="1" x14ac:dyDescent="0.3">
      <c r="A5728">
        <v>5726</v>
      </c>
      <c r="B5728" t="s">
        <v>7512</v>
      </c>
      <c r="C5728" t="s">
        <v>24</v>
      </c>
      <c r="D5728">
        <v>6.72401365739473</v>
      </c>
    </row>
    <row r="5729" spans="1:4" hidden="1" x14ac:dyDescent="0.3">
      <c r="A5729">
        <v>5727</v>
      </c>
      <c r="B5729" s="1" t="s">
        <v>7513</v>
      </c>
      <c r="C5729" t="s">
        <v>145</v>
      </c>
      <c r="D5729" s="1" t="s">
        <v>7514</v>
      </c>
    </row>
    <row r="5730" spans="1:4" hidden="1" x14ac:dyDescent="0.3">
      <c r="A5730">
        <v>5728</v>
      </c>
      <c r="B5730" t="s">
        <v>7515</v>
      </c>
      <c r="C5730" t="s">
        <v>35</v>
      </c>
      <c r="D5730">
        <v>-0.25065299378672501</v>
      </c>
    </row>
    <row r="5731" spans="1:4" hidden="1" x14ac:dyDescent="0.3">
      <c r="A5731">
        <v>5729</v>
      </c>
      <c r="B5731" t="s">
        <v>7516</v>
      </c>
      <c r="C5731" t="s">
        <v>149</v>
      </c>
      <c r="D5731">
        <v>0.75363563551120305</v>
      </c>
    </row>
    <row r="5732" spans="1:4" hidden="1" x14ac:dyDescent="0.3">
      <c r="A5732">
        <v>5730</v>
      </c>
      <c r="B5732" s="1" t="s">
        <v>7517</v>
      </c>
      <c r="C5732" t="s">
        <v>151</v>
      </c>
      <c r="D5732" s="1" t="s">
        <v>7518</v>
      </c>
    </row>
    <row r="5733" spans="1:4" hidden="1" x14ac:dyDescent="0.3">
      <c r="A5733">
        <v>5731</v>
      </c>
      <c r="B5733" t="s">
        <v>7519</v>
      </c>
      <c r="C5733" t="s">
        <v>30</v>
      </c>
      <c r="D5733">
        <v>0.47879061286106001</v>
      </c>
    </row>
    <row r="5734" spans="1:4" hidden="1" x14ac:dyDescent="0.3">
      <c r="A5734">
        <v>5732</v>
      </c>
      <c r="B5734" t="s">
        <v>7520</v>
      </c>
      <c r="C5734" t="s">
        <v>32</v>
      </c>
      <c r="D5734">
        <v>0.17447897692880099</v>
      </c>
    </row>
    <row r="5735" spans="1:4" hidden="1" x14ac:dyDescent="0.3">
      <c r="A5735">
        <v>5733</v>
      </c>
      <c r="B5735" s="1" t="s">
        <v>7521</v>
      </c>
      <c r="C5735" t="s">
        <v>155</v>
      </c>
      <c r="D5735" s="1" t="s">
        <v>7522</v>
      </c>
    </row>
    <row r="5736" spans="1:4" hidden="1" x14ac:dyDescent="0.3">
      <c r="A5736">
        <v>5734</v>
      </c>
      <c r="B5736" t="s">
        <v>7523</v>
      </c>
      <c r="C5736" t="s">
        <v>40</v>
      </c>
      <c r="D5736">
        <v>0.77186238092566395</v>
      </c>
    </row>
    <row r="5737" spans="1:4" hidden="1" x14ac:dyDescent="0.3">
      <c r="A5737">
        <v>5735</v>
      </c>
      <c r="B5737" t="s">
        <v>7524</v>
      </c>
      <c r="C5737" t="s">
        <v>42</v>
      </c>
      <c r="D5737">
        <v>0.15242218442841399</v>
      </c>
    </row>
    <row r="5738" spans="1:4" hidden="1" x14ac:dyDescent="0.3">
      <c r="A5738">
        <v>5736</v>
      </c>
      <c r="B5738" s="1" t="s">
        <v>7525</v>
      </c>
      <c r="C5738" t="s">
        <v>159</v>
      </c>
      <c r="D5738" s="1" t="s">
        <v>7526</v>
      </c>
    </row>
    <row r="5739" spans="1:4" hidden="1" x14ac:dyDescent="0.3">
      <c r="A5739">
        <v>5737</v>
      </c>
      <c r="B5739" t="s">
        <v>7527</v>
      </c>
      <c r="C5739" t="s">
        <v>161</v>
      </c>
      <c r="D5739">
        <v>0.99609936586833603</v>
      </c>
    </row>
    <row r="5740" spans="1:4" hidden="1" x14ac:dyDescent="0.3">
      <c r="A5740">
        <v>5738</v>
      </c>
      <c r="B5740" t="s">
        <v>7528</v>
      </c>
      <c r="C5740" t="s">
        <v>163</v>
      </c>
      <c r="D5740">
        <v>0.99901486949431095</v>
      </c>
    </row>
    <row r="5741" spans="1:4" hidden="1" x14ac:dyDescent="0.3">
      <c r="A5741">
        <v>5739</v>
      </c>
      <c r="B5741" s="1" t="s">
        <v>7529</v>
      </c>
      <c r="C5741" t="s">
        <v>165</v>
      </c>
      <c r="D5741" s="1" t="s">
        <v>7530</v>
      </c>
    </row>
    <row r="5742" spans="1:4" hidden="1" x14ac:dyDescent="0.3">
      <c r="A5742">
        <v>5740</v>
      </c>
      <c r="B5742" t="s">
        <v>7531</v>
      </c>
      <c r="C5742" t="s">
        <v>168</v>
      </c>
      <c r="D5742">
        <v>0.99944074377478798</v>
      </c>
    </row>
    <row r="5743" spans="1:4" hidden="1" x14ac:dyDescent="0.3">
      <c r="A5743">
        <v>5741</v>
      </c>
      <c r="B5743" t="s">
        <v>7532</v>
      </c>
      <c r="C5743" t="s">
        <v>170</v>
      </c>
      <c r="D5743">
        <v>1.00060744712915</v>
      </c>
    </row>
    <row r="5744" spans="1:4" hidden="1" x14ac:dyDescent="0.3">
      <c r="A5744">
        <v>5742</v>
      </c>
      <c r="B5744" s="1" t="s">
        <v>7533</v>
      </c>
      <c r="C5744" t="s">
        <v>172</v>
      </c>
      <c r="D5744" s="1" t="s">
        <v>7534</v>
      </c>
    </row>
    <row r="5745" spans="1:4" hidden="1" x14ac:dyDescent="0.3">
      <c r="A5745">
        <v>5743</v>
      </c>
      <c r="B5745" s="1" t="s">
        <v>7535</v>
      </c>
      <c r="C5745" t="s">
        <v>55</v>
      </c>
      <c r="D5745" s="1" t="s">
        <v>7536</v>
      </c>
    </row>
    <row r="5746" spans="1:4" hidden="1" x14ac:dyDescent="0.3">
      <c r="A5746">
        <v>5744</v>
      </c>
      <c r="B5746" s="1" t="s">
        <v>7537</v>
      </c>
      <c r="C5746" t="s">
        <v>52</v>
      </c>
      <c r="D5746" s="1" t="s">
        <v>7538</v>
      </c>
    </row>
    <row r="5747" spans="1:4" hidden="1" x14ac:dyDescent="0.3">
      <c r="A5747">
        <v>5745</v>
      </c>
      <c r="B5747" s="1" t="s">
        <v>7539</v>
      </c>
      <c r="C5747" t="s">
        <v>58</v>
      </c>
      <c r="D5747" s="1" t="s">
        <v>7540</v>
      </c>
    </row>
    <row r="5748" spans="1:4" hidden="1" x14ac:dyDescent="0.3">
      <c r="A5748">
        <v>5746</v>
      </c>
      <c r="B5748" t="s">
        <v>7541</v>
      </c>
      <c r="C5748" t="s">
        <v>61</v>
      </c>
      <c r="D5748">
        <v>144587577.98499</v>
      </c>
    </row>
    <row r="5749" spans="1:4" hidden="1" x14ac:dyDescent="0.3">
      <c r="A5749">
        <v>5747</v>
      </c>
      <c r="B5749" t="s">
        <v>7542</v>
      </c>
      <c r="C5749" t="s">
        <v>63</v>
      </c>
      <c r="D5749">
        <v>76985928.624198198</v>
      </c>
    </row>
    <row r="5750" spans="1:4" hidden="1" x14ac:dyDescent="0.3">
      <c r="A5750">
        <v>5748</v>
      </c>
      <c r="B5750" t="s">
        <v>7543</v>
      </c>
      <c r="C5750" t="s">
        <v>65</v>
      </c>
      <c r="D5750">
        <v>39594229.3702057</v>
      </c>
    </row>
    <row r="5751" spans="1:4" hidden="1" x14ac:dyDescent="0.3">
      <c r="A5751">
        <v>5749</v>
      </c>
      <c r="B5751" s="1" t="s">
        <v>7544</v>
      </c>
      <c r="C5751" t="s">
        <v>67</v>
      </c>
      <c r="D5751" s="1" t="s">
        <v>7545</v>
      </c>
    </row>
    <row r="5752" spans="1:4" hidden="1" x14ac:dyDescent="0.3">
      <c r="A5752">
        <v>5750</v>
      </c>
      <c r="B5752" s="1" t="s">
        <v>7546</v>
      </c>
      <c r="C5752" t="s">
        <v>70</v>
      </c>
      <c r="D5752" s="1" t="s">
        <v>7547</v>
      </c>
    </row>
    <row r="5753" spans="1:4" hidden="1" x14ac:dyDescent="0.3">
      <c r="A5753">
        <v>5751</v>
      </c>
      <c r="B5753" t="s">
        <v>7548</v>
      </c>
      <c r="C5753" t="s">
        <v>73</v>
      </c>
      <c r="D5753">
        <v>1.0001446318387299</v>
      </c>
    </row>
    <row r="5754" spans="1:4" hidden="1" x14ac:dyDescent="0.3">
      <c r="A5754">
        <v>5752</v>
      </c>
      <c r="B5754" t="s">
        <v>74</v>
      </c>
      <c r="C5754" t="s">
        <v>75</v>
      </c>
      <c r="D5754">
        <v>2.7397260273972599E-3</v>
      </c>
    </row>
    <row r="5755" spans="1:4" hidden="1" x14ac:dyDescent="0.3">
      <c r="A5755">
        <v>5753</v>
      </c>
      <c r="B5755" t="s">
        <v>76</v>
      </c>
      <c r="C5755" t="s">
        <v>77</v>
      </c>
      <c r="D5755">
        <v>0</v>
      </c>
    </row>
    <row r="5756" spans="1:4" hidden="1" x14ac:dyDescent="0.3">
      <c r="A5756">
        <v>5754</v>
      </c>
      <c r="B5756" t="s">
        <v>78</v>
      </c>
      <c r="C5756" t="s">
        <v>79</v>
      </c>
      <c r="D5756">
        <v>0</v>
      </c>
    </row>
    <row r="5757" spans="1:4" hidden="1" x14ac:dyDescent="0.3">
      <c r="A5757">
        <v>5755</v>
      </c>
      <c r="B5757" s="1" t="s">
        <v>7549</v>
      </c>
      <c r="C5757" t="s">
        <v>81</v>
      </c>
      <c r="D5757" s="1" t="s">
        <v>7550</v>
      </c>
    </row>
    <row r="5758" spans="1:4" hidden="1" x14ac:dyDescent="0.3">
      <c r="A5758">
        <v>5756</v>
      </c>
      <c r="B5758" t="s">
        <v>7551</v>
      </c>
      <c r="C5758" t="s">
        <v>84</v>
      </c>
      <c r="D5758">
        <v>1.00015137679155</v>
      </c>
    </row>
    <row r="5759" spans="1:4" hidden="1" x14ac:dyDescent="0.3">
      <c r="A5759">
        <v>5757</v>
      </c>
      <c r="B5759" s="1" t="s">
        <v>7552</v>
      </c>
      <c r="C5759" t="s">
        <v>86</v>
      </c>
      <c r="D5759" s="1" t="s">
        <v>7553</v>
      </c>
    </row>
    <row r="5760" spans="1:4" hidden="1" x14ac:dyDescent="0.3">
      <c r="A5760">
        <v>5758</v>
      </c>
      <c r="B5760" t="s">
        <v>7554</v>
      </c>
      <c r="C5760" t="s">
        <v>89</v>
      </c>
      <c r="D5760">
        <v>101174464.017703</v>
      </c>
    </row>
    <row r="5761" spans="1:4" hidden="1" x14ac:dyDescent="0.3">
      <c r="A5761">
        <v>5759</v>
      </c>
      <c r="B5761" s="1" t="s">
        <v>7555</v>
      </c>
      <c r="C5761" t="s">
        <v>91</v>
      </c>
      <c r="D5761" s="1" t="s">
        <v>7489</v>
      </c>
    </row>
    <row r="5762" spans="1:4" hidden="1" x14ac:dyDescent="0.3">
      <c r="A5762">
        <v>5760</v>
      </c>
      <c r="B5762" t="s">
        <v>7556</v>
      </c>
      <c r="C5762" t="s">
        <v>94</v>
      </c>
      <c r="D5762">
        <v>76985928.624198198</v>
      </c>
    </row>
    <row r="5763" spans="1:4" hidden="1" x14ac:dyDescent="0.3">
      <c r="A5763">
        <v>5761</v>
      </c>
      <c r="B5763" t="s">
        <v>7557</v>
      </c>
      <c r="C5763" t="s">
        <v>96</v>
      </c>
      <c r="D5763">
        <v>39594229.3702057</v>
      </c>
    </row>
    <row r="5764" spans="1:4" hidden="1" x14ac:dyDescent="0.3">
      <c r="A5764">
        <v>5762</v>
      </c>
      <c r="B5764" t="s">
        <v>7558</v>
      </c>
      <c r="C5764" t="s">
        <v>98</v>
      </c>
      <c r="D5764">
        <v>28007419.990586299</v>
      </c>
    </row>
    <row r="5765" spans="1:4" hidden="1" x14ac:dyDescent="0.3">
      <c r="A5765">
        <v>5763</v>
      </c>
      <c r="B5765" s="1" t="s">
        <v>7559</v>
      </c>
      <c r="C5765" t="s">
        <v>100</v>
      </c>
      <c r="D5765" s="1" t="s">
        <v>7560</v>
      </c>
    </row>
    <row r="5766" spans="1:4" hidden="1" x14ac:dyDescent="0.3">
      <c r="A5766">
        <v>5764</v>
      </c>
      <c r="B5766" t="s">
        <v>7561</v>
      </c>
      <c r="C5766" t="s">
        <v>103</v>
      </c>
      <c r="D5766">
        <v>8.0789792655820303E-3</v>
      </c>
    </row>
    <row r="5767" spans="1:4" hidden="1" x14ac:dyDescent="0.3">
      <c r="A5767">
        <v>5765</v>
      </c>
      <c r="B5767" t="s">
        <v>7562</v>
      </c>
      <c r="C5767" t="s">
        <v>105</v>
      </c>
      <c r="D5767">
        <v>1.27795137399292E-3</v>
      </c>
    </row>
    <row r="5768" spans="1:4" hidden="1" x14ac:dyDescent="0.3">
      <c r="A5768">
        <v>5766</v>
      </c>
      <c r="B5768" t="s">
        <v>7563</v>
      </c>
      <c r="C5768" t="s">
        <v>107</v>
      </c>
      <c r="D5768">
        <v>9.4483937256270804E-3</v>
      </c>
    </row>
    <row r="5769" spans="1:4" hidden="1" x14ac:dyDescent="0.3">
      <c r="A5769">
        <v>5767</v>
      </c>
      <c r="B5769" s="1" t="s">
        <v>7564</v>
      </c>
      <c r="C5769" t="s">
        <v>109</v>
      </c>
      <c r="D5769" s="1" t="s">
        <v>7565</v>
      </c>
    </row>
    <row r="5770" spans="1:4" x14ac:dyDescent="0.3">
      <c r="A5770">
        <v>5768</v>
      </c>
      <c r="B5770" t="s">
        <v>7566</v>
      </c>
      <c r="C5770" t="s">
        <v>207</v>
      </c>
      <c r="D5770">
        <v>144587814.66840401</v>
      </c>
    </row>
    <row r="5771" spans="1:4" hidden="1" x14ac:dyDescent="0.3">
      <c r="A5771">
        <v>5769</v>
      </c>
      <c r="B5771" t="s">
        <v>7567</v>
      </c>
      <c r="C5771" t="s">
        <v>209</v>
      </c>
      <c r="D5771">
        <v>-519.19259022667404</v>
      </c>
    </row>
    <row r="5772" spans="1:4" hidden="1" x14ac:dyDescent="0.3">
      <c r="A5772">
        <v>5770</v>
      </c>
      <c r="B5772" t="s">
        <v>7568</v>
      </c>
      <c r="C5772" t="s">
        <v>211</v>
      </c>
      <c r="D5772">
        <v>-267.022842817308</v>
      </c>
    </row>
    <row r="5773" spans="1:4" hidden="1" x14ac:dyDescent="0.3">
      <c r="A5773">
        <v>5771</v>
      </c>
      <c r="B5773" s="1" t="s">
        <v>7569</v>
      </c>
      <c r="C5773" t="s">
        <v>213</v>
      </c>
      <c r="D5773" s="1" t="s">
        <v>7570</v>
      </c>
    </row>
    <row r="5774" spans="1:4" hidden="1" x14ac:dyDescent="0.3">
      <c r="A5774">
        <v>5772</v>
      </c>
      <c r="B5774" t="s">
        <v>7571</v>
      </c>
      <c r="C5774" t="s">
        <v>216</v>
      </c>
      <c r="D5774">
        <v>76986629.493894294</v>
      </c>
    </row>
    <row r="5775" spans="1:4" hidden="1" x14ac:dyDescent="0.3">
      <c r="A5775">
        <v>5773</v>
      </c>
      <c r="B5775" t="s">
        <v>7572</v>
      </c>
      <c r="C5775" t="s">
        <v>218</v>
      </c>
      <c r="D5775">
        <v>39594534.000201002</v>
      </c>
    </row>
    <row r="5776" spans="1:4" hidden="1" x14ac:dyDescent="0.3">
      <c r="A5776">
        <v>5774</v>
      </c>
      <c r="B5776" t="s">
        <v>7573</v>
      </c>
      <c r="C5776" t="s">
        <v>220</v>
      </c>
      <c r="D5776">
        <v>28007626.2712676</v>
      </c>
    </row>
    <row r="5777" spans="1:4" hidden="1" x14ac:dyDescent="0.3">
      <c r="A5777">
        <v>5775</v>
      </c>
      <c r="B5777" s="1" t="s">
        <v>7574</v>
      </c>
      <c r="C5777" t="s">
        <v>222</v>
      </c>
      <c r="D5777" s="1" t="s">
        <v>7575</v>
      </c>
    </row>
    <row r="5778" spans="1:4" hidden="1" x14ac:dyDescent="0.3">
      <c r="A5778">
        <v>5776</v>
      </c>
      <c r="B5778" t="s">
        <v>7576</v>
      </c>
      <c r="C5778" t="s">
        <v>225</v>
      </c>
      <c r="D5778">
        <v>101175146.336005</v>
      </c>
    </row>
    <row r="5779" spans="1:4" hidden="1" x14ac:dyDescent="0.3">
      <c r="A5779">
        <v>5777</v>
      </c>
      <c r="B5779" t="s">
        <v>7577</v>
      </c>
      <c r="C5779" t="s">
        <v>227</v>
      </c>
      <c r="D5779">
        <v>-682.31830173730805</v>
      </c>
    </row>
    <row r="5780" spans="1:4" hidden="1" x14ac:dyDescent="0.3">
      <c r="A5780">
        <v>5778</v>
      </c>
      <c r="B5780" s="1" t="s">
        <v>7578</v>
      </c>
      <c r="C5780" t="s">
        <v>229</v>
      </c>
      <c r="D5780" s="1" t="s">
        <v>7579</v>
      </c>
    </row>
    <row r="5781" spans="1:4" hidden="1" x14ac:dyDescent="0.3">
      <c r="A5781">
        <v>5779</v>
      </c>
      <c r="B5781" t="s">
        <v>7580</v>
      </c>
      <c r="C5781" t="s">
        <v>112</v>
      </c>
      <c r="D5781">
        <v>181.67710587950299</v>
      </c>
    </row>
    <row r="5782" spans="1:4" hidden="1" x14ac:dyDescent="0.3">
      <c r="A5782">
        <v>5780</v>
      </c>
      <c r="B5782" t="s">
        <v>7581</v>
      </c>
      <c r="C5782" t="s">
        <v>114</v>
      </c>
      <c r="D5782">
        <v>37.607152499756097</v>
      </c>
    </row>
    <row r="5783" spans="1:4" hidden="1" x14ac:dyDescent="0.3">
      <c r="A5783">
        <v>5781</v>
      </c>
      <c r="B5783" s="1" t="s">
        <v>7582</v>
      </c>
      <c r="C5783" t="s">
        <v>116</v>
      </c>
      <c r="D5783" s="1" t="s">
        <v>7583</v>
      </c>
    </row>
    <row r="5784" spans="1:4" hidden="1" x14ac:dyDescent="0.3">
      <c r="A5784">
        <v>5782</v>
      </c>
      <c r="B5784" t="s">
        <v>7584</v>
      </c>
      <c r="C5784" t="s">
        <v>119</v>
      </c>
      <c r="D5784">
        <v>76986629.493894294</v>
      </c>
    </row>
    <row r="5785" spans="1:4" hidden="1" x14ac:dyDescent="0.3">
      <c r="A5785">
        <v>5783</v>
      </c>
      <c r="B5785" t="s">
        <v>7585</v>
      </c>
      <c r="C5785" t="s">
        <v>121</v>
      </c>
      <c r="D5785">
        <v>39594534.000201002</v>
      </c>
    </row>
    <row r="5786" spans="1:4" hidden="1" x14ac:dyDescent="0.3">
      <c r="A5786">
        <v>5784</v>
      </c>
      <c r="B5786" s="1" t="s">
        <v>7586</v>
      </c>
      <c r="C5786" t="s">
        <v>123</v>
      </c>
      <c r="D5786" s="1" t="s">
        <v>7587</v>
      </c>
    </row>
    <row r="5787" spans="1:4" hidden="1" x14ac:dyDescent="0.3">
      <c r="A5787">
        <v>5785</v>
      </c>
      <c r="B5787" t="s">
        <v>7588</v>
      </c>
      <c r="C5787" t="s">
        <v>126</v>
      </c>
      <c r="D5787">
        <v>0.76080915181649</v>
      </c>
    </row>
    <row r="5788" spans="1:4" hidden="1" x14ac:dyDescent="0.3">
      <c r="A5788">
        <v>5786</v>
      </c>
      <c r="B5788" t="s">
        <v>7589</v>
      </c>
      <c r="C5788" t="s">
        <v>128</v>
      </c>
      <c r="D5788">
        <v>0.39128721477086098</v>
      </c>
    </row>
    <row r="5789" spans="1:4" hidden="1" x14ac:dyDescent="0.3">
      <c r="A5789">
        <v>5787</v>
      </c>
      <c r="B5789" s="1" t="s">
        <v>7590</v>
      </c>
      <c r="C5789" t="s">
        <v>130</v>
      </c>
      <c r="D5789" s="1" t="s">
        <v>7591</v>
      </c>
    </row>
    <row r="5790" spans="1:4" hidden="1" x14ac:dyDescent="0.3">
      <c r="A5790">
        <v>5788</v>
      </c>
      <c r="B5790" s="1" t="s">
        <v>7592</v>
      </c>
      <c r="C5790" t="s">
        <v>4</v>
      </c>
      <c r="D5790" t="s">
        <v>7593</v>
      </c>
    </row>
    <row r="5791" spans="1:4" hidden="1" x14ac:dyDescent="0.3">
      <c r="A5791">
        <v>5789</v>
      </c>
      <c r="B5791" t="s">
        <v>7594</v>
      </c>
      <c r="C5791" t="s">
        <v>7</v>
      </c>
      <c r="D5791">
        <v>1793.75</v>
      </c>
    </row>
    <row r="5792" spans="1:4" hidden="1" x14ac:dyDescent="0.3">
      <c r="A5792">
        <v>5790</v>
      </c>
      <c r="B5792" s="1" t="s">
        <v>7595</v>
      </c>
      <c r="C5792" t="s">
        <v>9</v>
      </c>
      <c r="D5792" s="1" t="s">
        <v>7596</v>
      </c>
    </row>
    <row r="5793" spans="1:4" hidden="1" x14ac:dyDescent="0.3">
      <c r="A5793">
        <v>5791</v>
      </c>
      <c r="B5793" t="s">
        <v>7597</v>
      </c>
      <c r="C5793" t="s">
        <v>14</v>
      </c>
      <c r="D5793">
        <v>98.609375</v>
      </c>
    </row>
    <row r="5794" spans="1:4" hidden="1" x14ac:dyDescent="0.3">
      <c r="A5794">
        <v>5792</v>
      </c>
      <c r="B5794" t="s">
        <v>7598</v>
      </c>
      <c r="C5794" t="s">
        <v>16</v>
      </c>
      <c r="D5794">
        <v>4.3942982166472504</v>
      </c>
    </row>
    <row r="5795" spans="1:4" hidden="1" x14ac:dyDescent="0.3">
      <c r="A5795">
        <v>5793</v>
      </c>
      <c r="B5795" s="1" t="s">
        <v>7599</v>
      </c>
      <c r="C5795" t="s">
        <v>140</v>
      </c>
      <c r="D5795" s="1" t="s">
        <v>7600</v>
      </c>
    </row>
    <row r="5796" spans="1:4" hidden="1" x14ac:dyDescent="0.3">
      <c r="A5796">
        <v>5794</v>
      </c>
      <c r="B5796" t="s">
        <v>7601</v>
      </c>
      <c r="C5796" t="s">
        <v>22</v>
      </c>
      <c r="D5796">
        <v>69.3</v>
      </c>
    </row>
    <row r="5797" spans="1:4" hidden="1" x14ac:dyDescent="0.3">
      <c r="A5797">
        <v>5795</v>
      </c>
      <c r="B5797" t="s">
        <v>7602</v>
      </c>
      <c r="C5797" t="s">
        <v>24</v>
      </c>
      <c r="D5797">
        <v>6.7647004109487003</v>
      </c>
    </row>
    <row r="5798" spans="1:4" hidden="1" x14ac:dyDescent="0.3">
      <c r="A5798">
        <v>5796</v>
      </c>
      <c r="B5798" s="1" t="s">
        <v>7603</v>
      </c>
      <c r="C5798" t="s">
        <v>145</v>
      </c>
      <c r="D5798" s="1" t="s">
        <v>7604</v>
      </c>
    </row>
    <row r="5799" spans="1:4" hidden="1" x14ac:dyDescent="0.3">
      <c r="A5799">
        <v>5797</v>
      </c>
      <c r="B5799" t="s">
        <v>7605</v>
      </c>
      <c r="C5799" t="s">
        <v>35</v>
      </c>
      <c r="D5799">
        <v>0.19118209527534299</v>
      </c>
    </row>
    <row r="5800" spans="1:4" hidden="1" x14ac:dyDescent="0.3">
      <c r="A5800">
        <v>5798</v>
      </c>
      <c r="B5800" t="s">
        <v>7606</v>
      </c>
      <c r="C5800" t="s">
        <v>149</v>
      </c>
      <c r="D5800">
        <v>0.754350877439394</v>
      </c>
    </row>
    <row r="5801" spans="1:4" hidden="1" x14ac:dyDescent="0.3">
      <c r="A5801">
        <v>5799</v>
      </c>
      <c r="B5801" s="1" t="s">
        <v>7607</v>
      </c>
      <c r="C5801" t="s">
        <v>151</v>
      </c>
      <c r="D5801" s="1" t="s">
        <v>7608</v>
      </c>
    </row>
    <row r="5802" spans="1:4" hidden="1" x14ac:dyDescent="0.3">
      <c r="A5802">
        <v>5800</v>
      </c>
      <c r="B5802" t="s">
        <v>7609</v>
      </c>
      <c r="C5802" t="s">
        <v>30</v>
      </c>
      <c r="D5802">
        <v>0.31104457370094801</v>
      </c>
    </row>
    <row r="5803" spans="1:4" hidden="1" x14ac:dyDescent="0.3">
      <c r="A5803">
        <v>5801</v>
      </c>
      <c r="B5803" t="s">
        <v>7610</v>
      </c>
      <c r="C5803" t="s">
        <v>32</v>
      </c>
      <c r="D5803">
        <v>0.17460530982081901</v>
      </c>
    </row>
    <row r="5804" spans="1:4" hidden="1" x14ac:dyDescent="0.3">
      <c r="A5804">
        <v>5802</v>
      </c>
      <c r="B5804" s="1" t="s">
        <v>7611</v>
      </c>
      <c r="C5804" t="s">
        <v>155</v>
      </c>
      <c r="D5804" s="1" t="s">
        <v>7612</v>
      </c>
    </row>
    <row r="5805" spans="1:4" hidden="1" x14ac:dyDescent="0.3">
      <c r="A5805">
        <v>5803</v>
      </c>
      <c r="B5805" t="s">
        <v>7613</v>
      </c>
      <c r="C5805" t="s">
        <v>40</v>
      </c>
      <c r="D5805">
        <v>0.49777333102370802</v>
      </c>
    </row>
    <row r="5806" spans="1:4" hidden="1" x14ac:dyDescent="0.3">
      <c r="A5806">
        <v>5804</v>
      </c>
      <c r="B5806" t="s">
        <v>7614</v>
      </c>
      <c r="C5806" t="s">
        <v>42</v>
      </c>
      <c r="D5806">
        <v>0.151037742911416</v>
      </c>
    </row>
    <row r="5807" spans="1:4" hidden="1" x14ac:dyDescent="0.3">
      <c r="A5807">
        <v>5805</v>
      </c>
      <c r="B5807" s="1" t="s">
        <v>7615</v>
      </c>
      <c r="C5807" t="s">
        <v>159</v>
      </c>
      <c r="D5807" s="1" t="s">
        <v>7616</v>
      </c>
    </row>
    <row r="5808" spans="1:4" hidden="1" x14ac:dyDescent="0.3">
      <c r="A5808">
        <v>5806</v>
      </c>
      <c r="B5808" t="s">
        <v>7617</v>
      </c>
      <c r="C5808" t="s">
        <v>161</v>
      </c>
      <c r="D5808">
        <v>1.0034515937748201</v>
      </c>
    </row>
    <row r="5809" spans="1:4" hidden="1" x14ac:dyDescent="0.3">
      <c r="A5809">
        <v>5807</v>
      </c>
      <c r="B5809" t="s">
        <v>7618</v>
      </c>
      <c r="C5809" t="s">
        <v>163</v>
      </c>
      <c r="D5809">
        <v>1.0004323309996299</v>
      </c>
    </row>
    <row r="5810" spans="1:4" hidden="1" x14ac:dyDescent="0.3">
      <c r="A5810">
        <v>5808</v>
      </c>
      <c r="B5810" s="1" t="s">
        <v>7619</v>
      </c>
      <c r="C5810" t="s">
        <v>165</v>
      </c>
      <c r="D5810" s="1" t="s">
        <v>7620</v>
      </c>
    </row>
    <row r="5811" spans="1:4" hidden="1" x14ac:dyDescent="0.3">
      <c r="A5811">
        <v>5809</v>
      </c>
      <c r="B5811" t="s">
        <v>7621</v>
      </c>
      <c r="C5811" t="s">
        <v>168</v>
      </c>
      <c r="D5811">
        <v>1.00040786233679</v>
      </c>
    </row>
    <row r="5812" spans="1:4" hidden="1" x14ac:dyDescent="0.3">
      <c r="A5812">
        <v>5810</v>
      </c>
      <c r="B5812" t="s">
        <v>7622</v>
      </c>
      <c r="C5812" t="s">
        <v>170</v>
      </c>
      <c r="D5812">
        <v>1.0001075650518201</v>
      </c>
    </row>
    <row r="5813" spans="1:4" hidden="1" x14ac:dyDescent="0.3">
      <c r="A5813">
        <v>5811</v>
      </c>
      <c r="B5813" s="1" t="s">
        <v>7623</v>
      </c>
      <c r="C5813" t="s">
        <v>172</v>
      </c>
      <c r="D5813" s="1" t="s">
        <v>7624</v>
      </c>
    </row>
    <row r="5814" spans="1:4" hidden="1" x14ac:dyDescent="0.3">
      <c r="A5814">
        <v>5812</v>
      </c>
      <c r="B5814" s="1" t="s">
        <v>7625</v>
      </c>
      <c r="C5814" t="s">
        <v>55</v>
      </c>
      <c r="D5814" s="1" t="s">
        <v>7626</v>
      </c>
    </row>
    <row r="5815" spans="1:4" hidden="1" x14ac:dyDescent="0.3">
      <c r="A5815">
        <v>5813</v>
      </c>
      <c r="B5815" s="1" t="s">
        <v>7627</v>
      </c>
      <c r="C5815" t="s">
        <v>52</v>
      </c>
      <c r="D5815" s="1" t="s">
        <v>7628</v>
      </c>
    </row>
    <row r="5816" spans="1:4" hidden="1" x14ac:dyDescent="0.3">
      <c r="A5816">
        <v>5814</v>
      </c>
      <c r="B5816" s="1" t="s">
        <v>7629</v>
      </c>
      <c r="C5816" t="s">
        <v>58</v>
      </c>
      <c r="D5816" s="1" t="s">
        <v>7630</v>
      </c>
    </row>
    <row r="5817" spans="1:4" hidden="1" x14ac:dyDescent="0.3">
      <c r="A5817">
        <v>5815</v>
      </c>
      <c r="B5817" t="s">
        <v>7631</v>
      </c>
      <c r="C5817" t="s">
        <v>61</v>
      </c>
      <c r="D5817">
        <v>144612872.502444</v>
      </c>
    </row>
    <row r="5818" spans="1:4" hidden="1" x14ac:dyDescent="0.3">
      <c r="A5818">
        <v>5816</v>
      </c>
      <c r="B5818" t="s">
        <v>7632</v>
      </c>
      <c r="C5818" t="s">
        <v>63</v>
      </c>
      <c r="D5818">
        <v>77252356.065000102</v>
      </c>
    </row>
    <row r="5819" spans="1:4" hidden="1" x14ac:dyDescent="0.3">
      <c r="A5819">
        <v>5817</v>
      </c>
      <c r="B5819" t="s">
        <v>7633</v>
      </c>
      <c r="C5819" t="s">
        <v>65</v>
      </c>
      <c r="D5819">
        <v>39611651.944665201</v>
      </c>
    </row>
    <row r="5820" spans="1:4" hidden="1" x14ac:dyDescent="0.3">
      <c r="A5820">
        <v>5818</v>
      </c>
      <c r="B5820" s="1" t="s">
        <v>7634</v>
      </c>
      <c r="C5820" t="s">
        <v>67</v>
      </c>
      <c r="D5820" s="1" t="s">
        <v>7635</v>
      </c>
    </row>
    <row r="5821" spans="1:4" hidden="1" x14ac:dyDescent="0.3">
      <c r="A5821">
        <v>5819</v>
      </c>
      <c r="B5821" s="1" t="s">
        <v>7636</v>
      </c>
      <c r="C5821" t="s">
        <v>70</v>
      </c>
      <c r="D5821" s="1" t="s">
        <v>7637</v>
      </c>
    </row>
    <row r="5822" spans="1:4" hidden="1" x14ac:dyDescent="0.3">
      <c r="A5822">
        <v>5820</v>
      </c>
      <c r="B5822" t="s">
        <v>7638</v>
      </c>
      <c r="C5822" t="s">
        <v>73</v>
      </c>
      <c r="D5822">
        <v>1.00015137679155</v>
      </c>
    </row>
    <row r="5823" spans="1:4" hidden="1" x14ac:dyDescent="0.3">
      <c r="A5823">
        <v>5821</v>
      </c>
      <c r="B5823" t="s">
        <v>74</v>
      </c>
      <c r="C5823" t="s">
        <v>75</v>
      </c>
      <c r="D5823">
        <v>2.7397260273972599E-3</v>
      </c>
    </row>
    <row r="5824" spans="1:4" hidden="1" x14ac:dyDescent="0.3">
      <c r="A5824">
        <v>5822</v>
      </c>
      <c r="B5824" t="s">
        <v>76</v>
      </c>
      <c r="C5824" t="s">
        <v>77</v>
      </c>
      <c r="D5824">
        <v>0</v>
      </c>
    </row>
    <row r="5825" spans="1:4" hidden="1" x14ac:dyDescent="0.3">
      <c r="A5825">
        <v>5823</v>
      </c>
      <c r="B5825" t="s">
        <v>78</v>
      </c>
      <c r="C5825" t="s">
        <v>79</v>
      </c>
      <c r="D5825">
        <v>0</v>
      </c>
    </row>
    <row r="5826" spans="1:4" hidden="1" x14ac:dyDescent="0.3">
      <c r="A5826">
        <v>5824</v>
      </c>
      <c r="B5826" s="1" t="s">
        <v>7639</v>
      </c>
      <c r="C5826" t="s">
        <v>81</v>
      </c>
      <c r="D5826" s="1" t="s">
        <v>7640</v>
      </c>
    </row>
    <row r="5827" spans="1:4" hidden="1" x14ac:dyDescent="0.3">
      <c r="A5827">
        <v>5825</v>
      </c>
      <c r="B5827" t="s">
        <v>7641</v>
      </c>
      <c r="C5827" t="s">
        <v>84</v>
      </c>
      <c r="D5827">
        <v>1.00015330229606</v>
      </c>
    </row>
    <row r="5828" spans="1:4" hidden="1" x14ac:dyDescent="0.3">
      <c r="A5828">
        <v>5826</v>
      </c>
      <c r="B5828" s="1" t="s">
        <v>7642</v>
      </c>
      <c r="C5828" t="s">
        <v>86</v>
      </c>
      <c r="D5828" s="1" t="s">
        <v>7643</v>
      </c>
    </row>
    <row r="5829" spans="1:4" hidden="1" x14ac:dyDescent="0.3">
      <c r="A5829">
        <v>5827</v>
      </c>
      <c r="B5829" t="s">
        <v>7644</v>
      </c>
      <c r="C5829" t="s">
        <v>89</v>
      </c>
      <c r="D5829">
        <v>101174269.235677</v>
      </c>
    </row>
    <row r="5830" spans="1:4" hidden="1" x14ac:dyDescent="0.3">
      <c r="A5830">
        <v>5828</v>
      </c>
      <c r="B5830" s="1" t="s">
        <v>7645</v>
      </c>
      <c r="C5830" t="s">
        <v>91</v>
      </c>
      <c r="D5830" s="1" t="s">
        <v>7579</v>
      </c>
    </row>
    <row r="5831" spans="1:4" hidden="1" x14ac:dyDescent="0.3">
      <c r="A5831">
        <v>5829</v>
      </c>
      <c r="B5831" t="s">
        <v>7646</v>
      </c>
      <c r="C5831" t="s">
        <v>94</v>
      </c>
      <c r="D5831">
        <v>77252356.065000102</v>
      </c>
    </row>
    <row r="5832" spans="1:4" hidden="1" x14ac:dyDescent="0.3">
      <c r="A5832">
        <v>5830</v>
      </c>
      <c r="B5832" t="s">
        <v>7647</v>
      </c>
      <c r="C5832" t="s">
        <v>96</v>
      </c>
      <c r="D5832">
        <v>39611651.944665201</v>
      </c>
    </row>
    <row r="5833" spans="1:4" hidden="1" x14ac:dyDescent="0.3">
      <c r="A5833">
        <v>5831</v>
      </c>
      <c r="B5833" t="s">
        <v>7648</v>
      </c>
      <c r="C5833" t="s">
        <v>98</v>
      </c>
      <c r="D5833">
        <v>27748864.4927787</v>
      </c>
    </row>
    <row r="5834" spans="1:4" hidden="1" x14ac:dyDescent="0.3">
      <c r="A5834">
        <v>5832</v>
      </c>
      <c r="B5834" s="1" t="s">
        <v>7649</v>
      </c>
      <c r="C5834" t="s">
        <v>100</v>
      </c>
      <c r="D5834" s="1" t="s">
        <v>7650</v>
      </c>
    </row>
    <row r="5835" spans="1:4" hidden="1" x14ac:dyDescent="0.3">
      <c r="A5835">
        <v>5833</v>
      </c>
      <c r="B5835" t="s">
        <v>7651</v>
      </c>
      <c r="C5835" t="s">
        <v>103</v>
      </c>
      <c r="D5835">
        <v>8.0835944707127495E-3</v>
      </c>
    </row>
    <row r="5836" spans="1:4" hidden="1" x14ac:dyDescent="0.3">
      <c r="A5836">
        <v>5834</v>
      </c>
      <c r="B5836" t="s">
        <v>7652</v>
      </c>
      <c r="C5836" t="s">
        <v>105</v>
      </c>
      <c r="D5836">
        <v>1.2785410448414799E-3</v>
      </c>
    </row>
    <row r="5837" spans="1:4" hidden="1" x14ac:dyDescent="0.3">
      <c r="A5837">
        <v>5835</v>
      </c>
      <c r="B5837" t="s">
        <v>7653</v>
      </c>
      <c r="C5837" t="s">
        <v>107</v>
      </c>
      <c r="D5837">
        <v>9.4339909760852107E-3</v>
      </c>
    </row>
    <row r="5838" spans="1:4" hidden="1" x14ac:dyDescent="0.3">
      <c r="A5838">
        <v>5836</v>
      </c>
      <c r="B5838" s="1" t="s">
        <v>7654</v>
      </c>
      <c r="C5838" t="s">
        <v>109</v>
      </c>
      <c r="D5838" s="1" t="s">
        <v>7655</v>
      </c>
    </row>
    <row r="5839" spans="1:4" x14ac:dyDescent="0.3">
      <c r="A5839">
        <v>5837</v>
      </c>
      <c r="B5839" t="s">
        <v>7656</v>
      </c>
      <c r="C5839" t="s">
        <v>207</v>
      </c>
      <c r="D5839">
        <v>144612940.08880401</v>
      </c>
    </row>
    <row r="5840" spans="1:4" hidden="1" x14ac:dyDescent="0.3">
      <c r="A5840">
        <v>5838</v>
      </c>
      <c r="B5840" t="s">
        <v>7657</v>
      </c>
      <c r="C5840" t="s">
        <v>209</v>
      </c>
      <c r="D5840">
        <v>-148.727335320908</v>
      </c>
    </row>
    <row r="5841" spans="1:4" hidden="1" x14ac:dyDescent="0.3">
      <c r="A5841">
        <v>5839</v>
      </c>
      <c r="B5841" t="s">
        <v>7658</v>
      </c>
      <c r="C5841" t="s">
        <v>211</v>
      </c>
      <c r="D5841">
        <v>-76.260897342010395</v>
      </c>
    </row>
    <row r="5842" spans="1:4" hidden="1" x14ac:dyDescent="0.3">
      <c r="A5842">
        <v>5840</v>
      </c>
      <c r="B5842" s="1" t="s">
        <v>7659</v>
      </c>
      <c r="C5842" t="s">
        <v>213</v>
      </c>
      <c r="D5842" s="1" t="s">
        <v>7660</v>
      </c>
    </row>
    <row r="5843" spans="1:4" hidden="1" x14ac:dyDescent="0.3">
      <c r="A5843">
        <v>5841</v>
      </c>
      <c r="B5843" t="s">
        <v>7661</v>
      </c>
      <c r="C5843" t="s">
        <v>216</v>
      </c>
      <c r="D5843">
        <v>77252551.158734202</v>
      </c>
    </row>
    <row r="5844" spans="1:4" hidden="1" x14ac:dyDescent="0.3">
      <c r="A5844">
        <v>5842</v>
      </c>
      <c r="B5844" t="s">
        <v>7662</v>
      </c>
      <c r="C5844" t="s">
        <v>218</v>
      </c>
      <c r="D5844">
        <v>39611742.257150501</v>
      </c>
    </row>
    <row r="5845" spans="1:4" hidden="1" x14ac:dyDescent="0.3">
      <c r="A5845">
        <v>5843</v>
      </c>
      <c r="B5845" t="s">
        <v>7663</v>
      </c>
      <c r="C5845" t="s">
        <v>220</v>
      </c>
      <c r="D5845">
        <v>27748925.083642598</v>
      </c>
    </row>
    <row r="5846" spans="1:4" hidden="1" x14ac:dyDescent="0.3">
      <c r="A5846">
        <v>5844</v>
      </c>
      <c r="B5846" s="1" t="s">
        <v>7664</v>
      </c>
      <c r="C5846" t="s">
        <v>222</v>
      </c>
      <c r="D5846" s="1" t="s">
        <v>7665</v>
      </c>
    </row>
    <row r="5847" spans="1:4" hidden="1" x14ac:dyDescent="0.3">
      <c r="A5847">
        <v>5845</v>
      </c>
      <c r="B5847" t="s">
        <v>7666</v>
      </c>
      <c r="C5847" t="s">
        <v>225</v>
      </c>
      <c r="D5847">
        <v>101174464.017703</v>
      </c>
    </row>
    <row r="5848" spans="1:4" hidden="1" x14ac:dyDescent="0.3">
      <c r="A5848">
        <v>5846</v>
      </c>
      <c r="B5848" t="s">
        <v>7667</v>
      </c>
      <c r="C5848" t="s">
        <v>227</v>
      </c>
      <c r="D5848">
        <v>-194.782026097178</v>
      </c>
    </row>
    <row r="5849" spans="1:4" hidden="1" x14ac:dyDescent="0.3">
      <c r="A5849">
        <v>5847</v>
      </c>
      <c r="B5849" s="1" t="s">
        <v>7668</v>
      </c>
      <c r="C5849" t="s">
        <v>229</v>
      </c>
      <c r="D5849" s="1" t="s">
        <v>7669</v>
      </c>
    </row>
    <row r="5850" spans="1:4" hidden="1" x14ac:dyDescent="0.3">
      <c r="A5850">
        <v>5848</v>
      </c>
      <c r="B5850" t="s">
        <v>7670</v>
      </c>
      <c r="C5850" t="s">
        <v>112</v>
      </c>
      <c r="D5850">
        <v>46.366398873667301</v>
      </c>
    </row>
    <row r="5851" spans="1:4" hidden="1" x14ac:dyDescent="0.3">
      <c r="A5851">
        <v>5849</v>
      </c>
      <c r="B5851" t="s">
        <v>7671</v>
      </c>
      <c r="C5851" t="s">
        <v>114</v>
      </c>
      <c r="D5851">
        <v>14.051587913998899</v>
      </c>
    </row>
    <row r="5852" spans="1:4" hidden="1" x14ac:dyDescent="0.3">
      <c r="A5852">
        <v>5850</v>
      </c>
      <c r="B5852" s="1" t="s">
        <v>7672</v>
      </c>
      <c r="C5852" t="s">
        <v>116</v>
      </c>
      <c r="D5852" s="1" t="s">
        <v>7673</v>
      </c>
    </row>
    <row r="5853" spans="1:4" hidden="1" x14ac:dyDescent="0.3">
      <c r="A5853">
        <v>5851</v>
      </c>
      <c r="B5853" t="s">
        <v>7674</v>
      </c>
      <c r="C5853" t="s">
        <v>119</v>
      </c>
      <c r="D5853">
        <v>77252551.158734202</v>
      </c>
    </row>
    <row r="5854" spans="1:4" hidden="1" x14ac:dyDescent="0.3">
      <c r="A5854">
        <v>5852</v>
      </c>
      <c r="B5854" t="s">
        <v>7675</v>
      </c>
      <c r="C5854" t="s">
        <v>121</v>
      </c>
      <c r="D5854">
        <v>39611742.257150501</v>
      </c>
    </row>
    <row r="5855" spans="1:4" hidden="1" x14ac:dyDescent="0.3">
      <c r="A5855">
        <v>5853</v>
      </c>
      <c r="B5855" s="1" t="s">
        <v>7676</v>
      </c>
      <c r="C5855" t="s">
        <v>123</v>
      </c>
      <c r="D5855" s="1" t="s">
        <v>7677</v>
      </c>
    </row>
    <row r="5856" spans="1:4" hidden="1" x14ac:dyDescent="0.3">
      <c r="A5856">
        <v>5854</v>
      </c>
      <c r="B5856" t="s">
        <v>7678</v>
      </c>
      <c r="C5856" t="s">
        <v>126</v>
      </c>
      <c r="D5856">
        <v>0.76344076275046302</v>
      </c>
    </row>
    <row r="5857" spans="1:4" hidden="1" x14ac:dyDescent="0.3">
      <c r="A5857">
        <v>5855</v>
      </c>
      <c r="B5857" t="s">
        <v>7679</v>
      </c>
      <c r="C5857" t="s">
        <v>128</v>
      </c>
      <c r="D5857">
        <v>0.39145915920026703</v>
      </c>
    </row>
    <row r="5858" spans="1:4" hidden="1" x14ac:dyDescent="0.3">
      <c r="A5858">
        <v>5856</v>
      </c>
      <c r="B5858" s="1" t="s">
        <v>7680</v>
      </c>
      <c r="C5858" t="s">
        <v>130</v>
      </c>
      <c r="D5858" s="1" t="s">
        <v>7681</v>
      </c>
    </row>
    <row r="5859" spans="1:4" hidden="1" x14ac:dyDescent="0.3">
      <c r="A5859">
        <v>5857</v>
      </c>
      <c r="B5859" s="1" t="s">
        <v>7682</v>
      </c>
      <c r="C5859" t="s">
        <v>4</v>
      </c>
      <c r="D5859" t="s">
        <v>7683</v>
      </c>
    </row>
    <row r="5860" spans="1:4" hidden="1" x14ac:dyDescent="0.3">
      <c r="A5860">
        <v>5858</v>
      </c>
      <c r="B5860" t="s">
        <v>7684</v>
      </c>
      <c r="C5860" t="s">
        <v>7</v>
      </c>
      <c r="D5860">
        <v>1804.51</v>
      </c>
    </row>
    <row r="5861" spans="1:4" hidden="1" x14ac:dyDescent="0.3">
      <c r="A5861">
        <v>5859</v>
      </c>
      <c r="B5861" s="1" t="s">
        <v>7685</v>
      </c>
      <c r="C5861" t="s">
        <v>9</v>
      </c>
      <c r="D5861" s="1" t="s">
        <v>7686</v>
      </c>
    </row>
    <row r="5862" spans="1:4" hidden="1" x14ac:dyDescent="0.3">
      <c r="A5862">
        <v>5860</v>
      </c>
      <c r="B5862" t="s">
        <v>7687</v>
      </c>
      <c r="C5862" t="s">
        <v>14</v>
      </c>
      <c r="D5862">
        <v>98.67578125</v>
      </c>
    </row>
    <row r="5863" spans="1:4" hidden="1" x14ac:dyDescent="0.3">
      <c r="A5863">
        <v>5861</v>
      </c>
      <c r="B5863" t="s">
        <v>7688</v>
      </c>
      <c r="C5863" t="s">
        <v>16</v>
      </c>
      <c r="D5863">
        <v>4.3982056179265197</v>
      </c>
    </row>
    <row r="5864" spans="1:4" hidden="1" x14ac:dyDescent="0.3">
      <c r="A5864">
        <v>5862</v>
      </c>
      <c r="B5864" s="1" t="s">
        <v>7689</v>
      </c>
      <c r="C5864" t="s">
        <v>140</v>
      </c>
      <c r="D5864" s="1" t="s">
        <v>7690</v>
      </c>
    </row>
    <row r="5865" spans="1:4" hidden="1" x14ac:dyDescent="0.3">
      <c r="A5865">
        <v>5863</v>
      </c>
      <c r="B5865" t="s">
        <v>7691</v>
      </c>
      <c r="C5865" t="s">
        <v>22</v>
      </c>
      <c r="D5865">
        <v>69.099999999999994</v>
      </c>
    </row>
    <row r="5866" spans="1:4" hidden="1" x14ac:dyDescent="0.3">
      <c r="A5866">
        <v>5864</v>
      </c>
      <c r="B5866" t="s">
        <v>7692</v>
      </c>
      <c r="C5866" t="s">
        <v>24</v>
      </c>
      <c r="D5866">
        <v>6.8081168671785504</v>
      </c>
    </row>
    <row r="5867" spans="1:4" hidden="1" x14ac:dyDescent="0.3">
      <c r="A5867">
        <v>5865</v>
      </c>
      <c r="B5867" s="1" t="s">
        <v>7693</v>
      </c>
      <c r="C5867" t="s">
        <v>145</v>
      </c>
      <c r="D5867" s="1" t="s">
        <v>7694</v>
      </c>
    </row>
    <row r="5868" spans="1:4" hidden="1" x14ac:dyDescent="0.3">
      <c r="A5868">
        <v>5866</v>
      </c>
      <c r="B5868" t="s">
        <v>7695</v>
      </c>
      <c r="C5868" t="s">
        <v>35</v>
      </c>
      <c r="D5868">
        <v>6.4160589151505297E-3</v>
      </c>
    </row>
    <row r="5869" spans="1:4" hidden="1" x14ac:dyDescent="0.3">
      <c r="A5869">
        <v>5867</v>
      </c>
      <c r="B5869" t="s">
        <v>7696</v>
      </c>
      <c r="C5869" t="s">
        <v>149</v>
      </c>
      <c r="D5869">
        <v>0.756619249334477</v>
      </c>
    </row>
    <row r="5870" spans="1:4" hidden="1" x14ac:dyDescent="0.3">
      <c r="A5870">
        <v>5868</v>
      </c>
      <c r="B5870" s="1" t="s">
        <v>7697</v>
      </c>
      <c r="C5870" t="s">
        <v>151</v>
      </c>
      <c r="D5870" s="1" t="s">
        <v>7698</v>
      </c>
    </row>
    <row r="5871" spans="1:4" hidden="1" x14ac:dyDescent="0.3">
      <c r="A5871">
        <v>5869</v>
      </c>
      <c r="B5871" t="s">
        <v>7699</v>
      </c>
      <c r="C5871" t="s">
        <v>30</v>
      </c>
      <c r="D5871">
        <v>0.37729621486386899</v>
      </c>
    </row>
    <row r="5872" spans="1:4" hidden="1" x14ac:dyDescent="0.3">
      <c r="A5872">
        <v>5870</v>
      </c>
      <c r="B5872" t="s">
        <v>7700</v>
      </c>
      <c r="C5872" t="s">
        <v>32</v>
      </c>
      <c r="D5872">
        <v>0.17327897229278899</v>
      </c>
    </row>
    <row r="5873" spans="1:4" hidden="1" x14ac:dyDescent="0.3">
      <c r="A5873">
        <v>5871</v>
      </c>
      <c r="B5873" s="1" t="s">
        <v>7701</v>
      </c>
      <c r="C5873" t="s">
        <v>155</v>
      </c>
      <c r="D5873" s="1" t="s">
        <v>7702</v>
      </c>
    </row>
    <row r="5874" spans="1:4" hidden="1" x14ac:dyDescent="0.3">
      <c r="A5874">
        <v>5872</v>
      </c>
      <c r="B5874" t="s">
        <v>7703</v>
      </c>
      <c r="C5874" t="s">
        <v>40</v>
      </c>
      <c r="D5874">
        <v>0.61628772622098005</v>
      </c>
    </row>
    <row r="5875" spans="1:4" hidden="1" x14ac:dyDescent="0.3">
      <c r="A5875">
        <v>5873</v>
      </c>
      <c r="B5875" t="s">
        <v>7704</v>
      </c>
      <c r="C5875" t="s">
        <v>42</v>
      </c>
      <c r="D5875">
        <v>0.148389754586153</v>
      </c>
    </row>
    <row r="5876" spans="1:4" hidden="1" x14ac:dyDescent="0.3">
      <c r="A5876">
        <v>5874</v>
      </c>
      <c r="B5876" s="1" t="s">
        <v>7705</v>
      </c>
      <c r="C5876" t="s">
        <v>159</v>
      </c>
      <c r="D5876" s="1" t="s">
        <v>7706</v>
      </c>
    </row>
    <row r="5877" spans="1:4" hidden="1" x14ac:dyDescent="0.3">
      <c r="A5877">
        <v>5875</v>
      </c>
      <c r="B5877" t="s">
        <v>7707</v>
      </c>
      <c r="C5877" t="s">
        <v>161</v>
      </c>
      <c r="D5877">
        <v>1.0059986062717701</v>
      </c>
    </row>
    <row r="5878" spans="1:4" hidden="1" x14ac:dyDescent="0.3">
      <c r="A5878">
        <v>5876</v>
      </c>
      <c r="B5878" t="s">
        <v>7708</v>
      </c>
      <c r="C5878" t="s">
        <v>163</v>
      </c>
      <c r="D5878">
        <v>1.0006826324642899</v>
      </c>
    </row>
    <row r="5879" spans="1:4" hidden="1" x14ac:dyDescent="0.3">
      <c r="A5879">
        <v>5877</v>
      </c>
      <c r="B5879" s="1" t="s">
        <v>7709</v>
      </c>
      <c r="C5879" t="s">
        <v>165</v>
      </c>
      <c r="D5879" s="1" t="s">
        <v>7710</v>
      </c>
    </row>
    <row r="5880" spans="1:4" hidden="1" x14ac:dyDescent="0.3">
      <c r="A5880">
        <v>5878</v>
      </c>
      <c r="B5880" t="s">
        <v>7711</v>
      </c>
      <c r="C5880" t="s">
        <v>168</v>
      </c>
      <c r="D5880">
        <v>1.0012929978399701</v>
      </c>
    </row>
    <row r="5881" spans="1:4" hidden="1" x14ac:dyDescent="0.3">
      <c r="A5881">
        <v>5879</v>
      </c>
      <c r="B5881" t="s">
        <v>7712</v>
      </c>
      <c r="C5881" t="s">
        <v>170</v>
      </c>
      <c r="D5881">
        <v>0.99887082280580497</v>
      </c>
    </row>
    <row r="5882" spans="1:4" hidden="1" x14ac:dyDescent="0.3">
      <c r="A5882">
        <v>5880</v>
      </c>
      <c r="B5882" s="1" t="s">
        <v>7713</v>
      </c>
      <c r="C5882" t="s">
        <v>172</v>
      </c>
      <c r="D5882" s="1" t="s">
        <v>7714</v>
      </c>
    </row>
    <row r="5883" spans="1:4" hidden="1" x14ac:dyDescent="0.3">
      <c r="A5883">
        <v>5881</v>
      </c>
      <c r="B5883" s="1" t="s">
        <v>7715</v>
      </c>
      <c r="C5883" t="s">
        <v>55</v>
      </c>
      <c r="D5883" s="1" t="s">
        <v>7716</v>
      </c>
    </row>
    <row r="5884" spans="1:4" hidden="1" x14ac:dyDescent="0.3">
      <c r="A5884">
        <v>5882</v>
      </c>
      <c r="B5884" s="1" t="s">
        <v>7717</v>
      </c>
      <c r="C5884" t="s">
        <v>52</v>
      </c>
      <c r="D5884" s="1" t="s">
        <v>7718</v>
      </c>
    </row>
    <row r="5885" spans="1:4" hidden="1" x14ac:dyDescent="0.3">
      <c r="A5885">
        <v>5883</v>
      </c>
      <c r="B5885" s="1" t="s">
        <v>7719</v>
      </c>
      <c r="C5885" t="s">
        <v>58</v>
      </c>
      <c r="D5885" s="1" t="s">
        <v>7720</v>
      </c>
    </row>
    <row r="5886" spans="1:4" hidden="1" x14ac:dyDescent="0.3">
      <c r="A5886">
        <v>5884</v>
      </c>
      <c r="B5886" t="s">
        <v>7721</v>
      </c>
      <c r="C5886" t="s">
        <v>61</v>
      </c>
      <c r="D5886">
        <v>145046543.64654699</v>
      </c>
    </row>
    <row r="5887" spans="1:4" hidden="1" x14ac:dyDescent="0.3">
      <c r="A5887">
        <v>5885</v>
      </c>
      <c r="B5887" t="s">
        <v>7722</v>
      </c>
      <c r="C5887" t="s">
        <v>63</v>
      </c>
      <c r="D5887">
        <v>77715958.796625793</v>
      </c>
    </row>
    <row r="5888" spans="1:4" hidden="1" x14ac:dyDescent="0.3">
      <c r="A5888">
        <v>5886</v>
      </c>
      <c r="B5888" t="s">
        <v>7723</v>
      </c>
      <c r="C5888" t="s">
        <v>65</v>
      </c>
      <c r="D5888">
        <v>39638782.518382497</v>
      </c>
    </row>
    <row r="5889" spans="1:4" hidden="1" x14ac:dyDescent="0.3">
      <c r="A5889">
        <v>5887</v>
      </c>
      <c r="B5889" s="1" t="s">
        <v>7724</v>
      </c>
      <c r="C5889" t="s">
        <v>67</v>
      </c>
      <c r="D5889" s="1" t="s">
        <v>7725</v>
      </c>
    </row>
    <row r="5890" spans="1:4" hidden="1" x14ac:dyDescent="0.3">
      <c r="A5890">
        <v>5888</v>
      </c>
      <c r="B5890" s="1" t="s">
        <v>7726</v>
      </c>
      <c r="C5890" t="s">
        <v>70</v>
      </c>
      <c r="D5890" s="1" t="s">
        <v>7727</v>
      </c>
    </row>
    <row r="5891" spans="1:4" hidden="1" x14ac:dyDescent="0.3">
      <c r="A5891">
        <v>5889</v>
      </c>
      <c r="B5891" t="s">
        <v>7728</v>
      </c>
      <c r="C5891" t="s">
        <v>73</v>
      </c>
      <c r="D5891">
        <v>1.00015330229606</v>
      </c>
    </row>
    <row r="5892" spans="1:4" hidden="1" x14ac:dyDescent="0.3">
      <c r="A5892">
        <v>5890</v>
      </c>
      <c r="B5892" t="s">
        <v>74</v>
      </c>
      <c r="C5892" t="s">
        <v>75</v>
      </c>
      <c r="D5892">
        <v>2.7397260273972599E-3</v>
      </c>
    </row>
    <row r="5893" spans="1:4" hidden="1" x14ac:dyDescent="0.3">
      <c r="A5893">
        <v>5891</v>
      </c>
      <c r="B5893" t="s">
        <v>76</v>
      </c>
      <c r="C5893" t="s">
        <v>77</v>
      </c>
      <c r="D5893">
        <v>0</v>
      </c>
    </row>
    <row r="5894" spans="1:4" hidden="1" x14ac:dyDescent="0.3">
      <c r="A5894">
        <v>5892</v>
      </c>
      <c r="B5894" t="s">
        <v>78</v>
      </c>
      <c r="C5894" t="s">
        <v>79</v>
      </c>
      <c r="D5894">
        <v>0</v>
      </c>
    </row>
    <row r="5895" spans="1:4" hidden="1" x14ac:dyDescent="0.3">
      <c r="A5895">
        <v>5893</v>
      </c>
      <c r="B5895" s="1" t="s">
        <v>7729</v>
      </c>
      <c r="C5895" t="s">
        <v>81</v>
      </c>
      <c r="D5895" s="1" t="s">
        <v>7730</v>
      </c>
    </row>
    <row r="5896" spans="1:4" hidden="1" x14ac:dyDescent="0.3">
      <c r="A5896">
        <v>5894</v>
      </c>
      <c r="B5896" t="s">
        <v>7731</v>
      </c>
      <c r="C5896" t="s">
        <v>84</v>
      </c>
      <c r="D5896">
        <v>1.0001597785202301</v>
      </c>
    </row>
    <row r="5897" spans="1:4" hidden="1" x14ac:dyDescent="0.3">
      <c r="A5897">
        <v>5895</v>
      </c>
      <c r="B5897" s="1" t="s">
        <v>7732</v>
      </c>
      <c r="C5897" t="s">
        <v>86</v>
      </c>
      <c r="D5897" s="1" t="s">
        <v>7733</v>
      </c>
    </row>
    <row r="5898" spans="1:4" hidden="1" x14ac:dyDescent="0.3">
      <c r="A5898">
        <v>5896</v>
      </c>
      <c r="B5898" t="s">
        <v>7734</v>
      </c>
      <c r="C5898" t="s">
        <v>89</v>
      </c>
      <c r="D5898">
        <v>101173614.113103</v>
      </c>
    </row>
    <row r="5899" spans="1:4" hidden="1" x14ac:dyDescent="0.3">
      <c r="A5899">
        <v>5897</v>
      </c>
      <c r="B5899" s="1" t="s">
        <v>7735</v>
      </c>
      <c r="C5899" t="s">
        <v>91</v>
      </c>
      <c r="D5899" s="1" t="s">
        <v>7669</v>
      </c>
    </row>
    <row r="5900" spans="1:4" hidden="1" x14ac:dyDescent="0.3">
      <c r="A5900">
        <v>5898</v>
      </c>
      <c r="B5900" t="s">
        <v>7736</v>
      </c>
      <c r="C5900" t="s">
        <v>94</v>
      </c>
      <c r="D5900">
        <v>77715958.796625793</v>
      </c>
    </row>
    <row r="5901" spans="1:4" hidden="1" x14ac:dyDescent="0.3">
      <c r="A5901">
        <v>5899</v>
      </c>
      <c r="B5901" t="s">
        <v>7737</v>
      </c>
      <c r="C5901" t="s">
        <v>96</v>
      </c>
      <c r="D5901">
        <v>39638782.518382497</v>
      </c>
    </row>
    <row r="5902" spans="1:4" hidden="1" x14ac:dyDescent="0.3">
      <c r="A5902">
        <v>5900</v>
      </c>
      <c r="B5902" t="s">
        <v>7738</v>
      </c>
      <c r="C5902" t="s">
        <v>98</v>
      </c>
      <c r="D5902">
        <v>27691802.331539001</v>
      </c>
    </row>
    <row r="5903" spans="1:4" hidden="1" x14ac:dyDescent="0.3">
      <c r="A5903">
        <v>5901</v>
      </c>
      <c r="B5903" s="1" t="s">
        <v>7739</v>
      </c>
      <c r="C5903" t="s">
        <v>100</v>
      </c>
      <c r="D5903" s="1" t="s">
        <v>7740</v>
      </c>
    </row>
    <row r="5904" spans="1:4" hidden="1" x14ac:dyDescent="0.3">
      <c r="A5904">
        <v>5902</v>
      </c>
      <c r="B5904" t="s">
        <v>7741</v>
      </c>
      <c r="C5904" t="s">
        <v>103</v>
      </c>
      <c r="D5904">
        <v>8.08044056026384E-3</v>
      </c>
    </row>
    <row r="5905" spans="1:4" hidden="1" x14ac:dyDescent="0.3">
      <c r="A5905">
        <v>5903</v>
      </c>
      <c r="B5905" t="s">
        <v>7742</v>
      </c>
      <c r="C5905" t="s">
        <v>105</v>
      </c>
      <c r="D5905">
        <v>1.26855573324383E-3</v>
      </c>
    </row>
    <row r="5906" spans="1:4" hidden="1" x14ac:dyDescent="0.3">
      <c r="A5906">
        <v>5904</v>
      </c>
      <c r="B5906" t="s">
        <v>7743</v>
      </c>
      <c r="C5906" t="s">
        <v>107</v>
      </c>
      <c r="D5906">
        <v>9.4245716260258697E-3</v>
      </c>
    </row>
    <row r="5907" spans="1:4" hidden="1" x14ac:dyDescent="0.3">
      <c r="A5907">
        <v>5905</v>
      </c>
      <c r="B5907" s="1" t="s">
        <v>7744</v>
      </c>
      <c r="C5907" t="s">
        <v>109</v>
      </c>
      <c r="D5907" s="1" t="s">
        <v>7745</v>
      </c>
    </row>
    <row r="5908" spans="1:4" x14ac:dyDescent="0.3">
      <c r="A5908">
        <v>5906</v>
      </c>
      <c r="B5908" t="s">
        <v>7746</v>
      </c>
      <c r="C5908" t="s">
        <v>207</v>
      </c>
      <c r="D5908">
        <v>145046771.09521201</v>
      </c>
    </row>
    <row r="5909" spans="1:4" hidden="1" x14ac:dyDescent="0.3">
      <c r="A5909">
        <v>5907</v>
      </c>
      <c r="B5909" t="s">
        <v>7747</v>
      </c>
      <c r="C5909" t="s">
        <v>209</v>
      </c>
      <c r="D5909">
        <v>-503.22983830955201</v>
      </c>
    </row>
    <row r="5910" spans="1:4" hidden="1" x14ac:dyDescent="0.3">
      <c r="A5910">
        <v>5908</v>
      </c>
      <c r="B5910" t="s">
        <v>7748</v>
      </c>
      <c r="C5910" t="s">
        <v>211</v>
      </c>
      <c r="D5910">
        <v>-256.67059798224699</v>
      </c>
    </row>
    <row r="5911" spans="1:4" hidden="1" x14ac:dyDescent="0.3">
      <c r="A5911">
        <v>5909</v>
      </c>
      <c r="B5911" s="1" t="s">
        <v>7749</v>
      </c>
      <c r="C5911" t="s">
        <v>213</v>
      </c>
      <c r="D5911" s="1" t="s">
        <v>7750</v>
      </c>
    </row>
    <row r="5912" spans="1:4" hidden="1" x14ac:dyDescent="0.3">
      <c r="A5912">
        <v>5910</v>
      </c>
      <c r="B5912" t="s">
        <v>7751</v>
      </c>
      <c r="C5912" t="s">
        <v>216</v>
      </c>
      <c r="D5912">
        <v>77716618.563531995</v>
      </c>
    </row>
    <row r="5913" spans="1:4" hidden="1" x14ac:dyDescent="0.3">
      <c r="A5913">
        <v>5911</v>
      </c>
      <c r="B5913" t="s">
        <v>7752</v>
      </c>
      <c r="C5913" t="s">
        <v>218</v>
      </c>
      <c r="D5913">
        <v>39639086.241125397</v>
      </c>
    </row>
    <row r="5914" spans="1:4" hidden="1" x14ac:dyDescent="0.3">
      <c r="A5914">
        <v>5912</v>
      </c>
      <c r="B5914" t="s">
        <v>7753</v>
      </c>
      <c r="C5914" t="s">
        <v>220</v>
      </c>
      <c r="D5914">
        <v>27692005.501976699</v>
      </c>
    </row>
    <row r="5915" spans="1:4" hidden="1" x14ac:dyDescent="0.3">
      <c r="A5915">
        <v>5913</v>
      </c>
      <c r="B5915" s="1" t="s">
        <v>7754</v>
      </c>
      <c r="C5915" t="s">
        <v>222</v>
      </c>
      <c r="D5915" s="1" t="s">
        <v>7755</v>
      </c>
    </row>
    <row r="5916" spans="1:4" hidden="1" x14ac:dyDescent="0.3">
      <c r="A5916">
        <v>5914</v>
      </c>
      <c r="B5916" t="s">
        <v>7756</v>
      </c>
      <c r="C5916" t="s">
        <v>225</v>
      </c>
      <c r="D5916">
        <v>101174269.235677</v>
      </c>
    </row>
    <row r="5917" spans="1:4" hidden="1" x14ac:dyDescent="0.3">
      <c r="A5917">
        <v>5915</v>
      </c>
      <c r="B5917" t="s">
        <v>7757</v>
      </c>
      <c r="C5917" t="s">
        <v>227</v>
      </c>
      <c r="D5917">
        <v>-655.12257339060295</v>
      </c>
    </row>
    <row r="5918" spans="1:4" hidden="1" x14ac:dyDescent="0.3">
      <c r="A5918">
        <v>5916</v>
      </c>
      <c r="B5918" s="1" t="s">
        <v>7758</v>
      </c>
      <c r="C5918" t="s">
        <v>229</v>
      </c>
      <c r="D5918" s="1" t="s">
        <v>7759</v>
      </c>
    </row>
    <row r="5919" spans="1:4" hidden="1" x14ac:dyDescent="0.3">
      <c r="A5919">
        <v>5917</v>
      </c>
      <c r="B5919" t="s">
        <v>7760</v>
      </c>
      <c r="C5919" t="s">
        <v>112</v>
      </c>
      <c r="D5919">
        <v>156.537067884549</v>
      </c>
    </row>
    <row r="5920" spans="1:4" hidden="1" x14ac:dyDescent="0.3">
      <c r="A5920">
        <v>5918</v>
      </c>
      <c r="B5920" t="s">
        <v>7761</v>
      </c>
      <c r="C5920" t="s">
        <v>114</v>
      </c>
      <c r="D5920">
        <v>47.052144965419899</v>
      </c>
    </row>
    <row r="5921" spans="1:4" hidden="1" x14ac:dyDescent="0.3">
      <c r="A5921">
        <v>5919</v>
      </c>
      <c r="B5921" s="1" t="s">
        <v>7762</v>
      </c>
      <c r="C5921" t="s">
        <v>116</v>
      </c>
      <c r="D5921" s="1" t="s">
        <v>7763</v>
      </c>
    </row>
    <row r="5922" spans="1:4" hidden="1" x14ac:dyDescent="0.3">
      <c r="A5922">
        <v>5920</v>
      </c>
      <c r="B5922" t="s">
        <v>7764</v>
      </c>
      <c r="C5922" t="s">
        <v>119</v>
      </c>
      <c r="D5922">
        <v>77716618.563531995</v>
      </c>
    </row>
    <row r="5923" spans="1:4" hidden="1" x14ac:dyDescent="0.3">
      <c r="A5923">
        <v>5921</v>
      </c>
      <c r="B5923" t="s">
        <v>7765</v>
      </c>
      <c r="C5923" t="s">
        <v>121</v>
      </c>
      <c r="D5923">
        <v>39639086.241125397</v>
      </c>
    </row>
    <row r="5924" spans="1:4" hidden="1" x14ac:dyDescent="0.3">
      <c r="A5924">
        <v>5922</v>
      </c>
      <c r="B5924" s="1" t="s">
        <v>7766</v>
      </c>
      <c r="C5924" t="s">
        <v>123</v>
      </c>
      <c r="D5924" s="1" t="s">
        <v>7767</v>
      </c>
    </row>
    <row r="5925" spans="1:4" hidden="1" x14ac:dyDescent="0.3">
      <c r="A5925">
        <v>5923</v>
      </c>
      <c r="B5925" t="s">
        <v>7768</v>
      </c>
      <c r="C5925" t="s">
        <v>126</v>
      </c>
      <c r="D5925">
        <v>0.76802336886603995</v>
      </c>
    </row>
    <row r="5926" spans="1:4" hidden="1" x14ac:dyDescent="0.3">
      <c r="A5926">
        <v>5924</v>
      </c>
      <c r="B5926" t="s">
        <v>7769</v>
      </c>
      <c r="C5926" t="s">
        <v>128</v>
      </c>
      <c r="D5926">
        <v>0.39172760107664001</v>
      </c>
    </row>
    <row r="5927" spans="1:4" hidden="1" x14ac:dyDescent="0.3">
      <c r="A5927">
        <v>5925</v>
      </c>
      <c r="B5927" s="1" t="s">
        <v>7770</v>
      </c>
      <c r="C5927" t="s">
        <v>130</v>
      </c>
      <c r="D5927" s="1" t="s">
        <v>7771</v>
      </c>
    </row>
    <row r="5928" spans="1:4" hidden="1" x14ac:dyDescent="0.3">
      <c r="A5928">
        <v>5926</v>
      </c>
      <c r="B5928" s="1" t="s">
        <v>7772</v>
      </c>
      <c r="C5928" t="s">
        <v>4</v>
      </c>
      <c r="D5928" t="s">
        <v>7773</v>
      </c>
    </row>
    <row r="5929" spans="1:4" hidden="1" x14ac:dyDescent="0.3">
      <c r="A5929">
        <v>5927</v>
      </c>
      <c r="B5929" t="s">
        <v>7774</v>
      </c>
      <c r="C5929" t="s">
        <v>7</v>
      </c>
      <c r="D5929">
        <v>1794.06</v>
      </c>
    </row>
    <row r="5930" spans="1:4" hidden="1" x14ac:dyDescent="0.3">
      <c r="A5930">
        <v>5928</v>
      </c>
      <c r="B5930" s="1" t="s">
        <v>7775</v>
      </c>
      <c r="C5930" t="s">
        <v>9</v>
      </c>
      <c r="D5930" s="1" t="s">
        <v>7776</v>
      </c>
    </row>
    <row r="5931" spans="1:4" hidden="1" x14ac:dyDescent="0.3">
      <c r="A5931">
        <v>5929</v>
      </c>
      <c r="B5931" t="s">
        <v>6166</v>
      </c>
      <c r="C5931" t="s">
        <v>14</v>
      </c>
      <c r="D5931">
        <v>98.63671875</v>
      </c>
    </row>
    <row r="5932" spans="1:4" hidden="1" x14ac:dyDescent="0.3">
      <c r="A5932">
        <v>5930</v>
      </c>
      <c r="B5932" t="s">
        <v>7777</v>
      </c>
      <c r="C5932" t="s">
        <v>16</v>
      </c>
      <c r="D5932">
        <v>4.39585973131644</v>
      </c>
    </row>
    <row r="5933" spans="1:4" hidden="1" x14ac:dyDescent="0.3">
      <c r="A5933">
        <v>5931</v>
      </c>
      <c r="B5933" s="1" t="s">
        <v>7778</v>
      </c>
      <c r="C5933" t="s">
        <v>140</v>
      </c>
      <c r="D5933" s="1" t="s">
        <v>7779</v>
      </c>
    </row>
    <row r="5934" spans="1:4" hidden="1" x14ac:dyDescent="0.3">
      <c r="A5934">
        <v>5932</v>
      </c>
      <c r="B5934" t="s">
        <v>7780</v>
      </c>
      <c r="C5934" t="s">
        <v>22</v>
      </c>
      <c r="D5934">
        <v>68</v>
      </c>
    </row>
    <row r="5935" spans="1:4" hidden="1" x14ac:dyDescent="0.3">
      <c r="A5935">
        <v>5933</v>
      </c>
      <c r="B5935" t="s">
        <v>7781</v>
      </c>
      <c r="C5935" t="s">
        <v>24</v>
      </c>
      <c r="D5935">
        <v>6.8077905624371304</v>
      </c>
    </row>
    <row r="5936" spans="1:4" hidden="1" x14ac:dyDescent="0.3">
      <c r="A5936">
        <v>5934</v>
      </c>
      <c r="B5936" s="1" t="s">
        <v>7782</v>
      </c>
      <c r="C5936" t="s">
        <v>145</v>
      </c>
      <c r="D5936" s="1" t="s">
        <v>7783</v>
      </c>
    </row>
    <row r="5937" spans="1:4" hidden="1" x14ac:dyDescent="0.3">
      <c r="A5937">
        <v>5935</v>
      </c>
      <c r="B5937" t="s">
        <v>7784</v>
      </c>
      <c r="C5937" t="s">
        <v>35</v>
      </c>
      <c r="D5937">
        <v>-0.44703776578213</v>
      </c>
    </row>
    <row r="5938" spans="1:4" hidden="1" x14ac:dyDescent="0.3">
      <c r="A5938">
        <v>5936</v>
      </c>
      <c r="B5938" t="s">
        <v>7785</v>
      </c>
      <c r="C5938" t="s">
        <v>149</v>
      </c>
      <c r="D5938">
        <v>0.75720235299007999</v>
      </c>
    </row>
    <row r="5939" spans="1:4" hidden="1" x14ac:dyDescent="0.3">
      <c r="A5939">
        <v>5937</v>
      </c>
      <c r="B5939" s="1" t="s">
        <v>7786</v>
      </c>
      <c r="C5939" t="s">
        <v>151</v>
      </c>
      <c r="D5939" s="1" t="s">
        <v>7787</v>
      </c>
    </row>
    <row r="5940" spans="1:4" hidden="1" x14ac:dyDescent="0.3">
      <c r="A5940">
        <v>5938</v>
      </c>
      <c r="B5940" t="s">
        <v>7788</v>
      </c>
      <c r="C5940" t="s">
        <v>30</v>
      </c>
      <c r="D5940">
        <v>0.54725693324018998</v>
      </c>
    </row>
    <row r="5941" spans="1:4" hidden="1" x14ac:dyDescent="0.3">
      <c r="A5941">
        <v>5939</v>
      </c>
      <c r="B5941" t="s">
        <v>7789</v>
      </c>
      <c r="C5941" t="s">
        <v>32</v>
      </c>
      <c r="D5941">
        <v>0.17362258128171101</v>
      </c>
    </row>
    <row r="5942" spans="1:4" hidden="1" x14ac:dyDescent="0.3">
      <c r="A5942">
        <v>5940</v>
      </c>
      <c r="B5942" s="1" t="s">
        <v>7790</v>
      </c>
      <c r="C5942" t="s">
        <v>155</v>
      </c>
      <c r="D5942" s="1" t="s">
        <v>7791</v>
      </c>
    </row>
    <row r="5943" spans="1:4" hidden="1" x14ac:dyDescent="0.3">
      <c r="A5943">
        <v>5941</v>
      </c>
      <c r="B5943" t="s">
        <v>7792</v>
      </c>
      <c r="C5943" t="s">
        <v>40</v>
      </c>
      <c r="D5943">
        <v>0.89978083254194097</v>
      </c>
    </row>
    <row r="5944" spans="1:4" hidden="1" x14ac:dyDescent="0.3">
      <c r="A5944">
        <v>5942</v>
      </c>
      <c r="B5944" t="s">
        <v>7793</v>
      </c>
      <c r="C5944" t="s">
        <v>42</v>
      </c>
      <c r="D5944">
        <v>0.14702835971331699</v>
      </c>
    </row>
    <row r="5945" spans="1:4" hidden="1" x14ac:dyDescent="0.3">
      <c r="A5945">
        <v>5943</v>
      </c>
      <c r="B5945" s="1" t="s">
        <v>7794</v>
      </c>
      <c r="C5945" t="s">
        <v>159</v>
      </c>
      <c r="D5945" s="1" t="s">
        <v>7795</v>
      </c>
    </row>
    <row r="5946" spans="1:4" hidden="1" x14ac:dyDescent="0.3">
      <c r="A5946">
        <v>5944</v>
      </c>
      <c r="B5946" t="s">
        <v>7796</v>
      </c>
      <c r="C5946" t="s">
        <v>161</v>
      </c>
      <c r="D5946">
        <v>0.99420895423134203</v>
      </c>
    </row>
    <row r="5947" spans="1:4" hidden="1" x14ac:dyDescent="0.3">
      <c r="A5947">
        <v>5945</v>
      </c>
      <c r="B5947" t="s">
        <v>7797</v>
      </c>
      <c r="C5947" t="s">
        <v>163</v>
      </c>
      <c r="D5947">
        <v>0.99959826540266505</v>
      </c>
    </row>
    <row r="5948" spans="1:4" hidden="1" x14ac:dyDescent="0.3">
      <c r="A5948">
        <v>5946</v>
      </c>
      <c r="B5948" s="1" t="s">
        <v>7798</v>
      </c>
      <c r="C5948" t="s">
        <v>165</v>
      </c>
      <c r="D5948" s="1" t="s">
        <v>7799</v>
      </c>
    </row>
    <row r="5949" spans="1:4" hidden="1" x14ac:dyDescent="0.3">
      <c r="A5949">
        <v>5947</v>
      </c>
      <c r="B5949" t="s">
        <v>7800</v>
      </c>
      <c r="C5949" t="s">
        <v>168</v>
      </c>
      <c r="D5949">
        <v>1.00033194652502</v>
      </c>
    </row>
    <row r="5950" spans="1:4" hidden="1" x14ac:dyDescent="0.3">
      <c r="A5950">
        <v>5948</v>
      </c>
      <c r="B5950" t="s">
        <v>7801</v>
      </c>
      <c r="C5950" t="s">
        <v>170</v>
      </c>
      <c r="D5950">
        <v>1.0002928621385301</v>
      </c>
    </row>
    <row r="5951" spans="1:4" hidden="1" x14ac:dyDescent="0.3">
      <c r="A5951">
        <v>5949</v>
      </c>
      <c r="B5951" s="1" t="s">
        <v>7802</v>
      </c>
      <c r="C5951" t="s">
        <v>172</v>
      </c>
      <c r="D5951" s="1" t="s">
        <v>7803</v>
      </c>
    </row>
    <row r="5952" spans="1:4" hidden="1" x14ac:dyDescent="0.3">
      <c r="A5952">
        <v>5950</v>
      </c>
      <c r="B5952" s="1" t="s">
        <v>7804</v>
      </c>
      <c r="C5952" t="s">
        <v>55</v>
      </c>
      <c r="D5952" s="1" t="s">
        <v>7805</v>
      </c>
    </row>
    <row r="5953" spans="1:4" hidden="1" x14ac:dyDescent="0.3">
      <c r="A5953">
        <v>5951</v>
      </c>
      <c r="B5953" s="1" t="s">
        <v>7806</v>
      </c>
      <c r="C5953" t="s">
        <v>52</v>
      </c>
      <c r="D5953" s="1" t="s">
        <v>7807</v>
      </c>
    </row>
    <row r="5954" spans="1:4" hidden="1" x14ac:dyDescent="0.3">
      <c r="A5954">
        <v>5952</v>
      </c>
      <c r="B5954" s="1" t="s">
        <v>7808</v>
      </c>
      <c r="C5954" t="s">
        <v>58</v>
      </c>
      <c r="D5954" s="1" t="s">
        <v>7809</v>
      </c>
    </row>
    <row r="5955" spans="1:4" hidden="1" x14ac:dyDescent="0.3">
      <c r="A5955">
        <v>5953</v>
      </c>
      <c r="B5955" t="s">
        <v>7810</v>
      </c>
      <c r="C5955" t="s">
        <v>61</v>
      </c>
      <c r="D5955">
        <v>144180315.881688</v>
      </c>
    </row>
    <row r="5956" spans="1:4" hidden="1" x14ac:dyDescent="0.3">
      <c r="A5956">
        <v>5954</v>
      </c>
      <c r="B5956" t="s">
        <v>7811</v>
      </c>
      <c r="C5956" t="s">
        <v>63</v>
      </c>
      <c r="D5956">
        <v>77266558.068445295</v>
      </c>
    </row>
    <row r="5957" spans="1:4" hidden="1" x14ac:dyDescent="0.3">
      <c r="A5957">
        <v>5955</v>
      </c>
      <c r="B5957" t="s">
        <v>7812</v>
      </c>
      <c r="C5957" t="s">
        <v>65</v>
      </c>
      <c r="D5957">
        <v>39623161.848775603</v>
      </c>
    </row>
    <row r="5958" spans="1:4" hidden="1" x14ac:dyDescent="0.3">
      <c r="A5958">
        <v>5956</v>
      </c>
      <c r="B5958" s="1" t="s">
        <v>7813</v>
      </c>
      <c r="C5958" t="s">
        <v>67</v>
      </c>
      <c r="D5958" s="1" t="s">
        <v>7814</v>
      </c>
    </row>
    <row r="5959" spans="1:4" hidden="1" x14ac:dyDescent="0.3">
      <c r="A5959">
        <v>5957</v>
      </c>
      <c r="B5959" s="1" t="s">
        <v>7815</v>
      </c>
      <c r="C5959" t="s">
        <v>70</v>
      </c>
      <c r="D5959" s="1" t="s">
        <v>7816</v>
      </c>
    </row>
    <row r="5960" spans="1:4" hidden="1" x14ac:dyDescent="0.3">
      <c r="A5960">
        <v>5958</v>
      </c>
      <c r="B5960" t="s">
        <v>7817</v>
      </c>
      <c r="C5960" t="s">
        <v>73</v>
      </c>
      <c r="D5960">
        <v>1.0001597785202301</v>
      </c>
    </row>
    <row r="5961" spans="1:4" hidden="1" x14ac:dyDescent="0.3">
      <c r="A5961">
        <v>5959</v>
      </c>
      <c r="B5961" t="s">
        <v>74</v>
      </c>
      <c r="C5961" t="s">
        <v>75</v>
      </c>
      <c r="D5961">
        <v>2.7397260273972599E-3</v>
      </c>
    </row>
    <row r="5962" spans="1:4" hidden="1" x14ac:dyDescent="0.3">
      <c r="A5962">
        <v>5960</v>
      </c>
      <c r="B5962" t="s">
        <v>76</v>
      </c>
      <c r="C5962" t="s">
        <v>77</v>
      </c>
      <c r="D5962">
        <v>0</v>
      </c>
    </row>
    <row r="5963" spans="1:4" hidden="1" x14ac:dyDescent="0.3">
      <c r="A5963">
        <v>5961</v>
      </c>
      <c r="B5963" t="s">
        <v>78</v>
      </c>
      <c r="C5963" t="s">
        <v>79</v>
      </c>
      <c r="D5963">
        <v>0</v>
      </c>
    </row>
    <row r="5964" spans="1:4" hidden="1" x14ac:dyDescent="0.3">
      <c r="A5964">
        <v>5962</v>
      </c>
      <c r="B5964" s="1" t="s">
        <v>7818</v>
      </c>
      <c r="C5964" t="s">
        <v>81</v>
      </c>
      <c r="D5964" s="1" t="s">
        <v>7819</v>
      </c>
    </row>
    <row r="5965" spans="1:4" hidden="1" x14ac:dyDescent="0.3">
      <c r="A5965">
        <v>5963</v>
      </c>
      <c r="B5965" t="s">
        <v>7820</v>
      </c>
      <c r="C5965" t="s">
        <v>84</v>
      </c>
      <c r="D5965">
        <v>1.0001466602168101</v>
      </c>
    </row>
    <row r="5966" spans="1:4" hidden="1" x14ac:dyDescent="0.3">
      <c r="A5966">
        <v>5964</v>
      </c>
      <c r="B5966" s="1" t="s">
        <v>7821</v>
      </c>
      <c r="C5966" t="s">
        <v>86</v>
      </c>
      <c r="D5966" s="1" t="s">
        <v>7822</v>
      </c>
    </row>
    <row r="5967" spans="1:4" hidden="1" x14ac:dyDescent="0.3">
      <c r="A5967">
        <v>5965</v>
      </c>
      <c r="B5967" t="s">
        <v>7823</v>
      </c>
      <c r="C5967" t="s">
        <v>89</v>
      </c>
      <c r="D5967">
        <v>101174941.144648</v>
      </c>
    </row>
    <row r="5968" spans="1:4" hidden="1" x14ac:dyDescent="0.3">
      <c r="A5968">
        <v>5966</v>
      </c>
      <c r="B5968" s="1" t="s">
        <v>7824</v>
      </c>
      <c r="C5968" t="s">
        <v>91</v>
      </c>
      <c r="D5968" s="1" t="s">
        <v>7759</v>
      </c>
    </row>
    <row r="5969" spans="1:4" hidden="1" x14ac:dyDescent="0.3">
      <c r="A5969">
        <v>5967</v>
      </c>
      <c r="B5969" t="s">
        <v>7825</v>
      </c>
      <c r="C5969" t="s">
        <v>94</v>
      </c>
      <c r="D5969">
        <v>77266558.068445295</v>
      </c>
    </row>
    <row r="5970" spans="1:4" hidden="1" x14ac:dyDescent="0.3">
      <c r="A5970">
        <v>5968</v>
      </c>
      <c r="B5970" t="s">
        <v>7826</v>
      </c>
      <c r="C5970" t="s">
        <v>96</v>
      </c>
      <c r="D5970">
        <v>39623161.848775603</v>
      </c>
    </row>
    <row r="5971" spans="1:4" hidden="1" x14ac:dyDescent="0.3">
      <c r="A5971">
        <v>5969</v>
      </c>
      <c r="B5971" t="s">
        <v>7827</v>
      </c>
      <c r="C5971" t="s">
        <v>98</v>
      </c>
      <c r="D5971">
        <v>27290595.964467201</v>
      </c>
    </row>
    <row r="5972" spans="1:4" hidden="1" x14ac:dyDescent="0.3">
      <c r="A5972">
        <v>5970</v>
      </c>
      <c r="B5972" s="1" t="s">
        <v>7828</v>
      </c>
      <c r="C5972" t="s">
        <v>100</v>
      </c>
      <c r="D5972" s="1" t="s">
        <v>7829</v>
      </c>
    </row>
    <row r="5973" spans="1:4" hidden="1" x14ac:dyDescent="0.3">
      <c r="A5973">
        <v>5971</v>
      </c>
      <c r="B5973" t="s">
        <v>7830</v>
      </c>
      <c r="C5973" t="s">
        <v>103</v>
      </c>
      <c r="D5973">
        <v>8.0583176176242007E-3</v>
      </c>
    </row>
    <row r="5974" spans="1:4" hidden="1" x14ac:dyDescent="0.3">
      <c r="A5974">
        <v>5972</v>
      </c>
      <c r="B5974" t="s">
        <v>7831</v>
      </c>
      <c r="C5974" t="s">
        <v>105</v>
      </c>
      <c r="D5974">
        <v>1.26915073453653E-3</v>
      </c>
    </row>
    <row r="5975" spans="1:4" hidden="1" x14ac:dyDescent="0.3">
      <c r="A5975">
        <v>5973</v>
      </c>
      <c r="B5975" t="s">
        <v>7832</v>
      </c>
      <c r="C5975" t="s">
        <v>107</v>
      </c>
      <c r="D5975">
        <v>9.5280689148066599E-3</v>
      </c>
    </row>
    <row r="5976" spans="1:4" hidden="1" x14ac:dyDescent="0.3">
      <c r="A5976">
        <v>5974</v>
      </c>
      <c r="B5976" s="1" t="s">
        <v>7833</v>
      </c>
      <c r="C5976" t="s">
        <v>109</v>
      </c>
      <c r="D5976" s="1" t="s">
        <v>7834</v>
      </c>
    </row>
    <row r="5977" spans="1:4" x14ac:dyDescent="0.3">
      <c r="A5977">
        <v>5975</v>
      </c>
      <c r="B5977" t="s">
        <v>7835</v>
      </c>
      <c r="C5977" t="s">
        <v>207</v>
      </c>
      <c r="D5977">
        <v>144179854.343007</v>
      </c>
    </row>
    <row r="5978" spans="1:4" hidden="1" x14ac:dyDescent="0.3">
      <c r="A5978">
        <v>5976</v>
      </c>
      <c r="B5978" t="s">
        <v>7836</v>
      </c>
      <c r="C5978" t="s">
        <v>209</v>
      </c>
      <c r="D5978">
        <v>1013.43991478332</v>
      </c>
    </row>
    <row r="5979" spans="1:4" hidden="1" x14ac:dyDescent="0.3">
      <c r="A5979">
        <v>5977</v>
      </c>
      <c r="B5979" t="s">
        <v>7837</v>
      </c>
      <c r="C5979" t="s">
        <v>211</v>
      </c>
      <c r="D5979">
        <v>519.70430316098395</v>
      </c>
    </row>
    <row r="5980" spans="1:4" hidden="1" x14ac:dyDescent="0.3">
      <c r="A5980">
        <v>5978</v>
      </c>
      <c r="B5980" s="1" t="s">
        <v>7838</v>
      </c>
      <c r="C5980" t="s">
        <v>213</v>
      </c>
      <c r="D5980" s="1" t="s">
        <v>7839</v>
      </c>
    </row>
    <row r="5981" spans="1:4" hidden="1" x14ac:dyDescent="0.3">
      <c r="A5981">
        <v>5979</v>
      </c>
      <c r="B5981" t="s">
        <v>7840</v>
      </c>
      <c r="C5981" t="s">
        <v>216</v>
      </c>
      <c r="D5981">
        <v>77265215.927885294</v>
      </c>
    </row>
    <row r="5982" spans="1:4" hidden="1" x14ac:dyDescent="0.3">
      <c r="A5982">
        <v>5980</v>
      </c>
      <c r="B5982" t="s">
        <v>7841</v>
      </c>
      <c r="C5982" t="s">
        <v>218</v>
      </c>
      <c r="D5982">
        <v>39622541.619519398</v>
      </c>
    </row>
    <row r="5983" spans="1:4" hidden="1" x14ac:dyDescent="0.3">
      <c r="A5983">
        <v>5981</v>
      </c>
      <c r="B5983" t="s">
        <v>7842</v>
      </c>
      <c r="C5983" t="s">
        <v>220</v>
      </c>
      <c r="D5983">
        <v>27290205.702683199</v>
      </c>
    </row>
    <row r="5984" spans="1:4" hidden="1" x14ac:dyDescent="0.3">
      <c r="A5984">
        <v>5982</v>
      </c>
      <c r="B5984" s="1" t="s">
        <v>7843</v>
      </c>
      <c r="C5984" t="s">
        <v>222</v>
      </c>
      <c r="D5984" s="1" t="s">
        <v>7844</v>
      </c>
    </row>
    <row r="5985" spans="1:4" hidden="1" x14ac:dyDescent="0.3">
      <c r="A5985">
        <v>5983</v>
      </c>
      <c r="B5985" t="s">
        <v>7845</v>
      </c>
      <c r="C5985" t="s">
        <v>225</v>
      </c>
      <c r="D5985">
        <v>101173614.113103</v>
      </c>
    </row>
    <row r="5986" spans="1:4" hidden="1" x14ac:dyDescent="0.3">
      <c r="A5986">
        <v>5984</v>
      </c>
      <c r="B5986" t="s">
        <v>7846</v>
      </c>
      <c r="C5986" t="s">
        <v>227</v>
      </c>
      <c r="D5986">
        <v>1327.0315449684799</v>
      </c>
    </row>
    <row r="5987" spans="1:4" hidden="1" x14ac:dyDescent="0.3">
      <c r="A5987">
        <v>5985</v>
      </c>
      <c r="B5987" s="1" t="s">
        <v>7847</v>
      </c>
      <c r="C5987" t="s">
        <v>229</v>
      </c>
      <c r="D5987" s="1" t="s">
        <v>7848</v>
      </c>
    </row>
    <row r="5988" spans="1:4" hidden="1" x14ac:dyDescent="0.3">
      <c r="A5988">
        <v>5986</v>
      </c>
      <c r="B5988" t="s">
        <v>7849</v>
      </c>
      <c r="C5988" t="s">
        <v>112</v>
      </c>
      <c r="D5988">
        <v>-328.70064522921803</v>
      </c>
    </row>
    <row r="5989" spans="1:4" hidden="1" x14ac:dyDescent="0.3">
      <c r="A5989">
        <v>5987</v>
      </c>
      <c r="B5989" t="s">
        <v>7850</v>
      </c>
      <c r="C5989" t="s">
        <v>114</v>
      </c>
      <c r="D5989">
        <v>-100.524953076741</v>
      </c>
    </row>
    <row r="5990" spans="1:4" hidden="1" x14ac:dyDescent="0.3">
      <c r="A5990">
        <v>5988</v>
      </c>
      <c r="B5990" s="1" t="s">
        <v>7851</v>
      </c>
      <c r="C5990" t="s">
        <v>116</v>
      </c>
      <c r="D5990" s="1" t="s">
        <v>7852</v>
      </c>
    </row>
    <row r="5991" spans="1:4" hidden="1" x14ac:dyDescent="0.3">
      <c r="A5991">
        <v>5989</v>
      </c>
      <c r="B5991" t="s">
        <v>7853</v>
      </c>
      <c r="C5991" t="s">
        <v>119</v>
      </c>
      <c r="D5991">
        <v>77265215.927885294</v>
      </c>
    </row>
    <row r="5992" spans="1:4" hidden="1" x14ac:dyDescent="0.3">
      <c r="A5992">
        <v>5990</v>
      </c>
      <c r="B5992" t="s">
        <v>7854</v>
      </c>
      <c r="C5992" t="s">
        <v>121</v>
      </c>
      <c r="D5992">
        <v>39622541.619519398</v>
      </c>
    </row>
    <row r="5993" spans="1:4" hidden="1" x14ac:dyDescent="0.3">
      <c r="A5993">
        <v>5991</v>
      </c>
      <c r="B5993" s="1" t="s">
        <v>7855</v>
      </c>
      <c r="C5993" t="s">
        <v>123</v>
      </c>
      <c r="D5993" s="1" t="s">
        <v>7856</v>
      </c>
    </row>
    <row r="5994" spans="1:4" hidden="1" x14ac:dyDescent="0.3">
      <c r="A5994">
        <v>5992</v>
      </c>
      <c r="B5994" t="s">
        <v>7857</v>
      </c>
      <c r="C5994" t="s">
        <v>126</v>
      </c>
      <c r="D5994">
        <v>0.76357740635687998</v>
      </c>
    </row>
    <row r="5995" spans="1:4" hidden="1" x14ac:dyDescent="0.3">
      <c r="A5995">
        <v>5993</v>
      </c>
      <c r="B5995" t="s">
        <v>7858</v>
      </c>
      <c r="C5995" t="s">
        <v>128</v>
      </c>
      <c r="D5995">
        <v>0.39157177262454301</v>
      </c>
    </row>
    <row r="5996" spans="1:4" hidden="1" x14ac:dyDescent="0.3">
      <c r="A5996">
        <v>5994</v>
      </c>
      <c r="B5996" s="1" t="s">
        <v>7859</v>
      </c>
      <c r="C5996" t="s">
        <v>130</v>
      </c>
      <c r="D5996" s="1" t="s">
        <v>7860</v>
      </c>
    </row>
    <row r="5997" spans="1:4" hidden="1" x14ac:dyDescent="0.3">
      <c r="A5997">
        <v>5995</v>
      </c>
      <c r="B5997" s="1" t="s">
        <v>7861</v>
      </c>
      <c r="C5997" t="s">
        <v>4</v>
      </c>
      <c r="D5997" t="s">
        <v>7862</v>
      </c>
    </row>
    <row r="5998" spans="1:4" hidden="1" x14ac:dyDescent="0.3">
      <c r="A5998">
        <v>5996</v>
      </c>
      <c r="B5998" t="s">
        <v>7863</v>
      </c>
      <c r="C5998" t="s">
        <v>7</v>
      </c>
      <c r="D5998">
        <v>1753.77</v>
      </c>
    </row>
    <row r="5999" spans="1:4" hidden="1" x14ac:dyDescent="0.3">
      <c r="A5999">
        <v>5997</v>
      </c>
      <c r="B5999" s="1" t="s">
        <v>7864</v>
      </c>
      <c r="C5999" t="s">
        <v>9</v>
      </c>
      <c r="D5999" s="1" t="s">
        <v>7865</v>
      </c>
    </row>
    <row r="6000" spans="1:4" hidden="1" x14ac:dyDescent="0.3">
      <c r="A6000">
        <v>5998</v>
      </c>
      <c r="B6000" t="s">
        <v>7866</v>
      </c>
      <c r="C6000" t="s">
        <v>14</v>
      </c>
      <c r="D6000">
        <v>98.46484375</v>
      </c>
    </row>
    <row r="6001" spans="1:4" hidden="1" x14ac:dyDescent="0.3">
      <c r="A6001">
        <v>5999</v>
      </c>
      <c r="B6001" t="s">
        <v>7867</v>
      </c>
      <c r="C6001" t="s">
        <v>16</v>
      </c>
      <c r="D6001">
        <v>4.3936588733794801</v>
      </c>
    </row>
    <row r="6002" spans="1:4" hidden="1" x14ac:dyDescent="0.3">
      <c r="A6002">
        <v>6000</v>
      </c>
      <c r="B6002" s="1" t="s">
        <v>7868</v>
      </c>
      <c r="C6002" t="s">
        <v>140</v>
      </c>
      <c r="D6002" s="1" t="s">
        <v>7869</v>
      </c>
    </row>
    <row r="6003" spans="1:4" hidden="1" x14ac:dyDescent="0.3">
      <c r="A6003">
        <v>6001</v>
      </c>
      <c r="B6003" t="s">
        <v>7870</v>
      </c>
      <c r="C6003" t="s">
        <v>22</v>
      </c>
      <c r="D6003">
        <v>66.95</v>
      </c>
    </row>
    <row r="6004" spans="1:4" hidden="1" x14ac:dyDescent="0.3">
      <c r="A6004">
        <v>6002</v>
      </c>
      <c r="B6004" t="s">
        <v>7871</v>
      </c>
      <c r="C6004" t="s">
        <v>24</v>
      </c>
      <c r="D6004">
        <v>6.8101263429271999</v>
      </c>
    </row>
    <row r="6005" spans="1:4" hidden="1" x14ac:dyDescent="0.3">
      <c r="A6005">
        <v>6003</v>
      </c>
      <c r="B6005" s="1" t="s">
        <v>7872</v>
      </c>
      <c r="C6005" t="s">
        <v>145</v>
      </c>
      <c r="D6005" s="1" t="s">
        <v>7873</v>
      </c>
    </row>
    <row r="6006" spans="1:4" hidden="1" x14ac:dyDescent="0.3">
      <c r="A6006">
        <v>6004</v>
      </c>
      <c r="B6006" t="s">
        <v>7874</v>
      </c>
      <c r="C6006" t="s">
        <v>35</v>
      </c>
      <c r="D6006">
        <v>0.55800053728834398</v>
      </c>
    </row>
    <row r="6007" spans="1:4" hidden="1" x14ac:dyDescent="0.3">
      <c r="A6007">
        <v>6005</v>
      </c>
      <c r="B6007" t="s">
        <v>7875</v>
      </c>
      <c r="C6007" t="s">
        <v>149</v>
      </c>
      <c r="D6007">
        <v>0.75572415532142301</v>
      </c>
    </row>
    <row r="6008" spans="1:4" hidden="1" x14ac:dyDescent="0.3">
      <c r="A6008">
        <v>6006</v>
      </c>
      <c r="B6008" s="1" t="s">
        <v>7876</v>
      </c>
      <c r="C6008" t="s">
        <v>151</v>
      </c>
      <c r="D6008" s="1" t="s">
        <v>7877</v>
      </c>
    </row>
    <row r="6009" spans="1:4" hidden="1" x14ac:dyDescent="0.3">
      <c r="A6009">
        <v>6007</v>
      </c>
      <c r="B6009" t="s">
        <v>7878</v>
      </c>
      <c r="C6009" t="s">
        <v>30</v>
      </c>
      <c r="D6009">
        <v>0.17053720277155701</v>
      </c>
    </row>
    <row r="6010" spans="1:4" hidden="1" x14ac:dyDescent="0.3">
      <c r="A6010">
        <v>6008</v>
      </c>
      <c r="B6010" t="s">
        <v>7879</v>
      </c>
      <c r="C6010" t="s">
        <v>32</v>
      </c>
      <c r="D6010">
        <v>0.17527143033192799</v>
      </c>
    </row>
    <row r="6011" spans="1:4" hidden="1" x14ac:dyDescent="0.3">
      <c r="A6011">
        <v>6009</v>
      </c>
      <c r="B6011" s="1" t="s">
        <v>7880</v>
      </c>
      <c r="C6011" t="s">
        <v>155</v>
      </c>
      <c r="D6011" s="1" t="s">
        <v>7881</v>
      </c>
    </row>
    <row r="6012" spans="1:4" hidden="1" x14ac:dyDescent="0.3">
      <c r="A6012">
        <v>6010</v>
      </c>
      <c r="B6012" t="s">
        <v>7882</v>
      </c>
      <c r="C6012" t="s">
        <v>40</v>
      </c>
      <c r="D6012">
        <v>0.27146225994009698</v>
      </c>
    </row>
    <row r="6013" spans="1:4" hidden="1" x14ac:dyDescent="0.3">
      <c r="A6013">
        <v>6011</v>
      </c>
      <c r="B6013" t="s">
        <v>7883</v>
      </c>
      <c r="C6013" t="s">
        <v>42</v>
      </c>
      <c r="D6013">
        <v>0.147962706037155</v>
      </c>
    </row>
    <row r="6014" spans="1:4" hidden="1" x14ac:dyDescent="0.3">
      <c r="A6014">
        <v>6012</v>
      </c>
      <c r="B6014" s="1" t="s">
        <v>7884</v>
      </c>
      <c r="C6014" t="s">
        <v>159</v>
      </c>
      <c r="D6014" s="1" t="s">
        <v>7885</v>
      </c>
    </row>
    <row r="6015" spans="1:4" hidden="1" x14ac:dyDescent="0.3">
      <c r="A6015">
        <v>6013</v>
      </c>
      <c r="B6015" t="s">
        <v>7886</v>
      </c>
      <c r="C6015" t="s">
        <v>161</v>
      </c>
      <c r="D6015">
        <v>0.97754255710511295</v>
      </c>
    </row>
    <row r="6016" spans="1:4" hidden="1" x14ac:dyDescent="0.3">
      <c r="A6016">
        <v>6014</v>
      </c>
      <c r="B6016" t="s">
        <v>7887</v>
      </c>
      <c r="C6016" t="s">
        <v>163</v>
      </c>
      <c r="D6016">
        <v>0.99831047751591895</v>
      </c>
    </row>
    <row r="6017" spans="1:4" hidden="1" x14ac:dyDescent="0.3">
      <c r="A6017">
        <v>6015</v>
      </c>
      <c r="B6017" s="1" t="s">
        <v>7888</v>
      </c>
      <c r="C6017" t="s">
        <v>165</v>
      </c>
      <c r="D6017" s="1" t="s">
        <v>7889</v>
      </c>
    </row>
    <row r="6018" spans="1:4" hidden="1" x14ac:dyDescent="0.3">
      <c r="A6018">
        <v>6016</v>
      </c>
      <c r="B6018" t="s">
        <v>7890</v>
      </c>
      <c r="C6018" t="s">
        <v>168</v>
      </c>
      <c r="D6018">
        <v>0.99915877777756101</v>
      </c>
    </row>
    <row r="6019" spans="1:4" hidden="1" x14ac:dyDescent="0.3">
      <c r="A6019">
        <v>6017</v>
      </c>
      <c r="B6019" t="s">
        <v>7891</v>
      </c>
      <c r="C6019" t="s">
        <v>170</v>
      </c>
      <c r="D6019">
        <v>1.00140492273795</v>
      </c>
    </row>
    <row r="6020" spans="1:4" hidden="1" x14ac:dyDescent="0.3">
      <c r="A6020">
        <v>6018</v>
      </c>
      <c r="B6020" s="1" t="s">
        <v>7892</v>
      </c>
      <c r="C6020" t="s">
        <v>172</v>
      </c>
      <c r="D6020" s="1" t="s">
        <v>7893</v>
      </c>
    </row>
    <row r="6021" spans="1:4" hidden="1" x14ac:dyDescent="0.3">
      <c r="A6021">
        <v>6019</v>
      </c>
      <c r="B6021" s="1" t="s">
        <v>7894</v>
      </c>
      <c r="C6021" t="s">
        <v>55</v>
      </c>
      <c r="D6021" s="1" t="s">
        <v>7895</v>
      </c>
    </row>
    <row r="6022" spans="1:4" hidden="1" x14ac:dyDescent="0.3">
      <c r="A6022">
        <v>6020</v>
      </c>
      <c r="B6022" s="1" t="s">
        <v>7896</v>
      </c>
      <c r="C6022" t="s">
        <v>52</v>
      </c>
      <c r="D6022" s="1" t="s">
        <v>7897</v>
      </c>
    </row>
    <row r="6023" spans="1:4" hidden="1" x14ac:dyDescent="0.3">
      <c r="A6023">
        <v>6021</v>
      </c>
      <c r="B6023" s="1" t="s">
        <v>7898</v>
      </c>
      <c r="C6023" t="s">
        <v>58</v>
      </c>
      <c r="D6023" s="1" t="s">
        <v>7899</v>
      </c>
    </row>
    <row r="6024" spans="1:4" hidden="1" x14ac:dyDescent="0.3">
      <c r="A6024">
        <v>6022</v>
      </c>
      <c r="B6024" t="s">
        <v>7900</v>
      </c>
      <c r="C6024" t="s">
        <v>61</v>
      </c>
      <c r="D6024">
        <v>141993648.45999199</v>
      </c>
    </row>
    <row r="6025" spans="1:4" hidden="1" x14ac:dyDescent="0.3">
      <c r="A6025">
        <v>6023</v>
      </c>
      <c r="B6025" t="s">
        <v>7901</v>
      </c>
      <c r="C6025" t="s">
        <v>63</v>
      </c>
      <c r="D6025">
        <v>75530036.753423706</v>
      </c>
    </row>
    <row r="6026" spans="1:4" hidden="1" x14ac:dyDescent="0.3">
      <c r="A6026">
        <v>6024</v>
      </c>
      <c r="B6026" t="s">
        <v>7902</v>
      </c>
      <c r="C6026" t="s">
        <v>65</v>
      </c>
      <c r="D6026">
        <v>39555598.4445768</v>
      </c>
    </row>
    <row r="6027" spans="1:4" hidden="1" x14ac:dyDescent="0.3">
      <c r="A6027">
        <v>6025</v>
      </c>
      <c r="B6027" s="1" t="s">
        <v>7903</v>
      </c>
      <c r="C6027" t="s">
        <v>67</v>
      </c>
      <c r="D6027" s="1" t="s">
        <v>7904</v>
      </c>
    </row>
    <row r="6028" spans="1:4" hidden="1" x14ac:dyDescent="0.3">
      <c r="A6028">
        <v>6026</v>
      </c>
      <c r="B6028" s="1" t="s">
        <v>7905</v>
      </c>
      <c r="C6028" t="s">
        <v>70</v>
      </c>
      <c r="D6028" s="1" t="s">
        <v>7906</v>
      </c>
    </row>
    <row r="6029" spans="1:4" hidden="1" x14ac:dyDescent="0.3">
      <c r="A6029">
        <v>6027</v>
      </c>
      <c r="B6029" t="s">
        <v>7907</v>
      </c>
      <c r="C6029" t="s">
        <v>73</v>
      </c>
      <c r="D6029">
        <v>1.0001466602168101</v>
      </c>
    </row>
    <row r="6030" spans="1:4" hidden="1" x14ac:dyDescent="0.3">
      <c r="A6030">
        <v>6028</v>
      </c>
      <c r="B6030" t="s">
        <v>74</v>
      </c>
      <c r="C6030" t="s">
        <v>75</v>
      </c>
      <c r="D6030">
        <v>2.7397260273972599E-3</v>
      </c>
    </row>
    <row r="6031" spans="1:4" hidden="1" x14ac:dyDescent="0.3">
      <c r="A6031">
        <v>6029</v>
      </c>
      <c r="B6031" t="s">
        <v>76</v>
      </c>
      <c r="C6031" t="s">
        <v>77</v>
      </c>
      <c r="D6031">
        <v>0</v>
      </c>
    </row>
    <row r="6032" spans="1:4" hidden="1" x14ac:dyDescent="0.3">
      <c r="A6032">
        <v>6030</v>
      </c>
      <c r="B6032" t="s">
        <v>78</v>
      </c>
      <c r="C6032" t="s">
        <v>79</v>
      </c>
      <c r="D6032">
        <v>0</v>
      </c>
    </row>
    <row r="6033" spans="1:4" hidden="1" x14ac:dyDescent="0.3">
      <c r="A6033">
        <v>6031</v>
      </c>
      <c r="B6033" s="1" t="s">
        <v>7908</v>
      </c>
      <c r="C6033" t="s">
        <v>81</v>
      </c>
      <c r="D6033" s="1" t="s">
        <v>7909</v>
      </c>
    </row>
    <row r="6034" spans="1:4" hidden="1" x14ac:dyDescent="0.3">
      <c r="A6034">
        <v>6032</v>
      </c>
      <c r="B6034" t="s">
        <v>7910</v>
      </c>
      <c r="C6034" t="s">
        <v>84</v>
      </c>
      <c r="D6034">
        <v>1.0001413584288501</v>
      </c>
    </row>
    <row r="6035" spans="1:4" hidden="1" x14ac:dyDescent="0.3">
      <c r="A6035">
        <v>6033</v>
      </c>
      <c r="B6035" s="1" t="s">
        <v>7911</v>
      </c>
      <c r="C6035" t="s">
        <v>86</v>
      </c>
      <c r="D6035" s="1" t="s">
        <v>7912</v>
      </c>
    </row>
    <row r="6036" spans="1:4" hidden="1" x14ac:dyDescent="0.3">
      <c r="A6036">
        <v>6034</v>
      </c>
      <c r="B6036" t="s">
        <v>7913</v>
      </c>
      <c r="C6036" t="s">
        <v>89</v>
      </c>
      <c r="D6036">
        <v>101175477.476918</v>
      </c>
    </row>
    <row r="6037" spans="1:4" hidden="1" x14ac:dyDescent="0.3">
      <c r="A6037">
        <v>6035</v>
      </c>
      <c r="B6037" s="1" t="s">
        <v>7914</v>
      </c>
      <c r="C6037" t="s">
        <v>91</v>
      </c>
      <c r="D6037" s="1" t="s">
        <v>7848</v>
      </c>
    </row>
    <row r="6038" spans="1:4" hidden="1" x14ac:dyDescent="0.3">
      <c r="A6038">
        <v>6036</v>
      </c>
      <c r="B6038" t="s">
        <v>7915</v>
      </c>
      <c r="C6038" t="s">
        <v>94</v>
      </c>
      <c r="D6038">
        <v>75530036.753423706</v>
      </c>
    </row>
    <row r="6039" spans="1:4" hidden="1" x14ac:dyDescent="0.3">
      <c r="A6039">
        <v>6037</v>
      </c>
      <c r="B6039" t="s">
        <v>7916</v>
      </c>
      <c r="C6039" t="s">
        <v>96</v>
      </c>
      <c r="D6039">
        <v>39555598.4445768</v>
      </c>
    </row>
    <row r="6040" spans="1:4" hidden="1" x14ac:dyDescent="0.3">
      <c r="A6040">
        <v>6038</v>
      </c>
      <c r="B6040" t="s">
        <v>7917</v>
      </c>
      <c r="C6040" t="s">
        <v>98</v>
      </c>
      <c r="D6040">
        <v>26908013.261992101</v>
      </c>
    </row>
    <row r="6041" spans="1:4" hidden="1" x14ac:dyDescent="0.3">
      <c r="A6041">
        <v>6039</v>
      </c>
      <c r="B6041" s="1" t="s">
        <v>7918</v>
      </c>
      <c r="C6041" t="s">
        <v>100</v>
      </c>
      <c r="D6041" s="1" t="s">
        <v>7919</v>
      </c>
    </row>
    <row r="6042" spans="1:4" hidden="1" x14ac:dyDescent="0.3">
      <c r="A6042">
        <v>6040</v>
      </c>
      <c r="B6042" t="s">
        <v>7920</v>
      </c>
      <c r="C6042" t="s">
        <v>103</v>
      </c>
      <c r="D6042">
        <v>8.0604943090458094E-3</v>
      </c>
    </row>
    <row r="6043" spans="1:4" hidden="1" x14ac:dyDescent="0.3">
      <c r="A6043">
        <v>6041</v>
      </c>
      <c r="B6043" t="s">
        <v>7921</v>
      </c>
      <c r="C6043" t="s">
        <v>105</v>
      </c>
      <c r="D6043">
        <v>1.2813720695567399E-3</v>
      </c>
    </row>
    <row r="6044" spans="1:4" hidden="1" x14ac:dyDescent="0.3">
      <c r="A6044">
        <v>6042</v>
      </c>
      <c r="B6044" t="s">
        <v>7922</v>
      </c>
      <c r="C6044" t="s">
        <v>107</v>
      </c>
      <c r="D6044">
        <v>9.60800606922943E-3</v>
      </c>
    </row>
    <row r="6045" spans="1:4" hidden="1" x14ac:dyDescent="0.3">
      <c r="A6045">
        <v>6043</v>
      </c>
      <c r="B6045" s="1" t="s">
        <v>7923</v>
      </c>
      <c r="C6045" t="s">
        <v>109</v>
      </c>
      <c r="D6045" s="1" t="s">
        <v>7924</v>
      </c>
    </row>
    <row r="6046" spans="1:4" x14ac:dyDescent="0.3">
      <c r="A6046">
        <v>6044</v>
      </c>
      <c r="B6046" t="s">
        <v>7925</v>
      </c>
      <c r="C6046" t="s">
        <v>207</v>
      </c>
      <c r="D6046">
        <v>141993461.73062</v>
      </c>
    </row>
    <row r="6047" spans="1:4" hidden="1" x14ac:dyDescent="0.3">
      <c r="A6047">
        <v>6045</v>
      </c>
      <c r="B6047" t="s">
        <v>7926</v>
      </c>
      <c r="C6047" t="s">
        <v>209</v>
      </c>
      <c r="D6047">
        <v>400.38484724845199</v>
      </c>
    </row>
    <row r="6048" spans="1:4" hidden="1" x14ac:dyDescent="0.3">
      <c r="A6048">
        <v>6046</v>
      </c>
      <c r="B6048" t="s">
        <v>7927</v>
      </c>
      <c r="C6048" t="s">
        <v>211</v>
      </c>
      <c r="D6048">
        <v>209.68442016237401</v>
      </c>
    </row>
    <row r="6049" spans="1:4" hidden="1" x14ac:dyDescent="0.3">
      <c r="A6049">
        <v>6047</v>
      </c>
      <c r="B6049" s="1" t="s">
        <v>7928</v>
      </c>
      <c r="C6049" t="s">
        <v>213</v>
      </c>
      <c r="D6049" s="1" t="s">
        <v>7929</v>
      </c>
    </row>
    <row r="6050" spans="1:4" hidden="1" x14ac:dyDescent="0.3">
      <c r="A6050">
        <v>6048</v>
      </c>
      <c r="B6050" t="s">
        <v>7930</v>
      </c>
      <c r="C6050" t="s">
        <v>216</v>
      </c>
      <c r="D6050">
        <v>75529509.668931797</v>
      </c>
    </row>
    <row r="6051" spans="1:4" hidden="1" x14ac:dyDescent="0.3">
      <c r="A6051">
        <v>6049</v>
      </c>
      <c r="B6051" t="s">
        <v>7931</v>
      </c>
      <c r="C6051" t="s">
        <v>218</v>
      </c>
      <c r="D6051">
        <v>39555346.684363298</v>
      </c>
    </row>
    <row r="6052" spans="1:4" hidden="1" x14ac:dyDescent="0.3">
      <c r="A6052">
        <v>6050</v>
      </c>
      <c r="B6052" t="s">
        <v>7932</v>
      </c>
      <c r="C6052" t="s">
        <v>220</v>
      </c>
      <c r="D6052">
        <v>26907852.668492202</v>
      </c>
    </row>
    <row r="6053" spans="1:4" hidden="1" x14ac:dyDescent="0.3">
      <c r="A6053">
        <v>6051</v>
      </c>
      <c r="B6053" s="1" t="s">
        <v>7933</v>
      </c>
      <c r="C6053" t="s">
        <v>222</v>
      </c>
      <c r="D6053" s="1" t="s">
        <v>7934</v>
      </c>
    </row>
    <row r="6054" spans="1:4" hidden="1" x14ac:dyDescent="0.3">
      <c r="A6054">
        <v>6052</v>
      </c>
      <c r="B6054" t="s">
        <v>7935</v>
      </c>
      <c r="C6054" t="s">
        <v>225</v>
      </c>
      <c r="D6054">
        <v>101174941.144648</v>
      </c>
    </row>
    <row r="6055" spans="1:4" hidden="1" x14ac:dyDescent="0.3">
      <c r="A6055">
        <v>6053</v>
      </c>
      <c r="B6055" t="s">
        <v>7936</v>
      </c>
      <c r="C6055" t="s">
        <v>227</v>
      </c>
      <c r="D6055">
        <v>536.332269772887</v>
      </c>
    </row>
    <row r="6056" spans="1:4" hidden="1" x14ac:dyDescent="0.3">
      <c r="A6056">
        <v>6054</v>
      </c>
      <c r="B6056" s="1" t="s">
        <v>7937</v>
      </c>
      <c r="C6056" t="s">
        <v>229</v>
      </c>
      <c r="D6056" s="1" t="s">
        <v>7938</v>
      </c>
    </row>
    <row r="6057" spans="1:4" hidden="1" x14ac:dyDescent="0.3">
      <c r="A6057">
        <v>6055</v>
      </c>
      <c r="B6057" t="s">
        <v>7939</v>
      </c>
      <c r="C6057" t="s">
        <v>112</v>
      </c>
      <c r="D6057">
        <v>-126.69964473284099</v>
      </c>
    </row>
    <row r="6058" spans="1:4" hidden="1" x14ac:dyDescent="0.3">
      <c r="A6058">
        <v>6056</v>
      </c>
      <c r="B6058" t="s">
        <v>7940</v>
      </c>
      <c r="C6058" t="s">
        <v>114</v>
      </c>
      <c r="D6058">
        <v>-42.075793388618699</v>
      </c>
    </row>
    <row r="6059" spans="1:4" hidden="1" x14ac:dyDescent="0.3">
      <c r="A6059">
        <v>6057</v>
      </c>
      <c r="B6059" s="1" t="s">
        <v>7941</v>
      </c>
      <c r="C6059" t="s">
        <v>116</v>
      </c>
      <c r="D6059" s="1" t="s">
        <v>7942</v>
      </c>
    </row>
    <row r="6060" spans="1:4" hidden="1" x14ac:dyDescent="0.3">
      <c r="A6060">
        <v>6058</v>
      </c>
      <c r="B6060" t="s">
        <v>7943</v>
      </c>
      <c r="C6060" t="s">
        <v>119</v>
      </c>
      <c r="D6060">
        <v>75529509.668931797</v>
      </c>
    </row>
    <row r="6061" spans="1:4" hidden="1" x14ac:dyDescent="0.3">
      <c r="A6061">
        <v>6059</v>
      </c>
      <c r="B6061" t="s">
        <v>7944</v>
      </c>
      <c r="C6061" t="s">
        <v>121</v>
      </c>
      <c r="D6061">
        <v>39555346.684363298</v>
      </c>
    </row>
    <row r="6062" spans="1:4" hidden="1" x14ac:dyDescent="0.3">
      <c r="A6062">
        <v>6060</v>
      </c>
      <c r="B6062" s="1" t="s">
        <v>7945</v>
      </c>
      <c r="C6062" t="s">
        <v>123</v>
      </c>
      <c r="D6062" s="1" t="s">
        <v>7946</v>
      </c>
    </row>
    <row r="6063" spans="1:4" hidden="1" x14ac:dyDescent="0.3">
      <c r="A6063">
        <v>6061</v>
      </c>
      <c r="B6063" t="s">
        <v>7947</v>
      </c>
      <c r="C6063" t="s">
        <v>126</v>
      </c>
      <c r="D6063">
        <v>0.74641836793536598</v>
      </c>
    </row>
    <row r="6064" spans="1:4" hidden="1" x14ac:dyDescent="0.3">
      <c r="A6064">
        <v>6062</v>
      </c>
      <c r="B6064" t="s">
        <v>7948</v>
      </c>
      <c r="C6064" t="s">
        <v>128</v>
      </c>
      <c r="D6064">
        <v>0.39090466024043002</v>
      </c>
    </row>
    <row r="6065" spans="1:4" hidden="1" x14ac:dyDescent="0.3">
      <c r="A6065">
        <v>6063</v>
      </c>
      <c r="B6065" s="1" t="s">
        <v>7949</v>
      </c>
      <c r="C6065" t="s">
        <v>130</v>
      </c>
      <c r="D6065" s="1" t="s">
        <v>7950</v>
      </c>
    </row>
    <row r="6066" spans="1:4" hidden="1" x14ac:dyDescent="0.3">
      <c r="A6066">
        <v>6064</v>
      </c>
      <c r="B6066" s="1" t="s">
        <v>7951</v>
      </c>
      <c r="C6066" t="s">
        <v>4</v>
      </c>
      <c r="D6066" t="s">
        <v>7952</v>
      </c>
    </row>
    <row r="6067" spans="1:4" hidden="1" x14ac:dyDescent="0.3">
      <c r="A6067">
        <v>6065</v>
      </c>
      <c r="B6067" t="s">
        <v>7953</v>
      </c>
      <c r="C6067" t="s">
        <v>7</v>
      </c>
      <c r="D6067">
        <v>1754.34</v>
      </c>
    </row>
    <row r="6068" spans="1:4" hidden="1" x14ac:dyDescent="0.3">
      <c r="A6068">
        <v>6066</v>
      </c>
      <c r="B6068" s="1" t="s">
        <v>7954</v>
      </c>
      <c r="C6068" t="s">
        <v>9</v>
      </c>
      <c r="D6068" s="1" t="s">
        <v>7955</v>
      </c>
    </row>
    <row r="6069" spans="1:4" hidden="1" x14ac:dyDescent="0.3">
      <c r="A6069">
        <v>6067</v>
      </c>
      <c r="B6069" t="s">
        <v>7956</v>
      </c>
      <c r="C6069" t="s">
        <v>14</v>
      </c>
      <c r="D6069">
        <v>98.3984375</v>
      </c>
    </row>
    <row r="6070" spans="1:4" hidden="1" x14ac:dyDescent="0.3">
      <c r="A6070">
        <v>6068</v>
      </c>
      <c r="B6070" t="s">
        <v>7957</v>
      </c>
      <c r="C6070" t="s">
        <v>16</v>
      </c>
      <c r="D6070">
        <v>4.3913499958966398</v>
      </c>
    </row>
    <row r="6071" spans="1:4" hidden="1" x14ac:dyDescent="0.3">
      <c r="A6071">
        <v>6069</v>
      </c>
      <c r="B6071" s="1" t="s">
        <v>7958</v>
      </c>
      <c r="C6071" t="s">
        <v>140</v>
      </c>
      <c r="D6071" s="1" t="s">
        <v>7959</v>
      </c>
    </row>
    <row r="6072" spans="1:4" hidden="1" x14ac:dyDescent="0.3">
      <c r="A6072">
        <v>6070</v>
      </c>
      <c r="B6072" t="s">
        <v>7960</v>
      </c>
      <c r="C6072" t="s">
        <v>22</v>
      </c>
      <c r="D6072">
        <v>66.650000000000006</v>
      </c>
    </row>
    <row r="6073" spans="1:4" hidden="1" x14ac:dyDescent="0.3">
      <c r="A6073">
        <v>6071</v>
      </c>
      <c r="B6073" t="s">
        <v>7961</v>
      </c>
      <c r="C6073" t="s">
        <v>24</v>
      </c>
      <c r="D6073">
        <v>6.8003190776272904</v>
      </c>
    </row>
    <row r="6074" spans="1:4" hidden="1" x14ac:dyDescent="0.3">
      <c r="A6074">
        <v>6072</v>
      </c>
      <c r="B6074" s="1" t="s">
        <v>7962</v>
      </c>
      <c r="C6074" t="s">
        <v>145</v>
      </c>
      <c r="D6074" s="1" t="s">
        <v>7963</v>
      </c>
    </row>
    <row r="6075" spans="1:4" hidden="1" x14ac:dyDescent="0.3">
      <c r="A6075">
        <v>6073</v>
      </c>
      <c r="B6075" t="s">
        <v>7964</v>
      </c>
      <c r="C6075" t="s">
        <v>35</v>
      </c>
      <c r="D6075">
        <v>0.117815048770485</v>
      </c>
    </row>
    <row r="6076" spans="1:4" hidden="1" x14ac:dyDescent="0.3">
      <c r="A6076">
        <v>6074</v>
      </c>
      <c r="B6076" t="s">
        <v>7965</v>
      </c>
      <c r="C6076" t="s">
        <v>149</v>
      </c>
      <c r="D6076">
        <v>0.76543583302295404</v>
      </c>
    </row>
    <row r="6077" spans="1:4" hidden="1" x14ac:dyDescent="0.3">
      <c r="A6077">
        <v>6075</v>
      </c>
      <c r="B6077" s="1" t="s">
        <v>7966</v>
      </c>
      <c r="C6077" t="s">
        <v>151</v>
      </c>
      <c r="D6077" s="1" t="s">
        <v>7967</v>
      </c>
    </row>
    <row r="6078" spans="1:4" hidden="1" x14ac:dyDescent="0.3">
      <c r="A6078">
        <v>6076</v>
      </c>
      <c r="B6078" t="s">
        <v>7968</v>
      </c>
      <c r="C6078" t="s">
        <v>30</v>
      </c>
      <c r="D6078">
        <v>0.33407050388838599</v>
      </c>
    </row>
    <row r="6079" spans="1:4" hidden="1" x14ac:dyDescent="0.3">
      <c r="A6079">
        <v>6077</v>
      </c>
      <c r="B6079" t="s">
        <v>7969</v>
      </c>
      <c r="C6079" t="s">
        <v>32</v>
      </c>
      <c r="D6079">
        <v>0.16667482537599601</v>
      </c>
    </row>
    <row r="6080" spans="1:4" hidden="1" x14ac:dyDescent="0.3">
      <c r="A6080">
        <v>6078</v>
      </c>
      <c r="B6080" s="1" t="s">
        <v>7970</v>
      </c>
      <c r="C6080" t="s">
        <v>155</v>
      </c>
      <c r="D6080" s="1" t="s">
        <v>7971</v>
      </c>
    </row>
    <row r="6081" spans="1:4" hidden="1" x14ac:dyDescent="0.3">
      <c r="A6081">
        <v>6079</v>
      </c>
      <c r="B6081" t="s">
        <v>7972</v>
      </c>
      <c r="C6081" t="s">
        <v>40</v>
      </c>
      <c r="D6081">
        <v>0.54811444734112702</v>
      </c>
    </row>
    <row r="6082" spans="1:4" hidden="1" x14ac:dyDescent="0.3">
      <c r="A6082">
        <v>6080</v>
      </c>
      <c r="B6082" t="s">
        <v>7973</v>
      </c>
      <c r="C6082" t="s">
        <v>42</v>
      </c>
      <c r="D6082">
        <v>0.13977041386852099</v>
      </c>
    </row>
    <row r="6083" spans="1:4" hidden="1" x14ac:dyDescent="0.3">
      <c r="A6083">
        <v>6081</v>
      </c>
      <c r="B6083" s="1" t="s">
        <v>7974</v>
      </c>
      <c r="C6083" t="s">
        <v>159</v>
      </c>
      <c r="D6083" s="1" t="s">
        <v>7975</v>
      </c>
    </row>
    <row r="6084" spans="1:4" hidden="1" x14ac:dyDescent="0.3">
      <c r="A6084">
        <v>6082</v>
      </c>
      <c r="B6084" t="s">
        <v>7976</v>
      </c>
      <c r="C6084" t="s">
        <v>161</v>
      </c>
      <c r="D6084">
        <v>1.00032501411245</v>
      </c>
    </row>
    <row r="6085" spans="1:4" hidden="1" x14ac:dyDescent="0.3">
      <c r="A6085">
        <v>6083</v>
      </c>
      <c r="B6085" t="s">
        <v>7977</v>
      </c>
      <c r="C6085" t="s">
        <v>163</v>
      </c>
      <c r="D6085">
        <v>0.999331945092235</v>
      </c>
    </row>
    <row r="6086" spans="1:4" hidden="1" x14ac:dyDescent="0.3">
      <c r="A6086">
        <v>6084</v>
      </c>
      <c r="B6086" s="1" t="s">
        <v>7978</v>
      </c>
      <c r="C6086" t="s">
        <v>165</v>
      </c>
      <c r="D6086" s="1" t="s">
        <v>7979</v>
      </c>
    </row>
    <row r="6087" spans="1:4" hidden="1" x14ac:dyDescent="0.3">
      <c r="A6087">
        <v>6085</v>
      </c>
      <c r="B6087" t="s">
        <v>7980</v>
      </c>
      <c r="C6087" t="s">
        <v>168</v>
      </c>
      <c r="D6087">
        <v>1.0055314370837201</v>
      </c>
    </row>
    <row r="6088" spans="1:4" hidden="1" x14ac:dyDescent="0.3">
      <c r="A6088">
        <v>6086</v>
      </c>
      <c r="B6088" t="s">
        <v>7981</v>
      </c>
      <c r="C6088" t="s">
        <v>170</v>
      </c>
      <c r="D6088">
        <v>0.99268543016186095</v>
      </c>
    </row>
    <row r="6089" spans="1:4" hidden="1" x14ac:dyDescent="0.3">
      <c r="A6089">
        <v>6087</v>
      </c>
      <c r="B6089" s="1" t="s">
        <v>7982</v>
      </c>
      <c r="C6089" t="s">
        <v>172</v>
      </c>
      <c r="D6089" s="1" t="s">
        <v>7983</v>
      </c>
    </row>
    <row r="6090" spans="1:4" hidden="1" x14ac:dyDescent="0.3">
      <c r="A6090">
        <v>6088</v>
      </c>
      <c r="B6090" s="1" t="s">
        <v>7984</v>
      </c>
      <c r="C6090" t="s">
        <v>55</v>
      </c>
      <c r="D6090" s="1" t="s">
        <v>7985</v>
      </c>
    </row>
    <row r="6091" spans="1:4" hidden="1" x14ac:dyDescent="0.3">
      <c r="A6091">
        <v>6089</v>
      </c>
      <c r="B6091" s="1" t="s">
        <v>7986</v>
      </c>
      <c r="C6091" t="s">
        <v>52</v>
      </c>
      <c r="D6091" s="1" t="s">
        <v>7987</v>
      </c>
    </row>
    <row r="6092" spans="1:4" hidden="1" x14ac:dyDescent="0.3">
      <c r="A6092">
        <v>6090</v>
      </c>
      <c r="B6092" s="1" t="s">
        <v>7988</v>
      </c>
      <c r="C6092" t="s">
        <v>58</v>
      </c>
      <c r="D6092" s="1" t="s">
        <v>7989</v>
      </c>
    </row>
    <row r="6093" spans="1:4" hidden="1" x14ac:dyDescent="0.3">
      <c r="A6093">
        <v>6091</v>
      </c>
      <c r="B6093" t="s">
        <v>7990</v>
      </c>
      <c r="C6093" t="s">
        <v>61</v>
      </c>
      <c r="D6093">
        <v>141877813.67841199</v>
      </c>
    </row>
    <row r="6094" spans="1:4" hidden="1" x14ac:dyDescent="0.3">
      <c r="A6094">
        <v>6092</v>
      </c>
      <c r="B6094" t="s">
        <v>7991</v>
      </c>
      <c r="C6094" t="s">
        <v>63</v>
      </c>
      <c r="D6094">
        <v>75554057.825480998</v>
      </c>
    </row>
    <row r="6095" spans="1:4" hidden="1" x14ac:dyDescent="0.3">
      <c r="A6095">
        <v>6093</v>
      </c>
      <c r="B6095" t="s">
        <v>7992</v>
      </c>
      <c r="C6095" t="s">
        <v>65</v>
      </c>
      <c r="D6095">
        <v>39528921.540882498</v>
      </c>
    </row>
    <row r="6096" spans="1:4" hidden="1" x14ac:dyDescent="0.3">
      <c r="A6096">
        <v>6094</v>
      </c>
      <c r="B6096" s="1" t="s">
        <v>7993</v>
      </c>
      <c r="C6096" t="s">
        <v>67</v>
      </c>
      <c r="D6096" s="1" t="s">
        <v>7994</v>
      </c>
    </row>
    <row r="6097" spans="1:4" hidden="1" x14ac:dyDescent="0.3">
      <c r="A6097">
        <v>6095</v>
      </c>
      <c r="B6097" s="1" t="s">
        <v>7995</v>
      </c>
      <c r="C6097" t="s">
        <v>70</v>
      </c>
      <c r="D6097" s="1" t="s">
        <v>7996</v>
      </c>
    </row>
    <row r="6098" spans="1:4" hidden="1" x14ac:dyDescent="0.3">
      <c r="A6098">
        <v>6096</v>
      </c>
      <c r="B6098" t="s">
        <v>7997</v>
      </c>
      <c r="C6098" t="s">
        <v>73</v>
      </c>
      <c r="D6098">
        <v>1.0001413584288501</v>
      </c>
    </row>
    <row r="6099" spans="1:4" hidden="1" x14ac:dyDescent="0.3">
      <c r="A6099">
        <v>6097</v>
      </c>
      <c r="B6099" t="s">
        <v>74</v>
      </c>
      <c r="C6099" t="s">
        <v>75</v>
      </c>
      <c r="D6099">
        <v>2.7397260273972599E-3</v>
      </c>
    </row>
    <row r="6100" spans="1:4" hidden="1" x14ac:dyDescent="0.3">
      <c r="A6100">
        <v>6098</v>
      </c>
      <c r="B6100" t="s">
        <v>76</v>
      </c>
      <c r="C6100" t="s">
        <v>77</v>
      </c>
      <c r="D6100">
        <v>0</v>
      </c>
    </row>
    <row r="6101" spans="1:4" hidden="1" x14ac:dyDescent="0.3">
      <c r="A6101">
        <v>6099</v>
      </c>
      <c r="B6101" t="s">
        <v>1459</v>
      </c>
      <c r="C6101" t="s">
        <v>79</v>
      </c>
      <c r="D6101" s="2">
        <v>-2.2204460492503101E-16</v>
      </c>
    </row>
    <row r="6102" spans="1:4" hidden="1" x14ac:dyDescent="0.3">
      <c r="A6102">
        <v>6100</v>
      </c>
      <c r="B6102" s="1" t="s">
        <v>7998</v>
      </c>
      <c r="C6102" t="s">
        <v>81</v>
      </c>
      <c r="D6102" s="1" t="s">
        <v>7999</v>
      </c>
    </row>
    <row r="6103" spans="1:4" hidden="1" x14ac:dyDescent="0.3">
      <c r="A6103">
        <v>6101</v>
      </c>
      <c r="B6103" t="s">
        <v>8000</v>
      </c>
      <c r="C6103" t="s">
        <v>84</v>
      </c>
      <c r="D6103">
        <v>1.0001258750202699</v>
      </c>
    </row>
    <row r="6104" spans="1:4" hidden="1" x14ac:dyDescent="0.3">
      <c r="A6104">
        <v>6102</v>
      </c>
      <c r="B6104" s="1" t="s">
        <v>8001</v>
      </c>
      <c r="C6104" t="s">
        <v>86</v>
      </c>
      <c r="D6104" s="1" t="s">
        <v>8002</v>
      </c>
    </row>
    <row r="6105" spans="1:4" hidden="1" x14ac:dyDescent="0.3">
      <c r="A6105">
        <v>6103</v>
      </c>
      <c r="B6105" t="s">
        <v>8003</v>
      </c>
      <c r="C6105" t="s">
        <v>89</v>
      </c>
      <c r="D6105">
        <v>101177043.82101101</v>
      </c>
    </row>
    <row r="6106" spans="1:4" hidden="1" x14ac:dyDescent="0.3">
      <c r="A6106">
        <v>6104</v>
      </c>
      <c r="B6106" s="1" t="s">
        <v>8004</v>
      </c>
      <c r="C6106" t="s">
        <v>91</v>
      </c>
      <c r="D6106" s="1" t="s">
        <v>7938</v>
      </c>
    </row>
    <row r="6107" spans="1:4" hidden="1" x14ac:dyDescent="0.3">
      <c r="A6107">
        <v>6105</v>
      </c>
      <c r="B6107" t="s">
        <v>8005</v>
      </c>
      <c r="C6107" t="s">
        <v>94</v>
      </c>
      <c r="D6107">
        <v>75554057.825480998</v>
      </c>
    </row>
    <row r="6108" spans="1:4" hidden="1" x14ac:dyDescent="0.3">
      <c r="A6108">
        <v>6106</v>
      </c>
      <c r="B6108" t="s">
        <v>8006</v>
      </c>
      <c r="C6108" t="s">
        <v>96</v>
      </c>
      <c r="D6108">
        <v>39528921.540882498</v>
      </c>
    </row>
    <row r="6109" spans="1:4" hidden="1" x14ac:dyDescent="0.3">
      <c r="A6109">
        <v>6107</v>
      </c>
      <c r="B6109" t="s">
        <v>8007</v>
      </c>
      <c r="C6109" t="s">
        <v>98</v>
      </c>
      <c r="D6109">
        <v>26794834.312049098</v>
      </c>
    </row>
    <row r="6110" spans="1:4" hidden="1" x14ac:dyDescent="0.3">
      <c r="A6110">
        <v>6108</v>
      </c>
      <c r="B6110" s="1" t="s">
        <v>8008</v>
      </c>
      <c r="C6110" t="s">
        <v>100</v>
      </c>
      <c r="D6110" s="1" t="s">
        <v>8009</v>
      </c>
    </row>
    <row r="6111" spans="1:4" hidden="1" x14ac:dyDescent="0.3">
      <c r="A6111">
        <v>6109</v>
      </c>
      <c r="B6111" t="s">
        <v>8010</v>
      </c>
      <c r="C6111" t="s">
        <v>103</v>
      </c>
      <c r="D6111">
        <v>8.3648258277922109E-3</v>
      </c>
    </row>
    <row r="6112" spans="1:4" hidden="1" x14ac:dyDescent="0.3">
      <c r="A6112">
        <v>6110</v>
      </c>
      <c r="B6112" t="s">
        <v>8011</v>
      </c>
      <c r="C6112" t="s">
        <v>105</v>
      </c>
      <c r="D6112">
        <v>1.2782162302619499E-3</v>
      </c>
    </row>
    <row r="6113" spans="1:4" hidden="1" x14ac:dyDescent="0.3">
      <c r="A6113">
        <v>6111</v>
      </c>
      <c r="B6113" t="s">
        <v>8012</v>
      </c>
      <c r="C6113" t="s">
        <v>107</v>
      </c>
      <c r="D6113">
        <v>9.6003200118245802E-3</v>
      </c>
    </row>
    <row r="6114" spans="1:4" hidden="1" x14ac:dyDescent="0.3">
      <c r="A6114">
        <v>6112</v>
      </c>
      <c r="B6114" s="1" t="s">
        <v>8013</v>
      </c>
      <c r="C6114" t="s">
        <v>109</v>
      </c>
      <c r="D6114" s="1" t="s">
        <v>8014</v>
      </c>
    </row>
    <row r="6115" spans="1:4" x14ac:dyDescent="0.3">
      <c r="A6115">
        <v>6113</v>
      </c>
      <c r="B6115" t="s">
        <v>8015</v>
      </c>
      <c r="C6115" t="s">
        <v>207</v>
      </c>
      <c r="D6115">
        <v>141877268.69242501</v>
      </c>
    </row>
    <row r="6116" spans="1:4" hidden="1" x14ac:dyDescent="0.3">
      <c r="A6116">
        <v>6114</v>
      </c>
      <c r="B6116" t="s">
        <v>8016</v>
      </c>
      <c r="C6116" t="s">
        <v>209</v>
      </c>
      <c r="D6116">
        <v>1169.66254751161</v>
      </c>
    </row>
    <row r="6117" spans="1:4" hidden="1" x14ac:dyDescent="0.3">
      <c r="A6117">
        <v>6115</v>
      </c>
      <c r="B6117" t="s">
        <v>8017</v>
      </c>
      <c r="C6117" t="s">
        <v>211</v>
      </c>
      <c r="D6117">
        <v>611.954547452057</v>
      </c>
    </row>
    <row r="6118" spans="1:4" hidden="1" x14ac:dyDescent="0.3">
      <c r="A6118">
        <v>6116</v>
      </c>
      <c r="B6118" s="1" t="s">
        <v>8018</v>
      </c>
      <c r="C6118" t="s">
        <v>213</v>
      </c>
      <c r="D6118" s="1" t="s">
        <v>8019</v>
      </c>
    </row>
    <row r="6119" spans="1:4" hidden="1" x14ac:dyDescent="0.3">
      <c r="A6119">
        <v>6117</v>
      </c>
      <c r="B6119" t="s">
        <v>8020</v>
      </c>
      <c r="C6119" t="s">
        <v>216</v>
      </c>
      <c r="D6119">
        <v>75552471.042109594</v>
      </c>
    </row>
    <row r="6120" spans="1:4" hidden="1" x14ac:dyDescent="0.3">
      <c r="A6120">
        <v>6118</v>
      </c>
      <c r="B6120" t="s">
        <v>8021</v>
      </c>
      <c r="C6120" t="s">
        <v>218</v>
      </c>
      <c r="D6120">
        <v>39528219.762033403</v>
      </c>
    </row>
    <row r="6121" spans="1:4" hidden="1" x14ac:dyDescent="0.3">
      <c r="A6121">
        <v>6119</v>
      </c>
      <c r="B6121" t="s">
        <v>8022</v>
      </c>
      <c r="C6121" t="s">
        <v>220</v>
      </c>
      <c r="D6121">
        <v>26794381.455046602</v>
      </c>
    </row>
    <row r="6122" spans="1:4" hidden="1" x14ac:dyDescent="0.3">
      <c r="A6122">
        <v>6120</v>
      </c>
      <c r="B6122" s="1" t="s">
        <v>8023</v>
      </c>
      <c r="C6122" t="s">
        <v>222</v>
      </c>
      <c r="D6122" s="1" t="s">
        <v>8024</v>
      </c>
    </row>
    <row r="6123" spans="1:4" hidden="1" x14ac:dyDescent="0.3">
      <c r="A6123">
        <v>6121</v>
      </c>
      <c r="B6123" t="s">
        <v>8025</v>
      </c>
      <c r="C6123" t="s">
        <v>225</v>
      </c>
      <c r="D6123">
        <v>101175477.476918</v>
      </c>
    </row>
    <row r="6124" spans="1:4" hidden="1" x14ac:dyDescent="0.3">
      <c r="A6124">
        <v>6122</v>
      </c>
      <c r="B6124" t="s">
        <v>8026</v>
      </c>
      <c r="C6124" t="s">
        <v>227</v>
      </c>
      <c r="D6124">
        <v>1566.34409303963</v>
      </c>
    </row>
    <row r="6125" spans="1:4" hidden="1" x14ac:dyDescent="0.3">
      <c r="A6125">
        <v>6123</v>
      </c>
      <c r="B6125" s="1" t="s">
        <v>8027</v>
      </c>
      <c r="C6125" t="s">
        <v>229</v>
      </c>
      <c r="D6125" s="1" t="s">
        <v>8028</v>
      </c>
    </row>
    <row r="6126" spans="1:4" hidden="1" x14ac:dyDescent="0.3">
      <c r="A6126">
        <v>6124</v>
      </c>
      <c r="B6126" t="s">
        <v>8029</v>
      </c>
      <c r="C6126" t="s">
        <v>112</v>
      </c>
      <c r="D6126">
        <v>-417.120823846468</v>
      </c>
    </row>
    <row r="6127" spans="1:4" hidden="1" x14ac:dyDescent="0.3">
      <c r="A6127">
        <v>6125</v>
      </c>
      <c r="B6127" t="s">
        <v>8030</v>
      </c>
      <c r="C6127" t="s">
        <v>114</v>
      </c>
      <c r="D6127">
        <v>-89.824301615165396</v>
      </c>
    </row>
    <row r="6128" spans="1:4" hidden="1" x14ac:dyDescent="0.3">
      <c r="A6128">
        <v>6126</v>
      </c>
      <c r="B6128" s="1" t="s">
        <v>8031</v>
      </c>
      <c r="C6128" t="s">
        <v>116</v>
      </c>
      <c r="D6128" s="1" t="s">
        <v>8032</v>
      </c>
    </row>
    <row r="6129" spans="1:4" hidden="1" x14ac:dyDescent="0.3">
      <c r="A6129">
        <v>6127</v>
      </c>
      <c r="B6129" t="s">
        <v>8033</v>
      </c>
      <c r="C6129" t="s">
        <v>119</v>
      </c>
      <c r="D6129">
        <v>75552471.042109594</v>
      </c>
    </row>
    <row r="6130" spans="1:4" hidden="1" x14ac:dyDescent="0.3">
      <c r="A6130">
        <v>6128</v>
      </c>
      <c r="B6130" t="s">
        <v>8034</v>
      </c>
      <c r="C6130" t="s">
        <v>121</v>
      </c>
      <c r="D6130">
        <v>39528219.762033403</v>
      </c>
    </row>
    <row r="6131" spans="1:4" hidden="1" x14ac:dyDescent="0.3">
      <c r="A6131">
        <v>6129</v>
      </c>
      <c r="B6131" s="1" t="s">
        <v>8035</v>
      </c>
      <c r="C6131" t="s">
        <v>123</v>
      </c>
      <c r="D6131" s="1" t="s">
        <v>8036</v>
      </c>
    </row>
    <row r="6132" spans="1:4" hidden="1" x14ac:dyDescent="0.3">
      <c r="A6132">
        <v>6130</v>
      </c>
      <c r="B6132" t="s">
        <v>8037</v>
      </c>
      <c r="C6132" t="s">
        <v>126</v>
      </c>
      <c r="D6132">
        <v>0.74665288421753695</v>
      </c>
    </row>
    <row r="6133" spans="1:4" hidden="1" x14ac:dyDescent="0.3">
      <c r="A6133">
        <v>6131</v>
      </c>
      <c r="B6133" t="s">
        <v>8038</v>
      </c>
      <c r="C6133" t="s">
        <v>128</v>
      </c>
      <c r="D6133">
        <v>0.39064055597674802</v>
      </c>
    </row>
    <row r="6134" spans="1:4" hidden="1" x14ac:dyDescent="0.3">
      <c r="A6134">
        <v>6132</v>
      </c>
      <c r="B6134" s="1" t="s">
        <v>8039</v>
      </c>
      <c r="C6134" t="s">
        <v>130</v>
      </c>
      <c r="D6134" s="1" t="s">
        <v>8040</v>
      </c>
    </row>
    <row r="6135" spans="1:4" hidden="1" x14ac:dyDescent="0.3">
      <c r="A6135">
        <v>6133</v>
      </c>
      <c r="B6135" s="1" t="s">
        <v>8041</v>
      </c>
      <c r="C6135" t="s">
        <v>4</v>
      </c>
      <c r="D6135" t="s">
        <v>8042</v>
      </c>
    </row>
    <row r="6136" spans="1:4" hidden="1" x14ac:dyDescent="0.3">
      <c r="A6136">
        <v>6134</v>
      </c>
      <c r="B6136" t="s">
        <v>2401</v>
      </c>
      <c r="C6136" t="s">
        <v>7</v>
      </c>
      <c r="D6136">
        <v>1764.16</v>
      </c>
    </row>
    <row r="6137" spans="1:4" hidden="1" x14ac:dyDescent="0.3">
      <c r="A6137">
        <v>6135</v>
      </c>
      <c r="B6137" s="1" t="s">
        <v>8043</v>
      </c>
      <c r="C6137" t="s">
        <v>9</v>
      </c>
      <c r="D6137" s="1" t="s">
        <v>8044</v>
      </c>
    </row>
    <row r="6138" spans="1:4" hidden="1" x14ac:dyDescent="0.3">
      <c r="A6138">
        <v>6136</v>
      </c>
      <c r="B6138" t="s">
        <v>8045</v>
      </c>
      <c r="C6138" t="s">
        <v>14</v>
      </c>
      <c r="D6138">
        <v>98.52734375</v>
      </c>
    </row>
    <row r="6139" spans="1:4" hidden="1" x14ac:dyDescent="0.3">
      <c r="A6139">
        <v>6137</v>
      </c>
      <c r="B6139" t="s">
        <v>8046</v>
      </c>
      <c r="C6139" t="s">
        <v>16</v>
      </c>
      <c r="D6139">
        <v>4.3959750185760402</v>
      </c>
    </row>
    <row r="6140" spans="1:4" hidden="1" x14ac:dyDescent="0.3">
      <c r="A6140">
        <v>6138</v>
      </c>
      <c r="B6140" s="1" t="s">
        <v>8047</v>
      </c>
      <c r="C6140" t="s">
        <v>140</v>
      </c>
      <c r="D6140" s="1" t="s">
        <v>8048</v>
      </c>
    </row>
    <row r="6141" spans="1:4" hidden="1" x14ac:dyDescent="0.3">
      <c r="A6141">
        <v>6139</v>
      </c>
      <c r="B6141" t="s">
        <v>8049</v>
      </c>
      <c r="C6141" t="s">
        <v>22</v>
      </c>
      <c r="D6141">
        <v>64.650000000000006</v>
      </c>
    </row>
    <row r="6142" spans="1:4" hidden="1" x14ac:dyDescent="0.3">
      <c r="A6142">
        <v>6140</v>
      </c>
      <c r="B6142" t="s">
        <v>8050</v>
      </c>
      <c r="C6142" t="s">
        <v>24</v>
      </c>
      <c r="D6142">
        <v>6.8545578001267904</v>
      </c>
    </row>
    <row r="6143" spans="1:4" hidden="1" x14ac:dyDescent="0.3">
      <c r="A6143">
        <v>6141</v>
      </c>
      <c r="B6143" s="1" t="s">
        <v>8051</v>
      </c>
      <c r="C6143" t="s">
        <v>145</v>
      </c>
      <c r="D6143" s="1" t="s">
        <v>8052</v>
      </c>
    </row>
    <row r="6144" spans="1:4" hidden="1" x14ac:dyDescent="0.3">
      <c r="A6144">
        <v>6142</v>
      </c>
      <c r="B6144" t="s">
        <v>8053</v>
      </c>
      <c r="C6144" t="s">
        <v>35</v>
      </c>
      <c r="D6144">
        <v>0.115671224867224</v>
      </c>
    </row>
    <row r="6145" spans="1:4" hidden="1" x14ac:dyDescent="0.3">
      <c r="A6145">
        <v>6143</v>
      </c>
      <c r="B6145" t="s">
        <v>8054</v>
      </c>
      <c r="C6145" t="s">
        <v>149</v>
      </c>
      <c r="D6145">
        <v>0.76672774222344398</v>
      </c>
    </row>
    <row r="6146" spans="1:4" hidden="1" x14ac:dyDescent="0.3">
      <c r="A6146">
        <v>6144</v>
      </c>
      <c r="B6146" s="1" t="s">
        <v>8055</v>
      </c>
      <c r="C6146" t="s">
        <v>151</v>
      </c>
      <c r="D6146" s="1" t="s">
        <v>8056</v>
      </c>
    </row>
    <row r="6147" spans="1:4" hidden="1" x14ac:dyDescent="0.3">
      <c r="A6147">
        <v>6145</v>
      </c>
      <c r="B6147" t="s">
        <v>8057</v>
      </c>
      <c r="C6147" t="s">
        <v>30</v>
      </c>
      <c r="D6147">
        <v>0.33458806363499899</v>
      </c>
    </row>
    <row r="6148" spans="1:4" hidden="1" x14ac:dyDescent="0.3">
      <c r="A6148">
        <v>6146</v>
      </c>
      <c r="B6148" t="s">
        <v>8058</v>
      </c>
      <c r="C6148" t="s">
        <v>32</v>
      </c>
      <c r="D6148">
        <v>0.167352757792117</v>
      </c>
    </row>
    <row r="6149" spans="1:4" hidden="1" x14ac:dyDescent="0.3">
      <c r="A6149">
        <v>6147</v>
      </c>
      <c r="B6149" s="1" t="s">
        <v>8059</v>
      </c>
      <c r="C6149" t="s">
        <v>155</v>
      </c>
      <c r="D6149" s="1" t="s">
        <v>8060</v>
      </c>
    </row>
    <row r="6150" spans="1:4" hidden="1" x14ac:dyDescent="0.3">
      <c r="A6150">
        <v>6148</v>
      </c>
      <c r="B6150" t="s">
        <v>8061</v>
      </c>
      <c r="C6150" t="s">
        <v>40</v>
      </c>
      <c r="D6150">
        <v>0.54974071149777604</v>
      </c>
    </row>
    <row r="6151" spans="1:4" hidden="1" x14ac:dyDescent="0.3">
      <c r="A6151">
        <v>6149</v>
      </c>
      <c r="B6151" t="s">
        <v>8062</v>
      </c>
      <c r="C6151" t="s">
        <v>42</v>
      </c>
      <c r="D6151">
        <v>0.13689116730714301</v>
      </c>
    </row>
    <row r="6152" spans="1:4" hidden="1" x14ac:dyDescent="0.3">
      <c r="A6152">
        <v>6150</v>
      </c>
      <c r="B6152" s="1" t="s">
        <v>8063</v>
      </c>
      <c r="C6152" t="s">
        <v>159</v>
      </c>
      <c r="D6152" s="1" t="s">
        <v>8064</v>
      </c>
    </row>
    <row r="6153" spans="1:4" hidden="1" x14ac:dyDescent="0.3">
      <c r="A6153">
        <v>6151</v>
      </c>
      <c r="B6153" t="s">
        <v>8065</v>
      </c>
      <c r="C6153" t="s">
        <v>161</v>
      </c>
      <c r="D6153">
        <v>1.0055975466557201</v>
      </c>
    </row>
    <row r="6154" spans="1:4" hidden="1" x14ac:dyDescent="0.3">
      <c r="A6154">
        <v>6152</v>
      </c>
      <c r="B6154" t="s">
        <v>8066</v>
      </c>
      <c r="C6154" t="s">
        <v>163</v>
      </c>
      <c r="D6154">
        <v>1.0012990713954399</v>
      </c>
    </row>
    <row r="6155" spans="1:4" hidden="1" x14ac:dyDescent="0.3">
      <c r="A6155">
        <v>6153</v>
      </c>
      <c r="B6155" s="1" t="s">
        <v>8067</v>
      </c>
      <c r="C6155" t="s">
        <v>165</v>
      </c>
      <c r="D6155" s="1" t="s">
        <v>8068</v>
      </c>
    </row>
    <row r="6156" spans="1:4" hidden="1" x14ac:dyDescent="0.3">
      <c r="A6156">
        <v>6154</v>
      </c>
      <c r="B6156" t="s">
        <v>8069</v>
      </c>
      <c r="C6156" t="s">
        <v>168</v>
      </c>
      <c r="D6156">
        <v>1.0007317791880701</v>
      </c>
    </row>
    <row r="6157" spans="1:4" hidden="1" x14ac:dyDescent="0.3">
      <c r="A6157">
        <v>6155</v>
      </c>
      <c r="B6157" t="s">
        <v>8070</v>
      </c>
      <c r="C6157" t="s">
        <v>170</v>
      </c>
      <c r="D6157">
        <v>1.0005810808644999</v>
      </c>
    </row>
    <row r="6158" spans="1:4" hidden="1" x14ac:dyDescent="0.3">
      <c r="A6158">
        <v>6156</v>
      </c>
      <c r="B6158" s="1" t="s">
        <v>8071</v>
      </c>
      <c r="C6158" t="s">
        <v>172</v>
      </c>
      <c r="D6158" s="1" t="s">
        <v>8072</v>
      </c>
    </row>
    <row r="6159" spans="1:4" hidden="1" x14ac:dyDescent="0.3">
      <c r="A6159">
        <v>6157</v>
      </c>
      <c r="B6159" s="1" t="s">
        <v>8073</v>
      </c>
      <c r="C6159" t="s">
        <v>55</v>
      </c>
      <c r="D6159" s="1" t="s">
        <v>8074</v>
      </c>
    </row>
    <row r="6160" spans="1:4" hidden="1" x14ac:dyDescent="0.3">
      <c r="A6160">
        <v>6158</v>
      </c>
      <c r="B6160" s="1" t="s">
        <v>8075</v>
      </c>
      <c r="C6160" t="s">
        <v>52</v>
      </c>
      <c r="D6160" s="1" t="s">
        <v>8076</v>
      </c>
    </row>
    <row r="6161" spans="1:4" hidden="1" x14ac:dyDescent="0.3">
      <c r="A6161">
        <v>6159</v>
      </c>
      <c r="B6161" s="1" t="s">
        <v>8077</v>
      </c>
      <c r="C6161" t="s">
        <v>58</v>
      </c>
      <c r="D6161" s="1" t="s">
        <v>8078</v>
      </c>
    </row>
    <row r="6162" spans="1:4" hidden="1" x14ac:dyDescent="0.3">
      <c r="A6162">
        <v>6160</v>
      </c>
      <c r="B6162" t="s">
        <v>8079</v>
      </c>
      <c r="C6162" t="s">
        <v>61</v>
      </c>
      <c r="D6162">
        <v>141639524.81970501</v>
      </c>
    </row>
    <row r="6163" spans="1:4" hidden="1" x14ac:dyDescent="0.3">
      <c r="A6163">
        <v>6161</v>
      </c>
      <c r="B6163" t="s">
        <v>8080</v>
      </c>
      <c r="C6163" t="s">
        <v>63</v>
      </c>
      <c r="D6163">
        <v>75975379.523722902</v>
      </c>
    </row>
    <row r="6164" spans="1:4" hidden="1" x14ac:dyDescent="0.3">
      <c r="A6164">
        <v>6162</v>
      </c>
      <c r="B6164" t="s">
        <v>8081</v>
      </c>
      <c r="C6164" t="s">
        <v>65</v>
      </c>
      <c r="D6164">
        <v>39579569.741639003</v>
      </c>
    </row>
    <row r="6165" spans="1:4" hidden="1" x14ac:dyDescent="0.3">
      <c r="A6165">
        <v>6163</v>
      </c>
      <c r="B6165" s="1" t="s">
        <v>8082</v>
      </c>
      <c r="C6165" t="s">
        <v>67</v>
      </c>
      <c r="D6165" s="1" t="s">
        <v>8083</v>
      </c>
    </row>
    <row r="6166" spans="1:4" hidden="1" x14ac:dyDescent="0.3">
      <c r="A6166">
        <v>6164</v>
      </c>
      <c r="B6166" s="1" t="s">
        <v>8084</v>
      </c>
      <c r="C6166" t="s">
        <v>70</v>
      </c>
      <c r="D6166" s="1" t="s">
        <v>8085</v>
      </c>
    </row>
    <row r="6167" spans="1:4" hidden="1" x14ac:dyDescent="0.3">
      <c r="A6167">
        <v>6165</v>
      </c>
      <c r="B6167" t="s">
        <v>8086</v>
      </c>
      <c r="C6167" t="s">
        <v>73</v>
      </c>
      <c r="D6167">
        <v>1.0001258750202699</v>
      </c>
    </row>
    <row r="6168" spans="1:4" hidden="1" x14ac:dyDescent="0.3">
      <c r="A6168">
        <v>6166</v>
      </c>
      <c r="B6168" t="s">
        <v>74</v>
      </c>
      <c r="C6168" t="s">
        <v>75</v>
      </c>
      <c r="D6168">
        <v>2.7397260273972599E-3</v>
      </c>
    </row>
    <row r="6169" spans="1:4" hidden="1" x14ac:dyDescent="0.3">
      <c r="A6169">
        <v>6167</v>
      </c>
      <c r="B6169" t="s">
        <v>76</v>
      </c>
      <c r="C6169" t="s">
        <v>77</v>
      </c>
      <c r="D6169">
        <v>0</v>
      </c>
    </row>
    <row r="6170" spans="1:4" hidden="1" x14ac:dyDescent="0.3">
      <c r="A6170">
        <v>6168</v>
      </c>
      <c r="B6170" t="s">
        <v>78</v>
      </c>
      <c r="C6170" t="s">
        <v>79</v>
      </c>
      <c r="D6170">
        <v>0</v>
      </c>
    </row>
    <row r="6171" spans="1:4" hidden="1" x14ac:dyDescent="0.3">
      <c r="A6171">
        <v>6169</v>
      </c>
      <c r="B6171" s="1" t="s">
        <v>8087</v>
      </c>
      <c r="C6171" t="s">
        <v>81</v>
      </c>
      <c r="D6171" s="1" t="s">
        <v>8088</v>
      </c>
    </row>
    <row r="6172" spans="1:4" hidden="1" x14ac:dyDescent="0.3">
      <c r="A6172">
        <v>6170</v>
      </c>
      <c r="B6172" t="s">
        <v>8089</v>
      </c>
      <c r="C6172" t="s">
        <v>84</v>
      </c>
      <c r="D6172">
        <v>1.0001246929058001</v>
      </c>
    </row>
    <row r="6173" spans="1:4" hidden="1" x14ac:dyDescent="0.3">
      <c r="A6173">
        <v>6171</v>
      </c>
      <c r="B6173" s="1" t="s">
        <v>8090</v>
      </c>
      <c r="C6173" t="s">
        <v>86</v>
      </c>
      <c r="D6173" s="1" t="s">
        <v>8091</v>
      </c>
    </row>
    <row r="6174" spans="1:4" hidden="1" x14ac:dyDescent="0.3">
      <c r="A6174">
        <v>6172</v>
      </c>
      <c r="B6174" t="s">
        <v>8092</v>
      </c>
      <c r="C6174" t="s">
        <v>89</v>
      </c>
      <c r="D6174">
        <v>101177163.40894701</v>
      </c>
    </row>
    <row r="6175" spans="1:4" hidden="1" x14ac:dyDescent="0.3">
      <c r="A6175">
        <v>6173</v>
      </c>
      <c r="B6175" s="1" t="s">
        <v>8093</v>
      </c>
      <c r="C6175" t="s">
        <v>91</v>
      </c>
      <c r="D6175" s="1" t="s">
        <v>8028</v>
      </c>
    </row>
    <row r="6176" spans="1:4" hidden="1" x14ac:dyDescent="0.3">
      <c r="A6176">
        <v>6174</v>
      </c>
      <c r="B6176" t="s">
        <v>8094</v>
      </c>
      <c r="C6176" t="s">
        <v>94</v>
      </c>
      <c r="D6176">
        <v>75975379.523722902</v>
      </c>
    </row>
    <row r="6177" spans="1:4" hidden="1" x14ac:dyDescent="0.3">
      <c r="A6177">
        <v>6175</v>
      </c>
      <c r="B6177" t="s">
        <v>8095</v>
      </c>
      <c r="C6177" t="s">
        <v>96</v>
      </c>
      <c r="D6177">
        <v>39579569.741639003</v>
      </c>
    </row>
    <row r="6178" spans="1:4" hidden="1" x14ac:dyDescent="0.3">
      <c r="A6178">
        <v>6176</v>
      </c>
      <c r="B6178" t="s">
        <v>8096</v>
      </c>
      <c r="C6178" t="s">
        <v>98</v>
      </c>
      <c r="D6178">
        <v>26084575.5543437</v>
      </c>
    </row>
    <row r="6179" spans="1:4" hidden="1" x14ac:dyDescent="0.3">
      <c r="A6179">
        <v>6177</v>
      </c>
      <c r="B6179" s="1" t="s">
        <v>8097</v>
      </c>
      <c r="C6179" t="s">
        <v>100</v>
      </c>
      <c r="D6179" s="1" t="s">
        <v>8098</v>
      </c>
    </row>
    <row r="6180" spans="1:4" hidden="1" x14ac:dyDescent="0.3">
      <c r="A6180">
        <v>6178</v>
      </c>
      <c r="B6180" t="s">
        <v>8099</v>
      </c>
      <c r="C6180" t="s">
        <v>103</v>
      </c>
      <c r="D6180">
        <v>8.3612418149098099E-3</v>
      </c>
    </row>
    <row r="6181" spans="1:4" hidden="1" x14ac:dyDescent="0.3">
      <c r="A6181">
        <v>6179</v>
      </c>
      <c r="B6181" t="s">
        <v>8100</v>
      </c>
      <c r="C6181" t="s">
        <v>105</v>
      </c>
      <c r="D6181">
        <v>1.2831153438425699E-3</v>
      </c>
    </row>
    <row r="6182" spans="1:4" hidden="1" x14ac:dyDescent="0.3">
      <c r="A6182">
        <v>6180</v>
      </c>
      <c r="B6182" t="s">
        <v>8101</v>
      </c>
      <c r="C6182" t="s">
        <v>107</v>
      </c>
      <c r="D6182">
        <v>9.9983294653843095E-3</v>
      </c>
    </row>
    <row r="6183" spans="1:4" hidden="1" x14ac:dyDescent="0.3">
      <c r="A6183">
        <v>6181</v>
      </c>
      <c r="B6183" s="1" t="s">
        <v>8102</v>
      </c>
      <c r="C6183" t="s">
        <v>109</v>
      </c>
      <c r="D6183" s="1" t="s">
        <v>8103</v>
      </c>
    </row>
    <row r="6184" spans="1:4" x14ac:dyDescent="0.3">
      <c r="A6184">
        <v>6182</v>
      </c>
      <c r="B6184" t="s">
        <v>8104</v>
      </c>
      <c r="C6184" t="s">
        <v>207</v>
      </c>
      <c r="D6184">
        <v>141639483.195048</v>
      </c>
    </row>
    <row r="6185" spans="1:4" hidden="1" x14ac:dyDescent="0.3">
      <c r="A6185">
        <v>6183</v>
      </c>
      <c r="B6185" t="s">
        <v>8105</v>
      </c>
      <c r="C6185" t="s">
        <v>209</v>
      </c>
      <c r="D6185">
        <v>89.800254056573905</v>
      </c>
    </row>
    <row r="6186" spans="1:4" hidden="1" x14ac:dyDescent="0.3">
      <c r="A6186">
        <v>6184</v>
      </c>
      <c r="B6186" t="s">
        <v>8106</v>
      </c>
      <c r="C6186" t="s">
        <v>211</v>
      </c>
      <c r="D6186">
        <v>46.781685456073603</v>
      </c>
    </row>
    <row r="6187" spans="1:4" hidden="1" x14ac:dyDescent="0.3">
      <c r="A6187">
        <v>6185</v>
      </c>
      <c r="B6187" s="1" t="s">
        <v>8107</v>
      </c>
      <c r="C6187" t="s">
        <v>213</v>
      </c>
      <c r="D6187" s="1" t="s">
        <v>8108</v>
      </c>
    </row>
    <row r="6188" spans="1:4" hidden="1" x14ac:dyDescent="0.3">
      <c r="A6188">
        <v>6186</v>
      </c>
      <c r="B6188" t="s">
        <v>8109</v>
      </c>
      <c r="C6188" t="s">
        <v>216</v>
      </c>
      <c r="D6188">
        <v>75975257.645973206</v>
      </c>
    </row>
    <row r="6189" spans="1:4" hidden="1" x14ac:dyDescent="0.3">
      <c r="A6189">
        <v>6187</v>
      </c>
      <c r="B6189" t="s">
        <v>8110</v>
      </c>
      <c r="C6189" t="s">
        <v>218</v>
      </c>
      <c r="D6189">
        <v>39579516.149240501</v>
      </c>
    </row>
    <row r="6190" spans="1:4" hidden="1" x14ac:dyDescent="0.3">
      <c r="A6190">
        <v>6188</v>
      </c>
      <c r="B6190" t="s">
        <v>8111</v>
      </c>
      <c r="C6190" t="s">
        <v>220</v>
      </c>
      <c r="D6190">
        <v>26084541.986825202</v>
      </c>
    </row>
    <row r="6191" spans="1:4" hidden="1" x14ac:dyDescent="0.3">
      <c r="A6191">
        <v>6189</v>
      </c>
      <c r="B6191" s="1" t="s">
        <v>8112</v>
      </c>
      <c r="C6191" t="s">
        <v>222</v>
      </c>
      <c r="D6191" s="1" t="s">
        <v>8113</v>
      </c>
    </row>
    <row r="6192" spans="1:4" hidden="1" x14ac:dyDescent="0.3">
      <c r="A6192">
        <v>6190</v>
      </c>
      <c r="B6192" t="s">
        <v>8114</v>
      </c>
      <c r="C6192" t="s">
        <v>225</v>
      </c>
      <c r="D6192">
        <v>101177043.82101101</v>
      </c>
    </row>
    <row r="6193" spans="1:4" hidden="1" x14ac:dyDescent="0.3">
      <c r="A6193">
        <v>6191</v>
      </c>
      <c r="B6193" t="s">
        <v>8115</v>
      </c>
      <c r="C6193" t="s">
        <v>227</v>
      </c>
      <c r="D6193">
        <v>119.58793587982601</v>
      </c>
    </row>
    <row r="6194" spans="1:4" hidden="1" x14ac:dyDescent="0.3">
      <c r="A6194">
        <v>6192</v>
      </c>
      <c r="B6194" s="1" t="s">
        <v>8116</v>
      </c>
      <c r="C6194" t="s">
        <v>229</v>
      </c>
      <c r="D6194" s="1" t="s">
        <v>8117</v>
      </c>
    </row>
    <row r="6195" spans="1:4" hidden="1" x14ac:dyDescent="0.3">
      <c r="A6195">
        <v>6193</v>
      </c>
      <c r="B6195" t="s">
        <v>8118</v>
      </c>
      <c r="C6195" t="s">
        <v>112</v>
      </c>
      <c r="D6195">
        <v>-32.077495651638699</v>
      </c>
    </row>
    <row r="6196" spans="1:4" hidden="1" x14ac:dyDescent="0.3">
      <c r="A6196">
        <v>6194</v>
      </c>
      <c r="B6196" t="s">
        <v>8119</v>
      </c>
      <c r="C6196" t="s">
        <v>114</v>
      </c>
      <c r="D6196">
        <v>-6.8107129922630101</v>
      </c>
    </row>
    <row r="6197" spans="1:4" hidden="1" x14ac:dyDescent="0.3">
      <c r="A6197">
        <v>6195</v>
      </c>
      <c r="B6197" s="1" t="s">
        <v>8120</v>
      </c>
      <c r="C6197" t="s">
        <v>116</v>
      </c>
      <c r="D6197" s="1" t="s">
        <v>8121</v>
      </c>
    </row>
    <row r="6198" spans="1:4" hidden="1" x14ac:dyDescent="0.3">
      <c r="A6198">
        <v>6196</v>
      </c>
      <c r="B6198" t="s">
        <v>8122</v>
      </c>
      <c r="C6198" t="s">
        <v>119</v>
      </c>
      <c r="D6198">
        <v>75975257.645973206</v>
      </c>
    </row>
    <row r="6199" spans="1:4" hidden="1" x14ac:dyDescent="0.3">
      <c r="A6199">
        <v>6197</v>
      </c>
      <c r="B6199" t="s">
        <v>8123</v>
      </c>
      <c r="C6199" t="s">
        <v>121</v>
      </c>
      <c r="D6199">
        <v>39579516.149240501</v>
      </c>
    </row>
    <row r="6200" spans="1:4" hidden="1" x14ac:dyDescent="0.3">
      <c r="A6200">
        <v>6198</v>
      </c>
      <c r="B6200" s="1" t="s">
        <v>8124</v>
      </c>
      <c r="C6200" t="s">
        <v>123</v>
      </c>
      <c r="D6200" s="1" t="s">
        <v>8125</v>
      </c>
    </row>
    <row r="6201" spans="1:4" hidden="1" x14ac:dyDescent="0.3">
      <c r="A6201">
        <v>6199</v>
      </c>
      <c r="B6201" t="s">
        <v>8126</v>
      </c>
      <c r="C6201" t="s">
        <v>126</v>
      </c>
      <c r="D6201">
        <v>0.75082036776896699</v>
      </c>
    </row>
    <row r="6202" spans="1:4" hidden="1" x14ac:dyDescent="0.3">
      <c r="A6202">
        <v>6200</v>
      </c>
      <c r="B6202" t="s">
        <v>8127</v>
      </c>
      <c r="C6202" t="s">
        <v>128</v>
      </c>
      <c r="D6202">
        <v>0.39114190319386899</v>
      </c>
    </row>
    <row r="6203" spans="1:4" hidden="1" x14ac:dyDescent="0.3">
      <c r="A6203">
        <v>6201</v>
      </c>
      <c r="B6203" s="1" t="s">
        <v>8128</v>
      </c>
      <c r="C6203" t="s">
        <v>130</v>
      </c>
      <c r="D6203" s="1" t="s">
        <v>8129</v>
      </c>
    </row>
    <row r="6204" spans="1:4" hidden="1" x14ac:dyDescent="0.3">
      <c r="A6204">
        <v>6202</v>
      </c>
      <c r="B6204" s="1" t="s">
        <v>8130</v>
      </c>
      <c r="C6204" t="s">
        <v>4</v>
      </c>
      <c r="D6204" t="s">
        <v>8131</v>
      </c>
    </row>
    <row r="6205" spans="1:4" hidden="1" x14ac:dyDescent="0.3">
      <c r="A6205">
        <v>6203</v>
      </c>
      <c r="B6205" t="s">
        <v>8132</v>
      </c>
      <c r="C6205" t="s">
        <v>7</v>
      </c>
      <c r="D6205">
        <v>1774.51</v>
      </c>
    </row>
    <row r="6206" spans="1:4" hidden="1" x14ac:dyDescent="0.3">
      <c r="A6206">
        <v>6204</v>
      </c>
      <c r="B6206" s="1" t="s">
        <v>8133</v>
      </c>
      <c r="C6206" t="s">
        <v>9</v>
      </c>
      <c r="D6206" s="1" t="s">
        <v>8134</v>
      </c>
    </row>
    <row r="6207" spans="1:4" hidden="1" x14ac:dyDescent="0.3">
      <c r="A6207">
        <v>6205</v>
      </c>
      <c r="B6207" t="s">
        <v>8135</v>
      </c>
      <c r="C6207" t="s">
        <v>14</v>
      </c>
      <c r="D6207">
        <v>98.51171875</v>
      </c>
    </row>
    <row r="6208" spans="1:4" hidden="1" x14ac:dyDescent="0.3">
      <c r="A6208">
        <v>6206</v>
      </c>
      <c r="B6208" t="s">
        <v>8136</v>
      </c>
      <c r="C6208" t="s">
        <v>16</v>
      </c>
      <c r="D6208">
        <v>4.3944027240685903</v>
      </c>
    </row>
    <row r="6209" spans="1:4" hidden="1" x14ac:dyDescent="0.3">
      <c r="A6209">
        <v>6207</v>
      </c>
      <c r="B6209" s="1" t="s">
        <v>8137</v>
      </c>
      <c r="C6209" t="s">
        <v>140</v>
      </c>
      <c r="D6209" s="1" t="s">
        <v>8138</v>
      </c>
    </row>
    <row r="6210" spans="1:4" hidden="1" x14ac:dyDescent="0.3">
      <c r="A6210">
        <v>6208</v>
      </c>
      <c r="B6210" t="s">
        <v>8139</v>
      </c>
      <c r="C6210" t="s">
        <v>22</v>
      </c>
      <c r="D6210">
        <v>64.75</v>
      </c>
    </row>
    <row r="6211" spans="1:4" hidden="1" x14ac:dyDescent="0.3">
      <c r="A6211">
        <v>6209</v>
      </c>
      <c r="B6211" t="s">
        <v>8140</v>
      </c>
      <c r="C6211" t="s">
        <v>24</v>
      </c>
      <c r="D6211">
        <v>6.8471711158769102</v>
      </c>
    </row>
    <row r="6212" spans="1:4" hidden="1" x14ac:dyDescent="0.3">
      <c r="A6212">
        <v>6210</v>
      </c>
      <c r="B6212" s="1" t="s">
        <v>8141</v>
      </c>
      <c r="C6212" t="s">
        <v>145</v>
      </c>
      <c r="D6212" s="1" t="s">
        <v>8142</v>
      </c>
    </row>
    <row r="6213" spans="1:4" hidden="1" x14ac:dyDescent="0.3">
      <c r="A6213">
        <v>6211</v>
      </c>
      <c r="B6213" t="s">
        <v>8143</v>
      </c>
      <c r="C6213" t="s">
        <v>35</v>
      </c>
      <c r="D6213">
        <v>-0.92529167524959</v>
      </c>
    </row>
    <row r="6214" spans="1:4" hidden="1" x14ac:dyDescent="0.3">
      <c r="A6214">
        <v>6212</v>
      </c>
      <c r="B6214" t="s">
        <v>8144</v>
      </c>
      <c r="C6214" t="s">
        <v>149</v>
      </c>
      <c r="D6214">
        <v>0.76845250848426205</v>
      </c>
    </row>
    <row r="6215" spans="1:4" hidden="1" x14ac:dyDescent="0.3">
      <c r="A6215">
        <v>6213</v>
      </c>
      <c r="B6215" s="1" t="s">
        <v>8145</v>
      </c>
      <c r="C6215" t="s">
        <v>151</v>
      </c>
      <c r="D6215" s="1" t="s">
        <v>8146</v>
      </c>
    </row>
    <row r="6216" spans="1:4" hidden="1" x14ac:dyDescent="0.3">
      <c r="A6216">
        <v>6214</v>
      </c>
      <c r="B6216" t="s">
        <v>8147</v>
      </c>
      <c r="C6216" t="s">
        <v>30</v>
      </c>
      <c r="D6216">
        <v>0.73370452086778204</v>
      </c>
    </row>
    <row r="6217" spans="1:4" hidden="1" x14ac:dyDescent="0.3">
      <c r="A6217">
        <v>6215</v>
      </c>
      <c r="B6217" t="s">
        <v>8148</v>
      </c>
      <c r="C6217" t="s">
        <v>32</v>
      </c>
      <c r="D6217">
        <v>0.165488616073274</v>
      </c>
    </row>
    <row r="6218" spans="1:4" hidden="1" x14ac:dyDescent="0.3">
      <c r="A6218">
        <v>6216</v>
      </c>
      <c r="B6218" s="1" t="s">
        <v>8149</v>
      </c>
      <c r="C6218" t="s">
        <v>155</v>
      </c>
      <c r="D6218" s="1" t="s">
        <v>8150</v>
      </c>
    </row>
    <row r="6219" spans="1:4" hidden="1" x14ac:dyDescent="0.3">
      <c r="A6219">
        <v>6217</v>
      </c>
      <c r="B6219" t="s">
        <v>8151</v>
      </c>
      <c r="C6219" t="s">
        <v>40</v>
      </c>
      <c r="D6219">
        <v>1.1915871543818</v>
      </c>
    </row>
    <row r="6220" spans="1:4" hidden="1" x14ac:dyDescent="0.3">
      <c r="A6220">
        <v>6218</v>
      </c>
      <c r="B6220" t="s">
        <v>8152</v>
      </c>
      <c r="C6220" t="s">
        <v>42</v>
      </c>
      <c r="D6220">
        <v>0.135827976636475</v>
      </c>
    </row>
    <row r="6221" spans="1:4" hidden="1" x14ac:dyDescent="0.3">
      <c r="A6221">
        <v>6219</v>
      </c>
      <c r="B6221" s="1" t="s">
        <v>8153</v>
      </c>
      <c r="C6221" t="s">
        <v>159</v>
      </c>
      <c r="D6221" s="1" t="s">
        <v>8154</v>
      </c>
    </row>
    <row r="6222" spans="1:4" hidden="1" x14ac:dyDescent="0.3">
      <c r="A6222">
        <v>6220</v>
      </c>
      <c r="B6222" t="s">
        <v>8155</v>
      </c>
      <c r="C6222" t="s">
        <v>161</v>
      </c>
      <c r="D6222">
        <v>1.0058668148013701</v>
      </c>
    </row>
    <row r="6223" spans="1:4" hidden="1" x14ac:dyDescent="0.3">
      <c r="A6223">
        <v>6221</v>
      </c>
      <c r="B6223" t="s">
        <v>8156</v>
      </c>
      <c r="C6223" t="s">
        <v>163</v>
      </c>
      <c r="D6223">
        <v>0.99983291158200804</v>
      </c>
    </row>
    <row r="6224" spans="1:4" hidden="1" x14ac:dyDescent="0.3">
      <c r="A6224">
        <v>6222</v>
      </c>
      <c r="B6224" s="1" t="s">
        <v>8157</v>
      </c>
      <c r="C6224" t="s">
        <v>165</v>
      </c>
      <c r="D6224" s="1" t="s">
        <v>8158</v>
      </c>
    </row>
    <row r="6225" spans="1:4" hidden="1" x14ac:dyDescent="0.3">
      <c r="A6225">
        <v>6223</v>
      </c>
      <c r="B6225" t="s">
        <v>8159</v>
      </c>
      <c r="C6225" t="s">
        <v>168</v>
      </c>
      <c r="D6225">
        <v>1.00097624903916</v>
      </c>
    </row>
    <row r="6226" spans="1:4" hidden="1" x14ac:dyDescent="0.3">
      <c r="A6226">
        <v>6224</v>
      </c>
      <c r="B6226" t="s">
        <v>8160</v>
      </c>
      <c r="C6226" t="s">
        <v>170</v>
      </c>
      <c r="D6226">
        <v>0.99840310334095606</v>
      </c>
    </row>
    <row r="6227" spans="1:4" hidden="1" x14ac:dyDescent="0.3">
      <c r="A6227">
        <v>6225</v>
      </c>
      <c r="B6227" s="1" t="s">
        <v>8161</v>
      </c>
      <c r="C6227" t="s">
        <v>172</v>
      </c>
      <c r="D6227" s="1" t="s">
        <v>8162</v>
      </c>
    </row>
    <row r="6228" spans="1:4" hidden="1" x14ac:dyDescent="0.3">
      <c r="A6228">
        <v>6226</v>
      </c>
      <c r="B6228" s="1" t="s">
        <v>8163</v>
      </c>
      <c r="C6228" t="s">
        <v>55</v>
      </c>
      <c r="D6228" s="1" t="s">
        <v>8164</v>
      </c>
    </row>
    <row r="6229" spans="1:4" hidden="1" x14ac:dyDescent="0.3">
      <c r="A6229">
        <v>6227</v>
      </c>
      <c r="B6229" s="1" t="s">
        <v>8165</v>
      </c>
      <c r="C6229" t="s">
        <v>52</v>
      </c>
      <c r="D6229" s="1" t="s">
        <v>8166</v>
      </c>
    </row>
    <row r="6230" spans="1:4" hidden="1" x14ac:dyDescent="0.3">
      <c r="A6230">
        <v>6228</v>
      </c>
      <c r="B6230" s="1" t="s">
        <v>8167</v>
      </c>
      <c r="C6230" t="s">
        <v>58</v>
      </c>
      <c r="D6230" s="1" t="s">
        <v>8168</v>
      </c>
    </row>
    <row r="6231" spans="1:4" hidden="1" x14ac:dyDescent="0.3">
      <c r="A6231">
        <v>6229</v>
      </c>
      <c r="B6231" t="s">
        <v>8169</v>
      </c>
      <c r="C6231" t="s">
        <v>61</v>
      </c>
      <c r="D6231">
        <v>142112220.19161001</v>
      </c>
    </row>
    <row r="6232" spans="1:4" hidden="1" x14ac:dyDescent="0.3">
      <c r="A6232">
        <v>6230</v>
      </c>
      <c r="B6232" t="s">
        <v>8170</v>
      </c>
      <c r="C6232" t="s">
        <v>63</v>
      </c>
      <c r="D6232">
        <v>76420990.412069201</v>
      </c>
    </row>
    <row r="6233" spans="1:4" hidden="1" x14ac:dyDescent="0.3">
      <c r="A6233">
        <v>6231</v>
      </c>
      <c r="B6233" t="s">
        <v>8171</v>
      </c>
      <c r="C6233" t="s">
        <v>65</v>
      </c>
      <c r="D6233">
        <v>39572902.870502301</v>
      </c>
    </row>
    <row r="6234" spans="1:4" hidden="1" x14ac:dyDescent="0.3">
      <c r="A6234">
        <v>6232</v>
      </c>
      <c r="B6234" s="1" t="s">
        <v>8172</v>
      </c>
      <c r="C6234" t="s">
        <v>67</v>
      </c>
      <c r="D6234" s="1" t="s">
        <v>8173</v>
      </c>
    </row>
    <row r="6235" spans="1:4" hidden="1" x14ac:dyDescent="0.3">
      <c r="A6235">
        <v>6233</v>
      </c>
      <c r="B6235" s="1" t="s">
        <v>8174</v>
      </c>
      <c r="C6235" t="s">
        <v>70</v>
      </c>
      <c r="D6235" s="1" t="s">
        <v>8175</v>
      </c>
    </row>
    <row r="6236" spans="1:4" hidden="1" x14ac:dyDescent="0.3">
      <c r="A6236">
        <v>6234</v>
      </c>
      <c r="B6236" t="s">
        <v>8176</v>
      </c>
      <c r="C6236" t="s">
        <v>73</v>
      </c>
      <c r="D6236">
        <v>1.0001246929058001</v>
      </c>
    </row>
    <row r="6237" spans="1:4" hidden="1" x14ac:dyDescent="0.3">
      <c r="A6237">
        <v>6235</v>
      </c>
      <c r="B6237" t="s">
        <v>74</v>
      </c>
      <c r="C6237" t="s">
        <v>75</v>
      </c>
      <c r="D6237">
        <v>2.7397260273972599E-3</v>
      </c>
    </row>
    <row r="6238" spans="1:4" hidden="1" x14ac:dyDescent="0.3">
      <c r="A6238">
        <v>6236</v>
      </c>
      <c r="B6238" t="s">
        <v>76</v>
      </c>
      <c r="C6238" t="s">
        <v>77</v>
      </c>
      <c r="D6238">
        <v>0</v>
      </c>
    </row>
    <row r="6239" spans="1:4" hidden="1" x14ac:dyDescent="0.3">
      <c r="A6239">
        <v>6237</v>
      </c>
      <c r="B6239" t="s">
        <v>1459</v>
      </c>
      <c r="C6239" t="s">
        <v>79</v>
      </c>
      <c r="D6239" s="2">
        <v>-2.2204460492503101E-16</v>
      </c>
    </row>
    <row r="6240" spans="1:4" hidden="1" x14ac:dyDescent="0.3">
      <c r="A6240">
        <v>6238</v>
      </c>
      <c r="B6240" s="1" t="s">
        <v>8177</v>
      </c>
      <c r="C6240" t="s">
        <v>81</v>
      </c>
      <c r="D6240" s="1" t="s">
        <v>8178</v>
      </c>
    </row>
    <row r="6241" spans="1:4" hidden="1" x14ac:dyDescent="0.3">
      <c r="A6241">
        <v>6239</v>
      </c>
      <c r="B6241" t="s">
        <v>8179</v>
      </c>
      <c r="C6241" t="s">
        <v>84</v>
      </c>
      <c r="D6241">
        <v>1.000108068928</v>
      </c>
    </row>
    <row r="6242" spans="1:4" hidden="1" x14ac:dyDescent="0.3">
      <c r="A6242">
        <v>6240</v>
      </c>
      <c r="B6242" s="1" t="s">
        <v>8180</v>
      </c>
      <c r="C6242" t="s">
        <v>86</v>
      </c>
      <c r="D6242" s="1" t="s">
        <v>8181</v>
      </c>
    </row>
    <row r="6243" spans="1:4" hidden="1" x14ac:dyDescent="0.3">
      <c r="A6243">
        <v>6241</v>
      </c>
      <c r="B6243" t="s">
        <v>8182</v>
      </c>
      <c r="C6243" t="s">
        <v>89</v>
      </c>
      <c r="D6243">
        <v>101178845.19411699</v>
      </c>
    </row>
    <row r="6244" spans="1:4" hidden="1" x14ac:dyDescent="0.3">
      <c r="A6244">
        <v>6242</v>
      </c>
      <c r="B6244" s="1" t="s">
        <v>8183</v>
      </c>
      <c r="C6244" t="s">
        <v>91</v>
      </c>
      <c r="D6244" s="1" t="s">
        <v>8117</v>
      </c>
    </row>
    <row r="6245" spans="1:4" hidden="1" x14ac:dyDescent="0.3">
      <c r="A6245">
        <v>6243</v>
      </c>
      <c r="B6245" t="s">
        <v>8184</v>
      </c>
      <c r="C6245" t="s">
        <v>94</v>
      </c>
      <c r="D6245">
        <v>76420990.412069201</v>
      </c>
    </row>
    <row r="6246" spans="1:4" hidden="1" x14ac:dyDescent="0.3">
      <c r="A6246">
        <v>6244</v>
      </c>
      <c r="B6246" t="s">
        <v>8185</v>
      </c>
      <c r="C6246" t="s">
        <v>96</v>
      </c>
      <c r="D6246">
        <v>39572902.870502301</v>
      </c>
    </row>
    <row r="6247" spans="1:4" hidden="1" x14ac:dyDescent="0.3">
      <c r="A6247">
        <v>6245</v>
      </c>
      <c r="B6247" t="s">
        <v>8186</v>
      </c>
      <c r="C6247" t="s">
        <v>98</v>
      </c>
      <c r="D6247">
        <v>26118326.909039199</v>
      </c>
    </row>
    <row r="6248" spans="1:4" hidden="1" x14ac:dyDescent="0.3">
      <c r="A6248">
        <v>6246</v>
      </c>
      <c r="B6248" s="1" t="s">
        <v>8187</v>
      </c>
      <c r="C6248" t="s">
        <v>100</v>
      </c>
      <c r="D6248" s="1" t="s">
        <v>8188</v>
      </c>
    </row>
    <row r="6249" spans="1:4" hidden="1" x14ac:dyDescent="0.3">
      <c r="A6249">
        <v>6247</v>
      </c>
      <c r="B6249" t="s">
        <v>8189</v>
      </c>
      <c r="C6249" t="s">
        <v>103</v>
      </c>
      <c r="D6249">
        <v>8.37674840241397E-3</v>
      </c>
    </row>
    <row r="6250" spans="1:4" hidden="1" x14ac:dyDescent="0.3">
      <c r="A6250">
        <v>6248</v>
      </c>
      <c r="B6250" t="s">
        <v>8190</v>
      </c>
      <c r="C6250" t="s">
        <v>105</v>
      </c>
      <c r="D6250">
        <v>1.2746333809085699E-3</v>
      </c>
    </row>
    <row r="6251" spans="1:4" hidden="1" x14ac:dyDescent="0.3">
      <c r="A6251">
        <v>6249</v>
      </c>
      <c r="B6251" t="s">
        <v>8191</v>
      </c>
      <c r="C6251" t="s">
        <v>107</v>
      </c>
      <c r="D6251">
        <v>9.9269505600377492E-3</v>
      </c>
    </row>
    <row r="6252" spans="1:4" hidden="1" x14ac:dyDescent="0.3">
      <c r="A6252">
        <v>6250</v>
      </c>
      <c r="B6252" s="1" t="s">
        <v>8192</v>
      </c>
      <c r="C6252" t="s">
        <v>109</v>
      </c>
      <c r="D6252" s="1" t="s">
        <v>8193</v>
      </c>
    </row>
    <row r="6253" spans="1:4" x14ac:dyDescent="0.3">
      <c r="A6253">
        <v>6251</v>
      </c>
      <c r="B6253" t="s">
        <v>8194</v>
      </c>
      <c r="C6253" t="s">
        <v>207</v>
      </c>
      <c r="D6253">
        <v>142111634.51052901</v>
      </c>
    </row>
    <row r="6254" spans="1:4" hidden="1" x14ac:dyDescent="0.3">
      <c r="A6254">
        <v>6252</v>
      </c>
      <c r="B6254" t="s">
        <v>8195</v>
      </c>
      <c r="C6254" t="s">
        <v>209</v>
      </c>
      <c r="D6254">
        <v>1270.25493810645</v>
      </c>
    </row>
    <row r="6255" spans="1:4" hidden="1" x14ac:dyDescent="0.3">
      <c r="A6255">
        <v>6253</v>
      </c>
      <c r="B6255" t="s">
        <v>8196</v>
      </c>
      <c r="C6255" t="s">
        <v>211</v>
      </c>
      <c r="D6255">
        <v>657.77550957878702</v>
      </c>
    </row>
    <row r="6256" spans="1:4" hidden="1" x14ac:dyDescent="0.3">
      <c r="A6256">
        <v>6254</v>
      </c>
      <c r="B6256" s="1" t="s">
        <v>8197</v>
      </c>
      <c r="C6256" t="s">
        <v>213</v>
      </c>
      <c r="D6256" s="1" t="s">
        <v>8198</v>
      </c>
    </row>
    <row r="6257" spans="1:4" hidden="1" x14ac:dyDescent="0.3">
      <c r="A6257">
        <v>6255</v>
      </c>
      <c r="B6257" t="s">
        <v>8199</v>
      </c>
      <c r="C6257" t="s">
        <v>216</v>
      </c>
      <c r="D6257">
        <v>76419267.909906507</v>
      </c>
    </row>
    <row r="6258" spans="1:4" hidden="1" x14ac:dyDescent="0.3">
      <c r="A6258">
        <v>6256</v>
      </c>
      <c r="B6258" t="s">
        <v>8200</v>
      </c>
      <c r="C6258" t="s">
        <v>218</v>
      </c>
      <c r="D6258">
        <v>39572153.1033829</v>
      </c>
    </row>
    <row r="6259" spans="1:4" hidden="1" x14ac:dyDescent="0.3">
      <c r="A6259">
        <v>6257</v>
      </c>
      <c r="B6259" t="s">
        <v>8201</v>
      </c>
      <c r="C6259" t="s">
        <v>220</v>
      </c>
      <c r="D6259">
        <v>26117851.3311285</v>
      </c>
    </row>
    <row r="6260" spans="1:4" hidden="1" x14ac:dyDescent="0.3">
      <c r="A6260">
        <v>6258</v>
      </c>
      <c r="B6260" s="1" t="s">
        <v>8202</v>
      </c>
      <c r="C6260" t="s">
        <v>222</v>
      </c>
      <c r="D6260" s="1" t="s">
        <v>8203</v>
      </c>
    </row>
    <row r="6261" spans="1:4" hidden="1" x14ac:dyDescent="0.3">
      <c r="A6261">
        <v>6259</v>
      </c>
      <c r="B6261" t="s">
        <v>8204</v>
      </c>
      <c r="C6261" t="s">
        <v>225</v>
      </c>
      <c r="D6261">
        <v>101177163.40894701</v>
      </c>
    </row>
    <row r="6262" spans="1:4" hidden="1" x14ac:dyDescent="0.3">
      <c r="A6262">
        <v>6260</v>
      </c>
      <c r="B6262" t="s">
        <v>8205</v>
      </c>
      <c r="C6262" t="s">
        <v>227</v>
      </c>
      <c r="D6262">
        <v>1681.78516961634</v>
      </c>
    </row>
    <row r="6263" spans="1:4" hidden="1" x14ac:dyDescent="0.3">
      <c r="A6263">
        <v>6261</v>
      </c>
      <c r="B6263" s="1" t="s">
        <v>8206</v>
      </c>
      <c r="C6263" t="s">
        <v>229</v>
      </c>
      <c r="D6263" s="1" t="s">
        <v>8207</v>
      </c>
    </row>
    <row r="6264" spans="1:4" hidden="1" x14ac:dyDescent="0.3">
      <c r="A6264">
        <v>6262</v>
      </c>
      <c r="B6264" t="s">
        <v>8208</v>
      </c>
      <c r="C6264" t="s">
        <v>112</v>
      </c>
      <c r="D6264">
        <v>-452.24722456489098</v>
      </c>
    </row>
    <row r="6265" spans="1:4" hidden="1" x14ac:dyDescent="0.3">
      <c r="A6265">
        <v>6263</v>
      </c>
      <c r="B6265" t="s">
        <v>8209</v>
      </c>
      <c r="C6265" t="s">
        <v>114</v>
      </c>
      <c r="D6265">
        <v>-91.991609809815202</v>
      </c>
    </row>
    <row r="6266" spans="1:4" hidden="1" x14ac:dyDescent="0.3">
      <c r="A6266">
        <v>6264</v>
      </c>
      <c r="B6266" s="1" t="s">
        <v>8210</v>
      </c>
      <c r="C6266" t="s">
        <v>116</v>
      </c>
      <c r="D6266" s="1" t="s">
        <v>8211</v>
      </c>
    </row>
    <row r="6267" spans="1:4" hidden="1" x14ac:dyDescent="0.3">
      <c r="A6267">
        <v>6265</v>
      </c>
      <c r="B6267" t="s">
        <v>8212</v>
      </c>
      <c r="C6267" t="s">
        <v>119</v>
      </c>
      <c r="D6267">
        <v>76419267.909906507</v>
      </c>
    </row>
    <row r="6268" spans="1:4" hidden="1" x14ac:dyDescent="0.3">
      <c r="A6268">
        <v>6266</v>
      </c>
      <c r="B6268" t="s">
        <v>8213</v>
      </c>
      <c r="C6268" t="s">
        <v>121</v>
      </c>
      <c r="D6268">
        <v>39572153.1033829</v>
      </c>
    </row>
    <row r="6269" spans="1:4" hidden="1" x14ac:dyDescent="0.3">
      <c r="A6269">
        <v>6267</v>
      </c>
      <c r="B6269" s="1" t="s">
        <v>8214</v>
      </c>
      <c r="C6269" t="s">
        <v>123</v>
      </c>
      <c r="D6269" s="1" t="s">
        <v>8215</v>
      </c>
    </row>
    <row r="6270" spans="1:4" hidden="1" x14ac:dyDescent="0.3">
      <c r="A6270">
        <v>6268</v>
      </c>
      <c r="B6270" t="s">
        <v>8216</v>
      </c>
      <c r="C6270" t="s">
        <v>126</v>
      </c>
      <c r="D6270">
        <v>0.75521992986792497</v>
      </c>
    </row>
    <row r="6271" spans="1:4" hidden="1" x14ac:dyDescent="0.3">
      <c r="A6271">
        <v>6269</v>
      </c>
      <c r="B6271" t="s">
        <v>8217</v>
      </c>
      <c r="C6271" t="s">
        <v>128</v>
      </c>
      <c r="D6271">
        <v>0.39107517657317697</v>
      </c>
    </row>
    <row r="6272" spans="1:4" hidden="1" x14ac:dyDescent="0.3">
      <c r="A6272">
        <v>6270</v>
      </c>
      <c r="B6272" s="1" t="s">
        <v>8218</v>
      </c>
      <c r="C6272" t="s">
        <v>130</v>
      </c>
      <c r="D6272" s="1" t="s">
        <v>8219</v>
      </c>
    </row>
    <row r="6273" spans="1:4" hidden="1" x14ac:dyDescent="0.3">
      <c r="A6273">
        <v>6271</v>
      </c>
      <c r="B6273" s="1" t="s">
        <v>8220</v>
      </c>
      <c r="C6273" t="s">
        <v>4</v>
      </c>
      <c r="D6273" t="s">
        <v>8221</v>
      </c>
    </row>
    <row r="6274" spans="1:4" hidden="1" x14ac:dyDescent="0.3">
      <c r="A6274">
        <v>6272</v>
      </c>
      <c r="B6274" t="s">
        <v>8222</v>
      </c>
      <c r="C6274" t="s">
        <v>7</v>
      </c>
      <c r="D6274">
        <v>1742.76</v>
      </c>
    </row>
    <row r="6275" spans="1:4" hidden="1" x14ac:dyDescent="0.3">
      <c r="A6275">
        <v>6273</v>
      </c>
      <c r="B6275" s="1" t="s">
        <v>8223</v>
      </c>
      <c r="C6275" t="s">
        <v>9</v>
      </c>
      <c r="D6275" s="1" t="s">
        <v>8224</v>
      </c>
    </row>
    <row r="6276" spans="1:4" hidden="1" x14ac:dyDescent="0.3">
      <c r="A6276">
        <v>6274</v>
      </c>
      <c r="B6276" t="s">
        <v>8225</v>
      </c>
      <c r="C6276" t="s">
        <v>14</v>
      </c>
      <c r="D6276">
        <v>98.05078125</v>
      </c>
    </row>
    <row r="6277" spans="1:4" hidden="1" x14ac:dyDescent="0.3">
      <c r="A6277">
        <v>6275</v>
      </c>
      <c r="B6277" t="s">
        <v>8226</v>
      </c>
      <c r="C6277" t="s">
        <v>16</v>
      </c>
      <c r="D6277">
        <v>4.3885703750318497</v>
      </c>
    </row>
    <row r="6278" spans="1:4" hidden="1" x14ac:dyDescent="0.3">
      <c r="A6278">
        <v>6276</v>
      </c>
      <c r="B6278" s="1" t="s">
        <v>8227</v>
      </c>
      <c r="C6278" t="s">
        <v>140</v>
      </c>
      <c r="D6278" s="1" t="s">
        <v>8228</v>
      </c>
    </row>
    <row r="6279" spans="1:4" hidden="1" x14ac:dyDescent="0.3">
      <c r="A6279">
        <v>6277</v>
      </c>
      <c r="B6279" t="s">
        <v>8229</v>
      </c>
      <c r="C6279" t="s">
        <v>22</v>
      </c>
      <c r="D6279">
        <v>66.099999999999994</v>
      </c>
    </row>
    <row r="6280" spans="1:4" hidden="1" x14ac:dyDescent="0.3">
      <c r="A6280">
        <v>6278</v>
      </c>
      <c r="B6280" t="s">
        <v>8230</v>
      </c>
      <c r="C6280" t="s">
        <v>24</v>
      </c>
      <c r="D6280">
        <v>6.7171721776715803</v>
      </c>
    </row>
    <row r="6281" spans="1:4" hidden="1" x14ac:dyDescent="0.3">
      <c r="A6281">
        <v>6279</v>
      </c>
      <c r="B6281" s="1" t="s">
        <v>8231</v>
      </c>
      <c r="C6281" t="s">
        <v>145</v>
      </c>
      <c r="D6281" s="1" t="s">
        <v>8232</v>
      </c>
    </row>
    <row r="6282" spans="1:4" hidden="1" x14ac:dyDescent="0.3">
      <c r="A6282">
        <v>6280</v>
      </c>
      <c r="B6282" t="s">
        <v>8233</v>
      </c>
      <c r="C6282" t="s">
        <v>35</v>
      </c>
      <c r="D6282">
        <v>0.26803885642733399</v>
      </c>
    </row>
    <row r="6283" spans="1:4" hidden="1" x14ac:dyDescent="0.3">
      <c r="A6283">
        <v>6281</v>
      </c>
      <c r="B6283" t="s">
        <v>8234</v>
      </c>
      <c r="C6283" t="s">
        <v>149</v>
      </c>
      <c r="D6283">
        <v>0.75494440164421395</v>
      </c>
    </row>
    <row r="6284" spans="1:4" hidden="1" x14ac:dyDescent="0.3">
      <c r="A6284">
        <v>6282</v>
      </c>
      <c r="B6284" s="1" t="s">
        <v>8235</v>
      </c>
      <c r="C6284" t="s">
        <v>151</v>
      </c>
      <c r="D6284" s="1" t="s">
        <v>8236</v>
      </c>
    </row>
    <row r="6285" spans="1:4" hidden="1" x14ac:dyDescent="0.3">
      <c r="A6285">
        <v>6283</v>
      </c>
      <c r="B6285" t="s">
        <v>8237</v>
      </c>
      <c r="C6285" t="s">
        <v>30</v>
      </c>
      <c r="D6285">
        <v>0.28372169844404799</v>
      </c>
    </row>
    <row r="6286" spans="1:4" hidden="1" x14ac:dyDescent="0.3">
      <c r="A6286">
        <v>6284</v>
      </c>
      <c r="B6286" t="s">
        <v>8238</v>
      </c>
      <c r="C6286" t="s">
        <v>32</v>
      </c>
      <c r="D6286">
        <v>0.17534655795017101</v>
      </c>
    </row>
    <row r="6287" spans="1:4" hidden="1" x14ac:dyDescent="0.3">
      <c r="A6287">
        <v>6285</v>
      </c>
      <c r="B6287" s="1" t="s">
        <v>8239</v>
      </c>
      <c r="C6287" t="s">
        <v>155</v>
      </c>
      <c r="D6287" s="1" t="s">
        <v>8240</v>
      </c>
    </row>
    <row r="6288" spans="1:4" hidden="1" x14ac:dyDescent="0.3">
      <c r="A6288">
        <v>6286</v>
      </c>
      <c r="B6288" t="s">
        <v>8241</v>
      </c>
      <c r="C6288" t="s">
        <v>40</v>
      </c>
      <c r="D6288">
        <v>0.44823944512861702</v>
      </c>
    </row>
    <row r="6289" spans="1:4" hidden="1" x14ac:dyDescent="0.3">
      <c r="A6289">
        <v>6287</v>
      </c>
      <c r="B6289" t="s">
        <v>8242</v>
      </c>
      <c r="C6289" t="s">
        <v>42</v>
      </c>
      <c r="D6289">
        <v>0.149254297188395</v>
      </c>
    </row>
    <row r="6290" spans="1:4" hidden="1" x14ac:dyDescent="0.3">
      <c r="A6290">
        <v>6288</v>
      </c>
      <c r="B6290" s="1" t="s">
        <v>8243</v>
      </c>
      <c r="C6290" t="s">
        <v>159</v>
      </c>
      <c r="D6290" s="1" t="s">
        <v>8244</v>
      </c>
    </row>
    <row r="6291" spans="1:4" hidden="1" x14ac:dyDescent="0.3">
      <c r="A6291">
        <v>6289</v>
      </c>
      <c r="B6291" t="s">
        <v>8245</v>
      </c>
      <c r="C6291" t="s">
        <v>161</v>
      </c>
      <c r="D6291">
        <v>0.98210773678367502</v>
      </c>
    </row>
    <row r="6292" spans="1:4" hidden="1" x14ac:dyDescent="0.3">
      <c r="A6292">
        <v>6290</v>
      </c>
      <c r="B6292" t="s">
        <v>8246</v>
      </c>
      <c r="C6292" t="s">
        <v>163</v>
      </c>
      <c r="D6292">
        <v>0.99546411970103799</v>
      </c>
    </row>
    <row r="6293" spans="1:4" hidden="1" x14ac:dyDescent="0.3">
      <c r="A6293">
        <v>6291</v>
      </c>
      <c r="B6293" s="1" t="s">
        <v>8247</v>
      </c>
      <c r="C6293" t="s">
        <v>165</v>
      </c>
      <c r="D6293" s="1" t="s">
        <v>8248</v>
      </c>
    </row>
    <row r="6294" spans="1:4" hidden="1" x14ac:dyDescent="0.3">
      <c r="A6294">
        <v>6292</v>
      </c>
      <c r="B6294" t="s">
        <v>8249</v>
      </c>
      <c r="C6294" t="s">
        <v>168</v>
      </c>
      <c r="D6294">
        <v>0.99236162307144604</v>
      </c>
    </row>
    <row r="6295" spans="1:4" hidden="1" x14ac:dyDescent="0.3">
      <c r="A6295">
        <v>6293</v>
      </c>
      <c r="B6295" t="s">
        <v>8250</v>
      </c>
      <c r="C6295" t="s">
        <v>170</v>
      </c>
      <c r="D6295">
        <v>1.00845820520333</v>
      </c>
    </row>
    <row r="6296" spans="1:4" hidden="1" x14ac:dyDescent="0.3">
      <c r="A6296">
        <v>6294</v>
      </c>
      <c r="B6296" s="1" t="s">
        <v>8251</v>
      </c>
      <c r="C6296" t="s">
        <v>172</v>
      </c>
      <c r="D6296" s="1" t="s">
        <v>8252</v>
      </c>
    </row>
    <row r="6297" spans="1:4" hidden="1" x14ac:dyDescent="0.3">
      <c r="A6297">
        <v>6295</v>
      </c>
      <c r="B6297" s="1" t="s">
        <v>8253</v>
      </c>
      <c r="C6297" t="s">
        <v>55</v>
      </c>
      <c r="D6297" s="1" t="s">
        <v>8254</v>
      </c>
    </row>
    <row r="6298" spans="1:4" hidden="1" x14ac:dyDescent="0.3">
      <c r="A6298">
        <v>6296</v>
      </c>
      <c r="B6298" s="1" t="s">
        <v>8255</v>
      </c>
      <c r="C6298" t="s">
        <v>52</v>
      </c>
      <c r="D6298" s="1" t="s">
        <v>8256</v>
      </c>
    </row>
    <row r="6299" spans="1:4" hidden="1" x14ac:dyDescent="0.3">
      <c r="A6299">
        <v>6297</v>
      </c>
      <c r="B6299" s="1" t="s">
        <v>8257</v>
      </c>
      <c r="C6299" t="s">
        <v>58</v>
      </c>
      <c r="D6299" s="1" t="s">
        <v>8258</v>
      </c>
    </row>
    <row r="6300" spans="1:4" hidden="1" x14ac:dyDescent="0.3">
      <c r="A6300">
        <v>6298</v>
      </c>
      <c r="B6300" t="s">
        <v>8259</v>
      </c>
      <c r="C6300" t="s">
        <v>61</v>
      </c>
      <c r="D6300">
        <v>141007506.95040101</v>
      </c>
    </row>
    <row r="6301" spans="1:4" hidden="1" x14ac:dyDescent="0.3">
      <c r="A6301">
        <v>6299</v>
      </c>
      <c r="B6301" t="s">
        <v>8260</v>
      </c>
      <c r="C6301" t="s">
        <v>63</v>
      </c>
      <c r="D6301">
        <v>75051954.253663599</v>
      </c>
    </row>
    <row r="6302" spans="1:4" hidden="1" x14ac:dyDescent="0.3">
      <c r="A6302">
        <v>6300</v>
      </c>
      <c r="B6302" t="s">
        <v>8261</v>
      </c>
      <c r="C6302" t="s">
        <v>65</v>
      </c>
      <c r="D6302">
        <v>39392658.553733803</v>
      </c>
    </row>
    <row r="6303" spans="1:4" hidden="1" x14ac:dyDescent="0.3">
      <c r="A6303">
        <v>6301</v>
      </c>
      <c r="B6303" s="1" t="s">
        <v>8262</v>
      </c>
      <c r="C6303" t="s">
        <v>67</v>
      </c>
      <c r="D6303" s="1" t="s">
        <v>8263</v>
      </c>
    </row>
    <row r="6304" spans="1:4" hidden="1" x14ac:dyDescent="0.3">
      <c r="A6304">
        <v>6302</v>
      </c>
      <c r="B6304" s="1" t="s">
        <v>8264</v>
      </c>
      <c r="C6304" t="s">
        <v>70</v>
      </c>
      <c r="D6304" s="1" t="s">
        <v>8265</v>
      </c>
    </row>
    <row r="6305" spans="1:4" hidden="1" x14ac:dyDescent="0.3">
      <c r="A6305">
        <v>6303</v>
      </c>
      <c r="B6305" t="s">
        <v>8266</v>
      </c>
      <c r="C6305" t="s">
        <v>73</v>
      </c>
      <c r="D6305">
        <v>1.000108068928</v>
      </c>
    </row>
    <row r="6306" spans="1:4" hidden="1" x14ac:dyDescent="0.3">
      <c r="A6306">
        <v>6304</v>
      </c>
      <c r="B6306" t="s">
        <v>74</v>
      </c>
      <c r="C6306" t="s">
        <v>75</v>
      </c>
      <c r="D6306">
        <v>2.7397260273972599E-3</v>
      </c>
    </row>
    <row r="6307" spans="1:4" hidden="1" x14ac:dyDescent="0.3">
      <c r="A6307">
        <v>6305</v>
      </c>
      <c r="B6307" t="s">
        <v>76</v>
      </c>
      <c r="C6307" t="s">
        <v>77</v>
      </c>
      <c r="D6307">
        <v>0</v>
      </c>
    </row>
    <row r="6308" spans="1:4" hidden="1" x14ac:dyDescent="0.3">
      <c r="A6308">
        <v>6306</v>
      </c>
      <c r="B6308" t="s">
        <v>1459</v>
      </c>
      <c r="C6308" t="s">
        <v>79</v>
      </c>
      <c r="D6308" s="2">
        <v>-2.2204460492503101E-16</v>
      </c>
    </row>
    <row r="6309" spans="1:4" hidden="1" x14ac:dyDescent="0.3">
      <c r="A6309">
        <v>6307</v>
      </c>
      <c r="B6309" s="1" t="s">
        <v>8267</v>
      </c>
      <c r="C6309" t="s">
        <v>81</v>
      </c>
      <c r="D6309" s="1" t="s">
        <v>8268</v>
      </c>
    </row>
    <row r="6310" spans="1:4" hidden="1" x14ac:dyDescent="0.3">
      <c r="A6310">
        <v>6308</v>
      </c>
      <c r="B6310" t="s">
        <v>8269</v>
      </c>
      <c r="C6310" t="s">
        <v>84</v>
      </c>
      <c r="D6310">
        <v>1.0001358707039001</v>
      </c>
    </row>
    <row r="6311" spans="1:4" hidden="1" x14ac:dyDescent="0.3">
      <c r="A6311">
        <v>6309</v>
      </c>
      <c r="B6311" s="1" t="s">
        <v>8270</v>
      </c>
      <c r="C6311" t="s">
        <v>86</v>
      </c>
      <c r="D6311" s="1" t="s">
        <v>8271</v>
      </c>
    </row>
    <row r="6312" spans="1:4" hidden="1" x14ac:dyDescent="0.3">
      <c r="A6312">
        <v>6310</v>
      </c>
      <c r="B6312" t="s">
        <v>8272</v>
      </c>
      <c r="C6312" t="s">
        <v>89</v>
      </c>
      <c r="D6312">
        <v>101176032.62468199</v>
      </c>
    </row>
    <row r="6313" spans="1:4" hidden="1" x14ac:dyDescent="0.3">
      <c r="A6313">
        <v>6311</v>
      </c>
      <c r="B6313" s="1" t="s">
        <v>8273</v>
      </c>
      <c r="C6313" t="s">
        <v>91</v>
      </c>
      <c r="D6313" s="1" t="s">
        <v>8207</v>
      </c>
    </row>
    <row r="6314" spans="1:4" hidden="1" x14ac:dyDescent="0.3">
      <c r="A6314">
        <v>6312</v>
      </c>
      <c r="B6314" t="s">
        <v>8274</v>
      </c>
      <c r="C6314" t="s">
        <v>94</v>
      </c>
      <c r="D6314">
        <v>75051954.253663599</v>
      </c>
    </row>
    <row r="6315" spans="1:4" hidden="1" x14ac:dyDescent="0.3">
      <c r="A6315">
        <v>6313</v>
      </c>
      <c r="B6315" t="s">
        <v>8275</v>
      </c>
      <c r="C6315" t="s">
        <v>96</v>
      </c>
      <c r="D6315">
        <v>39392658.553733803</v>
      </c>
    </row>
    <row r="6316" spans="1:4" hidden="1" x14ac:dyDescent="0.3">
      <c r="A6316">
        <v>6314</v>
      </c>
      <c r="B6316" t="s">
        <v>8276</v>
      </c>
      <c r="C6316" t="s">
        <v>98</v>
      </c>
      <c r="D6316">
        <v>26562894.143004399</v>
      </c>
    </row>
    <row r="6317" spans="1:4" hidden="1" x14ac:dyDescent="0.3">
      <c r="A6317">
        <v>6315</v>
      </c>
      <c r="B6317" s="1" t="s">
        <v>8277</v>
      </c>
      <c r="C6317" t="s">
        <v>100</v>
      </c>
      <c r="D6317" s="1" t="s">
        <v>8278</v>
      </c>
    </row>
    <row r="6318" spans="1:4" hidden="1" x14ac:dyDescent="0.3">
      <c r="A6318">
        <v>6316</v>
      </c>
      <c r="B6318" t="s">
        <v>8279</v>
      </c>
      <c r="C6318" t="s">
        <v>103</v>
      </c>
      <c r="D6318">
        <v>8.3927944691206402E-3</v>
      </c>
    </row>
    <row r="6319" spans="1:4" hidden="1" x14ac:dyDescent="0.3">
      <c r="A6319">
        <v>6317</v>
      </c>
      <c r="B6319" t="s">
        <v>8280</v>
      </c>
      <c r="C6319" t="s">
        <v>105</v>
      </c>
      <c r="D6319">
        <v>1.35196844684419E-3</v>
      </c>
    </row>
    <row r="6320" spans="1:4" hidden="1" x14ac:dyDescent="0.3">
      <c r="A6320">
        <v>6318</v>
      </c>
      <c r="B6320" t="s">
        <v>8281</v>
      </c>
      <c r="C6320" t="s">
        <v>107</v>
      </c>
      <c r="D6320">
        <v>1.0155386202330099E-2</v>
      </c>
    </row>
    <row r="6321" spans="1:4" hidden="1" x14ac:dyDescent="0.3">
      <c r="A6321">
        <v>6319</v>
      </c>
      <c r="B6321" s="1" t="s">
        <v>8282</v>
      </c>
      <c r="C6321" t="s">
        <v>109</v>
      </c>
      <c r="D6321" s="1" t="s">
        <v>8283</v>
      </c>
    </row>
    <row r="6322" spans="1:4" x14ac:dyDescent="0.3">
      <c r="A6322">
        <v>6320</v>
      </c>
      <c r="B6322" t="s">
        <v>8284</v>
      </c>
      <c r="C6322" t="s">
        <v>207</v>
      </c>
      <c r="D6322">
        <v>141008484.327279</v>
      </c>
    </row>
    <row r="6323" spans="1:4" hidden="1" x14ac:dyDescent="0.3">
      <c r="A6323">
        <v>6321</v>
      </c>
      <c r="B6323" t="s">
        <v>8285</v>
      </c>
      <c r="C6323" t="s">
        <v>209</v>
      </c>
      <c r="D6323">
        <v>-2086.3729533207402</v>
      </c>
    </row>
    <row r="6324" spans="1:4" hidden="1" x14ac:dyDescent="0.3">
      <c r="A6324">
        <v>6322</v>
      </c>
      <c r="B6324" t="s">
        <v>8286</v>
      </c>
      <c r="C6324" t="s">
        <v>211</v>
      </c>
      <c r="D6324">
        <v>-1095.07200877734</v>
      </c>
    </row>
    <row r="6325" spans="1:4" hidden="1" x14ac:dyDescent="0.3">
      <c r="A6325">
        <v>6323</v>
      </c>
      <c r="B6325" s="1" t="s">
        <v>8287</v>
      </c>
      <c r="C6325" t="s">
        <v>213</v>
      </c>
      <c r="D6325" s="1" t="s">
        <v>8288</v>
      </c>
    </row>
    <row r="6326" spans="1:4" hidden="1" x14ac:dyDescent="0.3">
      <c r="A6326">
        <v>6324</v>
      </c>
      <c r="B6326" t="s">
        <v>8289</v>
      </c>
      <c r="C6326" t="s">
        <v>216</v>
      </c>
      <c r="D6326">
        <v>75054789.209615305</v>
      </c>
    </row>
    <row r="6327" spans="1:4" hidden="1" x14ac:dyDescent="0.3">
      <c r="A6327">
        <v>6325</v>
      </c>
      <c r="B6327" t="s">
        <v>8290</v>
      </c>
      <c r="C6327" t="s">
        <v>218</v>
      </c>
      <c r="D6327">
        <v>39393915.0032195</v>
      </c>
    </row>
    <row r="6328" spans="1:4" hidden="1" x14ac:dyDescent="0.3">
      <c r="A6328">
        <v>6326</v>
      </c>
      <c r="B6328" t="s">
        <v>8291</v>
      </c>
      <c r="C6328" t="s">
        <v>220</v>
      </c>
      <c r="D6328">
        <v>26563699.977111399</v>
      </c>
    </row>
    <row r="6329" spans="1:4" hidden="1" x14ac:dyDescent="0.3">
      <c r="A6329">
        <v>6327</v>
      </c>
      <c r="B6329" s="1" t="s">
        <v>8292</v>
      </c>
      <c r="C6329" t="s">
        <v>222</v>
      </c>
      <c r="D6329" s="1" t="s">
        <v>8293</v>
      </c>
    </row>
    <row r="6330" spans="1:4" hidden="1" x14ac:dyDescent="0.3">
      <c r="A6330">
        <v>6328</v>
      </c>
      <c r="B6330" t="s">
        <v>8294</v>
      </c>
      <c r="C6330" t="s">
        <v>225</v>
      </c>
      <c r="D6330">
        <v>101178845.19411699</v>
      </c>
    </row>
    <row r="6331" spans="1:4" hidden="1" x14ac:dyDescent="0.3">
      <c r="A6331">
        <v>6329</v>
      </c>
      <c r="B6331" t="s">
        <v>8295</v>
      </c>
      <c r="C6331" t="s">
        <v>227</v>
      </c>
      <c r="D6331">
        <v>-2812.5694347321901</v>
      </c>
    </row>
    <row r="6332" spans="1:4" hidden="1" x14ac:dyDescent="0.3">
      <c r="A6332">
        <v>6330</v>
      </c>
      <c r="B6332" s="1" t="s">
        <v>8296</v>
      </c>
      <c r="C6332" t="s">
        <v>229</v>
      </c>
      <c r="D6332" s="1" t="s">
        <v>8297</v>
      </c>
    </row>
    <row r="6333" spans="1:4" hidden="1" x14ac:dyDescent="0.3">
      <c r="A6333">
        <v>6331</v>
      </c>
      <c r="B6333" t="s">
        <v>8298</v>
      </c>
      <c r="C6333" t="s">
        <v>112</v>
      </c>
      <c r="D6333">
        <v>748.58299837737002</v>
      </c>
    </row>
    <row r="6334" spans="1:4" hidden="1" x14ac:dyDescent="0.3">
      <c r="A6334">
        <v>6332</v>
      </c>
      <c r="B6334" t="s">
        <v>8299</v>
      </c>
      <c r="C6334" t="s">
        <v>114</v>
      </c>
      <c r="D6334">
        <v>161.377476984493</v>
      </c>
    </row>
    <row r="6335" spans="1:4" hidden="1" x14ac:dyDescent="0.3">
      <c r="A6335">
        <v>6333</v>
      </c>
      <c r="B6335" s="1" t="s">
        <v>8300</v>
      </c>
      <c r="C6335" t="s">
        <v>116</v>
      </c>
      <c r="D6335" s="1" t="s">
        <v>8301</v>
      </c>
    </row>
    <row r="6336" spans="1:4" hidden="1" x14ac:dyDescent="0.3">
      <c r="A6336">
        <v>6334</v>
      </c>
      <c r="B6336" t="s">
        <v>8302</v>
      </c>
      <c r="C6336" t="s">
        <v>119</v>
      </c>
      <c r="D6336">
        <v>75054789.209615305</v>
      </c>
    </row>
    <row r="6337" spans="1:4" hidden="1" x14ac:dyDescent="0.3">
      <c r="A6337">
        <v>6335</v>
      </c>
      <c r="B6337" t="s">
        <v>8303</v>
      </c>
      <c r="C6337" t="s">
        <v>121</v>
      </c>
      <c r="D6337">
        <v>39393915.0032195</v>
      </c>
    </row>
    <row r="6338" spans="1:4" hidden="1" x14ac:dyDescent="0.3">
      <c r="A6338">
        <v>6336</v>
      </c>
      <c r="B6338" s="1" t="s">
        <v>8304</v>
      </c>
      <c r="C6338" t="s">
        <v>123</v>
      </c>
      <c r="D6338" s="1" t="s">
        <v>8305</v>
      </c>
    </row>
    <row r="6339" spans="1:4" hidden="1" x14ac:dyDescent="0.3">
      <c r="A6339">
        <v>6337</v>
      </c>
      <c r="B6339" t="s">
        <v>8306</v>
      </c>
      <c r="C6339" t="s">
        <v>126</v>
      </c>
      <c r="D6339">
        <v>0.74170240531984299</v>
      </c>
    </row>
    <row r="6340" spans="1:4" hidden="1" x14ac:dyDescent="0.3">
      <c r="A6340">
        <v>6338</v>
      </c>
      <c r="B6340" t="s">
        <v>8307</v>
      </c>
      <c r="C6340" t="s">
        <v>128</v>
      </c>
      <c r="D6340">
        <v>0.38929643025511501</v>
      </c>
    </row>
    <row r="6341" spans="1:4" hidden="1" x14ac:dyDescent="0.3">
      <c r="A6341">
        <v>6339</v>
      </c>
      <c r="B6341" s="1" t="s">
        <v>8308</v>
      </c>
      <c r="C6341" t="s">
        <v>130</v>
      </c>
      <c r="D6341" s="1" t="s">
        <v>8309</v>
      </c>
    </row>
    <row r="6342" spans="1:4" hidden="1" x14ac:dyDescent="0.3">
      <c r="A6342">
        <v>6340</v>
      </c>
      <c r="B6342" s="1" t="s">
        <v>8310</v>
      </c>
      <c r="C6342" t="s">
        <v>4</v>
      </c>
      <c r="D6342" t="s">
        <v>8311</v>
      </c>
    </row>
    <row r="6343" spans="1:4" hidden="1" x14ac:dyDescent="0.3">
      <c r="A6343">
        <v>6341</v>
      </c>
      <c r="B6343" t="s">
        <v>8312</v>
      </c>
      <c r="C6343" t="s">
        <v>7</v>
      </c>
      <c r="D6343">
        <v>1750.42</v>
      </c>
    </row>
    <row r="6344" spans="1:4" hidden="1" x14ac:dyDescent="0.3">
      <c r="A6344">
        <v>6342</v>
      </c>
      <c r="B6344" s="1" t="s">
        <v>8313</v>
      </c>
      <c r="C6344" t="s">
        <v>9</v>
      </c>
      <c r="D6344" s="1" t="s">
        <v>8314</v>
      </c>
    </row>
    <row r="6345" spans="1:4" hidden="1" x14ac:dyDescent="0.3">
      <c r="A6345">
        <v>6343</v>
      </c>
      <c r="B6345" t="s">
        <v>8315</v>
      </c>
      <c r="C6345" t="s">
        <v>14</v>
      </c>
      <c r="D6345">
        <v>98.04296875</v>
      </c>
    </row>
    <row r="6346" spans="1:4" hidden="1" x14ac:dyDescent="0.3">
      <c r="A6346">
        <v>6344</v>
      </c>
      <c r="B6346" t="s">
        <v>8316</v>
      </c>
      <c r="C6346" t="s">
        <v>16</v>
      </c>
      <c r="D6346">
        <v>4.3838351315405397</v>
      </c>
    </row>
    <row r="6347" spans="1:4" hidden="1" x14ac:dyDescent="0.3">
      <c r="A6347">
        <v>6345</v>
      </c>
      <c r="B6347" s="1" t="s">
        <v>8317</v>
      </c>
      <c r="C6347" t="s">
        <v>140</v>
      </c>
      <c r="D6347" s="1" t="s">
        <v>8318</v>
      </c>
    </row>
    <row r="6348" spans="1:4" hidden="1" x14ac:dyDescent="0.3">
      <c r="A6348">
        <v>6346</v>
      </c>
      <c r="B6348" t="s">
        <v>8319</v>
      </c>
      <c r="C6348" t="s">
        <v>22</v>
      </c>
      <c r="D6348">
        <v>65.25</v>
      </c>
    </row>
    <row r="6349" spans="1:4" hidden="1" x14ac:dyDescent="0.3">
      <c r="A6349">
        <v>6347</v>
      </c>
      <c r="B6349" t="s">
        <v>8320</v>
      </c>
      <c r="C6349" t="s">
        <v>24</v>
      </c>
      <c r="D6349">
        <v>6.7009254473498796</v>
      </c>
    </row>
    <row r="6350" spans="1:4" hidden="1" x14ac:dyDescent="0.3">
      <c r="A6350">
        <v>6348</v>
      </c>
      <c r="B6350" s="1" t="s">
        <v>8321</v>
      </c>
      <c r="C6350" t="s">
        <v>145</v>
      </c>
      <c r="D6350" s="1" t="s">
        <v>8322</v>
      </c>
    </row>
    <row r="6351" spans="1:4" hidden="1" x14ac:dyDescent="0.3">
      <c r="A6351">
        <v>6349</v>
      </c>
      <c r="B6351" t="s">
        <v>8323</v>
      </c>
      <c r="C6351" t="s">
        <v>35</v>
      </c>
      <c r="D6351">
        <v>0.25954854759900398</v>
      </c>
    </row>
    <row r="6352" spans="1:4" hidden="1" x14ac:dyDescent="0.3">
      <c r="A6352">
        <v>6350</v>
      </c>
      <c r="B6352" t="s">
        <v>8324</v>
      </c>
      <c r="C6352" t="s">
        <v>149</v>
      </c>
      <c r="D6352">
        <v>0.76047161239814698</v>
      </c>
    </row>
    <row r="6353" spans="1:4" hidden="1" x14ac:dyDescent="0.3">
      <c r="A6353">
        <v>6351</v>
      </c>
      <c r="B6353" s="1" t="s">
        <v>8325</v>
      </c>
      <c r="C6353" t="s">
        <v>151</v>
      </c>
      <c r="D6353" s="1" t="s">
        <v>8326</v>
      </c>
    </row>
    <row r="6354" spans="1:4" hidden="1" x14ac:dyDescent="0.3">
      <c r="A6354">
        <v>6352</v>
      </c>
      <c r="B6354" t="s">
        <v>8327</v>
      </c>
      <c r="C6354" t="s">
        <v>30</v>
      </c>
      <c r="D6354">
        <v>0.282715576408687</v>
      </c>
    </row>
    <row r="6355" spans="1:4" hidden="1" x14ac:dyDescent="0.3">
      <c r="A6355">
        <v>6353</v>
      </c>
      <c r="B6355" t="s">
        <v>8328</v>
      </c>
      <c r="C6355" t="s">
        <v>32</v>
      </c>
      <c r="D6355">
        <v>0.17110012509707301</v>
      </c>
    </row>
    <row r="6356" spans="1:4" hidden="1" x14ac:dyDescent="0.3">
      <c r="A6356">
        <v>6354</v>
      </c>
      <c r="B6356" s="1" t="s">
        <v>8329</v>
      </c>
      <c r="C6356" t="s">
        <v>155</v>
      </c>
      <c r="D6356" s="1" t="s">
        <v>8330</v>
      </c>
    </row>
    <row r="6357" spans="1:4" hidden="1" x14ac:dyDescent="0.3">
      <c r="A6357">
        <v>6355</v>
      </c>
      <c r="B6357" t="s">
        <v>8331</v>
      </c>
      <c r="C6357" t="s">
        <v>40</v>
      </c>
      <c r="D6357">
        <v>0.45773587599230797</v>
      </c>
    </row>
    <row r="6358" spans="1:4" hidden="1" x14ac:dyDescent="0.3">
      <c r="A6358">
        <v>6356</v>
      </c>
      <c r="B6358" t="s">
        <v>8332</v>
      </c>
      <c r="C6358" t="s">
        <v>42</v>
      </c>
      <c r="D6358">
        <v>0.14387335148872499</v>
      </c>
    </row>
    <row r="6359" spans="1:4" hidden="1" x14ac:dyDescent="0.3">
      <c r="A6359">
        <v>6357</v>
      </c>
      <c r="B6359" s="1" t="s">
        <v>8333</v>
      </c>
      <c r="C6359" t="s">
        <v>159</v>
      </c>
      <c r="D6359" s="1" t="s">
        <v>8334</v>
      </c>
    </row>
    <row r="6360" spans="1:4" hidden="1" x14ac:dyDescent="0.3">
      <c r="A6360">
        <v>6358</v>
      </c>
      <c r="B6360" t="s">
        <v>8335</v>
      </c>
      <c r="C6360" t="s">
        <v>161</v>
      </c>
      <c r="D6360">
        <v>1.00439532695264</v>
      </c>
    </row>
    <row r="6361" spans="1:4" hidden="1" x14ac:dyDescent="0.3">
      <c r="A6361">
        <v>6359</v>
      </c>
      <c r="B6361" t="s">
        <v>8336</v>
      </c>
      <c r="C6361" t="s">
        <v>163</v>
      </c>
      <c r="D6361">
        <v>0.99987751051434504</v>
      </c>
    </row>
    <row r="6362" spans="1:4" hidden="1" x14ac:dyDescent="0.3">
      <c r="A6362">
        <v>6360</v>
      </c>
      <c r="B6362" s="1" t="s">
        <v>8337</v>
      </c>
      <c r="C6362" t="s">
        <v>165</v>
      </c>
      <c r="D6362" s="1" t="s">
        <v>8338</v>
      </c>
    </row>
    <row r="6363" spans="1:4" hidden="1" x14ac:dyDescent="0.3">
      <c r="A6363">
        <v>6361</v>
      </c>
      <c r="B6363" t="s">
        <v>8339</v>
      </c>
      <c r="C6363" t="s">
        <v>168</v>
      </c>
      <c r="D6363">
        <v>1.0031495076133199</v>
      </c>
    </row>
    <row r="6364" spans="1:4" hidden="1" x14ac:dyDescent="0.3">
      <c r="A6364">
        <v>6362</v>
      </c>
      <c r="B6364" t="s">
        <v>8340</v>
      </c>
      <c r="C6364" t="s">
        <v>170</v>
      </c>
      <c r="D6364">
        <v>0.99638708019828204</v>
      </c>
    </row>
    <row r="6365" spans="1:4" hidden="1" x14ac:dyDescent="0.3">
      <c r="A6365">
        <v>6363</v>
      </c>
      <c r="B6365" s="1" t="s">
        <v>8341</v>
      </c>
      <c r="C6365" t="s">
        <v>172</v>
      </c>
      <c r="D6365" s="1" t="s">
        <v>8342</v>
      </c>
    </row>
    <row r="6366" spans="1:4" hidden="1" x14ac:dyDescent="0.3">
      <c r="A6366">
        <v>6364</v>
      </c>
      <c r="B6366" s="1" t="s">
        <v>8343</v>
      </c>
      <c r="C6366" t="s">
        <v>55</v>
      </c>
      <c r="D6366" s="1" t="s">
        <v>8344</v>
      </c>
    </row>
    <row r="6367" spans="1:4" hidden="1" x14ac:dyDescent="0.3">
      <c r="A6367">
        <v>6365</v>
      </c>
      <c r="B6367" s="1" t="s">
        <v>8345</v>
      </c>
      <c r="C6367" t="s">
        <v>52</v>
      </c>
      <c r="D6367" s="1" t="s">
        <v>8346</v>
      </c>
    </row>
    <row r="6368" spans="1:4" hidden="1" x14ac:dyDescent="0.3">
      <c r="A6368">
        <v>6366</v>
      </c>
      <c r="B6368" s="1" t="s">
        <v>8347</v>
      </c>
      <c r="C6368" t="s">
        <v>58</v>
      </c>
      <c r="D6368" s="1" t="s">
        <v>8348</v>
      </c>
    </row>
    <row r="6369" spans="1:4" hidden="1" x14ac:dyDescent="0.3">
      <c r="A6369">
        <v>6367</v>
      </c>
      <c r="B6369" t="s">
        <v>8349</v>
      </c>
      <c r="C6369" t="s">
        <v>61</v>
      </c>
      <c r="D6369">
        <v>141021462.433016</v>
      </c>
    </row>
    <row r="6370" spans="1:4" hidden="1" x14ac:dyDescent="0.3">
      <c r="A6370">
        <v>6368</v>
      </c>
      <c r="B6370" t="s">
        <v>8350</v>
      </c>
      <c r="C6370" t="s">
        <v>63</v>
      </c>
      <c r="D6370">
        <v>75384679.547553793</v>
      </c>
    </row>
    <row r="6371" spans="1:4" hidden="1" x14ac:dyDescent="0.3">
      <c r="A6371">
        <v>6369</v>
      </c>
      <c r="B6371" t="s">
        <v>8351</v>
      </c>
      <c r="C6371" t="s">
        <v>65</v>
      </c>
      <c r="D6371">
        <v>39389089.662832901</v>
      </c>
    </row>
    <row r="6372" spans="1:4" hidden="1" x14ac:dyDescent="0.3">
      <c r="A6372">
        <v>6370</v>
      </c>
      <c r="B6372" s="1" t="s">
        <v>8352</v>
      </c>
      <c r="C6372" t="s">
        <v>67</v>
      </c>
      <c r="D6372" s="1" t="s">
        <v>8353</v>
      </c>
    </row>
    <row r="6373" spans="1:4" hidden="1" x14ac:dyDescent="0.3">
      <c r="A6373">
        <v>6371</v>
      </c>
      <c r="B6373" s="1" t="s">
        <v>8354</v>
      </c>
      <c r="C6373" t="s">
        <v>70</v>
      </c>
      <c r="D6373" s="1" t="s">
        <v>8355</v>
      </c>
    </row>
    <row r="6374" spans="1:4" hidden="1" x14ac:dyDescent="0.3">
      <c r="A6374">
        <v>6372</v>
      </c>
      <c r="B6374" t="s">
        <v>8356</v>
      </c>
      <c r="C6374" t="s">
        <v>73</v>
      </c>
      <c r="D6374">
        <v>1.0001358707039001</v>
      </c>
    </row>
    <row r="6375" spans="1:4" hidden="1" x14ac:dyDescent="0.3">
      <c r="A6375">
        <v>6373</v>
      </c>
      <c r="B6375" t="s">
        <v>74</v>
      </c>
      <c r="C6375" t="s">
        <v>75</v>
      </c>
      <c r="D6375">
        <v>2.7397260273972599E-3</v>
      </c>
    </row>
    <row r="6376" spans="1:4" hidden="1" x14ac:dyDescent="0.3">
      <c r="A6376">
        <v>6374</v>
      </c>
      <c r="B6376" t="s">
        <v>76</v>
      </c>
      <c r="C6376" t="s">
        <v>77</v>
      </c>
      <c r="D6376">
        <v>0</v>
      </c>
    </row>
    <row r="6377" spans="1:4" hidden="1" x14ac:dyDescent="0.3">
      <c r="A6377">
        <v>6375</v>
      </c>
      <c r="B6377" t="s">
        <v>78</v>
      </c>
      <c r="C6377" t="s">
        <v>79</v>
      </c>
      <c r="D6377">
        <v>0</v>
      </c>
    </row>
    <row r="6378" spans="1:4" hidden="1" x14ac:dyDescent="0.3">
      <c r="A6378">
        <v>6376</v>
      </c>
      <c r="B6378" s="1" t="s">
        <v>8357</v>
      </c>
      <c r="C6378" t="s">
        <v>81</v>
      </c>
      <c r="D6378" s="1" t="s">
        <v>8358</v>
      </c>
    </row>
    <row r="6379" spans="1:4" hidden="1" x14ac:dyDescent="0.3">
      <c r="A6379">
        <v>6377</v>
      </c>
      <c r="B6379" t="s">
        <v>8359</v>
      </c>
      <c r="C6379" t="s">
        <v>84</v>
      </c>
      <c r="D6379">
        <v>1.0001343920427901</v>
      </c>
    </row>
    <row r="6380" spans="1:4" hidden="1" x14ac:dyDescent="0.3">
      <c r="A6380">
        <v>6378</v>
      </c>
      <c r="B6380" s="1" t="s">
        <v>8360</v>
      </c>
      <c r="C6380" t="s">
        <v>86</v>
      </c>
      <c r="D6380" s="1" t="s">
        <v>8361</v>
      </c>
    </row>
    <row r="6381" spans="1:4" hidden="1" x14ac:dyDescent="0.3">
      <c r="A6381">
        <v>6379</v>
      </c>
      <c r="B6381" t="s">
        <v>8362</v>
      </c>
      <c r="C6381" t="s">
        <v>89</v>
      </c>
      <c r="D6381">
        <v>101176182.20964301</v>
      </c>
    </row>
    <row r="6382" spans="1:4" hidden="1" x14ac:dyDescent="0.3">
      <c r="A6382">
        <v>6380</v>
      </c>
      <c r="B6382" s="1" t="s">
        <v>8363</v>
      </c>
      <c r="C6382" t="s">
        <v>91</v>
      </c>
      <c r="D6382" s="1" t="s">
        <v>8297</v>
      </c>
    </row>
    <row r="6383" spans="1:4" hidden="1" x14ac:dyDescent="0.3">
      <c r="A6383">
        <v>6381</v>
      </c>
      <c r="B6383" t="s">
        <v>8364</v>
      </c>
      <c r="C6383" t="s">
        <v>94</v>
      </c>
      <c r="D6383">
        <v>75384679.547553793</v>
      </c>
    </row>
    <row r="6384" spans="1:4" hidden="1" x14ac:dyDescent="0.3">
      <c r="A6384">
        <v>6382</v>
      </c>
      <c r="B6384" t="s">
        <v>8365</v>
      </c>
      <c r="C6384" t="s">
        <v>96</v>
      </c>
      <c r="D6384">
        <v>39389089.662832901</v>
      </c>
    </row>
    <row r="6385" spans="1:4" hidden="1" x14ac:dyDescent="0.3">
      <c r="A6385">
        <v>6383</v>
      </c>
      <c r="B6385" t="s">
        <v>8366</v>
      </c>
      <c r="C6385" t="s">
        <v>98</v>
      </c>
      <c r="D6385">
        <v>26247693.222629499</v>
      </c>
    </row>
    <row r="6386" spans="1:4" hidden="1" x14ac:dyDescent="0.3">
      <c r="A6386">
        <v>6384</v>
      </c>
      <c r="B6386" s="1" t="s">
        <v>8367</v>
      </c>
      <c r="C6386" t="s">
        <v>100</v>
      </c>
      <c r="D6386" s="1" t="s">
        <v>8368</v>
      </c>
    </row>
    <row r="6387" spans="1:4" hidden="1" x14ac:dyDescent="0.3">
      <c r="A6387">
        <v>6385</v>
      </c>
      <c r="B6387" t="s">
        <v>8369</v>
      </c>
      <c r="C6387" t="s">
        <v>103</v>
      </c>
      <c r="D6387">
        <v>8.5672428179397308E-3</v>
      </c>
    </row>
    <row r="6388" spans="1:4" hidden="1" x14ac:dyDescent="0.3">
      <c r="A6388">
        <v>6386</v>
      </c>
      <c r="B6388" t="s">
        <v>8370</v>
      </c>
      <c r="C6388" t="s">
        <v>105</v>
      </c>
      <c r="D6388">
        <v>1.35085287239871E-3</v>
      </c>
    </row>
    <row r="6389" spans="1:4" hidden="1" x14ac:dyDescent="0.3">
      <c r="A6389">
        <v>6387</v>
      </c>
      <c r="B6389" t="s">
        <v>8371</v>
      </c>
      <c r="C6389" t="s">
        <v>107</v>
      </c>
      <c r="D6389">
        <v>1.01940188453267E-2</v>
      </c>
    </row>
    <row r="6390" spans="1:4" hidden="1" x14ac:dyDescent="0.3">
      <c r="A6390">
        <v>6388</v>
      </c>
      <c r="B6390" s="1" t="s">
        <v>8372</v>
      </c>
      <c r="C6390" t="s">
        <v>109</v>
      </c>
      <c r="D6390" s="1" t="s">
        <v>8373</v>
      </c>
    </row>
    <row r="6391" spans="1:4" x14ac:dyDescent="0.3">
      <c r="A6391">
        <v>6389</v>
      </c>
      <c r="B6391" t="s">
        <v>8374</v>
      </c>
      <c r="C6391" t="s">
        <v>207</v>
      </c>
      <c r="D6391">
        <v>141021410.376838</v>
      </c>
    </row>
    <row r="6392" spans="1:4" hidden="1" x14ac:dyDescent="0.3">
      <c r="A6392">
        <v>6390</v>
      </c>
      <c r="B6392" t="s">
        <v>8375</v>
      </c>
      <c r="C6392" t="s">
        <v>209</v>
      </c>
      <c r="D6392">
        <v>111.453191456944</v>
      </c>
    </row>
    <row r="6393" spans="1:4" hidden="1" x14ac:dyDescent="0.3">
      <c r="A6393">
        <v>6391</v>
      </c>
      <c r="B6393" t="s">
        <v>8376</v>
      </c>
      <c r="C6393" t="s">
        <v>211</v>
      </c>
      <c r="D6393">
        <v>58.2351898597854</v>
      </c>
    </row>
    <row r="6394" spans="1:4" hidden="1" x14ac:dyDescent="0.3">
      <c r="A6394">
        <v>6392</v>
      </c>
      <c r="B6394" s="1" t="s">
        <v>8377</v>
      </c>
      <c r="C6394" t="s">
        <v>213</v>
      </c>
      <c r="D6394" s="1" t="s">
        <v>8378</v>
      </c>
    </row>
    <row r="6395" spans="1:4" hidden="1" x14ac:dyDescent="0.3">
      <c r="A6395">
        <v>6393</v>
      </c>
      <c r="B6395" t="s">
        <v>8379</v>
      </c>
      <c r="C6395" t="s">
        <v>216</v>
      </c>
      <c r="D6395">
        <v>75384528.107730806</v>
      </c>
    </row>
    <row r="6396" spans="1:4" hidden="1" x14ac:dyDescent="0.3">
      <c r="A6396">
        <v>6394</v>
      </c>
      <c r="B6396" t="s">
        <v>8380</v>
      </c>
      <c r="C6396" t="s">
        <v>218</v>
      </c>
      <c r="D6396">
        <v>39389022.866518199</v>
      </c>
    </row>
    <row r="6397" spans="1:4" hidden="1" x14ac:dyDescent="0.3">
      <c r="A6397">
        <v>6395</v>
      </c>
      <c r="B6397" t="s">
        <v>8381</v>
      </c>
      <c r="C6397" t="s">
        <v>220</v>
      </c>
      <c r="D6397">
        <v>26247650.908043001</v>
      </c>
    </row>
    <row r="6398" spans="1:4" hidden="1" x14ac:dyDescent="0.3">
      <c r="A6398">
        <v>6396</v>
      </c>
      <c r="B6398" s="1" t="s">
        <v>8382</v>
      </c>
      <c r="C6398" t="s">
        <v>222</v>
      </c>
      <c r="D6398" s="1" t="s">
        <v>8383</v>
      </c>
    </row>
    <row r="6399" spans="1:4" hidden="1" x14ac:dyDescent="0.3">
      <c r="A6399">
        <v>6397</v>
      </c>
      <c r="B6399" t="s">
        <v>8384</v>
      </c>
      <c r="C6399" t="s">
        <v>225</v>
      </c>
      <c r="D6399">
        <v>101176032.62468199</v>
      </c>
    </row>
    <row r="6400" spans="1:4" hidden="1" x14ac:dyDescent="0.3">
      <c r="A6400">
        <v>6398</v>
      </c>
      <c r="B6400" t="s">
        <v>8385</v>
      </c>
      <c r="C6400" t="s">
        <v>227</v>
      </c>
      <c r="D6400">
        <v>149.58496150374401</v>
      </c>
    </row>
    <row r="6401" spans="1:4" hidden="1" x14ac:dyDescent="0.3">
      <c r="A6401">
        <v>6399</v>
      </c>
      <c r="B6401" s="1" t="s">
        <v>8386</v>
      </c>
      <c r="C6401" t="s">
        <v>229</v>
      </c>
      <c r="D6401" s="1" t="s">
        <v>8387</v>
      </c>
    </row>
    <row r="6402" spans="1:4" hidden="1" x14ac:dyDescent="0.3">
      <c r="A6402">
        <v>6400</v>
      </c>
      <c r="B6402" t="s">
        <v>8388</v>
      </c>
      <c r="C6402" t="s">
        <v>112</v>
      </c>
      <c r="D6402">
        <v>-39.986631564563901</v>
      </c>
    </row>
    <row r="6403" spans="1:4" hidden="1" x14ac:dyDescent="0.3">
      <c r="A6403">
        <v>6401</v>
      </c>
      <c r="B6403" t="s">
        <v>8389</v>
      </c>
      <c r="C6403" t="s">
        <v>114</v>
      </c>
      <c r="D6403">
        <v>-8.5611248276021694</v>
      </c>
    </row>
    <row r="6404" spans="1:4" hidden="1" x14ac:dyDescent="0.3">
      <c r="A6404">
        <v>6402</v>
      </c>
      <c r="B6404" s="1" t="s">
        <v>8390</v>
      </c>
      <c r="C6404" t="s">
        <v>116</v>
      </c>
      <c r="D6404" s="1" t="s">
        <v>8391</v>
      </c>
    </row>
    <row r="6405" spans="1:4" hidden="1" x14ac:dyDescent="0.3">
      <c r="A6405">
        <v>6403</v>
      </c>
      <c r="B6405" t="s">
        <v>8392</v>
      </c>
      <c r="C6405" t="s">
        <v>119</v>
      </c>
      <c r="D6405">
        <v>75384528.107730806</v>
      </c>
    </row>
    <row r="6406" spans="1:4" hidden="1" x14ac:dyDescent="0.3">
      <c r="A6406">
        <v>6404</v>
      </c>
      <c r="B6406" t="s">
        <v>8393</v>
      </c>
      <c r="C6406" t="s">
        <v>121</v>
      </c>
      <c r="D6406">
        <v>39389022.866518199</v>
      </c>
    </row>
    <row r="6407" spans="1:4" hidden="1" x14ac:dyDescent="0.3">
      <c r="A6407">
        <v>6405</v>
      </c>
      <c r="B6407" s="1" t="s">
        <v>8394</v>
      </c>
      <c r="C6407" t="s">
        <v>123</v>
      </c>
      <c r="D6407" s="1" t="s">
        <v>8395</v>
      </c>
    </row>
    <row r="6408" spans="1:4" hidden="1" x14ac:dyDescent="0.3">
      <c r="A6408">
        <v>6406</v>
      </c>
      <c r="B6408" t="s">
        <v>8396</v>
      </c>
      <c r="C6408" t="s">
        <v>126</v>
      </c>
      <c r="D6408">
        <v>0.74498274376859397</v>
      </c>
    </row>
    <row r="6409" spans="1:4" hidden="1" x14ac:dyDescent="0.3">
      <c r="A6409">
        <v>6407</v>
      </c>
      <c r="B6409" t="s">
        <v>8397</v>
      </c>
      <c r="C6409" t="s">
        <v>128</v>
      </c>
      <c r="D6409">
        <v>0.38925948156798701</v>
      </c>
    </row>
    <row r="6410" spans="1:4" hidden="1" x14ac:dyDescent="0.3">
      <c r="A6410">
        <v>6408</v>
      </c>
      <c r="B6410" s="1" t="s">
        <v>8398</v>
      </c>
      <c r="C6410" t="s">
        <v>130</v>
      </c>
      <c r="D6410" s="1" t="s">
        <v>8399</v>
      </c>
    </row>
    <row r="6411" spans="1:4" hidden="1" x14ac:dyDescent="0.3">
      <c r="A6411">
        <v>6409</v>
      </c>
      <c r="B6411" s="1" t="s">
        <v>8400</v>
      </c>
      <c r="C6411" t="s">
        <v>4</v>
      </c>
      <c r="D6411" t="s">
        <v>8401</v>
      </c>
    </row>
    <row r="6412" spans="1:4" hidden="1" x14ac:dyDescent="0.3">
      <c r="A6412">
        <v>6410</v>
      </c>
      <c r="B6412" t="s">
        <v>8402</v>
      </c>
      <c r="C6412" t="s">
        <v>7</v>
      </c>
      <c r="D6412">
        <v>1750.16</v>
      </c>
    </row>
    <row r="6413" spans="1:4" hidden="1" x14ac:dyDescent="0.3">
      <c r="A6413">
        <v>6411</v>
      </c>
      <c r="B6413" s="1" t="s">
        <v>8403</v>
      </c>
      <c r="C6413" t="s">
        <v>9</v>
      </c>
      <c r="D6413" s="1" t="s">
        <v>8404</v>
      </c>
    </row>
    <row r="6414" spans="1:4" hidden="1" x14ac:dyDescent="0.3">
      <c r="A6414">
        <v>6412</v>
      </c>
      <c r="B6414" t="s">
        <v>8405</v>
      </c>
      <c r="C6414" t="s">
        <v>14</v>
      </c>
      <c r="D6414">
        <v>97.921875</v>
      </c>
    </row>
    <row r="6415" spans="1:4" hidden="1" x14ac:dyDescent="0.3">
      <c r="A6415">
        <v>6413</v>
      </c>
      <c r="B6415" t="s">
        <v>8406</v>
      </c>
      <c r="C6415" t="s">
        <v>16</v>
      </c>
      <c r="D6415">
        <v>4.3831886380049401</v>
      </c>
    </row>
    <row r="6416" spans="1:4" hidden="1" x14ac:dyDescent="0.3">
      <c r="A6416">
        <v>6414</v>
      </c>
      <c r="B6416" s="1" t="s">
        <v>8407</v>
      </c>
      <c r="C6416" t="s">
        <v>140</v>
      </c>
      <c r="D6416" s="1" t="s">
        <v>8408</v>
      </c>
    </row>
    <row r="6417" spans="1:4" hidden="1" x14ac:dyDescent="0.3">
      <c r="A6417">
        <v>6415</v>
      </c>
      <c r="B6417" t="s">
        <v>8409</v>
      </c>
      <c r="C6417" t="s">
        <v>22</v>
      </c>
      <c r="D6417">
        <v>64.55</v>
      </c>
    </row>
    <row r="6418" spans="1:4" hidden="1" x14ac:dyDescent="0.3">
      <c r="A6418">
        <v>6416</v>
      </c>
      <c r="B6418" t="s">
        <v>8410</v>
      </c>
      <c r="C6418" t="s">
        <v>24</v>
      </c>
      <c r="D6418">
        <v>6.7137153900412398</v>
      </c>
    </row>
    <row r="6419" spans="1:4" hidden="1" x14ac:dyDescent="0.3">
      <c r="A6419">
        <v>6417</v>
      </c>
      <c r="B6419" s="1" t="s">
        <v>8411</v>
      </c>
      <c r="C6419" t="s">
        <v>145</v>
      </c>
      <c r="D6419" s="1" t="s">
        <v>8412</v>
      </c>
    </row>
    <row r="6420" spans="1:4" hidden="1" x14ac:dyDescent="0.3">
      <c r="A6420">
        <v>6418</v>
      </c>
      <c r="B6420" t="s">
        <v>8413</v>
      </c>
      <c r="C6420" t="s">
        <v>35</v>
      </c>
      <c r="D6420">
        <v>-4.8587985281393901E-2</v>
      </c>
    </row>
    <row r="6421" spans="1:4" hidden="1" x14ac:dyDescent="0.3">
      <c r="A6421">
        <v>6419</v>
      </c>
      <c r="B6421" t="s">
        <v>8414</v>
      </c>
      <c r="C6421" t="s">
        <v>149</v>
      </c>
      <c r="D6421">
        <v>0.76094828402396397</v>
      </c>
    </row>
    <row r="6422" spans="1:4" hidden="1" x14ac:dyDescent="0.3">
      <c r="A6422">
        <v>6420</v>
      </c>
      <c r="B6422" s="1" t="s">
        <v>8415</v>
      </c>
      <c r="C6422" t="s">
        <v>151</v>
      </c>
      <c r="D6422" s="1" t="s">
        <v>8416</v>
      </c>
    </row>
    <row r="6423" spans="1:4" hidden="1" x14ac:dyDescent="0.3">
      <c r="A6423">
        <v>6421</v>
      </c>
      <c r="B6423" t="s">
        <v>8417</v>
      </c>
      <c r="C6423" t="s">
        <v>30</v>
      </c>
      <c r="D6423">
        <v>0.40345336221998501</v>
      </c>
    </row>
    <row r="6424" spans="1:4" hidden="1" x14ac:dyDescent="0.3">
      <c r="A6424">
        <v>6422</v>
      </c>
      <c r="B6424" t="s">
        <v>8418</v>
      </c>
      <c r="C6424" t="s">
        <v>32</v>
      </c>
      <c r="D6424">
        <v>0.17101398607145299</v>
      </c>
    </row>
    <row r="6425" spans="1:4" hidden="1" x14ac:dyDescent="0.3">
      <c r="A6425">
        <v>6423</v>
      </c>
      <c r="B6425" s="1" t="s">
        <v>8419</v>
      </c>
      <c r="C6425" t="s">
        <v>155</v>
      </c>
      <c r="D6425" s="1" t="s">
        <v>8420</v>
      </c>
    </row>
    <row r="6426" spans="1:4" hidden="1" x14ac:dyDescent="0.3">
      <c r="A6426">
        <v>6424</v>
      </c>
      <c r="B6426" t="s">
        <v>8421</v>
      </c>
      <c r="C6426" t="s">
        <v>40</v>
      </c>
      <c r="D6426">
        <v>0.64513462306140801</v>
      </c>
    </row>
    <row r="6427" spans="1:4" hidden="1" x14ac:dyDescent="0.3">
      <c r="A6427">
        <v>6425</v>
      </c>
      <c r="B6427" t="s">
        <v>8422</v>
      </c>
      <c r="C6427" t="s">
        <v>42</v>
      </c>
      <c r="D6427">
        <v>0.14313576759105301</v>
      </c>
    </row>
    <row r="6428" spans="1:4" hidden="1" x14ac:dyDescent="0.3">
      <c r="A6428">
        <v>6426</v>
      </c>
      <c r="B6428" s="1" t="s">
        <v>8423</v>
      </c>
      <c r="C6428" t="s">
        <v>159</v>
      </c>
      <c r="D6428" s="1" t="s">
        <v>8424</v>
      </c>
    </row>
    <row r="6429" spans="1:4" hidden="1" x14ac:dyDescent="0.3">
      <c r="A6429">
        <v>6427</v>
      </c>
      <c r="B6429" t="s">
        <v>8425</v>
      </c>
      <c r="C6429" t="s">
        <v>161</v>
      </c>
      <c r="D6429">
        <v>0.99985146422001503</v>
      </c>
    </row>
    <row r="6430" spans="1:4" hidden="1" x14ac:dyDescent="0.3">
      <c r="A6430">
        <v>6428</v>
      </c>
      <c r="B6430" t="s">
        <v>8426</v>
      </c>
      <c r="C6430" t="s">
        <v>163</v>
      </c>
      <c r="D6430">
        <v>0.99881144154730805</v>
      </c>
    </row>
    <row r="6431" spans="1:4" hidden="1" x14ac:dyDescent="0.3">
      <c r="A6431">
        <v>6429</v>
      </c>
      <c r="B6431" s="1" t="s">
        <v>8427</v>
      </c>
      <c r="C6431" t="s">
        <v>165</v>
      </c>
      <c r="D6431" s="1" t="s">
        <v>8428</v>
      </c>
    </row>
    <row r="6432" spans="1:4" hidden="1" x14ac:dyDescent="0.3">
      <c r="A6432">
        <v>6430</v>
      </c>
      <c r="B6432" t="s">
        <v>8429</v>
      </c>
      <c r="C6432" t="s">
        <v>168</v>
      </c>
      <c r="D6432">
        <v>1.00027076359678</v>
      </c>
    </row>
    <row r="6433" spans="1:4" hidden="1" x14ac:dyDescent="0.3">
      <c r="A6433">
        <v>6431</v>
      </c>
      <c r="B6433" t="s">
        <v>8430</v>
      </c>
      <c r="C6433" t="s">
        <v>170</v>
      </c>
      <c r="D6433">
        <v>0.99992644606231895</v>
      </c>
    </row>
    <row r="6434" spans="1:4" hidden="1" x14ac:dyDescent="0.3">
      <c r="A6434">
        <v>6432</v>
      </c>
      <c r="B6434" s="1" t="s">
        <v>8431</v>
      </c>
      <c r="C6434" t="s">
        <v>172</v>
      </c>
      <c r="D6434" s="1" t="s">
        <v>8432</v>
      </c>
    </row>
    <row r="6435" spans="1:4" hidden="1" x14ac:dyDescent="0.3">
      <c r="A6435">
        <v>6433</v>
      </c>
      <c r="B6435" s="1" t="s">
        <v>8433</v>
      </c>
      <c r="C6435" t="s">
        <v>55</v>
      </c>
      <c r="D6435" s="1" t="s">
        <v>8434</v>
      </c>
    </row>
    <row r="6436" spans="1:4" hidden="1" x14ac:dyDescent="0.3">
      <c r="A6436">
        <v>6434</v>
      </c>
      <c r="B6436" s="1" t="s">
        <v>8435</v>
      </c>
      <c r="C6436" t="s">
        <v>52</v>
      </c>
      <c r="D6436" s="1" t="s">
        <v>8436</v>
      </c>
    </row>
    <row r="6437" spans="1:4" hidden="1" x14ac:dyDescent="0.3">
      <c r="A6437">
        <v>6435</v>
      </c>
      <c r="B6437" s="1" t="s">
        <v>8437</v>
      </c>
      <c r="C6437" t="s">
        <v>58</v>
      </c>
      <c r="D6437" s="1" t="s">
        <v>8438</v>
      </c>
    </row>
    <row r="6438" spans="1:4" hidden="1" x14ac:dyDescent="0.3">
      <c r="A6438">
        <v>6436</v>
      </c>
      <c r="B6438" t="s">
        <v>8439</v>
      </c>
      <c r="C6438" t="s">
        <v>61</v>
      </c>
      <c r="D6438">
        <v>140712494.64362299</v>
      </c>
    </row>
    <row r="6439" spans="1:4" hidden="1" x14ac:dyDescent="0.3">
      <c r="A6439">
        <v>6437</v>
      </c>
      <c r="B6439" t="s">
        <v>8440</v>
      </c>
      <c r="C6439" t="s">
        <v>63</v>
      </c>
      <c r="D6439">
        <v>75373330.8080495</v>
      </c>
    </row>
    <row r="6440" spans="1:4" hidden="1" x14ac:dyDescent="0.3">
      <c r="A6440">
        <v>6438</v>
      </c>
      <c r="B6440" t="s">
        <v>8441</v>
      </c>
      <c r="C6440" t="s">
        <v>65</v>
      </c>
      <c r="D6440">
        <v>39342206.710446902</v>
      </c>
    </row>
    <row r="6441" spans="1:4" hidden="1" x14ac:dyDescent="0.3">
      <c r="A6441">
        <v>6439</v>
      </c>
      <c r="B6441" s="1" t="s">
        <v>8442</v>
      </c>
      <c r="C6441" t="s">
        <v>67</v>
      </c>
      <c r="D6441" s="1" t="s">
        <v>8443</v>
      </c>
    </row>
    <row r="6442" spans="1:4" hidden="1" x14ac:dyDescent="0.3">
      <c r="A6442">
        <v>6440</v>
      </c>
      <c r="B6442" s="1" t="s">
        <v>8444</v>
      </c>
      <c r="C6442" t="s">
        <v>70</v>
      </c>
      <c r="D6442" s="1" t="s">
        <v>8445</v>
      </c>
    </row>
    <row r="6443" spans="1:4" hidden="1" x14ac:dyDescent="0.3">
      <c r="A6443">
        <v>6441</v>
      </c>
      <c r="B6443" t="s">
        <v>8446</v>
      </c>
      <c r="C6443" t="s">
        <v>73</v>
      </c>
      <c r="D6443">
        <v>1.0001343920427901</v>
      </c>
    </row>
    <row r="6444" spans="1:4" hidden="1" x14ac:dyDescent="0.3">
      <c r="A6444">
        <v>6442</v>
      </c>
      <c r="B6444" t="s">
        <v>74</v>
      </c>
      <c r="C6444" t="s">
        <v>75</v>
      </c>
      <c r="D6444">
        <v>2.7397260273972599E-3</v>
      </c>
    </row>
    <row r="6445" spans="1:4" hidden="1" x14ac:dyDescent="0.3">
      <c r="A6445">
        <v>6443</v>
      </c>
      <c r="B6445" t="s">
        <v>76</v>
      </c>
      <c r="C6445" t="s">
        <v>77</v>
      </c>
      <c r="D6445">
        <v>0</v>
      </c>
    </row>
    <row r="6446" spans="1:4" hidden="1" x14ac:dyDescent="0.3">
      <c r="A6446">
        <v>6444</v>
      </c>
      <c r="B6446" t="s">
        <v>78</v>
      </c>
      <c r="C6446" t="s">
        <v>79</v>
      </c>
      <c r="D6446">
        <v>0</v>
      </c>
    </row>
    <row r="6447" spans="1:4" hidden="1" x14ac:dyDescent="0.3">
      <c r="A6447">
        <v>6445</v>
      </c>
      <c r="B6447" s="1" t="s">
        <v>8447</v>
      </c>
      <c r="C6447" t="s">
        <v>81</v>
      </c>
      <c r="D6447" s="1" t="s">
        <v>8448</v>
      </c>
    </row>
    <row r="6448" spans="1:4" hidden="1" x14ac:dyDescent="0.3">
      <c r="A6448">
        <v>6446</v>
      </c>
      <c r="B6448" t="s">
        <v>8449</v>
      </c>
      <c r="C6448" t="s">
        <v>84</v>
      </c>
      <c r="D6448">
        <v>1.00016661269406</v>
      </c>
    </row>
    <row r="6449" spans="1:4" hidden="1" x14ac:dyDescent="0.3">
      <c r="A6449">
        <v>6447</v>
      </c>
      <c r="B6449" s="1" t="s">
        <v>8450</v>
      </c>
      <c r="C6449" t="s">
        <v>86</v>
      </c>
      <c r="D6449" s="1" t="s">
        <v>8451</v>
      </c>
    </row>
    <row r="6450" spans="1:4" hidden="1" x14ac:dyDescent="0.3">
      <c r="A6450">
        <v>6448</v>
      </c>
      <c r="B6450" t="s">
        <v>8452</v>
      </c>
      <c r="C6450" t="s">
        <v>89</v>
      </c>
      <c r="D6450">
        <v>101172922.79022101</v>
      </c>
    </row>
    <row r="6451" spans="1:4" hidden="1" x14ac:dyDescent="0.3">
      <c r="A6451">
        <v>6449</v>
      </c>
      <c r="B6451" s="1" t="s">
        <v>8453</v>
      </c>
      <c r="C6451" t="s">
        <v>91</v>
      </c>
      <c r="D6451" s="1" t="s">
        <v>8387</v>
      </c>
    </row>
    <row r="6452" spans="1:4" hidden="1" x14ac:dyDescent="0.3">
      <c r="A6452">
        <v>6450</v>
      </c>
      <c r="B6452" t="s">
        <v>8454</v>
      </c>
      <c r="C6452" t="s">
        <v>94</v>
      </c>
      <c r="D6452">
        <v>75373330.8080495</v>
      </c>
    </row>
    <row r="6453" spans="1:4" hidden="1" x14ac:dyDescent="0.3">
      <c r="A6453">
        <v>6451</v>
      </c>
      <c r="B6453" t="s">
        <v>8455</v>
      </c>
      <c r="C6453" t="s">
        <v>96</v>
      </c>
      <c r="D6453">
        <v>39342206.710446902</v>
      </c>
    </row>
    <row r="6454" spans="1:4" hidden="1" x14ac:dyDescent="0.3">
      <c r="A6454">
        <v>6452</v>
      </c>
      <c r="B6454" t="s">
        <v>8456</v>
      </c>
      <c r="C6454" t="s">
        <v>98</v>
      </c>
      <c r="D6454">
        <v>25996957.1251266</v>
      </c>
    </row>
    <row r="6455" spans="1:4" hidden="1" x14ac:dyDescent="0.3">
      <c r="A6455">
        <v>6453</v>
      </c>
      <c r="B6455" s="1" t="s">
        <v>8457</v>
      </c>
      <c r="C6455" t="s">
        <v>100</v>
      </c>
      <c r="D6455" s="1" t="s">
        <v>8458</v>
      </c>
    </row>
    <row r="6456" spans="1:4" hidden="1" x14ac:dyDescent="0.3">
      <c r="A6456">
        <v>6454</v>
      </c>
      <c r="B6456" t="s">
        <v>8459</v>
      </c>
      <c r="C6456" t="s">
        <v>103</v>
      </c>
      <c r="D6456">
        <v>8.5777257615478504E-3</v>
      </c>
    </row>
    <row r="6457" spans="1:4" hidden="1" x14ac:dyDescent="0.3">
      <c r="A6457">
        <v>6455</v>
      </c>
      <c r="B6457" t="s">
        <v>8460</v>
      </c>
      <c r="C6457" t="s">
        <v>105</v>
      </c>
      <c r="D6457">
        <v>1.35464899316153E-3</v>
      </c>
    </row>
    <row r="6458" spans="1:4" hidden="1" x14ac:dyDescent="0.3">
      <c r="A6458">
        <v>6456</v>
      </c>
      <c r="B6458" t="s">
        <v>8461</v>
      </c>
      <c r="C6458" t="s">
        <v>107</v>
      </c>
      <c r="D6458">
        <v>1.02338594402629E-2</v>
      </c>
    </row>
    <row r="6459" spans="1:4" hidden="1" x14ac:dyDescent="0.3">
      <c r="A6459">
        <v>6457</v>
      </c>
      <c r="B6459" s="1" t="s">
        <v>8462</v>
      </c>
      <c r="C6459" t="s">
        <v>109</v>
      </c>
      <c r="D6459" s="1" t="s">
        <v>8463</v>
      </c>
    </row>
    <row r="6460" spans="1:4" x14ac:dyDescent="0.3">
      <c r="A6460">
        <v>6458</v>
      </c>
      <c r="B6460" t="s">
        <v>8464</v>
      </c>
      <c r="C6460" t="s">
        <v>207</v>
      </c>
      <c r="D6460">
        <v>140713629.48611501</v>
      </c>
    </row>
    <row r="6461" spans="1:4" hidden="1" x14ac:dyDescent="0.3">
      <c r="A6461">
        <v>6459</v>
      </c>
      <c r="B6461" t="s">
        <v>8465</v>
      </c>
      <c r="C6461" t="s">
        <v>209</v>
      </c>
      <c r="D6461">
        <v>-2428.2765116507398</v>
      </c>
    </row>
    <row r="6462" spans="1:4" hidden="1" x14ac:dyDescent="0.3">
      <c r="A6462">
        <v>6460</v>
      </c>
      <c r="B6462" t="s">
        <v>8466</v>
      </c>
      <c r="C6462" t="s">
        <v>211</v>
      </c>
      <c r="D6462">
        <v>-1267.46911626675</v>
      </c>
    </row>
    <row r="6463" spans="1:4" hidden="1" x14ac:dyDescent="0.3">
      <c r="A6463">
        <v>6461</v>
      </c>
      <c r="B6463" s="1" t="s">
        <v>8467</v>
      </c>
      <c r="C6463" t="s">
        <v>213</v>
      </c>
      <c r="D6463" s="1" t="s">
        <v>8468</v>
      </c>
    </row>
    <row r="6464" spans="1:4" hidden="1" x14ac:dyDescent="0.3">
      <c r="A6464">
        <v>6462</v>
      </c>
      <c r="B6464" t="s">
        <v>8469</v>
      </c>
      <c r="C6464" t="s">
        <v>216</v>
      </c>
      <c r="D6464">
        <v>75376536.4112643</v>
      </c>
    </row>
    <row r="6465" spans="1:4" hidden="1" x14ac:dyDescent="0.3">
      <c r="A6465">
        <v>6463</v>
      </c>
      <c r="B6465" t="s">
        <v>8470</v>
      </c>
      <c r="C6465" t="s">
        <v>218</v>
      </c>
      <c r="D6465">
        <v>39343720.344058998</v>
      </c>
    </row>
    <row r="6466" spans="1:4" hidden="1" x14ac:dyDescent="0.3">
      <c r="A6466">
        <v>6464</v>
      </c>
      <c r="B6466" t="s">
        <v>8471</v>
      </c>
      <c r="C6466" t="s">
        <v>220</v>
      </c>
      <c r="D6466">
        <v>25997906.006339699</v>
      </c>
    </row>
    <row r="6467" spans="1:4" hidden="1" x14ac:dyDescent="0.3">
      <c r="A6467">
        <v>6465</v>
      </c>
      <c r="B6467" s="1" t="s">
        <v>8472</v>
      </c>
      <c r="C6467" t="s">
        <v>222</v>
      </c>
      <c r="D6467" s="1" t="s">
        <v>8473</v>
      </c>
    </row>
    <row r="6468" spans="1:4" hidden="1" x14ac:dyDescent="0.3">
      <c r="A6468">
        <v>6466</v>
      </c>
      <c r="B6468" t="s">
        <v>8474</v>
      </c>
      <c r="C6468" t="s">
        <v>225</v>
      </c>
      <c r="D6468">
        <v>101176182.20964301</v>
      </c>
    </row>
    <row r="6469" spans="1:4" hidden="1" x14ac:dyDescent="0.3">
      <c r="A6469">
        <v>6467</v>
      </c>
      <c r="B6469" t="s">
        <v>8475</v>
      </c>
      <c r="C6469" t="s">
        <v>227</v>
      </c>
      <c r="D6469">
        <v>-3259.4194227457001</v>
      </c>
    </row>
    <row r="6470" spans="1:4" hidden="1" x14ac:dyDescent="0.3">
      <c r="A6470">
        <v>6468</v>
      </c>
      <c r="B6470" s="1" t="s">
        <v>8476</v>
      </c>
      <c r="C6470" t="s">
        <v>229</v>
      </c>
      <c r="D6470" s="1" t="s">
        <v>8477</v>
      </c>
    </row>
    <row r="6471" spans="1:4" hidden="1" x14ac:dyDescent="0.3">
      <c r="A6471">
        <v>6469</v>
      </c>
      <c r="B6471" t="s">
        <v>8478</v>
      </c>
      <c r="C6471" t="s">
        <v>112</v>
      </c>
      <c r="D6471">
        <v>777.32670311714401</v>
      </c>
    </row>
    <row r="6472" spans="1:4" hidden="1" x14ac:dyDescent="0.3">
      <c r="A6472">
        <v>6470</v>
      </c>
      <c r="B6472" t="s">
        <v>8479</v>
      </c>
      <c r="C6472" t="s">
        <v>114</v>
      </c>
      <c r="D6472">
        <v>246.164495821683</v>
      </c>
    </row>
    <row r="6473" spans="1:4" hidden="1" x14ac:dyDescent="0.3">
      <c r="A6473">
        <v>6471</v>
      </c>
      <c r="B6473" s="1" t="s">
        <v>8480</v>
      </c>
      <c r="C6473" t="s">
        <v>116</v>
      </c>
      <c r="D6473" s="1" t="s">
        <v>8481</v>
      </c>
    </row>
    <row r="6474" spans="1:4" hidden="1" x14ac:dyDescent="0.3">
      <c r="A6474">
        <v>6472</v>
      </c>
      <c r="B6474" t="s">
        <v>8482</v>
      </c>
      <c r="C6474" t="s">
        <v>119</v>
      </c>
      <c r="D6474">
        <v>75376536.4112643</v>
      </c>
    </row>
    <row r="6475" spans="1:4" hidden="1" x14ac:dyDescent="0.3">
      <c r="A6475">
        <v>6473</v>
      </c>
      <c r="B6475" t="s">
        <v>8483</v>
      </c>
      <c r="C6475" t="s">
        <v>121</v>
      </c>
      <c r="D6475">
        <v>39343720.344058998</v>
      </c>
    </row>
    <row r="6476" spans="1:4" hidden="1" x14ac:dyDescent="0.3">
      <c r="A6476">
        <v>6474</v>
      </c>
      <c r="B6476" s="1" t="s">
        <v>8484</v>
      </c>
      <c r="C6476" t="s">
        <v>123</v>
      </c>
      <c r="D6476" s="1" t="s">
        <v>8485</v>
      </c>
    </row>
    <row r="6477" spans="1:4" hidden="1" x14ac:dyDescent="0.3">
      <c r="A6477">
        <v>6475</v>
      </c>
      <c r="B6477" t="s">
        <v>8486</v>
      </c>
      <c r="C6477" t="s">
        <v>126</v>
      </c>
      <c r="D6477">
        <v>0.74487866778163903</v>
      </c>
    </row>
    <row r="6478" spans="1:4" hidden="1" x14ac:dyDescent="0.3">
      <c r="A6478">
        <v>6476</v>
      </c>
      <c r="B6478" t="s">
        <v>8487</v>
      </c>
      <c r="C6478" t="s">
        <v>128</v>
      </c>
      <c r="D6478">
        <v>0.38879868180141602</v>
      </c>
    </row>
    <row r="6479" spans="1:4" hidden="1" x14ac:dyDescent="0.3">
      <c r="A6479">
        <v>6477</v>
      </c>
      <c r="B6479" s="1" t="s">
        <v>8488</v>
      </c>
      <c r="C6479" t="s">
        <v>130</v>
      </c>
      <c r="D6479" s="1" t="s">
        <v>8489</v>
      </c>
    </row>
    <row r="6480" spans="1:4" hidden="1" x14ac:dyDescent="0.3">
      <c r="A6480">
        <v>6478</v>
      </c>
      <c r="B6480" s="1" t="s">
        <v>8490</v>
      </c>
      <c r="C6480" t="s">
        <v>4</v>
      </c>
      <c r="D6480" t="s">
        <v>8491</v>
      </c>
    </row>
    <row r="6481" spans="1:4" hidden="1" x14ac:dyDescent="0.3">
      <c r="A6481">
        <v>6479</v>
      </c>
      <c r="B6481" t="s">
        <v>8492</v>
      </c>
      <c r="C6481" t="s">
        <v>7</v>
      </c>
      <c r="D6481">
        <v>1734.01</v>
      </c>
    </row>
    <row r="6482" spans="1:4" hidden="1" x14ac:dyDescent="0.3">
      <c r="A6482">
        <v>6480</v>
      </c>
      <c r="B6482" s="1" t="s">
        <v>8493</v>
      </c>
      <c r="C6482" t="s">
        <v>9</v>
      </c>
      <c r="D6482" s="1" t="s">
        <v>8494</v>
      </c>
    </row>
    <row r="6483" spans="1:4" hidden="1" x14ac:dyDescent="0.3">
      <c r="A6483">
        <v>6481</v>
      </c>
      <c r="B6483" t="s">
        <v>8495</v>
      </c>
      <c r="C6483" t="s">
        <v>14</v>
      </c>
      <c r="D6483">
        <v>97.8671875</v>
      </c>
    </row>
    <row r="6484" spans="1:4" hidden="1" x14ac:dyDescent="0.3">
      <c r="A6484">
        <v>6482</v>
      </c>
      <c r="B6484" t="s">
        <v>8496</v>
      </c>
      <c r="C6484" t="s">
        <v>16</v>
      </c>
      <c r="D6484">
        <v>4.3785178847678798</v>
      </c>
    </row>
    <row r="6485" spans="1:4" hidden="1" x14ac:dyDescent="0.3">
      <c r="A6485">
        <v>6483</v>
      </c>
      <c r="B6485" s="1" t="s">
        <v>8497</v>
      </c>
      <c r="C6485" t="s">
        <v>140</v>
      </c>
      <c r="D6485" s="1" t="s">
        <v>8498</v>
      </c>
    </row>
    <row r="6486" spans="1:4" hidden="1" x14ac:dyDescent="0.3">
      <c r="A6486">
        <v>6484</v>
      </c>
      <c r="B6486" t="s">
        <v>8499</v>
      </c>
      <c r="C6486" t="s">
        <v>22</v>
      </c>
      <c r="D6486">
        <v>64.150000000000006</v>
      </c>
    </row>
    <row r="6487" spans="1:4" hidden="1" x14ac:dyDescent="0.3">
      <c r="A6487">
        <v>6485</v>
      </c>
      <c r="B6487" t="s">
        <v>8500</v>
      </c>
      <c r="C6487" t="s">
        <v>24</v>
      </c>
      <c r="D6487">
        <v>6.6879736497029496</v>
      </c>
    </row>
    <row r="6488" spans="1:4" hidden="1" x14ac:dyDescent="0.3">
      <c r="A6488">
        <v>6486</v>
      </c>
      <c r="B6488" s="1" t="s">
        <v>8501</v>
      </c>
      <c r="C6488" t="s">
        <v>145</v>
      </c>
      <c r="D6488" s="1" t="s">
        <v>8502</v>
      </c>
    </row>
    <row r="6489" spans="1:4" hidden="1" x14ac:dyDescent="0.3">
      <c r="A6489">
        <v>6487</v>
      </c>
      <c r="B6489" t="s">
        <v>8503</v>
      </c>
      <c r="C6489" t="s">
        <v>35</v>
      </c>
      <c r="D6489">
        <v>0.363965280069525</v>
      </c>
    </row>
    <row r="6490" spans="1:4" hidden="1" x14ac:dyDescent="0.3">
      <c r="A6490">
        <v>6488</v>
      </c>
      <c r="B6490" t="s">
        <v>8504</v>
      </c>
      <c r="C6490" t="s">
        <v>149</v>
      </c>
      <c r="D6490">
        <v>0.76008586001539702</v>
      </c>
    </row>
    <row r="6491" spans="1:4" hidden="1" x14ac:dyDescent="0.3">
      <c r="A6491">
        <v>6489</v>
      </c>
      <c r="B6491" s="1" t="s">
        <v>8505</v>
      </c>
      <c r="C6491" t="s">
        <v>151</v>
      </c>
      <c r="D6491" s="1" t="s">
        <v>8506</v>
      </c>
    </row>
    <row r="6492" spans="1:4" hidden="1" x14ac:dyDescent="0.3">
      <c r="A6492">
        <v>6490</v>
      </c>
      <c r="B6492" t="s">
        <v>8507</v>
      </c>
      <c r="C6492" t="s">
        <v>30</v>
      </c>
      <c r="D6492">
        <v>0.24460671147733601</v>
      </c>
    </row>
    <row r="6493" spans="1:4" hidden="1" x14ac:dyDescent="0.3">
      <c r="A6493">
        <v>6491</v>
      </c>
      <c r="B6493" t="s">
        <v>8508</v>
      </c>
      <c r="C6493" t="s">
        <v>32</v>
      </c>
      <c r="D6493">
        <v>0.17192651036360801</v>
      </c>
    </row>
    <row r="6494" spans="1:4" hidden="1" x14ac:dyDescent="0.3">
      <c r="A6494">
        <v>6492</v>
      </c>
      <c r="B6494" s="1" t="s">
        <v>8509</v>
      </c>
      <c r="C6494" t="s">
        <v>155</v>
      </c>
      <c r="D6494" s="1" t="s">
        <v>8510</v>
      </c>
    </row>
    <row r="6495" spans="1:4" hidden="1" x14ac:dyDescent="0.3">
      <c r="A6495">
        <v>6493</v>
      </c>
      <c r="B6495" t="s">
        <v>8511</v>
      </c>
      <c r="C6495" t="s">
        <v>40</v>
      </c>
      <c r="D6495">
        <v>0.39142800845313702</v>
      </c>
    </row>
    <row r="6496" spans="1:4" hidden="1" x14ac:dyDescent="0.3">
      <c r="A6496">
        <v>6494</v>
      </c>
      <c r="B6496" t="s">
        <v>8512</v>
      </c>
      <c r="C6496" t="s">
        <v>42</v>
      </c>
      <c r="D6496">
        <v>0.143714330501056</v>
      </c>
    </row>
    <row r="6497" spans="1:4" hidden="1" x14ac:dyDescent="0.3">
      <c r="A6497">
        <v>6495</v>
      </c>
      <c r="B6497" s="1" t="s">
        <v>8513</v>
      </c>
      <c r="C6497" t="s">
        <v>159</v>
      </c>
      <c r="D6497" s="1" t="s">
        <v>8514</v>
      </c>
    </row>
    <row r="6498" spans="1:4" hidden="1" x14ac:dyDescent="0.3">
      <c r="A6498">
        <v>6496</v>
      </c>
      <c r="B6498" t="s">
        <v>8515</v>
      </c>
      <c r="C6498" t="s">
        <v>161</v>
      </c>
      <c r="D6498">
        <v>0.99077227224939401</v>
      </c>
    </row>
    <row r="6499" spans="1:4" hidden="1" x14ac:dyDescent="0.3">
      <c r="A6499">
        <v>6497</v>
      </c>
      <c r="B6499" t="s">
        <v>8516</v>
      </c>
      <c r="C6499" t="s">
        <v>163</v>
      </c>
      <c r="D6499">
        <v>0.99941979163956995</v>
      </c>
    </row>
    <row r="6500" spans="1:4" hidden="1" x14ac:dyDescent="0.3">
      <c r="A6500">
        <v>6498</v>
      </c>
      <c r="B6500" s="1" t="s">
        <v>8517</v>
      </c>
      <c r="C6500" t="s">
        <v>165</v>
      </c>
      <c r="D6500" s="1" t="s">
        <v>8518</v>
      </c>
    </row>
    <row r="6501" spans="1:4" hidden="1" x14ac:dyDescent="0.3">
      <c r="A6501">
        <v>6499</v>
      </c>
      <c r="B6501" t="s">
        <v>8519</v>
      </c>
      <c r="C6501" t="s">
        <v>168</v>
      </c>
      <c r="D6501">
        <v>0.99951025023483597</v>
      </c>
    </row>
    <row r="6502" spans="1:4" hidden="1" x14ac:dyDescent="0.3">
      <c r="A6502">
        <v>6500</v>
      </c>
      <c r="B6502" t="s">
        <v>8520</v>
      </c>
      <c r="C6502" t="s">
        <v>170</v>
      </c>
      <c r="D6502">
        <v>1.00077925994309</v>
      </c>
    </row>
    <row r="6503" spans="1:4" hidden="1" x14ac:dyDescent="0.3">
      <c r="A6503">
        <v>6501</v>
      </c>
      <c r="B6503" s="1" t="s">
        <v>8521</v>
      </c>
      <c r="C6503" t="s">
        <v>172</v>
      </c>
      <c r="D6503" s="1" t="s">
        <v>8522</v>
      </c>
    </row>
    <row r="6504" spans="1:4" hidden="1" x14ac:dyDescent="0.3">
      <c r="A6504">
        <v>6502</v>
      </c>
      <c r="B6504" s="1" t="s">
        <v>8523</v>
      </c>
      <c r="C6504" t="s">
        <v>55</v>
      </c>
      <c r="D6504" s="1" t="s">
        <v>8524</v>
      </c>
    </row>
    <row r="6505" spans="1:4" hidden="1" x14ac:dyDescent="0.3">
      <c r="A6505">
        <v>6503</v>
      </c>
      <c r="B6505" s="1" t="s">
        <v>8525</v>
      </c>
      <c r="C6505" t="s">
        <v>52</v>
      </c>
      <c r="D6505" s="1" t="s">
        <v>8526</v>
      </c>
    </row>
    <row r="6506" spans="1:4" hidden="1" x14ac:dyDescent="0.3">
      <c r="A6506">
        <v>6504</v>
      </c>
      <c r="B6506" s="1" t="s">
        <v>8527</v>
      </c>
      <c r="C6506" t="s">
        <v>58</v>
      </c>
      <c r="D6506" s="1" t="s">
        <v>8528</v>
      </c>
    </row>
    <row r="6507" spans="1:4" hidden="1" x14ac:dyDescent="0.3">
      <c r="A6507">
        <v>6505</v>
      </c>
      <c r="B6507" t="s">
        <v>8529</v>
      </c>
      <c r="C6507" t="s">
        <v>61</v>
      </c>
      <c r="D6507">
        <v>139844465.07004699</v>
      </c>
    </row>
    <row r="6508" spans="1:4" hidden="1" x14ac:dyDescent="0.3">
      <c r="A6508">
        <v>6506</v>
      </c>
      <c r="B6508" t="s">
        <v>8530</v>
      </c>
      <c r="C6508" t="s">
        <v>63</v>
      </c>
      <c r="D6508">
        <v>74680982.254477501</v>
      </c>
    </row>
    <row r="6509" spans="1:4" hidden="1" x14ac:dyDescent="0.3">
      <c r="A6509">
        <v>6507</v>
      </c>
      <c r="B6509" t="s">
        <v>8531</v>
      </c>
      <c r="C6509" t="s">
        <v>65</v>
      </c>
      <c r="D6509">
        <v>39320892.788585</v>
      </c>
    </row>
    <row r="6510" spans="1:4" hidden="1" x14ac:dyDescent="0.3">
      <c r="A6510">
        <v>6508</v>
      </c>
      <c r="B6510" s="1" t="s">
        <v>8532</v>
      </c>
      <c r="C6510" t="s">
        <v>67</v>
      </c>
      <c r="D6510" s="1" t="s">
        <v>8533</v>
      </c>
    </row>
    <row r="6511" spans="1:4" hidden="1" x14ac:dyDescent="0.3">
      <c r="A6511">
        <v>6509</v>
      </c>
      <c r="B6511" s="1" t="s">
        <v>8534</v>
      </c>
      <c r="C6511" t="s">
        <v>70</v>
      </c>
      <c r="D6511" s="1" t="s">
        <v>8535</v>
      </c>
    </row>
    <row r="6512" spans="1:4" hidden="1" x14ac:dyDescent="0.3">
      <c r="A6512">
        <v>6510</v>
      </c>
      <c r="B6512" t="s">
        <v>8536</v>
      </c>
      <c r="C6512" t="s">
        <v>73</v>
      </c>
      <c r="D6512">
        <v>1.00016661269406</v>
      </c>
    </row>
    <row r="6513" spans="1:4" hidden="1" x14ac:dyDescent="0.3">
      <c r="A6513">
        <v>6511</v>
      </c>
      <c r="B6513" t="s">
        <v>74</v>
      </c>
      <c r="C6513" t="s">
        <v>75</v>
      </c>
      <c r="D6513">
        <v>2.7397260273972599E-3</v>
      </c>
    </row>
    <row r="6514" spans="1:4" hidden="1" x14ac:dyDescent="0.3">
      <c r="A6514">
        <v>6512</v>
      </c>
      <c r="B6514" t="s">
        <v>76</v>
      </c>
      <c r="C6514" t="s">
        <v>77</v>
      </c>
      <c r="D6514">
        <v>0</v>
      </c>
    </row>
    <row r="6515" spans="1:4" hidden="1" x14ac:dyDescent="0.3">
      <c r="A6515">
        <v>6513</v>
      </c>
      <c r="B6515" t="s">
        <v>650</v>
      </c>
      <c r="C6515" t="s">
        <v>79</v>
      </c>
      <c r="D6515" s="2">
        <v>2.2204460492503101E-16</v>
      </c>
    </row>
    <row r="6516" spans="1:4" hidden="1" x14ac:dyDescent="0.3">
      <c r="A6516">
        <v>6514</v>
      </c>
      <c r="B6516" s="1" t="s">
        <v>8537</v>
      </c>
      <c r="C6516" t="s">
        <v>81</v>
      </c>
      <c r="D6516" s="1" t="s">
        <v>8538</v>
      </c>
    </row>
    <row r="6517" spans="1:4" hidden="1" x14ac:dyDescent="0.3">
      <c r="A6517">
        <v>6515</v>
      </c>
      <c r="B6517" t="s">
        <v>8539</v>
      </c>
      <c r="C6517" t="s">
        <v>84</v>
      </c>
      <c r="D6517">
        <v>1.0001615515292801</v>
      </c>
    </row>
    <row r="6518" spans="1:4" hidden="1" x14ac:dyDescent="0.3">
      <c r="A6518">
        <v>6516</v>
      </c>
      <c r="B6518" s="1" t="s">
        <v>8540</v>
      </c>
      <c r="C6518" t="s">
        <v>86</v>
      </c>
      <c r="D6518" s="1" t="s">
        <v>8541</v>
      </c>
    </row>
    <row r="6519" spans="1:4" hidden="1" x14ac:dyDescent="0.3">
      <c r="A6519">
        <v>6517</v>
      </c>
      <c r="B6519" t="s">
        <v>8542</v>
      </c>
      <c r="C6519" t="s">
        <v>89</v>
      </c>
      <c r="D6519">
        <v>101173434.760345</v>
      </c>
    </row>
    <row r="6520" spans="1:4" hidden="1" x14ac:dyDescent="0.3">
      <c r="A6520">
        <v>6518</v>
      </c>
      <c r="B6520" s="1" t="s">
        <v>8543</v>
      </c>
      <c r="C6520" t="s">
        <v>91</v>
      </c>
      <c r="D6520" s="1" t="s">
        <v>8477</v>
      </c>
    </row>
    <row r="6521" spans="1:4" hidden="1" x14ac:dyDescent="0.3">
      <c r="A6521">
        <v>6519</v>
      </c>
      <c r="B6521" t="s">
        <v>8544</v>
      </c>
      <c r="C6521" t="s">
        <v>94</v>
      </c>
      <c r="D6521">
        <v>74680982.254477501</v>
      </c>
    </row>
    <row r="6522" spans="1:4" hidden="1" x14ac:dyDescent="0.3">
      <c r="A6522">
        <v>6520</v>
      </c>
      <c r="B6522" t="s">
        <v>8545</v>
      </c>
      <c r="C6522" t="s">
        <v>96</v>
      </c>
      <c r="D6522">
        <v>39320892.788585</v>
      </c>
    </row>
    <row r="6523" spans="1:4" hidden="1" x14ac:dyDescent="0.3">
      <c r="A6523">
        <v>6521</v>
      </c>
      <c r="B6523" t="s">
        <v>8546</v>
      </c>
      <c r="C6523" t="s">
        <v>98</v>
      </c>
      <c r="D6523">
        <v>25842590.026984598</v>
      </c>
    </row>
    <row r="6524" spans="1:4" hidden="1" x14ac:dyDescent="0.3">
      <c r="A6524">
        <v>6522</v>
      </c>
      <c r="B6524" s="1" t="s">
        <v>8547</v>
      </c>
      <c r="C6524" t="s">
        <v>100</v>
      </c>
      <c r="D6524" s="1" t="s">
        <v>8548</v>
      </c>
    </row>
    <row r="6525" spans="1:4" hidden="1" x14ac:dyDescent="0.3">
      <c r="A6525">
        <v>6523</v>
      </c>
      <c r="B6525" t="s">
        <v>8549</v>
      </c>
      <c r="C6525" t="s">
        <v>103</v>
      </c>
      <c r="D6525">
        <v>8.4675622667673995E-3</v>
      </c>
    </row>
    <row r="6526" spans="1:4" hidden="1" x14ac:dyDescent="0.3">
      <c r="A6526">
        <v>6524</v>
      </c>
      <c r="B6526" t="s">
        <v>8550</v>
      </c>
      <c r="C6526" t="s">
        <v>105</v>
      </c>
      <c r="D6526">
        <v>1.35112405682895E-3</v>
      </c>
    </row>
    <row r="6527" spans="1:4" hidden="1" x14ac:dyDescent="0.3">
      <c r="A6527">
        <v>6525</v>
      </c>
      <c r="B6527" t="s">
        <v>8551</v>
      </c>
      <c r="C6527" t="s">
        <v>107</v>
      </c>
      <c r="D6527">
        <v>1.0234199280718901E-2</v>
      </c>
    </row>
    <row r="6528" spans="1:4" hidden="1" x14ac:dyDescent="0.3">
      <c r="A6528">
        <v>6526</v>
      </c>
      <c r="B6528" s="1" t="s">
        <v>8552</v>
      </c>
      <c r="C6528" t="s">
        <v>109</v>
      </c>
      <c r="D6528" s="1" t="s">
        <v>8553</v>
      </c>
    </row>
    <row r="6529" spans="1:4" x14ac:dyDescent="0.3">
      <c r="A6529">
        <v>6527</v>
      </c>
      <c r="B6529" t="s">
        <v>8554</v>
      </c>
      <c r="C6529" t="s">
        <v>207</v>
      </c>
      <c r="D6529">
        <v>139844286.69236201</v>
      </c>
    </row>
    <row r="6530" spans="1:4" hidden="1" x14ac:dyDescent="0.3">
      <c r="A6530">
        <v>6528</v>
      </c>
      <c r="B6530" t="s">
        <v>8555</v>
      </c>
      <c r="C6530" t="s">
        <v>209</v>
      </c>
      <c r="D6530">
        <v>377.90917763283801</v>
      </c>
    </row>
    <row r="6531" spans="1:4" hidden="1" x14ac:dyDescent="0.3">
      <c r="A6531">
        <v>6529</v>
      </c>
      <c r="B6531" t="s">
        <v>8556</v>
      </c>
      <c r="C6531" t="s">
        <v>211</v>
      </c>
      <c r="D6531">
        <v>198.97616008261599</v>
      </c>
    </row>
    <row r="6532" spans="1:4" hidden="1" x14ac:dyDescent="0.3">
      <c r="A6532">
        <v>6530</v>
      </c>
      <c r="B6532" s="1" t="s">
        <v>8557</v>
      </c>
      <c r="C6532" t="s">
        <v>213</v>
      </c>
      <c r="D6532" s="1" t="s">
        <v>8558</v>
      </c>
    </row>
    <row r="6533" spans="1:4" hidden="1" x14ac:dyDescent="0.3">
      <c r="A6533">
        <v>6531</v>
      </c>
      <c r="B6533" t="s">
        <v>8559</v>
      </c>
      <c r="C6533" t="s">
        <v>216</v>
      </c>
      <c r="D6533">
        <v>74680482.7920544</v>
      </c>
    </row>
    <row r="6534" spans="1:4" hidden="1" x14ac:dyDescent="0.3">
      <c r="A6534">
        <v>6532</v>
      </c>
      <c r="B6534" t="s">
        <v>8560</v>
      </c>
      <c r="C6534" t="s">
        <v>218</v>
      </c>
      <c r="D6534">
        <v>39320653.158405103</v>
      </c>
    </row>
    <row r="6535" spans="1:4" hidden="1" x14ac:dyDescent="0.3">
      <c r="A6535">
        <v>6533</v>
      </c>
      <c r="B6535" t="s">
        <v>8561</v>
      </c>
      <c r="C6535" t="s">
        <v>220</v>
      </c>
      <c r="D6535">
        <v>25842443.084828898</v>
      </c>
    </row>
    <row r="6536" spans="1:4" hidden="1" x14ac:dyDescent="0.3">
      <c r="A6536">
        <v>6534</v>
      </c>
      <c r="B6536" s="1" t="s">
        <v>8562</v>
      </c>
      <c r="C6536" t="s">
        <v>222</v>
      </c>
      <c r="D6536" s="1" t="s">
        <v>8563</v>
      </c>
    </row>
    <row r="6537" spans="1:4" hidden="1" x14ac:dyDescent="0.3">
      <c r="A6537">
        <v>6535</v>
      </c>
      <c r="B6537" t="s">
        <v>8564</v>
      </c>
      <c r="C6537" t="s">
        <v>225</v>
      </c>
      <c r="D6537">
        <v>101172922.79022101</v>
      </c>
    </row>
    <row r="6538" spans="1:4" hidden="1" x14ac:dyDescent="0.3">
      <c r="A6538">
        <v>6536</v>
      </c>
      <c r="B6538" t="s">
        <v>8565</v>
      </c>
      <c r="C6538" t="s">
        <v>227</v>
      </c>
      <c r="D6538">
        <v>511.970124199986</v>
      </c>
    </row>
    <row r="6539" spans="1:4" hidden="1" x14ac:dyDescent="0.3">
      <c r="A6539">
        <v>6537</v>
      </c>
      <c r="B6539" s="1" t="s">
        <v>8566</v>
      </c>
      <c r="C6539" t="s">
        <v>229</v>
      </c>
      <c r="D6539" s="1" t="s">
        <v>8567</v>
      </c>
    </row>
    <row r="6540" spans="1:4" hidden="1" x14ac:dyDescent="0.3">
      <c r="A6540">
        <v>6538</v>
      </c>
      <c r="B6540" t="s">
        <v>8568</v>
      </c>
      <c r="C6540" t="s">
        <v>112</v>
      </c>
      <c r="D6540">
        <v>-121.55324547386</v>
      </c>
    </row>
    <row r="6541" spans="1:4" hidden="1" x14ac:dyDescent="0.3">
      <c r="A6541">
        <v>6539</v>
      </c>
      <c r="B6541" t="s">
        <v>8569</v>
      </c>
      <c r="C6541" t="s">
        <v>114</v>
      </c>
      <c r="D6541">
        <v>-40.654019782880297</v>
      </c>
    </row>
    <row r="6542" spans="1:4" hidden="1" x14ac:dyDescent="0.3">
      <c r="A6542">
        <v>6540</v>
      </c>
      <c r="B6542" s="1" t="s">
        <v>8570</v>
      </c>
      <c r="C6542" t="s">
        <v>116</v>
      </c>
      <c r="D6542" s="1" t="s">
        <v>8571</v>
      </c>
    </row>
    <row r="6543" spans="1:4" hidden="1" x14ac:dyDescent="0.3">
      <c r="A6543">
        <v>6541</v>
      </c>
      <c r="B6543" t="s">
        <v>8572</v>
      </c>
      <c r="C6543" t="s">
        <v>119</v>
      </c>
      <c r="D6543">
        <v>74680482.7920544</v>
      </c>
    </row>
    <row r="6544" spans="1:4" hidden="1" x14ac:dyDescent="0.3">
      <c r="A6544">
        <v>6542</v>
      </c>
      <c r="B6544" t="s">
        <v>8573</v>
      </c>
      <c r="C6544" t="s">
        <v>121</v>
      </c>
      <c r="D6544">
        <v>39320653.158405103</v>
      </c>
    </row>
    <row r="6545" spans="1:4" hidden="1" x14ac:dyDescent="0.3">
      <c r="A6545">
        <v>6543</v>
      </c>
      <c r="B6545" s="1" t="s">
        <v>8574</v>
      </c>
      <c r="C6545" t="s">
        <v>123</v>
      </c>
      <c r="D6545" s="1" t="s">
        <v>8575</v>
      </c>
    </row>
    <row r="6546" spans="1:4" hidden="1" x14ac:dyDescent="0.3">
      <c r="A6546">
        <v>6544</v>
      </c>
      <c r="B6546" t="s">
        <v>8576</v>
      </c>
      <c r="C6546" t="s">
        <v>126</v>
      </c>
      <c r="D6546">
        <v>0.73802770479842605</v>
      </c>
    </row>
    <row r="6547" spans="1:4" hidden="1" x14ac:dyDescent="0.3">
      <c r="A6547">
        <v>6545</v>
      </c>
      <c r="B6547" t="s">
        <v>8577</v>
      </c>
      <c r="C6547" t="s">
        <v>128</v>
      </c>
      <c r="D6547">
        <v>0.38858521419146802</v>
      </c>
    </row>
    <row r="6548" spans="1:4" hidden="1" x14ac:dyDescent="0.3">
      <c r="A6548">
        <v>6546</v>
      </c>
      <c r="B6548" s="1" t="s">
        <v>8578</v>
      </c>
      <c r="C6548" t="s">
        <v>130</v>
      </c>
      <c r="D6548" s="1" t="s">
        <v>8579</v>
      </c>
    </row>
    <row r="6549" spans="1:4" hidden="1" x14ac:dyDescent="0.3">
      <c r="A6549">
        <v>6547</v>
      </c>
      <c r="B6549" s="1" t="s">
        <v>8580</v>
      </c>
      <c r="C6549" t="s">
        <v>4</v>
      </c>
      <c r="D6549" t="s">
        <v>8581</v>
      </c>
    </row>
    <row r="6550" spans="1:4" hidden="1" x14ac:dyDescent="0.3">
      <c r="A6550">
        <v>6548</v>
      </c>
      <c r="B6550" t="s">
        <v>8582</v>
      </c>
      <c r="C6550" t="s">
        <v>7</v>
      </c>
      <c r="D6550">
        <v>1726.37</v>
      </c>
    </row>
    <row r="6551" spans="1:4" hidden="1" x14ac:dyDescent="0.3">
      <c r="A6551">
        <v>6549</v>
      </c>
      <c r="B6551" s="1" t="s">
        <v>8583</v>
      </c>
      <c r="C6551" t="s">
        <v>9</v>
      </c>
      <c r="D6551" s="1" t="s">
        <v>8584</v>
      </c>
    </row>
    <row r="6552" spans="1:4" hidden="1" x14ac:dyDescent="0.3">
      <c r="A6552">
        <v>6550</v>
      </c>
      <c r="B6552" t="s">
        <v>8585</v>
      </c>
      <c r="C6552" t="s">
        <v>14</v>
      </c>
      <c r="D6552">
        <v>97.9765625</v>
      </c>
    </row>
    <row r="6553" spans="1:4" hidden="1" x14ac:dyDescent="0.3">
      <c r="A6553">
        <v>6551</v>
      </c>
      <c r="B6553" t="s">
        <v>8586</v>
      </c>
      <c r="C6553" t="s">
        <v>16</v>
      </c>
      <c r="D6553">
        <v>4.37759212720061</v>
      </c>
    </row>
    <row r="6554" spans="1:4" hidden="1" x14ac:dyDescent="0.3">
      <c r="A6554">
        <v>6552</v>
      </c>
      <c r="B6554" s="1" t="s">
        <v>8587</v>
      </c>
      <c r="C6554" t="s">
        <v>140</v>
      </c>
      <c r="D6554" s="1" t="s">
        <v>8588</v>
      </c>
    </row>
    <row r="6555" spans="1:4" hidden="1" x14ac:dyDescent="0.3">
      <c r="A6555">
        <v>6553</v>
      </c>
      <c r="B6555" t="s">
        <v>8319</v>
      </c>
      <c r="C6555" t="s">
        <v>22</v>
      </c>
      <c r="D6555">
        <v>65.25</v>
      </c>
    </row>
    <row r="6556" spans="1:4" hidden="1" x14ac:dyDescent="0.3">
      <c r="A6556">
        <v>6554</v>
      </c>
      <c r="B6556" t="s">
        <v>8589</v>
      </c>
      <c r="C6556" t="s">
        <v>24</v>
      </c>
      <c r="D6556">
        <v>6.6201165179003398</v>
      </c>
    </row>
    <row r="6557" spans="1:4" hidden="1" x14ac:dyDescent="0.3">
      <c r="A6557">
        <v>6555</v>
      </c>
      <c r="B6557" s="1" t="s">
        <v>8590</v>
      </c>
      <c r="C6557" t="s">
        <v>145</v>
      </c>
      <c r="D6557" s="1" t="s">
        <v>8591</v>
      </c>
    </row>
    <row r="6558" spans="1:4" hidden="1" x14ac:dyDescent="0.3">
      <c r="A6558">
        <v>6556</v>
      </c>
      <c r="B6558" t="s">
        <v>8592</v>
      </c>
      <c r="C6558" t="s">
        <v>35</v>
      </c>
      <c r="D6558">
        <v>-0.111912721388139</v>
      </c>
    </row>
    <row r="6559" spans="1:4" hidden="1" x14ac:dyDescent="0.3">
      <c r="A6559">
        <v>6557</v>
      </c>
      <c r="B6559" t="s">
        <v>8593</v>
      </c>
      <c r="C6559" t="s">
        <v>149</v>
      </c>
      <c r="D6559">
        <v>0.75793713556667597</v>
      </c>
    </row>
    <row r="6560" spans="1:4" hidden="1" x14ac:dyDescent="0.3">
      <c r="A6560">
        <v>6558</v>
      </c>
      <c r="B6560" s="1" t="s">
        <v>8594</v>
      </c>
      <c r="C6560" t="s">
        <v>151</v>
      </c>
      <c r="D6560" s="1" t="s">
        <v>8595</v>
      </c>
    </row>
    <row r="6561" spans="1:4" hidden="1" x14ac:dyDescent="0.3">
      <c r="A6561">
        <v>6559</v>
      </c>
      <c r="B6561" t="s">
        <v>8596</v>
      </c>
      <c r="C6561" t="s">
        <v>30</v>
      </c>
      <c r="D6561">
        <v>0.43279271770383498</v>
      </c>
    </row>
    <row r="6562" spans="1:4" hidden="1" x14ac:dyDescent="0.3">
      <c r="A6562">
        <v>6560</v>
      </c>
      <c r="B6562" t="s">
        <v>8597</v>
      </c>
      <c r="C6562" t="s">
        <v>32</v>
      </c>
      <c r="D6562">
        <v>0.172264845266103</v>
      </c>
    </row>
    <row r="6563" spans="1:4" hidden="1" x14ac:dyDescent="0.3">
      <c r="A6563">
        <v>6561</v>
      </c>
      <c r="B6563" s="1" t="s">
        <v>8598</v>
      </c>
      <c r="C6563" t="s">
        <v>155</v>
      </c>
      <c r="D6563" s="1" t="s">
        <v>8599</v>
      </c>
    </row>
    <row r="6564" spans="1:4" hidden="1" x14ac:dyDescent="0.3">
      <c r="A6564">
        <v>6562</v>
      </c>
      <c r="B6564" t="s">
        <v>8600</v>
      </c>
      <c r="C6564" t="s">
        <v>40</v>
      </c>
      <c r="D6564">
        <v>0.67912000368430303</v>
      </c>
    </row>
    <row r="6565" spans="1:4" hidden="1" x14ac:dyDescent="0.3">
      <c r="A6565">
        <v>6563</v>
      </c>
      <c r="B6565" t="s">
        <v>8601</v>
      </c>
      <c r="C6565" t="s">
        <v>42</v>
      </c>
      <c r="D6565">
        <v>0.14710578994144999</v>
      </c>
    </row>
    <row r="6566" spans="1:4" hidden="1" x14ac:dyDescent="0.3">
      <c r="A6566">
        <v>6564</v>
      </c>
      <c r="B6566" s="1" t="s">
        <v>8602</v>
      </c>
      <c r="C6566" t="s">
        <v>159</v>
      </c>
      <c r="D6566" s="1" t="s">
        <v>8603</v>
      </c>
    </row>
    <row r="6567" spans="1:4" hidden="1" x14ac:dyDescent="0.3">
      <c r="A6567">
        <v>6565</v>
      </c>
      <c r="B6567" t="s">
        <v>8604</v>
      </c>
      <c r="C6567" t="s">
        <v>161</v>
      </c>
      <c r="D6567">
        <v>0.99559402771610295</v>
      </c>
    </row>
    <row r="6568" spans="1:4" hidden="1" x14ac:dyDescent="0.3">
      <c r="A6568">
        <v>6566</v>
      </c>
      <c r="B6568" t="s">
        <v>8605</v>
      </c>
      <c r="C6568" t="s">
        <v>163</v>
      </c>
      <c r="D6568">
        <v>1.0010606728372999</v>
      </c>
    </row>
    <row r="6569" spans="1:4" hidden="1" x14ac:dyDescent="0.3">
      <c r="A6569">
        <v>6567</v>
      </c>
      <c r="B6569" s="1" t="s">
        <v>8606</v>
      </c>
      <c r="C6569" t="s">
        <v>165</v>
      </c>
      <c r="D6569" s="1" t="s">
        <v>8607</v>
      </c>
    </row>
    <row r="6570" spans="1:4" hidden="1" x14ac:dyDescent="0.3">
      <c r="A6570">
        <v>6568</v>
      </c>
      <c r="B6570" t="s">
        <v>8608</v>
      </c>
      <c r="C6570" t="s">
        <v>168</v>
      </c>
      <c r="D6570">
        <v>0.99877919339190502</v>
      </c>
    </row>
    <row r="6571" spans="1:4" hidden="1" x14ac:dyDescent="0.3">
      <c r="A6571">
        <v>6569</v>
      </c>
      <c r="B6571" t="s">
        <v>8609</v>
      </c>
      <c r="C6571" t="s">
        <v>170</v>
      </c>
      <c r="D6571">
        <v>1.0002886997601801</v>
      </c>
    </row>
    <row r="6572" spans="1:4" hidden="1" x14ac:dyDescent="0.3">
      <c r="A6572">
        <v>6570</v>
      </c>
      <c r="B6572" s="1" t="s">
        <v>8610</v>
      </c>
      <c r="C6572" t="s">
        <v>172</v>
      </c>
      <c r="D6572" s="1" t="s">
        <v>8611</v>
      </c>
    </row>
    <row r="6573" spans="1:4" hidden="1" x14ac:dyDescent="0.3">
      <c r="A6573">
        <v>6571</v>
      </c>
      <c r="B6573" s="1" t="s">
        <v>8612</v>
      </c>
      <c r="C6573" t="s">
        <v>55</v>
      </c>
      <c r="D6573" s="1" t="s">
        <v>8613</v>
      </c>
    </row>
    <row r="6574" spans="1:4" hidden="1" x14ac:dyDescent="0.3">
      <c r="A6574">
        <v>6572</v>
      </c>
      <c r="B6574" s="1" t="s">
        <v>8614</v>
      </c>
      <c r="C6574" t="s">
        <v>52</v>
      </c>
      <c r="D6574" s="1" t="s">
        <v>8615</v>
      </c>
    </row>
    <row r="6575" spans="1:4" hidden="1" x14ac:dyDescent="0.3">
      <c r="A6575">
        <v>6573</v>
      </c>
      <c r="B6575" s="1" t="s">
        <v>8616</v>
      </c>
      <c r="C6575" t="s">
        <v>58</v>
      </c>
      <c r="D6575" s="1" t="s">
        <v>8617</v>
      </c>
    </row>
    <row r="6576" spans="1:4" hidden="1" x14ac:dyDescent="0.3">
      <c r="A6576">
        <v>6574</v>
      </c>
      <c r="B6576" t="s">
        <v>8618</v>
      </c>
      <c r="C6576" t="s">
        <v>61</v>
      </c>
      <c r="D6576">
        <v>139932781.89721599</v>
      </c>
    </row>
    <row r="6577" spans="1:4" hidden="1" x14ac:dyDescent="0.3">
      <c r="A6577">
        <v>6575</v>
      </c>
      <c r="B6577" t="s">
        <v>8619</v>
      </c>
      <c r="C6577" t="s">
        <v>63</v>
      </c>
      <c r="D6577">
        <v>74351442.654724598</v>
      </c>
    </row>
    <row r="6578" spans="1:4" hidden="1" x14ac:dyDescent="0.3">
      <c r="A6578">
        <v>6576</v>
      </c>
      <c r="B6578" t="s">
        <v>8620</v>
      </c>
      <c r="C6578" t="s">
        <v>65</v>
      </c>
      <c r="D6578">
        <v>39362359.507155299</v>
      </c>
    </row>
    <row r="6579" spans="1:4" hidden="1" x14ac:dyDescent="0.3">
      <c r="A6579">
        <v>6577</v>
      </c>
      <c r="B6579" s="1" t="s">
        <v>8621</v>
      </c>
      <c r="C6579" t="s">
        <v>67</v>
      </c>
      <c r="D6579" s="1" t="s">
        <v>8622</v>
      </c>
    </row>
    <row r="6580" spans="1:4" hidden="1" x14ac:dyDescent="0.3">
      <c r="A6580">
        <v>6578</v>
      </c>
      <c r="B6580" s="1" t="s">
        <v>8623</v>
      </c>
      <c r="C6580" t="s">
        <v>70</v>
      </c>
      <c r="D6580" s="1" t="s">
        <v>8624</v>
      </c>
    </row>
    <row r="6581" spans="1:4" hidden="1" x14ac:dyDescent="0.3">
      <c r="A6581">
        <v>6579</v>
      </c>
      <c r="B6581" t="s">
        <v>8625</v>
      </c>
      <c r="C6581" t="s">
        <v>73</v>
      </c>
      <c r="D6581">
        <v>1.0001615515292801</v>
      </c>
    </row>
    <row r="6582" spans="1:4" hidden="1" x14ac:dyDescent="0.3">
      <c r="A6582">
        <v>6580</v>
      </c>
      <c r="B6582" t="s">
        <v>74</v>
      </c>
      <c r="C6582" t="s">
        <v>75</v>
      </c>
      <c r="D6582">
        <v>2.7397260273972599E-3</v>
      </c>
    </row>
    <row r="6583" spans="1:4" hidden="1" x14ac:dyDescent="0.3">
      <c r="A6583">
        <v>6581</v>
      </c>
      <c r="B6583" t="s">
        <v>76</v>
      </c>
      <c r="C6583" t="s">
        <v>77</v>
      </c>
      <c r="D6583">
        <v>0</v>
      </c>
    </row>
    <row r="6584" spans="1:4" hidden="1" x14ac:dyDescent="0.3">
      <c r="A6584">
        <v>6582</v>
      </c>
      <c r="B6584" t="s">
        <v>78</v>
      </c>
      <c r="C6584" t="s">
        <v>79</v>
      </c>
      <c r="D6584">
        <v>0</v>
      </c>
    </row>
    <row r="6585" spans="1:4" hidden="1" x14ac:dyDescent="0.3">
      <c r="A6585">
        <v>6583</v>
      </c>
      <c r="B6585" s="1" t="s">
        <v>8626</v>
      </c>
      <c r="C6585" t="s">
        <v>81</v>
      </c>
      <c r="D6585" s="1" t="s">
        <v>8627</v>
      </c>
    </row>
    <row r="6586" spans="1:4" hidden="1" x14ac:dyDescent="0.3">
      <c r="A6586">
        <v>6584</v>
      </c>
      <c r="B6586" t="s">
        <v>8628</v>
      </c>
      <c r="C6586" t="s">
        <v>84</v>
      </c>
      <c r="D6586">
        <v>1.0001513724400299</v>
      </c>
    </row>
    <row r="6587" spans="1:4" hidden="1" x14ac:dyDescent="0.3">
      <c r="A6587">
        <v>6585</v>
      </c>
      <c r="B6587" s="1" t="s">
        <v>8629</v>
      </c>
      <c r="C6587" t="s">
        <v>86</v>
      </c>
      <c r="D6587" s="1" t="s">
        <v>8630</v>
      </c>
    </row>
    <row r="6588" spans="1:4" hidden="1" x14ac:dyDescent="0.3">
      <c r="A6588">
        <v>6586</v>
      </c>
      <c r="B6588" t="s">
        <v>8631</v>
      </c>
      <c r="C6588" t="s">
        <v>89</v>
      </c>
      <c r="D6588">
        <v>101174464.457899</v>
      </c>
    </row>
    <row r="6589" spans="1:4" hidden="1" x14ac:dyDescent="0.3">
      <c r="A6589">
        <v>6587</v>
      </c>
      <c r="B6589" s="1" t="s">
        <v>8632</v>
      </c>
      <c r="C6589" t="s">
        <v>91</v>
      </c>
      <c r="D6589" s="1" t="s">
        <v>8567</v>
      </c>
    </row>
    <row r="6590" spans="1:4" hidden="1" x14ac:dyDescent="0.3">
      <c r="A6590">
        <v>6588</v>
      </c>
      <c r="B6590" t="s">
        <v>8633</v>
      </c>
      <c r="C6590" t="s">
        <v>94</v>
      </c>
      <c r="D6590">
        <v>74351442.654724598</v>
      </c>
    </row>
    <row r="6591" spans="1:4" hidden="1" x14ac:dyDescent="0.3">
      <c r="A6591">
        <v>6589</v>
      </c>
      <c r="B6591" t="s">
        <v>8634</v>
      </c>
      <c r="C6591" t="s">
        <v>96</v>
      </c>
      <c r="D6591">
        <v>39362359.507155299</v>
      </c>
    </row>
    <row r="6592" spans="1:4" hidden="1" x14ac:dyDescent="0.3">
      <c r="A6592">
        <v>6590</v>
      </c>
      <c r="B6592" t="s">
        <v>8635</v>
      </c>
      <c r="C6592" t="s">
        <v>98</v>
      </c>
      <c r="D6592">
        <v>26218979.735336501</v>
      </c>
    </row>
    <row r="6593" spans="1:4" hidden="1" x14ac:dyDescent="0.3">
      <c r="A6593">
        <v>6591</v>
      </c>
      <c r="B6593" s="1" t="s">
        <v>8636</v>
      </c>
      <c r="C6593" t="s">
        <v>100</v>
      </c>
      <c r="D6593" s="1" t="s">
        <v>8637</v>
      </c>
    </row>
    <row r="6594" spans="1:4" hidden="1" x14ac:dyDescent="0.3">
      <c r="A6594">
        <v>6592</v>
      </c>
      <c r="B6594" t="s">
        <v>8638</v>
      </c>
      <c r="C6594" t="s">
        <v>103</v>
      </c>
      <c r="D6594">
        <v>8.4826555432406595E-3</v>
      </c>
    </row>
    <row r="6595" spans="1:4" hidden="1" x14ac:dyDescent="0.3">
      <c r="A6595">
        <v>6593</v>
      </c>
      <c r="B6595" t="s">
        <v>8639</v>
      </c>
      <c r="C6595" t="s">
        <v>105</v>
      </c>
      <c r="D6595">
        <v>1.3558012835882E-3</v>
      </c>
    </row>
    <row r="6596" spans="1:4" hidden="1" x14ac:dyDescent="0.3">
      <c r="A6596">
        <v>6594</v>
      </c>
      <c r="B6596" t="s">
        <v>8640</v>
      </c>
      <c r="C6596" t="s">
        <v>107</v>
      </c>
      <c r="D6596">
        <v>1.0396913476782101E-2</v>
      </c>
    </row>
    <row r="6597" spans="1:4" hidden="1" x14ac:dyDescent="0.3">
      <c r="A6597">
        <v>6595</v>
      </c>
      <c r="B6597" s="1" t="s">
        <v>8641</v>
      </c>
      <c r="C6597" t="s">
        <v>109</v>
      </c>
      <c r="D6597" s="1" t="s">
        <v>8642</v>
      </c>
    </row>
    <row r="6598" spans="1:4" x14ac:dyDescent="0.3">
      <c r="A6598">
        <v>6596</v>
      </c>
      <c r="B6598" t="s">
        <v>8643</v>
      </c>
      <c r="C6598" t="s">
        <v>207</v>
      </c>
      <c r="D6598">
        <v>139932423.90242499</v>
      </c>
    </row>
    <row r="6599" spans="1:4" hidden="1" x14ac:dyDescent="0.3">
      <c r="A6599">
        <v>6597</v>
      </c>
      <c r="B6599" t="s">
        <v>8644</v>
      </c>
      <c r="C6599" t="s">
        <v>209</v>
      </c>
      <c r="D6599">
        <v>756.70524963932905</v>
      </c>
    </row>
    <row r="6600" spans="1:4" hidden="1" x14ac:dyDescent="0.3">
      <c r="A6600">
        <v>6598</v>
      </c>
      <c r="B6600" t="s">
        <v>8645</v>
      </c>
      <c r="C6600" t="s">
        <v>211</v>
      </c>
      <c r="D6600">
        <v>400.607449803733</v>
      </c>
    </row>
    <row r="6601" spans="1:4" hidden="1" x14ac:dyDescent="0.3">
      <c r="A6601">
        <v>6599</v>
      </c>
      <c r="B6601" s="1" t="s">
        <v>8646</v>
      </c>
      <c r="C6601" t="s">
        <v>213</v>
      </c>
      <c r="D6601" s="1" t="s">
        <v>8647</v>
      </c>
    </row>
    <row r="6602" spans="1:4" hidden="1" x14ac:dyDescent="0.3">
      <c r="A6602">
        <v>6600</v>
      </c>
      <c r="B6602" t="s">
        <v>8648</v>
      </c>
      <c r="C6602" t="s">
        <v>216</v>
      </c>
      <c r="D6602">
        <v>74350442.878889397</v>
      </c>
    </row>
    <row r="6603" spans="1:4" hidden="1" x14ac:dyDescent="0.3">
      <c r="A6603">
        <v>6601</v>
      </c>
      <c r="B6603" t="s">
        <v>8649</v>
      </c>
      <c r="C6603" t="s">
        <v>218</v>
      </c>
      <c r="D6603">
        <v>39361880.108122297</v>
      </c>
    </row>
    <row r="6604" spans="1:4" hidden="1" x14ac:dyDescent="0.3">
      <c r="A6604">
        <v>6602</v>
      </c>
      <c r="B6604" t="s">
        <v>8650</v>
      </c>
      <c r="C6604" t="s">
        <v>220</v>
      </c>
      <c r="D6604">
        <v>26218676.7608556</v>
      </c>
    </row>
    <row r="6605" spans="1:4" hidden="1" x14ac:dyDescent="0.3">
      <c r="A6605">
        <v>6603</v>
      </c>
      <c r="B6605" s="1" t="s">
        <v>8651</v>
      </c>
      <c r="C6605" t="s">
        <v>222</v>
      </c>
      <c r="D6605" s="1" t="s">
        <v>8652</v>
      </c>
    </row>
    <row r="6606" spans="1:4" hidden="1" x14ac:dyDescent="0.3">
      <c r="A6606">
        <v>6604</v>
      </c>
      <c r="B6606" t="s">
        <v>8653</v>
      </c>
      <c r="C6606" t="s">
        <v>225</v>
      </c>
      <c r="D6606">
        <v>101173434.760345</v>
      </c>
    </row>
    <row r="6607" spans="1:4" hidden="1" x14ac:dyDescent="0.3">
      <c r="A6607">
        <v>6605</v>
      </c>
      <c r="B6607" t="s">
        <v>8654</v>
      </c>
      <c r="C6607" t="s">
        <v>227</v>
      </c>
      <c r="D6607">
        <v>1029.697554484</v>
      </c>
    </row>
    <row r="6608" spans="1:4" hidden="1" x14ac:dyDescent="0.3">
      <c r="A6608">
        <v>6606</v>
      </c>
      <c r="B6608" s="1" t="s">
        <v>8655</v>
      </c>
      <c r="C6608" t="s">
        <v>229</v>
      </c>
      <c r="D6608" s="1" t="s">
        <v>8656</v>
      </c>
    </row>
    <row r="6609" spans="1:4" hidden="1" x14ac:dyDescent="0.3">
      <c r="A6609">
        <v>6607</v>
      </c>
      <c r="B6609" t="s">
        <v>8657</v>
      </c>
      <c r="C6609" t="s">
        <v>112</v>
      </c>
      <c r="D6609">
        <v>-243.07058559118599</v>
      </c>
    </row>
    <row r="6610" spans="1:4" hidden="1" x14ac:dyDescent="0.3">
      <c r="A6610">
        <v>6608</v>
      </c>
      <c r="B6610" t="s">
        <v>8658</v>
      </c>
      <c r="C6610" t="s">
        <v>114</v>
      </c>
      <c r="D6610">
        <v>-78.791583233620599</v>
      </c>
    </row>
    <row r="6611" spans="1:4" hidden="1" x14ac:dyDescent="0.3">
      <c r="A6611">
        <v>6609</v>
      </c>
      <c r="B6611" s="1" t="s">
        <v>8659</v>
      </c>
      <c r="C6611" t="s">
        <v>116</v>
      </c>
      <c r="D6611" s="1" t="s">
        <v>8660</v>
      </c>
    </row>
    <row r="6612" spans="1:4" hidden="1" x14ac:dyDescent="0.3">
      <c r="A6612">
        <v>6610</v>
      </c>
      <c r="B6612" t="s">
        <v>8661</v>
      </c>
      <c r="C6612" t="s">
        <v>119</v>
      </c>
      <c r="D6612">
        <v>74350442.878889397</v>
      </c>
    </row>
    <row r="6613" spans="1:4" hidden="1" x14ac:dyDescent="0.3">
      <c r="A6613">
        <v>6611</v>
      </c>
      <c r="B6613" t="s">
        <v>8662</v>
      </c>
      <c r="C6613" t="s">
        <v>121</v>
      </c>
      <c r="D6613">
        <v>39361880.108122297</v>
      </c>
    </row>
    <row r="6614" spans="1:4" hidden="1" x14ac:dyDescent="0.3">
      <c r="A6614">
        <v>6612</v>
      </c>
      <c r="B6614" s="1" t="s">
        <v>8663</v>
      </c>
      <c r="C6614" t="s">
        <v>123</v>
      </c>
      <c r="D6614" s="1" t="s">
        <v>8664</v>
      </c>
    </row>
    <row r="6615" spans="1:4" hidden="1" x14ac:dyDescent="0.3">
      <c r="A6615">
        <v>6613</v>
      </c>
      <c r="B6615" t="s">
        <v>8665</v>
      </c>
      <c r="C6615" t="s">
        <v>126</v>
      </c>
      <c r="D6615">
        <v>0.73476985485769197</v>
      </c>
    </row>
    <row r="6616" spans="1:4" hidden="1" x14ac:dyDescent="0.3">
      <c r="A6616">
        <v>6614</v>
      </c>
      <c r="B6616" t="s">
        <v>8666</v>
      </c>
      <c r="C6616" t="s">
        <v>128</v>
      </c>
      <c r="D6616">
        <v>0.38899462886969299</v>
      </c>
    </row>
    <row r="6617" spans="1:4" hidden="1" x14ac:dyDescent="0.3">
      <c r="A6617">
        <v>6615</v>
      </c>
      <c r="B6617" s="1" t="s">
        <v>8667</v>
      </c>
      <c r="C6617" t="s">
        <v>130</v>
      </c>
      <c r="D6617" s="1" t="s">
        <v>8668</v>
      </c>
    </row>
    <row r="6618" spans="1:4" hidden="1" x14ac:dyDescent="0.3">
      <c r="A6618">
        <v>6616</v>
      </c>
      <c r="B6618" s="1" t="s">
        <v>8669</v>
      </c>
      <c r="C6618" t="s">
        <v>4</v>
      </c>
      <c r="D6618" t="s">
        <v>8670</v>
      </c>
    </row>
    <row r="6619" spans="1:4" hidden="1" x14ac:dyDescent="0.3">
      <c r="A6619">
        <v>6617</v>
      </c>
      <c r="B6619" t="s">
        <v>8671</v>
      </c>
      <c r="C6619" t="s">
        <v>7</v>
      </c>
      <c r="D6619">
        <v>1756.95</v>
      </c>
    </row>
    <row r="6620" spans="1:4" hidden="1" x14ac:dyDescent="0.3">
      <c r="A6620">
        <v>6618</v>
      </c>
      <c r="B6620" s="1" t="s">
        <v>8672</v>
      </c>
      <c r="C6620" t="s">
        <v>9</v>
      </c>
      <c r="D6620" s="1" t="s">
        <v>8673</v>
      </c>
    </row>
    <row r="6621" spans="1:4" hidden="1" x14ac:dyDescent="0.3">
      <c r="A6621">
        <v>6619</v>
      </c>
      <c r="B6621" t="s">
        <v>8674</v>
      </c>
      <c r="C6621" t="s">
        <v>14</v>
      </c>
      <c r="D6621">
        <v>98.078125</v>
      </c>
    </row>
    <row r="6622" spans="1:4" hidden="1" x14ac:dyDescent="0.3">
      <c r="A6622">
        <v>6620</v>
      </c>
      <c r="B6622" t="s">
        <v>8675</v>
      </c>
      <c r="C6622" t="s">
        <v>16</v>
      </c>
      <c r="D6622">
        <v>4.3798385336297798</v>
      </c>
    </row>
    <row r="6623" spans="1:4" hidden="1" x14ac:dyDescent="0.3">
      <c r="A6623">
        <v>6621</v>
      </c>
      <c r="B6623" s="1" t="s">
        <v>8676</v>
      </c>
      <c r="C6623" t="s">
        <v>140</v>
      </c>
      <c r="D6623" s="1" t="s">
        <v>8677</v>
      </c>
    </row>
    <row r="6624" spans="1:4" hidden="1" x14ac:dyDescent="0.3">
      <c r="A6624">
        <v>6622</v>
      </c>
      <c r="B6624" t="s">
        <v>8678</v>
      </c>
      <c r="C6624" t="s">
        <v>22</v>
      </c>
      <c r="D6624">
        <v>66.75</v>
      </c>
    </row>
    <row r="6625" spans="1:4" hidden="1" x14ac:dyDescent="0.3">
      <c r="A6625">
        <v>6623</v>
      </c>
      <c r="B6625" t="s">
        <v>8679</v>
      </c>
      <c r="C6625" t="s">
        <v>24</v>
      </c>
      <c r="D6625">
        <v>6.5505781781555603</v>
      </c>
    </row>
    <row r="6626" spans="1:4" hidden="1" x14ac:dyDescent="0.3">
      <c r="A6626">
        <v>6624</v>
      </c>
      <c r="B6626" s="1" t="s">
        <v>8680</v>
      </c>
      <c r="C6626" t="s">
        <v>145</v>
      </c>
      <c r="D6626" s="1" t="s">
        <v>8681</v>
      </c>
    </row>
    <row r="6627" spans="1:4" hidden="1" x14ac:dyDescent="0.3">
      <c r="A6627">
        <v>6625</v>
      </c>
      <c r="B6627" t="s">
        <v>8682</v>
      </c>
      <c r="C6627" t="s">
        <v>35</v>
      </c>
      <c r="D6627">
        <v>8.6418893901535995E-2</v>
      </c>
    </row>
    <row r="6628" spans="1:4" hidden="1" x14ac:dyDescent="0.3">
      <c r="A6628">
        <v>6626</v>
      </c>
      <c r="B6628" t="s">
        <v>8683</v>
      </c>
      <c r="C6628" t="s">
        <v>149</v>
      </c>
      <c r="D6628">
        <v>0.75353835774342803</v>
      </c>
    </row>
    <row r="6629" spans="1:4" hidden="1" x14ac:dyDescent="0.3">
      <c r="A6629">
        <v>6627</v>
      </c>
      <c r="B6629" s="1" t="s">
        <v>8684</v>
      </c>
      <c r="C6629" t="s">
        <v>151</v>
      </c>
      <c r="D6629" s="1" t="s">
        <v>8685</v>
      </c>
    </row>
    <row r="6630" spans="1:4" hidden="1" x14ac:dyDescent="0.3">
      <c r="A6630">
        <v>6628</v>
      </c>
      <c r="B6630" t="s">
        <v>8686</v>
      </c>
      <c r="C6630" t="s">
        <v>30</v>
      </c>
      <c r="D6630">
        <v>0.35115629739321302</v>
      </c>
    </row>
    <row r="6631" spans="1:4" hidden="1" x14ac:dyDescent="0.3">
      <c r="A6631">
        <v>6629</v>
      </c>
      <c r="B6631" t="s">
        <v>8687</v>
      </c>
      <c r="C6631" t="s">
        <v>32</v>
      </c>
      <c r="D6631">
        <v>0.17294420395763499</v>
      </c>
    </row>
    <row r="6632" spans="1:4" hidden="1" x14ac:dyDescent="0.3">
      <c r="A6632">
        <v>6630</v>
      </c>
      <c r="B6632" s="1" t="s">
        <v>8688</v>
      </c>
      <c r="C6632" t="s">
        <v>155</v>
      </c>
      <c r="D6632" s="1" t="s">
        <v>8689</v>
      </c>
    </row>
    <row r="6633" spans="1:4" hidden="1" x14ac:dyDescent="0.3">
      <c r="A6633">
        <v>6631</v>
      </c>
      <c r="B6633" t="s">
        <v>8690</v>
      </c>
      <c r="C6633" t="s">
        <v>40</v>
      </c>
      <c r="D6633">
        <v>0.56242480870525002</v>
      </c>
    </row>
    <row r="6634" spans="1:4" hidden="1" x14ac:dyDescent="0.3">
      <c r="A6634">
        <v>6632</v>
      </c>
      <c r="B6634" t="s">
        <v>8691</v>
      </c>
      <c r="C6634" t="s">
        <v>42</v>
      </c>
      <c r="D6634">
        <v>0.15412825323569701</v>
      </c>
    </row>
    <row r="6635" spans="1:4" hidden="1" x14ac:dyDescent="0.3">
      <c r="A6635">
        <v>6633</v>
      </c>
      <c r="B6635" s="1" t="s">
        <v>8692</v>
      </c>
      <c r="C6635" t="s">
        <v>159</v>
      </c>
      <c r="D6635" s="1" t="s">
        <v>8693</v>
      </c>
    </row>
    <row r="6636" spans="1:4" hidden="1" x14ac:dyDescent="0.3">
      <c r="A6636">
        <v>6634</v>
      </c>
      <c r="B6636" t="s">
        <v>8694</v>
      </c>
      <c r="C6636" t="s">
        <v>161</v>
      </c>
      <c r="D6636">
        <v>1.01771346814414</v>
      </c>
    </row>
    <row r="6637" spans="1:4" hidden="1" x14ac:dyDescent="0.3">
      <c r="A6637">
        <v>6635</v>
      </c>
      <c r="B6637" t="s">
        <v>8695</v>
      </c>
      <c r="C6637" t="s">
        <v>163</v>
      </c>
      <c r="D6637">
        <v>1.00101421292381</v>
      </c>
    </row>
    <row r="6638" spans="1:4" hidden="1" x14ac:dyDescent="0.3">
      <c r="A6638">
        <v>6636</v>
      </c>
      <c r="B6638" s="1" t="s">
        <v>8696</v>
      </c>
      <c r="C6638" t="s">
        <v>165</v>
      </c>
      <c r="D6638" s="1" t="s">
        <v>8697</v>
      </c>
    </row>
    <row r="6639" spans="1:4" hidden="1" x14ac:dyDescent="0.3">
      <c r="A6639">
        <v>6637</v>
      </c>
      <c r="B6639" t="s">
        <v>8698</v>
      </c>
      <c r="C6639" t="s">
        <v>168</v>
      </c>
      <c r="D6639">
        <v>0.99749776158984704</v>
      </c>
    </row>
    <row r="6640" spans="1:4" hidden="1" x14ac:dyDescent="0.3">
      <c r="A6640">
        <v>6638</v>
      </c>
      <c r="B6640" t="s">
        <v>8699</v>
      </c>
      <c r="C6640" t="s">
        <v>170</v>
      </c>
      <c r="D6640">
        <v>1.00057952662683</v>
      </c>
    </row>
    <row r="6641" spans="1:4" hidden="1" x14ac:dyDescent="0.3">
      <c r="A6641">
        <v>6639</v>
      </c>
      <c r="B6641" s="1" t="s">
        <v>8700</v>
      </c>
      <c r="C6641" t="s">
        <v>172</v>
      </c>
      <c r="D6641" s="1" t="s">
        <v>8701</v>
      </c>
    </row>
    <row r="6642" spans="1:4" hidden="1" x14ac:dyDescent="0.3">
      <c r="A6642">
        <v>6640</v>
      </c>
      <c r="B6642" s="1" t="s">
        <v>8702</v>
      </c>
      <c r="C6642" t="s">
        <v>55</v>
      </c>
      <c r="D6642" s="1" t="s">
        <v>8703</v>
      </c>
    </row>
    <row r="6643" spans="1:4" hidden="1" x14ac:dyDescent="0.3">
      <c r="A6643">
        <v>6641</v>
      </c>
      <c r="B6643" s="1" t="s">
        <v>8704</v>
      </c>
      <c r="C6643" t="s">
        <v>52</v>
      </c>
      <c r="D6643" s="1" t="s">
        <v>8705</v>
      </c>
    </row>
    <row r="6644" spans="1:4" hidden="1" x14ac:dyDescent="0.3">
      <c r="A6644">
        <v>6642</v>
      </c>
      <c r="B6644" s="1" t="s">
        <v>8706</v>
      </c>
      <c r="C6644" t="s">
        <v>58</v>
      </c>
      <c r="D6644" s="1" t="s">
        <v>8707</v>
      </c>
    </row>
    <row r="6645" spans="1:4" hidden="1" x14ac:dyDescent="0.3">
      <c r="A6645">
        <v>6643</v>
      </c>
      <c r="B6645" t="s">
        <v>8708</v>
      </c>
      <c r="C6645" t="s">
        <v>61</v>
      </c>
      <c r="D6645">
        <v>141809766.81132501</v>
      </c>
    </row>
    <row r="6646" spans="1:4" hidden="1" x14ac:dyDescent="0.3">
      <c r="A6646">
        <v>6644</v>
      </c>
      <c r="B6646" t="s">
        <v>8709</v>
      </c>
      <c r="C6646" t="s">
        <v>63</v>
      </c>
      <c r="D6646">
        <v>75667447.080327302</v>
      </c>
    </row>
    <row r="6647" spans="1:4" hidden="1" x14ac:dyDescent="0.3">
      <c r="A6647">
        <v>6645</v>
      </c>
      <c r="B6647" t="s">
        <v>8710</v>
      </c>
      <c r="C6647" t="s">
        <v>65</v>
      </c>
      <c r="D6647">
        <v>39401801.435633697</v>
      </c>
    </row>
    <row r="6648" spans="1:4" hidden="1" x14ac:dyDescent="0.3">
      <c r="A6648">
        <v>6646</v>
      </c>
      <c r="B6648" s="1" t="s">
        <v>8711</v>
      </c>
      <c r="C6648" t="s">
        <v>67</v>
      </c>
      <c r="D6648" s="1" t="s">
        <v>8712</v>
      </c>
    </row>
    <row r="6649" spans="1:4" hidden="1" x14ac:dyDescent="0.3">
      <c r="A6649">
        <v>6647</v>
      </c>
      <c r="B6649" s="1" t="s">
        <v>8713</v>
      </c>
      <c r="C6649" t="s">
        <v>70</v>
      </c>
      <c r="D6649" s="1" t="s">
        <v>8714</v>
      </c>
    </row>
    <row r="6650" spans="1:4" hidden="1" x14ac:dyDescent="0.3">
      <c r="A6650">
        <v>6648</v>
      </c>
      <c r="B6650" t="s">
        <v>8715</v>
      </c>
      <c r="C6650" t="s">
        <v>73</v>
      </c>
      <c r="D6650">
        <v>1.0001513724400299</v>
      </c>
    </row>
    <row r="6651" spans="1:4" hidden="1" x14ac:dyDescent="0.3">
      <c r="A6651">
        <v>6649</v>
      </c>
      <c r="B6651" t="s">
        <v>74</v>
      </c>
      <c r="C6651" t="s">
        <v>75</v>
      </c>
      <c r="D6651">
        <v>2.7397260273972599E-3</v>
      </c>
    </row>
    <row r="6652" spans="1:4" hidden="1" x14ac:dyDescent="0.3">
      <c r="A6652">
        <v>6650</v>
      </c>
      <c r="B6652" t="s">
        <v>76</v>
      </c>
      <c r="C6652" t="s">
        <v>77</v>
      </c>
      <c r="D6652">
        <v>0</v>
      </c>
    </row>
    <row r="6653" spans="1:4" hidden="1" x14ac:dyDescent="0.3">
      <c r="A6653">
        <v>6651</v>
      </c>
      <c r="B6653" t="s">
        <v>78</v>
      </c>
      <c r="C6653" t="s">
        <v>79</v>
      </c>
      <c r="D6653">
        <v>0</v>
      </c>
    </row>
    <row r="6654" spans="1:4" hidden="1" x14ac:dyDescent="0.3">
      <c r="A6654">
        <v>6652</v>
      </c>
      <c r="B6654" s="1" t="s">
        <v>8716</v>
      </c>
      <c r="C6654" t="s">
        <v>81</v>
      </c>
      <c r="D6654" s="1" t="s">
        <v>8717</v>
      </c>
    </row>
    <row r="6655" spans="1:4" hidden="1" x14ac:dyDescent="0.3">
      <c r="A6655">
        <v>6653</v>
      </c>
      <c r="B6655" t="s">
        <v>8718</v>
      </c>
      <c r="C6655" t="s">
        <v>84</v>
      </c>
      <c r="D6655">
        <v>1.00014912910642</v>
      </c>
    </row>
    <row r="6656" spans="1:4" hidden="1" x14ac:dyDescent="0.3">
      <c r="A6656">
        <v>6654</v>
      </c>
      <c r="B6656" s="1" t="s">
        <v>8719</v>
      </c>
      <c r="C6656" t="s">
        <v>86</v>
      </c>
      <c r="D6656" s="1" t="s">
        <v>8720</v>
      </c>
    </row>
    <row r="6657" spans="1:4" hidden="1" x14ac:dyDescent="0.3">
      <c r="A6657">
        <v>6655</v>
      </c>
      <c r="B6657" t="s">
        <v>8721</v>
      </c>
      <c r="C6657" t="s">
        <v>89</v>
      </c>
      <c r="D6657">
        <v>101174691.392133</v>
      </c>
    </row>
    <row r="6658" spans="1:4" hidden="1" x14ac:dyDescent="0.3">
      <c r="A6658">
        <v>6656</v>
      </c>
      <c r="B6658" s="1" t="s">
        <v>8722</v>
      </c>
      <c r="C6658" t="s">
        <v>91</v>
      </c>
      <c r="D6658" s="1" t="s">
        <v>8656</v>
      </c>
    </row>
    <row r="6659" spans="1:4" hidden="1" x14ac:dyDescent="0.3">
      <c r="A6659">
        <v>6657</v>
      </c>
      <c r="B6659" t="s">
        <v>8723</v>
      </c>
      <c r="C6659" t="s">
        <v>94</v>
      </c>
      <c r="D6659">
        <v>75667447.080327302</v>
      </c>
    </row>
    <row r="6660" spans="1:4" hidden="1" x14ac:dyDescent="0.3">
      <c r="A6660">
        <v>6658</v>
      </c>
      <c r="B6660" t="s">
        <v>8724</v>
      </c>
      <c r="C6660" t="s">
        <v>96</v>
      </c>
      <c r="D6660">
        <v>39401801.435633697</v>
      </c>
    </row>
    <row r="6661" spans="1:4" hidden="1" x14ac:dyDescent="0.3">
      <c r="A6661">
        <v>6659</v>
      </c>
      <c r="B6661" t="s">
        <v>8725</v>
      </c>
      <c r="C6661" t="s">
        <v>98</v>
      </c>
      <c r="D6661">
        <v>26740518.295364399</v>
      </c>
    </row>
    <row r="6662" spans="1:4" hidden="1" x14ac:dyDescent="0.3">
      <c r="A6662">
        <v>6660</v>
      </c>
      <c r="B6662" s="1" t="s">
        <v>8726</v>
      </c>
      <c r="C6662" t="s">
        <v>100</v>
      </c>
      <c r="D6662" s="1" t="s">
        <v>8727</v>
      </c>
    </row>
    <row r="6663" spans="1:4" hidden="1" x14ac:dyDescent="0.3">
      <c r="A6663">
        <v>6661</v>
      </c>
      <c r="B6663" t="s">
        <v>8728</v>
      </c>
      <c r="C6663" t="s">
        <v>103</v>
      </c>
      <c r="D6663">
        <v>8.4798786913300207E-3</v>
      </c>
    </row>
    <row r="6664" spans="1:4" hidden="1" x14ac:dyDescent="0.3">
      <c r="A6664">
        <v>6662</v>
      </c>
      <c r="B6664" t="s">
        <v>8729</v>
      </c>
      <c r="C6664" t="s">
        <v>105</v>
      </c>
      <c r="D6664">
        <v>1.35482793247332E-3</v>
      </c>
    </row>
    <row r="6665" spans="1:4" hidden="1" x14ac:dyDescent="0.3">
      <c r="A6665">
        <v>6663</v>
      </c>
      <c r="B6665" t="s">
        <v>8730</v>
      </c>
      <c r="C6665" t="s">
        <v>107</v>
      </c>
      <c r="D6665">
        <v>1.0660732521248301E-2</v>
      </c>
    </row>
    <row r="6666" spans="1:4" hidden="1" x14ac:dyDescent="0.3">
      <c r="A6666">
        <v>6664</v>
      </c>
      <c r="B6666" s="1" t="s">
        <v>8731</v>
      </c>
      <c r="C6666" t="s">
        <v>109</v>
      </c>
      <c r="D6666" s="1" t="s">
        <v>8732</v>
      </c>
    </row>
    <row r="6667" spans="1:4" x14ac:dyDescent="0.3">
      <c r="A6667">
        <v>6665</v>
      </c>
      <c r="B6667" t="s">
        <v>8733</v>
      </c>
      <c r="C6667" t="s">
        <v>207</v>
      </c>
      <c r="D6667">
        <v>141809688.15831301</v>
      </c>
    </row>
    <row r="6668" spans="1:4" hidden="1" x14ac:dyDescent="0.3">
      <c r="A6668">
        <v>6666</v>
      </c>
      <c r="B6668" t="s">
        <v>8734</v>
      </c>
      <c r="C6668" t="s">
        <v>209</v>
      </c>
      <c r="D6668">
        <v>169.721504821591</v>
      </c>
    </row>
    <row r="6669" spans="1:4" hidden="1" x14ac:dyDescent="0.3">
      <c r="A6669">
        <v>6667</v>
      </c>
      <c r="B6669" t="s">
        <v>8735</v>
      </c>
      <c r="C6669" t="s">
        <v>211</v>
      </c>
      <c r="D6669">
        <v>88.377979851292096</v>
      </c>
    </row>
    <row r="6670" spans="1:4" hidden="1" x14ac:dyDescent="0.3">
      <c r="A6670">
        <v>6668</v>
      </c>
      <c r="B6670" s="1" t="s">
        <v>8736</v>
      </c>
      <c r="C6670" t="s">
        <v>213</v>
      </c>
      <c r="D6670" s="1" t="s">
        <v>8737</v>
      </c>
    </row>
    <row r="6671" spans="1:4" hidden="1" x14ac:dyDescent="0.3">
      <c r="A6671">
        <v>6669</v>
      </c>
      <c r="B6671" t="s">
        <v>8738</v>
      </c>
      <c r="C6671" t="s">
        <v>216</v>
      </c>
      <c r="D6671">
        <v>75667218.925257906</v>
      </c>
    </row>
    <row r="6672" spans="1:4" hidden="1" x14ac:dyDescent="0.3">
      <c r="A6672">
        <v>6670</v>
      </c>
      <c r="B6672" t="s">
        <v>8739</v>
      </c>
      <c r="C6672" t="s">
        <v>218</v>
      </c>
      <c r="D6672">
        <v>39401700.783936203</v>
      </c>
    </row>
    <row r="6673" spans="1:4" hidden="1" x14ac:dyDescent="0.3">
      <c r="A6673">
        <v>6671</v>
      </c>
      <c r="B6673" t="s">
        <v>8740</v>
      </c>
      <c r="C6673" t="s">
        <v>220</v>
      </c>
      <c r="D6673">
        <v>26740450.3708282</v>
      </c>
    </row>
    <row r="6674" spans="1:4" hidden="1" x14ac:dyDescent="0.3">
      <c r="A6674">
        <v>6672</v>
      </c>
      <c r="B6674" s="1" t="s">
        <v>8741</v>
      </c>
      <c r="C6674" t="s">
        <v>222</v>
      </c>
      <c r="D6674" s="1" t="s">
        <v>8742</v>
      </c>
    </row>
    <row r="6675" spans="1:4" hidden="1" x14ac:dyDescent="0.3">
      <c r="A6675">
        <v>6673</v>
      </c>
      <c r="B6675" t="s">
        <v>8743</v>
      </c>
      <c r="C6675" t="s">
        <v>225</v>
      </c>
      <c r="D6675">
        <v>101174464.457899</v>
      </c>
    </row>
    <row r="6676" spans="1:4" hidden="1" x14ac:dyDescent="0.3">
      <c r="A6676">
        <v>6674</v>
      </c>
      <c r="B6676" t="s">
        <v>8744</v>
      </c>
      <c r="C6676" t="s">
        <v>227</v>
      </c>
      <c r="D6676">
        <v>226.93423388898299</v>
      </c>
    </row>
    <row r="6677" spans="1:4" hidden="1" x14ac:dyDescent="0.3">
      <c r="A6677">
        <v>6675</v>
      </c>
      <c r="B6677" s="1" t="s">
        <v>8745</v>
      </c>
      <c r="C6677" t="s">
        <v>229</v>
      </c>
      <c r="D6677" s="1" t="s">
        <v>8746</v>
      </c>
    </row>
    <row r="6678" spans="1:4" hidden="1" x14ac:dyDescent="0.3">
      <c r="A6678">
        <v>6676</v>
      </c>
      <c r="B6678" t="s">
        <v>8747</v>
      </c>
      <c r="C6678" t="s">
        <v>112</v>
      </c>
      <c r="D6678">
        <v>-58.433564601722303</v>
      </c>
    </row>
    <row r="6679" spans="1:4" hidden="1" x14ac:dyDescent="0.3">
      <c r="A6679">
        <v>6677</v>
      </c>
      <c r="B6679" t="s">
        <v>8748</v>
      </c>
      <c r="C6679" t="s">
        <v>114</v>
      </c>
      <c r="D6679">
        <v>-12.2737175973751</v>
      </c>
    </row>
    <row r="6680" spans="1:4" hidden="1" x14ac:dyDescent="0.3">
      <c r="A6680">
        <v>6678</v>
      </c>
      <c r="B6680" s="1" t="s">
        <v>8749</v>
      </c>
      <c r="C6680" t="s">
        <v>116</v>
      </c>
      <c r="D6680" s="1" t="s">
        <v>8750</v>
      </c>
    </row>
    <row r="6681" spans="1:4" hidden="1" x14ac:dyDescent="0.3">
      <c r="A6681">
        <v>6679</v>
      </c>
      <c r="B6681" t="s">
        <v>8751</v>
      </c>
      <c r="C6681" t="s">
        <v>119</v>
      </c>
      <c r="D6681">
        <v>75667218.925257906</v>
      </c>
    </row>
    <row r="6682" spans="1:4" hidden="1" x14ac:dyDescent="0.3">
      <c r="A6682">
        <v>6680</v>
      </c>
      <c r="B6682" t="s">
        <v>8752</v>
      </c>
      <c r="C6682" t="s">
        <v>121</v>
      </c>
      <c r="D6682">
        <v>39401700.783936203</v>
      </c>
    </row>
    <row r="6683" spans="1:4" hidden="1" x14ac:dyDescent="0.3">
      <c r="A6683">
        <v>6681</v>
      </c>
      <c r="B6683" s="1" t="s">
        <v>8753</v>
      </c>
      <c r="C6683" t="s">
        <v>123</v>
      </c>
      <c r="D6683" s="1" t="s">
        <v>8754</v>
      </c>
    </row>
    <row r="6684" spans="1:4" hidden="1" x14ac:dyDescent="0.3">
      <c r="A6684">
        <v>6682</v>
      </c>
      <c r="B6684" t="s">
        <v>8755</v>
      </c>
      <c r="C6684" t="s">
        <v>126</v>
      </c>
      <c r="D6684">
        <v>0.74777698926733804</v>
      </c>
    </row>
    <row r="6685" spans="1:4" hidden="1" x14ac:dyDescent="0.3">
      <c r="A6685">
        <v>6683</v>
      </c>
      <c r="B6685" t="s">
        <v>8756</v>
      </c>
      <c r="C6685" t="s">
        <v>128</v>
      </c>
      <c r="D6685">
        <v>0.38938506796883599</v>
      </c>
    </row>
    <row r="6686" spans="1:4" hidden="1" x14ac:dyDescent="0.3">
      <c r="A6686">
        <v>6684</v>
      </c>
      <c r="B6686" s="1" t="s">
        <v>8757</v>
      </c>
      <c r="C6686" t="s">
        <v>130</v>
      </c>
      <c r="D6686" s="1" t="s">
        <v>8758</v>
      </c>
    </row>
    <row r="6687" spans="1:4" hidden="1" x14ac:dyDescent="0.3">
      <c r="A6687">
        <v>6685</v>
      </c>
      <c r="B6687" s="1" t="s">
        <v>8759</v>
      </c>
      <c r="C6687" t="s">
        <v>4</v>
      </c>
      <c r="D6687" t="s">
        <v>8760</v>
      </c>
    </row>
    <row r="6688" spans="1:4" hidden="1" x14ac:dyDescent="0.3">
      <c r="A6688">
        <v>6686</v>
      </c>
      <c r="B6688" t="s">
        <v>8761</v>
      </c>
      <c r="C6688" t="s">
        <v>7</v>
      </c>
      <c r="D6688">
        <v>1769.57</v>
      </c>
    </row>
    <row r="6689" spans="1:4" hidden="1" x14ac:dyDescent="0.3">
      <c r="A6689">
        <v>6687</v>
      </c>
      <c r="B6689" s="1" t="s">
        <v>8762</v>
      </c>
      <c r="C6689" t="s">
        <v>9</v>
      </c>
      <c r="D6689" s="1" t="s">
        <v>8763</v>
      </c>
    </row>
    <row r="6690" spans="1:4" hidden="1" x14ac:dyDescent="0.3">
      <c r="A6690">
        <v>6688</v>
      </c>
      <c r="B6690" t="s">
        <v>8764</v>
      </c>
      <c r="C6690" t="s">
        <v>14</v>
      </c>
      <c r="D6690">
        <v>98.16015625</v>
      </c>
    </row>
    <row r="6691" spans="1:4" hidden="1" x14ac:dyDescent="0.3">
      <c r="A6691">
        <v>6689</v>
      </c>
      <c r="B6691" t="s">
        <v>8765</v>
      </c>
      <c r="C6691" t="s">
        <v>16</v>
      </c>
      <c r="D6691">
        <v>4.3821132069380297</v>
      </c>
    </row>
    <row r="6692" spans="1:4" hidden="1" x14ac:dyDescent="0.3">
      <c r="A6692">
        <v>6690</v>
      </c>
      <c r="B6692" s="1" t="s">
        <v>8766</v>
      </c>
      <c r="C6692" t="s">
        <v>140</v>
      </c>
      <c r="D6692" s="1" t="s">
        <v>8767</v>
      </c>
    </row>
    <row r="6693" spans="1:4" hidden="1" x14ac:dyDescent="0.3">
      <c r="A6693">
        <v>6691</v>
      </c>
      <c r="B6693" t="s">
        <v>8768</v>
      </c>
      <c r="C6693" t="s">
        <v>22</v>
      </c>
      <c r="D6693">
        <v>65.75</v>
      </c>
    </row>
    <row r="6694" spans="1:4" hidden="1" x14ac:dyDescent="0.3">
      <c r="A6694">
        <v>6692</v>
      </c>
      <c r="B6694" t="s">
        <v>8769</v>
      </c>
      <c r="C6694" t="s">
        <v>24</v>
      </c>
      <c r="D6694">
        <v>6.6145659749109802</v>
      </c>
    </row>
    <row r="6695" spans="1:4" hidden="1" x14ac:dyDescent="0.3">
      <c r="A6695">
        <v>6693</v>
      </c>
      <c r="B6695" s="1" t="s">
        <v>8770</v>
      </c>
      <c r="C6695" t="s">
        <v>145</v>
      </c>
      <c r="D6695" s="1" t="s">
        <v>8771</v>
      </c>
    </row>
    <row r="6696" spans="1:4" hidden="1" x14ac:dyDescent="0.3">
      <c r="A6696">
        <v>6694</v>
      </c>
      <c r="B6696" t="s">
        <v>8772</v>
      </c>
      <c r="C6696" t="s">
        <v>35</v>
      </c>
      <c r="D6696">
        <v>-1.6310245434791599</v>
      </c>
    </row>
    <row r="6697" spans="1:4" hidden="1" x14ac:dyDescent="0.3">
      <c r="A6697">
        <v>6695</v>
      </c>
      <c r="B6697" t="s">
        <v>8773</v>
      </c>
      <c r="C6697" t="s">
        <v>149</v>
      </c>
      <c r="D6697">
        <v>0.75661327518102905</v>
      </c>
    </row>
    <row r="6698" spans="1:4" hidden="1" x14ac:dyDescent="0.3">
      <c r="A6698">
        <v>6696</v>
      </c>
      <c r="B6698" s="1" t="s">
        <v>8774</v>
      </c>
      <c r="C6698" t="s">
        <v>151</v>
      </c>
      <c r="D6698" s="1" t="s">
        <v>8775</v>
      </c>
    </row>
    <row r="6699" spans="1:4" hidden="1" x14ac:dyDescent="0.3">
      <c r="A6699">
        <v>6697</v>
      </c>
      <c r="B6699" t="s">
        <v>8776</v>
      </c>
      <c r="C6699" t="s">
        <v>30</v>
      </c>
      <c r="D6699">
        <v>1.02179102211932</v>
      </c>
    </row>
    <row r="6700" spans="1:4" hidden="1" x14ac:dyDescent="0.3">
      <c r="A6700">
        <v>6698</v>
      </c>
      <c r="B6700" t="s">
        <v>8777</v>
      </c>
      <c r="C6700" t="s">
        <v>32</v>
      </c>
      <c r="D6700">
        <v>0.17274437291582501</v>
      </c>
    </row>
    <row r="6701" spans="1:4" hidden="1" x14ac:dyDescent="0.3">
      <c r="A6701">
        <v>6699</v>
      </c>
      <c r="B6701" s="1" t="s">
        <v>8778</v>
      </c>
      <c r="C6701" t="s">
        <v>155</v>
      </c>
      <c r="D6701" s="1" t="s">
        <v>8779</v>
      </c>
    </row>
    <row r="6702" spans="1:4" hidden="1" x14ac:dyDescent="0.3">
      <c r="A6702">
        <v>6700</v>
      </c>
      <c r="B6702" t="s">
        <v>8780</v>
      </c>
      <c r="C6702" t="s">
        <v>40</v>
      </c>
      <c r="D6702">
        <v>1.6092335213598301</v>
      </c>
    </row>
    <row r="6703" spans="1:4" hidden="1" x14ac:dyDescent="0.3">
      <c r="A6703">
        <v>6701</v>
      </c>
      <c r="B6703" t="s">
        <v>8781</v>
      </c>
      <c r="C6703" t="s">
        <v>42</v>
      </c>
      <c r="D6703">
        <v>0.148934789745888</v>
      </c>
    </row>
    <row r="6704" spans="1:4" hidden="1" x14ac:dyDescent="0.3">
      <c r="A6704">
        <v>6702</v>
      </c>
      <c r="B6704" s="1" t="s">
        <v>8782</v>
      </c>
      <c r="C6704" t="s">
        <v>159</v>
      </c>
      <c r="D6704" s="1" t="s">
        <v>8783</v>
      </c>
    </row>
    <row r="6705" spans="1:4" hidden="1" x14ac:dyDescent="0.3">
      <c r="A6705">
        <v>6703</v>
      </c>
      <c r="B6705" t="s">
        <v>8784</v>
      </c>
      <c r="C6705" t="s">
        <v>161</v>
      </c>
      <c r="D6705">
        <v>1.00718290218845</v>
      </c>
    </row>
    <row r="6706" spans="1:4" hidden="1" x14ac:dyDescent="0.3">
      <c r="A6706">
        <v>6704</v>
      </c>
      <c r="B6706" t="s">
        <v>8785</v>
      </c>
      <c r="C6706" t="s">
        <v>163</v>
      </c>
      <c r="D6706">
        <v>1.0008228342668599</v>
      </c>
    </row>
    <row r="6707" spans="1:4" hidden="1" x14ac:dyDescent="0.3">
      <c r="A6707">
        <v>6705</v>
      </c>
      <c r="B6707" s="1" t="s">
        <v>8786</v>
      </c>
      <c r="C6707" t="s">
        <v>165</v>
      </c>
      <c r="D6707" s="1" t="s">
        <v>8787</v>
      </c>
    </row>
    <row r="6708" spans="1:4" hidden="1" x14ac:dyDescent="0.3">
      <c r="A6708">
        <v>6706</v>
      </c>
      <c r="B6708" t="s">
        <v>8788</v>
      </c>
      <c r="C6708" t="s">
        <v>168</v>
      </c>
      <c r="D6708">
        <v>1.0017535501427799</v>
      </c>
    </row>
    <row r="6709" spans="1:4" hidden="1" x14ac:dyDescent="0.3">
      <c r="A6709">
        <v>6707</v>
      </c>
      <c r="B6709" t="s">
        <v>8789</v>
      </c>
      <c r="C6709" t="s">
        <v>170</v>
      </c>
      <c r="D6709">
        <v>0.99982963295173299</v>
      </c>
    </row>
    <row r="6710" spans="1:4" hidden="1" x14ac:dyDescent="0.3">
      <c r="A6710">
        <v>6708</v>
      </c>
      <c r="B6710" s="1" t="s">
        <v>8790</v>
      </c>
      <c r="C6710" t="s">
        <v>172</v>
      </c>
      <c r="D6710" s="1" t="s">
        <v>8791</v>
      </c>
    </row>
    <row r="6711" spans="1:4" hidden="1" x14ac:dyDescent="0.3">
      <c r="A6711">
        <v>6709</v>
      </c>
      <c r="B6711" s="1" t="s">
        <v>8792</v>
      </c>
      <c r="C6711" t="s">
        <v>55</v>
      </c>
      <c r="D6711" s="1" t="s">
        <v>8793</v>
      </c>
    </row>
    <row r="6712" spans="1:4" hidden="1" x14ac:dyDescent="0.3">
      <c r="A6712">
        <v>6710</v>
      </c>
      <c r="B6712" s="1" t="s">
        <v>8794</v>
      </c>
      <c r="C6712" t="s">
        <v>52</v>
      </c>
      <c r="D6712" s="1" t="s">
        <v>8795</v>
      </c>
    </row>
    <row r="6713" spans="1:4" hidden="1" x14ac:dyDescent="0.3">
      <c r="A6713">
        <v>6711</v>
      </c>
      <c r="B6713" s="1" t="s">
        <v>8796</v>
      </c>
      <c r="C6713" t="s">
        <v>58</v>
      </c>
      <c r="D6713" s="1" t="s">
        <v>8797</v>
      </c>
    </row>
    <row r="6714" spans="1:4" hidden="1" x14ac:dyDescent="0.3">
      <c r="A6714">
        <v>6712</v>
      </c>
      <c r="B6714" t="s">
        <v>8798</v>
      </c>
      <c r="C6714" t="s">
        <v>61</v>
      </c>
      <c r="D6714">
        <v>142043839.02947101</v>
      </c>
    </row>
    <row r="6715" spans="1:4" hidden="1" x14ac:dyDescent="0.3">
      <c r="A6715">
        <v>6713</v>
      </c>
      <c r="B6715" t="s">
        <v>8799</v>
      </c>
      <c r="C6715" t="s">
        <v>63</v>
      </c>
      <c r="D6715">
        <v>76210729.1576702</v>
      </c>
    </row>
    <row r="6716" spans="1:4" hidden="1" x14ac:dyDescent="0.3">
      <c r="A6716">
        <v>6714</v>
      </c>
      <c r="B6716" t="s">
        <v>8800</v>
      </c>
      <c r="C6716" t="s">
        <v>65</v>
      </c>
      <c r="D6716">
        <v>39434121.8535138</v>
      </c>
    </row>
    <row r="6717" spans="1:4" hidden="1" x14ac:dyDescent="0.3">
      <c r="A6717">
        <v>6715</v>
      </c>
      <c r="B6717" s="1" t="s">
        <v>8801</v>
      </c>
      <c r="C6717" t="s">
        <v>67</v>
      </c>
      <c r="D6717" s="1" t="s">
        <v>8802</v>
      </c>
    </row>
    <row r="6718" spans="1:4" hidden="1" x14ac:dyDescent="0.3">
      <c r="A6718">
        <v>6716</v>
      </c>
      <c r="B6718" s="1" t="s">
        <v>8803</v>
      </c>
      <c r="C6718" t="s">
        <v>70</v>
      </c>
      <c r="D6718" s="1" t="s">
        <v>8804</v>
      </c>
    </row>
    <row r="6719" spans="1:4" hidden="1" x14ac:dyDescent="0.3">
      <c r="A6719">
        <v>6717</v>
      </c>
      <c r="B6719" t="s">
        <v>8805</v>
      </c>
      <c r="C6719" t="s">
        <v>73</v>
      </c>
      <c r="D6719">
        <v>1.00014912910642</v>
      </c>
    </row>
    <row r="6720" spans="1:4" hidden="1" x14ac:dyDescent="0.3">
      <c r="A6720">
        <v>6718</v>
      </c>
      <c r="B6720" t="s">
        <v>74</v>
      </c>
      <c r="C6720" t="s">
        <v>75</v>
      </c>
      <c r="D6720">
        <v>2.7397260273972599E-3</v>
      </c>
    </row>
    <row r="6721" spans="1:4" hidden="1" x14ac:dyDescent="0.3">
      <c r="A6721">
        <v>6719</v>
      </c>
      <c r="B6721" t="s">
        <v>76</v>
      </c>
      <c r="C6721" t="s">
        <v>77</v>
      </c>
      <c r="D6721">
        <v>0</v>
      </c>
    </row>
    <row r="6722" spans="1:4" hidden="1" x14ac:dyDescent="0.3">
      <c r="A6722">
        <v>6720</v>
      </c>
      <c r="B6722" t="s">
        <v>1459</v>
      </c>
      <c r="C6722" t="s">
        <v>79</v>
      </c>
      <c r="D6722" s="2">
        <v>-2.2204460492503101E-16</v>
      </c>
    </row>
    <row r="6723" spans="1:4" hidden="1" x14ac:dyDescent="0.3">
      <c r="A6723">
        <v>6721</v>
      </c>
      <c r="B6723" s="1" t="s">
        <v>8806</v>
      </c>
      <c r="C6723" t="s">
        <v>81</v>
      </c>
      <c r="D6723" s="1" t="s">
        <v>8807</v>
      </c>
    </row>
    <row r="6724" spans="1:4" hidden="1" x14ac:dyDescent="0.3">
      <c r="A6724">
        <v>6722</v>
      </c>
      <c r="B6724" t="s">
        <v>8808</v>
      </c>
      <c r="C6724" t="s">
        <v>84</v>
      </c>
      <c r="D6724">
        <v>1.0001875657216901</v>
      </c>
    </row>
    <row r="6725" spans="1:4" hidden="1" x14ac:dyDescent="0.3">
      <c r="A6725">
        <v>6723</v>
      </c>
      <c r="B6725" s="1" t="s">
        <v>8809</v>
      </c>
      <c r="C6725" t="s">
        <v>86</v>
      </c>
      <c r="D6725" s="1" t="s">
        <v>8810</v>
      </c>
    </row>
    <row r="6726" spans="1:4" hidden="1" x14ac:dyDescent="0.3">
      <c r="A6726">
        <v>6724</v>
      </c>
      <c r="B6726" t="s">
        <v>8811</v>
      </c>
      <c r="C6726" t="s">
        <v>89</v>
      </c>
      <c r="D6726">
        <v>101170803.308716</v>
      </c>
    </row>
    <row r="6727" spans="1:4" hidden="1" x14ac:dyDescent="0.3">
      <c r="A6727">
        <v>6725</v>
      </c>
      <c r="B6727" s="1" t="s">
        <v>8812</v>
      </c>
      <c r="C6727" t="s">
        <v>91</v>
      </c>
      <c r="D6727" s="1" t="s">
        <v>8746</v>
      </c>
    </row>
    <row r="6728" spans="1:4" hidden="1" x14ac:dyDescent="0.3">
      <c r="A6728">
        <v>6726</v>
      </c>
      <c r="B6728" t="s">
        <v>8813</v>
      </c>
      <c r="C6728" t="s">
        <v>94</v>
      </c>
      <c r="D6728">
        <v>76210729.1576702</v>
      </c>
    </row>
    <row r="6729" spans="1:4" hidden="1" x14ac:dyDescent="0.3">
      <c r="A6729">
        <v>6727</v>
      </c>
      <c r="B6729" t="s">
        <v>8814</v>
      </c>
      <c r="C6729" t="s">
        <v>96</v>
      </c>
      <c r="D6729">
        <v>39434121.8535138</v>
      </c>
    </row>
    <row r="6730" spans="1:4" hidden="1" x14ac:dyDescent="0.3">
      <c r="A6730">
        <v>6728</v>
      </c>
      <c r="B6730" t="s">
        <v>8815</v>
      </c>
      <c r="C6730" t="s">
        <v>98</v>
      </c>
      <c r="D6730">
        <v>26398988.018286798</v>
      </c>
    </row>
    <row r="6731" spans="1:4" hidden="1" x14ac:dyDescent="0.3">
      <c r="A6731">
        <v>6729</v>
      </c>
      <c r="B6731" s="1" t="s">
        <v>8816</v>
      </c>
      <c r="C6731" t="s">
        <v>100</v>
      </c>
      <c r="D6731" s="1" t="s">
        <v>8817</v>
      </c>
    </row>
    <row r="6732" spans="1:4" hidden="1" x14ac:dyDescent="0.3">
      <c r="A6732">
        <v>6730</v>
      </c>
      <c r="B6732" t="s">
        <v>8818</v>
      </c>
      <c r="C6732" t="s">
        <v>103</v>
      </c>
      <c r="D6732">
        <v>8.51780449804454E-3</v>
      </c>
    </row>
    <row r="6733" spans="1:4" hidden="1" x14ac:dyDescent="0.3">
      <c r="A6733">
        <v>6731</v>
      </c>
      <c r="B6733" t="s">
        <v>8819</v>
      </c>
      <c r="C6733" t="s">
        <v>105</v>
      </c>
      <c r="D6733">
        <v>1.35653821053913E-3</v>
      </c>
    </row>
    <row r="6734" spans="1:4" hidden="1" x14ac:dyDescent="0.3">
      <c r="A6734">
        <v>6732</v>
      </c>
      <c r="B6734" t="s">
        <v>8820</v>
      </c>
      <c r="C6734" t="s">
        <v>107</v>
      </c>
      <c r="D6734">
        <v>1.06091875660465E-2</v>
      </c>
    </row>
    <row r="6735" spans="1:4" hidden="1" x14ac:dyDescent="0.3">
      <c r="A6735">
        <v>6733</v>
      </c>
      <c r="B6735" s="1" t="s">
        <v>8821</v>
      </c>
      <c r="C6735" t="s">
        <v>109</v>
      </c>
      <c r="D6735" s="1" t="s">
        <v>8822</v>
      </c>
    </row>
    <row r="6736" spans="1:4" x14ac:dyDescent="0.3">
      <c r="A6736">
        <v>6734</v>
      </c>
      <c r="B6736" t="s">
        <v>8823</v>
      </c>
      <c r="C6736" t="s">
        <v>207</v>
      </c>
      <c r="D6736">
        <v>142045191.53885001</v>
      </c>
    </row>
    <row r="6737" spans="1:4" hidden="1" x14ac:dyDescent="0.3">
      <c r="A6737">
        <v>6735</v>
      </c>
      <c r="B6737" t="s">
        <v>8824</v>
      </c>
      <c r="C6737" t="s">
        <v>209</v>
      </c>
      <c r="D6737">
        <v>-2928.8814325604299</v>
      </c>
    </row>
    <row r="6738" spans="1:4" hidden="1" x14ac:dyDescent="0.3">
      <c r="A6738">
        <v>6736</v>
      </c>
      <c r="B6738" t="s">
        <v>8825</v>
      </c>
      <c r="C6738" t="s">
        <v>211</v>
      </c>
      <c r="D6738">
        <v>-1515.49924656031</v>
      </c>
    </row>
    <row r="6739" spans="1:4" hidden="1" x14ac:dyDescent="0.3">
      <c r="A6739">
        <v>6737</v>
      </c>
      <c r="B6739" s="1" t="s">
        <v>8826</v>
      </c>
      <c r="C6739" t="s">
        <v>213</v>
      </c>
      <c r="D6739" s="1" t="s">
        <v>8827</v>
      </c>
    </row>
    <row r="6740" spans="1:4" hidden="1" x14ac:dyDescent="0.3">
      <c r="A6740">
        <v>6738</v>
      </c>
      <c r="B6740" t="s">
        <v>8828</v>
      </c>
      <c r="C6740" t="s">
        <v>216</v>
      </c>
      <c r="D6740">
        <v>76214587.830194101</v>
      </c>
    </row>
    <row r="6741" spans="1:4" hidden="1" x14ac:dyDescent="0.3">
      <c r="A6741">
        <v>6739</v>
      </c>
      <c r="B6741" t="s">
        <v>8829</v>
      </c>
      <c r="C6741" t="s">
        <v>218</v>
      </c>
      <c r="D6741">
        <v>39435925.657322101</v>
      </c>
    </row>
    <row r="6742" spans="1:4" hidden="1" x14ac:dyDescent="0.3">
      <c r="A6742">
        <v>6740</v>
      </c>
      <c r="B6742" t="s">
        <v>8830</v>
      </c>
      <c r="C6742" t="s">
        <v>220</v>
      </c>
      <c r="D6742">
        <v>26400136.973628201</v>
      </c>
    </row>
    <row r="6743" spans="1:4" hidden="1" x14ac:dyDescent="0.3">
      <c r="A6743">
        <v>6741</v>
      </c>
      <c r="B6743" s="1" t="s">
        <v>8831</v>
      </c>
      <c r="C6743" t="s">
        <v>222</v>
      </c>
      <c r="D6743" s="1" t="s">
        <v>8832</v>
      </c>
    </row>
    <row r="6744" spans="1:4" hidden="1" x14ac:dyDescent="0.3">
      <c r="A6744">
        <v>6742</v>
      </c>
      <c r="B6744" t="s">
        <v>8833</v>
      </c>
      <c r="C6744" t="s">
        <v>225</v>
      </c>
      <c r="D6744">
        <v>101174691.392133</v>
      </c>
    </row>
    <row r="6745" spans="1:4" hidden="1" x14ac:dyDescent="0.3">
      <c r="A6745">
        <v>6743</v>
      </c>
      <c r="B6745" t="s">
        <v>8834</v>
      </c>
      <c r="C6745" t="s">
        <v>227</v>
      </c>
      <c r="D6745">
        <v>-3888.08341683447</v>
      </c>
    </row>
    <row r="6746" spans="1:4" hidden="1" x14ac:dyDescent="0.3">
      <c r="A6746">
        <v>6744</v>
      </c>
      <c r="B6746" s="1" t="s">
        <v>8835</v>
      </c>
      <c r="C6746" t="s">
        <v>229</v>
      </c>
      <c r="D6746" s="1" t="s">
        <v>8836</v>
      </c>
    </row>
    <row r="6747" spans="1:4" hidden="1" x14ac:dyDescent="0.3">
      <c r="A6747">
        <v>6745</v>
      </c>
      <c r="B6747" t="s">
        <v>8837</v>
      </c>
      <c r="C6747" t="s">
        <v>112</v>
      </c>
      <c r="D6747">
        <v>929.79109139150796</v>
      </c>
    </row>
    <row r="6748" spans="1:4" hidden="1" x14ac:dyDescent="0.3">
      <c r="A6748">
        <v>6746</v>
      </c>
      <c r="B6748" t="s">
        <v>8838</v>
      </c>
      <c r="C6748" t="s">
        <v>114</v>
      </c>
      <c r="D6748">
        <v>288.304561707</v>
      </c>
    </row>
    <row r="6749" spans="1:4" hidden="1" x14ac:dyDescent="0.3">
      <c r="A6749">
        <v>6747</v>
      </c>
      <c r="B6749" s="1" t="s">
        <v>8839</v>
      </c>
      <c r="C6749" t="s">
        <v>116</v>
      </c>
      <c r="D6749" s="1" t="s">
        <v>8840</v>
      </c>
    </row>
    <row r="6750" spans="1:4" hidden="1" x14ac:dyDescent="0.3">
      <c r="A6750">
        <v>6748</v>
      </c>
      <c r="B6750" t="s">
        <v>8841</v>
      </c>
      <c r="C6750" t="s">
        <v>119</v>
      </c>
      <c r="D6750">
        <v>76214587.830194101</v>
      </c>
    </row>
    <row r="6751" spans="1:4" hidden="1" x14ac:dyDescent="0.3">
      <c r="A6751">
        <v>6749</v>
      </c>
      <c r="B6751" t="s">
        <v>8842</v>
      </c>
      <c r="C6751" t="s">
        <v>121</v>
      </c>
      <c r="D6751">
        <v>39435925.657322101</v>
      </c>
    </row>
    <row r="6752" spans="1:4" hidden="1" x14ac:dyDescent="0.3">
      <c r="A6752">
        <v>6750</v>
      </c>
      <c r="B6752" s="1" t="s">
        <v>8843</v>
      </c>
      <c r="C6752" t="s">
        <v>123</v>
      </c>
      <c r="D6752" s="1" t="s">
        <v>8844</v>
      </c>
    </row>
    <row r="6753" spans="1:4" hidden="1" x14ac:dyDescent="0.3">
      <c r="A6753">
        <v>6751</v>
      </c>
      <c r="B6753" t="s">
        <v>8845</v>
      </c>
      <c r="C6753" t="s">
        <v>126</v>
      </c>
      <c r="D6753">
        <v>0.75315569752006095</v>
      </c>
    </row>
    <row r="6754" spans="1:4" hidden="1" x14ac:dyDescent="0.3">
      <c r="A6754">
        <v>6752</v>
      </c>
      <c r="B6754" t="s">
        <v>8846</v>
      </c>
      <c r="C6754" t="s">
        <v>128</v>
      </c>
      <c r="D6754">
        <v>0.389707442385758</v>
      </c>
    </row>
    <row r="6755" spans="1:4" hidden="1" x14ac:dyDescent="0.3">
      <c r="A6755">
        <v>6753</v>
      </c>
      <c r="B6755" s="1" t="s">
        <v>8847</v>
      </c>
      <c r="C6755" t="s">
        <v>130</v>
      </c>
      <c r="D6755" s="1" t="s">
        <v>8848</v>
      </c>
    </row>
    <row r="6756" spans="1:4" hidden="1" x14ac:dyDescent="0.3">
      <c r="A6756">
        <v>6754</v>
      </c>
      <c r="B6756" s="1" t="s">
        <v>8849</v>
      </c>
      <c r="C6756" t="s">
        <v>4</v>
      </c>
      <c r="D6756" t="s">
        <v>8850</v>
      </c>
    </row>
    <row r="6757" spans="1:4" hidden="1" x14ac:dyDescent="0.3">
      <c r="A6757">
        <v>6755</v>
      </c>
      <c r="B6757" t="s">
        <v>8851</v>
      </c>
      <c r="C6757" t="s">
        <v>7</v>
      </c>
      <c r="D6757">
        <v>1760.18</v>
      </c>
    </row>
    <row r="6758" spans="1:4" hidden="1" x14ac:dyDescent="0.3">
      <c r="A6758">
        <v>6756</v>
      </c>
      <c r="B6758" s="1" t="s">
        <v>8852</v>
      </c>
      <c r="C6758" t="s">
        <v>9</v>
      </c>
      <c r="D6758" s="1" t="s">
        <v>8853</v>
      </c>
    </row>
    <row r="6759" spans="1:4" hidden="1" x14ac:dyDescent="0.3">
      <c r="A6759">
        <v>6757</v>
      </c>
      <c r="B6759" t="s">
        <v>2942</v>
      </c>
      <c r="C6759" t="s">
        <v>14</v>
      </c>
      <c r="D6759">
        <v>98.06640625</v>
      </c>
    </row>
    <row r="6760" spans="1:4" hidden="1" x14ac:dyDescent="0.3">
      <c r="A6760">
        <v>6758</v>
      </c>
      <c r="B6760" t="s">
        <v>8854</v>
      </c>
      <c r="C6760" t="s">
        <v>16</v>
      </c>
      <c r="D6760">
        <v>4.37827100638816</v>
      </c>
    </row>
    <row r="6761" spans="1:4" hidden="1" x14ac:dyDescent="0.3">
      <c r="A6761">
        <v>6759</v>
      </c>
      <c r="B6761" s="1" t="s">
        <v>8855</v>
      </c>
      <c r="C6761" t="s">
        <v>140</v>
      </c>
      <c r="D6761" s="1" t="s">
        <v>8856</v>
      </c>
    </row>
    <row r="6762" spans="1:4" hidden="1" x14ac:dyDescent="0.3">
      <c r="A6762">
        <v>6760</v>
      </c>
      <c r="B6762" t="s">
        <v>8857</v>
      </c>
      <c r="C6762" t="s">
        <v>22</v>
      </c>
      <c r="D6762">
        <v>65.8</v>
      </c>
    </row>
    <row r="6763" spans="1:4" hidden="1" x14ac:dyDescent="0.3">
      <c r="A6763">
        <v>6761</v>
      </c>
      <c r="B6763" t="s">
        <v>8858</v>
      </c>
      <c r="C6763" t="s">
        <v>24</v>
      </c>
      <c r="D6763">
        <v>6.5823901264398401</v>
      </c>
    </row>
    <row r="6764" spans="1:4" hidden="1" x14ac:dyDescent="0.3">
      <c r="A6764">
        <v>6762</v>
      </c>
      <c r="B6764" s="1" t="s">
        <v>8859</v>
      </c>
      <c r="C6764" t="s">
        <v>145</v>
      </c>
      <c r="D6764" s="1" t="s">
        <v>8860</v>
      </c>
    </row>
    <row r="6765" spans="1:4" hidden="1" x14ac:dyDescent="0.3">
      <c r="A6765">
        <v>6763</v>
      </c>
      <c r="B6765" t="s">
        <v>8861</v>
      </c>
      <c r="C6765" t="s">
        <v>35</v>
      </c>
      <c r="D6765">
        <v>-9.95539106282778E-2</v>
      </c>
    </row>
    <row r="6766" spans="1:4" hidden="1" x14ac:dyDescent="0.3">
      <c r="A6766">
        <v>6764</v>
      </c>
      <c r="B6766" t="s">
        <v>8862</v>
      </c>
      <c r="C6766" t="s">
        <v>149</v>
      </c>
      <c r="D6766">
        <v>0.75655465070444405</v>
      </c>
    </row>
    <row r="6767" spans="1:4" hidden="1" x14ac:dyDescent="0.3">
      <c r="A6767">
        <v>6765</v>
      </c>
      <c r="B6767" s="1" t="s">
        <v>8863</v>
      </c>
      <c r="C6767" t="s">
        <v>151</v>
      </c>
      <c r="D6767" s="1" t="s">
        <v>8864</v>
      </c>
    </row>
    <row r="6768" spans="1:4" hidden="1" x14ac:dyDescent="0.3">
      <c r="A6768">
        <v>6766</v>
      </c>
      <c r="B6768" t="s">
        <v>8865</v>
      </c>
      <c r="C6768" t="s">
        <v>30</v>
      </c>
      <c r="D6768">
        <v>0.42879751694145002</v>
      </c>
    </row>
    <row r="6769" spans="1:4" hidden="1" x14ac:dyDescent="0.3">
      <c r="A6769">
        <v>6767</v>
      </c>
      <c r="B6769" t="s">
        <v>8866</v>
      </c>
      <c r="C6769" t="s">
        <v>32</v>
      </c>
      <c r="D6769">
        <v>0.17237381489220299</v>
      </c>
    </row>
    <row r="6770" spans="1:4" hidden="1" x14ac:dyDescent="0.3">
      <c r="A6770">
        <v>6768</v>
      </c>
      <c r="B6770" s="1" t="s">
        <v>8867</v>
      </c>
      <c r="C6770" t="s">
        <v>155</v>
      </c>
      <c r="D6770" s="1" t="s">
        <v>8868</v>
      </c>
    </row>
    <row r="6771" spans="1:4" hidden="1" x14ac:dyDescent="0.3">
      <c r="A6771">
        <v>6769</v>
      </c>
      <c r="B6771" t="s">
        <v>8869</v>
      </c>
      <c r="C6771" t="s">
        <v>40</v>
      </c>
      <c r="D6771">
        <v>0.67075639368682705</v>
      </c>
    </row>
    <row r="6772" spans="1:4" hidden="1" x14ac:dyDescent="0.3">
      <c r="A6772">
        <v>6770</v>
      </c>
      <c r="B6772" t="s">
        <v>8870</v>
      </c>
      <c r="C6772" t="s">
        <v>42</v>
      </c>
      <c r="D6772">
        <v>0.14940776303990899</v>
      </c>
    </row>
    <row r="6773" spans="1:4" hidden="1" x14ac:dyDescent="0.3">
      <c r="A6773">
        <v>6771</v>
      </c>
      <c r="B6773" s="1" t="s">
        <v>8871</v>
      </c>
      <c r="C6773" t="s">
        <v>159</v>
      </c>
      <c r="D6773" s="1" t="s">
        <v>8872</v>
      </c>
    </row>
    <row r="6774" spans="1:4" hidden="1" x14ac:dyDescent="0.3">
      <c r="A6774">
        <v>6772</v>
      </c>
      <c r="B6774" t="s">
        <v>8873</v>
      </c>
      <c r="C6774" t="s">
        <v>161</v>
      </c>
      <c r="D6774">
        <v>0.99469362613516199</v>
      </c>
    </row>
    <row r="6775" spans="1:4" hidden="1" x14ac:dyDescent="0.3">
      <c r="A6775">
        <v>6773</v>
      </c>
      <c r="B6775" t="s">
        <v>8874</v>
      </c>
      <c r="C6775" t="s">
        <v>163</v>
      </c>
      <c r="D6775">
        <v>0.999048273447947</v>
      </c>
    </row>
    <row r="6776" spans="1:4" hidden="1" x14ac:dyDescent="0.3">
      <c r="A6776">
        <v>6774</v>
      </c>
      <c r="B6776" s="1" t="s">
        <v>8875</v>
      </c>
      <c r="C6776" t="s">
        <v>165</v>
      </c>
      <c r="D6776" s="1" t="s">
        <v>8876</v>
      </c>
    </row>
    <row r="6777" spans="1:4" hidden="1" x14ac:dyDescent="0.3">
      <c r="A6777">
        <v>6775</v>
      </c>
      <c r="B6777" t="s">
        <v>8877</v>
      </c>
      <c r="C6777" t="s">
        <v>168</v>
      </c>
      <c r="D6777">
        <v>0.999966626418339</v>
      </c>
    </row>
    <row r="6778" spans="1:4" hidden="1" x14ac:dyDescent="0.3">
      <c r="A6778">
        <v>6776</v>
      </c>
      <c r="B6778" t="s">
        <v>8878</v>
      </c>
      <c r="C6778" t="s">
        <v>170</v>
      </c>
      <c r="D6778">
        <v>0.99968402489734298</v>
      </c>
    </row>
    <row r="6779" spans="1:4" hidden="1" x14ac:dyDescent="0.3">
      <c r="A6779">
        <v>6777</v>
      </c>
      <c r="B6779" s="1" t="s">
        <v>8879</v>
      </c>
      <c r="C6779" t="s">
        <v>172</v>
      </c>
      <c r="D6779" s="1" t="s">
        <v>8880</v>
      </c>
    </row>
    <row r="6780" spans="1:4" hidden="1" x14ac:dyDescent="0.3">
      <c r="A6780">
        <v>6778</v>
      </c>
      <c r="B6780" s="1" t="s">
        <v>8881</v>
      </c>
      <c r="C6780" t="s">
        <v>55</v>
      </c>
      <c r="D6780" s="1" t="s">
        <v>8882</v>
      </c>
    </row>
    <row r="6781" spans="1:4" hidden="1" x14ac:dyDescent="0.3">
      <c r="A6781">
        <v>6779</v>
      </c>
      <c r="B6781" s="1" t="s">
        <v>8883</v>
      </c>
      <c r="C6781" t="s">
        <v>52</v>
      </c>
      <c r="D6781" s="1" t="s">
        <v>8884</v>
      </c>
    </row>
    <row r="6782" spans="1:4" hidden="1" x14ac:dyDescent="0.3">
      <c r="A6782">
        <v>6780</v>
      </c>
      <c r="B6782" s="1" t="s">
        <v>8885</v>
      </c>
      <c r="C6782" t="s">
        <v>58</v>
      </c>
      <c r="D6782" s="1" t="s">
        <v>8886</v>
      </c>
    </row>
    <row r="6783" spans="1:4" hidden="1" x14ac:dyDescent="0.3">
      <c r="A6783">
        <v>6781</v>
      </c>
      <c r="B6783" t="s">
        <v>8887</v>
      </c>
      <c r="C6783" t="s">
        <v>61</v>
      </c>
      <c r="D6783">
        <v>141615197.77722001</v>
      </c>
    </row>
    <row r="6784" spans="1:4" hidden="1" x14ac:dyDescent="0.3">
      <c r="A6784">
        <v>6782</v>
      </c>
      <c r="B6784" t="s">
        <v>8888</v>
      </c>
      <c r="C6784" t="s">
        <v>63</v>
      </c>
      <c r="D6784">
        <v>75810164.733212695</v>
      </c>
    </row>
    <row r="6785" spans="1:4" hidden="1" x14ac:dyDescent="0.3">
      <c r="A6785">
        <v>6783</v>
      </c>
      <c r="B6785" t="s">
        <v>8889</v>
      </c>
      <c r="C6785" t="s">
        <v>65</v>
      </c>
      <c r="D6785">
        <v>39398393.439769298</v>
      </c>
    </row>
    <row r="6786" spans="1:4" hidden="1" x14ac:dyDescent="0.3">
      <c r="A6786">
        <v>6784</v>
      </c>
      <c r="B6786" s="1" t="s">
        <v>8890</v>
      </c>
      <c r="C6786" t="s">
        <v>67</v>
      </c>
      <c r="D6786" s="1" t="s">
        <v>8891</v>
      </c>
    </row>
    <row r="6787" spans="1:4" hidden="1" x14ac:dyDescent="0.3">
      <c r="A6787">
        <v>6785</v>
      </c>
      <c r="B6787" s="1" t="s">
        <v>8892</v>
      </c>
      <c r="C6787" t="s">
        <v>70</v>
      </c>
      <c r="D6787" s="1" t="s">
        <v>8893</v>
      </c>
    </row>
    <row r="6788" spans="1:4" hidden="1" x14ac:dyDescent="0.3">
      <c r="A6788">
        <v>6786</v>
      </c>
      <c r="B6788" t="s">
        <v>8894</v>
      </c>
      <c r="C6788" t="s">
        <v>73</v>
      </c>
      <c r="D6788">
        <v>1.0001875657216901</v>
      </c>
    </row>
    <row r="6789" spans="1:4" hidden="1" x14ac:dyDescent="0.3">
      <c r="A6789">
        <v>6787</v>
      </c>
      <c r="B6789" t="s">
        <v>74</v>
      </c>
      <c r="C6789" t="s">
        <v>75</v>
      </c>
      <c r="D6789">
        <v>2.7397260273972599E-3</v>
      </c>
    </row>
    <row r="6790" spans="1:4" hidden="1" x14ac:dyDescent="0.3">
      <c r="A6790">
        <v>6788</v>
      </c>
      <c r="B6790" t="s">
        <v>76</v>
      </c>
      <c r="C6790" t="s">
        <v>77</v>
      </c>
      <c r="D6790">
        <v>0</v>
      </c>
    </row>
    <row r="6791" spans="1:4" hidden="1" x14ac:dyDescent="0.3">
      <c r="A6791">
        <v>6789</v>
      </c>
      <c r="B6791" t="s">
        <v>650</v>
      </c>
      <c r="C6791" t="s">
        <v>79</v>
      </c>
      <c r="D6791" s="2">
        <v>2.2204460492503101E-16</v>
      </c>
    </row>
    <row r="6792" spans="1:4" hidden="1" x14ac:dyDescent="0.3">
      <c r="A6792">
        <v>6790</v>
      </c>
      <c r="B6792" s="1" t="s">
        <v>8895</v>
      </c>
      <c r="C6792" t="s">
        <v>81</v>
      </c>
      <c r="D6792" s="1" t="s">
        <v>8896</v>
      </c>
    </row>
    <row r="6793" spans="1:4" hidden="1" x14ac:dyDescent="0.3">
      <c r="A6793">
        <v>6791</v>
      </c>
      <c r="B6793" t="s">
        <v>8897</v>
      </c>
      <c r="C6793" t="s">
        <v>84</v>
      </c>
      <c r="D6793">
        <v>1.0001916681801</v>
      </c>
    </row>
    <row r="6794" spans="1:4" hidden="1" x14ac:dyDescent="0.3">
      <c r="A6794">
        <v>6792</v>
      </c>
      <c r="B6794" s="1" t="s">
        <v>8898</v>
      </c>
      <c r="C6794" t="s">
        <v>86</v>
      </c>
      <c r="D6794" s="1" t="s">
        <v>8899</v>
      </c>
    </row>
    <row r="6795" spans="1:4" hidden="1" x14ac:dyDescent="0.3">
      <c r="A6795">
        <v>6793</v>
      </c>
      <c r="B6795" t="s">
        <v>8900</v>
      </c>
      <c r="C6795" t="s">
        <v>89</v>
      </c>
      <c r="D6795">
        <v>101170388.339239</v>
      </c>
    </row>
    <row r="6796" spans="1:4" hidden="1" x14ac:dyDescent="0.3">
      <c r="A6796">
        <v>6794</v>
      </c>
      <c r="B6796" s="1" t="s">
        <v>8901</v>
      </c>
      <c r="C6796" t="s">
        <v>91</v>
      </c>
      <c r="D6796" s="1" t="s">
        <v>8836</v>
      </c>
    </row>
    <row r="6797" spans="1:4" hidden="1" x14ac:dyDescent="0.3">
      <c r="A6797">
        <v>6795</v>
      </c>
      <c r="B6797" t="s">
        <v>8902</v>
      </c>
      <c r="C6797" t="s">
        <v>94</v>
      </c>
      <c r="D6797">
        <v>75810164.733212695</v>
      </c>
    </row>
    <row r="6798" spans="1:4" hidden="1" x14ac:dyDescent="0.3">
      <c r="A6798">
        <v>6796</v>
      </c>
      <c r="B6798" t="s">
        <v>8903</v>
      </c>
      <c r="C6798" t="s">
        <v>96</v>
      </c>
      <c r="D6798">
        <v>39398393.439769298</v>
      </c>
    </row>
    <row r="6799" spans="1:4" hidden="1" x14ac:dyDescent="0.3">
      <c r="A6799">
        <v>6797</v>
      </c>
      <c r="B6799" t="s">
        <v>8904</v>
      </c>
      <c r="C6799" t="s">
        <v>98</v>
      </c>
      <c r="D6799">
        <v>26406639.604238302</v>
      </c>
    </row>
    <row r="6800" spans="1:4" hidden="1" x14ac:dyDescent="0.3">
      <c r="A6800">
        <v>6798</v>
      </c>
      <c r="B6800" s="1" t="s">
        <v>8905</v>
      </c>
      <c r="C6800" t="s">
        <v>100</v>
      </c>
      <c r="D6800" s="1" t="s">
        <v>8906</v>
      </c>
    </row>
    <row r="6801" spans="1:4" hidden="1" x14ac:dyDescent="0.3">
      <c r="A6801">
        <v>6799</v>
      </c>
      <c r="B6801" t="s">
        <v>8907</v>
      </c>
      <c r="C6801" t="s">
        <v>103</v>
      </c>
      <c r="D6801">
        <v>8.50143979471908E-3</v>
      </c>
    </row>
    <row r="6802" spans="1:4" hidden="1" x14ac:dyDescent="0.3">
      <c r="A6802">
        <v>6800</v>
      </c>
      <c r="B6802" t="s">
        <v>8908</v>
      </c>
      <c r="C6802" t="s">
        <v>105</v>
      </c>
      <c r="D6802">
        <v>1.3522178452973E-3</v>
      </c>
    </row>
    <row r="6803" spans="1:4" hidden="1" x14ac:dyDescent="0.3">
      <c r="A6803">
        <v>6801</v>
      </c>
      <c r="B6803" t="s">
        <v>8909</v>
      </c>
      <c r="C6803" t="s">
        <v>107</v>
      </c>
      <c r="D6803">
        <v>1.0581062202176E-2</v>
      </c>
    </row>
    <row r="6804" spans="1:4" hidden="1" x14ac:dyDescent="0.3">
      <c r="A6804">
        <v>6802</v>
      </c>
      <c r="B6804" s="1" t="s">
        <v>8910</v>
      </c>
      <c r="C6804" t="s">
        <v>109</v>
      </c>
      <c r="D6804" s="1" t="s">
        <v>8911</v>
      </c>
    </row>
    <row r="6805" spans="1:4" x14ac:dyDescent="0.3">
      <c r="A6805">
        <v>6803</v>
      </c>
      <c r="B6805" t="s">
        <v>8912</v>
      </c>
      <c r="C6805" t="s">
        <v>207</v>
      </c>
      <c r="D6805">
        <v>141615342.24096799</v>
      </c>
    </row>
    <row r="6806" spans="1:4" hidden="1" x14ac:dyDescent="0.3">
      <c r="A6806">
        <v>6804</v>
      </c>
      <c r="B6806" t="s">
        <v>8913</v>
      </c>
      <c r="C6806" t="s">
        <v>209</v>
      </c>
      <c r="D6806">
        <v>-310.95018061969398</v>
      </c>
    </row>
    <row r="6807" spans="1:4" hidden="1" x14ac:dyDescent="0.3">
      <c r="A6807">
        <v>6805</v>
      </c>
      <c r="B6807" t="s">
        <v>8914</v>
      </c>
      <c r="C6807" t="s">
        <v>211</v>
      </c>
      <c r="D6807">
        <v>-161.60005699880099</v>
      </c>
    </row>
    <row r="6808" spans="1:4" hidden="1" x14ac:dyDescent="0.3">
      <c r="A6808">
        <v>6806</v>
      </c>
      <c r="B6808" s="1" t="s">
        <v>8915</v>
      </c>
      <c r="C6808" t="s">
        <v>213</v>
      </c>
      <c r="D6808" s="1" t="s">
        <v>8916</v>
      </c>
    </row>
    <row r="6809" spans="1:4" hidden="1" x14ac:dyDescent="0.3">
      <c r="A6809">
        <v>6807</v>
      </c>
      <c r="B6809" t="s">
        <v>8917</v>
      </c>
      <c r="C6809" t="s">
        <v>216</v>
      </c>
      <c r="D6809">
        <v>75810586.776007399</v>
      </c>
    </row>
    <row r="6810" spans="1:4" hidden="1" x14ac:dyDescent="0.3">
      <c r="A6810">
        <v>6808</v>
      </c>
      <c r="B6810" t="s">
        <v>8918</v>
      </c>
      <c r="C6810" t="s">
        <v>218</v>
      </c>
      <c r="D6810">
        <v>39398578.639511697</v>
      </c>
    </row>
    <row r="6811" spans="1:4" hidden="1" x14ac:dyDescent="0.3">
      <c r="A6811">
        <v>6809</v>
      </c>
      <c r="B6811" t="s">
        <v>8919</v>
      </c>
      <c r="C6811" t="s">
        <v>220</v>
      </c>
      <c r="D6811">
        <v>26406757.687552001</v>
      </c>
    </row>
    <row r="6812" spans="1:4" hidden="1" x14ac:dyDescent="0.3">
      <c r="A6812">
        <v>6810</v>
      </c>
      <c r="B6812" s="1" t="s">
        <v>8920</v>
      </c>
      <c r="C6812" t="s">
        <v>222</v>
      </c>
      <c r="D6812" s="1" t="s">
        <v>8921</v>
      </c>
    </row>
    <row r="6813" spans="1:4" hidden="1" x14ac:dyDescent="0.3">
      <c r="A6813">
        <v>6811</v>
      </c>
      <c r="B6813" t="s">
        <v>8922</v>
      </c>
      <c r="C6813" t="s">
        <v>225</v>
      </c>
      <c r="D6813">
        <v>101170803.308716</v>
      </c>
    </row>
    <row r="6814" spans="1:4" hidden="1" x14ac:dyDescent="0.3">
      <c r="A6814">
        <v>6812</v>
      </c>
      <c r="B6814" t="s">
        <v>8923</v>
      </c>
      <c r="C6814" t="s">
        <v>227</v>
      </c>
      <c r="D6814">
        <v>-414.969477221369</v>
      </c>
    </row>
    <row r="6815" spans="1:4" hidden="1" x14ac:dyDescent="0.3">
      <c r="A6815">
        <v>6813</v>
      </c>
      <c r="B6815" s="1" t="s">
        <v>8924</v>
      </c>
      <c r="C6815" t="s">
        <v>229</v>
      </c>
      <c r="D6815" s="1" t="s">
        <v>8925</v>
      </c>
    </row>
    <row r="6816" spans="1:4" hidden="1" x14ac:dyDescent="0.3">
      <c r="A6816">
        <v>6814</v>
      </c>
      <c r="B6816" t="s">
        <v>8926</v>
      </c>
      <c r="C6816" t="s">
        <v>112</v>
      </c>
      <c r="D6816">
        <v>111.092614119662</v>
      </c>
    </row>
    <row r="6817" spans="1:4" hidden="1" x14ac:dyDescent="0.3">
      <c r="A6817">
        <v>6815</v>
      </c>
      <c r="B6817" t="s">
        <v>8927</v>
      </c>
      <c r="C6817" t="s">
        <v>114</v>
      </c>
      <c r="D6817">
        <v>23.5996854346002</v>
      </c>
    </row>
    <row r="6818" spans="1:4" hidden="1" x14ac:dyDescent="0.3">
      <c r="A6818">
        <v>6816</v>
      </c>
      <c r="B6818" s="1" t="s">
        <v>8928</v>
      </c>
      <c r="C6818" t="s">
        <v>116</v>
      </c>
      <c r="D6818" s="1" t="s">
        <v>8929</v>
      </c>
    </row>
    <row r="6819" spans="1:4" hidden="1" x14ac:dyDescent="0.3">
      <c r="A6819">
        <v>6817</v>
      </c>
      <c r="B6819" t="s">
        <v>8930</v>
      </c>
      <c r="C6819" t="s">
        <v>119</v>
      </c>
      <c r="D6819">
        <v>75810586.776007399</v>
      </c>
    </row>
    <row r="6820" spans="1:4" hidden="1" x14ac:dyDescent="0.3">
      <c r="A6820">
        <v>6818</v>
      </c>
      <c r="B6820" t="s">
        <v>8931</v>
      </c>
      <c r="C6820" t="s">
        <v>121</v>
      </c>
      <c r="D6820">
        <v>39398578.639511697</v>
      </c>
    </row>
    <row r="6821" spans="1:4" hidden="1" x14ac:dyDescent="0.3">
      <c r="A6821">
        <v>6819</v>
      </c>
      <c r="B6821" s="1" t="s">
        <v>8932</v>
      </c>
      <c r="C6821" t="s">
        <v>123</v>
      </c>
      <c r="D6821" s="1" t="s">
        <v>8933</v>
      </c>
    </row>
    <row r="6822" spans="1:4" hidden="1" x14ac:dyDescent="0.3">
      <c r="A6822">
        <v>6820</v>
      </c>
      <c r="B6822" t="s">
        <v>8934</v>
      </c>
      <c r="C6822" t="s">
        <v>126</v>
      </c>
      <c r="D6822">
        <v>0.74918906052387602</v>
      </c>
    </row>
    <row r="6823" spans="1:4" hidden="1" x14ac:dyDescent="0.3">
      <c r="A6823">
        <v>6821</v>
      </c>
      <c r="B6823" t="s">
        <v>8935</v>
      </c>
      <c r="C6823" t="s">
        <v>128</v>
      </c>
      <c r="D6823">
        <v>0.38935174323506699</v>
      </c>
    </row>
    <row r="6824" spans="1:4" hidden="1" x14ac:dyDescent="0.3">
      <c r="A6824">
        <v>6822</v>
      </c>
      <c r="B6824" s="1" t="s">
        <v>8936</v>
      </c>
      <c r="C6824" t="s">
        <v>130</v>
      </c>
      <c r="D6824" s="1" t="s">
        <v>8937</v>
      </c>
    </row>
    <row r="6825" spans="1:4" hidden="1" x14ac:dyDescent="0.3">
      <c r="A6825">
        <v>6823</v>
      </c>
      <c r="B6825" s="1" t="s">
        <v>8938</v>
      </c>
      <c r="C6825" t="s">
        <v>4</v>
      </c>
      <c r="D6825" t="s">
        <v>8939</v>
      </c>
    </row>
    <row r="6826" spans="1:4" hidden="1" x14ac:dyDescent="0.3">
      <c r="A6826">
        <v>6824</v>
      </c>
      <c r="B6826" t="s">
        <v>8940</v>
      </c>
      <c r="C6826" t="s">
        <v>7</v>
      </c>
      <c r="D6826">
        <v>1762.74</v>
      </c>
    </row>
    <row r="6827" spans="1:4" hidden="1" x14ac:dyDescent="0.3">
      <c r="A6827">
        <v>6825</v>
      </c>
      <c r="B6827" s="1" t="s">
        <v>8941</v>
      </c>
      <c r="C6827" t="s">
        <v>9</v>
      </c>
      <c r="D6827" s="1" t="s">
        <v>8942</v>
      </c>
    </row>
    <row r="6828" spans="1:4" hidden="1" x14ac:dyDescent="0.3">
      <c r="A6828">
        <v>6826</v>
      </c>
      <c r="B6828" t="s">
        <v>8943</v>
      </c>
      <c r="C6828" t="s">
        <v>14</v>
      </c>
      <c r="D6828">
        <v>98.01953125</v>
      </c>
    </row>
    <row r="6829" spans="1:4" hidden="1" x14ac:dyDescent="0.3">
      <c r="A6829">
        <v>6827</v>
      </c>
      <c r="B6829" t="s">
        <v>8944</v>
      </c>
      <c r="C6829" t="s">
        <v>16</v>
      </c>
      <c r="D6829">
        <v>4.3791196515515196</v>
      </c>
    </row>
    <row r="6830" spans="1:4" hidden="1" x14ac:dyDescent="0.3">
      <c r="A6830">
        <v>6828</v>
      </c>
      <c r="B6830" s="1" t="s">
        <v>8945</v>
      </c>
      <c r="C6830" t="s">
        <v>140</v>
      </c>
      <c r="D6830" s="1" t="s">
        <v>8946</v>
      </c>
    </row>
    <row r="6831" spans="1:4" hidden="1" x14ac:dyDescent="0.3">
      <c r="A6831">
        <v>6829</v>
      </c>
      <c r="B6831" t="s">
        <v>8947</v>
      </c>
      <c r="C6831" t="s">
        <v>22</v>
      </c>
      <c r="D6831">
        <v>65.150000000000006</v>
      </c>
    </row>
    <row r="6832" spans="1:4" hidden="1" x14ac:dyDescent="0.3">
      <c r="A6832">
        <v>6830</v>
      </c>
      <c r="B6832" t="s">
        <v>8948</v>
      </c>
      <c r="C6832" t="s">
        <v>24</v>
      </c>
      <c r="D6832">
        <v>6.6233731527168596</v>
      </c>
    </row>
    <row r="6833" spans="1:4" hidden="1" x14ac:dyDescent="0.3">
      <c r="A6833">
        <v>6831</v>
      </c>
      <c r="B6833" s="1" t="s">
        <v>8949</v>
      </c>
      <c r="C6833" t="s">
        <v>145</v>
      </c>
      <c r="D6833" s="1" t="s">
        <v>8950</v>
      </c>
    </row>
    <row r="6834" spans="1:4" hidden="1" x14ac:dyDescent="0.3">
      <c r="A6834">
        <v>6832</v>
      </c>
      <c r="B6834" t="s">
        <v>8951</v>
      </c>
      <c r="C6834" t="s">
        <v>35</v>
      </c>
      <c r="D6834">
        <v>5.7377770864508001E-2</v>
      </c>
    </row>
    <row r="6835" spans="1:4" hidden="1" x14ac:dyDescent="0.3">
      <c r="A6835">
        <v>6833</v>
      </c>
      <c r="B6835" t="s">
        <v>8952</v>
      </c>
      <c r="C6835" t="s">
        <v>149</v>
      </c>
      <c r="D6835">
        <v>0.756780182144838</v>
      </c>
    </row>
    <row r="6836" spans="1:4" hidden="1" x14ac:dyDescent="0.3">
      <c r="A6836">
        <v>6834</v>
      </c>
      <c r="B6836" s="1" t="s">
        <v>8953</v>
      </c>
      <c r="C6836" t="s">
        <v>151</v>
      </c>
      <c r="D6836" s="1" t="s">
        <v>8954</v>
      </c>
    </row>
    <row r="6837" spans="1:4" hidden="1" x14ac:dyDescent="0.3">
      <c r="A6837">
        <v>6835</v>
      </c>
      <c r="B6837" t="s">
        <v>8955</v>
      </c>
      <c r="C6837" t="s">
        <v>30</v>
      </c>
      <c r="D6837">
        <v>0.36455026728790102</v>
      </c>
    </row>
    <row r="6838" spans="1:4" hidden="1" x14ac:dyDescent="0.3">
      <c r="A6838">
        <v>6836</v>
      </c>
      <c r="B6838" t="s">
        <v>8956</v>
      </c>
      <c r="C6838" t="s">
        <v>32</v>
      </c>
      <c r="D6838">
        <v>0.17310510893131201</v>
      </c>
    </row>
    <row r="6839" spans="1:4" hidden="1" x14ac:dyDescent="0.3">
      <c r="A6839">
        <v>6837</v>
      </c>
      <c r="B6839" s="1" t="s">
        <v>8957</v>
      </c>
      <c r="C6839" t="s">
        <v>155</v>
      </c>
      <c r="D6839" s="1" t="s">
        <v>8958</v>
      </c>
    </row>
    <row r="6840" spans="1:4" hidden="1" x14ac:dyDescent="0.3">
      <c r="A6840">
        <v>6838</v>
      </c>
      <c r="B6840" t="s">
        <v>8959</v>
      </c>
      <c r="C6840" t="s">
        <v>40</v>
      </c>
      <c r="D6840">
        <v>0.57807196184759002</v>
      </c>
    </row>
    <row r="6841" spans="1:4" hidden="1" x14ac:dyDescent="0.3">
      <c r="A6841">
        <v>6839</v>
      </c>
      <c r="B6841" t="s">
        <v>8960</v>
      </c>
      <c r="C6841" t="s">
        <v>42</v>
      </c>
      <c r="D6841">
        <v>0.14828255897224801</v>
      </c>
    </row>
    <row r="6842" spans="1:4" hidden="1" x14ac:dyDescent="0.3">
      <c r="A6842">
        <v>6840</v>
      </c>
      <c r="B6842" s="1" t="s">
        <v>8961</v>
      </c>
      <c r="C6842" t="s">
        <v>159</v>
      </c>
      <c r="D6842" s="1" t="s">
        <v>8962</v>
      </c>
    </row>
    <row r="6843" spans="1:4" hidden="1" x14ac:dyDescent="0.3">
      <c r="A6843">
        <v>6841</v>
      </c>
      <c r="B6843" t="s">
        <v>8963</v>
      </c>
      <c r="C6843" t="s">
        <v>161</v>
      </c>
      <c r="D6843">
        <v>1.00145439670942</v>
      </c>
    </row>
    <row r="6844" spans="1:4" hidden="1" x14ac:dyDescent="0.3">
      <c r="A6844">
        <v>6842</v>
      </c>
      <c r="B6844" t="s">
        <v>8964</v>
      </c>
      <c r="C6844" t="s">
        <v>163</v>
      </c>
      <c r="D6844">
        <v>0.99955071990005395</v>
      </c>
    </row>
    <row r="6845" spans="1:4" hidden="1" x14ac:dyDescent="0.3">
      <c r="A6845">
        <v>6843</v>
      </c>
      <c r="B6845" s="1" t="s">
        <v>8965</v>
      </c>
      <c r="C6845" t="s">
        <v>165</v>
      </c>
      <c r="D6845" s="1" t="s">
        <v>8966</v>
      </c>
    </row>
    <row r="6846" spans="1:4" hidden="1" x14ac:dyDescent="0.3">
      <c r="A6846">
        <v>6844</v>
      </c>
      <c r="B6846" t="s">
        <v>8967</v>
      </c>
      <c r="C6846" t="s">
        <v>168</v>
      </c>
      <c r="D6846">
        <v>1.0001283942064101</v>
      </c>
    </row>
    <row r="6847" spans="1:4" hidden="1" x14ac:dyDescent="0.3">
      <c r="A6847">
        <v>6845</v>
      </c>
      <c r="B6847" t="s">
        <v>8968</v>
      </c>
      <c r="C6847" t="s">
        <v>170</v>
      </c>
      <c r="D6847">
        <v>1.0006237720680999</v>
      </c>
    </row>
    <row r="6848" spans="1:4" hidden="1" x14ac:dyDescent="0.3">
      <c r="A6848">
        <v>6846</v>
      </c>
      <c r="B6848" s="1" t="s">
        <v>8969</v>
      </c>
      <c r="C6848" t="s">
        <v>172</v>
      </c>
      <c r="D6848" s="1" t="s">
        <v>8970</v>
      </c>
    </row>
    <row r="6849" spans="1:4" hidden="1" x14ac:dyDescent="0.3">
      <c r="A6849">
        <v>6847</v>
      </c>
      <c r="B6849" s="1" t="s">
        <v>8971</v>
      </c>
      <c r="C6849" t="s">
        <v>55</v>
      </c>
      <c r="D6849" s="1" t="s">
        <v>8972</v>
      </c>
    </row>
    <row r="6850" spans="1:4" hidden="1" x14ac:dyDescent="0.3">
      <c r="A6850">
        <v>6848</v>
      </c>
      <c r="B6850" s="1" t="s">
        <v>8973</v>
      </c>
      <c r="C6850" t="s">
        <v>52</v>
      </c>
      <c r="D6850" s="1" t="s">
        <v>8974</v>
      </c>
    </row>
    <row r="6851" spans="1:4" hidden="1" x14ac:dyDescent="0.3">
      <c r="A6851">
        <v>6849</v>
      </c>
      <c r="B6851" s="1" t="s">
        <v>8975</v>
      </c>
      <c r="C6851" t="s">
        <v>58</v>
      </c>
      <c r="D6851" s="1" t="s">
        <v>8976</v>
      </c>
    </row>
    <row r="6852" spans="1:4" hidden="1" x14ac:dyDescent="0.3">
      <c r="A6852">
        <v>6850</v>
      </c>
      <c r="B6852" t="s">
        <v>8977</v>
      </c>
      <c r="C6852" t="s">
        <v>61</v>
      </c>
      <c r="D6852">
        <v>141486297.399721</v>
      </c>
    </row>
    <row r="6853" spans="1:4" hidden="1" x14ac:dyDescent="0.3">
      <c r="A6853">
        <v>6851</v>
      </c>
      <c r="B6853" t="s">
        <v>8978</v>
      </c>
      <c r="C6853" t="s">
        <v>63</v>
      </c>
      <c r="D6853">
        <v>75920845.4439542</v>
      </c>
    </row>
    <row r="6854" spans="1:4" hidden="1" x14ac:dyDescent="0.3">
      <c r="A6854">
        <v>6852</v>
      </c>
      <c r="B6854" t="s">
        <v>8979</v>
      </c>
      <c r="C6854" t="s">
        <v>65</v>
      </c>
      <c r="D6854">
        <v>39380877.6421628</v>
      </c>
    </row>
    <row r="6855" spans="1:4" hidden="1" x14ac:dyDescent="0.3">
      <c r="A6855">
        <v>6853</v>
      </c>
      <c r="B6855" s="1" t="s">
        <v>8980</v>
      </c>
      <c r="C6855" t="s">
        <v>67</v>
      </c>
      <c r="D6855" s="1" t="s">
        <v>8981</v>
      </c>
    </row>
    <row r="6856" spans="1:4" hidden="1" x14ac:dyDescent="0.3">
      <c r="A6856">
        <v>6854</v>
      </c>
      <c r="B6856" s="1" t="s">
        <v>8982</v>
      </c>
      <c r="C6856" t="s">
        <v>70</v>
      </c>
      <c r="D6856" s="1" t="s">
        <v>8983</v>
      </c>
    </row>
    <row r="6857" spans="1:4" hidden="1" x14ac:dyDescent="0.3">
      <c r="A6857">
        <v>6855</v>
      </c>
      <c r="B6857" t="s">
        <v>8984</v>
      </c>
      <c r="C6857" t="s">
        <v>73</v>
      </c>
      <c r="D6857">
        <v>1.0001916681801</v>
      </c>
    </row>
    <row r="6858" spans="1:4" hidden="1" x14ac:dyDescent="0.3">
      <c r="A6858">
        <v>6856</v>
      </c>
      <c r="B6858" t="s">
        <v>74</v>
      </c>
      <c r="C6858" t="s">
        <v>75</v>
      </c>
      <c r="D6858">
        <v>2.7397260273972599E-3</v>
      </c>
    </row>
    <row r="6859" spans="1:4" hidden="1" x14ac:dyDescent="0.3">
      <c r="A6859">
        <v>6857</v>
      </c>
      <c r="B6859" t="s">
        <v>76</v>
      </c>
      <c r="C6859" t="s">
        <v>77</v>
      </c>
      <c r="D6859">
        <v>0</v>
      </c>
    </row>
    <row r="6860" spans="1:4" hidden="1" x14ac:dyDescent="0.3">
      <c r="A6860">
        <v>6858</v>
      </c>
      <c r="B6860" t="s">
        <v>78</v>
      </c>
      <c r="C6860" t="s">
        <v>79</v>
      </c>
      <c r="D6860">
        <v>0</v>
      </c>
    </row>
    <row r="6861" spans="1:4" hidden="1" x14ac:dyDescent="0.3">
      <c r="A6861">
        <v>6859</v>
      </c>
      <c r="B6861" s="1" t="s">
        <v>8985</v>
      </c>
      <c r="C6861" t="s">
        <v>81</v>
      </c>
      <c r="D6861" s="1" t="s">
        <v>8986</v>
      </c>
    </row>
    <row r="6862" spans="1:4" hidden="1" x14ac:dyDescent="0.3">
      <c r="A6862">
        <v>6860</v>
      </c>
      <c r="B6862" t="s">
        <v>8987</v>
      </c>
      <c r="C6862" t="s">
        <v>84</v>
      </c>
      <c r="D6862">
        <v>1.0001933015840101</v>
      </c>
    </row>
    <row r="6863" spans="1:4" hidden="1" x14ac:dyDescent="0.3">
      <c r="A6863">
        <v>6861</v>
      </c>
      <c r="B6863" s="1" t="s">
        <v>8988</v>
      </c>
      <c r="C6863" t="s">
        <v>86</v>
      </c>
      <c r="D6863" s="1" t="s">
        <v>8989</v>
      </c>
    </row>
    <row r="6864" spans="1:4" hidden="1" x14ac:dyDescent="0.3">
      <c r="A6864">
        <v>6862</v>
      </c>
      <c r="B6864" t="s">
        <v>8990</v>
      </c>
      <c r="C6864" t="s">
        <v>89</v>
      </c>
      <c r="D6864">
        <v>101170223.119069</v>
      </c>
    </row>
    <row r="6865" spans="1:4" hidden="1" x14ac:dyDescent="0.3">
      <c r="A6865">
        <v>6863</v>
      </c>
      <c r="B6865" s="1" t="s">
        <v>8991</v>
      </c>
      <c r="C6865" t="s">
        <v>91</v>
      </c>
      <c r="D6865" s="1" t="s">
        <v>8925</v>
      </c>
    </row>
    <row r="6866" spans="1:4" hidden="1" x14ac:dyDescent="0.3">
      <c r="A6866">
        <v>6864</v>
      </c>
      <c r="B6866" t="s">
        <v>8992</v>
      </c>
      <c r="C6866" t="s">
        <v>94</v>
      </c>
      <c r="D6866">
        <v>75920845.4439542</v>
      </c>
    </row>
    <row r="6867" spans="1:4" hidden="1" x14ac:dyDescent="0.3">
      <c r="A6867">
        <v>6865</v>
      </c>
      <c r="B6867" t="s">
        <v>8993</v>
      </c>
      <c r="C6867" t="s">
        <v>96</v>
      </c>
      <c r="D6867">
        <v>39380877.6421628</v>
      </c>
    </row>
    <row r="6868" spans="1:4" hidden="1" x14ac:dyDescent="0.3">
      <c r="A6868">
        <v>6866</v>
      </c>
      <c r="B6868" t="s">
        <v>8994</v>
      </c>
      <c r="C6868" t="s">
        <v>98</v>
      </c>
      <c r="D6868">
        <v>26184574.313604102</v>
      </c>
    </row>
    <row r="6869" spans="1:4" hidden="1" x14ac:dyDescent="0.3">
      <c r="A6869">
        <v>6867</v>
      </c>
      <c r="B6869" s="1" t="s">
        <v>8995</v>
      </c>
      <c r="C6869" t="s">
        <v>100</v>
      </c>
      <c r="D6869" s="1" t="s">
        <v>8996</v>
      </c>
    </row>
    <row r="6870" spans="1:4" hidden="1" x14ac:dyDescent="0.3">
      <c r="A6870">
        <v>6868</v>
      </c>
      <c r="B6870" t="s">
        <v>8997</v>
      </c>
      <c r="C6870" t="s">
        <v>103</v>
      </c>
      <c r="D6870">
        <v>8.5107854778487795E-3</v>
      </c>
    </row>
    <row r="6871" spans="1:4" hidden="1" x14ac:dyDescent="0.3">
      <c r="A6871">
        <v>6869</v>
      </c>
      <c r="B6871" t="s">
        <v>8998</v>
      </c>
      <c r="C6871" t="s">
        <v>105</v>
      </c>
      <c r="D6871">
        <v>1.35245819355512E-3</v>
      </c>
    </row>
    <row r="6872" spans="1:4" hidden="1" x14ac:dyDescent="0.3">
      <c r="A6872">
        <v>6870</v>
      </c>
      <c r="B6872" t="s">
        <v>8999</v>
      </c>
      <c r="C6872" t="s">
        <v>107</v>
      </c>
      <c r="D6872">
        <v>1.05024690119158E-2</v>
      </c>
    </row>
    <row r="6873" spans="1:4" hidden="1" x14ac:dyDescent="0.3">
      <c r="A6873">
        <v>6871</v>
      </c>
      <c r="B6873" s="1" t="s">
        <v>9000</v>
      </c>
      <c r="C6873" t="s">
        <v>109</v>
      </c>
      <c r="D6873" s="1" t="s">
        <v>9001</v>
      </c>
    </row>
    <row r="6874" spans="1:4" x14ac:dyDescent="0.3">
      <c r="A6874">
        <v>6872</v>
      </c>
      <c r="B6874" t="s">
        <v>9002</v>
      </c>
      <c r="C6874" t="s">
        <v>207</v>
      </c>
      <c r="D6874">
        <v>141486354.913241</v>
      </c>
    </row>
    <row r="6875" spans="1:4" hidden="1" x14ac:dyDescent="0.3">
      <c r="A6875">
        <v>6873</v>
      </c>
      <c r="B6875" t="s">
        <v>9003</v>
      </c>
      <c r="C6875" t="s">
        <v>209</v>
      </c>
      <c r="D6875">
        <v>-123.985706270226</v>
      </c>
    </row>
    <row r="6876" spans="1:4" hidden="1" x14ac:dyDescent="0.3">
      <c r="A6876">
        <v>6874</v>
      </c>
      <c r="B6876" t="s">
        <v>9004</v>
      </c>
      <c r="C6876" t="s">
        <v>211</v>
      </c>
      <c r="D6876">
        <v>-64.312573044340397</v>
      </c>
    </row>
    <row r="6877" spans="1:4" hidden="1" x14ac:dyDescent="0.3">
      <c r="A6877">
        <v>6875</v>
      </c>
      <c r="B6877" s="1" t="s">
        <v>9005</v>
      </c>
      <c r="C6877" t="s">
        <v>213</v>
      </c>
      <c r="D6877" s="1" t="s">
        <v>9006</v>
      </c>
    </row>
    <row r="6878" spans="1:4" hidden="1" x14ac:dyDescent="0.3">
      <c r="A6878">
        <v>6876</v>
      </c>
      <c r="B6878" t="s">
        <v>9007</v>
      </c>
      <c r="C6878" t="s">
        <v>216</v>
      </c>
      <c r="D6878">
        <v>75921008.934683502</v>
      </c>
    </row>
    <row r="6879" spans="1:4" hidden="1" x14ac:dyDescent="0.3">
      <c r="A6879">
        <v>6877</v>
      </c>
      <c r="B6879" t="s">
        <v>9008</v>
      </c>
      <c r="C6879" t="s">
        <v>218</v>
      </c>
      <c r="D6879">
        <v>39380954.301861897</v>
      </c>
    </row>
    <row r="6880" spans="1:4" hidden="1" x14ac:dyDescent="0.3">
      <c r="A6880">
        <v>6878</v>
      </c>
      <c r="B6880" t="s">
        <v>9009</v>
      </c>
      <c r="C6880" t="s">
        <v>220</v>
      </c>
      <c r="D6880">
        <v>26184622.736775</v>
      </c>
    </row>
    <row r="6881" spans="1:4" hidden="1" x14ac:dyDescent="0.3">
      <c r="A6881">
        <v>6879</v>
      </c>
      <c r="B6881" s="1" t="s">
        <v>9010</v>
      </c>
      <c r="C6881" t="s">
        <v>222</v>
      </c>
      <c r="D6881" s="1" t="s">
        <v>9011</v>
      </c>
    </row>
    <row r="6882" spans="1:4" hidden="1" x14ac:dyDescent="0.3">
      <c r="A6882">
        <v>6880</v>
      </c>
      <c r="B6882" t="s">
        <v>9012</v>
      </c>
      <c r="C6882" t="s">
        <v>225</v>
      </c>
      <c r="D6882">
        <v>101170388.339239</v>
      </c>
    </row>
    <row r="6883" spans="1:4" hidden="1" x14ac:dyDescent="0.3">
      <c r="A6883">
        <v>6881</v>
      </c>
      <c r="B6883" t="s">
        <v>9013</v>
      </c>
      <c r="C6883" t="s">
        <v>227</v>
      </c>
      <c r="D6883">
        <v>-165.22017064690499</v>
      </c>
    </row>
    <row r="6884" spans="1:4" hidden="1" x14ac:dyDescent="0.3">
      <c r="A6884">
        <v>6882</v>
      </c>
      <c r="B6884" s="1" t="s">
        <v>9014</v>
      </c>
      <c r="C6884" t="s">
        <v>229</v>
      </c>
      <c r="D6884" s="1" t="s">
        <v>9015</v>
      </c>
    </row>
    <row r="6885" spans="1:4" hidden="1" x14ac:dyDescent="0.3">
      <c r="A6885">
        <v>6883</v>
      </c>
      <c r="B6885" t="s">
        <v>9016</v>
      </c>
      <c r="C6885" t="s">
        <v>112</v>
      </c>
      <c r="D6885">
        <v>39.505023082403802</v>
      </c>
    </row>
    <row r="6886" spans="1:4" hidden="1" x14ac:dyDescent="0.3">
      <c r="A6886">
        <v>6884</v>
      </c>
      <c r="B6886" t="s">
        <v>9017</v>
      </c>
      <c r="C6886" t="s">
        <v>114</v>
      </c>
      <c r="D6886">
        <v>12.3471260550431</v>
      </c>
    </row>
    <row r="6887" spans="1:4" hidden="1" x14ac:dyDescent="0.3">
      <c r="A6887">
        <v>6885</v>
      </c>
      <c r="B6887" s="1" t="s">
        <v>9018</v>
      </c>
      <c r="C6887" t="s">
        <v>116</v>
      </c>
      <c r="D6887" s="1" t="s">
        <v>9019</v>
      </c>
    </row>
    <row r="6888" spans="1:4" hidden="1" x14ac:dyDescent="0.3">
      <c r="A6888">
        <v>6886</v>
      </c>
      <c r="B6888" t="s">
        <v>9020</v>
      </c>
      <c r="C6888" t="s">
        <v>119</v>
      </c>
      <c r="D6888">
        <v>75921008.934683502</v>
      </c>
    </row>
    <row r="6889" spans="1:4" hidden="1" x14ac:dyDescent="0.3">
      <c r="A6889">
        <v>6887</v>
      </c>
      <c r="B6889" t="s">
        <v>9021</v>
      </c>
      <c r="C6889" t="s">
        <v>121</v>
      </c>
      <c r="D6889">
        <v>39380954.301861897</v>
      </c>
    </row>
    <row r="6890" spans="1:4" hidden="1" x14ac:dyDescent="0.3">
      <c r="A6890">
        <v>6888</v>
      </c>
      <c r="B6890" s="1" t="s">
        <v>9022</v>
      </c>
      <c r="C6890" t="s">
        <v>123</v>
      </c>
      <c r="D6890" s="1" t="s">
        <v>9023</v>
      </c>
    </row>
    <row r="6891" spans="1:4" hidden="1" x14ac:dyDescent="0.3">
      <c r="A6891">
        <v>6889</v>
      </c>
      <c r="B6891" t="s">
        <v>9024</v>
      </c>
      <c r="C6891" t="s">
        <v>126</v>
      </c>
      <c r="D6891">
        <v>0.75028214644337499</v>
      </c>
    </row>
    <row r="6892" spans="1:4" hidden="1" x14ac:dyDescent="0.3">
      <c r="A6892">
        <v>6890</v>
      </c>
      <c r="B6892" t="s">
        <v>9025</v>
      </c>
      <c r="C6892" t="s">
        <v>128</v>
      </c>
      <c r="D6892">
        <v>0.38917853354674398</v>
      </c>
    </row>
    <row r="6893" spans="1:4" hidden="1" x14ac:dyDescent="0.3">
      <c r="A6893">
        <v>6891</v>
      </c>
      <c r="B6893" s="1" t="s">
        <v>9026</v>
      </c>
      <c r="C6893" t="s">
        <v>130</v>
      </c>
      <c r="D6893" s="1" t="s">
        <v>9027</v>
      </c>
    </row>
    <row r="6894" spans="1:4" hidden="1" x14ac:dyDescent="0.3">
      <c r="A6894">
        <v>6892</v>
      </c>
      <c r="B6894" s="1" t="s">
        <v>9028</v>
      </c>
      <c r="C6894" t="s">
        <v>4</v>
      </c>
      <c r="D6894" t="s">
        <v>9029</v>
      </c>
    </row>
    <row r="6895" spans="1:4" hidden="1" x14ac:dyDescent="0.3">
      <c r="A6895">
        <v>6893</v>
      </c>
      <c r="B6895" t="s">
        <v>9030</v>
      </c>
      <c r="C6895" t="s">
        <v>7</v>
      </c>
      <c r="D6895">
        <v>1755.78</v>
      </c>
    </row>
    <row r="6896" spans="1:4" hidden="1" x14ac:dyDescent="0.3">
      <c r="A6896">
        <v>6894</v>
      </c>
      <c r="B6896" s="1" t="s">
        <v>9031</v>
      </c>
      <c r="C6896" t="s">
        <v>9</v>
      </c>
      <c r="D6896" s="1" t="s">
        <v>9032</v>
      </c>
    </row>
    <row r="6897" spans="1:4" hidden="1" x14ac:dyDescent="0.3">
      <c r="A6897">
        <v>6895</v>
      </c>
      <c r="B6897" t="s">
        <v>9033</v>
      </c>
      <c r="C6897" t="s">
        <v>14</v>
      </c>
      <c r="D6897">
        <v>97.86328125</v>
      </c>
    </row>
    <row r="6898" spans="1:4" hidden="1" x14ac:dyDescent="0.3">
      <c r="A6898">
        <v>6896</v>
      </c>
      <c r="B6898" t="s">
        <v>9034</v>
      </c>
      <c r="C6898" t="s">
        <v>16</v>
      </c>
      <c r="D6898">
        <v>4.3753654700702498</v>
      </c>
    </row>
    <row r="6899" spans="1:4" hidden="1" x14ac:dyDescent="0.3">
      <c r="A6899">
        <v>6897</v>
      </c>
      <c r="B6899" s="1" t="s">
        <v>9035</v>
      </c>
      <c r="C6899" t="s">
        <v>140</v>
      </c>
      <c r="D6899" s="1" t="s">
        <v>9036</v>
      </c>
    </row>
    <row r="6900" spans="1:4" hidden="1" x14ac:dyDescent="0.3">
      <c r="A6900">
        <v>6898</v>
      </c>
      <c r="B6900" t="s">
        <v>9037</v>
      </c>
      <c r="C6900" t="s">
        <v>22</v>
      </c>
      <c r="D6900">
        <v>65.900000000000006</v>
      </c>
    </row>
    <row r="6901" spans="1:4" hidden="1" x14ac:dyDescent="0.3">
      <c r="A6901">
        <v>6899</v>
      </c>
      <c r="B6901" t="s">
        <v>9038</v>
      </c>
      <c r="C6901" t="s">
        <v>24</v>
      </c>
      <c r="D6901">
        <v>6.5542498126965496</v>
      </c>
    </row>
    <row r="6902" spans="1:4" hidden="1" x14ac:dyDescent="0.3">
      <c r="A6902">
        <v>6900</v>
      </c>
      <c r="B6902" s="1" t="s">
        <v>9039</v>
      </c>
      <c r="C6902" t="s">
        <v>145</v>
      </c>
      <c r="D6902" s="1" t="s">
        <v>9040</v>
      </c>
    </row>
    <row r="6903" spans="1:4" hidden="1" x14ac:dyDescent="0.3">
      <c r="A6903">
        <v>6901</v>
      </c>
      <c r="B6903" t="s">
        <v>9041</v>
      </c>
      <c r="C6903" t="s">
        <v>35</v>
      </c>
      <c r="D6903">
        <v>-0.31209593421875598</v>
      </c>
    </row>
    <row r="6904" spans="1:4" hidden="1" x14ac:dyDescent="0.3">
      <c r="A6904">
        <v>6902</v>
      </c>
      <c r="B6904" t="s">
        <v>9042</v>
      </c>
      <c r="C6904" t="s">
        <v>149</v>
      </c>
      <c r="D6904">
        <v>0.754387528533774</v>
      </c>
    </row>
    <row r="6905" spans="1:4" hidden="1" x14ac:dyDescent="0.3">
      <c r="A6905">
        <v>6903</v>
      </c>
      <c r="B6905" s="1" t="s">
        <v>9043</v>
      </c>
      <c r="C6905" t="s">
        <v>151</v>
      </c>
      <c r="D6905" s="1" t="s">
        <v>9044</v>
      </c>
    </row>
    <row r="6906" spans="1:4" hidden="1" x14ac:dyDescent="0.3">
      <c r="A6906">
        <v>6904</v>
      </c>
      <c r="B6906" t="s">
        <v>9045</v>
      </c>
      <c r="C6906" t="s">
        <v>30</v>
      </c>
      <c r="D6906">
        <v>0.51014778056082299</v>
      </c>
    </row>
    <row r="6907" spans="1:4" hidden="1" x14ac:dyDescent="0.3">
      <c r="A6907">
        <v>6905</v>
      </c>
      <c r="B6907" t="s">
        <v>9046</v>
      </c>
      <c r="C6907" t="s">
        <v>32</v>
      </c>
      <c r="D6907">
        <v>0.17404460142720399</v>
      </c>
    </row>
    <row r="6908" spans="1:4" hidden="1" x14ac:dyDescent="0.3">
      <c r="A6908">
        <v>6906</v>
      </c>
      <c r="B6908" s="1" t="s">
        <v>9047</v>
      </c>
      <c r="C6908" t="s">
        <v>155</v>
      </c>
      <c r="D6908" s="1" t="s">
        <v>9048</v>
      </c>
    </row>
    <row r="6909" spans="1:4" hidden="1" x14ac:dyDescent="0.3">
      <c r="A6909">
        <v>6907</v>
      </c>
      <c r="B6909" t="s">
        <v>9049</v>
      </c>
      <c r="C6909" t="s">
        <v>40</v>
      </c>
      <c r="D6909">
        <v>0.80194815365793304</v>
      </c>
    </row>
    <row r="6910" spans="1:4" hidden="1" x14ac:dyDescent="0.3">
      <c r="A6910">
        <v>6908</v>
      </c>
      <c r="B6910" t="s">
        <v>9050</v>
      </c>
      <c r="C6910" t="s">
        <v>42</v>
      </c>
      <c r="D6910">
        <v>0.15153404638474499</v>
      </c>
    </row>
    <row r="6911" spans="1:4" hidden="1" x14ac:dyDescent="0.3">
      <c r="A6911">
        <v>6909</v>
      </c>
      <c r="B6911" s="1" t="s">
        <v>9051</v>
      </c>
      <c r="C6911" t="s">
        <v>159</v>
      </c>
      <c r="D6911" s="1" t="s">
        <v>9052</v>
      </c>
    </row>
    <row r="6912" spans="1:4" hidden="1" x14ac:dyDescent="0.3">
      <c r="A6912">
        <v>6910</v>
      </c>
      <c r="B6912" t="s">
        <v>9053</v>
      </c>
      <c r="C6912" t="s">
        <v>161</v>
      </c>
      <c r="D6912">
        <v>0.99605160148405303</v>
      </c>
    </row>
    <row r="6913" spans="1:4" hidden="1" x14ac:dyDescent="0.3">
      <c r="A6913">
        <v>6911</v>
      </c>
      <c r="B6913" t="s">
        <v>9054</v>
      </c>
      <c r="C6913" t="s">
        <v>163</v>
      </c>
      <c r="D6913">
        <v>0.99843743857880396</v>
      </c>
    </row>
    <row r="6914" spans="1:4" hidden="1" x14ac:dyDescent="0.3">
      <c r="A6914">
        <v>6912</v>
      </c>
      <c r="B6914" s="1" t="s">
        <v>9055</v>
      </c>
      <c r="C6914" t="s">
        <v>165</v>
      </c>
      <c r="D6914" s="1" t="s">
        <v>9056</v>
      </c>
    </row>
    <row r="6915" spans="1:4" hidden="1" x14ac:dyDescent="0.3">
      <c r="A6915">
        <v>6913</v>
      </c>
      <c r="B6915" t="s">
        <v>9057</v>
      </c>
      <c r="C6915" t="s">
        <v>168</v>
      </c>
      <c r="D6915">
        <v>0.99863804610537898</v>
      </c>
    </row>
    <row r="6916" spans="1:4" hidden="1" x14ac:dyDescent="0.3">
      <c r="A6916">
        <v>6914</v>
      </c>
      <c r="B6916" t="s">
        <v>9058</v>
      </c>
      <c r="C6916" t="s">
        <v>170</v>
      </c>
      <c r="D6916">
        <v>1.0008008596064699</v>
      </c>
    </row>
    <row r="6917" spans="1:4" hidden="1" x14ac:dyDescent="0.3">
      <c r="A6917">
        <v>6915</v>
      </c>
      <c r="B6917" s="1" t="s">
        <v>9059</v>
      </c>
      <c r="C6917" t="s">
        <v>172</v>
      </c>
      <c r="D6917" s="1" t="s">
        <v>9060</v>
      </c>
    </row>
    <row r="6918" spans="1:4" hidden="1" x14ac:dyDescent="0.3">
      <c r="A6918">
        <v>6916</v>
      </c>
      <c r="B6918" s="1" t="s">
        <v>9061</v>
      </c>
      <c r="C6918" t="s">
        <v>55</v>
      </c>
      <c r="D6918" s="1" t="s">
        <v>9062</v>
      </c>
    </row>
    <row r="6919" spans="1:4" hidden="1" x14ac:dyDescent="0.3">
      <c r="A6919">
        <v>6917</v>
      </c>
      <c r="B6919" s="1" t="s">
        <v>9063</v>
      </c>
      <c r="C6919" t="s">
        <v>52</v>
      </c>
      <c r="D6919" s="1" t="s">
        <v>9064</v>
      </c>
    </row>
    <row r="6920" spans="1:4" hidden="1" x14ac:dyDescent="0.3">
      <c r="A6920">
        <v>6918</v>
      </c>
      <c r="B6920" s="1" t="s">
        <v>9065</v>
      </c>
      <c r="C6920" t="s">
        <v>58</v>
      </c>
      <c r="D6920" s="1" t="s">
        <v>9066</v>
      </c>
    </row>
    <row r="6921" spans="1:4" hidden="1" x14ac:dyDescent="0.3">
      <c r="A6921">
        <v>6919</v>
      </c>
      <c r="B6921" t="s">
        <v>9067</v>
      </c>
      <c r="C6921" t="s">
        <v>61</v>
      </c>
      <c r="D6921">
        <v>141373684.31101999</v>
      </c>
    </row>
    <row r="6922" spans="1:4" hidden="1" x14ac:dyDescent="0.3">
      <c r="A6922">
        <v>6920</v>
      </c>
      <c r="B6922" t="s">
        <v>9068</v>
      </c>
      <c r="C6922" t="s">
        <v>63</v>
      </c>
      <c r="D6922">
        <v>75621242.535676599</v>
      </c>
    </row>
    <row r="6923" spans="1:4" hidden="1" x14ac:dyDescent="0.3">
      <c r="A6923">
        <v>6921</v>
      </c>
      <c r="B6923" t="s">
        <v>9069</v>
      </c>
      <c r="C6923" t="s">
        <v>65</v>
      </c>
      <c r="D6923">
        <v>39319419.141939901</v>
      </c>
    </row>
    <row r="6924" spans="1:4" hidden="1" x14ac:dyDescent="0.3">
      <c r="A6924">
        <v>6922</v>
      </c>
      <c r="B6924" s="1" t="s">
        <v>9070</v>
      </c>
      <c r="C6924" t="s">
        <v>67</v>
      </c>
      <c r="D6924" s="1" t="s">
        <v>9071</v>
      </c>
    </row>
    <row r="6925" spans="1:4" hidden="1" x14ac:dyDescent="0.3">
      <c r="A6925">
        <v>6923</v>
      </c>
      <c r="B6925" s="1" t="s">
        <v>9072</v>
      </c>
      <c r="C6925" t="s">
        <v>70</v>
      </c>
      <c r="D6925" s="1" t="s">
        <v>9073</v>
      </c>
    </row>
    <row r="6926" spans="1:4" hidden="1" x14ac:dyDescent="0.3">
      <c r="A6926">
        <v>6924</v>
      </c>
      <c r="B6926" t="s">
        <v>9074</v>
      </c>
      <c r="C6926" t="s">
        <v>73</v>
      </c>
      <c r="D6926">
        <v>1.0001933015840101</v>
      </c>
    </row>
    <row r="6927" spans="1:4" hidden="1" x14ac:dyDescent="0.3">
      <c r="A6927">
        <v>6925</v>
      </c>
      <c r="B6927" t="s">
        <v>74</v>
      </c>
      <c r="C6927" t="s">
        <v>75</v>
      </c>
      <c r="D6927">
        <v>2.7397260273972599E-3</v>
      </c>
    </row>
    <row r="6928" spans="1:4" hidden="1" x14ac:dyDescent="0.3">
      <c r="A6928">
        <v>6926</v>
      </c>
      <c r="B6928" t="s">
        <v>76</v>
      </c>
      <c r="C6928" t="s">
        <v>77</v>
      </c>
      <c r="D6928">
        <v>0</v>
      </c>
    </row>
    <row r="6929" spans="1:4" hidden="1" x14ac:dyDescent="0.3">
      <c r="A6929">
        <v>6927</v>
      </c>
      <c r="B6929" t="s">
        <v>650</v>
      </c>
      <c r="C6929" t="s">
        <v>79</v>
      </c>
      <c r="D6929" s="2">
        <v>2.2204460492503101E-16</v>
      </c>
    </row>
    <row r="6930" spans="1:4" hidden="1" x14ac:dyDescent="0.3">
      <c r="A6930">
        <v>6928</v>
      </c>
      <c r="B6930" s="1" t="s">
        <v>9075</v>
      </c>
      <c r="C6930" t="s">
        <v>81</v>
      </c>
      <c r="D6930" s="1" t="s">
        <v>9076</v>
      </c>
    </row>
    <row r="6931" spans="1:4" hidden="1" x14ac:dyDescent="0.3">
      <c r="A6931">
        <v>6929</v>
      </c>
      <c r="B6931" t="s">
        <v>9077</v>
      </c>
      <c r="C6931" t="s">
        <v>84</v>
      </c>
      <c r="D6931">
        <v>1.0001919589282</v>
      </c>
    </row>
    <row r="6932" spans="1:4" hidden="1" x14ac:dyDescent="0.3">
      <c r="A6932">
        <v>6930</v>
      </c>
      <c r="B6932" s="1" t="s">
        <v>9078</v>
      </c>
      <c r="C6932" t="s">
        <v>86</v>
      </c>
      <c r="D6932" s="1" t="s">
        <v>9079</v>
      </c>
    </row>
    <row r="6933" spans="1:4" hidden="1" x14ac:dyDescent="0.3">
      <c r="A6933">
        <v>6931</v>
      </c>
      <c r="B6933" t="s">
        <v>9080</v>
      </c>
      <c r="C6933" t="s">
        <v>89</v>
      </c>
      <c r="D6933">
        <v>101170358.929786</v>
      </c>
    </row>
    <row r="6934" spans="1:4" hidden="1" x14ac:dyDescent="0.3">
      <c r="A6934">
        <v>6932</v>
      </c>
      <c r="B6934" s="1" t="s">
        <v>9081</v>
      </c>
      <c r="C6934" t="s">
        <v>91</v>
      </c>
      <c r="D6934" s="1" t="s">
        <v>9015</v>
      </c>
    </row>
    <row r="6935" spans="1:4" hidden="1" x14ac:dyDescent="0.3">
      <c r="A6935">
        <v>6933</v>
      </c>
      <c r="B6935" t="s">
        <v>9082</v>
      </c>
      <c r="C6935" t="s">
        <v>94</v>
      </c>
      <c r="D6935">
        <v>75621242.535676599</v>
      </c>
    </row>
    <row r="6936" spans="1:4" hidden="1" x14ac:dyDescent="0.3">
      <c r="A6936">
        <v>6934</v>
      </c>
      <c r="B6936" t="s">
        <v>9083</v>
      </c>
      <c r="C6936" t="s">
        <v>96</v>
      </c>
      <c r="D6936">
        <v>39319419.141939901</v>
      </c>
    </row>
    <row r="6937" spans="1:4" hidden="1" x14ac:dyDescent="0.3">
      <c r="A6937">
        <v>6935</v>
      </c>
      <c r="B6937" t="s">
        <v>9084</v>
      </c>
      <c r="C6937" t="s">
        <v>98</v>
      </c>
      <c r="D6937">
        <v>26433022.633403901</v>
      </c>
    </row>
    <row r="6938" spans="1:4" hidden="1" x14ac:dyDescent="0.3">
      <c r="A6938">
        <v>6936</v>
      </c>
      <c r="B6938" s="1" t="s">
        <v>9085</v>
      </c>
      <c r="C6938" t="s">
        <v>100</v>
      </c>
      <c r="D6938" s="1" t="s">
        <v>9086</v>
      </c>
    </row>
    <row r="6939" spans="1:4" hidden="1" x14ac:dyDescent="0.3">
      <c r="A6939">
        <v>6937</v>
      </c>
      <c r="B6939" t="s">
        <v>9087</v>
      </c>
      <c r="C6939" t="s">
        <v>103</v>
      </c>
      <c r="D6939">
        <v>8.5120290300174806E-3</v>
      </c>
    </row>
    <row r="6940" spans="1:4" hidden="1" x14ac:dyDescent="0.3">
      <c r="A6940">
        <v>6938</v>
      </c>
      <c r="B6940" t="s">
        <v>9088</v>
      </c>
      <c r="C6940" t="s">
        <v>105</v>
      </c>
      <c r="D6940">
        <v>1.3599065999465099E-3</v>
      </c>
    </row>
    <row r="6941" spans="1:4" hidden="1" x14ac:dyDescent="0.3">
      <c r="A6941">
        <v>6939</v>
      </c>
      <c r="B6941" t="s">
        <v>9089</v>
      </c>
      <c r="C6941" t="s">
        <v>107</v>
      </c>
      <c r="D6941">
        <v>1.0559537976428999E-2</v>
      </c>
    </row>
    <row r="6942" spans="1:4" hidden="1" x14ac:dyDescent="0.3">
      <c r="A6942">
        <v>6940</v>
      </c>
      <c r="B6942" s="1" t="s">
        <v>9090</v>
      </c>
      <c r="C6942" t="s">
        <v>109</v>
      </c>
      <c r="D6942" s="1" t="s">
        <v>9091</v>
      </c>
    </row>
    <row r="6943" spans="1:4" x14ac:dyDescent="0.3">
      <c r="A6943">
        <v>6941</v>
      </c>
      <c r="B6943" t="s">
        <v>9092</v>
      </c>
      <c r="C6943" t="s">
        <v>207</v>
      </c>
      <c r="D6943">
        <v>141373637.06672999</v>
      </c>
    </row>
    <row r="6944" spans="1:4" hidden="1" x14ac:dyDescent="0.3">
      <c r="A6944">
        <v>6942</v>
      </c>
      <c r="B6944" t="s">
        <v>9093</v>
      </c>
      <c r="C6944" t="s">
        <v>209</v>
      </c>
      <c r="D6944">
        <v>101.513634565537</v>
      </c>
    </row>
    <row r="6945" spans="1:4" hidden="1" x14ac:dyDescent="0.3">
      <c r="A6945">
        <v>6943</v>
      </c>
      <c r="B6945" t="s">
        <v>9094</v>
      </c>
      <c r="C6945" t="s">
        <v>211</v>
      </c>
      <c r="D6945">
        <v>52.782230081739101</v>
      </c>
    </row>
    <row r="6946" spans="1:4" hidden="1" x14ac:dyDescent="0.3">
      <c r="A6946">
        <v>6944</v>
      </c>
      <c r="B6946" s="1" t="s">
        <v>9095</v>
      </c>
      <c r="C6946" t="s">
        <v>213</v>
      </c>
      <c r="D6946" s="1" t="s">
        <v>9096</v>
      </c>
    </row>
    <row r="6947" spans="1:4" hidden="1" x14ac:dyDescent="0.3">
      <c r="A6947">
        <v>6945</v>
      </c>
      <c r="B6947" t="s">
        <v>9097</v>
      </c>
      <c r="C6947" t="s">
        <v>216</v>
      </c>
      <c r="D6947">
        <v>75621108.677071005</v>
      </c>
    </row>
    <row r="6948" spans="1:4" hidden="1" x14ac:dyDescent="0.3">
      <c r="A6948">
        <v>6946</v>
      </c>
      <c r="B6948" t="s">
        <v>9098</v>
      </c>
      <c r="C6948" t="s">
        <v>218</v>
      </c>
      <c r="D6948">
        <v>39319356.205815397</v>
      </c>
    </row>
    <row r="6949" spans="1:4" hidden="1" x14ac:dyDescent="0.3">
      <c r="A6949">
        <v>6947</v>
      </c>
      <c r="B6949" t="s">
        <v>9099</v>
      </c>
      <c r="C6949" t="s">
        <v>220</v>
      </c>
      <c r="D6949">
        <v>26432982.4043933</v>
      </c>
    </row>
    <row r="6950" spans="1:4" hidden="1" x14ac:dyDescent="0.3">
      <c r="A6950">
        <v>6948</v>
      </c>
      <c r="B6950" s="1" t="s">
        <v>9100</v>
      </c>
      <c r="C6950" t="s">
        <v>222</v>
      </c>
      <c r="D6950" s="1" t="s">
        <v>9101</v>
      </c>
    </row>
    <row r="6951" spans="1:4" hidden="1" x14ac:dyDescent="0.3">
      <c r="A6951">
        <v>6949</v>
      </c>
      <c r="B6951" t="s">
        <v>9102</v>
      </c>
      <c r="C6951" t="s">
        <v>225</v>
      </c>
      <c r="D6951">
        <v>101170223.119069</v>
      </c>
    </row>
    <row r="6952" spans="1:4" hidden="1" x14ac:dyDescent="0.3">
      <c r="A6952">
        <v>6950</v>
      </c>
      <c r="B6952" t="s">
        <v>9103</v>
      </c>
      <c r="C6952" t="s">
        <v>227</v>
      </c>
      <c r="D6952">
        <v>135.81071791052801</v>
      </c>
    </row>
    <row r="6953" spans="1:4" hidden="1" x14ac:dyDescent="0.3">
      <c r="A6953">
        <v>6951</v>
      </c>
      <c r="B6953" s="1" t="s">
        <v>9104</v>
      </c>
      <c r="C6953" t="s">
        <v>229</v>
      </c>
      <c r="D6953" s="1" t="s">
        <v>9105</v>
      </c>
    </row>
    <row r="6954" spans="1:4" hidden="1" x14ac:dyDescent="0.3">
      <c r="A6954">
        <v>6952</v>
      </c>
      <c r="B6954" t="s">
        <v>9106</v>
      </c>
      <c r="C6954" t="s">
        <v>112</v>
      </c>
      <c r="D6954">
        <v>-32.344971096819002</v>
      </c>
    </row>
    <row r="6955" spans="1:4" hidden="1" x14ac:dyDescent="0.3">
      <c r="A6955">
        <v>6953</v>
      </c>
      <c r="B6955" t="s">
        <v>9107</v>
      </c>
      <c r="C6955" t="s">
        <v>114</v>
      </c>
      <c r="D6955">
        <v>-10.153894430106501</v>
      </c>
    </row>
    <row r="6956" spans="1:4" hidden="1" x14ac:dyDescent="0.3">
      <c r="A6956">
        <v>6954</v>
      </c>
      <c r="B6956" s="1" t="s">
        <v>9108</v>
      </c>
      <c r="C6956" t="s">
        <v>116</v>
      </c>
      <c r="D6956" s="1" t="s">
        <v>9109</v>
      </c>
    </row>
    <row r="6957" spans="1:4" hidden="1" x14ac:dyDescent="0.3">
      <c r="A6957">
        <v>6955</v>
      </c>
      <c r="B6957" t="s">
        <v>9110</v>
      </c>
      <c r="C6957" t="s">
        <v>119</v>
      </c>
      <c r="D6957">
        <v>75621108.677071005</v>
      </c>
    </row>
    <row r="6958" spans="1:4" hidden="1" x14ac:dyDescent="0.3">
      <c r="A6958">
        <v>6956</v>
      </c>
      <c r="B6958" t="s">
        <v>9111</v>
      </c>
      <c r="C6958" t="s">
        <v>121</v>
      </c>
      <c r="D6958">
        <v>39319356.205815397</v>
      </c>
    </row>
    <row r="6959" spans="1:4" hidden="1" x14ac:dyDescent="0.3">
      <c r="A6959">
        <v>6957</v>
      </c>
      <c r="B6959" s="1" t="s">
        <v>9112</v>
      </c>
      <c r="C6959" t="s">
        <v>123</v>
      </c>
      <c r="D6959" s="1" t="s">
        <v>9113</v>
      </c>
    </row>
    <row r="6960" spans="1:4" hidden="1" x14ac:dyDescent="0.3">
      <c r="A6960">
        <v>6958</v>
      </c>
      <c r="B6960" t="s">
        <v>9114</v>
      </c>
      <c r="C6960" t="s">
        <v>126</v>
      </c>
      <c r="D6960">
        <v>0.747320634324251</v>
      </c>
    </row>
    <row r="6961" spans="1:4" hidden="1" x14ac:dyDescent="0.3">
      <c r="A6961">
        <v>6959</v>
      </c>
      <c r="B6961" t="s">
        <v>9115</v>
      </c>
      <c r="C6961" t="s">
        <v>128</v>
      </c>
      <c r="D6961">
        <v>0.38857095241002099</v>
      </c>
    </row>
    <row r="6962" spans="1:4" hidden="1" x14ac:dyDescent="0.3">
      <c r="A6962">
        <v>6960</v>
      </c>
      <c r="B6962" s="1" t="s">
        <v>9116</v>
      </c>
      <c r="C6962" t="s">
        <v>130</v>
      </c>
      <c r="D6962" s="1" t="s">
        <v>9117</v>
      </c>
    </row>
    <row r="6963" spans="1:4" hidden="1" x14ac:dyDescent="0.3">
      <c r="A6963">
        <v>6961</v>
      </c>
      <c r="B6963" s="1" t="s">
        <v>9118</v>
      </c>
      <c r="C6963" t="s">
        <v>4</v>
      </c>
      <c r="D6963" t="s">
        <v>9119</v>
      </c>
    </row>
    <row r="6964" spans="1:4" hidden="1" x14ac:dyDescent="0.3">
      <c r="A6964">
        <v>6962</v>
      </c>
      <c r="B6964" t="s">
        <v>9120</v>
      </c>
      <c r="C6964" t="s">
        <v>7</v>
      </c>
      <c r="D6964">
        <v>1757.13</v>
      </c>
    </row>
    <row r="6965" spans="1:4" hidden="1" x14ac:dyDescent="0.3">
      <c r="A6965">
        <v>6963</v>
      </c>
      <c r="B6965" s="1" t="s">
        <v>9121</v>
      </c>
      <c r="C6965" t="s">
        <v>9</v>
      </c>
      <c r="D6965" s="1" t="s">
        <v>9122</v>
      </c>
    </row>
    <row r="6966" spans="1:4" hidden="1" x14ac:dyDescent="0.3">
      <c r="A6966">
        <v>6964</v>
      </c>
      <c r="B6966" t="s">
        <v>9123</v>
      </c>
      <c r="C6966" t="s">
        <v>14</v>
      </c>
      <c r="D6966">
        <v>97.7421875</v>
      </c>
    </row>
    <row r="6967" spans="1:4" hidden="1" x14ac:dyDescent="0.3">
      <c r="A6967">
        <v>6965</v>
      </c>
      <c r="B6967" t="s">
        <v>9124</v>
      </c>
      <c r="C6967" t="s">
        <v>16</v>
      </c>
      <c r="D6967">
        <v>4.3731543507522197</v>
      </c>
    </row>
    <row r="6968" spans="1:4" hidden="1" x14ac:dyDescent="0.3">
      <c r="A6968">
        <v>6966</v>
      </c>
      <c r="B6968" s="1" t="s">
        <v>9125</v>
      </c>
      <c r="C6968" t="s">
        <v>140</v>
      </c>
      <c r="D6968" s="1" t="s">
        <v>9126</v>
      </c>
    </row>
    <row r="6969" spans="1:4" hidden="1" x14ac:dyDescent="0.3">
      <c r="A6969">
        <v>6967</v>
      </c>
      <c r="B6969" t="s">
        <v>9127</v>
      </c>
      <c r="C6969" t="s">
        <v>22</v>
      </c>
      <c r="D6969">
        <v>66.5</v>
      </c>
    </row>
    <row r="6970" spans="1:4" hidden="1" x14ac:dyDescent="0.3">
      <c r="A6970">
        <v>6968</v>
      </c>
      <c r="B6970" t="s">
        <v>9128</v>
      </c>
      <c r="C6970" t="s">
        <v>24</v>
      </c>
      <c r="D6970">
        <v>6.5105841167906799</v>
      </c>
    </row>
    <row r="6971" spans="1:4" hidden="1" x14ac:dyDescent="0.3">
      <c r="A6971">
        <v>6969</v>
      </c>
      <c r="B6971" s="1" t="s">
        <v>9129</v>
      </c>
      <c r="C6971" t="s">
        <v>145</v>
      </c>
      <c r="D6971" s="1" t="s">
        <v>9130</v>
      </c>
    </row>
    <row r="6972" spans="1:4" hidden="1" x14ac:dyDescent="0.3">
      <c r="A6972">
        <v>6970</v>
      </c>
      <c r="B6972" t="s">
        <v>9131</v>
      </c>
      <c r="C6972" t="s">
        <v>35</v>
      </c>
      <c r="D6972">
        <v>-0.235707544051552</v>
      </c>
    </row>
    <row r="6973" spans="1:4" hidden="1" x14ac:dyDescent="0.3">
      <c r="A6973">
        <v>6971</v>
      </c>
      <c r="B6973" t="s">
        <v>9132</v>
      </c>
      <c r="C6973" t="s">
        <v>149</v>
      </c>
      <c r="D6973">
        <v>0.75506813236357095</v>
      </c>
    </row>
    <row r="6974" spans="1:4" hidden="1" x14ac:dyDescent="0.3">
      <c r="A6974">
        <v>6972</v>
      </c>
      <c r="B6974" s="1" t="s">
        <v>9133</v>
      </c>
      <c r="C6974" t="s">
        <v>151</v>
      </c>
      <c r="D6974" s="1" t="s">
        <v>9134</v>
      </c>
    </row>
    <row r="6975" spans="1:4" hidden="1" x14ac:dyDescent="0.3">
      <c r="A6975">
        <v>6973</v>
      </c>
      <c r="B6975" t="s">
        <v>9135</v>
      </c>
      <c r="C6975" t="s">
        <v>30</v>
      </c>
      <c r="D6975">
        <v>0.48567300458567497</v>
      </c>
    </row>
    <row r="6976" spans="1:4" hidden="1" x14ac:dyDescent="0.3">
      <c r="A6976">
        <v>6974</v>
      </c>
      <c r="B6976" t="s">
        <v>9136</v>
      </c>
      <c r="C6976" t="s">
        <v>32</v>
      </c>
      <c r="D6976">
        <v>0.172291426366011</v>
      </c>
    </row>
    <row r="6977" spans="1:4" hidden="1" x14ac:dyDescent="0.3">
      <c r="A6977">
        <v>6975</v>
      </c>
      <c r="B6977" s="1" t="s">
        <v>9137</v>
      </c>
      <c r="C6977" t="s">
        <v>155</v>
      </c>
      <c r="D6977" s="1" t="s">
        <v>9138</v>
      </c>
    </row>
    <row r="6978" spans="1:4" hidden="1" x14ac:dyDescent="0.3">
      <c r="A6978">
        <v>6976</v>
      </c>
      <c r="B6978" t="s">
        <v>9139</v>
      </c>
      <c r="C6978" t="s">
        <v>40</v>
      </c>
      <c r="D6978">
        <v>0.75003453946587695</v>
      </c>
    </row>
    <row r="6979" spans="1:4" hidden="1" x14ac:dyDescent="0.3">
      <c r="A6979">
        <v>6977</v>
      </c>
      <c r="B6979" t="s">
        <v>9140</v>
      </c>
      <c r="C6979" t="s">
        <v>42</v>
      </c>
      <c r="D6979">
        <v>0.15209237045736099</v>
      </c>
    </row>
    <row r="6980" spans="1:4" hidden="1" x14ac:dyDescent="0.3">
      <c r="A6980">
        <v>6978</v>
      </c>
      <c r="B6980" s="1" t="s">
        <v>9141</v>
      </c>
      <c r="C6980" t="s">
        <v>159</v>
      </c>
      <c r="D6980" s="1" t="s">
        <v>9142</v>
      </c>
    </row>
    <row r="6981" spans="1:4" hidden="1" x14ac:dyDescent="0.3">
      <c r="A6981">
        <v>6979</v>
      </c>
      <c r="B6981" t="s">
        <v>9143</v>
      </c>
      <c r="C6981" t="s">
        <v>161</v>
      </c>
      <c r="D6981">
        <v>1.00076888904076</v>
      </c>
    </row>
    <row r="6982" spans="1:4" hidden="1" x14ac:dyDescent="0.3">
      <c r="A6982">
        <v>6980</v>
      </c>
      <c r="B6982" t="s">
        <v>9144</v>
      </c>
      <c r="C6982" t="s">
        <v>163</v>
      </c>
      <c r="D6982">
        <v>0.99879395049451603</v>
      </c>
    </row>
    <row r="6983" spans="1:4" hidden="1" x14ac:dyDescent="0.3">
      <c r="A6983">
        <v>6981</v>
      </c>
      <c r="B6983" s="1" t="s">
        <v>9145</v>
      </c>
      <c r="C6983" t="s">
        <v>165</v>
      </c>
      <c r="D6983" s="1" t="s">
        <v>9146</v>
      </c>
    </row>
    <row r="6984" spans="1:4" hidden="1" x14ac:dyDescent="0.3">
      <c r="A6984">
        <v>6982</v>
      </c>
      <c r="B6984" t="s">
        <v>9147</v>
      </c>
      <c r="C6984" t="s">
        <v>168</v>
      </c>
      <c r="D6984">
        <v>1.0003879438372201</v>
      </c>
    </row>
    <row r="6985" spans="1:4" hidden="1" x14ac:dyDescent="0.3">
      <c r="A6985">
        <v>6983</v>
      </c>
      <c r="B6985" t="s">
        <v>9148</v>
      </c>
      <c r="C6985" t="s">
        <v>170</v>
      </c>
      <c r="D6985">
        <v>0.99850672192601297</v>
      </c>
    </row>
    <row r="6986" spans="1:4" hidden="1" x14ac:dyDescent="0.3">
      <c r="A6986">
        <v>6984</v>
      </c>
      <c r="B6986" s="1" t="s">
        <v>9149</v>
      </c>
      <c r="C6986" t="s">
        <v>172</v>
      </c>
      <c r="D6986" s="1" t="s">
        <v>9150</v>
      </c>
    </row>
    <row r="6987" spans="1:4" hidden="1" x14ac:dyDescent="0.3">
      <c r="A6987">
        <v>6985</v>
      </c>
      <c r="B6987" s="1" t="s">
        <v>9151</v>
      </c>
      <c r="C6987" t="s">
        <v>55</v>
      </c>
      <c r="D6987" s="1" t="s">
        <v>9152</v>
      </c>
    </row>
    <row r="6988" spans="1:4" hidden="1" x14ac:dyDescent="0.3">
      <c r="A6988">
        <v>6986</v>
      </c>
      <c r="B6988" s="1" t="s">
        <v>9153</v>
      </c>
      <c r="C6988" t="s">
        <v>52</v>
      </c>
      <c r="D6988" s="1" t="s">
        <v>9154</v>
      </c>
    </row>
    <row r="6989" spans="1:4" hidden="1" x14ac:dyDescent="0.3">
      <c r="A6989">
        <v>6987</v>
      </c>
      <c r="B6989" s="1" t="s">
        <v>9155</v>
      </c>
      <c r="C6989" t="s">
        <v>58</v>
      </c>
      <c r="D6989" s="1" t="s">
        <v>9156</v>
      </c>
    </row>
    <row r="6990" spans="1:4" hidden="1" x14ac:dyDescent="0.3">
      <c r="A6990">
        <v>6988</v>
      </c>
      <c r="B6990" t="s">
        <v>9157</v>
      </c>
      <c r="C6990" t="s">
        <v>61</v>
      </c>
      <c r="D6990">
        <v>141587134.03189701</v>
      </c>
    </row>
    <row r="6991" spans="1:4" hidden="1" x14ac:dyDescent="0.3">
      <c r="A6991">
        <v>6989</v>
      </c>
      <c r="B6991" t="s">
        <v>9158</v>
      </c>
      <c r="C6991" t="s">
        <v>63</v>
      </c>
      <c r="D6991">
        <v>75679252.918783501</v>
      </c>
    </row>
    <row r="6992" spans="1:4" hidden="1" x14ac:dyDescent="0.3">
      <c r="A6992">
        <v>6990</v>
      </c>
      <c r="B6992" t="s">
        <v>9159</v>
      </c>
      <c r="C6992" t="s">
        <v>65</v>
      </c>
      <c r="D6992">
        <v>39271935.115707502</v>
      </c>
    </row>
    <row r="6993" spans="1:4" hidden="1" x14ac:dyDescent="0.3">
      <c r="A6993">
        <v>6991</v>
      </c>
      <c r="B6993" s="1" t="s">
        <v>9160</v>
      </c>
      <c r="C6993" t="s">
        <v>67</v>
      </c>
      <c r="D6993" s="1" t="s">
        <v>9161</v>
      </c>
    </row>
    <row r="6994" spans="1:4" hidden="1" x14ac:dyDescent="0.3">
      <c r="A6994">
        <v>6992</v>
      </c>
      <c r="B6994" s="1" t="s">
        <v>9162</v>
      </c>
      <c r="C6994" t="s">
        <v>70</v>
      </c>
      <c r="D6994" s="1" t="s">
        <v>9163</v>
      </c>
    </row>
    <row r="6995" spans="1:4" hidden="1" x14ac:dyDescent="0.3">
      <c r="A6995">
        <v>6993</v>
      </c>
      <c r="B6995" t="s">
        <v>9164</v>
      </c>
      <c r="C6995" t="s">
        <v>73</v>
      </c>
      <c r="D6995">
        <v>1.0001919589282</v>
      </c>
    </row>
    <row r="6996" spans="1:4" hidden="1" x14ac:dyDescent="0.3">
      <c r="A6996">
        <v>6994</v>
      </c>
      <c r="B6996" t="s">
        <v>74</v>
      </c>
      <c r="C6996" t="s">
        <v>75</v>
      </c>
      <c r="D6996">
        <v>2.7397260273972599E-3</v>
      </c>
    </row>
    <row r="6997" spans="1:4" hidden="1" x14ac:dyDescent="0.3">
      <c r="A6997">
        <v>6995</v>
      </c>
      <c r="B6997" t="s">
        <v>76</v>
      </c>
      <c r="C6997" t="s">
        <v>77</v>
      </c>
      <c r="D6997">
        <v>0</v>
      </c>
    </row>
    <row r="6998" spans="1:4" hidden="1" x14ac:dyDescent="0.3">
      <c r="A6998">
        <v>6996</v>
      </c>
      <c r="B6998" t="s">
        <v>78</v>
      </c>
      <c r="C6998" t="s">
        <v>79</v>
      </c>
      <c r="D6998">
        <v>0</v>
      </c>
    </row>
    <row r="6999" spans="1:4" hidden="1" x14ac:dyDescent="0.3">
      <c r="A6999">
        <v>6997</v>
      </c>
      <c r="B6999" s="1" t="s">
        <v>9165</v>
      </c>
      <c r="C6999" t="s">
        <v>81</v>
      </c>
      <c r="D6999" s="1" t="s">
        <v>9166</v>
      </c>
    </row>
    <row r="7000" spans="1:4" hidden="1" x14ac:dyDescent="0.3">
      <c r="A7000">
        <v>6998</v>
      </c>
      <c r="B7000" t="s">
        <v>9167</v>
      </c>
      <c r="C7000" t="s">
        <v>84</v>
      </c>
      <c r="D7000">
        <v>1.00021382180066</v>
      </c>
    </row>
    <row r="7001" spans="1:4" hidden="1" x14ac:dyDescent="0.3">
      <c r="A7001">
        <v>6999</v>
      </c>
      <c r="B7001" s="1" t="s">
        <v>9168</v>
      </c>
      <c r="C7001" t="s">
        <v>86</v>
      </c>
      <c r="D7001" s="1" t="s">
        <v>9169</v>
      </c>
    </row>
    <row r="7002" spans="1:4" hidden="1" x14ac:dyDescent="0.3">
      <c r="A7002">
        <v>7000</v>
      </c>
      <c r="B7002" t="s">
        <v>9170</v>
      </c>
      <c r="C7002" t="s">
        <v>89</v>
      </c>
      <c r="D7002">
        <v>101168147.527979</v>
      </c>
    </row>
    <row r="7003" spans="1:4" hidden="1" x14ac:dyDescent="0.3">
      <c r="A7003">
        <v>7001</v>
      </c>
      <c r="B7003" s="1" t="s">
        <v>9171</v>
      </c>
      <c r="C7003" t="s">
        <v>91</v>
      </c>
      <c r="D7003" s="1" t="s">
        <v>9105</v>
      </c>
    </row>
    <row r="7004" spans="1:4" hidden="1" x14ac:dyDescent="0.3">
      <c r="A7004">
        <v>7002</v>
      </c>
      <c r="B7004" t="s">
        <v>9172</v>
      </c>
      <c r="C7004" t="s">
        <v>94</v>
      </c>
      <c r="D7004">
        <v>75679252.918783501</v>
      </c>
    </row>
    <row r="7005" spans="1:4" hidden="1" x14ac:dyDescent="0.3">
      <c r="A7005">
        <v>7003</v>
      </c>
      <c r="B7005" t="s">
        <v>9173</v>
      </c>
      <c r="C7005" t="s">
        <v>96</v>
      </c>
      <c r="D7005">
        <v>39271935.115707502</v>
      </c>
    </row>
    <row r="7006" spans="1:4" hidden="1" x14ac:dyDescent="0.3">
      <c r="A7006">
        <v>7004</v>
      </c>
      <c r="B7006" t="s">
        <v>9174</v>
      </c>
      <c r="C7006" t="s">
        <v>98</v>
      </c>
      <c r="D7006">
        <v>26635945.997406799</v>
      </c>
    </row>
    <row r="7007" spans="1:4" hidden="1" x14ac:dyDescent="0.3">
      <c r="A7007">
        <v>7005</v>
      </c>
      <c r="B7007" s="1" t="s">
        <v>9175</v>
      </c>
      <c r="C7007" t="s">
        <v>100</v>
      </c>
      <c r="D7007" s="1" t="s">
        <v>9176</v>
      </c>
    </row>
    <row r="7008" spans="1:4" hidden="1" x14ac:dyDescent="0.3">
      <c r="A7008">
        <v>7006</v>
      </c>
      <c r="B7008" t="s">
        <v>9177</v>
      </c>
      <c r="C7008" t="s">
        <v>103</v>
      </c>
      <c r="D7008">
        <v>8.4401424376668206E-3</v>
      </c>
    </row>
    <row r="7009" spans="1:4" hidden="1" x14ac:dyDescent="0.3">
      <c r="A7009">
        <v>7007</v>
      </c>
      <c r="B7009" t="s">
        <v>9178</v>
      </c>
      <c r="C7009" t="s">
        <v>105</v>
      </c>
      <c r="D7009">
        <v>1.3372074479372201E-3</v>
      </c>
    </row>
    <row r="7010" spans="1:4" hidden="1" x14ac:dyDescent="0.3">
      <c r="A7010">
        <v>7008</v>
      </c>
      <c r="B7010" t="s">
        <v>9179</v>
      </c>
      <c r="C7010" t="s">
        <v>107</v>
      </c>
      <c r="D7010">
        <v>1.05647752092789E-2</v>
      </c>
    </row>
    <row r="7011" spans="1:4" hidden="1" x14ac:dyDescent="0.3">
      <c r="A7011">
        <v>7009</v>
      </c>
      <c r="B7011" s="1" t="s">
        <v>9180</v>
      </c>
      <c r="C7011" t="s">
        <v>109</v>
      </c>
      <c r="D7011" s="1" t="s">
        <v>9181</v>
      </c>
    </row>
    <row r="7012" spans="1:4" x14ac:dyDescent="0.3">
      <c r="A7012">
        <v>7010</v>
      </c>
      <c r="B7012" t="s">
        <v>9182</v>
      </c>
      <c r="C7012" t="s">
        <v>207</v>
      </c>
      <c r="D7012">
        <v>141587902.84500101</v>
      </c>
    </row>
    <row r="7013" spans="1:4" hidden="1" x14ac:dyDescent="0.3">
      <c r="A7013">
        <v>7011</v>
      </c>
      <c r="B7013" t="s">
        <v>9183</v>
      </c>
      <c r="C7013" t="s">
        <v>209</v>
      </c>
      <c r="D7013">
        <v>-1654.2602324583499</v>
      </c>
    </row>
    <row r="7014" spans="1:4" hidden="1" x14ac:dyDescent="0.3">
      <c r="A7014">
        <v>7012</v>
      </c>
      <c r="B7014" t="s">
        <v>9184</v>
      </c>
      <c r="C7014" t="s">
        <v>211</v>
      </c>
      <c r="D7014">
        <v>-858.43624792867604</v>
      </c>
    </row>
    <row r="7015" spans="1:4" hidden="1" x14ac:dyDescent="0.3">
      <c r="A7015">
        <v>7013</v>
      </c>
      <c r="B7015" s="1" t="s">
        <v>9185</v>
      </c>
      <c r="C7015" t="s">
        <v>213</v>
      </c>
      <c r="D7015" s="1" t="s">
        <v>9186</v>
      </c>
    </row>
    <row r="7016" spans="1:4" hidden="1" x14ac:dyDescent="0.3">
      <c r="A7016">
        <v>7014</v>
      </c>
      <c r="B7016" t="s">
        <v>9187</v>
      </c>
      <c r="C7016" t="s">
        <v>216</v>
      </c>
      <c r="D7016">
        <v>75681452.775920302</v>
      </c>
    </row>
    <row r="7017" spans="1:4" hidden="1" x14ac:dyDescent="0.3">
      <c r="A7017">
        <v>7015</v>
      </c>
      <c r="B7017" t="s">
        <v>9188</v>
      </c>
      <c r="C7017" t="s">
        <v>218</v>
      </c>
      <c r="D7017">
        <v>39272963.880782701</v>
      </c>
    </row>
    <row r="7018" spans="1:4" hidden="1" x14ac:dyDescent="0.3">
      <c r="A7018">
        <v>7016</v>
      </c>
      <c r="B7018" t="s">
        <v>9189</v>
      </c>
      <c r="C7018" t="s">
        <v>220</v>
      </c>
      <c r="D7018">
        <v>26636581.112461701</v>
      </c>
    </row>
    <row r="7019" spans="1:4" hidden="1" x14ac:dyDescent="0.3">
      <c r="A7019">
        <v>7017</v>
      </c>
      <c r="B7019" s="1" t="s">
        <v>9190</v>
      </c>
      <c r="C7019" t="s">
        <v>222</v>
      </c>
      <c r="D7019" s="1" t="s">
        <v>9191</v>
      </c>
    </row>
    <row r="7020" spans="1:4" hidden="1" x14ac:dyDescent="0.3">
      <c r="A7020">
        <v>7018</v>
      </c>
      <c r="B7020" t="s">
        <v>9192</v>
      </c>
      <c r="C7020" t="s">
        <v>225</v>
      </c>
      <c r="D7020">
        <v>101170358.929786</v>
      </c>
    </row>
    <row r="7021" spans="1:4" hidden="1" x14ac:dyDescent="0.3">
      <c r="A7021">
        <v>7019</v>
      </c>
      <c r="B7021" t="s">
        <v>9193</v>
      </c>
      <c r="C7021" t="s">
        <v>227</v>
      </c>
      <c r="D7021">
        <v>-2211.4018077403298</v>
      </c>
    </row>
    <row r="7022" spans="1:4" hidden="1" x14ac:dyDescent="0.3">
      <c r="A7022">
        <v>7020</v>
      </c>
      <c r="B7022" s="1" t="s">
        <v>9194</v>
      </c>
      <c r="C7022" t="s">
        <v>229</v>
      </c>
      <c r="D7022" s="1" t="s">
        <v>9195</v>
      </c>
    </row>
    <row r="7023" spans="1:4" hidden="1" x14ac:dyDescent="0.3">
      <c r="A7023">
        <v>7021</v>
      </c>
      <c r="B7023" t="s">
        <v>9196</v>
      </c>
      <c r="C7023" t="s">
        <v>112</v>
      </c>
      <c r="D7023">
        <v>545.59690427484099</v>
      </c>
    </row>
    <row r="7024" spans="1:4" hidden="1" x14ac:dyDescent="0.3">
      <c r="A7024">
        <v>7022</v>
      </c>
      <c r="B7024" t="s">
        <v>9197</v>
      </c>
      <c r="C7024" t="s">
        <v>114</v>
      </c>
      <c r="D7024">
        <v>170.32882732644401</v>
      </c>
    </row>
    <row r="7025" spans="1:4" hidden="1" x14ac:dyDescent="0.3">
      <c r="A7025">
        <v>7023</v>
      </c>
      <c r="B7025" s="1" t="s">
        <v>9198</v>
      </c>
      <c r="C7025" t="s">
        <v>116</v>
      </c>
      <c r="D7025" s="1" t="s">
        <v>9199</v>
      </c>
    </row>
    <row r="7026" spans="1:4" hidden="1" x14ac:dyDescent="0.3">
      <c r="A7026">
        <v>7024</v>
      </c>
      <c r="B7026" t="s">
        <v>9200</v>
      </c>
      <c r="C7026" t="s">
        <v>119</v>
      </c>
      <c r="D7026">
        <v>75681452.775920302</v>
      </c>
    </row>
    <row r="7027" spans="1:4" hidden="1" x14ac:dyDescent="0.3">
      <c r="A7027">
        <v>7025</v>
      </c>
      <c r="B7027" t="s">
        <v>9201</v>
      </c>
      <c r="C7027" t="s">
        <v>121</v>
      </c>
      <c r="D7027">
        <v>39272963.880782701</v>
      </c>
    </row>
    <row r="7028" spans="1:4" hidden="1" x14ac:dyDescent="0.3">
      <c r="A7028">
        <v>7026</v>
      </c>
      <c r="B7028" s="1" t="s">
        <v>9202</v>
      </c>
      <c r="C7028" t="s">
        <v>123</v>
      </c>
      <c r="D7028" s="1" t="s">
        <v>9203</v>
      </c>
    </row>
    <row r="7029" spans="1:4" hidden="1" x14ac:dyDescent="0.3">
      <c r="A7029">
        <v>7027</v>
      </c>
      <c r="B7029" t="s">
        <v>9204</v>
      </c>
      <c r="C7029" t="s">
        <v>126</v>
      </c>
      <c r="D7029">
        <v>0.74789962881639505</v>
      </c>
    </row>
    <row r="7030" spans="1:4" hidden="1" x14ac:dyDescent="0.3">
      <c r="A7030">
        <v>7028</v>
      </c>
      <c r="B7030" t="s">
        <v>9205</v>
      </c>
      <c r="C7030" t="s">
        <v>128</v>
      </c>
      <c r="D7030">
        <v>0.38810347887907498</v>
      </c>
    </row>
    <row r="7031" spans="1:4" hidden="1" x14ac:dyDescent="0.3">
      <c r="A7031">
        <v>7029</v>
      </c>
      <c r="B7031" s="1" t="s">
        <v>9206</v>
      </c>
      <c r="C7031" t="s">
        <v>130</v>
      </c>
      <c r="D7031" s="1" t="s">
        <v>9207</v>
      </c>
    </row>
    <row r="7032" spans="1:4" hidden="1" x14ac:dyDescent="0.3">
      <c r="A7032">
        <v>7030</v>
      </c>
      <c r="B7032" s="1" t="s">
        <v>9208</v>
      </c>
      <c r="C7032" t="s">
        <v>4</v>
      </c>
      <c r="D7032" t="s">
        <v>9209</v>
      </c>
    </row>
    <row r="7033" spans="1:4" hidden="1" x14ac:dyDescent="0.3">
      <c r="A7033">
        <v>7031</v>
      </c>
      <c r="B7033" t="s">
        <v>8851</v>
      </c>
      <c r="C7033" t="s">
        <v>7</v>
      </c>
      <c r="D7033">
        <v>1760.18</v>
      </c>
    </row>
    <row r="7034" spans="1:4" hidden="1" x14ac:dyDescent="0.3">
      <c r="A7034">
        <v>7032</v>
      </c>
      <c r="B7034" s="1" t="s">
        <v>9210</v>
      </c>
      <c r="C7034" t="s">
        <v>9</v>
      </c>
      <c r="D7034" s="1" t="s">
        <v>9211</v>
      </c>
    </row>
    <row r="7035" spans="1:4" hidden="1" x14ac:dyDescent="0.3">
      <c r="A7035">
        <v>7033</v>
      </c>
      <c r="B7035" t="s">
        <v>9212</v>
      </c>
      <c r="C7035" t="s">
        <v>14</v>
      </c>
      <c r="D7035">
        <v>97.67578125</v>
      </c>
    </row>
    <row r="7036" spans="1:4" hidden="1" x14ac:dyDescent="0.3">
      <c r="A7036">
        <v>7034</v>
      </c>
      <c r="B7036" t="s">
        <v>9213</v>
      </c>
      <c r="C7036" t="s">
        <v>16</v>
      </c>
      <c r="D7036">
        <v>4.3748160453420599</v>
      </c>
    </row>
    <row r="7037" spans="1:4" hidden="1" x14ac:dyDescent="0.3">
      <c r="A7037">
        <v>7035</v>
      </c>
      <c r="B7037" s="1" t="s">
        <v>9214</v>
      </c>
      <c r="C7037" t="s">
        <v>140</v>
      </c>
      <c r="D7037" s="1" t="s">
        <v>9215</v>
      </c>
    </row>
    <row r="7038" spans="1:4" hidden="1" x14ac:dyDescent="0.3">
      <c r="A7038">
        <v>7036</v>
      </c>
      <c r="B7038" t="s">
        <v>9216</v>
      </c>
      <c r="C7038" t="s">
        <v>22</v>
      </c>
      <c r="D7038">
        <v>67.25</v>
      </c>
    </row>
    <row r="7039" spans="1:4" hidden="1" x14ac:dyDescent="0.3">
      <c r="A7039">
        <v>7037</v>
      </c>
      <c r="B7039" t="s">
        <v>9217</v>
      </c>
      <c r="C7039" t="s">
        <v>24</v>
      </c>
      <c r="D7039">
        <v>6.4942373850323296</v>
      </c>
    </row>
    <row r="7040" spans="1:4" hidden="1" x14ac:dyDescent="0.3">
      <c r="A7040">
        <v>7038</v>
      </c>
      <c r="B7040" s="1" t="s">
        <v>9218</v>
      </c>
      <c r="C7040" t="s">
        <v>145</v>
      </c>
      <c r="D7040" s="1" t="s">
        <v>9219</v>
      </c>
    </row>
    <row r="7041" spans="1:4" hidden="1" x14ac:dyDescent="0.3">
      <c r="A7041">
        <v>7039</v>
      </c>
      <c r="B7041" t="s">
        <v>9220</v>
      </c>
      <c r="C7041" t="s">
        <v>35</v>
      </c>
      <c r="D7041">
        <v>6.9587114258333096E-2</v>
      </c>
    </row>
    <row r="7042" spans="1:4" hidden="1" x14ac:dyDescent="0.3">
      <c r="A7042">
        <v>7040</v>
      </c>
      <c r="B7042" t="s">
        <v>9221</v>
      </c>
      <c r="C7042" t="s">
        <v>149</v>
      </c>
      <c r="D7042">
        <v>0.75494534643518196</v>
      </c>
    </row>
    <row r="7043" spans="1:4" hidden="1" x14ac:dyDescent="0.3">
      <c r="A7043">
        <v>7041</v>
      </c>
      <c r="B7043" s="1" t="s">
        <v>9222</v>
      </c>
      <c r="C7043" t="s">
        <v>151</v>
      </c>
      <c r="D7043" s="1" t="s">
        <v>9223</v>
      </c>
    </row>
    <row r="7044" spans="1:4" hidden="1" x14ac:dyDescent="0.3">
      <c r="A7044">
        <v>7042</v>
      </c>
      <c r="B7044" t="s">
        <v>9224</v>
      </c>
      <c r="C7044" t="s">
        <v>30</v>
      </c>
      <c r="D7044">
        <v>0.37100458690152499</v>
      </c>
    </row>
    <row r="7045" spans="1:4" hidden="1" x14ac:dyDescent="0.3">
      <c r="A7045">
        <v>7043</v>
      </c>
      <c r="B7045" t="s">
        <v>9225</v>
      </c>
      <c r="C7045" t="s">
        <v>32</v>
      </c>
      <c r="D7045">
        <v>0.171239029187924</v>
      </c>
    </row>
    <row r="7046" spans="1:4" hidden="1" x14ac:dyDescent="0.3">
      <c r="A7046">
        <v>7044</v>
      </c>
      <c r="B7046" s="1" t="s">
        <v>9226</v>
      </c>
      <c r="C7046" t="s">
        <v>155</v>
      </c>
      <c r="D7046" s="1" t="s">
        <v>9227</v>
      </c>
    </row>
    <row r="7047" spans="1:4" hidden="1" x14ac:dyDescent="0.3">
      <c r="A7047">
        <v>7045</v>
      </c>
      <c r="B7047" t="s">
        <v>9228</v>
      </c>
      <c r="C7047" t="s">
        <v>40</v>
      </c>
      <c r="D7047">
        <v>0.55940829884014098</v>
      </c>
    </row>
    <row r="7048" spans="1:4" hidden="1" x14ac:dyDescent="0.3">
      <c r="A7048">
        <v>7046</v>
      </c>
      <c r="B7048" t="s">
        <v>9229</v>
      </c>
      <c r="C7048" t="s">
        <v>42</v>
      </c>
      <c r="D7048">
        <v>0.15336016825325899</v>
      </c>
    </row>
    <row r="7049" spans="1:4" hidden="1" x14ac:dyDescent="0.3">
      <c r="A7049">
        <v>7047</v>
      </c>
      <c r="B7049" s="1" t="s">
        <v>9230</v>
      </c>
      <c r="C7049" t="s">
        <v>159</v>
      </c>
      <c r="D7049" s="1" t="s">
        <v>9231</v>
      </c>
    </row>
    <row r="7050" spans="1:4" hidden="1" x14ac:dyDescent="0.3">
      <c r="A7050">
        <v>7048</v>
      </c>
      <c r="B7050" t="s">
        <v>9232</v>
      </c>
      <c r="C7050" t="s">
        <v>161</v>
      </c>
      <c r="D7050">
        <v>1.00173578505858</v>
      </c>
    </row>
    <row r="7051" spans="1:4" hidden="1" x14ac:dyDescent="0.3">
      <c r="A7051">
        <v>7049</v>
      </c>
      <c r="B7051" t="s">
        <v>9233</v>
      </c>
      <c r="C7051" t="s">
        <v>163</v>
      </c>
      <c r="D7051">
        <v>0.99936596642348996</v>
      </c>
    </row>
    <row r="7052" spans="1:4" hidden="1" x14ac:dyDescent="0.3">
      <c r="A7052">
        <v>7050</v>
      </c>
      <c r="B7052" s="1" t="s">
        <v>9234</v>
      </c>
      <c r="C7052" t="s">
        <v>165</v>
      </c>
      <c r="D7052" s="1" t="s">
        <v>9235</v>
      </c>
    </row>
    <row r="7053" spans="1:4" hidden="1" x14ac:dyDescent="0.3">
      <c r="A7053">
        <v>7051</v>
      </c>
      <c r="B7053" t="s">
        <v>9236</v>
      </c>
      <c r="C7053" t="s">
        <v>168</v>
      </c>
      <c r="D7053">
        <v>0.999930039224048</v>
      </c>
    </row>
    <row r="7054" spans="1:4" hidden="1" x14ac:dyDescent="0.3">
      <c r="A7054">
        <v>7052</v>
      </c>
      <c r="B7054" t="s">
        <v>9237</v>
      </c>
      <c r="C7054" t="s">
        <v>170</v>
      </c>
      <c r="D7054">
        <v>0.99910227341562097</v>
      </c>
    </row>
    <row r="7055" spans="1:4" hidden="1" x14ac:dyDescent="0.3">
      <c r="A7055">
        <v>7053</v>
      </c>
      <c r="B7055" s="1" t="s">
        <v>9238</v>
      </c>
      <c r="C7055" t="s">
        <v>172</v>
      </c>
      <c r="D7055" s="1" t="s">
        <v>9239</v>
      </c>
    </row>
    <row r="7056" spans="1:4" hidden="1" x14ac:dyDescent="0.3">
      <c r="A7056">
        <v>7054</v>
      </c>
      <c r="B7056" s="1" t="s">
        <v>9240</v>
      </c>
      <c r="C7056" t="s">
        <v>55</v>
      </c>
      <c r="D7056" s="1" t="s">
        <v>9241</v>
      </c>
    </row>
    <row r="7057" spans="1:4" hidden="1" x14ac:dyDescent="0.3">
      <c r="A7057">
        <v>7055</v>
      </c>
      <c r="B7057" s="1" t="s">
        <v>9242</v>
      </c>
      <c r="C7057" t="s">
        <v>52</v>
      </c>
      <c r="D7057" s="1" t="s">
        <v>9243</v>
      </c>
    </row>
    <row r="7058" spans="1:4" hidden="1" x14ac:dyDescent="0.3">
      <c r="A7058">
        <v>7056</v>
      </c>
      <c r="B7058" s="1" t="s">
        <v>9244</v>
      </c>
      <c r="C7058" t="s">
        <v>58</v>
      </c>
      <c r="D7058" s="1" t="s">
        <v>9245</v>
      </c>
    </row>
    <row r="7059" spans="1:4" hidden="1" x14ac:dyDescent="0.3">
      <c r="A7059">
        <v>7057</v>
      </c>
      <c r="B7059" t="s">
        <v>9246</v>
      </c>
      <c r="C7059" t="s">
        <v>61</v>
      </c>
      <c r="D7059">
        <v>141965124.151602</v>
      </c>
    </row>
    <row r="7060" spans="1:4" hidden="1" x14ac:dyDescent="0.3">
      <c r="A7060">
        <v>7058</v>
      </c>
      <c r="B7060" t="s">
        <v>9247</v>
      </c>
      <c r="C7060" t="s">
        <v>63</v>
      </c>
      <c r="D7060">
        <v>75812819.510861099</v>
      </c>
    </row>
    <row r="7061" spans="1:4" hidden="1" x14ac:dyDescent="0.3">
      <c r="A7061">
        <v>7059</v>
      </c>
      <c r="B7061" t="s">
        <v>9248</v>
      </c>
      <c r="C7061" t="s">
        <v>65</v>
      </c>
      <c r="D7061">
        <v>39248063.503033303</v>
      </c>
    </row>
    <row r="7062" spans="1:4" hidden="1" x14ac:dyDescent="0.3">
      <c r="A7062">
        <v>7060</v>
      </c>
      <c r="B7062" s="1" t="s">
        <v>9249</v>
      </c>
      <c r="C7062" t="s">
        <v>67</v>
      </c>
      <c r="D7062" s="1" t="s">
        <v>9250</v>
      </c>
    </row>
    <row r="7063" spans="1:4" hidden="1" x14ac:dyDescent="0.3">
      <c r="A7063">
        <v>7061</v>
      </c>
      <c r="B7063" s="1" t="s">
        <v>9251</v>
      </c>
      <c r="C7063" t="s">
        <v>70</v>
      </c>
      <c r="D7063" s="1" t="s">
        <v>9252</v>
      </c>
    </row>
    <row r="7064" spans="1:4" hidden="1" x14ac:dyDescent="0.3">
      <c r="A7064">
        <v>7062</v>
      </c>
      <c r="B7064" t="s">
        <v>9253</v>
      </c>
      <c r="C7064" t="s">
        <v>73</v>
      </c>
      <c r="D7064">
        <v>1.00021382180066</v>
      </c>
    </row>
    <row r="7065" spans="1:4" hidden="1" x14ac:dyDescent="0.3">
      <c r="A7065">
        <v>7063</v>
      </c>
      <c r="B7065" t="s">
        <v>74</v>
      </c>
      <c r="C7065" t="s">
        <v>75</v>
      </c>
      <c r="D7065">
        <v>2.7397260273972599E-3</v>
      </c>
    </row>
    <row r="7066" spans="1:4" hidden="1" x14ac:dyDescent="0.3">
      <c r="A7066">
        <v>7064</v>
      </c>
      <c r="B7066" t="s">
        <v>76</v>
      </c>
      <c r="C7066" t="s">
        <v>77</v>
      </c>
      <c r="D7066">
        <v>0</v>
      </c>
    </row>
    <row r="7067" spans="1:4" hidden="1" x14ac:dyDescent="0.3">
      <c r="A7067">
        <v>7065</v>
      </c>
      <c r="B7067" t="s">
        <v>78</v>
      </c>
      <c r="C7067" t="s">
        <v>79</v>
      </c>
      <c r="D7067">
        <v>0</v>
      </c>
    </row>
    <row r="7068" spans="1:4" hidden="1" x14ac:dyDescent="0.3">
      <c r="A7068">
        <v>7066</v>
      </c>
      <c r="B7068" s="1" t="s">
        <v>9254</v>
      </c>
      <c r="C7068" t="s">
        <v>81</v>
      </c>
      <c r="D7068" s="1" t="s">
        <v>9255</v>
      </c>
    </row>
    <row r="7069" spans="1:4" hidden="1" x14ac:dyDescent="0.3">
      <c r="A7069">
        <v>7067</v>
      </c>
      <c r="B7069" t="s">
        <v>9256</v>
      </c>
      <c r="C7069" t="s">
        <v>84</v>
      </c>
      <c r="D7069">
        <v>1.0001866964416899</v>
      </c>
    </row>
    <row r="7070" spans="1:4" hidden="1" x14ac:dyDescent="0.3">
      <c r="A7070">
        <v>7068</v>
      </c>
      <c r="B7070" s="1" t="s">
        <v>9257</v>
      </c>
      <c r="C7070" t="s">
        <v>86</v>
      </c>
      <c r="D7070" s="1" t="s">
        <v>9258</v>
      </c>
    </row>
    <row r="7071" spans="1:4" hidden="1" x14ac:dyDescent="0.3">
      <c r="A7071">
        <v>7069</v>
      </c>
      <c r="B7071" t="s">
        <v>9259</v>
      </c>
      <c r="C7071" t="s">
        <v>89</v>
      </c>
      <c r="D7071">
        <v>101170891.238056</v>
      </c>
    </row>
    <row r="7072" spans="1:4" hidden="1" x14ac:dyDescent="0.3">
      <c r="A7072">
        <v>7070</v>
      </c>
      <c r="B7072" s="1" t="s">
        <v>9260</v>
      </c>
      <c r="C7072" t="s">
        <v>91</v>
      </c>
      <c r="D7072" s="1" t="s">
        <v>9195</v>
      </c>
    </row>
    <row r="7073" spans="1:4" hidden="1" x14ac:dyDescent="0.3">
      <c r="A7073">
        <v>7071</v>
      </c>
      <c r="B7073" t="s">
        <v>9261</v>
      </c>
      <c r="C7073" t="s">
        <v>94</v>
      </c>
      <c r="D7073">
        <v>75812819.510861099</v>
      </c>
    </row>
    <row r="7074" spans="1:4" hidden="1" x14ac:dyDescent="0.3">
      <c r="A7074">
        <v>7072</v>
      </c>
      <c r="B7074" t="s">
        <v>9262</v>
      </c>
      <c r="C7074" t="s">
        <v>96</v>
      </c>
      <c r="D7074">
        <v>39248063.503033303</v>
      </c>
    </row>
    <row r="7075" spans="1:4" hidden="1" x14ac:dyDescent="0.3">
      <c r="A7075">
        <v>7073</v>
      </c>
      <c r="B7075" t="s">
        <v>9263</v>
      </c>
      <c r="C7075" t="s">
        <v>98</v>
      </c>
      <c r="D7075">
        <v>26904241.1377079</v>
      </c>
    </row>
    <row r="7076" spans="1:4" hidden="1" x14ac:dyDescent="0.3">
      <c r="A7076">
        <v>7074</v>
      </c>
      <c r="B7076" s="1" t="s">
        <v>9264</v>
      </c>
      <c r="C7076" t="s">
        <v>100</v>
      </c>
      <c r="D7076" s="1" t="s">
        <v>9265</v>
      </c>
    </row>
    <row r="7077" spans="1:4" hidden="1" x14ac:dyDescent="0.3">
      <c r="A7077">
        <v>7075</v>
      </c>
      <c r="B7077" t="s">
        <v>9266</v>
      </c>
      <c r="C7077" t="s">
        <v>103</v>
      </c>
      <c r="D7077">
        <v>8.4160173096483794E-3</v>
      </c>
    </row>
    <row r="7078" spans="1:4" hidden="1" x14ac:dyDescent="0.3">
      <c r="A7078">
        <v>7076</v>
      </c>
      <c r="B7078" t="s">
        <v>9267</v>
      </c>
      <c r="C7078" t="s">
        <v>105</v>
      </c>
      <c r="D7078">
        <v>1.32697388374905E-3</v>
      </c>
    </row>
    <row r="7079" spans="1:4" hidden="1" x14ac:dyDescent="0.3">
      <c r="A7079">
        <v>7077</v>
      </c>
      <c r="B7079" t="s">
        <v>9268</v>
      </c>
      <c r="C7079" t="s">
        <v>107</v>
      </c>
      <c r="D7079">
        <v>1.0581120919658999E-2</v>
      </c>
    </row>
    <row r="7080" spans="1:4" hidden="1" x14ac:dyDescent="0.3">
      <c r="A7080">
        <v>7078</v>
      </c>
      <c r="B7080" s="1" t="s">
        <v>9269</v>
      </c>
      <c r="C7080" t="s">
        <v>109</v>
      </c>
      <c r="D7080" s="1" t="s">
        <v>9270</v>
      </c>
    </row>
    <row r="7081" spans="1:4" x14ac:dyDescent="0.3">
      <c r="A7081">
        <v>7079</v>
      </c>
      <c r="B7081" t="s">
        <v>9271</v>
      </c>
      <c r="C7081" t="s">
        <v>207</v>
      </c>
      <c r="D7081">
        <v>141964171.07908201</v>
      </c>
    </row>
    <row r="7082" spans="1:4" hidden="1" x14ac:dyDescent="0.3">
      <c r="A7082">
        <v>7080</v>
      </c>
      <c r="B7082" t="s">
        <v>9272</v>
      </c>
      <c r="C7082" t="s">
        <v>209</v>
      </c>
      <c r="D7082">
        <v>2055.9911643707601</v>
      </c>
    </row>
    <row r="7083" spans="1:4" hidden="1" x14ac:dyDescent="0.3">
      <c r="A7083">
        <v>7081</v>
      </c>
      <c r="B7083" t="s">
        <v>9273</v>
      </c>
      <c r="C7083" t="s">
        <v>211</v>
      </c>
      <c r="D7083">
        <v>1064.38620211793</v>
      </c>
    </row>
    <row r="7084" spans="1:4" hidden="1" x14ac:dyDescent="0.3">
      <c r="A7084">
        <v>7082</v>
      </c>
      <c r="B7084" s="1" t="s">
        <v>9274</v>
      </c>
      <c r="C7084" t="s">
        <v>213</v>
      </c>
      <c r="D7084" s="1" t="s">
        <v>9275</v>
      </c>
    </row>
    <row r="7085" spans="1:4" hidden="1" x14ac:dyDescent="0.3">
      <c r="A7085">
        <v>7083</v>
      </c>
      <c r="B7085" t="s">
        <v>9276</v>
      </c>
      <c r="C7085" t="s">
        <v>216</v>
      </c>
      <c r="D7085">
        <v>75810057.021110997</v>
      </c>
    </row>
    <row r="7086" spans="1:4" hidden="1" x14ac:dyDescent="0.3">
      <c r="A7086">
        <v>7084</v>
      </c>
      <c r="B7086" t="s">
        <v>9277</v>
      </c>
      <c r="C7086" t="s">
        <v>218</v>
      </c>
      <c r="D7086">
        <v>39246850.897698201</v>
      </c>
    </row>
    <row r="7087" spans="1:4" hidden="1" x14ac:dyDescent="0.3">
      <c r="A7087">
        <v>7085</v>
      </c>
      <c r="B7087" t="s">
        <v>9278</v>
      </c>
      <c r="C7087" t="s">
        <v>220</v>
      </c>
      <c r="D7087">
        <v>26903413.154386502</v>
      </c>
    </row>
    <row r="7088" spans="1:4" hidden="1" x14ac:dyDescent="0.3">
      <c r="A7088">
        <v>7086</v>
      </c>
      <c r="B7088" s="1" t="s">
        <v>9279</v>
      </c>
      <c r="C7088" t="s">
        <v>222</v>
      </c>
      <c r="D7088" s="1" t="s">
        <v>9280</v>
      </c>
    </row>
    <row r="7089" spans="1:4" hidden="1" x14ac:dyDescent="0.3">
      <c r="A7089">
        <v>7087</v>
      </c>
      <c r="B7089" t="s">
        <v>9281</v>
      </c>
      <c r="C7089" t="s">
        <v>225</v>
      </c>
      <c r="D7089">
        <v>101168147.527979</v>
      </c>
    </row>
    <row r="7090" spans="1:4" hidden="1" x14ac:dyDescent="0.3">
      <c r="A7090">
        <v>7088</v>
      </c>
      <c r="B7090" t="s">
        <v>9282</v>
      </c>
      <c r="C7090" t="s">
        <v>227</v>
      </c>
      <c r="D7090">
        <v>2743.7100776135899</v>
      </c>
    </row>
    <row r="7091" spans="1:4" hidden="1" x14ac:dyDescent="0.3">
      <c r="A7091">
        <v>7089</v>
      </c>
      <c r="B7091" s="1" t="s">
        <v>9283</v>
      </c>
      <c r="C7091" t="s">
        <v>229</v>
      </c>
      <c r="D7091" s="1" t="s">
        <v>9284</v>
      </c>
    </row>
    <row r="7092" spans="1:4" hidden="1" x14ac:dyDescent="0.3">
      <c r="A7092">
        <v>7090</v>
      </c>
      <c r="B7092" t="s">
        <v>9285</v>
      </c>
      <c r="C7092" t="s">
        <v>112</v>
      </c>
      <c r="D7092">
        <v>-706.49858568034904</v>
      </c>
    </row>
    <row r="7093" spans="1:4" hidden="1" x14ac:dyDescent="0.3">
      <c r="A7093">
        <v>7091</v>
      </c>
      <c r="B7093" t="s">
        <v>9286</v>
      </c>
      <c r="C7093" t="s">
        <v>114</v>
      </c>
      <c r="D7093">
        <v>-148.21913290037801</v>
      </c>
    </row>
    <row r="7094" spans="1:4" hidden="1" x14ac:dyDescent="0.3">
      <c r="A7094">
        <v>7092</v>
      </c>
      <c r="B7094" s="1" t="s">
        <v>9287</v>
      </c>
      <c r="C7094" t="s">
        <v>116</v>
      </c>
      <c r="D7094" s="1" t="s">
        <v>9288</v>
      </c>
    </row>
    <row r="7095" spans="1:4" hidden="1" x14ac:dyDescent="0.3">
      <c r="A7095">
        <v>7093</v>
      </c>
      <c r="B7095" t="s">
        <v>9289</v>
      </c>
      <c r="C7095" t="s">
        <v>119</v>
      </c>
      <c r="D7095">
        <v>75810057.021110997</v>
      </c>
    </row>
    <row r="7096" spans="1:4" hidden="1" x14ac:dyDescent="0.3">
      <c r="A7096">
        <v>7094</v>
      </c>
      <c r="B7096" t="s">
        <v>9290</v>
      </c>
      <c r="C7096" t="s">
        <v>121</v>
      </c>
      <c r="D7096">
        <v>39246850.897698201</v>
      </c>
    </row>
    <row r="7097" spans="1:4" hidden="1" x14ac:dyDescent="0.3">
      <c r="A7097">
        <v>7095</v>
      </c>
      <c r="B7097" s="1" t="s">
        <v>9291</v>
      </c>
      <c r="C7097" t="s">
        <v>123</v>
      </c>
      <c r="D7097" s="1" t="s">
        <v>9292</v>
      </c>
    </row>
    <row r="7098" spans="1:4" hidden="1" x14ac:dyDescent="0.3">
      <c r="A7098">
        <v>7096</v>
      </c>
      <c r="B7098" t="s">
        <v>9293</v>
      </c>
      <c r="C7098" t="s">
        <v>126</v>
      </c>
      <c r="D7098">
        <v>0.74920721637378496</v>
      </c>
    </row>
    <row r="7099" spans="1:4" hidden="1" x14ac:dyDescent="0.3">
      <c r="A7099">
        <v>7097</v>
      </c>
      <c r="B7099" t="s">
        <v>9294</v>
      </c>
      <c r="C7099" t="s">
        <v>128</v>
      </c>
      <c r="D7099">
        <v>0.38786442152804701</v>
      </c>
    </row>
    <row r="7100" spans="1:4" hidden="1" x14ac:dyDescent="0.3">
      <c r="A7100">
        <v>7098</v>
      </c>
      <c r="B7100" s="1" t="s">
        <v>9295</v>
      </c>
      <c r="C7100" t="s">
        <v>130</v>
      </c>
      <c r="D7100" s="1" t="s">
        <v>9296</v>
      </c>
    </row>
    <row r="7101" spans="1:4" hidden="1" x14ac:dyDescent="0.3">
      <c r="A7101">
        <v>7099</v>
      </c>
      <c r="B7101" s="1" t="s">
        <v>9297</v>
      </c>
      <c r="C7101" t="s">
        <v>4</v>
      </c>
      <c r="D7101" t="s">
        <v>9298</v>
      </c>
    </row>
    <row r="7102" spans="1:4" hidden="1" x14ac:dyDescent="0.3">
      <c r="A7102">
        <v>7100</v>
      </c>
      <c r="B7102" t="s">
        <v>9299</v>
      </c>
      <c r="C7102" t="s">
        <v>7</v>
      </c>
      <c r="D7102">
        <v>1767.62</v>
      </c>
    </row>
    <row r="7103" spans="1:4" hidden="1" x14ac:dyDescent="0.3">
      <c r="A7103">
        <v>7101</v>
      </c>
      <c r="B7103" s="1" t="s">
        <v>9300</v>
      </c>
      <c r="C7103" t="s">
        <v>9</v>
      </c>
      <c r="D7103" s="1" t="s">
        <v>9301</v>
      </c>
    </row>
    <row r="7104" spans="1:4" hidden="1" x14ac:dyDescent="0.3">
      <c r="A7104">
        <v>7102</v>
      </c>
      <c r="B7104" t="s">
        <v>9302</v>
      </c>
      <c r="C7104" t="s">
        <v>14</v>
      </c>
      <c r="D7104">
        <v>97.43359375</v>
      </c>
    </row>
    <row r="7105" spans="1:4" hidden="1" x14ac:dyDescent="0.3">
      <c r="A7105">
        <v>7103</v>
      </c>
      <c r="B7105" t="s">
        <v>9303</v>
      </c>
      <c r="C7105" t="s">
        <v>16</v>
      </c>
      <c r="D7105">
        <v>4.3751259226030701</v>
      </c>
    </row>
    <row r="7106" spans="1:4" hidden="1" x14ac:dyDescent="0.3">
      <c r="A7106">
        <v>7104</v>
      </c>
      <c r="B7106" s="1" t="s">
        <v>9304</v>
      </c>
      <c r="C7106" t="s">
        <v>140</v>
      </c>
      <c r="D7106" s="1" t="s">
        <v>9305</v>
      </c>
    </row>
    <row r="7107" spans="1:4" hidden="1" x14ac:dyDescent="0.3">
      <c r="A7107">
        <v>7105</v>
      </c>
      <c r="B7107" t="s">
        <v>9306</v>
      </c>
      <c r="C7107" t="s">
        <v>22</v>
      </c>
      <c r="D7107">
        <v>68.400000000000006</v>
      </c>
    </row>
    <row r="7108" spans="1:4" hidden="1" x14ac:dyDescent="0.3">
      <c r="A7108">
        <v>7106</v>
      </c>
      <c r="B7108" t="s">
        <v>9307</v>
      </c>
      <c r="C7108" t="s">
        <v>24</v>
      </c>
      <c r="D7108">
        <v>6.4321374640099798</v>
      </c>
    </row>
    <row r="7109" spans="1:4" hidden="1" x14ac:dyDescent="0.3">
      <c r="A7109">
        <v>7107</v>
      </c>
      <c r="B7109" s="1" t="s">
        <v>9308</v>
      </c>
      <c r="C7109" t="s">
        <v>145</v>
      </c>
      <c r="D7109" s="1" t="s">
        <v>9309</v>
      </c>
    </row>
    <row r="7110" spans="1:4" hidden="1" x14ac:dyDescent="0.3">
      <c r="A7110">
        <v>7108</v>
      </c>
      <c r="B7110" t="s">
        <v>9310</v>
      </c>
      <c r="C7110" t="s">
        <v>35</v>
      </c>
      <c r="D7110">
        <v>-1.06241631068612</v>
      </c>
    </row>
    <row r="7111" spans="1:4" hidden="1" x14ac:dyDescent="0.3">
      <c r="A7111">
        <v>7109</v>
      </c>
      <c r="B7111" t="s">
        <v>9311</v>
      </c>
      <c r="C7111" t="s">
        <v>149</v>
      </c>
      <c r="D7111">
        <v>0.750289438022257</v>
      </c>
    </row>
    <row r="7112" spans="1:4" hidden="1" x14ac:dyDescent="0.3">
      <c r="A7112">
        <v>7110</v>
      </c>
      <c r="B7112" s="1" t="s">
        <v>9312</v>
      </c>
      <c r="C7112" t="s">
        <v>151</v>
      </c>
      <c r="D7112" s="1" t="s">
        <v>9313</v>
      </c>
    </row>
    <row r="7113" spans="1:4" hidden="1" x14ac:dyDescent="0.3">
      <c r="A7113">
        <v>7111</v>
      </c>
      <c r="B7113" t="s">
        <v>9314</v>
      </c>
      <c r="C7113" t="s">
        <v>30</v>
      </c>
      <c r="D7113">
        <v>0.80992119032295695</v>
      </c>
    </row>
    <row r="7114" spans="1:4" hidden="1" x14ac:dyDescent="0.3">
      <c r="A7114">
        <v>7112</v>
      </c>
      <c r="B7114" t="s">
        <v>9315</v>
      </c>
      <c r="C7114" t="s">
        <v>32</v>
      </c>
      <c r="D7114">
        <v>0.17440146428289399</v>
      </c>
    </row>
    <row r="7115" spans="1:4" hidden="1" x14ac:dyDescent="0.3">
      <c r="A7115">
        <v>7113</v>
      </c>
      <c r="B7115" s="1" t="s">
        <v>9316</v>
      </c>
      <c r="C7115" t="s">
        <v>155</v>
      </c>
      <c r="D7115" s="1" t="s">
        <v>9317</v>
      </c>
    </row>
    <row r="7116" spans="1:4" hidden="1" x14ac:dyDescent="0.3">
      <c r="A7116">
        <v>7114</v>
      </c>
      <c r="B7116" t="s">
        <v>9318</v>
      </c>
      <c r="C7116" t="s">
        <v>40</v>
      </c>
      <c r="D7116">
        <v>1.25249512036316</v>
      </c>
    </row>
    <row r="7117" spans="1:4" hidden="1" x14ac:dyDescent="0.3">
      <c r="A7117">
        <v>7115</v>
      </c>
      <c r="B7117" t="s">
        <v>9319</v>
      </c>
      <c r="C7117" t="s">
        <v>42</v>
      </c>
      <c r="D7117">
        <v>0.158417511066102</v>
      </c>
    </row>
    <row r="7118" spans="1:4" hidden="1" x14ac:dyDescent="0.3">
      <c r="A7118">
        <v>7116</v>
      </c>
      <c r="B7118" s="1" t="s">
        <v>9320</v>
      </c>
      <c r="C7118" t="s">
        <v>159</v>
      </c>
      <c r="D7118" s="1" t="s">
        <v>9321</v>
      </c>
    </row>
    <row r="7119" spans="1:4" hidden="1" x14ac:dyDescent="0.3">
      <c r="A7119">
        <v>7117</v>
      </c>
      <c r="B7119" t="s">
        <v>9322</v>
      </c>
      <c r="C7119" t="s">
        <v>161</v>
      </c>
      <c r="D7119">
        <v>1.00422684043677</v>
      </c>
    </row>
    <row r="7120" spans="1:4" hidden="1" x14ac:dyDescent="0.3">
      <c r="A7120">
        <v>7118</v>
      </c>
      <c r="B7120" t="s">
        <v>9323</v>
      </c>
      <c r="C7120" t="s">
        <v>163</v>
      </c>
      <c r="D7120">
        <v>0.99762982648657095</v>
      </c>
    </row>
    <row r="7121" spans="1:4" hidden="1" x14ac:dyDescent="0.3">
      <c r="A7121">
        <v>7119</v>
      </c>
      <c r="B7121" s="1" t="s">
        <v>9324</v>
      </c>
      <c r="C7121" t="s">
        <v>165</v>
      </c>
      <c r="D7121" s="1" t="s">
        <v>9325</v>
      </c>
    </row>
    <row r="7122" spans="1:4" hidden="1" x14ac:dyDescent="0.3">
      <c r="A7122">
        <v>7120</v>
      </c>
      <c r="B7122" t="s">
        <v>9326</v>
      </c>
      <c r="C7122" t="s">
        <v>168</v>
      </c>
      <c r="D7122">
        <v>0.99734697811394302</v>
      </c>
    </row>
    <row r="7123" spans="1:4" hidden="1" x14ac:dyDescent="0.3">
      <c r="A7123">
        <v>7121</v>
      </c>
      <c r="B7123" t="s">
        <v>9327</v>
      </c>
      <c r="C7123" t="s">
        <v>170</v>
      </c>
      <c r="D7123">
        <v>1.0027000765993599</v>
      </c>
    </row>
    <row r="7124" spans="1:4" hidden="1" x14ac:dyDescent="0.3">
      <c r="A7124">
        <v>7122</v>
      </c>
      <c r="B7124" s="1" t="s">
        <v>9328</v>
      </c>
      <c r="C7124" t="s">
        <v>172</v>
      </c>
      <c r="D7124" s="1" t="s">
        <v>9329</v>
      </c>
    </row>
    <row r="7125" spans="1:4" hidden="1" x14ac:dyDescent="0.3">
      <c r="A7125">
        <v>7123</v>
      </c>
      <c r="B7125" s="1" t="s">
        <v>9330</v>
      </c>
      <c r="C7125" t="s">
        <v>55</v>
      </c>
      <c r="D7125" s="1" t="s">
        <v>9331</v>
      </c>
    </row>
    <row r="7126" spans="1:4" hidden="1" x14ac:dyDescent="0.3">
      <c r="A7126">
        <v>7124</v>
      </c>
      <c r="B7126" s="1" t="s">
        <v>9332</v>
      </c>
      <c r="C7126" t="s">
        <v>52</v>
      </c>
      <c r="D7126" s="1" t="s">
        <v>9333</v>
      </c>
    </row>
    <row r="7127" spans="1:4" hidden="1" x14ac:dyDescent="0.3">
      <c r="A7127">
        <v>7125</v>
      </c>
      <c r="B7127" s="1" t="s">
        <v>9334</v>
      </c>
      <c r="C7127" t="s">
        <v>58</v>
      </c>
      <c r="D7127" s="1" t="s">
        <v>9335</v>
      </c>
    </row>
    <row r="7128" spans="1:4" hidden="1" x14ac:dyDescent="0.3">
      <c r="A7128">
        <v>7126</v>
      </c>
      <c r="B7128" t="s">
        <v>9336</v>
      </c>
      <c r="C7128" t="s">
        <v>61</v>
      </c>
      <c r="D7128">
        <v>142584624.54510599</v>
      </c>
    </row>
    <row r="7129" spans="1:4" hidden="1" x14ac:dyDescent="0.3">
      <c r="A7129">
        <v>7127</v>
      </c>
      <c r="B7129" t="s">
        <v>9337</v>
      </c>
      <c r="C7129" t="s">
        <v>63</v>
      </c>
      <c r="D7129">
        <v>76130494.035641998</v>
      </c>
    </row>
    <row r="7130" spans="1:4" hidden="1" x14ac:dyDescent="0.3">
      <c r="A7130">
        <v>7128</v>
      </c>
      <c r="B7130" t="s">
        <v>9338</v>
      </c>
      <c r="C7130" t="s">
        <v>65</v>
      </c>
      <c r="D7130">
        <v>39153829.051215</v>
      </c>
    </row>
    <row r="7131" spans="1:4" hidden="1" x14ac:dyDescent="0.3">
      <c r="A7131">
        <v>7129</v>
      </c>
      <c r="B7131" s="1" t="s">
        <v>9339</v>
      </c>
      <c r="C7131" t="s">
        <v>67</v>
      </c>
      <c r="D7131" s="1" t="s">
        <v>9340</v>
      </c>
    </row>
    <row r="7132" spans="1:4" hidden="1" x14ac:dyDescent="0.3">
      <c r="A7132">
        <v>7130</v>
      </c>
      <c r="B7132" s="1" t="s">
        <v>9341</v>
      </c>
      <c r="C7132" t="s">
        <v>70</v>
      </c>
      <c r="D7132" s="1" t="s">
        <v>9342</v>
      </c>
    </row>
    <row r="7133" spans="1:4" hidden="1" x14ac:dyDescent="0.3">
      <c r="A7133">
        <v>7131</v>
      </c>
      <c r="B7133" t="s">
        <v>9343</v>
      </c>
      <c r="C7133" t="s">
        <v>73</v>
      </c>
      <c r="D7133">
        <v>1.0001866964416899</v>
      </c>
    </row>
    <row r="7134" spans="1:4" hidden="1" x14ac:dyDescent="0.3">
      <c r="A7134">
        <v>7132</v>
      </c>
      <c r="B7134" t="s">
        <v>74</v>
      </c>
      <c r="C7134" t="s">
        <v>75</v>
      </c>
      <c r="D7134">
        <v>2.7397260273972599E-3</v>
      </c>
    </row>
    <row r="7135" spans="1:4" hidden="1" x14ac:dyDescent="0.3">
      <c r="A7135">
        <v>7133</v>
      </c>
      <c r="B7135" t="s">
        <v>76</v>
      </c>
      <c r="C7135" t="s">
        <v>77</v>
      </c>
      <c r="D7135">
        <v>0</v>
      </c>
    </row>
    <row r="7136" spans="1:4" hidden="1" x14ac:dyDescent="0.3">
      <c r="A7136">
        <v>7134</v>
      </c>
      <c r="B7136" t="s">
        <v>78</v>
      </c>
      <c r="C7136" t="s">
        <v>79</v>
      </c>
      <c r="D7136">
        <v>0</v>
      </c>
    </row>
    <row r="7137" spans="1:4" hidden="1" x14ac:dyDescent="0.3">
      <c r="A7137">
        <v>7135</v>
      </c>
      <c r="B7137" s="1" t="s">
        <v>9344</v>
      </c>
      <c r="C7137" t="s">
        <v>81</v>
      </c>
      <c r="D7137" s="1" t="s">
        <v>9345</v>
      </c>
    </row>
    <row r="7138" spans="1:4" hidden="1" x14ac:dyDescent="0.3">
      <c r="A7138">
        <v>7136</v>
      </c>
      <c r="B7138" t="s">
        <v>9346</v>
      </c>
      <c r="C7138" t="s">
        <v>84</v>
      </c>
      <c r="D7138">
        <v>1.0002034168026599</v>
      </c>
    </row>
    <row r="7139" spans="1:4" hidden="1" x14ac:dyDescent="0.3">
      <c r="A7139">
        <v>7137</v>
      </c>
      <c r="B7139" s="1" t="s">
        <v>9347</v>
      </c>
      <c r="C7139" t="s">
        <v>86</v>
      </c>
      <c r="D7139" s="1" t="s">
        <v>9348</v>
      </c>
    </row>
    <row r="7140" spans="1:4" hidden="1" x14ac:dyDescent="0.3">
      <c r="A7140">
        <v>7138</v>
      </c>
      <c r="B7140" t="s">
        <v>9349</v>
      </c>
      <c r="C7140" t="s">
        <v>89</v>
      </c>
      <c r="D7140">
        <v>101169199.96826801</v>
      </c>
    </row>
    <row r="7141" spans="1:4" hidden="1" x14ac:dyDescent="0.3">
      <c r="A7141">
        <v>7139</v>
      </c>
      <c r="B7141" s="1" t="s">
        <v>9350</v>
      </c>
      <c r="C7141" t="s">
        <v>91</v>
      </c>
      <c r="D7141" s="1" t="s">
        <v>9284</v>
      </c>
    </row>
    <row r="7142" spans="1:4" hidden="1" x14ac:dyDescent="0.3">
      <c r="A7142">
        <v>7140</v>
      </c>
      <c r="B7142" t="s">
        <v>9351</v>
      </c>
      <c r="C7142" t="s">
        <v>94</v>
      </c>
      <c r="D7142">
        <v>76130494.035641998</v>
      </c>
    </row>
    <row r="7143" spans="1:4" hidden="1" x14ac:dyDescent="0.3">
      <c r="A7143">
        <v>7141</v>
      </c>
      <c r="B7143" t="s">
        <v>9352</v>
      </c>
      <c r="C7143" t="s">
        <v>96</v>
      </c>
      <c r="D7143">
        <v>39153829.051215</v>
      </c>
    </row>
    <row r="7144" spans="1:4" hidden="1" x14ac:dyDescent="0.3">
      <c r="A7144">
        <v>7142</v>
      </c>
      <c r="B7144" t="s">
        <v>9353</v>
      </c>
      <c r="C7144" t="s">
        <v>98</v>
      </c>
      <c r="D7144">
        <v>27300301.458249599</v>
      </c>
    </row>
    <row r="7145" spans="1:4" hidden="1" x14ac:dyDescent="0.3">
      <c r="A7145">
        <v>7143</v>
      </c>
      <c r="B7145" s="1" t="s">
        <v>9354</v>
      </c>
      <c r="C7145" t="s">
        <v>100</v>
      </c>
      <c r="D7145" s="1" t="s">
        <v>9355</v>
      </c>
    </row>
    <row r="7146" spans="1:4" hidden="1" x14ac:dyDescent="0.3">
      <c r="A7146">
        <v>7144</v>
      </c>
      <c r="B7146" t="s">
        <v>9356</v>
      </c>
      <c r="C7146" t="s">
        <v>103</v>
      </c>
      <c r="D7146">
        <v>8.3633704188605194E-3</v>
      </c>
    </row>
    <row r="7147" spans="1:4" hidden="1" x14ac:dyDescent="0.3">
      <c r="A7147">
        <v>7145</v>
      </c>
      <c r="B7147" t="s">
        <v>9357</v>
      </c>
      <c r="C7147" t="s">
        <v>105</v>
      </c>
      <c r="D7147">
        <v>1.34688953347338E-3</v>
      </c>
    </row>
    <row r="7148" spans="1:4" hidden="1" x14ac:dyDescent="0.3">
      <c r="A7148">
        <v>7146</v>
      </c>
      <c r="B7148" t="s">
        <v>9358</v>
      </c>
      <c r="C7148" t="s">
        <v>107</v>
      </c>
      <c r="D7148">
        <v>1.07202918011384E-2</v>
      </c>
    </row>
    <row r="7149" spans="1:4" hidden="1" x14ac:dyDescent="0.3">
      <c r="A7149">
        <v>7147</v>
      </c>
      <c r="B7149" s="1" t="s">
        <v>9359</v>
      </c>
      <c r="C7149" t="s">
        <v>109</v>
      </c>
      <c r="D7149" s="1" t="s">
        <v>9360</v>
      </c>
    </row>
    <row r="7150" spans="1:4" x14ac:dyDescent="0.3">
      <c r="A7150">
        <v>7148</v>
      </c>
      <c r="B7150" t="s">
        <v>9361</v>
      </c>
      <c r="C7150" t="s">
        <v>207</v>
      </c>
      <c r="D7150">
        <v>142585210.969823</v>
      </c>
    </row>
    <row r="7151" spans="1:4" hidden="1" x14ac:dyDescent="0.3">
      <c r="A7151">
        <v>7149</v>
      </c>
      <c r="B7151" t="s">
        <v>9362</v>
      </c>
      <c r="C7151" t="s">
        <v>209</v>
      </c>
      <c r="D7151">
        <v>-1272.6987169946001</v>
      </c>
    </row>
    <row r="7152" spans="1:4" hidden="1" x14ac:dyDescent="0.3">
      <c r="A7152">
        <v>7150</v>
      </c>
      <c r="B7152" t="s">
        <v>9363</v>
      </c>
      <c r="C7152" t="s">
        <v>211</v>
      </c>
      <c r="D7152">
        <v>-654.54607622664003</v>
      </c>
    </row>
    <row r="7153" spans="1:4" hidden="1" x14ac:dyDescent="0.3">
      <c r="A7153">
        <v>7151</v>
      </c>
      <c r="B7153" s="1" t="s">
        <v>9364</v>
      </c>
      <c r="C7153" t="s">
        <v>213</v>
      </c>
      <c r="D7153" s="1" t="s">
        <v>9365</v>
      </c>
    </row>
    <row r="7154" spans="1:4" hidden="1" x14ac:dyDescent="0.3">
      <c r="A7154">
        <v>7152</v>
      </c>
      <c r="B7154" t="s">
        <v>9366</v>
      </c>
      <c r="C7154" t="s">
        <v>216</v>
      </c>
      <c r="D7154">
        <v>76132184.440503001</v>
      </c>
    </row>
    <row r="7155" spans="1:4" hidden="1" x14ac:dyDescent="0.3">
      <c r="A7155">
        <v>7153</v>
      </c>
      <c r="B7155" t="s">
        <v>9367</v>
      </c>
      <c r="C7155" t="s">
        <v>218</v>
      </c>
      <c r="D7155">
        <v>39154610.541109897</v>
      </c>
    </row>
    <row r="7156" spans="1:4" hidden="1" x14ac:dyDescent="0.3">
      <c r="A7156">
        <v>7154</v>
      </c>
      <c r="B7156" t="s">
        <v>9368</v>
      </c>
      <c r="C7156" t="s">
        <v>220</v>
      </c>
      <c r="D7156">
        <v>27300799.6193919</v>
      </c>
    </row>
    <row r="7157" spans="1:4" hidden="1" x14ac:dyDescent="0.3">
      <c r="A7157">
        <v>7155</v>
      </c>
      <c r="B7157" s="1" t="s">
        <v>9369</v>
      </c>
      <c r="C7157" t="s">
        <v>222</v>
      </c>
      <c r="D7157" s="1" t="s">
        <v>9370</v>
      </c>
    </row>
    <row r="7158" spans="1:4" hidden="1" x14ac:dyDescent="0.3">
      <c r="A7158">
        <v>7156</v>
      </c>
      <c r="B7158" t="s">
        <v>9371</v>
      </c>
      <c r="C7158" t="s">
        <v>225</v>
      </c>
      <c r="D7158">
        <v>101170891.238056</v>
      </c>
    </row>
    <row r="7159" spans="1:4" hidden="1" x14ac:dyDescent="0.3">
      <c r="A7159">
        <v>7157</v>
      </c>
      <c r="B7159" t="s">
        <v>9372</v>
      </c>
      <c r="C7159" t="s">
        <v>227</v>
      </c>
      <c r="D7159">
        <v>-1691.26978848874</v>
      </c>
    </row>
    <row r="7160" spans="1:4" hidden="1" x14ac:dyDescent="0.3">
      <c r="A7160">
        <v>7158</v>
      </c>
      <c r="B7160" s="1" t="s">
        <v>9373</v>
      </c>
      <c r="C7160" t="s">
        <v>229</v>
      </c>
      <c r="D7160" s="1" t="s">
        <v>9374</v>
      </c>
    </row>
    <row r="7161" spans="1:4" hidden="1" x14ac:dyDescent="0.3">
      <c r="A7161">
        <v>7159</v>
      </c>
      <c r="B7161" t="s">
        <v>9375</v>
      </c>
      <c r="C7161" t="s">
        <v>112</v>
      </c>
      <c r="D7161">
        <v>417.70614401386399</v>
      </c>
    </row>
    <row r="7162" spans="1:4" hidden="1" x14ac:dyDescent="0.3">
      <c r="A7162">
        <v>7160</v>
      </c>
      <c r="B7162" t="s">
        <v>9376</v>
      </c>
      <c r="C7162" t="s">
        <v>114</v>
      </c>
      <c r="D7162">
        <v>126.943818644545</v>
      </c>
    </row>
    <row r="7163" spans="1:4" hidden="1" x14ac:dyDescent="0.3">
      <c r="A7163">
        <v>7161</v>
      </c>
      <c r="B7163" s="1" t="s">
        <v>9377</v>
      </c>
      <c r="C7163" t="s">
        <v>116</v>
      </c>
      <c r="D7163" s="1" t="s">
        <v>9378</v>
      </c>
    </row>
    <row r="7164" spans="1:4" hidden="1" x14ac:dyDescent="0.3">
      <c r="A7164">
        <v>7162</v>
      </c>
      <c r="B7164" t="s">
        <v>9379</v>
      </c>
      <c r="C7164" t="s">
        <v>119</v>
      </c>
      <c r="D7164">
        <v>76132184.440503001</v>
      </c>
    </row>
    <row r="7165" spans="1:4" hidden="1" x14ac:dyDescent="0.3">
      <c r="A7165">
        <v>7163</v>
      </c>
      <c r="B7165" t="s">
        <v>9380</v>
      </c>
      <c r="C7165" t="s">
        <v>121</v>
      </c>
      <c r="D7165">
        <v>39154610.541109897</v>
      </c>
    </row>
    <row r="7166" spans="1:4" hidden="1" x14ac:dyDescent="0.3">
      <c r="A7166">
        <v>7164</v>
      </c>
      <c r="B7166" s="1" t="s">
        <v>9381</v>
      </c>
      <c r="C7166" t="s">
        <v>123</v>
      </c>
      <c r="D7166" s="1" t="s">
        <v>9382</v>
      </c>
    </row>
    <row r="7167" spans="1:4" hidden="1" x14ac:dyDescent="0.3">
      <c r="A7167">
        <v>7165</v>
      </c>
      <c r="B7167" t="s">
        <v>9383</v>
      </c>
      <c r="C7167" t="s">
        <v>126</v>
      </c>
      <c r="D7167">
        <v>0.75235771962755205</v>
      </c>
    </row>
    <row r="7168" spans="1:4" hidden="1" x14ac:dyDescent="0.3">
      <c r="A7168">
        <v>7166</v>
      </c>
      <c r="B7168" t="s">
        <v>9384</v>
      </c>
      <c r="C7168" t="s">
        <v>128</v>
      </c>
      <c r="D7168">
        <v>0.38693587628023302</v>
      </c>
    </row>
    <row r="7169" spans="1:4" hidden="1" x14ac:dyDescent="0.3">
      <c r="A7169">
        <v>7167</v>
      </c>
      <c r="B7169" s="1" t="s">
        <v>9385</v>
      </c>
      <c r="C7169" t="s">
        <v>130</v>
      </c>
      <c r="D7169" s="1" t="s">
        <v>9386</v>
      </c>
    </row>
    <row r="7170" spans="1:4" hidden="1" x14ac:dyDescent="0.3">
      <c r="A7170">
        <v>7168</v>
      </c>
      <c r="B7170" s="1" t="s">
        <v>9387</v>
      </c>
      <c r="C7170" t="s">
        <v>4</v>
      </c>
      <c r="D7170" t="s">
        <v>9388</v>
      </c>
    </row>
    <row r="7171" spans="1:4" hidden="1" x14ac:dyDescent="0.3">
      <c r="A7171">
        <v>7169</v>
      </c>
      <c r="B7171" t="s">
        <v>9389</v>
      </c>
      <c r="C7171" t="s">
        <v>7</v>
      </c>
      <c r="D7171">
        <v>1764.86</v>
      </c>
    </row>
    <row r="7172" spans="1:4" hidden="1" x14ac:dyDescent="0.3">
      <c r="A7172">
        <v>7170</v>
      </c>
      <c r="B7172" s="1" t="s">
        <v>9390</v>
      </c>
      <c r="C7172" t="s">
        <v>9</v>
      </c>
      <c r="D7172" s="1" t="s">
        <v>9391</v>
      </c>
    </row>
    <row r="7173" spans="1:4" hidden="1" x14ac:dyDescent="0.3">
      <c r="A7173">
        <v>7171</v>
      </c>
      <c r="B7173" t="s">
        <v>9392</v>
      </c>
      <c r="C7173" t="s">
        <v>14</v>
      </c>
      <c r="D7173">
        <v>97.2421875</v>
      </c>
    </row>
    <row r="7174" spans="1:4" hidden="1" x14ac:dyDescent="0.3">
      <c r="A7174">
        <v>7172</v>
      </c>
      <c r="B7174" t="s">
        <v>9393</v>
      </c>
      <c r="C7174" t="s">
        <v>16</v>
      </c>
      <c r="D7174">
        <v>4.3753708255996697</v>
      </c>
    </row>
    <row r="7175" spans="1:4" hidden="1" x14ac:dyDescent="0.3">
      <c r="A7175">
        <v>7173</v>
      </c>
      <c r="B7175" s="1" t="s">
        <v>9394</v>
      </c>
      <c r="C7175" t="s">
        <v>140</v>
      </c>
      <c r="D7175" s="1" t="s">
        <v>9395</v>
      </c>
    </row>
    <row r="7176" spans="1:4" hidden="1" x14ac:dyDescent="0.3">
      <c r="A7176">
        <v>7174</v>
      </c>
      <c r="B7176" t="s">
        <v>9396</v>
      </c>
      <c r="C7176" t="s">
        <v>22</v>
      </c>
      <c r="D7176">
        <v>68.2</v>
      </c>
    </row>
    <row r="7177" spans="1:4" hidden="1" x14ac:dyDescent="0.3">
      <c r="A7177">
        <v>7175</v>
      </c>
      <c r="B7177" t="s">
        <v>9397</v>
      </c>
      <c r="C7177" t="s">
        <v>24</v>
      </c>
      <c r="D7177">
        <v>6.4472123526214196</v>
      </c>
    </row>
    <row r="7178" spans="1:4" hidden="1" x14ac:dyDescent="0.3">
      <c r="A7178">
        <v>7176</v>
      </c>
      <c r="B7178" s="1" t="s">
        <v>9398</v>
      </c>
      <c r="C7178" t="s">
        <v>145</v>
      </c>
      <c r="D7178" s="1" t="s">
        <v>9399</v>
      </c>
    </row>
    <row r="7179" spans="1:4" hidden="1" x14ac:dyDescent="0.3">
      <c r="A7179">
        <v>7177</v>
      </c>
      <c r="B7179" t="s">
        <v>9400</v>
      </c>
      <c r="C7179" t="s">
        <v>35</v>
      </c>
      <c r="D7179">
        <v>0.30661183274703702</v>
      </c>
    </row>
    <row r="7180" spans="1:4" hidden="1" x14ac:dyDescent="0.3">
      <c r="A7180">
        <v>7178</v>
      </c>
      <c r="B7180" t="s">
        <v>9401</v>
      </c>
      <c r="C7180" t="s">
        <v>149</v>
      </c>
      <c r="D7180">
        <v>0.74833249286688996</v>
      </c>
    </row>
    <row r="7181" spans="1:4" hidden="1" x14ac:dyDescent="0.3">
      <c r="A7181">
        <v>7179</v>
      </c>
      <c r="B7181" s="1" t="s">
        <v>9402</v>
      </c>
      <c r="C7181" t="s">
        <v>151</v>
      </c>
      <c r="D7181" s="1" t="s">
        <v>9403</v>
      </c>
    </row>
    <row r="7182" spans="1:4" hidden="1" x14ac:dyDescent="0.3">
      <c r="A7182">
        <v>7180</v>
      </c>
      <c r="B7182" t="s">
        <v>9404</v>
      </c>
      <c r="C7182" t="s">
        <v>30</v>
      </c>
      <c r="D7182">
        <v>0.26817379650395201</v>
      </c>
    </row>
    <row r="7183" spans="1:4" hidden="1" x14ac:dyDescent="0.3">
      <c r="A7183">
        <v>7181</v>
      </c>
      <c r="B7183" t="s">
        <v>9405</v>
      </c>
      <c r="C7183" t="s">
        <v>32</v>
      </c>
      <c r="D7183">
        <v>0.176804134425915</v>
      </c>
    </row>
    <row r="7184" spans="1:4" hidden="1" x14ac:dyDescent="0.3">
      <c r="A7184">
        <v>7182</v>
      </c>
      <c r="B7184" s="1" t="s">
        <v>9406</v>
      </c>
      <c r="C7184" t="s">
        <v>155</v>
      </c>
      <c r="D7184" s="1" t="s">
        <v>9407</v>
      </c>
    </row>
    <row r="7185" spans="1:4" hidden="1" x14ac:dyDescent="0.3">
      <c r="A7185">
        <v>7183</v>
      </c>
      <c r="B7185" t="s">
        <v>9408</v>
      </c>
      <c r="C7185" t="s">
        <v>40</v>
      </c>
      <c r="D7185">
        <v>0.42521437074900997</v>
      </c>
    </row>
    <row r="7186" spans="1:4" hidden="1" x14ac:dyDescent="0.3">
      <c r="A7186">
        <v>7184</v>
      </c>
      <c r="B7186" t="s">
        <v>9409</v>
      </c>
      <c r="C7186" t="s">
        <v>42</v>
      </c>
      <c r="D7186">
        <v>0.15950026172420001</v>
      </c>
    </row>
    <row r="7187" spans="1:4" hidden="1" x14ac:dyDescent="0.3">
      <c r="A7187">
        <v>7185</v>
      </c>
      <c r="B7187" s="1" t="s">
        <v>9410</v>
      </c>
      <c r="C7187" t="s">
        <v>159</v>
      </c>
      <c r="D7187" s="1" t="s">
        <v>9411</v>
      </c>
    </row>
    <row r="7188" spans="1:4" hidden="1" x14ac:dyDescent="0.3">
      <c r="A7188">
        <v>7186</v>
      </c>
      <c r="B7188" t="s">
        <v>9412</v>
      </c>
      <c r="C7188" t="s">
        <v>161</v>
      </c>
      <c r="D7188">
        <v>0.99843857842748995</v>
      </c>
    </row>
    <row r="7189" spans="1:4" hidden="1" x14ac:dyDescent="0.3">
      <c r="A7189">
        <v>7187</v>
      </c>
      <c r="B7189" t="s">
        <v>9413</v>
      </c>
      <c r="C7189" t="s">
        <v>163</v>
      </c>
      <c r="D7189">
        <v>0.99812234799123101</v>
      </c>
    </row>
    <row r="7190" spans="1:4" hidden="1" x14ac:dyDescent="0.3">
      <c r="A7190">
        <v>7188</v>
      </c>
      <c r="B7190" s="1" t="s">
        <v>9414</v>
      </c>
      <c r="C7190" t="s">
        <v>165</v>
      </c>
      <c r="D7190" s="1" t="s">
        <v>9415</v>
      </c>
    </row>
    <row r="7191" spans="1:4" hidden="1" x14ac:dyDescent="0.3">
      <c r="A7191">
        <v>7189</v>
      </c>
      <c r="B7191" t="s">
        <v>9416</v>
      </c>
      <c r="C7191" t="s">
        <v>168</v>
      </c>
      <c r="D7191">
        <v>0.99888193054653895</v>
      </c>
    </row>
    <row r="7192" spans="1:4" hidden="1" x14ac:dyDescent="0.3">
      <c r="A7192">
        <v>7190</v>
      </c>
      <c r="B7192" t="s">
        <v>9417</v>
      </c>
      <c r="C7192" t="s">
        <v>170</v>
      </c>
      <c r="D7192">
        <v>1.0020458678025199</v>
      </c>
    </row>
    <row r="7193" spans="1:4" hidden="1" x14ac:dyDescent="0.3">
      <c r="A7193">
        <v>7191</v>
      </c>
      <c r="B7193" s="1" t="s">
        <v>9418</v>
      </c>
      <c r="C7193" t="s">
        <v>172</v>
      </c>
      <c r="D7193" s="1" t="s">
        <v>9419</v>
      </c>
    </row>
    <row r="7194" spans="1:4" hidden="1" x14ac:dyDescent="0.3">
      <c r="A7194">
        <v>7192</v>
      </c>
      <c r="B7194" s="1" t="s">
        <v>9420</v>
      </c>
      <c r="C7194" t="s">
        <v>55</v>
      </c>
      <c r="D7194" s="1" t="s">
        <v>9421</v>
      </c>
    </row>
    <row r="7195" spans="1:4" hidden="1" x14ac:dyDescent="0.3">
      <c r="A7195">
        <v>7193</v>
      </c>
      <c r="B7195" s="1" t="s">
        <v>9422</v>
      </c>
      <c r="C7195" t="s">
        <v>52</v>
      </c>
      <c r="D7195" s="1" t="s">
        <v>9423</v>
      </c>
    </row>
    <row r="7196" spans="1:4" hidden="1" x14ac:dyDescent="0.3">
      <c r="A7196">
        <v>7194</v>
      </c>
      <c r="B7196" s="1" t="s">
        <v>9424</v>
      </c>
      <c r="C7196" t="s">
        <v>58</v>
      </c>
      <c r="D7196" s="1" t="s">
        <v>9425</v>
      </c>
    </row>
    <row r="7197" spans="1:4" hidden="1" x14ac:dyDescent="0.3">
      <c r="A7197">
        <v>7195</v>
      </c>
      <c r="B7197" t="s">
        <v>9426</v>
      </c>
      <c r="C7197" t="s">
        <v>61</v>
      </c>
      <c r="D7197">
        <v>142327735.72104099</v>
      </c>
    </row>
    <row r="7198" spans="1:4" hidden="1" x14ac:dyDescent="0.3">
      <c r="A7198">
        <v>7196</v>
      </c>
      <c r="B7198" t="s">
        <v>9427</v>
      </c>
      <c r="C7198" t="s">
        <v>63</v>
      </c>
      <c r="D7198">
        <v>76013310.005355299</v>
      </c>
    </row>
    <row r="7199" spans="1:4" hidden="1" x14ac:dyDescent="0.3">
      <c r="A7199">
        <v>7197</v>
      </c>
      <c r="B7199" t="s">
        <v>9428</v>
      </c>
      <c r="C7199" t="s">
        <v>65</v>
      </c>
      <c r="D7199">
        <v>39081091.807974897</v>
      </c>
    </row>
    <row r="7200" spans="1:4" hidden="1" x14ac:dyDescent="0.3">
      <c r="A7200">
        <v>7198</v>
      </c>
      <c r="B7200" s="1" t="s">
        <v>9429</v>
      </c>
      <c r="C7200" t="s">
        <v>67</v>
      </c>
      <c r="D7200" s="1" t="s">
        <v>9430</v>
      </c>
    </row>
    <row r="7201" spans="1:4" hidden="1" x14ac:dyDescent="0.3">
      <c r="A7201">
        <v>7199</v>
      </c>
      <c r="B7201" s="1" t="s">
        <v>9431</v>
      </c>
      <c r="C7201" t="s">
        <v>70</v>
      </c>
      <c r="D7201" s="1" t="s">
        <v>9432</v>
      </c>
    </row>
    <row r="7202" spans="1:4" hidden="1" x14ac:dyDescent="0.3">
      <c r="A7202">
        <v>7200</v>
      </c>
      <c r="B7202" t="s">
        <v>9433</v>
      </c>
      <c r="C7202" t="s">
        <v>73</v>
      </c>
      <c r="D7202">
        <v>1.0002034168026599</v>
      </c>
    </row>
    <row r="7203" spans="1:4" hidden="1" x14ac:dyDescent="0.3">
      <c r="A7203">
        <v>7201</v>
      </c>
      <c r="B7203" t="s">
        <v>74</v>
      </c>
      <c r="C7203" t="s">
        <v>75</v>
      </c>
      <c r="D7203">
        <v>2.7397260273972599E-3</v>
      </c>
    </row>
    <row r="7204" spans="1:4" hidden="1" x14ac:dyDescent="0.3">
      <c r="A7204">
        <v>7202</v>
      </c>
      <c r="B7204" t="s">
        <v>76</v>
      </c>
      <c r="C7204" t="s">
        <v>77</v>
      </c>
      <c r="D7204">
        <v>0</v>
      </c>
    </row>
    <row r="7205" spans="1:4" hidden="1" x14ac:dyDescent="0.3">
      <c r="A7205">
        <v>7203</v>
      </c>
      <c r="B7205" t="s">
        <v>1459</v>
      </c>
      <c r="C7205" t="s">
        <v>79</v>
      </c>
      <c r="D7205" s="2">
        <v>-2.2204460492503101E-16</v>
      </c>
    </row>
    <row r="7206" spans="1:4" hidden="1" x14ac:dyDescent="0.3">
      <c r="A7206">
        <v>7204</v>
      </c>
      <c r="B7206" s="1" t="s">
        <v>9434</v>
      </c>
      <c r="C7206" t="s">
        <v>81</v>
      </c>
      <c r="D7206" s="1" t="s">
        <v>9435</v>
      </c>
    </row>
    <row r="7207" spans="1:4" hidden="1" x14ac:dyDescent="0.3">
      <c r="A7207">
        <v>7205</v>
      </c>
      <c r="B7207" t="s">
        <v>9436</v>
      </c>
      <c r="C7207" t="s">
        <v>84</v>
      </c>
      <c r="D7207">
        <v>1.0002081324005001</v>
      </c>
    </row>
    <row r="7208" spans="1:4" hidden="1" x14ac:dyDescent="0.3">
      <c r="A7208">
        <v>7206</v>
      </c>
      <c r="B7208" s="1" t="s">
        <v>9437</v>
      </c>
      <c r="C7208" t="s">
        <v>86</v>
      </c>
      <c r="D7208" s="1" t="s">
        <v>9438</v>
      </c>
    </row>
    <row r="7209" spans="1:4" hidden="1" x14ac:dyDescent="0.3">
      <c r="A7209">
        <v>7207</v>
      </c>
      <c r="B7209" t="s">
        <v>9439</v>
      </c>
      <c r="C7209" t="s">
        <v>89</v>
      </c>
      <c r="D7209">
        <v>101168722.99428099</v>
      </c>
    </row>
    <row r="7210" spans="1:4" hidden="1" x14ac:dyDescent="0.3">
      <c r="A7210">
        <v>7208</v>
      </c>
      <c r="B7210" s="1" t="s">
        <v>9440</v>
      </c>
      <c r="C7210" t="s">
        <v>91</v>
      </c>
      <c r="D7210" s="1" t="s">
        <v>9374</v>
      </c>
    </row>
    <row r="7211" spans="1:4" hidden="1" x14ac:dyDescent="0.3">
      <c r="A7211">
        <v>7209</v>
      </c>
      <c r="B7211" t="s">
        <v>9441</v>
      </c>
      <c r="C7211" t="s">
        <v>94</v>
      </c>
      <c r="D7211">
        <v>76013310.005355299</v>
      </c>
    </row>
    <row r="7212" spans="1:4" hidden="1" x14ac:dyDescent="0.3">
      <c r="A7212">
        <v>7210</v>
      </c>
      <c r="B7212" t="s">
        <v>9442</v>
      </c>
      <c r="C7212" t="s">
        <v>96</v>
      </c>
      <c r="D7212">
        <v>39081091.807974897</v>
      </c>
    </row>
    <row r="7213" spans="1:4" hidden="1" x14ac:dyDescent="0.3">
      <c r="A7213">
        <v>7211</v>
      </c>
      <c r="B7213" t="s">
        <v>9443</v>
      </c>
      <c r="C7213" t="s">
        <v>98</v>
      </c>
      <c r="D7213">
        <v>27233333.907710999</v>
      </c>
    </row>
    <row r="7214" spans="1:4" hidden="1" x14ac:dyDescent="0.3">
      <c r="A7214">
        <v>7212</v>
      </c>
      <c r="B7214" s="1" t="s">
        <v>9444</v>
      </c>
      <c r="C7214" t="s">
        <v>100</v>
      </c>
      <c r="D7214" s="1" t="s">
        <v>9445</v>
      </c>
    </row>
    <row r="7215" spans="1:4" hidden="1" x14ac:dyDescent="0.3">
      <c r="A7215">
        <v>7213</v>
      </c>
      <c r="B7215" t="s">
        <v>9446</v>
      </c>
      <c r="C7215" t="s">
        <v>103</v>
      </c>
      <c r="D7215">
        <v>8.2698833598630495E-3</v>
      </c>
    </row>
    <row r="7216" spans="1:4" hidden="1" x14ac:dyDescent="0.3">
      <c r="A7216">
        <v>7214</v>
      </c>
      <c r="B7216" t="s">
        <v>9447</v>
      </c>
      <c r="C7216" t="s">
        <v>105</v>
      </c>
      <c r="D7216">
        <v>1.35718072696016E-3</v>
      </c>
    </row>
    <row r="7217" spans="1:4" hidden="1" x14ac:dyDescent="0.3">
      <c r="A7217">
        <v>7215</v>
      </c>
      <c r="B7217" t="s">
        <v>9448</v>
      </c>
      <c r="C7217" t="s">
        <v>107</v>
      </c>
      <c r="D7217">
        <v>1.06654326535387E-2</v>
      </c>
    </row>
    <row r="7218" spans="1:4" hidden="1" x14ac:dyDescent="0.3">
      <c r="A7218">
        <v>7216</v>
      </c>
      <c r="B7218" s="1" t="s">
        <v>9449</v>
      </c>
      <c r="C7218" t="s">
        <v>109</v>
      </c>
      <c r="D7218" s="1" t="s">
        <v>9450</v>
      </c>
    </row>
    <row r="7219" spans="1:4" x14ac:dyDescent="0.3">
      <c r="A7219">
        <v>7217</v>
      </c>
      <c r="B7219" t="s">
        <v>9451</v>
      </c>
      <c r="C7219" t="s">
        <v>207</v>
      </c>
      <c r="D7219">
        <v>142327901.29124701</v>
      </c>
    </row>
    <row r="7220" spans="1:4" hidden="1" x14ac:dyDescent="0.3">
      <c r="A7220">
        <v>7218</v>
      </c>
      <c r="B7220" t="s">
        <v>9452</v>
      </c>
      <c r="C7220" t="s">
        <v>209</v>
      </c>
      <c r="D7220">
        <v>-358.37583608767801</v>
      </c>
    </row>
    <row r="7221" spans="1:4" hidden="1" x14ac:dyDescent="0.3">
      <c r="A7221">
        <v>7219</v>
      </c>
      <c r="B7221" t="s">
        <v>9453</v>
      </c>
      <c r="C7221" t="s">
        <v>211</v>
      </c>
      <c r="D7221">
        <v>-184.25339517500899</v>
      </c>
    </row>
    <row r="7222" spans="1:4" hidden="1" x14ac:dyDescent="0.3">
      <c r="A7222">
        <v>7220</v>
      </c>
      <c r="B7222" s="1" t="s">
        <v>9454</v>
      </c>
      <c r="C7222" t="s">
        <v>213</v>
      </c>
      <c r="D7222" s="1" t="s">
        <v>9455</v>
      </c>
    </row>
    <row r="7223" spans="1:4" hidden="1" x14ac:dyDescent="0.3">
      <c r="A7223">
        <v>7221</v>
      </c>
      <c r="B7223" t="s">
        <v>9456</v>
      </c>
      <c r="C7223" t="s">
        <v>216</v>
      </c>
      <c r="D7223">
        <v>76013781.868355796</v>
      </c>
    </row>
    <row r="7224" spans="1:4" hidden="1" x14ac:dyDescent="0.3">
      <c r="A7224">
        <v>7222</v>
      </c>
      <c r="B7224" t="s">
        <v>9457</v>
      </c>
      <c r="C7224" t="s">
        <v>218</v>
      </c>
      <c r="D7224">
        <v>39081310.677181304</v>
      </c>
    </row>
    <row r="7225" spans="1:4" hidden="1" x14ac:dyDescent="0.3">
      <c r="A7225">
        <v>7223</v>
      </c>
      <c r="B7225" t="s">
        <v>9458</v>
      </c>
      <c r="C7225" t="s">
        <v>220</v>
      </c>
      <c r="D7225">
        <v>27233479.770357098</v>
      </c>
    </row>
    <row r="7226" spans="1:4" hidden="1" x14ac:dyDescent="0.3">
      <c r="A7226">
        <v>7224</v>
      </c>
      <c r="B7226" s="1" t="s">
        <v>9459</v>
      </c>
      <c r="C7226" t="s">
        <v>222</v>
      </c>
      <c r="D7226" s="1" t="s">
        <v>9460</v>
      </c>
    </row>
    <row r="7227" spans="1:4" hidden="1" x14ac:dyDescent="0.3">
      <c r="A7227">
        <v>7225</v>
      </c>
      <c r="B7227" t="s">
        <v>9461</v>
      </c>
      <c r="C7227" t="s">
        <v>225</v>
      </c>
      <c r="D7227">
        <v>101169199.96826801</v>
      </c>
    </row>
    <row r="7228" spans="1:4" hidden="1" x14ac:dyDescent="0.3">
      <c r="A7228">
        <v>7226</v>
      </c>
      <c r="B7228" t="s">
        <v>9462</v>
      </c>
      <c r="C7228" t="s">
        <v>227</v>
      </c>
      <c r="D7228">
        <v>-476.97398726642098</v>
      </c>
    </row>
    <row r="7229" spans="1:4" hidden="1" x14ac:dyDescent="0.3">
      <c r="A7229">
        <v>7227</v>
      </c>
      <c r="B7229" s="1" t="s">
        <v>9463</v>
      </c>
      <c r="C7229" t="s">
        <v>229</v>
      </c>
      <c r="D7229" s="1" t="s">
        <v>9464</v>
      </c>
    </row>
    <row r="7230" spans="1:4" hidden="1" x14ac:dyDescent="0.3">
      <c r="A7230">
        <v>7228</v>
      </c>
      <c r="B7230" t="s">
        <v>9465</v>
      </c>
      <c r="C7230" t="s">
        <v>112</v>
      </c>
      <c r="D7230">
        <v>113.487164405275</v>
      </c>
    </row>
    <row r="7231" spans="1:4" hidden="1" x14ac:dyDescent="0.3">
      <c r="A7231">
        <v>7229</v>
      </c>
      <c r="B7231" t="s">
        <v>9466</v>
      </c>
      <c r="C7231" t="s">
        <v>114</v>
      </c>
      <c r="D7231">
        <v>34.615811255637801</v>
      </c>
    </row>
    <row r="7232" spans="1:4" hidden="1" x14ac:dyDescent="0.3">
      <c r="A7232">
        <v>7230</v>
      </c>
      <c r="B7232" s="1" t="s">
        <v>9467</v>
      </c>
      <c r="C7232" t="s">
        <v>116</v>
      </c>
      <c r="D7232" s="1" t="s">
        <v>9468</v>
      </c>
    </row>
    <row r="7233" spans="1:4" hidden="1" x14ac:dyDescent="0.3">
      <c r="A7233">
        <v>7231</v>
      </c>
      <c r="B7233" t="s">
        <v>9469</v>
      </c>
      <c r="C7233" t="s">
        <v>119</v>
      </c>
      <c r="D7233">
        <v>76013781.868355796</v>
      </c>
    </row>
    <row r="7234" spans="1:4" hidden="1" x14ac:dyDescent="0.3">
      <c r="A7234">
        <v>7232</v>
      </c>
      <c r="B7234" t="s">
        <v>9470</v>
      </c>
      <c r="C7234" t="s">
        <v>121</v>
      </c>
      <c r="D7234">
        <v>39081310.677181304</v>
      </c>
    </row>
    <row r="7235" spans="1:4" hidden="1" x14ac:dyDescent="0.3">
      <c r="A7235">
        <v>7233</v>
      </c>
      <c r="B7235" s="1" t="s">
        <v>9471</v>
      </c>
      <c r="C7235" t="s">
        <v>123</v>
      </c>
      <c r="D7235" s="1" t="s">
        <v>9472</v>
      </c>
    </row>
    <row r="7236" spans="1:4" hidden="1" x14ac:dyDescent="0.3">
      <c r="A7236">
        <v>7234</v>
      </c>
      <c r="B7236" t="s">
        <v>9473</v>
      </c>
      <c r="C7236" t="s">
        <v>126</v>
      </c>
      <c r="D7236">
        <v>0.75119665128778501</v>
      </c>
    </row>
    <row r="7237" spans="1:4" hidden="1" x14ac:dyDescent="0.3">
      <c r="A7237">
        <v>7235</v>
      </c>
      <c r="B7237" t="s">
        <v>9474</v>
      </c>
      <c r="C7237" t="s">
        <v>128</v>
      </c>
      <c r="D7237">
        <v>0.386216143797177</v>
      </c>
    </row>
    <row r="7238" spans="1:4" hidden="1" x14ac:dyDescent="0.3">
      <c r="A7238">
        <v>7236</v>
      </c>
      <c r="B7238" s="1" t="s">
        <v>9475</v>
      </c>
      <c r="C7238" t="s">
        <v>130</v>
      </c>
      <c r="D7238" s="1" t="s">
        <v>9476</v>
      </c>
    </row>
    <row r="7239" spans="1:4" hidden="1" x14ac:dyDescent="0.3">
      <c r="A7239">
        <v>7237</v>
      </c>
      <c r="B7239" s="1" t="s">
        <v>9477</v>
      </c>
      <c r="C7239" t="s">
        <v>4</v>
      </c>
      <c r="D7239" t="s">
        <v>9478</v>
      </c>
    </row>
    <row r="7240" spans="1:4" hidden="1" x14ac:dyDescent="0.3">
      <c r="A7240">
        <v>7238</v>
      </c>
      <c r="B7240" t="s">
        <v>9479</v>
      </c>
      <c r="C7240" t="s">
        <v>7</v>
      </c>
      <c r="D7240">
        <v>1769.29</v>
      </c>
    </row>
    <row r="7241" spans="1:4" hidden="1" x14ac:dyDescent="0.3">
      <c r="A7241">
        <v>7239</v>
      </c>
      <c r="B7241" s="1" t="s">
        <v>9480</v>
      </c>
      <c r="C7241" t="s">
        <v>9</v>
      </c>
      <c r="D7241" s="1" t="s">
        <v>9481</v>
      </c>
    </row>
    <row r="7242" spans="1:4" hidden="1" x14ac:dyDescent="0.3">
      <c r="A7242">
        <v>7240</v>
      </c>
      <c r="B7242" t="s">
        <v>9482</v>
      </c>
      <c r="C7242" t="s">
        <v>14</v>
      </c>
      <c r="D7242">
        <v>97.30859375</v>
      </c>
    </row>
    <row r="7243" spans="1:4" hidden="1" x14ac:dyDescent="0.3">
      <c r="A7243">
        <v>7241</v>
      </c>
      <c r="B7243" t="s">
        <v>9483</v>
      </c>
      <c r="C7243" t="s">
        <v>16</v>
      </c>
      <c r="D7243">
        <v>4.3705765475685396</v>
      </c>
    </row>
    <row r="7244" spans="1:4" hidden="1" x14ac:dyDescent="0.3">
      <c r="A7244">
        <v>7242</v>
      </c>
      <c r="B7244" s="1" t="s">
        <v>9484</v>
      </c>
      <c r="C7244" t="s">
        <v>140</v>
      </c>
      <c r="D7244" s="1" t="s">
        <v>9485</v>
      </c>
    </row>
    <row r="7245" spans="1:4" hidden="1" x14ac:dyDescent="0.3">
      <c r="A7245">
        <v>7243</v>
      </c>
      <c r="B7245" t="s">
        <v>9306</v>
      </c>
      <c r="C7245" t="s">
        <v>22</v>
      </c>
      <c r="D7245">
        <v>68.400000000000006</v>
      </c>
    </row>
    <row r="7246" spans="1:4" hidden="1" x14ac:dyDescent="0.3">
      <c r="A7246">
        <v>7244</v>
      </c>
      <c r="B7246" t="s">
        <v>9486</v>
      </c>
      <c r="C7246" t="s">
        <v>24</v>
      </c>
      <c r="D7246">
        <v>6.4497338581897301</v>
      </c>
    </row>
    <row r="7247" spans="1:4" hidden="1" x14ac:dyDescent="0.3">
      <c r="A7247">
        <v>7245</v>
      </c>
      <c r="B7247" s="1" t="s">
        <v>9487</v>
      </c>
      <c r="C7247" t="s">
        <v>145</v>
      </c>
      <c r="D7247" s="1" t="s">
        <v>9488</v>
      </c>
    </row>
    <row r="7248" spans="1:4" hidden="1" x14ac:dyDescent="0.3">
      <c r="A7248">
        <v>7246</v>
      </c>
      <c r="B7248" t="s">
        <v>9489</v>
      </c>
      <c r="C7248" t="s">
        <v>35</v>
      </c>
      <c r="D7248">
        <v>-1.3336078382030501</v>
      </c>
    </row>
    <row r="7249" spans="1:4" hidden="1" x14ac:dyDescent="0.3">
      <c r="A7249">
        <v>7247</v>
      </c>
      <c r="B7249" t="s">
        <v>9490</v>
      </c>
      <c r="C7249" t="s">
        <v>149</v>
      </c>
      <c r="D7249">
        <v>0.74765441580488001</v>
      </c>
    </row>
    <row r="7250" spans="1:4" hidden="1" x14ac:dyDescent="0.3">
      <c r="A7250">
        <v>7248</v>
      </c>
      <c r="B7250" s="1" t="s">
        <v>9491</v>
      </c>
      <c r="C7250" t="s">
        <v>151</v>
      </c>
      <c r="D7250" s="1" t="s">
        <v>9492</v>
      </c>
    </row>
    <row r="7251" spans="1:4" hidden="1" x14ac:dyDescent="0.3">
      <c r="A7251">
        <v>7249</v>
      </c>
      <c r="B7251" t="s">
        <v>9493</v>
      </c>
      <c r="C7251" t="s">
        <v>30</v>
      </c>
      <c r="D7251">
        <v>0.91512061662334498</v>
      </c>
    </row>
    <row r="7252" spans="1:4" hidden="1" x14ac:dyDescent="0.3">
      <c r="A7252">
        <v>7250</v>
      </c>
      <c r="B7252" t="s">
        <v>9494</v>
      </c>
      <c r="C7252" t="s">
        <v>32</v>
      </c>
      <c r="D7252">
        <v>0.17718249379460099</v>
      </c>
    </row>
    <row r="7253" spans="1:4" hidden="1" x14ac:dyDescent="0.3">
      <c r="A7253">
        <v>7251</v>
      </c>
      <c r="B7253" s="1" t="s">
        <v>9495</v>
      </c>
      <c r="C7253" t="s">
        <v>155</v>
      </c>
      <c r="D7253" s="1" t="s">
        <v>9496</v>
      </c>
    </row>
    <row r="7254" spans="1:4" hidden="1" x14ac:dyDescent="0.3">
      <c r="A7254">
        <v>7252</v>
      </c>
      <c r="B7254" t="s">
        <v>9497</v>
      </c>
      <c r="C7254" t="s">
        <v>40</v>
      </c>
      <c r="D7254">
        <v>1.41848722157971</v>
      </c>
    </row>
    <row r="7255" spans="1:4" hidden="1" x14ac:dyDescent="0.3">
      <c r="A7255">
        <v>7253</v>
      </c>
      <c r="B7255" t="s">
        <v>9498</v>
      </c>
      <c r="C7255" t="s">
        <v>42</v>
      </c>
      <c r="D7255">
        <v>0.16033384913164</v>
      </c>
    </row>
    <row r="7256" spans="1:4" hidden="1" x14ac:dyDescent="0.3">
      <c r="A7256">
        <v>7254</v>
      </c>
      <c r="B7256" s="1" t="s">
        <v>9499</v>
      </c>
      <c r="C7256" t="s">
        <v>159</v>
      </c>
      <c r="D7256" s="1" t="s">
        <v>9500</v>
      </c>
    </row>
    <row r="7257" spans="1:4" hidden="1" x14ac:dyDescent="0.3">
      <c r="A7257">
        <v>7255</v>
      </c>
      <c r="B7257" t="s">
        <v>9501</v>
      </c>
      <c r="C7257" t="s">
        <v>161</v>
      </c>
      <c r="D7257">
        <v>1.0025101141167001</v>
      </c>
    </row>
    <row r="7258" spans="1:4" hidden="1" x14ac:dyDescent="0.3">
      <c r="A7258">
        <v>7256</v>
      </c>
      <c r="B7258" t="s">
        <v>9502</v>
      </c>
      <c r="C7258" t="s">
        <v>163</v>
      </c>
      <c r="D7258">
        <v>1.0006063122651601</v>
      </c>
    </row>
    <row r="7259" spans="1:4" hidden="1" x14ac:dyDescent="0.3">
      <c r="A7259">
        <v>7257</v>
      </c>
      <c r="B7259" s="1" t="s">
        <v>9503</v>
      </c>
      <c r="C7259" t="s">
        <v>165</v>
      </c>
      <c r="D7259" s="1" t="s">
        <v>9504</v>
      </c>
    </row>
    <row r="7260" spans="1:4" hidden="1" x14ac:dyDescent="0.3">
      <c r="A7260">
        <v>7258</v>
      </c>
      <c r="B7260" t="s">
        <v>9505</v>
      </c>
      <c r="C7260" t="s">
        <v>168</v>
      </c>
      <c r="D7260">
        <v>0.99961215783337798</v>
      </c>
    </row>
    <row r="7261" spans="1:4" hidden="1" x14ac:dyDescent="0.3">
      <c r="A7261">
        <v>7259</v>
      </c>
      <c r="B7261" t="s">
        <v>9506</v>
      </c>
      <c r="C7261" t="s">
        <v>170</v>
      </c>
      <c r="D7261">
        <v>1.0003215143094899</v>
      </c>
    </row>
    <row r="7262" spans="1:4" hidden="1" x14ac:dyDescent="0.3">
      <c r="A7262">
        <v>7260</v>
      </c>
      <c r="B7262" s="1" t="s">
        <v>9507</v>
      </c>
      <c r="C7262" t="s">
        <v>172</v>
      </c>
      <c r="D7262" s="1" t="s">
        <v>9508</v>
      </c>
    </row>
    <row r="7263" spans="1:4" hidden="1" x14ac:dyDescent="0.3">
      <c r="A7263">
        <v>7261</v>
      </c>
      <c r="B7263" s="1" t="s">
        <v>9509</v>
      </c>
      <c r="C7263" t="s">
        <v>55</v>
      </c>
      <c r="D7263" s="1" t="s">
        <v>9510</v>
      </c>
    </row>
    <row r="7264" spans="1:4" hidden="1" x14ac:dyDescent="0.3">
      <c r="A7264">
        <v>7262</v>
      </c>
      <c r="B7264" s="1" t="s">
        <v>9511</v>
      </c>
      <c r="C7264" t="s">
        <v>52</v>
      </c>
      <c r="D7264" s="1" t="s">
        <v>9512</v>
      </c>
    </row>
    <row r="7265" spans="1:4" hidden="1" x14ac:dyDescent="0.3">
      <c r="A7265">
        <v>7263</v>
      </c>
      <c r="B7265" s="1" t="s">
        <v>9513</v>
      </c>
      <c r="C7265" t="s">
        <v>58</v>
      </c>
      <c r="D7265" s="1" t="s">
        <v>9514</v>
      </c>
    </row>
    <row r="7266" spans="1:4" hidden="1" x14ac:dyDescent="0.3">
      <c r="A7266">
        <v>7264</v>
      </c>
      <c r="B7266" t="s">
        <v>9515</v>
      </c>
      <c r="C7266" t="s">
        <v>61</v>
      </c>
      <c r="D7266">
        <v>142616956.81156299</v>
      </c>
    </row>
    <row r="7267" spans="1:4" hidden="1" x14ac:dyDescent="0.3">
      <c r="A7267">
        <v>7265</v>
      </c>
      <c r="B7267" t="s">
        <v>9516</v>
      </c>
      <c r="C7267" t="s">
        <v>63</v>
      </c>
      <c r="D7267">
        <v>76204585.1352873</v>
      </c>
    </row>
    <row r="7268" spans="1:4" hidden="1" x14ac:dyDescent="0.3">
      <c r="A7268">
        <v>7266</v>
      </c>
      <c r="B7268" t="s">
        <v>9517</v>
      </c>
      <c r="C7268" t="s">
        <v>65</v>
      </c>
      <c r="D7268">
        <v>39105006.155183598</v>
      </c>
    </row>
    <row r="7269" spans="1:4" hidden="1" x14ac:dyDescent="0.3">
      <c r="A7269">
        <v>7267</v>
      </c>
      <c r="B7269" s="1" t="s">
        <v>9518</v>
      </c>
      <c r="C7269" t="s">
        <v>67</v>
      </c>
      <c r="D7269" s="1" t="s">
        <v>9519</v>
      </c>
    </row>
    <row r="7270" spans="1:4" hidden="1" x14ac:dyDescent="0.3">
      <c r="A7270">
        <v>7268</v>
      </c>
      <c r="B7270" s="1" t="s">
        <v>9520</v>
      </c>
      <c r="C7270" t="s">
        <v>70</v>
      </c>
      <c r="D7270" s="1" t="s">
        <v>9521</v>
      </c>
    </row>
    <row r="7271" spans="1:4" hidden="1" x14ac:dyDescent="0.3">
      <c r="A7271">
        <v>7269</v>
      </c>
      <c r="B7271" t="s">
        <v>9522</v>
      </c>
      <c r="C7271" t="s">
        <v>73</v>
      </c>
      <c r="D7271">
        <v>1.0002081324005001</v>
      </c>
    </row>
    <row r="7272" spans="1:4" hidden="1" x14ac:dyDescent="0.3">
      <c r="A7272">
        <v>7270</v>
      </c>
      <c r="B7272" t="s">
        <v>74</v>
      </c>
      <c r="C7272" t="s">
        <v>75</v>
      </c>
      <c r="D7272">
        <v>2.7397260273972599E-3</v>
      </c>
    </row>
    <row r="7273" spans="1:4" hidden="1" x14ac:dyDescent="0.3">
      <c r="A7273">
        <v>7271</v>
      </c>
      <c r="B7273" t="s">
        <v>76</v>
      </c>
      <c r="C7273" t="s">
        <v>77</v>
      </c>
      <c r="D7273">
        <v>0</v>
      </c>
    </row>
    <row r="7274" spans="1:4" hidden="1" x14ac:dyDescent="0.3">
      <c r="A7274">
        <v>7272</v>
      </c>
      <c r="B7274" t="s">
        <v>78</v>
      </c>
      <c r="C7274" t="s">
        <v>79</v>
      </c>
      <c r="D7274">
        <v>0</v>
      </c>
    </row>
    <row r="7275" spans="1:4" hidden="1" x14ac:dyDescent="0.3">
      <c r="A7275">
        <v>7273</v>
      </c>
      <c r="B7275" s="1" t="s">
        <v>9523</v>
      </c>
      <c r="C7275" t="s">
        <v>81</v>
      </c>
      <c r="D7275" s="1" t="s">
        <v>9524</v>
      </c>
    </row>
    <row r="7276" spans="1:4" hidden="1" x14ac:dyDescent="0.3">
      <c r="A7276">
        <v>7274</v>
      </c>
      <c r="B7276" t="s">
        <v>9525</v>
      </c>
      <c r="C7276" t="s">
        <v>84</v>
      </c>
      <c r="D7276">
        <v>1.00024016383915</v>
      </c>
    </row>
    <row r="7277" spans="1:4" hidden="1" x14ac:dyDescent="0.3">
      <c r="A7277">
        <v>7275</v>
      </c>
      <c r="B7277" s="1" t="s">
        <v>9526</v>
      </c>
      <c r="C7277" t="s">
        <v>86</v>
      </c>
      <c r="D7277" s="1" t="s">
        <v>9527</v>
      </c>
    </row>
    <row r="7278" spans="1:4" hidden="1" x14ac:dyDescent="0.3">
      <c r="A7278">
        <v>7276</v>
      </c>
      <c r="B7278" t="s">
        <v>9528</v>
      </c>
      <c r="C7278" t="s">
        <v>89</v>
      </c>
      <c r="D7278">
        <v>101165483.192619</v>
      </c>
    </row>
    <row r="7279" spans="1:4" hidden="1" x14ac:dyDescent="0.3">
      <c r="A7279">
        <v>7277</v>
      </c>
      <c r="B7279" s="1" t="s">
        <v>9529</v>
      </c>
      <c r="C7279" t="s">
        <v>91</v>
      </c>
      <c r="D7279" s="1" t="s">
        <v>9464</v>
      </c>
    </row>
    <row r="7280" spans="1:4" hidden="1" x14ac:dyDescent="0.3">
      <c r="A7280">
        <v>7278</v>
      </c>
      <c r="B7280" t="s">
        <v>9530</v>
      </c>
      <c r="C7280" t="s">
        <v>94</v>
      </c>
      <c r="D7280">
        <v>76204585.1352873</v>
      </c>
    </row>
    <row r="7281" spans="1:4" hidden="1" x14ac:dyDescent="0.3">
      <c r="A7281">
        <v>7279</v>
      </c>
      <c r="B7281" t="s">
        <v>9531</v>
      </c>
      <c r="C7281" t="s">
        <v>96</v>
      </c>
      <c r="D7281">
        <v>39105006.155183598</v>
      </c>
    </row>
    <row r="7282" spans="1:4" hidden="1" x14ac:dyDescent="0.3">
      <c r="A7282">
        <v>7280</v>
      </c>
      <c r="B7282" t="s">
        <v>9532</v>
      </c>
      <c r="C7282" t="s">
        <v>98</v>
      </c>
      <c r="D7282">
        <v>27307365.521092199</v>
      </c>
    </row>
    <row r="7283" spans="1:4" hidden="1" x14ac:dyDescent="0.3">
      <c r="A7283">
        <v>7281</v>
      </c>
      <c r="B7283" s="1" t="s">
        <v>9533</v>
      </c>
      <c r="C7283" t="s">
        <v>100</v>
      </c>
      <c r="D7283" s="1" t="s">
        <v>9534</v>
      </c>
    </row>
    <row r="7284" spans="1:4" hidden="1" x14ac:dyDescent="0.3">
      <c r="A7284">
        <v>7282</v>
      </c>
      <c r="B7284" t="s">
        <v>9535</v>
      </c>
      <c r="C7284" t="s">
        <v>103</v>
      </c>
      <c r="D7284">
        <v>8.2683056792829997E-3</v>
      </c>
    </row>
    <row r="7285" spans="1:4" hidden="1" x14ac:dyDescent="0.3">
      <c r="A7285">
        <v>7283</v>
      </c>
      <c r="B7285" t="s">
        <v>9536</v>
      </c>
      <c r="C7285" t="s">
        <v>105</v>
      </c>
      <c r="D7285">
        <v>1.3564767954991801E-3</v>
      </c>
    </row>
    <row r="7286" spans="1:4" hidden="1" x14ac:dyDescent="0.3">
      <c r="A7286">
        <v>7284</v>
      </c>
      <c r="B7286" t="s">
        <v>9537</v>
      </c>
      <c r="C7286" t="s">
        <v>107</v>
      </c>
      <c r="D7286">
        <v>1.02853183546802E-2</v>
      </c>
    </row>
    <row r="7287" spans="1:4" hidden="1" x14ac:dyDescent="0.3">
      <c r="A7287">
        <v>7285</v>
      </c>
      <c r="B7287" s="1" t="s">
        <v>9538</v>
      </c>
      <c r="C7287" t="s">
        <v>109</v>
      </c>
      <c r="D7287" s="1" t="s">
        <v>9539</v>
      </c>
    </row>
    <row r="7288" spans="1:4" x14ac:dyDescent="0.3">
      <c r="A7288">
        <v>7286</v>
      </c>
      <c r="B7288" t="s">
        <v>9540</v>
      </c>
      <c r="C7288" t="s">
        <v>207</v>
      </c>
      <c r="D7288">
        <v>142618081.16509199</v>
      </c>
    </row>
    <row r="7289" spans="1:4" hidden="1" x14ac:dyDescent="0.3">
      <c r="A7289">
        <v>7287</v>
      </c>
      <c r="B7289" t="s">
        <v>9541</v>
      </c>
      <c r="C7289" t="s">
        <v>209</v>
      </c>
      <c r="D7289">
        <v>-2440.4602046997302</v>
      </c>
    </row>
    <row r="7290" spans="1:4" hidden="1" x14ac:dyDescent="0.3">
      <c r="A7290">
        <v>7288</v>
      </c>
      <c r="B7290" t="s">
        <v>9542</v>
      </c>
      <c r="C7290" t="s">
        <v>211</v>
      </c>
      <c r="D7290">
        <v>-1252.3367449482901</v>
      </c>
    </row>
    <row r="7291" spans="1:4" hidden="1" x14ac:dyDescent="0.3">
      <c r="A7291">
        <v>7289</v>
      </c>
      <c r="B7291" s="1" t="s">
        <v>9543</v>
      </c>
      <c r="C7291" t="s">
        <v>213</v>
      </c>
      <c r="D7291" s="1" t="s">
        <v>9544</v>
      </c>
    </row>
    <row r="7292" spans="1:4" hidden="1" x14ac:dyDescent="0.3">
      <c r="A7292">
        <v>7290</v>
      </c>
      <c r="B7292" t="s">
        <v>9545</v>
      </c>
      <c r="C7292" t="s">
        <v>216</v>
      </c>
      <c r="D7292">
        <v>76207826.355398402</v>
      </c>
    </row>
    <row r="7293" spans="1:4" hidden="1" x14ac:dyDescent="0.3">
      <c r="A7293">
        <v>7291</v>
      </c>
      <c r="B7293" t="s">
        <v>9546</v>
      </c>
      <c r="C7293" t="s">
        <v>218</v>
      </c>
      <c r="D7293">
        <v>39106501.721976101</v>
      </c>
    </row>
    <row r="7294" spans="1:4" hidden="1" x14ac:dyDescent="0.3">
      <c r="A7294">
        <v>7292</v>
      </c>
      <c r="B7294" t="s">
        <v>9547</v>
      </c>
      <c r="C7294" t="s">
        <v>220</v>
      </c>
      <c r="D7294">
        <v>27308320.399430498</v>
      </c>
    </row>
    <row r="7295" spans="1:4" hidden="1" x14ac:dyDescent="0.3">
      <c r="A7295">
        <v>7293</v>
      </c>
      <c r="B7295" s="1" t="s">
        <v>9548</v>
      </c>
      <c r="C7295" t="s">
        <v>222</v>
      </c>
      <c r="D7295" s="1" t="s">
        <v>9549</v>
      </c>
    </row>
    <row r="7296" spans="1:4" hidden="1" x14ac:dyDescent="0.3">
      <c r="A7296">
        <v>7294</v>
      </c>
      <c r="B7296" t="s">
        <v>9550</v>
      </c>
      <c r="C7296" t="s">
        <v>225</v>
      </c>
      <c r="D7296">
        <v>101168722.99428099</v>
      </c>
    </row>
    <row r="7297" spans="1:4" hidden="1" x14ac:dyDescent="0.3">
      <c r="A7297">
        <v>7295</v>
      </c>
      <c r="B7297" t="s">
        <v>9551</v>
      </c>
      <c r="C7297" t="s">
        <v>227</v>
      </c>
      <c r="D7297">
        <v>-3239.8016612678698</v>
      </c>
    </row>
    <row r="7298" spans="1:4" hidden="1" x14ac:dyDescent="0.3">
      <c r="A7298">
        <v>7296</v>
      </c>
      <c r="B7298" s="1" t="s">
        <v>9552</v>
      </c>
      <c r="C7298" t="s">
        <v>229</v>
      </c>
      <c r="D7298" s="1" t="s">
        <v>9553</v>
      </c>
    </row>
    <row r="7299" spans="1:4" hidden="1" x14ac:dyDescent="0.3">
      <c r="A7299">
        <v>7297</v>
      </c>
      <c r="B7299" t="s">
        <v>9554</v>
      </c>
      <c r="C7299" t="s">
        <v>112</v>
      </c>
      <c r="D7299">
        <v>800.75990643172099</v>
      </c>
    </row>
    <row r="7300" spans="1:4" hidden="1" x14ac:dyDescent="0.3">
      <c r="A7300">
        <v>7298</v>
      </c>
      <c r="B7300" t="s">
        <v>9555</v>
      </c>
      <c r="C7300" t="s">
        <v>114</v>
      </c>
      <c r="D7300">
        <v>243.230047621556</v>
      </c>
    </row>
    <row r="7301" spans="1:4" hidden="1" x14ac:dyDescent="0.3">
      <c r="A7301">
        <v>7299</v>
      </c>
      <c r="B7301" s="1" t="s">
        <v>9556</v>
      </c>
      <c r="C7301" t="s">
        <v>116</v>
      </c>
      <c r="D7301" s="1" t="s">
        <v>9557</v>
      </c>
    </row>
    <row r="7302" spans="1:4" hidden="1" x14ac:dyDescent="0.3">
      <c r="A7302">
        <v>7300</v>
      </c>
      <c r="B7302" t="s">
        <v>9558</v>
      </c>
      <c r="C7302" t="s">
        <v>119</v>
      </c>
      <c r="D7302">
        <v>76207826.355398402</v>
      </c>
    </row>
    <row r="7303" spans="1:4" hidden="1" x14ac:dyDescent="0.3">
      <c r="A7303">
        <v>7301</v>
      </c>
      <c r="B7303" t="s">
        <v>9559</v>
      </c>
      <c r="C7303" t="s">
        <v>121</v>
      </c>
      <c r="D7303">
        <v>39106501.721976101</v>
      </c>
    </row>
    <row r="7304" spans="1:4" hidden="1" x14ac:dyDescent="0.3">
      <c r="A7304">
        <v>7302</v>
      </c>
      <c r="B7304" s="1" t="s">
        <v>9560</v>
      </c>
      <c r="C7304" t="s">
        <v>123</v>
      </c>
      <c r="D7304" s="1" t="s">
        <v>9561</v>
      </c>
    </row>
    <row r="7305" spans="1:4" hidden="1" x14ac:dyDescent="0.3">
      <c r="A7305">
        <v>7303</v>
      </c>
      <c r="B7305" t="s">
        <v>9562</v>
      </c>
      <c r="C7305" t="s">
        <v>126</v>
      </c>
      <c r="D7305">
        <v>0.75309370456385605</v>
      </c>
    </row>
    <row r="7306" spans="1:4" hidden="1" x14ac:dyDescent="0.3">
      <c r="A7306">
        <v>7304</v>
      </c>
      <c r="B7306" t="s">
        <v>9563</v>
      </c>
      <c r="C7306" t="s">
        <v>128</v>
      </c>
      <c r="D7306">
        <v>0.38645453705752603</v>
      </c>
    </row>
    <row r="7307" spans="1:4" hidden="1" x14ac:dyDescent="0.3">
      <c r="A7307">
        <v>7305</v>
      </c>
      <c r="B7307" s="1" t="s">
        <v>9564</v>
      </c>
      <c r="C7307" t="s">
        <v>130</v>
      </c>
      <c r="D7307" s="1" t="s">
        <v>9565</v>
      </c>
    </row>
    <row r="7308" spans="1:4" hidden="1" x14ac:dyDescent="0.3">
      <c r="A7308">
        <v>7306</v>
      </c>
      <c r="B7308" s="1" t="s">
        <v>9566</v>
      </c>
      <c r="C7308" t="s">
        <v>4</v>
      </c>
      <c r="D7308" t="s">
        <v>9567</v>
      </c>
    </row>
    <row r="7309" spans="1:4" hidden="1" x14ac:dyDescent="0.3">
      <c r="A7309">
        <v>7307</v>
      </c>
      <c r="B7309" t="s">
        <v>9568</v>
      </c>
      <c r="C7309" t="s">
        <v>7</v>
      </c>
      <c r="D7309">
        <v>1782.08</v>
      </c>
    </row>
    <row r="7310" spans="1:4" hidden="1" x14ac:dyDescent="0.3">
      <c r="A7310">
        <v>7308</v>
      </c>
      <c r="B7310" s="1" t="s">
        <v>9569</v>
      </c>
      <c r="C7310" t="s">
        <v>9</v>
      </c>
      <c r="D7310" s="1" t="s">
        <v>9570</v>
      </c>
    </row>
    <row r="7311" spans="1:4" hidden="1" x14ac:dyDescent="0.3">
      <c r="A7311">
        <v>7309</v>
      </c>
      <c r="B7311" t="s">
        <v>9571</v>
      </c>
      <c r="C7311" t="s">
        <v>14</v>
      </c>
      <c r="D7311">
        <v>97.29296875</v>
      </c>
    </row>
    <row r="7312" spans="1:4" hidden="1" x14ac:dyDescent="0.3">
      <c r="A7312">
        <v>7310</v>
      </c>
      <c r="B7312" t="s">
        <v>9572</v>
      </c>
      <c r="C7312" t="s">
        <v>16</v>
      </c>
      <c r="D7312">
        <v>4.3705972945687099</v>
      </c>
    </row>
    <row r="7313" spans="1:4" hidden="1" x14ac:dyDescent="0.3">
      <c r="A7313">
        <v>7311</v>
      </c>
      <c r="B7313" s="1" t="s">
        <v>9573</v>
      </c>
      <c r="C7313" t="s">
        <v>140</v>
      </c>
      <c r="D7313" s="1" t="s">
        <v>9574</v>
      </c>
    </row>
    <row r="7314" spans="1:4" hidden="1" x14ac:dyDescent="0.3">
      <c r="A7314">
        <v>7312</v>
      </c>
      <c r="B7314" t="s">
        <v>9575</v>
      </c>
      <c r="C7314" t="s">
        <v>22</v>
      </c>
      <c r="D7314">
        <v>68.099999999999994</v>
      </c>
    </row>
    <row r="7315" spans="1:4" hidden="1" x14ac:dyDescent="0.3">
      <c r="A7315">
        <v>7313</v>
      </c>
      <c r="B7315" t="s">
        <v>9576</v>
      </c>
      <c r="C7315" t="s">
        <v>24</v>
      </c>
      <c r="D7315">
        <v>6.4607569154206397</v>
      </c>
    </row>
    <row r="7316" spans="1:4" hidden="1" x14ac:dyDescent="0.3">
      <c r="A7316">
        <v>7314</v>
      </c>
      <c r="B7316" s="1" t="s">
        <v>9577</v>
      </c>
      <c r="C7316" t="s">
        <v>145</v>
      </c>
      <c r="D7316" s="1" t="s">
        <v>9578</v>
      </c>
    </row>
    <row r="7317" spans="1:4" hidden="1" x14ac:dyDescent="0.3">
      <c r="A7317">
        <v>7315</v>
      </c>
      <c r="B7317" t="s">
        <v>9579</v>
      </c>
      <c r="C7317" t="s">
        <v>35</v>
      </c>
      <c r="D7317">
        <v>5.0256399119233297E-2</v>
      </c>
    </row>
    <row r="7318" spans="1:4" hidden="1" x14ac:dyDescent="0.3">
      <c r="A7318">
        <v>7316</v>
      </c>
      <c r="B7318" t="s">
        <v>9580</v>
      </c>
      <c r="C7318" t="s">
        <v>149</v>
      </c>
      <c r="D7318">
        <v>0.74800500292385796</v>
      </c>
    </row>
    <row r="7319" spans="1:4" hidden="1" x14ac:dyDescent="0.3">
      <c r="A7319">
        <v>7317</v>
      </c>
      <c r="B7319" s="1" t="s">
        <v>9581</v>
      </c>
      <c r="C7319" t="s">
        <v>151</v>
      </c>
      <c r="D7319" s="1" t="s">
        <v>9582</v>
      </c>
    </row>
    <row r="7320" spans="1:4" hidden="1" x14ac:dyDescent="0.3">
      <c r="A7320">
        <v>7318</v>
      </c>
      <c r="B7320" t="s">
        <v>9583</v>
      </c>
      <c r="C7320" t="s">
        <v>30</v>
      </c>
      <c r="D7320">
        <v>0.37163468700621299</v>
      </c>
    </row>
    <row r="7321" spans="1:4" hidden="1" x14ac:dyDescent="0.3">
      <c r="A7321">
        <v>7319</v>
      </c>
      <c r="B7321" t="s">
        <v>9584</v>
      </c>
      <c r="C7321" t="s">
        <v>32</v>
      </c>
      <c r="D7321">
        <v>0.17720422167358699</v>
      </c>
    </row>
    <row r="7322" spans="1:4" hidden="1" x14ac:dyDescent="0.3">
      <c r="A7322">
        <v>7320</v>
      </c>
      <c r="B7322" s="1" t="s">
        <v>9585</v>
      </c>
      <c r="C7322" t="s">
        <v>155</v>
      </c>
      <c r="D7322" s="1" t="s">
        <v>9586</v>
      </c>
    </row>
    <row r="7323" spans="1:4" hidden="1" x14ac:dyDescent="0.3">
      <c r="A7323">
        <v>7321</v>
      </c>
      <c r="B7323" t="s">
        <v>9587</v>
      </c>
      <c r="C7323" t="s">
        <v>40</v>
      </c>
      <c r="D7323">
        <v>0.57810891387455299</v>
      </c>
    </row>
    <row r="7324" spans="1:4" hidden="1" x14ac:dyDescent="0.3">
      <c r="A7324">
        <v>7322</v>
      </c>
      <c r="B7324" t="s">
        <v>9588</v>
      </c>
      <c r="C7324" t="s">
        <v>42</v>
      </c>
      <c r="D7324">
        <v>0.15968523239573601</v>
      </c>
    </row>
    <row r="7325" spans="1:4" hidden="1" x14ac:dyDescent="0.3">
      <c r="A7325">
        <v>7323</v>
      </c>
      <c r="B7325" s="1" t="s">
        <v>9589</v>
      </c>
      <c r="C7325" t="s">
        <v>159</v>
      </c>
      <c r="D7325" s="1" t="s">
        <v>9590</v>
      </c>
    </row>
    <row r="7326" spans="1:4" hidden="1" x14ac:dyDescent="0.3">
      <c r="A7326">
        <v>7324</v>
      </c>
      <c r="B7326" t="s">
        <v>9591</v>
      </c>
      <c r="C7326" t="s">
        <v>161</v>
      </c>
      <c r="D7326">
        <v>1.00722888842417</v>
      </c>
    </row>
    <row r="7327" spans="1:4" hidden="1" x14ac:dyDescent="0.3">
      <c r="A7327">
        <v>7325</v>
      </c>
      <c r="B7327" t="s">
        <v>9592</v>
      </c>
      <c r="C7327" t="s">
        <v>163</v>
      </c>
      <c r="D7327">
        <v>0.99984653441846305</v>
      </c>
    </row>
    <row r="7328" spans="1:4" hidden="1" x14ac:dyDescent="0.3">
      <c r="A7328">
        <v>7326</v>
      </c>
      <c r="B7328" s="1" t="s">
        <v>9593</v>
      </c>
      <c r="C7328" t="s">
        <v>165</v>
      </c>
      <c r="D7328" s="1" t="s">
        <v>9594</v>
      </c>
    </row>
    <row r="7329" spans="1:4" hidden="1" x14ac:dyDescent="0.3">
      <c r="A7329">
        <v>7327</v>
      </c>
      <c r="B7329" t="s">
        <v>9595</v>
      </c>
      <c r="C7329" t="s">
        <v>168</v>
      </c>
      <c r="D7329">
        <v>1.00020060437338</v>
      </c>
    </row>
    <row r="7330" spans="1:4" hidden="1" x14ac:dyDescent="0.3">
      <c r="A7330">
        <v>7328</v>
      </c>
      <c r="B7330" t="s">
        <v>9596</v>
      </c>
      <c r="C7330" t="s">
        <v>170</v>
      </c>
      <c r="D7330">
        <v>1.0000184575281199</v>
      </c>
    </row>
    <row r="7331" spans="1:4" hidden="1" x14ac:dyDescent="0.3">
      <c r="A7331">
        <v>7329</v>
      </c>
      <c r="B7331" s="1" t="s">
        <v>9597</v>
      </c>
      <c r="C7331" t="s">
        <v>172</v>
      </c>
      <c r="D7331" s="1" t="s">
        <v>9598</v>
      </c>
    </row>
    <row r="7332" spans="1:4" hidden="1" x14ac:dyDescent="0.3">
      <c r="A7332">
        <v>7330</v>
      </c>
      <c r="B7332" s="1" t="s">
        <v>9599</v>
      </c>
      <c r="C7332" t="s">
        <v>55</v>
      </c>
      <c r="D7332" s="1" t="s">
        <v>9600</v>
      </c>
    </row>
    <row r="7333" spans="1:4" hidden="1" x14ac:dyDescent="0.3">
      <c r="A7333">
        <v>7331</v>
      </c>
      <c r="B7333" s="1" t="s">
        <v>9601</v>
      </c>
      <c r="C7333" t="s">
        <v>52</v>
      </c>
      <c r="D7333" s="1" t="s">
        <v>9602</v>
      </c>
    </row>
    <row r="7334" spans="1:4" hidden="1" x14ac:dyDescent="0.3">
      <c r="A7334">
        <v>7332</v>
      </c>
      <c r="B7334" s="1" t="s">
        <v>9603</v>
      </c>
      <c r="C7334" t="s">
        <v>58</v>
      </c>
      <c r="D7334" s="1" t="s">
        <v>9604</v>
      </c>
    </row>
    <row r="7335" spans="1:4" hidden="1" x14ac:dyDescent="0.3">
      <c r="A7335">
        <v>7333</v>
      </c>
      <c r="B7335" t="s">
        <v>9605</v>
      </c>
      <c r="C7335" t="s">
        <v>61</v>
      </c>
      <c r="D7335">
        <v>143062113.94673401</v>
      </c>
    </row>
    <row r="7336" spans="1:4" hidden="1" x14ac:dyDescent="0.3">
      <c r="A7336">
        <v>7334</v>
      </c>
      <c r="B7336" t="s">
        <v>9606</v>
      </c>
      <c r="C7336" t="s">
        <v>63</v>
      </c>
      <c r="D7336">
        <v>76758724.229170099</v>
      </c>
    </row>
    <row r="7337" spans="1:4" hidden="1" x14ac:dyDescent="0.3">
      <c r="A7337">
        <v>7335</v>
      </c>
      <c r="B7337" t="s">
        <v>9607</v>
      </c>
      <c r="C7337" t="s">
        <v>65</v>
      </c>
      <c r="D7337">
        <v>39100500.219947502</v>
      </c>
    </row>
    <row r="7338" spans="1:4" hidden="1" x14ac:dyDescent="0.3">
      <c r="A7338">
        <v>7336</v>
      </c>
      <c r="B7338" s="1" t="s">
        <v>9608</v>
      </c>
      <c r="C7338" t="s">
        <v>67</v>
      </c>
      <c r="D7338" s="1" t="s">
        <v>9609</v>
      </c>
    </row>
    <row r="7339" spans="1:4" hidden="1" x14ac:dyDescent="0.3">
      <c r="A7339">
        <v>7337</v>
      </c>
      <c r="B7339" s="1" t="s">
        <v>9610</v>
      </c>
      <c r="C7339" t="s">
        <v>70</v>
      </c>
      <c r="D7339" s="1" t="s">
        <v>9611</v>
      </c>
    </row>
    <row r="7340" spans="1:4" hidden="1" x14ac:dyDescent="0.3">
      <c r="A7340">
        <v>7338</v>
      </c>
      <c r="B7340" t="s">
        <v>9612</v>
      </c>
      <c r="C7340" t="s">
        <v>73</v>
      </c>
      <c r="D7340">
        <v>1.00024016383915</v>
      </c>
    </row>
    <row r="7341" spans="1:4" hidden="1" x14ac:dyDescent="0.3">
      <c r="A7341">
        <v>7339</v>
      </c>
      <c r="B7341" t="s">
        <v>74</v>
      </c>
      <c r="C7341" t="s">
        <v>75</v>
      </c>
      <c r="D7341">
        <v>2.7397260273972599E-3</v>
      </c>
    </row>
    <row r="7342" spans="1:4" hidden="1" x14ac:dyDescent="0.3">
      <c r="A7342">
        <v>7340</v>
      </c>
      <c r="B7342" t="s">
        <v>76</v>
      </c>
      <c r="C7342" t="s">
        <v>77</v>
      </c>
      <c r="D7342">
        <v>0</v>
      </c>
    </row>
    <row r="7343" spans="1:4" hidden="1" x14ac:dyDescent="0.3">
      <c r="A7343">
        <v>7341</v>
      </c>
      <c r="B7343" t="s">
        <v>78</v>
      </c>
      <c r="C7343" t="s">
        <v>79</v>
      </c>
      <c r="D7343">
        <v>0</v>
      </c>
    </row>
    <row r="7344" spans="1:4" hidden="1" x14ac:dyDescent="0.3">
      <c r="A7344">
        <v>7342</v>
      </c>
      <c r="B7344" s="1" t="s">
        <v>9613</v>
      </c>
      <c r="C7344" t="s">
        <v>81</v>
      </c>
      <c r="D7344" s="1" t="s">
        <v>9614</v>
      </c>
    </row>
    <row r="7345" spans="1:4" hidden="1" x14ac:dyDescent="0.3">
      <c r="A7345">
        <v>7343</v>
      </c>
      <c r="B7345" t="s">
        <v>9615</v>
      </c>
      <c r="C7345" t="s">
        <v>84</v>
      </c>
      <c r="D7345">
        <v>1.0002455625489</v>
      </c>
    </row>
    <row r="7346" spans="1:4" hidden="1" x14ac:dyDescent="0.3">
      <c r="A7346">
        <v>7344</v>
      </c>
      <c r="B7346" s="1" t="s">
        <v>9616</v>
      </c>
      <c r="C7346" t="s">
        <v>86</v>
      </c>
      <c r="D7346" s="1" t="s">
        <v>9617</v>
      </c>
    </row>
    <row r="7347" spans="1:4" hidden="1" x14ac:dyDescent="0.3">
      <c r="A7347">
        <v>7345</v>
      </c>
      <c r="B7347" t="s">
        <v>9618</v>
      </c>
      <c r="C7347" t="s">
        <v>89</v>
      </c>
      <c r="D7347">
        <v>101164937.16362301</v>
      </c>
    </row>
    <row r="7348" spans="1:4" hidden="1" x14ac:dyDescent="0.3">
      <c r="A7348">
        <v>7346</v>
      </c>
      <c r="B7348" s="1" t="s">
        <v>9619</v>
      </c>
      <c r="C7348" t="s">
        <v>91</v>
      </c>
      <c r="D7348" s="1" t="s">
        <v>9553</v>
      </c>
    </row>
    <row r="7349" spans="1:4" hidden="1" x14ac:dyDescent="0.3">
      <c r="A7349">
        <v>7347</v>
      </c>
      <c r="B7349" t="s">
        <v>9620</v>
      </c>
      <c r="C7349" t="s">
        <v>94</v>
      </c>
      <c r="D7349">
        <v>76758724.229170099</v>
      </c>
    </row>
    <row r="7350" spans="1:4" hidden="1" x14ac:dyDescent="0.3">
      <c r="A7350">
        <v>7348</v>
      </c>
      <c r="B7350" t="s">
        <v>9621</v>
      </c>
      <c r="C7350" t="s">
        <v>96</v>
      </c>
      <c r="D7350">
        <v>39100500.219947502</v>
      </c>
    </row>
    <row r="7351" spans="1:4" hidden="1" x14ac:dyDescent="0.3">
      <c r="A7351">
        <v>7349</v>
      </c>
      <c r="B7351" t="s">
        <v>9622</v>
      </c>
      <c r="C7351" t="s">
        <v>98</v>
      </c>
      <c r="D7351">
        <v>27202889.497616801</v>
      </c>
    </row>
    <row r="7352" spans="1:4" hidden="1" x14ac:dyDescent="0.3">
      <c r="A7352">
        <v>7350</v>
      </c>
      <c r="B7352" s="1" t="s">
        <v>9623</v>
      </c>
      <c r="C7352" t="s">
        <v>100</v>
      </c>
      <c r="D7352" s="1" t="s">
        <v>9624</v>
      </c>
    </row>
    <row r="7353" spans="1:4" hidden="1" x14ac:dyDescent="0.3">
      <c r="A7353">
        <v>7351</v>
      </c>
      <c r="B7353" t="s">
        <v>9625</v>
      </c>
      <c r="C7353" t="s">
        <v>103</v>
      </c>
      <c r="D7353">
        <v>8.2603897078174001E-3</v>
      </c>
    </row>
    <row r="7354" spans="1:4" hidden="1" x14ac:dyDescent="0.3">
      <c r="A7354">
        <v>7352</v>
      </c>
      <c r="B7354" t="s">
        <v>9626</v>
      </c>
      <c r="C7354" t="s">
        <v>105</v>
      </c>
      <c r="D7354">
        <v>1.3559417683891299E-3</v>
      </c>
    </row>
    <row r="7355" spans="1:4" hidden="1" x14ac:dyDescent="0.3">
      <c r="A7355">
        <v>7353</v>
      </c>
      <c r="B7355" t="s">
        <v>9627</v>
      </c>
      <c r="C7355" t="s">
        <v>107</v>
      </c>
      <c r="D7355">
        <v>1.02864969294177E-2</v>
      </c>
    </row>
    <row r="7356" spans="1:4" hidden="1" x14ac:dyDescent="0.3">
      <c r="A7356">
        <v>7354</v>
      </c>
      <c r="B7356" s="1" t="s">
        <v>9628</v>
      </c>
      <c r="C7356" t="s">
        <v>109</v>
      </c>
      <c r="D7356" s="1" t="s">
        <v>9629</v>
      </c>
    </row>
    <row r="7357" spans="1:4" x14ac:dyDescent="0.3">
      <c r="A7357">
        <v>7355</v>
      </c>
      <c r="B7357" t="s">
        <v>9630</v>
      </c>
      <c r="C7357" t="s">
        <v>207</v>
      </c>
      <c r="D7357">
        <v>143062303.53276899</v>
      </c>
    </row>
    <row r="7358" spans="1:4" hidden="1" x14ac:dyDescent="0.3">
      <c r="A7358">
        <v>7356</v>
      </c>
      <c r="B7358" t="s">
        <v>9631</v>
      </c>
      <c r="C7358" t="s">
        <v>209</v>
      </c>
      <c r="D7358">
        <v>-414.29927905560498</v>
      </c>
    </row>
    <row r="7359" spans="1:4" hidden="1" x14ac:dyDescent="0.3">
      <c r="A7359">
        <v>7357</v>
      </c>
      <c r="B7359" t="s">
        <v>9632</v>
      </c>
      <c r="C7359" t="s">
        <v>211</v>
      </c>
      <c r="D7359">
        <v>-211.041778708593</v>
      </c>
    </row>
    <row r="7360" spans="1:4" hidden="1" x14ac:dyDescent="0.3">
      <c r="A7360">
        <v>7358</v>
      </c>
      <c r="B7360" s="1" t="s">
        <v>9633</v>
      </c>
      <c r="C7360" t="s">
        <v>213</v>
      </c>
      <c r="D7360" s="1" t="s">
        <v>9634</v>
      </c>
    </row>
    <row r="7361" spans="1:4" hidden="1" x14ac:dyDescent="0.3">
      <c r="A7361">
        <v>7359</v>
      </c>
      <c r="B7361" t="s">
        <v>9635</v>
      </c>
      <c r="C7361" t="s">
        <v>216</v>
      </c>
      <c r="D7361">
        <v>76759269.257592097</v>
      </c>
    </row>
    <row r="7362" spans="1:4" hidden="1" x14ac:dyDescent="0.3">
      <c r="A7362">
        <v>7360</v>
      </c>
      <c r="B7362" t="s">
        <v>9636</v>
      </c>
      <c r="C7362" t="s">
        <v>218</v>
      </c>
      <c r="D7362">
        <v>39100750.436787203</v>
      </c>
    </row>
    <row r="7363" spans="1:4" hidden="1" x14ac:dyDescent="0.3">
      <c r="A7363">
        <v>7361</v>
      </c>
      <c r="B7363" t="s">
        <v>9637</v>
      </c>
      <c r="C7363" t="s">
        <v>220</v>
      </c>
      <c r="D7363">
        <v>27203056.004796699</v>
      </c>
    </row>
    <row r="7364" spans="1:4" hidden="1" x14ac:dyDescent="0.3">
      <c r="A7364">
        <v>7362</v>
      </c>
      <c r="B7364" s="1" t="s">
        <v>9638</v>
      </c>
      <c r="C7364" t="s">
        <v>222</v>
      </c>
      <c r="D7364" s="1" t="s">
        <v>9639</v>
      </c>
    </row>
    <row r="7365" spans="1:4" hidden="1" x14ac:dyDescent="0.3">
      <c r="A7365">
        <v>7363</v>
      </c>
      <c r="B7365" t="s">
        <v>9640</v>
      </c>
      <c r="C7365" t="s">
        <v>225</v>
      </c>
      <c r="D7365">
        <v>101165483.192619</v>
      </c>
    </row>
    <row r="7366" spans="1:4" hidden="1" x14ac:dyDescent="0.3">
      <c r="A7366">
        <v>7364</v>
      </c>
      <c r="B7366" t="s">
        <v>9641</v>
      </c>
      <c r="C7366" t="s">
        <v>227</v>
      </c>
      <c r="D7366">
        <v>-546.02899633347897</v>
      </c>
    </row>
    <row r="7367" spans="1:4" hidden="1" x14ac:dyDescent="0.3">
      <c r="A7367">
        <v>7365</v>
      </c>
      <c r="B7367" s="1" t="s">
        <v>9642</v>
      </c>
      <c r="C7367" t="s">
        <v>229</v>
      </c>
      <c r="D7367" s="1" t="s">
        <v>9643</v>
      </c>
    </row>
    <row r="7368" spans="1:4" hidden="1" x14ac:dyDescent="0.3">
      <c r="A7368">
        <v>7366</v>
      </c>
      <c r="B7368" t="s">
        <v>9644</v>
      </c>
      <c r="C7368" t="s">
        <v>112</v>
      </c>
      <c r="D7368">
        <v>130.729142900966</v>
      </c>
    </row>
    <row r="7369" spans="1:4" hidden="1" x14ac:dyDescent="0.3">
      <c r="A7369">
        <v>7367</v>
      </c>
      <c r="B7369" t="s">
        <v>9645</v>
      </c>
      <c r="C7369" t="s">
        <v>114</v>
      </c>
      <c r="D7369">
        <v>39.175060972231499</v>
      </c>
    </row>
    <row r="7370" spans="1:4" hidden="1" x14ac:dyDescent="0.3">
      <c r="A7370">
        <v>7368</v>
      </c>
      <c r="B7370" s="1" t="s">
        <v>9646</v>
      </c>
      <c r="C7370" t="s">
        <v>116</v>
      </c>
      <c r="D7370" s="1" t="s">
        <v>9647</v>
      </c>
    </row>
    <row r="7371" spans="1:4" hidden="1" x14ac:dyDescent="0.3">
      <c r="A7371">
        <v>7369</v>
      </c>
      <c r="B7371" t="s">
        <v>9648</v>
      </c>
      <c r="C7371" t="s">
        <v>119</v>
      </c>
      <c r="D7371">
        <v>76759269.257592097</v>
      </c>
    </row>
    <row r="7372" spans="1:4" hidden="1" x14ac:dyDescent="0.3">
      <c r="A7372">
        <v>7370</v>
      </c>
      <c r="B7372" t="s">
        <v>9649</v>
      </c>
      <c r="C7372" t="s">
        <v>121</v>
      </c>
      <c r="D7372">
        <v>39100750.436787203</v>
      </c>
    </row>
    <row r="7373" spans="1:4" hidden="1" x14ac:dyDescent="0.3">
      <c r="A7373">
        <v>7371</v>
      </c>
      <c r="B7373" s="1" t="s">
        <v>9650</v>
      </c>
      <c r="C7373" t="s">
        <v>123</v>
      </c>
      <c r="D7373" s="1" t="s">
        <v>9651</v>
      </c>
    </row>
    <row r="7374" spans="1:4" hidden="1" x14ac:dyDescent="0.3">
      <c r="A7374">
        <v>7372</v>
      </c>
      <c r="B7374" t="s">
        <v>9652</v>
      </c>
      <c r="C7374" t="s">
        <v>126</v>
      </c>
      <c r="D7374">
        <v>0.75856331884649097</v>
      </c>
    </row>
    <row r="7375" spans="1:4" hidden="1" x14ac:dyDescent="0.3">
      <c r="A7375">
        <v>7373</v>
      </c>
      <c r="B7375" t="s">
        <v>9653</v>
      </c>
      <c r="C7375" t="s">
        <v>128</v>
      </c>
      <c r="D7375">
        <v>0.386407990951321</v>
      </c>
    </row>
    <row r="7376" spans="1:4" hidden="1" x14ac:dyDescent="0.3">
      <c r="A7376">
        <v>7374</v>
      </c>
      <c r="B7376" s="1" t="s">
        <v>9654</v>
      </c>
      <c r="C7376" t="s">
        <v>130</v>
      </c>
      <c r="D7376" s="1" t="s">
        <v>9655</v>
      </c>
    </row>
    <row r="7377" spans="1:4" hidden="1" x14ac:dyDescent="0.3">
      <c r="A7377">
        <v>7375</v>
      </c>
      <c r="B7377" s="1" t="s">
        <v>9656</v>
      </c>
      <c r="C7377" t="s">
        <v>4</v>
      </c>
      <c r="D7377" t="s">
        <v>9657</v>
      </c>
    </row>
    <row r="7378" spans="1:4" hidden="1" x14ac:dyDescent="0.3">
      <c r="A7378">
        <v>7376</v>
      </c>
      <c r="B7378" t="s">
        <v>9658</v>
      </c>
      <c r="C7378" t="s">
        <v>7</v>
      </c>
      <c r="D7378">
        <v>1782.9</v>
      </c>
    </row>
    <row r="7379" spans="1:4" hidden="1" x14ac:dyDescent="0.3">
      <c r="A7379">
        <v>7377</v>
      </c>
      <c r="B7379" s="1" t="s">
        <v>9659</v>
      </c>
      <c r="C7379" t="s">
        <v>9</v>
      </c>
      <c r="D7379" s="1" t="s">
        <v>9660</v>
      </c>
    </row>
    <row r="7380" spans="1:4" hidden="1" x14ac:dyDescent="0.3">
      <c r="A7380">
        <v>7378</v>
      </c>
      <c r="B7380" t="s">
        <v>9661</v>
      </c>
      <c r="C7380" t="s">
        <v>14</v>
      </c>
      <c r="D7380">
        <v>96.98046875</v>
      </c>
    </row>
    <row r="7381" spans="1:4" hidden="1" x14ac:dyDescent="0.3">
      <c r="A7381">
        <v>7379</v>
      </c>
      <c r="B7381" t="s">
        <v>9662</v>
      </c>
      <c r="C7381" t="s">
        <v>16</v>
      </c>
      <c r="D7381">
        <v>4.3686654205973001</v>
      </c>
    </row>
    <row r="7382" spans="1:4" hidden="1" x14ac:dyDescent="0.3">
      <c r="A7382">
        <v>7380</v>
      </c>
      <c r="B7382" s="1" t="s">
        <v>9663</v>
      </c>
      <c r="C7382" t="s">
        <v>140</v>
      </c>
      <c r="D7382" s="1" t="s">
        <v>9664</v>
      </c>
    </row>
    <row r="7383" spans="1:4" hidden="1" x14ac:dyDescent="0.3">
      <c r="A7383">
        <v>7381</v>
      </c>
      <c r="B7383" t="s">
        <v>9665</v>
      </c>
      <c r="C7383" t="s">
        <v>22</v>
      </c>
      <c r="D7383">
        <v>67.900000000000006</v>
      </c>
    </row>
    <row r="7384" spans="1:4" hidden="1" x14ac:dyDescent="0.3">
      <c r="A7384">
        <v>7382</v>
      </c>
      <c r="B7384" t="s">
        <v>9666</v>
      </c>
      <c r="C7384" t="s">
        <v>24</v>
      </c>
      <c r="D7384">
        <v>6.4478175336527297</v>
      </c>
    </row>
    <row r="7385" spans="1:4" hidden="1" x14ac:dyDescent="0.3">
      <c r="A7385">
        <v>7383</v>
      </c>
      <c r="B7385" s="1" t="s">
        <v>9667</v>
      </c>
      <c r="C7385" t="s">
        <v>145</v>
      </c>
      <c r="D7385" s="1" t="s">
        <v>9668</v>
      </c>
    </row>
    <row r="7386" spans="1:4" hidden="1" x14ac:dyDescent="0.3">
      <c r="A7386">
        <v>7384</v>
      </c>
      <c r="B7386" t="s">
        <v>9669</v>
      </c>
      <c r="C7386" t="s">
        <v>35</v>
      </c>
      <c r="D7386">
        <v>-0.18987956551299001</v>
      </c>
    </row>
    <row r="7387" spans="1:4" hidden="1" x14ac:dyDescent="0.3">
      <c r="A7387">
        <v>7385</v>
      </c>
      <c r="B7387" t="s">
        <v>9670</v>
      </c>
      <c r="C7387" t="s">
        <v>149</v>
      </c>
      <c r="D7387">
        <v>0.74339835574697699</v>
      </c>
    </row>
    <row r="7388" spans="1:4" hidden="1" x14ac:dyDescent="0.3">
      <c r="A7388">
        <v>7386</v>
      </c>
      <c r="B7388" s="1" t="s">
        <v>9671</v>
      </c>
      <c r="C7388" t="s">
        <v>151</v>
      </c>
      <c r="D7388" s="1" t="s">
        <v>9672</v>
      </c>
    </row>
    <row r="7389" spans="1:4" hidden="1" x14ac:dyDescent="0.3">
      <c r="A7389">
        <v>7387</v>
      </c>
      <c r="B7389" t="s">
        <v>9673</v>
      </c>
      <c r="C7389" t="s">
        <v>30</v>
      </c>
      <c r="D7389">
        <v>0.465431263122769</v>
      </c>
    </row>
    <row r="7390" spans="1:4" hidden="1" x14ac:dyDescent="0.3">
      <c r="A7390">
        <v>7388</v>
      </c>
      <c r="B7390" t="s">
        <v>9674</v>
      </c>
      <c r="C7390" t="s">
        <v>32</v>
      </c>
      <c r="D7390">
        <v>0.18137891971708101</v>
      </c>
    </row>
    <row r="7391" spans="1:4" hidden="1" x14ac:dyDescent="0.3">
      <c r="A7391">
        <v>7389</v>
      </c>
      <c r="B7391" s="1" t="s">
        <v>9675</v>
      </c>
      <c r="C7391" t="s">
        <v>155</v>
      </c>
      <c r="D7391" s="1" t="s">
        <v>9676</v>
      </c>
    </row>
    <row r="7392" spans="1:4" hidden="1" x14ac:dyDescent="0.3">
      <c r="A7392">
        <v>7390</v>
      </c>
      <c r="B7392" t="s">
        <v>9677</v>
      </c>
      <c r="C7392" t="s">
        <v>40</v>
      </c>
      <c r="D7392">
        <v>0.72444830239022096</v>
      </c>
    </row>
    <row r="7393" spans="1:4" hidden="1" x14ac:dyDescent="0.3">
      <c r="A7393">
        <v>7391</v>
      </c>
      <c r="B7393" t="s">
        <v>9678</v>
      </c>
      <c r="C7393" t="s">
        <v>42</v>
      </c>
      <c r="D7393">
        <v>0.16379489223624899</v>
      </c>
    </row>
    <row r="7394" spans="1:4" hidden="1" x14ac:dyDescent="0.3">
      <c r="A7394">
        <v>7392</v>
      </c>
      <c r="B7394" s="1" t="s">
        <v>9679</v>
      </c>
      <c r="C7394" t="s">
        <v>159</v>
      </c>
      <c r="D7394" s="1" t="s">
        <v>9680</v>
      </c>
    </row>
    <row r="7395" spans="1:4" hidden="1" x14ac:dyDescent="0.3">
      <c r="A7395">
        <v>7393</v>
      </c>
      <c r="B7395" t="s">
        <v>9681</v>
      </c>
      <c r="C7395" t="s">
        <v>161</v>
      </c>
      <c r="D7395">
        <v>1.0004601364697401</v>
      </c>
    </row>
    <row r="7396" spans="1:4" hidden="1" x14ac:dyDescent="0.3">
      <c r="A7396">
        <v>7394</v>
      </c>
      <c r="B7396" t="s">
        <v>9682</v>
      </c>
      <c r="C7396" t="s">
        <v>163</v>
      </c>
      <c r="D7396">
        <v>0.99690713314311996</v>
      </c>
    </row>
    <row r="7397" spans="1:4" hidden="1" x14ac:dyDescent="0.3">
      <c r="A7397">
        <v>7395</v>
      </c>
      <c r="B7397" s="1" t="s">
        <v>9683</v>
      </c>
      <c r="C7397" t="s">
        <v>165</v>
      </c>
      <c r="D7397" s="1" t="s">
        <v>9684</v>
      </c>
    </row>
    <row r="7398" spans="1:4" hidden="1" x14ac:dyDescent="0.3">
      <c r="A7398">
        <v>7396</v>
      </c>
      <c r="B7398" t="s">
        <v>9685</v>
      </c>
      <c r="C7398" t="s">
        <v>168</v>
      </c>
      <c r="D7398">
        <v>0.99736462586252606</v>
      </c>
    </row>
    <row r="7399" spans="1:4" hidden="1" x14ac:dyDescent="0.3">
      <c r="A7399">
        <v>7397</v>
      </c>
      <c r="B7399" t="s">
        <v>9686</v>
      </c>
      <c r="C7399" t="s">
        <v>170</v>
      </c>
      <c r="D7399">
        <v>1.0035462819166201</v>
      </c>
    </row>
    <row r="7400" spans="1:4" hidden="1" x14ac:dyDescent="0.3">
      <c r="A7400">
        <v>7398</v>
      </c>
      <c r="B7400" s="1" t="s">
        <v>9687</v>
      </c>
      <c r="C7400" t="s">
        <v>172</v>
      </c>
      <c r="D7400" s="1" t="s">
        <v>9688</v>
      </c>
    </row>
    <row r="7401" spans="1:4" hidden="1" x14ac:dyDescent="0.3">
      <c r="A7401">
        <v>7399</v>
      </c>
      <c r="B7401" s="1" t="s">
        <v>9689</v>
      </c>
      <c r="C7401" t="s">
        <v>55</v>
      </c>
      <c r="D7401" s="1" t="s">
        <v>9690</v>
      </c>
    </row>
    <row r="7402" spans="1:4" hidden="1" x14ac:dyDescent="0.3">
      <c r="A7402">
        <v>7400</v>
      </c>
      <c r="B7402" s="1" t="s">
        <v>9691</v>
      </c>
      <c r="C7402" t="s">
        <v>52</v>
      </c>
      <c r="D7402" s="1" t="s">
        <v>9692</v>
      </c>
    </row>
    <row r="7403" spans="1:4" hidden="1" x14ac:dyDescent="0.3">
      <c r="A7403">
        <v>7401</v>
      </c>
      <c r="B7403" s="1" t="s">
        <v>9693</v>
      </c>
      <c r="C7403" t="s">
        <v>58</v>
      </c>
      <c r="D7403" s="1" t="s">
        <v>9694</v>
      </c>
    </row>
    <row r="7404" spans="1:4" hidden="1" x14ac:dyDescent="0.3">
      <c r="A7404">
        <v>7402</v>
      </c>
      <c r="B7404" t="s">
        <v>9695</v>
      </c>
      <c r="C7404" t="s">
        <v>61</v>
      </c>
      <c r="D7404">
        <v>142899772.33543399</v>
      </c>
    </row>
    <row r="7405" spans="1:4" hidden="1" x14ac:dyDescent="0.3">
      <c r="A7405">
        <v>7403</v>
      </c>
      <c r="B7405" t="s">
        <v>9696</v>
      </c>
      <c r="C7405" t="s">
        <v>63</v>
      </c>
      <c r="D7405">
        <v>76794588.9967684</v>
      </c>
    </row>
    <row r="7406" spans="1:4" hidden="1" x14ac:dyDescent="0.3">
      <c r="A7406">
        <v>7404</v>
      </c>
      <c r="B7406" t="s">
        <v>9697</v>
      </c>
      <c r="C7406" t="s">
        <v>65</v>
      </c>
      <c r="D7406">
        <v>38979817.021682203</v>
      </c>
    </row>
    <row r="7407" spans="1:4" hidden="1" x14ac:dyDescent="0.3">
      <c r="A7407">
        <v>7405</v>
      </c>
      <c r="B7407" s="1" t="s">
        <v>9698</v>
      </c>
      <c r="C7407" t="s">
        <v>67</v>
      </c>
      <c r="D7407" s="1" t="s">
        <v>9699</v>
      </c>
    </row>
    <row r="7408" spans="1:4" hidden="1" x14ac:dyDescent="0.3">
      <c r="A7408">
        <v>7406</v>
      </c>
      <c r="B7408" s="1" t="s">
        <v>9700</v>
      </c>
      <c r="C7408" t="s">
        <v>70</v>
      </c>
      <c r="D7408" s="1" t="s">
        <v>9701</v>
      </c>
    </row>
    <row r="7409" spans="1:4" hidden="1" x14ac:dyDescent="0.3">
      <c r="A7409">
        <v>7407</v>
      </c>
      <c r="B7409" t="s">
        <v>9702</v>
      </c>
      <c r="C7409" t="s">
        <v>73</v>
      </c>
      <c r="D7409">
        <v>1.0002455625489</v>
      </c>
    </row>
    <row r="7410" spans="1:4" hidden="1" x14ac:dyDescent="0.3">
      <c r="A7410">
        <v>7408</v>
      </c>
      <c r="B7410" t="s">
        <v>74</v>
      </c>
      <c r="C7410" t="s">
        <v>75</v>
      </c>
      <c r="D7410">
        <v>2.7397260273972599E-3</v>
      </c>
    </row>
    <row r="7411" spans="1:4" hidden="1" x14ac:dyDescent="0.3">
      <c r="A7411">
        <v>7409</v>
      </c>
      <c r="B7411" t="s">
        <v>76</v>
      </c>
      <c r="C7411" t="s">
        <v>77</v>
      </c>
      <c r="D7411">
        <v>0</v>
      </c>
    </row>
    <row r="7412" spans="1:4" hidden="1" x14ac:dyDescent="0.3">
      <c r="A7412">
        <v>7410</v>
      </c>
      <c r="B7412" t="s">
        <v>78</v>
      </c>
      <c r="C7412" t="s">
        <v>79</v>
      </c>
      <c r="D7412">
        <v>0</v>
      </c>
    </row>
    <row r="7413" spans="1:4" hidden="1" x14ac:dyDescent="0.3">
      <c r="A7413">
        <v>7411</v>
      </c>
      <c r="B7413" s="1" t="s">
        <v>9703</v>
      </c>
      <c r="C7413" t="s">
        <v>81</v>
      </c>
      <c r="D7413" s="1" t="s">
        <v>9704</v>
      </c>
    </row>
    <row r="7414" spans="1:4" hidden="1" x14ac:dyDescent="0.3">
      <c r="A7414">
        <v>7412</v>
      </c>
      <c r="B7414" t="s">
        <v>9705</v>
      </c>
      <c r="C7414" t="s">
        <v>84</v>
      </c>
      <c r="D7414">
        <v>1.00027362414371</v>
      </c>
    </row>
    <row r="7415" spans="1:4" hidden="1" x14ac:dyDescent="0.3">
      <c r="A7415">
        <v>7413</v>
      </c>
      <c r="B7415" s="1" t="s">
        <v>9706</v>
      </c>
      <c r="C7415" t="s">
        <v>86</v>
      </c>
      <c r="D7415" s="1" t="s">
        <v>9707</v>
      </c>
    </row>
    <row r="7416" spans="1:4" hidden="1" x14ac:dyDescent="0.3">
      <c r="A7416">
        <v>7414</v>
      </c>
      <c r="B7416" t="s">
        <v>9708</v>
      </c>
      <c r="C7416" t="s">
        <v>89</v>
      </c>
      <c r="D7416">
        <v>101162099.09071299</v>
      </c>
    </row>
    <row r="7417" spans="1:4" hidden="1" x14ac:dyDescent="0.3">
      <c r="A7417">
        <v>7415</v>
      </c>
      <c r="B7417" s="1" t="s">
        <v>9709</v>
      </c>
      <c r="C7417" t="s">
        <v>91</v>
      </c>
      <c r="D7417" s="1" t="s">
        <v>9643</v>
      </c>
    </row>
    <row r="7418" spans="1:4" hidden="1" x14ac:dyDescent="0.3">
      <c r="A7418">
        <v>7416</v>
      </c>
      <c r="B7418" t="s">
        <v>9710</v>
      </c>
      <c r="C7418" t="s">
        <v>94</v>
      </c>
      <c r="D7418">
        <v>76794588.9967684</v>
      </c>
    </row>
    <row r="7419" spans="1:4" hidden="1" x14ac:dyDescent="0.3">
      <c r="A7419">
        <v>7417</v>
      </c>
      <c r="B7419" t="s">
        <v>9711</v>
      </c>
      <c r="C7419" t="s">
        <v>96</v>
      </c>
      <c r="D7419">
        <v>38979817.021682203</v>
      </c>
    </row>
    <row r="7420" spans="1:4" hidden="1" x14ac:dyDescent="0.3">
      <c r="A7420">
        <v>7418</v>
      </c>
      <c r="B7420" t="s">
        <v>9712</v>
      </c>
      <c r="C7420" t="s">
        <v>98</v>
      </c>
      <c r="D7420">
        <v>27125366.3169837</v>
      </c>
    </row>
    <row r="7421" spans="1:4" hidden="1" x14ac:dyDescent="0.3">
      <c r="A7421">
        <v>7419</v>
      </c>
      <c r="B7421" s="1" t="s">
        <v>9713</v>
      </c>
      <c r="C7421" t="s">
        <v>100</v>
      </c>
      <c r="D7421" s="1" t="s">
        <v>9714</v>
      </c>
    </row>
    <row r="7422" spans="1:4" hidden="1" x14ac:dyDescent="0.3">
      <c r="A7422">
        <v>7420</v>
      </c>
      <c r="B7422" t="s">
        <v>9715</v>
      </c>
      <c r="C7422" t="s">
        <v>103</v>
      </c>
      <c r="D7422">
        <v>8.2931507970114404E-3</v>
      </c>
    </row>
    <row r="7423" spans="1:4" hidden="1" x14ac:dyDescent="0.3">
      <c r="A7423">
        <v>7421</v>
      </c>
      <c r="B7423" t="s">
        <v>9716</v>
      </c>
      <c r="C7423" t="s">
        <v>105</v>
      </c>
      <c r="D7423">
        <v>1.3908570558453801E-3</v>
      </c>
    </row>
    <row r="7424" spans="1:4" hidden="1" x14ac:dyDescent="0.3">
      <c r="A7424">
        <v>7422</v>
      </c>
      <c r="B7424" t="s">
        <v>9717</v>
      </c>
      <c r="C7424" t="s">
        <v>107</v>
      </c>
      <c r="D7424">
        <v>1.0281139364213701E-2</v>
      </c>
    </row>
    <row r="7425" spans="1:4" hidden="1" x14ac:dyDescent="0.3">
      <c r="A7425">
        <v>7423</v>
      </c>
      <c r="B7425" s="1" t="s">
        <v>9718</v>
      </c>
      <c r="C7425" t="s">
        <v>109</v>
      </c>
      <c r="D7425" s="1" t="s">
        <v>9719</v>
      </c>
    </row>
    <row r="7426" spans="1:4" x14ac:dyDescent="0.3">
      <c r="A7426">
        <v>7424</v>
      </c>
      <c r="B7426" t="s">
        <v>9720</v>
      </c>
      <c r="C7426" t="s">
        <v>207</v>
      </c>
      <c r="D7426">
        <v>142900758.04266</v>
      </c>
    </row>
    <row r="7427" spans="1:4" hidden="1" x14ac:dyDescent="0.3">
      <c r="A7427">
        <v>7425</v>
      </c>
      <c r="B7427" t="s">
        <v>9721</v>
      </c>
      <c r="C7427" t="s">
        <v>209</v>
      </c>
      <c r="D7427">
        <v>-2154.4686891631</v>
      </c>
    </row>
    <row r="7428" spans="1:4" hidden="1" x14ac:dyDescent="0.3">
      <c r="A7428">
        <v>7426</v>
      </c>
      <c r="B7428" t="s">
        <v>9722</v>
      </c>
      <c r="C7428" t="s">
        <v>211</v>
      </c>
      <c r="D7428">
        <v>-1093.5731964223901</v>
      </c>
    </row>
    <row r="7429" spans="1:4" hidden="1" x14ac:dyDescent="0.3">
      <c r="A7429">
        <v>7427</v>
      </c>
      <c r="B7429" s="1" t="s">
        <v>9723</v>
      </c>
      <c r="C7429" t="s">
        <v>213</v>
      </c>
      <c r="D7429" s="1" t="s">
        <v>9724</v>
      </c>
    </row>
    <row r="7430" spans="1:4" hidden="1" x14ac:dyDescent="0.3">
      <c r="A7430">
        <v>7428</v>
      </c>
      <c r="B7430" t="s">
        <v>9725</v>
      </c>
      <c r="C7430" t="s">
        <v>216</v>
      </c>
      <c r="D7430">
        <v>76797424.335348397</v>
      </c>
    </row>
    <row r="7431" spans="1:4" hidden="1" x14ac:dyDescent="0.3">
      <c r="A7431">
        <v>7429</v>
      </c>
      <c r="B7431" t="s">
        <v>9726</v>
      </c>
      <c r="C7431" t="s">
        <v>218</v>
      </c>
      <c r="D7431">
        <v>38981121.067039803</v>
      </c>
    </row>
    <row r="7432" spans="1:4" hidden="1" x14ac:dyDescent="0.3">
      <c r="A7432">
        <v>7430</v>
      </c>
      <c r="B7432" t="s">
        <v>9727</v>
      </c>
      <c r="C7432" t="s">
        <v>220</v>
      </c>
      <c r="D7432">
        <v>27126221.678972501</v>
      </c>
    </row>
    <row r="7433" spans="1:4" hidden="1" x14ac:dyDescent="0.3">
      <c r="A7433">
        <v>7431</v>
      </c>
      <c r="B7433" s="1" t="s">
        <v>9728</v>
      </c>
      <c r="C7433" t="s">
        <v>222</v>
      </c>
      <c r="D7433" s="1" t="s">
        <v>9729</v>
      </c>
    </row>
    <row r="7434" spans="1:4" hidden="1" x14ac:dyDescent="0.3">
      <c r="A7434">
        <v>7432</v>
      </c>
      <c r="B7434" t="s">
        <v>9730</v>
      </c>
      <c r="C7434" t="s">
        <v>225</v>
      </c>
      <c r="D7434">
        <v>101164937.16362301</v>
      </c>
    </row>
    <row r="7435" spans="1:4" hidden="1" x14ac:dyDescent="0.3">
      <c r="A7435">
        <v>7433</v>
      </c>
      <c r="B7435" t="s">
        <v>9731</v>
      </c>
      <c r="C7435" t="s">
        <v>227</v>
      </c>
      <c r="D7435">
        <v>-2838.07290995121</v>
      </c>
    </row>
    <row r="7436" spans="1:4" hidden="1" x14ac:dyDescent="0.3">
      <c r="A7436">
        <v>7434</v>
      </c>
      <c r="B7436" s="1" t="s">
        <v>9732</v>
      </c>
      <c r="C7436" t="s">
        <v>229</v>
      </c>
      <c r="D7436" s="1" t="s">
        <v>9733</v>
      </c>
    </row>
    <row r="7437" spans="1:4" hidden="1" x14ac:dyDescent="0.3">
      <c r="A7437">
        <v>7435</v>
      </c>
      <c r="B7437" t="s">
        <v>9734</v>
      </c>
      <c r="C7437" t="s">
        <v>112</v>
      </c>
      <c r="D7437">
        <v>680.869890831475</v>
      </c>
    </row>
    <row r="7438" spans="1:4" hidden="1" x14ac:dyDescent="0.3">
      <c r="A7438">
        <v>7436</v>
      </c>
      <c r="B7438" t="s">
        <v>9735</v>
      </c>
      <c r="C7438" t="s">
        <v>114</v>
      </c>
      <c r="D7438">
        <v>210.47216122411001</v>
      </c>
    </row>
    <row r="7439" spans="1:4" hidden="1" x14ac:dyDescent="0.3">
      <c r="A7439">
        <v>7437</v>
      </c>
      <c r="B7439" s="1" t="s">
        <v>9736</v>
      </c>
      <c r="C7439" t="s">
        <v>116</v>
      </c>
      <c r="D7439" s="1" t="s">
        <v>9737</v>
      </c>
    </row>
    <row r="7440" spans="1:4" hidden="1" x14ac:dyDescent="0.3">
      <c r="A7440">
        <v>7438</v>
      </c>
      <c r="B7440" t="s">
        <v>9738</v>
      </c>
      <c r="C7440" t="s">
        <v>119</v>
      </c>
      <c r="D7440">
        <v>76797424.335348397</v>
      </c>
    </row>
    <row r="7441" spans="1:4" hidden="1" x14ac:dyDescent="0.3">
      <c r="A7441">
        <v>7439</v>
      </c>
      <c r="B7441" t="s">
        <v>9739</v>
      </c>
      <c r="C7441" t="s">
        <v>121</v>
      </c>
      <c r="D7441">
        <v>38981121.067039803</v>
      </c>
    </row>
    <row r="7442" spans="1:4" hidden="1" x14ac:dyDescent="0.3">
      <c r="A7442">
        <v>7440</v>
      </c>
      <c r="B7442" s="1" t="s">
        <v>9740</v>
      </c>
      <c r="C7442" t="s">
        <v>123</v>
      </c>
      <c r="D7442" s="1" t="s">
        <v>9741</v>
      </c>
    </row>
    <row r="7443" spans="1:4" hidden="1" x14ac:dyDescent="0.3">
      <c r="A7443">
        <v>7441</v>
      </c>
      <c r="B7443" t="s">
        <v>9742</v>
      </c>
      <c r="C7443" t="s">
        <v>126</v>
      </c>
      <c r="D7443">
        <v>0.75892318630081301</v>
      </c>
    </row>
    <row r="7444" spans="1:4" hidden="1" x14ac:dyDescent="0.3">
      <c r="A7444">
        <v>7442</v>
      </c>
      <c r="B7444" t="s">
        <v>9743</v>
      </c>
      <c r="C7444" t="s">
        <v>128</v>
      </c>
      <c r="D7444">
        <v>0.38521704161058401</v>
      </c>
    </row>
    <row r="7445" spans="1:4" hidden="1" x14ac:dyDescent="0.3">
      <c r="A7445">
        <v>7443</v>
      </c>
      <c r="B7445" s="1" t="s">
        <v>9744</v>
      </c>
      <c r="C7445" t="s">
        <v>130</v>
      </c>
      <c r="D7445" s="1" t="s">
        <v>9745</v>
      </c>
    </row>
    <row r="7446" spans="1:4" hidden="1" x14ac:dyDescent="0.3">
      <c r="A7446">
        <v>7444</v>
      </c>
      <c r="B7446" s="1" t="s">
        <v>9746</v>
      </c>
      <c r="C7446" t="s">
        <v>4</v>
      </c>
      <c r="D7446" t="s">
        <v>9747</v>
      </c>
    </row>
    <row r="7447" spans="1:4" hidden="1" x14ac:dyDescent="0.3">
      <c r="A7447">
        <v>7445</v>
      </c>
      <c r="B7447" t="s">
        <v>9748</v>
      </c>
      <c r="C7447" t="s">
        <v>7</v>
      </c>
      <c r="D7447">
        <v>1792.65</v>
      </c>
    </row>
    <row r="7448" spans="1:4" hidden="1" x14ac:dyDescent="0.3">
      <c r="A7448">
        <v>7446</v>
      </c>
      <c r="B7448" s="1" t="s">
        <v>9749</v>
      </c>
      <c r="C7448" t="s">
        <v>9</v>
      </c>
      <c r="D7448" s="1" t="s">
        <v>9750</v>
      </c>
    </row>
    <row r="7449" spans="1:4" hidden="1" x14ac:dyDescent="0.3">
      <c r="A7449">
        <v>7447</v>
      </c>
      <c r="B7449" t="s">
        <v>9751</v>
      </c>
      <c r="C7449" t="s">
        <v>14</v>
      </c>
      <c r="D7449">
        <v>97.140625</v>
      </c>
    </row>
    <row r="7450" spans="1:4" hidden="1" x14ac:dyDescent="0.3">
      <c r="A7450">
        <v>7448</v>
      </c>
      <c r="B7450" t="s">
        <v>9752</v>
      </c>
      <c r="C7450" t="s">
        <v>16</v>
      </c>
      <c r="D7450">
        <v>4.3700160230862197</v>
      </c>
    </row>
    <row r="7451" spans="1:4" hidden="1" x14ac:dyDescent="0.3">
      <c r="A7451">
        <v>7449</v>
      </c>
      <c r="B7451" s="1" t="s">
        <v>9753</v>
      </c>
      <c r="C7451" t="s">
        <v>140</v>
      </c>
      <c r="D7451" s="1" t="s">
        <v>9754</v>
      </c>
    </row>
    <row r="7452" spans="1:4" hidden="1" x14ac:dyDescent="0.3">
      <c r="A7452">
        <v>7450</v>
      </c>
      <c r="B7452" t="s">
        <v>9306</v>
      </c>
      <c r="C7452" t="s">
        <v>22</v>
      </c>
      <c r="D7452">
        <v>68.400000000000006</v>
      </c>
    </row>
    <row r="7453" spans="1:4" hidden="1" x14ac:dyDescent="0.3">
      <c r="A7453">
        <v>7451</v>
      </c>
      <c r="B7453" t="s">
        <v>9755</v>
      </c>
      <c r="C7453" t="s">
        <v>24</v>
      </c>
      <c r="D7453">
        <v>6.4407954685296103</v>
      </c>
    </row>
    <row r="7454" spans="1:4" hidden="1" x14ac:dyDescent="0.3">
      <c r="A7454">
        <v>7452</v>
      </c>
      <c r="B7454" s="1" t="s">
        <v>9756</v>
      </c>
      <c r="C7454" t="s">
        <v>145</v>
      </c>
      <c r="D7454" s="1" t="s">
        <v>9757</v>
      </c>
    </row>
    <row r="7455" spans="1:4" hidden="1" x14ac:dyDescent="0.3">
      <c r="A7455">
        <v>7453</v>
      </c>
      <c r="B7455" t="s">
        <v>9758</v>
      </c>
      <c r="C7455" t="s">
        <v>35</v>
      </c>
      <c r="D7455">
        <v>-1.93966831472891</v>
      </c>
    </row>
    <row r="7456" spans="1:4" hidden="1" x14ac:dyDescent="0.3">
      <c r="A7456">
        <v>7454</v>
      </c>
      <c r="B7456" t="s">
        <v>9759</v>
      </c>
      <c r="C7456" t="s">
        <v>149</v>
      </c>
      <c r="D7456">
        <v>0.74158153730574305</v>
      </c>
    </row>
    <row r="7457" spans="1:4" hidden="1" x14ac:dyDescent="0.3">
      <c r="A7457">
        <v>7455</v>
      </c>
      <c r="B7457" s="1" t="s">
        <v>9760</v>
      </c>
      <c r="C7457" t="s">
        <v>151</v>
      </c>
      <c r="D7457" s="1" t="s">
        <v>9761</v>
      </c>
    </row>
    <row r="7458" spans="1:4" hidden="1" x14ac:dyDescent="0.3">
      <c r="A7458">
        <v>7456</v>
      </c>
      <c r="B7458" t="s">
        <v>9762</v>
      </c>
      <c r="C7458" t="s">
        <v>30</v>
      </c>
      <c r="D7458">
        <v>1.1721467834189201</v>
      </c>
    </row>
    <row r="7459" spans="1:4" hidden="1" x14ac:dyDescent="0.3">
      <c r="A7459">
        <v>7457</v>
      </c>
      <c r="B7459" t="s">
        <v>9763</v>
      </c>
      <c r="C7459" t="s">
        <v>32</v>
      </c>
      <c r="D7459">
        <v>0.18225000531979199</v>
      </c>
    </row>
    <row r="7460" spans="1:4" hidden="1" x14ac:dyDescent="0.3">
      <c r="A7460">
        <v>7458</v>
      </c>
      <c r="B7460" s="1" t="s">
        <v>9764</v>
      </c>
      <c r="C7460" t="s">
        <v>155</v>
      </c>
      <c r="D7460" s="1" t="s">
        <v>9765</v>
      </c>
    </row>
    <row r="7461" spans="1:4" hidden="1" x14ac:dyDescent="0.3">
      <c r="A7461">
        <v>7459</v>
      </c>
      <c r="B7461" t="s">
        <v>9766</v>
      </c>
      <c r="C7461" t="s">
        <v>40</v>
      </c>
      <c r="D7461">
        <v>1.7675215313099899</v>
      </c>
    </row>
    <row r="7462" spans="1:4" hidden="1" x14ac:dyDescent="0.3">
      <c r="A7462">
        <v>7460</v>
      </c>
      <c r="B7462" t="s">
        <v>9767</v>
      </c>
      <c r="C7462" t="s">
        <v>42</v>
      </c>
      <c r="D7462">
        <v>0.166219380303159</v>
      </c>
    </row>
    <row r="7463" spans="1:4" hidden="1" x14ac:dyDescent="0.3">
      <c r="A7463">
        <v>7461</v>
      </c>
      <c r="B7463" s="1" t="s">
        <v>9768</v>
      </c>
      <c r="C7463" t="s">
        <v>159</v>
      </c>
      <c r="D7463" s="1" t="s">
        <v>9769</v>
      </c>
    </row>
    <row r="7464" spans="1:4" hidden="1" x14ac:dyDescent="0.3">
      <c r="A7464">
        <v>7462</v>
      </c>
      <c r="B7464" t="s">
        <v>9770</v>
      </c>
      <c r="C7464" t="s">
        <v>161</v>
      </c>
      <c r="D7464">
        <v>1.0054686185428201</v>
      </c>
    </row>
    <row r="7465" spans="1:4" hidden="1" x14ac:dyDescent="0.3">
      <c r="A7465">
        <v>7463</v>
      </c>
      <c r="B7465" t="s">
        <v>9771</v>
      </c>
      <c r="C7465" t="s">
        <v>163</v>
      </c>
      <c r="D7465">
        <v>1.0015935691391</v>
      </c>
    </row>
    <row r="7466" spans="1:4" hidden="1" x14ac:dyDescent="0.3">
      <c r="A7466">
        <v>7464</v>
      </c>
      <c r="B7466" s="1" t="s">
        <v>9772</v>
      </c>
      <c r="C7466" t="s">
        <v>165</v>
      </c>
      <c r="D7466" s="1" t="s">
        <v>9773</v>
      </c>
    </row>
    <row r="7467" spans="1:4" hidden="1" x14ac:dyDescent="0.3">
      <c r="A7467">
        <v>7465</v>
      </c>
      <c r="B7467" t="s">
        <v>9774</v>
      </c>
      <c r="C7467" t="s">
        <v>168</v>
      </c>
      <c r="D7467">
        <v>0.99895788679893704</v>
      </c>
    </row>
    <row r="7468" spans="1:4" hidden="1" x14ac:dyDescent="0.3">
      <c r="A7468">
        <v>7466</v>
      </c>
      <c r="B7468" t="s">
        <v>9775</v>
      </c>
      <c r="C7468" t="s">
        <v>170</v>
      </c>
      <c r="D7468">
        <v>1.0007373464924501</v>
      </c>
    </row>
    <row r="7469" spans="1:4" hidden="1" x14ac:dyDescent="0.3">
      <c r="A7469">
        <v>7467</v>
      </c>
      <c r="B7469" s="1" t="s">
        <v>9776</v>
      </c>
      <c r="C7469" t="s">
        <v>172</v>
      </c>
      <c r="D7469" s="1" t="s">
        <v>9777</v>
      </c>
    </row>
    <row r="7470" spans="1:4" hidden="1" x14ac:dyDescent="0.3">
      <c r="A7470">
        <v>7468</v>
      </c>
      <c r="B7470" s="1" t="s">
        <v>9778</v>
      </c>
      <c r="C7470" t="s">
        <v>55</v>
      </c>
      <c r="D7470" s="1" t="s">
        <v>9779</v>
      </c>
    </row>
    <row r="7471" spans="1:4" hidden="1" x14ac:dyDescent="0.3">
      <c r="A7471">
        <v>7469</v>
      </c>
      <c r="B7471" s="1" t="s">
        <v>9780</v>
      </c>
      <c r="C7471" t="s">
        <v>52</v>
      </c>
      <c r="D7471" s="1" t="s">
        <v>9781</v>
      </c>
    </row>
    <row r="7472" spans="1:4" hidden="1" x14ac:dyDescent="0.3">
      <c r="A7472">
        <v>7470</v>
      </c>
      <c r="B7472" s="1" t="s">
        <v>9782</v>
      </c>
      <c r="C7472" t="s">
        <v>58</v>
      </c>
      <c r="D7472" s="1" t="s">
        <v>9783</v>
      </c>
    </row>
    <row r="7473" spans="1:4" hidden="1" x14ac:dyDescent="0.3">
      <c r="A7473">
        <v>7471</v>
      </c>
      <c r="B7473" t="s">
        <v>9784</v>
      </c>
      <c r="C7473" t="s">
        <v>61</v>
      </c>
      <c r="D7473">
        <v>143566727.79909101</v>
      </c>
    </row>
    <row r="7474" spans="1:4" hidden="1" x14ac:dyDescent="0.3">
      <c r="A7474">
        <v>7472</v>
      </c>
      <c r="B7474" t="s">
        <v>9785</v>
      </c>
      <c r="C7474" t="s">
        <v>63</v>
      </c>
      <c r="D7474">
        <v>77217400.154109702</v>
      </c>
    </row>
    <row r="7475" spans="1:4" hidden="1" x14ac:dyDescent="0.3">
      <c r="A7475">
        <v>7473</v>
      </c>
      <c r="B7475" t="s">
        <v>9786</v>
      </c>
      <c r="C7475" t="s">
        <v>65</v>
      </c>
      <c r="D7475">
        <v>39043240.1785798</v>
      </c>
    </row>
    <row r="7476" spans="1:4" hidden="1" x14ac:dyDescent="0.3">
      <c r="A7476">
        <v>7474</v>
      </c>
      <c r="B7476" s="1" t="s">
        <v>9787</v>
      </c>
      <c r="C7476" t="s">
        <v>67</v>
      </c>
      <c r="D7476" s="1" t="s">
        <v>9788</v>
      </c>
    </row>
    <row r="7477" spans="1:4" hidden="1" x14ac:dyDescent="0.3">
      <c r="A7477">
        <v>7475</v>
      </c>
      <c r="B7477" s="1" t="s">
        <v>9789</v>
      </c>
      <c r="C7477" t="s">
        <v>70</v>
      </c>
      <c r="D7477" s="1" t="s">
        <v>9790</v>
      </c>
    </row>
    <row r="7478" spans="1:4" hidden="1" x14ac:dyDescent="0.3">
      <c r="A7478">
        <v>7476</v>
      </c>
      <c r="B7478" t="s">
        <v>9791</v>
      </c>
      <c r="C7478" t="s">
        <v>73</v>
      </c>
      <c r="D7478">
        <v>1.00027362414371</v>
      </c>
    </row>
    <row r="7479" spans="1:4" hidden="1" x14ac:dyDescent="0.3">
      <c r="A7479">
        <v>7477</v>
      </c>
      <c r="B7479" t="s">
        <v>74</v>
      </c>
      <c r="C7479" t="s">
        <v>75</v>
      </c>
      <c r="D7479">
        <v>2.7397260273972599E-3</v>
      </c>
    </row>
    <row r="7480" spans="1:4" hidden="1" x14ac:dyDescent="0.3">
      <c r="A7480">
        <v>7478</v>
      </c>
      <c r="B7480" t="s">
        <v>76</v>
      </c>
      <c r="C7480" t="s">
        <v>77</v>
      </c>
      <c r="D7480">
        <v>0</v>
      </c>
    </row>
    <row r="7481" spans="1:4" hidden="1" x14ac:dyDescent="0.3">
      <c r="A7481">
        <v>7479</v>
      </c>
      <c r="B7481" t="s">
        <v>78</v>
      </c>
      <c r="C7481" t="s">
        <v>79</v>
      </c>
      <c r="D7481">
        <v>0</v>
      </c>
    </row>
    <row r="7482" spans="1:4" hidden="1" x14ac:dyDescent="0.3">
      <c r="A7482">
        <v>7480</v>
      </c>
      <c r="B7482" s="1" t="s">
        <v>9792</v>
      </c>
      <c r="C7482" t="s">
        <v>81</v>
      </c>
      <c r="D7482" s="1" t="s">
        <v>9793</v>
      </c>
    </row>
    <row r="7483" spans="1:4" hidden="1" x14ac:dyDescent="0.3">
      <c r="A7483">
        <v>7481</v>
      </c>
      <c r="B7483" t="s">
        <v>9794</v>
      </c>
      <c r="C7483" t="s">
        <v>84</v>
      </c>
      <c r="D7483">
        <v>1.0002850997274699</v>
      </c>
    </row>
    <row r="7484" spans="1:4" hidden="1" x14ac:dyDescent="0.3">
      <c r="A7484">
        <v>7482</v>
      </c>
      <c r="B7484" s="1" t="s">
        <v>9795</v>
      </c>
      <c r="C7484" t="s">
        <v>86</v>
      </c>
      <c r="D7484" s="1" t="s">
        <v>9796</v>
      </c>
    </row>
    <row r="7485" spans="1:4" hidden="1" x14ac:dyDescent="0.3">
      <c r="A7485">
        <v>7483</v>
      </c>
      <c r="B7485" t="s">
        <v>9797</v>
      </c>
      <c r="C7485" t="s">
        <v>89</v>
      </c>
      <c r="D7485">
        <v>101160938.527448</v>
      </c>
    </row>
    <row r="7486" spans="1:4" hidden="1" x14ac:dyDescent="0.3">
      <c r="A7486">
        <v>7484</v>
      </c>
      <c r="B7486" s="1" t="s">
        <v>9798</v>
      </c>
      <c r="C7486" t="s">
        <v>91</v>
      </c>
      <c r="D7486" s="1" t="s">
        <v>9733</v>
      </c>
    </row>
    <row r="7487" spans="1:4" hidden="1" x14ac:dyDescent="0.3">
      <c r="A7487">
        <v>7485</v>
      </c>
      <c r="B7487" t="s">
        <v>9799</v>
      </c>
      <c r="C7487" t="s">
        <v>94</v>
      </c>
      <c r="D7487">
        <v>77217400.154109702</v>
      </c>
    </row>
    <row r="7488" spans="1:4" hidden="1" x14ac:dyDescent="0.3">
      <c r="A7488">
        <v>7486</v>
      </c>
      <c r="B7488" t="s">
        <v>9800</v>
      </c>
      <c r="C7488" t="s">
        <v>96</v>
      </c>
      <c r="D7488">
        <v>39043240.1785798</v>
      </c>
    </row>
    <row r="7489" spans="1:4" hidden="1" x14ac:dyDescent="0.3">
      <c r="A7489">
        <v>7487</v>
      </c>
      <c r="B7489" t="s">
        <v>9801</v>
      </c>
      <c r="C7489" t="s">
        <v>98</v>
      </c>
      <c r="D7489">
        <v>27306087.466401398</v>
      </c>
    </row>
    <row r="7490" spans="1:4" hidden="1" x14ac:dyDescent="0.3">
      <c r="A7490">
        <v>7488</v>
      </c>
      <c r="B7490" s="1" t="s">
        <v>9802</v>
      </c>
      <c r="C7490" t="s">
        <v>100</v>
      </c>
      <c r="D7490" s="1" t="s">
        <v>9803</v>
      </c>
    </row>
    <row r="7491" spans="1:4" hidden="1" x14ac:dyDescent="0.3">
      <c r="A7491">
        <v>7489</v>
      </c>
      <c r="B7491" t="s">
        <v>9804</v>
      </c>
      <c r="C7491" t="s">
        <v>103</v>
      </c>
      <c r="D7491">
        <v>8.29364083072218E-3</v>
      </c>
    </row>
    <row r="7492" spans="1:4" hidden="1" x14ac:dyDescent="0.3">
      <c r="A7492">
        <v>7490</v>
      </c>
      <c r="B7492" t="s">
        <v>9805</v>
      </c>
      <c r="C7492" t="s">
        <v>105</v>
      </c>
      <c r="D7492">
        <v>1.3989903989571101E-3</v>
      </c>
    </row>
    <row r="7493" spans="1:4" hidden="1" x14ac:dyDescent="0.3">
      <c r="A7493">
        <v>7491</v>
      </c>
      <c r="B7493" t="s">
        <v>9806</v>
      </c>
      <c r="C7493" t="s">
        <v>107</v>
      </c>
      <c r="D7493">
        <v>1.02986399001156E-2</v>
      </c>
    </row>
    <row r="7494" spans="1:4" hidden="1" x14ac:dyDescent="0.3">
      <c r="A7494">
        <v>7492</v>
      </c>
      <c r="B7494" s="1" t="s">
        <v>9807</v>
      </c>
      <c r="C7494" t="s">
        <v>109</v>
      </c>
      <c r="D7494" s="1" t="s">
        <v>9808</v>
      </c>
    </row>
    <row r="7495" spans="1:4" x14ac:dyDescent="0.3">
      <c r="A7495">
        <v>7493</v>
      </c>
      <c r="B7495" t="s">
        <v>9809</v>
      </c>
      <c r="C7495" t="s">
        <v>207</v>
      </c>
      <c r="D7495">
        <v>143567130.82597801</v>
      </c>
    </row>
    <row r="7496" spans="1:4" hidden="1" x14ac:dyDescent="0.3">
      <c r="A7496">
        <v>7494</v>
      </c>
      <c r="B7496" t="s">
        <v>9810</v>
      </c>
      <c r="C7496" t="s">
        <v>209</v>
      </c>
      <c r="D7496">
        <v>-885.87566458467097</v>
      </c>
    </row>
    <row r="7497" spans="1:4" hidden="1" x14ac:dyDescent="0.3">
      <c r="A7497">
        <v>7495</v>
      </c>
      <c r="B7497" t="s">
        <v>9811</v>
      </c>
      <c r="C7497" t="s">
        <v>211</v>
      </c>
      <c r="D7497">
        <v>-447.922392111514</v>
      </c>
    </row>
    <row r="7498" spans="1:4" hidden="1" x14ac:dyDescent="0.3">
      <c r="A7498">
        <v>7496</v>
      </c>
      <c r="B7498" s="1" t="s">
        <v>9812</v>
      </c>
      <c r="C7498" t="s">
        <v>213</v>
      </c>
      <c r="D7498" s="1" t="s">
        <v>9813</v>
      </c>
    </row>
    <row r="7499" spans="1:4" hidden="1" x14ac:dyDescent="0.3">
      <c r="A7499">
        <v>7497</v>
      </c>
      <c r="B7499" t="s">
        <v>9814</v>
      </c>
      <c r="C7499" t="s">
        <v>216</v>
      </c>
      <c r="D7499">
        <v>77218575.2148491</v>
      </c>
    </row>
    <row r="7500" spans="1:4" hidden="1" x14ac:dyDescent="0.3">
      <c r="A7500">
        <v>7498</v>
      </c>
      <c r="B7500" t="s">
        <v>9815</v>
      </c>
      <c r="C7500" t="s">
        <v>218</v>
      </c>
      <c r="D7500">
        <v>39043773.645022802</v>
      </c>
    </row>
    <row r="7501" spans="1:4" hidden="1" x14ac:dyDescent="0.3">
      <c r="A7501">
        <v>7499</v>
      </c>
      <c r="B7501" t="s">
        <v>9816</v>
      </c>
      <c r="C7501" t="s">
        <v>220</v>
      </c>
      <c r="D7501">
        <v>27306429.0320637</v>
      </c>
    </row>
    <row r="7502" spans="1:4" hidden="1" x14ac:dyDescent="0.3">
      <c r="A7502">
        <v>7500</v>
      </c>
      <c r="B7502" s="1" t="s">
        <v>9817</v>
      </c>
      <c r="C7502" t="s">
        <v>222</v>
      </c>
      <c r="D7502" s="1" t="s">
        <v>9818</v>
      </c>
    </row>
    <row r="7503" spans="1:4" hidden="1" x14ac:dyDescent="0.3">
      <c r="A7503">
        <v>7501</v>
      </c>
      <c r="B7503" t="s">
        <v>9819</v>
      </c>
      <c r="C7503" t="s">
        <v>225</v>
      </c>
      <c r="D7503">
        <v>101162099.09071299</v>
      </c>
    </row>
    <row r="7504" spans="1:4" hidden="1" x14ac:dyDescent="0.3">
      <c r="A7504">
        <v>7502</v>
      </c>
      <c r="B7504" t="s">
        <v>9820</v>
      </c>
      <c r="C7504" t="s">
        <v>227</v>
      </c>
      <c r="D7504">
        <v>-1160.5632649064</v>
      </c>
    </row>
    <row r="7505" spans="1:4" hidden="1" x14ac:dyDescent="0.3">
      <c r="A7505">
        <v>7503</v>
      </c>
      <c r="B7505" s="1" t="s">
        <v>9821</v>
      </c>
      <c r="C7505" t="s">
        <v>229</v>
      </c>
      <c r="D7505" s="1" t="s">
        <v>9822</v>
      </c>
    </row>
    <row r="7506" spans="1:4" hidden="1" x14ac:dyDescent="0.3">
      <c r="A7506">
        <v>7504</v>
      </c>
      <c r="B7506" t="s">
        <v>9823</v>
      </c>
      <c r="C7506" t="s">
        <v>112</v>
      </c>
      <c r="D7506">
        <v>289.18507480726299</v>
      </c>
    </row>
    <row r="7507" spans="1:4" hidden="1" x14ac:dyDescent="0.3">
      <c r="A7507">
        <v>7505</v>
      </c>
      <c r="B7507" t="s">
        <v>9824</v>
      </c>
      <c r="C7507" t="s">
        <v>114</v>
      </c>
      <c r="D7507">
        <v>85.544050866783294</v>
      </c>
    </row>
    <row r="7508" spans="1:4" hidden="1" x14ac:dyDescent="0.3">
      <c r="A7508">
        <v>7506</v>
      </c>
      <c r="B7508" s="1" t="s">
        <v>9825</v>
      </c>
      <c r="C7508" t="s">
        <v>116</v>
      </c>
      <c r="D7508" s="1" t="s">
        <v>9826</v>
      </c>
    </row>
    <row r="7509" spans="1:4" hidden="1" x14ac:dyDescent="0.3">
      <c r="A7509">
        <v>7507</v>
      </c>
      <c r="B7509" t="s">
        <v>9827</v>
      </c>
      <c r="C7509" t="s">
        <v>119</v>
      </c>
      <c r="D7509">
        <v>77218575.2148491</v>
      </c>
    </row>
    <row r="7510" spans="1:4" hidden="1" x14ac:dyDescent="0.3">
      <c r="A7510">
        <v>7508</v>
      </c>
      <c r="B7510" t="s">
        <v>9828</v>
      </c>
      <c r="C7510" t="s">
        <v>121</v>
      </c>
      <c r="D7510">
        <v>39043773.645022802</v>
      </c>
    </row>
    <row r="7511" spans="1:4" hidden="1" x14ac:dyDescent="0.3">
      <c r="A7511">
        <v>7509</v>
      </c>
      <c r="B7511" s="1" t="s">
        <v>9829</v>
      </c>
      <c r="C7511" t="s">
        <v>123</v>
      </c>
      <c r="D7511" s="1" t="s">
        <v>9830</v>
      </c>
    </row>
    <row r="7512" spans="1:4" hidden="1" x14ac:dyDescent="0.3">
      <c r="A7512">
        <v>7510</v>
      </c>
      <c r="B7512" t="s">
        <v>9831</v>
      </c>
      <c r="C7512" t="s">
        <v>126</v>
      </c>
      <c r="D7512">
        <v>0.76309771335958998</v>
      </c>
    </row>
    <row r="7513" spans="1:4" hidden="1" x14ac:dyDescent="0.3">
      <c r="A7513">
        <v>7511</v>
      </c>
      <c r="B7513" t="s">
        <v>9832</v>
      </c>
      <c r="C7513" t="s">
        <v>128</v>
      </c>
      <c r="D7513">
        <v>0.385842581354919</v>
      </c>
    </row>
    <row r="7514" spans="1:4" hidden="1" x14ac:dyDescent="0.3">
      <c r="A7514">
        <v>7512</v>
      </c>
      <c r="B7514" s="1" t="s">
        <v>9833</v>
      </c>
      <c r="C7514" t="s">
        <v>130</v>
      </c>
      <c r="D7514" s="1" t="s">
        <v>9834</v>
      </c>
    </row>
    <row r="7515" spans="1:4" hidden="1" x14ac:dyDescent="0.3">
      <c r="A7515">
        <v>7513</v>
      </c>
      <c r="B7515" s="1" t="s">
        <v>9835</v>
      </c>
      <c r="C7515" t="s">
        <v>4</v>
      </c>
      <c r="D7515" t="s">
        <v>9836</v>
      </c>
    </row>
    <row r="7516" spans="1:4" hidden="1" x14ac:dyDescent="0.3">
      <c r="A7516">
        <v>7514</v>
      </c>
      <c r="B7516" t="s">
        <v>9837</v>
      </c>
      <c r="C7516" t="s">
        <v>7</v>
      </c>
      <c r="D7516">
        <v>1807.73</v>
      </c>
    </row>
    <row r="7517" spans="1:4" hidden="1" x14ac:dyDescent="0.3">
      <c r="A7517">
        <v>7515</v>
      </c>
      <c r="B7517" s="1" t="s">
        <v>9838</v>
      </c>
      <c r="C7517" t="s">
        <v>9</v>
      </c>
      <c r="D7517" s="1" t="s">
        <v>9839</v>
      </c>
    </row>
    <row r="7518" spans="1:4" hidden="1" x14ac:dyDescent="0.3">
      <c r="A7518">
        <v>7516</v>
      </c>
      <c r="B7518" t="s">
        <v>9840</v>
      </c>
      <c r="C7518" t="s">
        <v>14</v>
      </c>
      <c r="D7518">
        <v>97.24609375</v>
      </c>
    </row>
    <row r="7519" spans="1:4" hidden="1" x14ac:dyDescent="0.3">
      <c r="A7519">
        <v>7517</v>
      </c>
      <c r="B7519" t="s">
        <v>9841</v>
      </c>
      <c r="C7519" t="s">
        <v>16</v>
      </c>
      <c r="D7519">
        <v>4.3714439333136399</v>
      </c>
    </row>
    <row r="7520" spans="1:4" hidden="1" x14ac:dyDescent="0.3">
      <c r="A7520">
        <v>7518</v>
      </c>
      <c r="B7520" s="1" t="s">
        <v>9842</v>
      </c>
      <c r="C7520" t="s">
        <v>140</v>
      </c>
      <c r="D7520" s="1" t="s">
        <v>9843</v>
      </c>
    </row>
    <row r="7521" spans="1:4" hidden="1" x14ac:dyDescent="0.3">
      <c r="A7521">
        <v>7519</v>
      </c>
      <c r="B7521" t="s">
        <v>9844</v>
      </c>
      <c r="C7521" t="s">
        <v>22</v>
      </c>
      <c r="D7521">
        <v>68.55</v>
      </c>
    </row>
    <row r="7522" spans="1:4" hidden="1" x14ac:dyDescent="0.3">
      <c r="A7522">
        <v>7520</v>
      </c>
      <c r="B7522" t="s">
        <v>9845</v>
      </c>
      <c r="C7522" t="s">
        <v>24</v>
      </c>
      <c r="D7522">
        <v>6.4550266697308096</v>
      </c>
    </row>
    <row r="7523" spans="1:4" hidden="1" x14ac:dyDescent="0.3">
      <c r="A7523">
        <v>7521</v>
      </c>
      <c r="B7523" s="1" t="s">
        <v>9846</v>
      </c>
      <c r="C7523" t="s">
        <v>145</v>
      </c>
      <c r="D7523" s="1" t="s">
        <v>9847</v>
      </c>
    </row>
    <row r="7524" spans="1:4" hidden="1" x14ac:dyDescent="0.3">
      <c r="A7524">
        <v>7522</v>
      </c>
      <c r="B7524" t="s">
        <v>9848</v>
      </c>
      <c r="C7524" t="s">
        <v>35</v>
      </c>
      <c r="D7524">
        <v>-9.7883333644565598E-2</v>
      </c>
    </row>
    <row r="7525" spans="1:4" hidden="1" x14ac:dyDescent="0.3">
      <c r="A7525">
        <v>7523</v>
      </c>
      <c r="B7525" t="s">
        <v>9849</v>
      </c>
      <c r="C7525" t="s">
        <v>149</v>
      </c>
      <c r="D7525">
        <v>0.74222434835865803</v>
      </c>
    </row>
    <row r="7526" spans="1:4" hidden="1" x14ac:dyDescent="0.3">
      <c r="A7526">
        <v>7524</v>
      </c>
      <c r="B7526" s="1" t="s">
        <v>9850</v>
      </c>
      <c r="C7526" t="s">
        <v>151</v>
      </c>
      <c r="D7526" s="1" t="s">
        <v>9851</v>
      </c>
    </row>
    <row r="7527" spans="1:4" hidden="1" x14ac:dyDescent="0.3">
      <c r="A7527">
        <v>7525</v>
      </c>
      <c r="B7527" t="s">
        <v>9852</v>
      </c>
      <c r="C7527" t="s">
        <v>30</v>
      </c>
      <c r="D7527">
        <v>0.427816651529839</v>
      </c>
    </row>
    <row r="7528" spans="1:4" hidden="1" x14ac:dyDescent="0.3">
      <c r="A7528">
        <v>7526</v>
      </c>
      <c r="B7528" t="s">
        <v>9853</v>
      </c>
      <c r="C7528" t="s">
        <v>32</v>
      </c>
      <c r="D7528">
        <v>0.182360893507449</v>
      </c>
    </row>
    <row r="7529" spans="1:4" hidden="1" x14ac:dyDescent="0.3">
      <c r="A7529">
        <v>7527</v>
      </c>
      <c r="B7529" s="1" t="s">
        <v>9854</v>
      </c>
      <c r="C7529" t="s">
        <v>155</v>
      </c>
      <c r="D7529" s="1" t="s">
        <v>9855</v>
      </c>
    </row>
    <row r="7530" spans="1:4" hidden="1" x14ac:dyDescent="0.3">
      <c r="A7530">
        <v>7528</v>
      </c>
      <c r="B7530" t="s">
        <v>9856</v>
      </c>
      <c r="C7530" t="s">
        <v>40</v>
      </c>
      <c r="D7530">
        <v>0.67006668211472598</v>
      </c>
    </row>
    <row r="7531" spans="1:4" hidden="1" x14ac:dyDescent="0.3">
      <c r="A7531">
        <v>7529</v>
      </c>
      <c r="B7531" t="s">
        <v>9857</v>
      </c>
      <c r="C7531" t="s">
        <v>42</v>
      </c>
      <c r="D7531">
        <v>0.16494063629466699</v>
      </c>
    </row>
    <row r="7532" spans="1:4" hidden="1" x14ac:dyDescent="0.3">
      <c r="A7532">
        <v>7530</v>
      </c>
      <c r="B7532" s="1" t="s">
        <v>9858</v>
      </c>
      <c r="C7532" t="s">
        <v>159</v>
      </c>
      <c r="D7532" s="1" t="s">
        <v>9859</v>
      </c>
    </row>
    <row r="7533" spans="1:4" hidden="1" x14ac:dyDescent="0.3">
      <c r="A7533">
        <v>7531</v>
      </c>
      <c r="B7533" t="s">
        <v>9860</v>
      </c>
      <c r="C7533" t="s">
        <v>161</v>
      </c>
      <c r="D7533">
        <v>1.0084121272975699</v>
      </c>
    </row>
    <row r="7534" spans="1:4" hidden="1" x14ac:dyDescent="0.3">
      <c r="A7534">
        <v>7532</v>
      </c>
      <c r="B7534" t="s">
        <v>9861</v>
      </c>
      <c r="C7534" t="s">
        <v>163</v>
      </c>
      <c r="D7534">
        <v>1.00105305866606</v>
      </c>
    </row>
    <row r="7535" spans="1:4" hidden="1" x14ac:dyDescent="0.3">
      <c r="A7535">
        <v>7533</v>
      </c>
      <c r="B7535" s="1" t="s">
        <v>9862</v>
      </c>
      <c r="C7535" t="s">
        <v>165</v>
      </c>
      <c r="D7535" s="1" t="s">
        <v>9863</v>
      </c>
    </row>
    <row r="7536" spans="1:4" hidden="1" x14ac:dyDescent="0.3">
      <c r="A7536">
        <v>7534</v>
      </c>
      <c r="B7536" t="s">
        <v>9864</v>
      </c>
      <c r="C7536" t="s">
        <v>168</v>
      </c>
      <c r="D7536">
        <v>1.00036909615722</v>
      </c>
    </row>
    <row r="7537" spans="1:4" hidden="1" x14ac:dyDescent="0.3">
      <c r="A7537">
        <v>7535</v>
      </c>
      <c r="B7537" t="s">
        <v>9865</v>
      </c>
      <c r="C7537" t="s">
        <v>170</v>
      </c>
      <c r="D7537">
        <v>1.0000937941951</v>
      </c>
    </row>
    <row r="7538" spans="1:4" hidden="1" x14ac:dyDescent="0.3">
      <c r="A7538">
        <v>7536</v>
      </c>
      <c r="B7538" s="1" t="s">
        <v>9866</v>
      </c>
      <c r="C7538" t="s">
        <v>172</v>
      </c>
      <c r="D7538" s="1" t="s">
        <v>9867</v>
      </c>
    </row>
    <row r="7539" spans="1:4" hidden="1" x14ac:dyDescent="0.3">
      <c r="A7539">
        <v>7537</v>
      </c>
      <c r="B7539" s="1" t="s">
        <v>9868</v>
      </c>
      <c r="C7539" t="s">
        <v>55</v>
      </c>
      <c r="D7539" s="1" t="s">
        <v>9869</v>
      </c>
    </row>
    <row r="7540" spans="1:4" hidden="1" x14ac:dyDescent="0.3">
      <c r="A7540">
        <v>7538</v>
      </c>
      <c r="B7540" s="1" t="s">
        <v>9870</v>
      </c>
      <c r="C7540" t="s">
        <v>52</v>
      </c>
      <c r="D7540" s="1" t="s">
        <v>9871</v>
      </c>
    </row>
    <row r="7541" spans="1:4" hidden="1" x14ac:dyDescent="0.3">
      <c r="A7541">
        <v>7539</v>
      </c>
      <c r="B7541" s="1" t="s">
        <v>9872</v>
      </c>
      <c r="C7541" t="s">
        <v>58</v>
      </c>
      <c r="D7541" s="1" t="s">
        <v>9873</v>
      </c>
    </row>
    <row r="7542" spans="1:4" hidden="1" x14ac:dyDescent="0.3">
      <c r="A7542">
        <v>7540</v>
      </c>
      <c r="B7542" t="s">
        <v>9874</v>
      </c>
      <c r="C7542" t="s">
        <v>61</v>
      </c>
      <c r="D7542">
        <v>144319387.192626</v>
      </c>
    </row>
    <row r="7543" spans="1:4" hidden="1" x14ac:dyDescent="0.3">
      <c r="A7543">
        <v>7541</v>
      </c>
      <c r="B7543" t="s">
        <v>9875</v>
      </c>
      <c r="C7543" t="s">
        <v>63</v>
      </c>
      <c r="D7543">
        <v>77868147.699293897</v>
      </c>
    </row>
    <row r="7544" spans="1:4" hidden="1" x14ac:dyDescent="0.3">
      <c r="A7544">
        <v>7542</v>
      </c>
      <c r="B7544" t="s">
        <v>9876</v>
      </c>
      <c r="C7544" t="s">
        <v>65</v>
      </c>
      <c r="D7544">
        <v>39084889.029215701</v>
      </c>
    </row>
    <row r="7545" spans="1:4" hidden="1" x14ac:dyDescent="0.3">
      <c r="A7545">
        <v>7543</v>
      </c>
      <c r="B7545" s="1" t="s">
        <v>9877</v>
      </c>
      <c r="C7545" t="s">
        <v>67</v>
      </c>
      <c r="D7545" s="1" t="s">
        <v>9878</v>
      </c>
    </row>
    <row r="7546" spans="1:4" hidden="1" x14ac:dyDescent="0.3">
      <c r="A7546">
        <v>7544</v>
      </c>
      <c r="B7546" s="1" t="s">
        <v>9879</v>
      </c>
      <c r="C7546" t="s">
        <v>70</v>
      </c>
      <c r="D7546" s="1" t="s">
        <v>9880</v>
      </c>
    </row>
    <row r="7547" spans="1:4" hidden="1" x14ac:dyDescent="0.3">
      <c r="A7547">
        <v>7545</v>
      </c>
      <c r="B7547" t="s">
        <v>9881</v>
      </c>
      <c r="C7547" t="s">
        <v>73</v>
      </c>
      <c r="D7547">
        <v>1.0002850997274699</v>
      </c>
    </row>
    <row r="7548" spans="1:4" hidden="1" x14ac:dyDescent="0.3">
      <c r="A7548">
        <v>7546</v>
      </c>
      <c r="B7548" t="s">
        <v>74</v>
      </c>
      <c r="C7548" t="s">
        <v>75</v>
      </c>
      <c r="D7548">
        <v>2.7397260273972599E-3</v>
      </c>
    </row>
    <row r="7549" spans="1:4" hidden="1" x14ac:dyDescent="0.3">
      <c r="A7549">
        <v>7547</v>
      </c>
      <c r="B7549" t="s">
        <v>76</v>
      </c>
      <c r="C7549" t="s">
        <v>77</v>
      </c>
      <c r="D7549">
        <v>0</v>
      </c>
    </row>
    <row r="7550" spans="1:4" hidden="1" x14ac:dyDescent="0.3">
      <c r="A7550">
        <v>7548</v>
      </c>
      <c r="B7550" t="s">
        <v>78</v>
      </c>
      <c r="C7550" t="s">
        <v>79</v>
      </c>
      <c r="D7550">
        <v>0</v>
      </c>
    </row>
    <row r="7551" spans="1:4" hidden="1" x14ac:dyDescent="0.3">
      <c r="A7551">
        <v>7549</v>
      </c>
      <c r="B7551" s="1" t="s">
        <v>9882</v>
      </c>
      <c r="C7551" t="s">
        <v>81</v>
      </c>
      <c r="D7551" s="1" t="s">
        <v>9883</v>
      </c>
    </row>
    <row r="7552" spans="1:4" hidden="1" x14ac:dyDescent="0.3">
      <c r="A7552">
        <v>7550</v>
      </c>
      <c r="B7552" t="s">
        <v>9884</v>
      </c>
      <c r="C7552" t="s">
        <v>84</v>
      </c>
      <c r="D7552">
        <v>1.0002457409926</v>
      </c>
    </row>
    <row r="7553" spans="1:4" hidden="1" x14ac:dyDescent="0.3">
      <c r="A7553">
        <v>7551</v>
      </c>
      <c r="B7553" s="1" t="s">
        <v>9885</v>
      </c>
      <c r="C7553" t="s">
        <v>86</v>
      </c>
      <c r="D7553" s="1" t="s">
        <v>9886</v>
      </c>
    </row>
    <row r="7554" spans="1:4" hidden="1" x14ac:dyDescent="0.3">
      <c r="A7554">
        <v>7552</v>
      </c>
      <c r="B7554" t="s">
        <v>9887</v>
      </c>
      <c r="C7554" t="s">
        <v>89</v>
      </c>
      <c r="D7554">
        <v>101164919.115813</v>
      </c>
    </row>
    <row r="7555" spans="1:4" hidden="1" x14ac:dyDescent="0.3">
      <c r="A7555">
        <v>7553</v>
      </c>
      <c r="B7555" s="1" t="s">
        <v>9888</v>
      </c>
      <c r="C7555" t="s">
        <v>91</v>
      </c>
      <c r="D7555" s="1" t="s">
        <v>9822</v>
      </c>
    </row>
    <row r="7556" spans="1:4" hidden="1" x14ac:dyDescent="0.3">
      <c r="A7556">
        <v>7554</v>
      </c>
      <c r="B7556" t="s">
        <v>9889</v>
      </c>
      <c r="C7556" t="s">
        <v>94</v>
      </c>
      <c r="D7556">
        <v>77868147.699293897</v>
      </c>
    </row>
    <row r="7557" spans="1:4" hidden="1" x14ac:dyDescent="0.3">
      <c r="A7557">
        <v>7555</v>
      </c>
      <c r="B7557" t="s">
        <v>9890</v>
      </c>
      <c r="C7557" t="s">
        <v>96</v>
      </c>
      <c r="D7557">
        <v>39084889.029215701</v>
      </c>
    </row>
    <row r="7558" spans="1:4" hidden="1" x14ac:dyDescent="0.3">
      <c r="A7558">
        <v>7556</v>
      </c>
      <c r="B7558" t="s">
        <v>9891</v>
      </c>
      <c r="C7558" t="s">
        <v>98</v>
      </c>
      <c r="D7558">
        <v>27366350.464116599</v>
      </c>
    </row>
    <row r="7559" spans="1:4" hidden="1" x14ac:dyDescent="0.3">
      <c r="A7559">
        <v>7557</v>
      </c>
      <c r="B7559" s="1" t="s">
        <v>9892</v>
      </c>
      <c r="C7559" t="s">
        <v>100</v>
      </c>
      <c r="D7559" s="1" t="s">
        <v>9893</v>
      </c>
    </row>
    <row r="7560" spans="1:4" hidden="1" x14ac:dyDescent="0.3">
      <c r="A7560">
        <v>7558</v>
      </c>
      <c r="B7560" t="s">
        <v>9894</v>
      </c>
      <c r="C7560" t="s">
        <v>103</v>
      </c>
      <c r="D7560">
        <v>8.2513775527404201E-3</v>
      </c>
    </row>
    <row r="7561" spans="1:4" hidden="1" x14ac:dyDescent="0.3">
      <c r="A7561">
        <v>7559</v>
      </c>
      <c r="B7561" t="s">
        <v>9895</v>
      </c>
      <c r="C7561" t="s">
        <v>105</v>
      </c>
      <c r="D7561">
        <v>1.39598801606496E-3</v>
      </c>
    </row>
    <row r="7562" spans="1:4" hidden="1" x14ac:dyDescent="0.3">
      <c r="A7562">
        <v>7560</v>
      </c>
      <c r="B7562" t="s">
        <v>9896</v>
      </c>
      <c r="C7562" t="s">
        <v>107</v>
      </c>
      <c r="D7562">
        <v>1.0258083597659499E-2</v>
      </c>
    </row>
    <row r="7563" spans="1:4" hidden="1" x14ac:dyDescent="0.3">
      <c r="A7563">
        <v>7561</v>
      </c>
      <c r="B7563" s="1" t="s">
        <v>9897</v>
      </c>
      <c r="C7563" t="s">
        <v>109</v>
      </c>
      <c r="D7563" s="1" t="s">
        <v>9898</v>
      </c>
    </row>
    <row r="7564" spans="1:4" x14ac:dyDescent="0.3">
      <c r="A7564">
        <v>7562</v>
      </c>
      <c r="B7564" t="s">
        <v>9899</v>
      </c>
      <c r="C7564" t="s">
        <v>207</v>
      </c>
      <c r="D7564">
        <v>144318004.15756699</v>
      </c>
    </row>
    <row r="7565" spans="1:4" hidden="1" x14ac:dyDescent="0.3">
      <c r="A7565">
        <v>7563</v>
      </c>
      <c r="B7565" t="s">
        <v>9900</v>
      </c>
      <c r="C7565" t="s">
        <v>209</v>
      </c>
      <c r="D7565">
        <v>3063.8759916355498</v>
      </c>
    </row>
    <row r="7566" spans="1:4" hidden="1" x14ac:dyDescent="0.3">
      <c r="A7566">
        <v>7564</v>
      </c>
      <c r="B7566" t="s">
        <v>9901</v>
      </c>
      <c r="C7566" t="s">
        <v>211</v>
      </c>
      <c r="D7566">
        <v>1537.8852786439099</v>
      </c>
    </row>
    <row r="7567" spans="1:4" hidden="1" x14ac:dyDescent="0.3">
      <c r="A7567">
        <v>7565</v>
      </c>
      <c r="B7567" s="1" t="s">
        <v>9902</v>
      </c>
      <c r="C7567" t="s">
        <v>213</v>
      </c>
      <c r="D7567" s="1" t="s">
        <v>9903</v>
      </c>
    </row>
    <row r="7568" spans="1:4" hidden="1" x14ac:dyDescent="0.3">
      <c r="A7568">
        <v>7566</v>
      </c>
      <c r="B7568" t="s">
        <v>9904</v>
      </c>
      <c r="C7568" t="s">
        <v>216</v>
      </c>
      <c r="D7568">
        <v>77864009.645332903</v>
      </c>
    </row>
    <row r="7569" spans="1:4" hidden="1" x14ac:dyDescent="0.3">
      <c r="A7569">
        <v>7567</v>
      </c>
      <c r="B7569" t="s">
        <v>9905</v>
      </c>
      <c r="C7569" t="s">
        <v>218</v>
      </c>
      <c r="D7569">
        <v>39083146.477420703</v>
      </c>
    </row>
    <row r="7570" spans="1:4" hidden="1" x14ac:dyDescent="0.3">
      <c r="A7570">
        <v>7568</v>
      </c>
      <c r="B7570" t="s">
        <v>9906</v>
      </c>
      <c r="C7570" t="s">
        <v>220</v>
      </c>
      <c r="D7570">
        <v>27365169.479705799</v>
      </c>
    </row>
    <row r="7571" spans="1:4" hidden="1" x14ac:dyDescent="0.3">
      <c r="A7571">
        <v>7569</v>
      </c>
      <c r="B7571" s="1" t="s">
        <v>9907</v>
      </c>
      <c r="C7571" t="s">
        <v>222</v>
      </c>
      <c r="D7571" s="1" t="s">
        <v>9908</v>
      </c>
    </row>
    <row r="7572" spans="1:4" hidden="1" x14ac:dyDescent="0.3">
      <c r="A7572">
        <v>7570</v>
      </c>
      <c r="B7572" t="s">
        <v>9909</v>
      </c>
      <c r="C7572" t="s">
        <v>225</v>
      </c>
      <c r="D7572">
        <v>101160938.527448</v>
      </c>
    </row>
    <row r="7573" spans="1:4" hidden="1" x14ac:dyDescent="0.3">
      <c r="A7573">
        <v>7571</v>
      </c>
      <c r="B7573" t="s">
        <v>9910</v>
      </c>
      <c r="C7573" t="s">
        <v>227</v>
      </c>
      <c r="D7573">
        <v>3980.58836498856</v>
      </c>
    </row>
    <row r="7574" spans="1:4" hidden="1" x14ac:dyDescent="0.3">
      <c r="A7574">
        <v>7572</v>
      </c>
      <c r="B7574" s="1" t="s">
        <v>9911</v>
      </c>
      <c r="C7574" t="s">
        <v>229</v>
      </c>
      <c r="D7574" s="1" t="s">
        <v>9912</v>
      </c>
    </row>
    <row r="7575" spans="1:4" hidden="1" x14ac:dyDescent="0.3">
      <c r="A7575">
        <v>7573</v>
      </c>
      <c r="B7575" t="s">
        <v>9913</v>
      </c>
      <c r="C7575" t="s">
        <v>112</v>
      </c>
      <c r="D7575">
        <v>-1074.17796934475</v>
      </c>
    </row>
    <row r="7576" spans="1:4" hidden="1" x14ac:dyDescent="0.3">
      <c r="A7576">
        <v>7574</v>
      </c>
      <c r="B7576" t="s">
        <v>9914</v>
      </c>
      <c r="C7576" t="s">
        <v>114</v>
      </c>
      <c r="D7576">
        <v>-204.666516321427</v>
      </c>
    </row>
    <row r="7577" spans="1:4" hidden="1" x14ac:dyDescent="0.3">
      <c r="A7577">
        <v>7575</v>
      </c>
      <c r="B7577" s="1" t="s">
        <v>9915</v>
      </c>
      <c r="C7577" t="s">
        <v>116</v>
      </c>
      <c r="D7577" s="1" t="s">
        <v>9916</v>
      </c>
    </row>
    <row r="7578" spans="1:4" hidden="1" x14ac:dyDescent="0.3">
      <c r="A7578">
        <v>7576</v>
      </c>
      <c r="B7578" t="s">
        <v>9917</v>
      </c>
      <c r="C7578" t="s">
        <v>119</v>
      </c>
      <c r="D7578">
        <v>77864009.645332903</v>
      </c>
    </row>
    <row r="7579" spans="1:4" hidden="1" x14ac:dyDescent="0.3">
      <c r="A7579">
        <v>7577</v>
      </c>
      <c r="B7579" t="s">
        <v>9918</v>
      </c>
      <c r="C7579" t="s">
        <v>121</v>
      </c>
      <c r="D7579">
        <v>39083146.477420703</v>
      </c>
    </row>
    <row r="7580" spans="1:4" hidden="1" x14ac:dyDescent="0.3">
      <c r="A7580">
        <v>7578</v>
      </c>
      <c r="B7580" s="1" t="s">
        <v>9919</v>
      </c>
      <c r="C7580" t="s">
        <v>123</v>
      </c>
      <c r="D7580" s="1" t="s">
        <v>9920</v>
      </c>
    </row>
    <row r="7581" spans="1:4" hidden="1" x14ac:dyDescent="0.3">
      <c r="A7581">
        <v>7579</v>
      </c>
      <c r="B7581" t="s">
        <v>9921</v>
      </c>
      <c r="C7581" t="s">
        <v>126</v>
      </c>
      <c r="D7581">
        <v>0.76951520122699002</v>
      </c>
    </row>
    <row r="7582" spans="1:4" hidden="1" x14ac:dyDescent="0.3">
      <c r="A7582">
        <v>7580</v>
      </c>
      <c r="B7582" t="s">
        <v>9922</v>
      </c>
      <c r="C7582" t="s">
        <v>128</v>
      </c>
      <c r="D7582">
        <v>0.38625130484734799</v>
      </c>
    </row>
    <row r="7583" spans="1:4" hidden="1" x14ac:dyDescent="0.3">
      <c r="A7583">
        <v>7581</v>
      </c>
      <c r="B7583" s="1" t="s">
        <v>9923</v>
      </c>
      <c r="C7583" t="s">
        <v>130</v>
      </c>
      <c r="D7583" s="1" t="s">
        <v>9924</v>
      </c>
    </row>
    <row r="7584" spans="1:4" hidden="1" x14ac:dyDescent="0.3">
      <c r="A7584">
        <v>7582</v>
      </c>
      <c r="B7584" s="1" t="s">
        <v>9925</v>
      </c>
      <c r="C7584" t="s">
        <v>4</v>
      </c>
      <c r="D7584" t="s">
        <v>9926</v>
      </c>
    </row>
    <row r="7585" spans="1:4" hidden="1" x14ac:dyDescent="0.3">
      <c r="A7585">
        <v>7583</v>
      </c>
      <c r="B7585" t="s">
        <v>9927</v>
      </c>
      <c r="C7585" t="s">
        <v>7</v>
      </c>
      <c r="D7585">
        <v>1792.91</v>
      </c>
    </row>
    <row r="7586" spans="1:4" hidden="1" x14ac:dyDescent="0.3">
      <c r="A7586">
        <v>7584</v>
      </c>
      <c r="B7586" s="1" t="s">
        <v>9928</v>
      </c>
      <c r="C7586" t="s">
        <v>9</v>
      </c>
      <c r="D7586" s="1" t="s">
        <v>9929</v>
      </c>
    </row>
    <row r="7587" spans="1:4" hidden="1" x14ac:dyDescent="0.3">
      <c r="A7587">
        <v>7585</v>
      </c>
      <c r="B7587" t="s">
        <v>9930</v>
      </c>
      <c r="C7587" t="s">
        <v>14</v>
      </c>
      <c r="D7587">
        <v>97.2265625</v>
      </c>
    </row>
    <row r="7588" spans="1:4" hidden="1" x14ac:dyDescent="0.3">
      <c r="A7588">
        <v>7586</v>
      </c>
      <c r="B7588" t="s">
        <v>9931</v>
      </c>
      <c r="C7588" t="s">
        <v>16</v>
      </c>
      <c r="D7588">
        <v>4.3722539439565402</v>
      </c>
    </row>
    <row r="7589" spans="1:4" hidden="1" x14ac:dyDescent="0.3">
      <c r="A7589">
        <v>7587</v>
      </c>
      <c r="B7589" s="1" t="s">
        <v>9932</v>
      </c>
      <c r="C7589" t="s">
        <v>140</v>
      </c>
      <c r="D7589" s="1" t="s">
        <v>9933</v>
      </c>
    </row>
    <row r="7590" spans="1:4" hidden="1" x14ac:dyDescent="0.3">
      <c r="A7590">
        <v>7588</v>
      </c>
      <c r="B7590" t="s">
        <v>9934</v>
      </c>
      <c r="C7590" t="s">
        <v>22</v>
      </c>
      <c r="D7590">
        <v>68.150000000000006</v>
      </c>
    </row>
    <row r="7591" spans="1:4" hidden="1" x14ac:dyDescent="0.3">
      <c r="A7591">
        <v>7589</v>
      </c>
      <c r="B7591" t="s">
        <v>9935</v>
      </c>
      <c r="C7591" t="s">
        <v>24</v>
      </c>
      <c r="D7591">
        <v>6.4806816399346303</v>
      </c>
    </row>
    <row r="7592" spans="1:4" hidden="1" x14ac:dyDescent="0.3">
      <c r="A7592">
        <v>7590</v>
      </c>
      <c r="B7592" s="1" t="s">
        <v>9936</v>
      </c>
      <c r="C7592" t="s">
        <v>145</v>
      </c>
      <c r="D7592" s="1" t="s">
        <v>9937</v>
      </c>
    </row>
    <row r="7593" spans="1:4" hidden="1" x14ac:dyDescent="0.3">
      <c r="A7593">
        <v>7591</v>
      </c>
      <c r="B7593" t="s">
        <v>9938</v>
      </c>
      <c r="C7593" t="s">
        <v>35</v>
      </c>
      <c r="D7593">
        <v>0.25143944457332701</v>
      </c>
    </row>
    <row r="7594" spans="1:4" hidden="1" x14ac:dyDescent="0.3">
      <c r="A7594">
        <v>7592</v>
      </c>
      <c r="B7594" t="s">
        <v>9939</v>
      </c>
      <c r="C7594" t="s">
        <v>149</v>
      </c>
      <c r="D7594">
        <v>0.74367686793316501</v>
      </c>
    </row>
    <row r="7595" spans="1:4" hidden="1" x14ac:dyDescent="0.3">
      <c r="A7595">
        <v>7593</v>
      </c>
      <c r="B7595" s="1" t="s">
        <v>9940</v>
      </c>
      <c r="C7595" t="s">
        <v>151</v>
      </c>
      <c r="D7595" s="1" t="s">
        <v>9941</v>
      </c>
    </row>
    <row r="7596" spans="1:4" hidden="1" x14ac:dyDescent="0.3">
      <c r="A7596">
        <v>7594</v>
      </c>
      <c r="B7596" t="s">
        <v>9942</v>
      </c>
      <c r="C7596" t="s">
        <v>30</v>
      </c>
      <c r="D7596">
        <v>0.29339104767211299</v>
      </c>
    </row>
    <row r="7597" spans="1:4" hidden="1" x14ac:dyDescent="0.3">
      <c r="A7597">
        <v>7595</v>
      </c>
      <c r="B7597" t="s">
        <v>9943</v>
      </c>
      <c r="C7597" t="s">
        <v>32</v>
      </c>
      <c r="D7597">
        <v>0.18133733838750399</v>
      </c>
    </row>
    <row r="7598" spans="1:4" hidden="1" x14ac:dyDescent="0.3">
      <c r="A7598">
        <v>7596</v>
      </c>
      <c r="B7598" s="1" t="s">
        <v>9944</v>
      </c>
      <c r="C7598" t="s">
        <v>155</v>
      </c>
      <c r="D7598" s="1" t="s">
        <v>9945</v>
      </c>
    </row>
    <row r="7599" spans="1:4" hidden="1" x14ac:dyDescent="0.3">
      <c r="A7599">
        <v>7597</v>
      </c>
      <c r="B7599" t="s">
        <v>9946</v>
      </c>
      <c r="C7599" t="s">
        <v>40</v>
      </c>
      <c r="D7599">
        <v>0.455169507754558</v>
      </c>
    </row>
    <row r="7600" spans="1:4" hidden="1" x14ac:dyDescent="0.3">
      <c r="A7600">
        <v>7598</v>
      </c>
      <c r="B7600" t="s">
        <v>9947</v>
      </c>
      <c r="C7600" t="s">
        <v>42</v>
      </c>
      <c r="D7600">
        <v>0.16333269656895399</v>
      </c>
    </row>
    <row r="7601" spans="1:4" hidden="1" x14ac:dyDescent="0.3">
      <c r="A7601">
        <v>7599</v>
      </c>
      <c r="B7601" s="1" t="s">
        <v>9948</v>
      </c>
      <c r="C7601" t="s">
        <v>159</v>
      </c>
      <c r="D7601" s="1" t="s">
        <v>9949</v>
      </c>
    </row>
    <row r="7602" spans="1:4" hidden="1" x14ac:dyDescent="0.3">
      <c r="A7602">
        <v>7600</v>
      </c>
      <c r="B7602" t="s">
        <v>9950</v>
      </c>
      <c r="C7602" t="s">
        <v>161</v>
      </c>
      <c r="D7602">
        <v>0.99180187306732703</v>
      </c>
    </row>
    <row r="7603" spans="1:4" hidden="1" x14ac:dyDescent="0.3">
      <c r="A7603">
        <v>7601</v>
      </c>
      <c r="B7603" t="s">
        <v>9951</v>
      </c>
      <c r="C7603" t="s">
        <v>163</v>
      </c>
      <c r="D7603">
        <v>0.99981576763436697</v>
      </c>
    </row>
    <row r="7604" spans="1:4" hidden="1" x14ac:dyDescent="0.3">
      <c r="A7604">
        <v>7602</v>
      </c>
      <c r="B7604" s="1" t="s">
        <v>9952</v>
      </c>
      <c r="C7604" t="s">
        <v>165</v>
      </c>
      <c r="D7604" s="1" t="s">
        <v>9953</v>
      </c>
    </row>
    <row r="7605" spans="1:4" hidden="1" x14ac:dyDescent="0.3">
      <c r="A7605">
        <v>7603</v>
      </c>
      <c r="B7605" t="s">
        <v>9954</v>
      </c>
      <c r="C7605" t="s">
        <v>168</v>
      </c>
      <c r="D7605">
        <v>1.0008337155750699</v>
      </c>
    </row>
    <row r="7606" spans="1:4" hidden="1" x14ac:dyDescent="0.3">
      <c r="A7606">
        <v>7604</v>
      </c>
      <c r="B7606" t="s">
        <v>9955</v>
      </c>
      <c r="C7606" t="s">
        <v>170</v>
      </c>
      <c r="D7606">
        <v>0.99913431243745798</v>
      </c>
    </row>
    <row r="7607" spans="1:4" hidden="1" x14ac:dyDescent="0.3">
      <c r="A7607">
        <v>7605</v>
      </c>
      <c r="B7607" s="1" t="s">
        <v>9956</v>
      </c>
      <c r="C7607" t="s">
        <v>172</v>
      </c>
      <c r="D7607" s="1" t="s">
        <v>9957</v>
      </c>
    </row>
    <row r="7608" spans="1:4" hidden="1" x14ac:dyDescent="0.3">
      <c r="A7608">
        <v>7606</v>
      </c>
      <c r="B7608" s="1" t="s">
        <v>9958</v>
      </c>
      <c r="C7608" t="s">
        <v>55</v>
      </c>
      <c r="D7608" s="1" t="s">
        <v>9959</v>
      </c>
    </row>
    <row r="7609" spans="1:4" hidden="1" x14ac:dyDescent="0.3">
      <c r="A7609">
        <v>7607</v>
      </c>
      <c r="B7609" s="1" t="s">
        <v>9960</v>
      </c>
      <c r="C7609" t="s">
        <v>52</v>
      </c>
      <c r="D7609" s="1" t="s">
        <v>9961</v>
      </c>
    </row>
    <row r="7610" spans="1:4" hidden="1" x14ac:dyDescent="0.3">
      <c r="A7610">
        <v>7608</v>
      </c>
      <c r="B7610" s="1" t="s">
        <v>9962</v>
      </c>
      <c r="C7610" t="s">
        <v>58</v>
      </c>
      <c r="D7610" s="1" t="s">
        <v>9963</v>
      </c>
    </row>
    <row r="7611" spans="1:4" hidden="1" x14ac:dyDescent="0.3">
      <c r="A7611">
        <v>7609</v>
      </c>
      <c r="B7611" t="s">
        <v>9964</v>
      </c>
      <c r="C7611" t="s">
        <v>61</v>
      </c>
      <c r="D7611">
        <v>143530208.47199199</v>
      </c>
    </row>
    <row r="7612" spans="1:4" hidden="1" x14ac:dyDescent="0.3">
      <c r="A7612">
        <v>7610</v>
      </c>
      <c r="B7612" t="s">
        <v>9965</v>
      </c>
      <c r="C7612" t="s">
        <v>63</v>
      </c>
      <c r="D7612">
        <v>77225670.610773593</v>
      </c>
    </row>
    <row r="7613" spans="1:4" hidden="1" x14ac:dyDescent="0.3">
      <c r="A7613">
        <v>7611</v>
      </c>
      <c r="B7613" t="s">
        <v>9966</v>
      </c>
      <c r="C7613" t="s">
        <v>65</v>
      </c>
      <c r="D7613">
        <v>39075946.096888803</v>
      </c>
    </row>
    <row r="7614" spans="1:4" hidden="1" x14ac:dyDescent="0.3">
      <c r="A7614">
        <v>7612</v>
      </c>
      <c r="B7614" s="1" t="s">
        <v>9967</v>
      </c>
      <c r="C7614" t="s">
        <v>67</v>
      </c>
      <c r="D7614" s="1" t="s">
        <v>9968</v>
      </c>
    </row>
    <row r="7615" spans="1:4" hidden="1" x14ac:dyDescent="0.3">
      <c r="A7615">
        <v>7613</v>
      </c>
      <c r="B7615" s="1" t="s">
        <v>9969</v>
      </c>
      <c r="C7615" t="s">
        <v>70</v>
      </c>
      <c r="D7615" s="1" t="s">
        <v>9970</v>
      </c>
    </row>
    <row r="7616" spans="1:4" hidden="1" x14ac:dyDescent="0.3">
      <c r="A7616">
        <v>7614</v>
      </c>
      <c r="B7616" t="s">
        <v>9971</v>
      </c>
      <c r="C7616" t="s">
        <v>73</v>
      </c>
      <c r="D7616">
        <v>1.0002457409926</v>
      </c>
    </row>
    <row r="7617" spans="1:4" hidden="1" x14ac:dyDescent="0.3">
      <c r="A7617">
        <v>7615</v>
      </c>
      <c r="B7617" t="s">
        <v>74</v>
      </c>
      <c r="C7617" t="s">
        <v>75</v>
      </c>
      <c r="D7617">
        <v>2.7397260273972599E-3</v>
      </c>
    </row>
    <row r="7618" spans="1:4" hidden="1" x14ac:dyDescent="0.3">
      <c r="A7618">
        <v>7616</v>
      </c>
      <c r="B7618" t="s">
        <v>76</v>
      </c>
      <c r="C7618" t="s">
        <v>77</v>
      </c>
      <c r="D7618">
        <v>0</v>
      </c>
    </row>
    <row r="7619" spans="1:4" hidden="1" x14ac:dyDescent="0.3">
      <c r="A7619">
        <v>7617</v>
      </c>
      <c r="B7619" t="s">
        <v>1459</v>
      </c>
      <c r="C7619" t="s">
        <v>79</v>
      </c>
      <c r="D7619" s="2">
        <v>-2.2204460492503101E-16</v>
      </c>
    </row>
    <row r="7620" spans="1:4" hidden="1" x14ac:dyDescent="0.3">
      <c r="A7620">
        <v>7618</v>
      </c>
      <c r="B7620" s="1" t="s">
        <v>9972</v>
      </c>
      <c r="C7620" t="s">
        <v>81</v>
      </c>
      <c r="D7620" s="1" t="s">
        <v>9973</v>
      </c>
    </row>
    <row r="7621" spans="1:4" hidden="1" x14ac:dyDescent="0.3">
      <c r="A7621">
        <v>7619</v>
      </c>
      <c r="B7621" t="s">
        <v>9974</v>
      </c>
      <c r="C7621" t="s">
        <v>84</v>
      </c>
      <c r="D7621">
        <v>1.0002418098183801</v>
      </c>
    </row>
    <row r="7622" spans="1:4" hidden="1" x14ac:dyDescent="0.3">
      <c r="A7622">
        <v>7620</v>
      </c>
      <c r="B7622" s="1" t="s">
        <v>9975</v>
      </c>
      <c r="C7622" t="s">
        <v>86</v>
      </c>
      <c r="D7622" s="1" t="s">
        <v>9976</v>
      </c>
    </row>
    <row r="7623" spans="1:4" hidden="1" x14ac:dyDescent="0.3">
      <c r="A7623">
        <v>7621</v>
      </c>
      <c r="B7623" t="s">
        <v>9977</v>
      </c>
      <c r="C7623" t="s">
        <v>89</v>
      </c>
      <c r="D7623">
        <v>101165316.716591</v>
      </c>
    </row>
    <row r="7624" spans="1:4" hidden="1" x14ac:dyDescent="0.3">
      <c r="A7624">
        <v>7622</v>
      </c>
      <c r="B7624" s="1" t="s">
        <v>9978</v>
      </c>
      <c r="C7624" t="s">
        <v>91</v>
      </c>
      <c r="D7624" s="1" t="s">
        <v>9912</v>
      </c>
    </row>
    <row r="7625" spans="1:4" hidden="1" x14ac:dyDescent="0.3">
      <c r="A7625">
        <v>7623</v>
      </c>
      <c r="B7625" t="s">
        <v>9979</v>
      </c>
      <c r="C7625" t="s">
        <v>94</v>
      </c>
      <c r="D7625">
        <v>77225670.610773593</v>
      </c>
    </row>
    <row r="7626" spans="1:4" hidden="1" x14ac:dyDescent="0.3">
      <c r="A7626">
        <v>7624</v>
      </c>
      <c r="B7626" t="s">
        <v>9980</v>
      </c>
      <c r="C7626" t="s">
        <v>96</v>
      </c>
      <c r="D7626">
        <v>39075946.096888803</v>
      </c>
    </row>
    <row r="7627" spans="1:4" hidden="1" x14ac:dyDescent="0.3">
      <c r="A7627">
        <v>7625</v>
      </c>
      <c r="B7627" t="s">
        <v>9981</v>
      </c>
      <c r="C7627" t="s">
        <v>98</v>
      </c>
      <c r="D7627">
        <v>27228591.764329899</v>
      </c>
    </row>
    <row r="7628" spans="1:4" hidden="1" x14ac:dyDescent="0.3">
      <c r="A7628">
        <v>7626</v>
      </c>
      <c r="B7628" s="1" t="s">
        <v>9982</v>
      </c>
      <c r="C7628" t="s">
        <v>100</v>
      </c>
      <c r="D7628" s="1" t="s">
        <v>9983</v>
      </c>
    </row>
    <row r="7629" spans="1:4" hidden="1" x14ac:dyDescent="0.3">
      <c r="A7629">
        <v>7627</v>
      </c>
      <c r="B7629" t="s">
        <v>9984</v>
      </c>
      <c r="C7629" t="s">
        <v>103</v>
      </c>
      <c r="D7629">
        <v>8.2999527997187107E-3</v>
      </c>
    </row>
    <row r="7630" spans="1:4" hidden="1" x14ac:dyDescent="0.3">
      <c r="A7630">
        <v>7628</v>
      </c>
      <c r="B7630" t="s">
        <v>9985</v>
      </c>
      <c r="C7630" t="s">
        <v>105</v>
      </c>
      <c r="D7630">
        <v>1.3957490210888899E-3</v>
      </c>
    </row>
    <row r="7631" spans="1:4" hidden="1" x14ac:dyDescent="0.3">
      <c r="A7631">
        <v>7629</v>
      </c>
      <c r="B7631" t="s">
        <v>9986</v>
      </c>
      <c r="C7631" t="s">
        <v>107</v>
      </c>
      <c r="D7631">
        <v>1.0230962970508101E-2</v>
      </c>
    </row>
    <row r="7632" spans="1:4" hidden="1" x14ac:dyDescent="0.3">
      <c r="A7632">
        <v>7630</v>
      </c>
      <c r="B7632" s="1" t="s">
        <v>9987</v>
      </c>
      <c r="C7632" t="s">
        <v>109</v>
      </c>
      <c r="D7632" s="1" t="s">
        <v>9988</v>
      </c>
    </row>
    <row r="7633" spans="1:4" x14ac:dyDescent="0.3">
      <c r="A7633">
        <v>7631</v>
      </c>
      <c r="B7633" t="s">
        <v>9989</v>
      </c>
      <c r="C7633" t="s">
        <v>207</v>
      </c>
      <c r="D7633">
        <v>143530070.08351001</v>
      </c>
    </row>
    <row r="7634" spans="1:4" hidden="1" x14ac:dyDescent="0.3">
      <c r="A7634">
        <v>7632</v>
      </c>
      <c r="B7634" t="s">
        <v>9990</v>
      </c>
      <c r="C7634" t="s">
        <v>209</v>
      </c>
      <c r="D7634">
        <v>303.51260468900301</v>
      </c>
    </row>
    <row r="7635" spans="1:4" hidden="1" x14ac:dyDescent="0.3">
      <c r="A7635">
        <v>7633</v>
      </c>
      <c r="B7635" t="s">
        <v>9991</v>
      </c>
      <c r="C7635" t="s">
        <v>211</v>
      </c>
      <c r="D7635">
        <v>153.57649534854099</v>
      </c>
    </row>
    <row r="7636" spans="1:4" hidden="1" x14ac:dyDescent="0.3">
      <c r="A7636">
        <v>7634</v>
      </c>
      <c r="B7636" s="1" t="s">
        <v>9992</v>
      </c>
      <c r="C7636" t="s">
        <v>213</v>
      </c>
      <c r="D7636" s="1" t="s">
        <v>9993</v>
      </c>
    </row>
    <row r="7637" spans="1:4" hidden="1" x14ac:dyDescent="0.3">
      <c r="A7637">
        <v>7635</v>
      </c>
      <c r="B7637" t="s">
        <v>9994</v>
      </c>
      <c r="C7637" t="s">
        <v>216</v>
      </c>
      <c r="D7637">
        <v>77225271.664075196</v>
      </c>
    </row>
    <row r="7638" spans="1:4" hidden="1" x14ac:dyDescent="0.3">
      <c r="A7638">
        <v>7636</v>
      </c>
      <c r="B7638" t="s">
        <v>9995</v>
      </c>
      <c r="C7638" t="s">
        <v>218</v>
      </c>
      <c r="D7638">
        <v>39075762.888530202</v>
      </c>
    </row>
    <row r="7639" spans="1:4" hidden="1" x14ac:dyDescent="0.3">
      <c r="A7639">
        <v>7637</v>
      </c>
      <c r="B7639" t="s">
        <v>9996</v>
      </c>
      <c r="C7639" t="s">
        <v>220</v>
      </c>
      <c r="D7639">
        <v>27228471.427816801</v>
      </c>
    </row>
    <row r="7640" spans="1:4" hidden="1" x14ac:dyDescent="0.3">
      <c r="A7640">
        <v>7638</v>
      </c>
      <c r="B7640" s="1" t="s">
        <v>9997</v>
      </c>
      <c r="C7640" t="s">
        <v>222</v>
      </c>
      <c r="D7640" s="1" t="s">
        <v>9998</v>
      </c>
    </row>
    <row r="7641" spans="1:4" hidden="1" x14ac:dyDescent="0.3">
      <c r="A7641">
        <v>7639</v>
      </c>
      <c r="B7641" t="s">
        <v>9999</v>
      </c>
      <c r="C7641" t="s">
        <v>225</v>
      </c>
      <c r="D7641">
        <v>101164919.115813</v>
      </c>
    </row>
    <row r="7642" spans="1:4" hidden="1" x14ac:dyDescent="0.3">
      <c r="A7642">
        <v>7640</v>
      </c>
      <c r="B7642" t="s">
        <v>10000</v>
      </c>
      <c r="C7642" t="s">
        <v>227</v>
      </c>
      <c r="D7642">
        <v>397.60077811777501</v>
      </c>
    </row>
    <row r="7643" spans="1:4" hidden="1" x14ac:dyDescent="0.3">
      <c r="A7643">
        <v>7641</v>
      </c>
      <c r="B7643" s="1" t="s">
        <v>10001</v>
      </c>
      <c r="C7643" t="s">
        <v>229</v>
      </c>
      <c r="D7643" s="1" t="s">
        <v>10002</v>
      </c>
    </row>
    <row r="7644" spans="1:4" hidden="1" x14ac:dyDescent="0.3">
      <c r="A7644">
        <v>7642</v>
      </c>
      <c r="B7644" t="s">
        <v>10003</v>
      </c>
      <c r="C7644" t="s">
        <v>112</v>
      </c>
      <c r="D7644">
        <v>-95.434093751243395</v>
      </c>
    </row>
    <row r="7645" spans="1:4" hidden="1" x14ac:dyDescent="0.3">
      <c r="A7645">
        <v>7643</v>
      </c>
      <c r="B7645" t="s">
        <v>10004</v>
      </c>
      <c r="C7645" t="s">
        <v>114</v>
      </c>
      <c r="D7645">
        <v>-29.631863267963901</v>
      </c>
    </row>
    <row r="7646" spans="1:4" hidden="1" x14ac:dyDescent="0.3">
      <c r="A7646">
        <v>7644</v>
      </c>
      <c r="B7646" s="1" t="s">
        <v>10005</v>
      </c>
      <c r="C7646" t="s">
        <v>116</v>
      </c>
      <c r="D7646" s="1" t="s">
        <v>10006</v>
      </c>
    </row>
    <row r="7647" spans="1:4" hidden="1" x14ac:dyDescent="0.3">
      <c r="A7647">
        <v>7645</v>
      </c>
      <c r="B7647" t="s">
        <v>10007</v>
      </c>
      <c r="C7647" t="s">
        <v>119</v>
      </c>
      <c r="D7647">
        <v>77225271.664075196</v>
      </c>
    </row>
    <row r="7648" spans="1:4" hidden="1" x14ac:dyDescent="0.3">
      <c r="A7648">
        <v>7646</v>
      </c>
      <c r="B7648" t="s">
        <v>10008</v>
      </c>
      <c r="C7648" t="s">
        <v>121</v>
      </c>
      <c r="D7648">
        <v>39075762.888530202</v>
      </c>
    </row>
    <row r="7649" spans="1:4" hidden="1" x14ac:dyDescent="0.3">
      <c r="A7649">
        <v>7647</v>
      </c>
      <c r="B7649" s="1" t="s">
        <v>10009</v>
      </c>
      <c r="C7649" t="s">
        <v>123</v>
      </c>
      <c r="D7649" s="1" t="s">
        <v>10010</v>
      </c>
    </row>
    <row r="7650" spans="1:4" hidden="1" x14ac:dyDescent="0.3">
      <c r="A7650">
        <v>7648</v>
      </c>
      <c r="B7650" t="s">
        <v>10011</v>
      </c>
      <c r="C7650" t="s">
        <v>126</v>
      </c>
      <c r="D7650">
        <v>0.76317564452552</v>
      </c>
    </row>
    <row r="7651" spans="1:4" hidden="1" x14ac:dyDescent="0.3">
      <c r="A7651">
        <v>7649</v>
      </c>
      <c r="B7651" t="s">
        <v>10012</v>
      </c>
      <c r="C7651" t="s">
        <v>128</v>
      </c>
      <c r="D7651">
        <v>0.38616465679140299</v>
      </c>
    </row>
    <row r="7652" spans="1:4" hidden="1" x14ac:dyDescent="0.3">
      <c r="A7652">
        <v>7650</v>
      </c>
      <c r="B7652" s="1" t="s">
        <v>10013</v>
      </c>
      <c r="C7652" t="s">
        <v>130</v>
      </c>
      <c r="D7652" s="1" t="s">
        <v>10014</v>
      </c>
    </row>
    <row r="7653" spans="1:4" hidden="1" x14ac:dyDescent="0.3">
      <c r="A7653">
        <v>7651</v>
      </c>
      <c r="B7653" s="1" t="s">
        <v>10015</v>
      </c>
      <c r="C7653" t="s">
        <v>4</v>
      </c>
      <c r="D7653" t="s">
        <v>10016</v>
      </c>
    </row>
    <row r="7654" spans="1:4" hidden="1" x14ac:dyDescent="0.3">
      <c r="A7654">
        <v>7652</v>
      </c>
      <c r="B7654" t="s">
        <v>10017</v>
      </c>
      <c r="C7654" t="s">
        <v>7</v>
      </c>
      <c r="D7654">
        <v>1796.81</v>
      </c>
    </row>
    <row r="7655" spans="1:4" hidden="1" x14ac:dyDescent="0.3">
      <c r="A7655">
        <v>7653</v>
      </c>
      <c r="B7655" s="1" t="s">
        <v>10018</v>
      </c>
      <c r="C7655" t="s">
        <v>9</v>
      </c>
      <c r="D7655" s="1" t="s">
        <v>10019</v>
      </c>
    </row>
    <row r="7656" spans="1:4" hidden="1" x14ac:dyDescent="0.3">
      <c r="A7656">
        <v>7654</v>
      </c>
      <c r="B7656" t="s">
        <v>10020</v>
      </c>
      <c r="C7656" t="s">
        <v>14</v>
      </c>
      <c r="D7656">
        <v>97.28125</v>
      </c>
    </row>
    <row r="7657" spans="1:4" hidden="1" x14ac:dyDescent="0.3">
      <c r="A7657">
        <v>7655</v>
      </c>
      <c r="B7657" t="s">
        <v>10021</v>
      </c>
      <c r="C7657" t="s">
        <v>16</v>
      </c>
      <c r="D7657">
        <v>4.37924399764941</v>
      </c>
    </row>
    <row r="7658" spans="1:4" hidden="1" x14ac:dyDescent="0.3">
      <c r="A7658">
        <v>7656</v>
      </c>
      <c r="B7658" s="1" t="s">
        <v>10022</v>
      </c>
      <c r="C7658" t="s">
        <v>140</v>
      </c>
      <c r="D7658" s="1" t="s">
        <v>10023</v>
      </c>
    </row>
    <row r="7659" spans="1:4" hidden="1" x14ac:dyDescent="0.3">
      <c r="A7659">
        <v>7657</v>
      </c>
      <c r="B7659" t="s">
        <v>9306</v>
      </c>
      <c r="C7659" t="s">
        <v>22</v>
      </c>
      <c r="D7659">
        <v>68.400000000000006</v>
      </c>
    </row>
    <row r="7660" spans="1:4" hidden="1" x14ac:dyDescent="0.3">
      <c r="A7660">
        <v>7658</v>
      </c>
      <c r="B7660" t="s">
        <v>10024</v>
      </c>
      <c r="C7660" t="s">
        <v>24</v>
      </c>
      <c r="D7660">
        <v>6.5355724776906703</v>
      </c>
    </row>
    <row r="7661" spans="1:4" hidden="1" x14ac:dyDescent="0.3">
      <c r="A7661">
        <v>7659</v>
      </c>
      <c r="B7661" s="1" t="s">
        <v>10025</v>
      </c>
      <c r="C7661" t="s">
        <v>145</v>
      </c>
      <c r="D7661" s="1" t="s">
        <v>10026</v>
      </c>
    </row>
    <row r="7662" spans="1:4" hidden="1" x14ac:dyDescent="0.3">
      <c r="A7662">
        <v>7660</v>
      </c>
      <c r="B7662" t="s">
        <v>10027</v>
      </c>
      <c r="C7662" t="s">
        <v>35</v>
      </c>
      <c r="D7662">
        <v>0.13701493061161599</v>
      </c>
    </row>
    <row r="7663" spans="1:4" hidden="1" x14ac:dyDescent="0.3">
      <c r="A7663">
        <v>7661</v>
      </c>
      <c r="B7663" t="s">
        <v>10028</v>
      </c>
      <c r="C7663" t="s">
        <v>149</v>
      </c>
      <c r="D7663">
        <v>0.74340695366110299</v>
      </c>
    </row>
    <row r="7664" spans="1:4" hidden="1" x14ac:dyDescent="0.3">
      <c r="A7664">
        <v>7662</v>
      </c>
      <c r="B7664" s="1" t="s">
        <v>10029</v>
      </c>
      <c r="C7664" t="s">
        <v>151</v>
      </c>
      <c r="D7664" s="1" t="s">
        <v>10030</v>
      </c>
    </row>
    <row r="7665" spans="1:4" hidden="1" x14ac:dyDescent="0.3">
      <c r="A7665">
        <v>7663</v>
      </c>
      <c r="B7665" t="s">
        <v>10031</v>
      </c>
      <c r="C7665" t="s">
        <v>30</v>
      </c>
      <c r="D7665">
        <v>0.33938255576373599</v>
      </c>
    </row>
    <row r="7666" spans="1:4" hidden="1" x14ac:dyDescent="0.3">
      <c r="A7666">
        <v>7664</v>
      </c>
      <c r="B7666" t="s">
        <v>10032</v>
      </c>
      <c r="C7666" t="s">
        <v>32</v>
      </c>
      <c r="D7666">
        <v>0.18174951020505001</v>
      </c>
    </row>
    <row r="7667" spans="1:4" hidden="1" x14ac:dyDescent="0.3">
      <c r="A7667">
        <v>7665</v>
      </c>
      <c r="B7667" s="1" t="s">
        <v>10033</v>
      </c>
      <c r="C7667" t="s">
        <v>155</v>
      </c>
      <c r="D7667" s="1" t="s">
        <v>10034</v>
      </c>
    </row>
    <row r="7668" spans="1:4" hidden="1" x14ac:dyDescent="0.3">
      <c r="A7668">
        <v>7666</v>
      </c>
      <c r="B7668" t="s">
        <v>10035</v>
      </c>
      <c r="C7668" t="s">
        <v>40</v>
      </c>
      <c r="D7668">
        <v>0.52360251362464605</v>
      </c>
    </row>
    <row r="7669" spans="1:4" hidden="1" x14ac:dyDescent="0.3">
      <c r="A7669">
        <v>7667</v>
      </c>
      <c r="B7669" t="s">
        <v>10036</v>
      </c>
      <c r="C7669" t="s">
        <v>42</v>
      </c>
      <c r="D7669">
        <v>0.16340874406636399</v>
      </c>
    </row>
    <row r="7670" spans="1:4" hidden="1" x14ac:dyDescent="0.3">
      <c r="A7670">
        <v>7668</v>
      </c>
      <c r="B7670" s="1" t="s">
        <v>10037</v>
      </c>
      <c r="C7670" t="s">
        <v>159</v>
      </c>
      <c r="D7670" s="1" t="s">
        <v>10038</v>
      </c>
    </row>
    <row r="7671" spans="1:4" hidden="1" x14ac:dyDescent="0.3">
      <c r="A7671">
        <v>7669</v>
      </c>
      <c r="B7671" t="s">
        <v>10039</v>
      </c>
      <c r="C7671" t="s">
        <v>161</v>
      </c>
      <c r="D7671">
        <v>1.00217523467435</v>
      </c>
    </row>
    <row r="7672" spans="1:4" hidden="1" x14ac:dyDescent="0.3">
      <c r="A7672">
        <v>7670</v>
      </c>
      <c r="B7672" t="s">
        <v>10040</v>
      </c>
      <c r="C7672" t="s">
        <v>163</v>
      </c>
      <c r="D7672">
        <v>1.0006070696081999</v>
      </c>
    </row>
    <row r="7673" spans="1:4" hidden="1" x14ac:dyDescent="0.3">
      <c r="A7673">
        <v>7671</v>
      </c>
      <c r="B7673" s="1" t="s">
        <v>10041</v>
      </c>
      <c r="C7673" t="s">
        <v>165</v>
      </c>
      <c r="D7673" s="1" t="s">
        <v>10042</v>
      </c>
    </row>
    <row r="7674" spans="1:4" hidden="1" x14ac:dyDescent="0.3">
      <c r="A7674">
        <v>7672</v>
      </c>
      <c r="B7674" t="s">
        <v>10043</v>
      </c>
      <c r="C7674" t="s">
        <v>168</v>
      </c>
      <c r="D7674">
        <v>0.99984520396122301</v>
      </c>
    </row>
    <row r="7675" spans="1:4" hidden="1" x14ac:dyDescent="0.3">
      <c r="A7675">
        <v>7673</v>
      </c>
      <c r="B7675" t="s">
        <v>10044</v>
      </c>
      <c r="C7675" t="s">
        <v>170</v>
      </c>
      <c r="D7675">
        <v>1.0003489027258701</v>
      </c>
    </row>
    <row r="7676" spans="1:4" hidden="1" x14ac:dyDescent="0.3">
      <c r="A7676">
        <v>7674</v>
      </c>
      <c r="B7676" s="1" t="s">
        <v>10045</v>
      </c>
      <c r="C7676" t="s">
        <v>172</v>
      </c>
      <c r="D7676" s="1" t="s">
        <v>10046</v>
      </c>
    </row>
    <row r="7677" spans="1:4" hidden="1" x14ac:dyDescent="0.3">
      <c r="A7677">
        <v>7675</v>
      </c>
      <c r="B7677" s="1" t="s">
        <v>10047</v>
      </c>
      <c r="C7677" t="s">
        <v>55</v>
      </c>
      <c r="D7677" s="1" t="s">
        <v>10048</v>
      </c>
    </row>
    <row r="7678" spans="1:4" hidden="1" x14ac:dyDescent="0.3">
      <c r="A7678">
        <v>7676</v>
      </c>
      <c r="B7678" s="1" t="s">
        <v>10049</v>
      </c>
      <c r="C7678" t="s">
        <v>52</v>
      </c>
      <c r="D7678" s="1" t="s">
        <v>10050</v>
      </c>
    </row>
    <row r="7679" spans="1:4" hidden="1" x14ac:dyDescent="0.3">
      <c r="A7679">
        <v>7677</v>
      </c>
      <c r="B7679" s="1" t="s">
        <v>10051</v>
      </c>
      <c r="C7679" t="s">
        <v>58</v>
      </c>
      <c r="D7679" s="1" t="s">
        <v>10052</v>
      </c>
    </row>
    <row r="7680" spans="1:4" hidden="1" x14ac:dyDescent="0.3">
      <c r="A7680">
        <v>7678</v>
      </c>
      <c r="B7680" t="s">
        <v>10053</v>
      </c>
      <c r="C7680" t="s">
        <v>61</v>
      </c>
      <c r="D7680">
        <v>143832448.02276999</v>
      </c>
    </row>
    <row r="7681" spans="1:4" hidden="1" x14ac:dyDescent="0.3">
      <c r="A7681">
        <v>7679</v>
      </c>
      <c r="B7681" t="s">
        <v>10054</v>
      </c>
      <c r="C7681" t="s">
        <v>63</v>
      </c>
      <c r="D7681">
        <v>77393254.752735496</v>
      </c>
    </row>
    <row r="7682" spans="1:4" hidden="1" x14ac:dyDescent="0.3">
      <c r="A7682">
        <v>7680</v>
      </c>
      <c r="B7682" t="s">
        <v>10055</v>
      </c>
      <c r="C7682" t="s">
        <v>65</v>
      </c>
      <c r="D7682">
        <v>39099484.596597299</v>
      </c>
    </row>
    <row r="7683" spans="1:4" hidden="1" x14ac:dyDescent="0.3">
      <c r="A7683">
        <v>7681</v>
      </c>
      <c r="B7683" s="1" t="s">
        <v>10056</v>
      </c>
      <c r="C7683" t="s">
        <v>67</v>
      </c>
      <c r="D7683" s="1" t="s">
        <v>10057</v>
      </c>
    </row>
    <row r="7684" spans="1:4" hidden="1" x14ac:dyDescent="0.3">
      <c r="A7684">
        <v>7682</v>
      </c>
      <c r="B7684" s="1" t="s">
        <v>10058</v>
      </c>
      <c r="C7684" t="s">
        <v>70</v>
      </c>
      <c r="D7684" s="1" t="s">
        <v>10059</v>
      </c>
    </row>
    <row r="7685" spans="1:4" hidden="1" x14ac:dyDescent="0.3">
      <c r="A7685">
        <v>7683</v>
      </c>
      <c r="B7685" t="s">
        <v>10060</v>
      </c>
      <c r="C7685" t="s">
        <v>73</v>
      </c>
      <c r="D7685">
        <v>1.0002418098183801</v>
      </c>
    </row>
    <row r="7686" spans="1:4" hidden="1" x14ac:dyDescent="0.3">
      <c r="A7686">
        <v>7684</v>
      </c>
      <c r="B7686" t="s">
        <v>74</v>
      </c>
      <c r="C7686" t="s">
        <v>75</v>
      </c>
      <c r="D7686">
        <v>2.7397260273972599E-3</v>
      </c>
    </row>
    <row r="7687" spans="1:4" hidden="1" x14ac:dyDescent="0.3">
      <c r="A7687">
        <v>7685</v>
      </c>
      <c r="B7687" t="s">
        <v>76</v>
      </c>
      <c r="C7687" t="s">
        <v>77</v>
      </c>
      <c r="D7687">
        <v>0</v>
      </c>
    </row>
    <row r="7688" spans="1:4" hidden="1" x14ac:dyDescent="0.3">
      <c r="A7688">
        <v>7686</v>
      </c>
      <c r="B7688" t="s">
        <v>78</v>
      </c>
      <c r="C7688" t="s">
        <v>79</v>
      </c>
      <c r="D7688">
        <v>0</v>
      </c>
    </row>
    <row r="7689" spans="1:4" hidden="1" x14ac:dyDescent="0.3">
      <c r="A7689">
        <v>7687</v>
      </c>
      <c r="B7689" s="1" t="s">
        <v>10061</v>
      </c>
      <c r="C7689" t="s">
        <v>81</v>
      </c>
      <c r="D7689" s="1" t="s">
        <v>10062</v>
      </c>
    </row>
    <row r="7690" spans="1:4" hidden="1" x14ac:dyDescent="0.3">
      <c r="A7690">
        <v>7688</v>
      </c>
      <c r="B7690" t="s">
        <v>10063</v>
      </c>
      <c r="C7690" t="s">
        <v>84</v>
      </c>
      <c r="D7690">
        <v>1.0002071063462401</v>
      </c>
    </row>
    <row r="7691" spans="1:4" hidden="1" x14ac:dyDescent="0.3">
      <c r="A7691">
        <v>7689</v>
      </c>
      <c r="B7691" s="1" t="s">
        <v>10064</v>
      </c>
      <c r="C7691" t="s">
        <v>86</v>
      </c>
      <c r="D7691" s="1" t="s">
        <v>10065</v>
      </c>
    </row>
    <row r="7692" spans="1:4" hidden="1" x14ac:dyDescent="0.3">
      <c r="A7692">
        <v>7690</v>
      </c>
      <c r="B7692" t="s">
        <v>10066</v>
      </c>
      <c r="C7692" t="s">
        <v>89</v>
      </c>
      <c r="D7692">
        <v>101168826.777385</v>
      </c>
    </row>
    <row r="7693" spans="1:4" hidden="1" x14ac:dyDescent="0.3">
      <c r="A7693">
        <v>7691</v>
      </c>
      <c r="B7693" s="1" t="s">
        <v>10067</v>
      </c>
      <c r="C7693" t="s">
        <v>91</v>
      </c>
      <c r="D7693" s="1" t="s">
        <v>10002</v>
      </c>
    </row>
    <row r="7694" spans="1:4" hidden="1" x14ac:dyDescent="0.3">
      <c r="A7694">
        <v>7692</v>
      </c>
      <c r="B7694" t="s">
        <v>10068</v>
      </c>
      <c r="C7694" t="s">
        <v>94</v>
      </c>
      <c r="D7694">
        <v>77393254.752735496</v>
      </c>
    </row>
    <row r="7695" spans="1:4" hidden="1" x14ac:dyDescent="0.3">
      <c r="A7695">
        <v>7693</v>
      </c>
      <c r="B7695" t="s">
        <v>10069</v>
      </c>
      <c r="C7695" t="s">
        <v>96</v>
      </c>
      <c r="D7695">
        <v>39099484.596597299</v>
      </c>
    </row>
    <row r="7696" spans="1:4" hidden="1" x14ac:dyDescent="0.3">
      <c r="A7696">
        <v>7694</v>
      </c>
      <c r="B7696" t="s">
        <v>10070</v>
      </c>
      <c r="C7696" t="s">
        <v>98</v>
      </c>
      <c r="D7696">
        <v>27339708.6734378</v>
      </c>
    </row>
    <row r="7697" spans="1:4" hidden="1" x14ac:dyDescent="0.3">
      <c r="A7697">
        <v>7695</v>
      </c>
      <c r="B7697" s="1" t="s">
        <v>10071</v>
      </c>
      <c r="C7697" t="s">
        <v>100</v>
      </c>
      <c r="D7697" s="1" t="s">
        <v>10072</v>
      </c>
    </row>
    <row r="7698" spans="1:4" hidden="1" x14ac:dyDescent="0.3">
      <c r="A7698">
        <v>7696</v>
      </c>
      <c r="B7698" t="s">
        <v>10073</v>
      </c>
      <c r="C7698" t="s">
        <v>103</v>
      </c>
      <c r="D7698">
        <v>8.3362192033355296E-3</v>
      </c>
    </row>
    <row r="7699" spans="1:4" hidden="1" x14ac:dyDescent="0.3">
      <c r="A7699">
        <v>7697</v>
      </c>
      <c r="B7699" t="s">
        <v>10074</v>
      </c>
      <c r="C7699" t="s">
        <v>105</v>
      </c>
      <c r="D7699">
        <v>1.39664306516355E-3</v>
      </c>
    </row>
    <row r="7700" spans="1:4" hidden="1" x14ac:dyDescent="0.3">
      <c r="A7700">
        <v>7698</v>
      </c>
      <c r="B7700" t="s">
        <v>10075</v>
      </c>
      <c r="C7700" t="s">
        <v>107</v>
      </c>
      <c r="D7700">
        <v>1.02286059803211E-2</v>
      </c>
    </row>
    <row r="7701" spans="1:4" hidden="1" x14ac:dyDescent="0.3">
      <c r="A7701">
        <v>7699</v>
      </c>
      <c r="B7701" s="1" t="s">
        <v>10076</v>
      </c>
      <c r="C7701" t="s">
        <v>109</v>
      </c>
      <c r="D7701" s="1" t="s">
        <v>10077</v>
      </c>
    </row>
    <row r="7702" spans="1:4" x14ac:dyDescent="0.3">
      <c r="A7702">
        <v>7700</v>
      </c>
      <c r="B7702" t="s">
        <v>10078</v>
      </c>
      <c r="C7702" t="s">
        <v>207</v>
      </c>
      <c r="D7702">
        <v>143831228.30981001</v>
      </c>
    </row>
    <row r="7703" spans="1:4" hidden="1" x14ac:dyDescent="0.3">
      <c r="A7703">
        <v>7701</v>
      </c>
      <c r="B7703" t="s">
        <v>10079</v>
      </c>
      <c r="C7703" t="s">
        <v>209</v>
      </c>
      <c r="D7703">
        <v>2685.1337712428899</v>
      </c>
    </row>
    <row r="7704" spans="1:4" hidden="1" x14ac:dyDescent="0.3">
      <c r="A7704">
        <v>7702</v>
      </c>
      <c r="B7704" t="s">
        <v>10080</v>
      </c>
      <c r="C7704" t="s">
        <v>211</v>
      </c>
      <c r="D7704">
        <v>1356.55351199857</v>
      </c>
    </row>
    <row r="7705" spans="1:4" hidden="1" x14ac:dyDescent="0.3">
      <c r="A7705">
        <v>7703</v>
      </c>
      <c r="B7705" s="1" t="s">
        <v>10081</v>
      </c>
      <c r="C7705" t="s">
        <v>213</v>
      </c>
      <c r="D7705" s="1" t="s">
        <v>10082</v>
      </c>
    </row>
    <row r="7706" spans="1:4" hidden="1" x14ac:dyDescent="0.3">
      <c r="A7706">
        <v>7704</v>
      </c>
      <c r="B7706" t="s">
        <v>10083</v>
      </c>
      <c r="C7706" t="s">
        <v>216</v>
      </c>
      <c r="D7706">
        <v>77389659.131793603</v>
      </c>
    </row>
    <row r="7707" spans="1:4" hidden="1" x14ac:dyDescent="0.3">
      <c r="A7707">
        <v>7705</v>
      </c>
      <c r="B7707" t="s">
        <v>10084</v>
      </c>
      <c r="C7707" t="s">
        <v>218</v>
      </c>
      <c r="D7707">
        <v>39097945.5146522</v>
      </c>
    </row>
    <row r="7708" spans="1:4" hidden="1" x14ac:dyDescent="0.3">
      <c r="A7708">
        <v>7706</v>
      </c>
      <c r="B7708" t="s">
        <v>10085</v>
      </c>
      <c r="C7708" t="s">
        <v>220</v>
      </c>
      <c r="D7708">
        <v>27338633.427028</v>
      </c>
    </row>
    <row r="7709" spans="1:4" hidden="1" x14ac:dyDescent="0.3">
      <c r="A7709">
        <v>7707</v>
      </c>
      <c r="B7709" s="1" t="s">
        <v>10086</v>
      </c>
      <c r="C7709" t="s">
        <v>222</v>
      </c>
      <c r="D7709" s="1" t="s">
        <v>10087</v>
      </c>
    </row>
    <row r="7710" spans="1:4" hidden="1" x14ac:dyDescent="0.3">
      <c r="A7710">
        <v>7708</v>
      </c>
      <c r="B7710" t="s">
        <v>10088</v>
      </c>
      <c r="C7710" t="s">
        <v>225</v>
      </c>
      <c r="D7710">
        <v>101165316.716591</v>
      </c>
    </row>
    <row r="7711" spans="1:4" hidden="1" x14ac:dyDescent="0.3">
      <c r="A7711">
        <v>7709</v>
      </c>
      <c r="B7711" t="s">
        <v>10089</v>
      </c>
      <c r="C7711" t="s">
        <v>227</v>
      </c>
      <c r="D7711">
        <v>3510.0607941895701</v>
      </c>
    </row>
    <row r="7712" spans="1:4" hidden="1" x14ac:dyDescent="0.3">
      <c r="A7712">
        <v>7710</v>
      </c>
      <c r="B7712" s="1" t="s">
        <v>10090</v>
      </c>
      <c r="C7712" t="s">
        <v>229</v>
      </c>
      <c r="D7712" s="1" t="s">
        <v>10091</v>
      </c>
    </row>
    <row r="7713" spans="1:4" hidden="1" x14ac:dyDescent="0.3">
      <c r="A7713">
        <v>7711</v>
      </c>
      <c r="B7713" t="s">
        <v>10092</v>
      </c>
      <c r="C7713" t="s">
        <v>112</v>
      </c>
      <c r="D7713">
        <v>-910.48717059077296</v>
      </c>
    </row>
    <row r="7714" spans="1:4" hidden="1" x14ac:dyDescent="0.3">
      <c r="A7714">
        <v>7712</v>
      </c>
      <c r="B7714" t="s">
        <v>10093</v>
      </c>
      <c r="C7714" t="s">
        <v>114</v>
      </c>
      <c r="D7714">
        <v>-182.52843313788799</v>
      </c>
    </row>
    <row r="7715" spans="1:4" hidden="1" x14ac:dyDescent="0.3">
      <c r="A7715">
        <v>7713</v>
      </c>
      <c r="B7715" s="1" t="s">
        <v>10094</v>
      </c>
      <c r="C7715" t="s">
        <v>116</v>
      </c>
      <c r="D7715" s="1" t="s">
        <v>10095</v>
      </c>
    </row>
    <row r="7716" spans="1:4" hidden="1" x14ac:dyDescent="0.3">
      <c r="A7716">
        <v>7714</v>
      </c>
      <c r="B7716" t="s">
        <v>10096</v>
      </c>
      <c r="C7716" t="s">
        <v>119</v>
      </c>
      <c r="D7716">
        <v>77389659.131793603</v>
      </c>
    </row>
    <row r="7717" spans="1:4" hidden="1" x14ac:dyDescent="0.3">
      <c r="A7717">
        <v>7715</v>
      </c>
      <c r="B7717" t="s">
        <v>10097</v>
      </c>
      <c r="C7717" t="s">
        <v>121</v>
      </c>
      <c r="D7717">
        <v>39097945.5146522</v>
      </c>
    </row>
    <row r="7718" spans="1:4" hidden="1" x14ac:dyDescent="0.3">
      <c r="A7718">
        <v>7716</v>
      </c>
      <c r="B7718" s="1" t="s">
        <v>10098</v>
      </c>
      <c r="C7718" t="s">
        <v>123</v>
      </c>
      <c r="D7718" s="1" t="s">
        <v>10099</v>
      </c>
    </row>
    <row r="7719" spans="1:4" hidden="1" x14ac:dyDescent="0.3">
      <c r="A7719">
        <v>7717</v>
      </c>
      <c r="B7719" t="s">
        <v>10100</v>
      </c>
      <c r="C7719" t="s">
        <v>126</v>
      </c>
      <c r="D7719">
        <v>0.76482372686877897</v>
      </c>
    </row>
    <row r="7720" spans="1:4" hidden="1" x14ac:dyDescent="0.3">
      <c r="A7720">
        <v>7718</v>
      </c>
      <c r="B7720" t="s">
        <v>10101</v>
      </c>
      <c r="C7720" t="s">
        <v>128</v>
      </c>
      <c r="D7720">
        <v>0.386395763166553</v>
      </c>
    </row>
    <row r="7721" spans="1:4" hidden="1" x14ac:dyDescent="0.3">
      <c r="A7721">
        <v>7719</v>
      </c>
      <c r="B7721" s="1" t="s">
        <v>10102</v>
      </c>
      <c r="C7721" t="s">
        <v>130</v>
      </c>
      <c r="D7721" s="1" t="s">
        <v>10103</v>
      </c>
    </row>
    <row r="7722" spans="1:4" hidden="1" x14ac:dyDescent="0.3">
      <c r="A7722">
        <v>7720</v>
      </c>
      <c r="B7722" s="1" t="s">
        <v>10104</v>
      </c>
      <c r="C7722" t="s">
        <v>4</v>
      </c>
      <c r="D7722" t="s">
        <v>10105</v>
      </c>
    </row>
    <row r="7723" spans="1:4" hidden="1" x14ac:dyDescent="0.3">
      <c r="A7723">
        <v>7721</v>
      </c>
      <c r="B7723" t="s">
        <v>10106</v>
      </c>
      <c r="C7723" t="s">
        <v>7</v>
      </c>
      <c r="D7723">
        <v>1798.91</v>
      </c>
    </row>
    <row r="7724" spans="1:4" hidden="1" x14ac:dyDescent="0.3">
      <c r="A7724">
        <v>7722</v>
      </c>
      <c r="B7724" s="1" t="s">
        <v>10107</v>
      </c>
      <c r="C7724" t="s">
        <v>9</v>
      </c>
      <c r="D7724" s="1" t="s">
        <v>10108</v>
      </c>
    </row>
    <row r="7725" spans="1:4" hidden="1" x14ac:dyDescent="0.3">
      <c r="A7725">
        <v>7723</v>
      </c>
      <c r="B7725" t="s">
        <v>10109</v>
      </c>
      <c r="C7725" t="s">
        <v>14</v>
      </c>
      <c r="D7725">
        <v>97.1875</v>
      </c>
    </row>
    <row r="7726" spans="1:4" hidden="1" x14ac:dyDescent="0.3">
      <c r="A7726">
        <v>7724</v>
      </c>
      <c r="B7726" t="s">
        <v>10110</v>
      </c>
      <c r="C7726" t="s">
        <v>16</v>
      </c>
      <c r="D7726">
        <v>4.3770085678938004</v>
      </c>
    </row>
    <row r="7727" spans="1:4" hidden="1" x14ac:dyDescent="0.3">
      <c r="A7727">
        <v>7725</v>
      </c>
      <c r="B7727" s="1" t="s">
        <v>10111</v>
      </c>
      <c r="C7727" t="s">
        <v>140</v>
      </c>
      <c r="D7727" s="1" t="s">
        <v>10112</v>
      </c>
    </row>
    <row r="7728" spans="1:4" hidden="1" x14ac:dyDescent="0.3">
      <c r="A7728">
        <v>7726</v>
      </c>
      <c r="B7728" t="s">
        <v>10113</v>
      </c>
      <c r="C7728" t="s">
        <v>22</v>
      </c>
      <c r="D7728">
        <v>69.5</v>
      </c>
    </row>
    <row r="7729" spans="1:4" hidden="1" x14ac:dyDescent="0.3">
      <c r="A7729">
        <v>7727</v>
      </c>
      <c r="B7729" t="s">
        <v>10114</v>
      </c>
      <c r="C7729" t="s">
        <v>24</v>
      </c>
      <c r="D7729">
        <v>6.4548012335262896</v>
      </c>
    </row>
    <row r="7730" spans="1:4" hidden="1" x14ac:dyDescent="0.3">
      <c r="A7730">
        <v>7728</v>
      </c>
      <c r="B7730" s="1" t="s">
        <v>10115</v>
      </c>
      <c r="C7730" t="s">
        <v>145</v>
      </c>
      <c r="D7730" s="1" t="s">
        <v>10116</v>
      </c>
    </row>
    <row r="7731" spans="1:4" hidden="1" x14ac:dyDescent="0.3">
      <c r="A7731">
        <v>7729</v>
      </c>
      <c r="B7731" t="s">
        <v>10117</v>
      </c>
      <c r="C7731" t="s">
        <v>35</v>
      </c>
      <c r="D7731">
        <v>-0.75911087428979196</v>
      </c>
    </row>
    <row r="7732" spans="1:4" hidden="1" x14ac:dyDescent="0.3">
      <c r="A7732">
        <v>7730</v>
      </c>
      <c r="B7732" t="s">
        <v>10118</v>
      </c>
      <c r="C7732" t="s">
        <v>149</v>
      </c>
      <c r="D7732">
        <v>0.741358529836459</v>
      </c>
    </row>
    <row r="7733" spans="1:4" hidden="1" x14ac:dyDescent="0.3">
      <c r="A7733">
        <v>7731</v>
      </c>
      <c r="B7733" s="1" t="s">
        <v>10119</v>
      </c>
      <c r="C7733" t="s">
        <v>151</v>
      </c>
      <c r="D7733" s="1" t="s">
        <v>10120</v>
      </c>
    </row>
    <row r="7734" spans="1:4" hidden="1" x14ac:dyDescent="0.3">
      <c r="A7734">
        <v>7732</v>
      </c>
      <c r="B7734" t="s">
        <v>10121</v>
      </c>
      <c r="C7734" t="s">
        <v>30</v>
      </c>
      <c r="D7734">
        <v>0.69529078597787297</v>
      </c>
    </row>
    <row r="7735" spans="1:4" hidden="1" x14ac:dyDescent="0.3">
      <c r="A7735">
        <v>7733</v>
      </c>
      <c r="B7735" t="s">
        <v>10122</v>
      </c>
      <c r="C7735" t="s">
        <v>32</v>
      </c>
      <c r="D7735">
        <v>0.18189234848492999</v>
      </c>
    </row>
    <row r="7736" spans="1:4" hidden="1" x14ac:dyDescent="0.3">
      <c r="A7736">
        <v>7734</v>
      </c>
      <c r="B7736" s="1" t="s">
        <v>10123</v>
      </c>
      <c r="C7736" t="s">
        <v>155</v>
      </c>
      <c r="D7736" s="1" t="s">
        <v>10124</v>
      </c>
    </row>
    <row r="7737" spans="1:4" hidden="1" x14ac:dyDescent="0.3">
      <c r="A7737">
        <v>7735</v>
      </c>
      <c r="B7737" t="s">
        <v>10125</v>
      </c>
      <c r="C7737" t="s">
        <v>40</v>
      </c>
      <c r="D7737">
        <v>1.06382008831191</v>
      </c>
    </row>
    <row r="7738" spans="1:4" hidden="1" x14ac:dyDescent="0.3">
      <c r="A7738">
        <v>7736</v>
      </c>
      <c r="B7738" t="s">
        <v>10126</v>
      </c>
      <c r="C7738" t="s">
        <v>42</v>
      </c>
      <c r="D7738">
        <v>0.166982669140611</v>
      </c>
    </row>
    <row r="7739" spans="1:4" hidden="1" x14ac:dyDescent="0.3">
      <c r="A7739">
        <v>7737</v>
      </c>
      <c r="B7739" s="1" t="s">
        <v>10127</v>
      </c>
      <c r="C7739" t="s">
        <v>159</v>
      </c>
      <c r="D7739" s="1" t="s">
        <v>10128</v>
      </c>
    </row>
    <row r="7740" spans="1:4" hidden="1" x14ac:dyDescent="0.3">
      <c r="A7740">
        <v>7738</v>
      </c>
      <c r="B7740" t="s">
        <v>10129</v>
      </c>
      <c r="C7740" t="s">
        <v>161</v>
      </c>
      <c r="D7740">
        <v>1.0011687379299901</v>
      </c>
    </row>
    <row r="7741" spans="1:4" hidden="1" x14ac:dyDescent="0.3">
      <c r="A7741">
        <v>7739</v>
      </c>
      <c r="B7741" t="s">
        <v>10130</v>
      </c>
      <c r="C7741" t="s">
        <v>163</v>
      </c>
      <c r="D7741">
        <v>0.999055823693343</v>
      </c>
    </row>
    <row r="7742" spans="1:4" hidden="1" x14ac:dyDescent="0.3">
      <c r="A7742">
        <v>7740</v>
      </c>
      <c r="B7742" s="1" t="s">
        <v>10131</v>
      </c>
      <c r="C7742" t="s">
        <v>165</v>
      </c>
      <c r="D7742" s="1" t="s">
        <v>10132</v>
      </c>
    </row>
    <row r="7743" spans="1:4" hidden="1" x14ac:dyDescent="0.3">
      <c r="A7743">
        <v>7741</v>
      </c>
      <c r="B7743" t="s">
        <v>10133</v>
      </c>
      <c r="C7743" t="s">
        <v>168</v>
      </c>
      <c r="D7743">
        <v>0.99882504551198303</v>
      </c>
    </row>
    <row r="7744" spans="1:4" hidden="1" x14ac:dyDescent="0.3">
      <c r="A7744">
        <v>7742</v>
      </c>
      <c r="B7744" t="s">
        <v>10134</v>
      </c>
      <c r="C7744" t="s">
        <v>170</v>
      </c>
      <c r="D7744">
        <v>1.00012087018327</v>
      </c>
    </row>
    <row r="7745" spans="1:4" hidden="1" x14ac:dyDescent="0.3">
      <c r="A7745">
        <v>7743</v>
      </c>
      <c r="B7745" s="1" t="s">
        <v>10135</v>
      </c>
      <c r="C7745" t="s">
        <v>172</v>
      </c>
      <c r="D7745" s="1" t="s">
        <v>10136</v>
      </c>
    </row>
    <row r="7746" spans="1:4" hidden="1" x14ac:dyDescent="0.3">
      <c r="A7746">
        <v>7744</v>
      </c>
      <c r="B7746" s="1" t="s">
        <v>10137</v>
      </c>
      <c r="C7746" t="s">
        <v>55</v>
      </c>
      <c r="D7746" s="1" t="s">
        <v>10138</v>
      </c>
    </row>
    <row r="7747" spans="1:4" hidden="1" x14ac:dyDescent="0.3">
      <c r="A7747">
        <v>7745</v>
      </c>
      <c r="B7747" s="1" t="s">
        <v>10139</v>
      </c>
      <c r="C7747" t="s">
        <v>52</v>
      </c>
      <c r="D7747" s="1" t="s">
        <v>10140</v>
      </c>
    </row>
    <row r="7748" spans="1:4" hidden="1" x14ac:dyDescent="0.3">
      <c r="A7748">
        <v>7746</v>
      </c>
      <c r="B7748" s="1" t="s">
        <v>10141</v>
      </c>
      <c r="C7748" t="s">
        <v>58</v>
      </c>
      <c r="D7748" s="1" t="s">
        <v>10142</v>
      </c>
    </row>
    <row r="7749" spans="1:4" hidden="1" x14ac:dyDescent="0.3">
      <c r="A7749">
        <v>7747</v>
      </c>
      <c r="B7749" t="s">
        <v>10143</v>
      </c>
      <c r="C7749" t="s">
        <v>61</v>
      </c>
      <c r="D7749">
        <v>144251614.660404</v>
      </c>
    </row>
    <row r="7750" spans="1:4" hidden="1" x14ac:dyDescent="0.3">
      <c r="A7750">
        <v>7748</v>
      </c>
      <c r="B7750" t="s">
        <v>10144</v>
      </c>
      <c r="C7750" t="s">
        <v>63</v>
      </c>
      <c r="D7750">
        <v>77480107.361810595</v>
      </c>
    </row>
    <row r="7751" spans="1:4" hidden="1" x14ac:dyDescent="0.3">
      <c r="A7751">
        <v>7749</v>
      </c>
      <c r="B7751" t="s">
        <v>10145</v>
      </c>
      <c r="C7751" t="s">
        <v>65</v>
      </c>
      <c r="D7751">
        <v>39061030.160858303</v>
      </c>
    </row>
    <row r="7752" spans="1:4" hidden="1" x14ac:dyDescent="0.3">
      <c r="A7752">
        <v>7750</v>
      </c>
      <c r="B7752" s="1" t="s">
        <v>10146</v>
      </c>
      <c r="C7752" t="s">
        <v>67</v>
      </c>
      <c r="D7752" s="1" t="s">
        <v>10147</v>
      </c>
    </row>
    <row r="7753" spans="1:4" hidden="1" x14ac:dyDescent="0.3">
      <c r="A7753">
        <v>7751</v>
      </c>
      <c r="B7753" s="1" t="s">
        <v>10148</v>
      </c>
      <c r="C7753" t="s">
        <v>70</v>
      </c>
      <c r="D7753" s="1" t="s">
        <v>10149</v>
      </c>
    </row>
    <row r="7754" spans="1:4" hidden="1" x14ac:dyDescent="0.3">
      <c r="A7754">
        <v>7752</v>
      </c>
      <c r="B7754" t="s">
        <v>10150</v>
      </c>
      <c r="C7754" t="s">
        <v>73</v>
      </c>
      <c r="D7754">
        <v>1.0002071063462401</v>
      </c>
    </row>
    <row r="7755" spans="1:4" hidden="1" x14ac:dyDescent="0.3">
      <c r="A7755">
        <v>7753</v>
      </c>
      <c r="B7755" t="s">
        <v>74</v>
      </c>
      <c r="C7755" t="s">
        <v>75</v>
      </c>
      <c r="D7755">
        <v>2.7397260273972599E-3</v>
      </c>
    </row>
    <row r="7756" spans="1:4" hidden="1" x14ac:dyDescent="0.3">
      <c r="A7756">
        <v>7754</v>
      </c>
      <c r="B7756" t="s">
        <v>76</v>
      </c>
      <c r="C7756" t="s">
        <v>77</v>
      </c>
      <c r="D7756">
        <v>0</v>
      </c>
    </row>
    <row r="7757" spans="1:4" hidden="1" x14ac:dyDescent="0.3">
      <c r="A7757">
        <v>7755</v>
      </c>
      <c r="B7757" t="s">
        <v>78</v>
      </c>
      <c r="C7757" t="s">
        <v>79</v>
      </c>
      <c r="D7757">
        <v>0</v>
      </c>
    </row>
    <row r="7758" spans="1:4" hidden="1" x14ac:dyDescent="0.3">
      <c r="A7758">
        <v>7756</v>
      </c>
      <c r="B7758" s="1" t="s">
        <v>10151</v>
      </c>
      <c r="C7758" t="s">
        <v>81</v>
      </c>
      <c r="D7758" s="1" t="s">
        <v>10152</v>
      </c>
    </row>
    <row r="7759" spans="1:4" hidden="1" x14ac:dyDescent="0.3">
      <c r="A7759">
        <v>7757</v>
      </c>
      <c r="B7759" t="s">
        <v>10153</v>
      </c>
      <c r="C7759" t="s">
        <v>84</v>
      </c>
      <c r="D7759">
        <v>1.0001905246121301</v>
      </c>
    </row>
    <row r="7760" spans="1:4" hidden="1" x14ac:dyDescent="0.3">
      <c r="A7760">
        <v>7758</v>
      </c>
      <c r="B7760" s="1" t="s">
        <v>10154</v>
      </c>
      <c r="C7760" t="s">
        <v>86</v>
      </c>
      <c r="D7760" s="1" t="s">
        <v>10155</v>
      </c>
    </row>
    <row r="7761" spans="1:4" hidden="1" x14ac:dyDescent="0.3">
      <c r="A7761">
        <v>7759</v>
      </c>
      <c r="B7761" t="s">
        <v>10156</v>
      </c>
      <c r="C7761" t="s">
        <v>89</v>
      </c>
      <c r="D7761">
        <v>101170504.012417</v>
      </c>
    </row>
    <row r="7762" spans="1:4" hidden="1" x14ac:dyDescent="0.3">
      <c r="A7762">
        <v>7760</v>
      </c>
      <c r="B7762" s="1" t="s">
        <v>10157</v>
      </c>
      <c r="C7762" t="s">
        <v>91</v>
      </c>
      <c r="D7762" s="1" t="s">
        <v>10091</v>
      </c>
    </row>
    <row r="7763" spans="1:4" hidden="1" x14ac:dyDescent="0.3">
      <c r="A7763">
        <v>7761</v>
      </c>
      <c r="B7763" t="s">
        <v>10158</v>
      </c>
      <c r="C7763" t="s">
        <v>94</v>
      </c>
      <c r="D7763">
        <v>77480107.361810595</v>
      </c>
    </row>
    <row r="7764" spans="1:4" hidden="1" x14ac:dyDescent="0.3">
      <c r="A7764">
        <v>7762</v>
      </c>
      <c r="B7764" t="s">
        <v>10159</v>
      </c>
      <c r="C7764" t="s">
        <v>96</v>
      </c>
      <c r="D7764">
        <v>39061030.160858303</v>
      </c>
    </row>
    <row r="7765" spans="1:4" hidden="1" x14ac:dyDescent="0.3">
      <c r="A7765">
        <v>7763</v>
      </c>
      <c r="B7765" t="s">
        <v>10160</v>
      </c>
      <c r="C7765" t="s">
        <v>98</v>
      </c>
      <c r="D7765">
        <v>27710477.1377353</v>
      </c>
    </row>
    <row r="7766" spans="1:4" hidden="1" x14ac:dyDescent="0.3">
      <c r="A7766">
        <v>7764</v>
      </c>
      <c r="B7766" s="1" t="s">
        <v>10161</v>
      </c>
      <c r="C7766" t="s">
        <v>100</v>
      </c>
      <c r="D7766" s="1" t="s">
        <v>10162</v>
      </c>
    </row>
    <row r="7767" spans="1:4" hidden="1" x14ac:dyDescent="0.3">
      <c r="A7767">
        <v>7765</v>
      </c>
      <c r="B7767" t="s">
        <v>10163</v>
      </c>
      <c r="C7767" t="s">
        <v>103</v>
      </c>
      <c r="D7767">
        <v>8.3291221364126308E-3</v>
      </c>
    </row>
    <row r="7768" spans="1:4" hidden="1" x14ac:dyDescent="0.3">
      <c r="A7768">
        <v>7766</v>
      </c>
      <c r="B7768" t="s">
        <v>10164</v>
      </c>
      <c r="C7768" t="s">
        <v>105</v>
      </c>
      <c r="D7768">
        <v>1.39709524615917E-3</v>
      </c>
    </row>
    <row r="7769" spans="1:4" hidden="1" x14ac:dyDescent="0.3">
      <c r="A7769">
        <v>7767</v>
      </c>
      <c r="B7769" t="s">
        <v>10165</v>
      </c>
      <c r="C7769" t="s">
        <v>107</v>
      </c>
      <c r="D7769">
        <v>1.0367691143526E-2</v>
      </c>
    </row>
    <row r="7770" spans="1:4" hidden="1" x14ac:dyDescent="0.3">
      <c r="A7770">
        <v>7768</v>
      </c>
      <c r="B7770" s="1" t="s">
        <v>10166</v>
      </c>
      <c r="C7770" t="s">
        <v>109</v>
      </c>
      <c r="D7770" s="1" t="s">
        <v>10167</v>
      </c>
    </row>
    <row r="7771" spans="1:4" x14ac:dyDescent="0.3">
      <c r="A7771">
        <v>7769</v>
      </c>
      <c r="B7771" t="s">
        <v>10168</v>
      </c>
      <c r="C7771" t="s">
        <v>207</v>
      </c>
      <c r="D7771">
        <v>144251032.41918999</v>
      </c>
    </row>
    <row r="7772" spans="1:4" hidden="1" x14ac:dyDescent="0.3">
      <c r="A7772">
        <v>7770</v>
      </c>
      <c r="B7772" t="s">
        <v>10169</v>
      </c>
      <c r="C7772" t="s">
        <v>209</v>
      </c>
      <c r="D7772">
        <v>1284.48131921292</v>
      </c>
    </row>
    <row r="7773" spans="1:4" hidden="1" x14ac:dyDescent="0.3">
      <c r="A7773">
        <v>7771</v>
      </c>
      <c r="B7773" t="s">
        <v>10170</v>
      </c>
      <c r="C7773" t="s">
        <v>211</v>
      </c>
      <c r="D7773">
        <v>647.56406573909601</v>
      </c>
    </row>
    <row r="7774" spans="1:4" hidden="1" x14ac:dyDescent="0.3">
      <c r="A7774">
        <v>7772</v>
      </c>
      <c r="B7774" s="1" t="s">
        <v>10171</v>
      </c>
      <c r="C7774" t="s">
        <v>213</v>
      </c>
      <c r="D7774" s="1" t="s">
        <v>10172</v>
      </c>
    </row>
    <row r="7775" spans="1:4" hidden="1" x14ac:dyDescent="0.3">
      <c r="A7775">
        <v>7773</v>
      </c>
      <c r="B7775" t="s">
        <v>10173</v>
      </c>
      <c r="C7775" t="s">
        <v>216</v>
      </c>
      <c r="D7775">
        <v>77478388.9146391</v>
      </c>
    </row>
    <row r="7776" spans="1:4" hidden="1" x14ac:dyDescent="0.3">
      <c r="A7776">
        <v>7774</v>
      </c>
      <c r="B7776" t="s">
        <v>10174</v>
      </c>
      <c r="C7776" t="s">
        <v>218</v>
      </c>
      <c r="D7776">
        <v>39060295.998093702</v>
      </c>
    </row>
    <row r="7777" spans="1:4" hidden="1" x14ac:dyDescent="0.3">
      <c r="A7777">
        <v>7775</v>
      </c>
      <c r="B7777" t="s">
        <v>10175</v>
      </c>
      <c r="C7777" t="s">
        <v>220</v>
      </c>
      <c r="D7777">
        <v>27709956.069473699</v>
      </c>
    </row>
    <row r="7778" spans="1:4" hidden="1" x14ac:dyDescent="0.3">
      <c r="A7778">
        <v>7776</v>
      </c>
      <c r="B7778" s="1" t="s">
        <v>10176</v>
      </c>
      <c r="C7778" t="s">
        <v>222</v>
      </c>
      <c r="D7778" s="1" t="s">
        <v>10177</v>
      </c>
    </row>
    <row r="7779" spans="1:4" hidden="1" x14ac:dyDescent="0.3">
      <c r="A7779">
        <v>7777</v>
      </c>
      <c r="B7779" t="s">
        <v>10178</v>
      </c>
      <c r="C7779" t="s">
        <v>225</v>
      </c>
      <c r="D7779">
        <v>101168826.777385</v>
      </c>
    </row>
    <row r="7780" spans="1:4" hidden="1" x14ac:dyDescent="0.3">
      <c r="A7780">
        <v>7778</v>
      </c>
      <c r="B7780" t="s">
        <v>10179</v>
      </c>
      <c r="C7780" t="s">
        <v>227</v>
      </c>
      <c r="D7780">
        <v>1677.2350316345601</v>
      </c>
    </row>
    <row r="7781" spans="1:4" hidden="1" x14ac:dyDescent="0.3">
      <c r="A7781">
        <v>7779</v>
      </c>
      <c r="B7781" s="1" t="s">
        <v>10180</v>
      </c>
      <c r="C7781" t="s">
        <v>229</v>
      </c>
      <c r="D7781" s="1" t="s">
        <v>10181</v>
      </c>
    </row>
    <row r="7782" spans="1:4" hidden="1" x14ac:dyDescent="0.3">
      <c r="A7782">
        <v>7780</v>
      </c>
      <c r="B7782" t="s">
        <v>10182</v>
      </c>
      <c r="C7782" t="s">
        <v>112</v>
      </c>
      <c r="D7782">
        <v>-433.96585226988998</v>
      </c>
    </row>
    <row r="7783" spans="1:4" hidden="1" x14ac:dyDescent="0.3">
      <c r="A7783">
        <v>7781</v>
      </c>
      <c r="B7783" t="s">
        <v>10183</v>
      </c>
      <c r="C7783" t="s">
        <v>114</v>
      </c>
      <c r="D7783">
        <v>-86.598698856275604</v>
      </c>
    </row>
    <row r="7784" spans="1:4" hidden="1" x14ac:dyDescent="0.3">
      <c r="A7784">
        <v>7782</v>
      </c>
      <c r="B7784" s="1" t="s">
        <v>10184</v>
      </c>
      <c r="C7784" t="s">
        <v>116</v>
      </c>
      <c r="D7784" s="1" t="s">
        <v>10185</v>
      </c>
    </row>
    <row r="7785" spans="1:4" hidden="1" x14ac:dyDescent="0.3">
      <c r="A7785">
        <v>7783</v>
      </c>
      <c r="B7785" t="s">
        <v>10186</v>
      </c>
      <c r="C7785" t="s">
        <v>119</v>
      </c>
      <c r="D7785">
        <v>77478388.9146391</v>
      </c>
    </row>
    <row r="7786" spans="1:4" hidden="1" x14ac:dyDescent="0.3">
      <c r="A7786">
        <v>7784</v>
      </c>
      <c r="B7786" t="s">
        <v>10187</v>
      </c>
      <c r="C7786" t="s">
        <v>121</v>
      </c>
      <c r="D7786">
        <v>39060295.998093702</v>
      </c>
    </row>
    <row r="7787" spans="1:4" hidden="1" x14ac:dyDescent="0.3">
      <c r="A7787">
        <v>7785</v>
      </c>
      <c r="B7787" s="1" t="s">
        <v>10188</v>
      </c>
      <c r="C7787" t="s">
        <v>123</v>
      </c>
      <c r="D7787" s="1" t="s">
        <v>10189</v>
      </c>
    </row>
    <row r="7788" spans="1:4" hidden="1" x14ac:dyDescent="0.3">
      <c r="A7788">
        <v>7786</v>
      </c>
      <c r="B7788" t="s">
        <v>10190</v>
      </c>
      <c r="C7788" t="s">
        <v>126</v>
      </c>
      <c r="D7788">
        <v>0.76568675009937903</v>
      </c>
    </row>
    <row r="7789" spans="1:4" hidden="1" x14ac:dyDescent="0.3">
      <c r="A7789">
        <v>7787</v>
      </c>
      <c r="B7789" t="s">
        <v>10191</v>
      </c>
      <c r="C7789" t="s">
        <v>128</v>
      </c>
      <c r="D7789">
        <v>0.38601668826194702</v>
      </c>
    </row>
    <row r="7790" spans="1:4" hidden="1" x14ac:dyDescent="0.3">
      <c r="A7790">
        <v>7788</v>
      </c>
      <c r="B7790" s="1" t="s">
        <v>10192</v>
      </c>
      <c r="C7790" t="s">
        <v>130</v>
      </c>
      <c r="D7790" s="1" t="s">
        <v>10193</v>
      </c>
    </row>
    <row r="7791" spans="1:4" hidden="1" x14ac:dyDescent="0.3">
      <c r="A7791">
        <v>7789</v>
      </c>
      <c r="B7791" s="1" t="s">
        <v>10194</v>
      </c>
      <c r="C7791" t="s">
        <v>4</v>
      </c>
      <c r="D7791" t="s">
        <v>10195</v>
      </c>
    </row>
    <row r="7792" spans="1:4" hidden="1" x14ac:dyDescent="0.3">
      <c r="A7792">
        <v>7790</v>
      </c>
      <c r="B7792" t="s">
        <v>10196</v>
      </c>
      <c r="C7792" t="s">
        <v>7</v>
      </c>
      <c r="D7792">
        <v>1783.38</v>
      </c>
    </row>
    <row r="7793" spans="1:4" hidden="1" x14ac:dyDescent="0.3">
      <c r="A7793">
        <v>7791</v>
      </c>
      <c r="B7793" s="1" t="s">
        <v>10197</v>
      </c>
      <c r="C7793" t="s">
        <v>9</v>
      </c>
      <c r="D7793" s="1" t="s">
        <v>10198</v>
      </c>
    </row>
    <row r="7794" spans="1:4" hidden="1" x14ac:dyDescent="0.3">
      <c r="A7794">
        <v>7792</v>
      </c>
      <c r="B7794" t="s">
        <v>10199</v>
      </c>
      <c r="C7794" t="s">
        <v>14</v>
      </c>
      <c r="D7794">
        <v>97.171875</v>
      </c>
    </row>
    <row r="7795" spans="1:4" hidden="1" x14ac:dyDescent="0.3">
      <c r="A7795">
        <v>7793</v>
      </c>
      <c r="B7795" t="s">
        <v>10200</v>
      </c>
      <c r="C7795" t="s">
        <v>16</v>
      </c>
      <c r="D7795">
        <v>4.3785958015535202</v>
      </c>
    </row>
    <row r="7796" spans="1:4" hidden="1" x14ac:dyDescent="0.3">
      <c r="A7796">
        <v>7794</v>
      </c>
      <c r="B7796" s="1" t="s">
        <v>10201</v>
      </c>
      <c r="C7796" t="s">
        <v>140</v>
      </c>
      <c r="D7796" s="1" t="s">
        <v>10202</v>
      </c>
    </row>
    <row r="7797" spans="1:4" hidden="1" x14ac:dyDescent="0.3">
      <c r="A7797">
        <v>7795</v>
      </c>
      <c r="B7797" t="s">
        <v>10203</v>
      </c>
      <c r="C7797" t="s">
        <v>22</v>
      </c>
      <c r="D7797">
        <v>69</v>
      </c>
    </row>
    <row r="7798" spans="1:4" hidden="1" x14ac:dyDescent="0.3">
      <c r="A7798">
        <v>7796</v>
      </c>
      <c r="B7798" t="s">
        <v>10204</v>
      </c>
      <c r="C7798" t="s">
        <v>24</v>
      </c>
      <c r="D7798">
        <v>6.4875533548453097</v>
      </c>
    </row>
    <row r="7799" spans="1:4" hidden="1" x14ac:dyDescent="0.3">
      <c r="A7799">
        <v>7797</v>
      </c>
      <c r="B7799" s="1" t="s">
        <v>10205</v>
      </c>
      <c r="C7799" t="s">
        <v>145</v>
      </c>
      <c r="D7799" s="1" t="s">
        <v>10206</v>
      </c>
    </row>
    <row r="7800" spans="1:4" hidden="1" x14ac:dyDescent="0.3">
      <c r="A7800">
        <v>7798</v>
      </c>
      <c r="B7800" t="s">
        <v>10207</v>
      </c>
      <c r="C7800" t="s">
        <v>35</v>
      </c>
      <c r="D7800">
        <v>0.40899916867318098</v>
      </c>
    </row>
    <row r="7801" spans="1:4" hidden="1" x14ac:dyDescent="0.3">
      <c r="A7801">
        <v>7799</v>
      </c>
      <c r="B7801" t="s">
        <v>10208</v>
      </c>
      <c r="C7801" t="s">
        <v>149</v>
      </c>
      <c r="D7801">
        <v>0.74227862299273695</v>
      </c>
    </row>
    <row r="7802" spans="1:4" hidden="1" x14ac:dyDescent="0.3">
      <c r="A7802">
        <v>7800</v>
      </c>
      <c r="B7802" s="1" t="s">
        <v>10209</v>
      </c>
      <c r="C7802" t="s">
        <v>151</v>
      </c>
      <c r="D7802" s="1" t="s">
        <v>10210</v>
      </c>
    </row>
    <row r="7803" spans="1:4" hidden="1" x14ac:dyDescent="0.3">
      <c r="A7803">
        <v>7801</v>
      </c>
      <c r="B7803" t="s">
        <v>10211</v>
      </c>
      <c r="C7803" t="s">
        <v>30</v>
      </c>
      <c r="D7803">
        <v>0.23513417922541599</v>
      </c>
    </row>
    <row r="7804" spans="1:4" hidden="1" x14ac:dyDescent="0.3">
      <c r="A7804">
        <v>7802</v>
      </c>
      <c r="B7804" t="s">
        <v>10212</v>
      </c>
      <c r="C7804" t="s">
        <v>32</v>
      </c>
      <c r="D7804">
        <v>0.181440778961797</v>
      </c>
    </row>
    <row r="7805" spans="1:4" hidden="1" x14ac:dyDescent="0.3">
      <c r="A7805">
        <v>7803</v>
      </c>
      <c r="B7805" s="1" t="s">
        <v>10213</v>
      </c>
      <c r="C7805" t="s">
        <v>155</v>
      </c>
      <c r="D7805" s="1" t="s">
        <v>10214</v>
      </c>
    </row>
    <row r="7806" spans="1:4" hidden="1" x14ac:dyDescent="0.3">
      <c r="A7806">
        <v>7804</v>
      </c>
      <c r="B7806" t="s">
        <v>10215</v>
      </c>
      <c r="C7806" t="s">
        <v>40</v>
      </c>
      <c r="D7806">
        <v>0.355866652101401</v>
      </c>
    </row>
    <row r="7807" spans="1:4" hidden="1" x14ac:dyDescent="0.3">
      <c r="A7807">
        <v>7805</v>
      </c>
      <c r="B7807" t="s">
        <v>10216</v>
      </c>
      <c r="C7807" t="s">
        <v>42</v>
      </c>
      <c r="D7807">
        <v>0.165762237566113</v>
      </c>
    </row>
    <row r="7808" spans="1:4" hidden="1" x14ac:dyDescent="0.3">
      <c r="A7808">
        <v>7806</v>
      </c>
      <c r="B7808" s="1" t="s">
        <v>10217</v>
      </c>
      <c r="C7808" t="s">
        <v>159</v>
      </c>
      <c r="D7808" s="1" t="s">
        <v>10218</v>
      </c>
    </row>
    <row r="7809" spans="1:4" hidden="1" x14ac:dyDescent="0.3">
      <c r="A7809">
        <v>7807</v>
      </c>
      <c r="B7809" t="s">
        <v>10219</v>
      </c>
      <c r="C7809" t="s">
        <v>161</v>
      </c>
      <c r="D7809">
        <v>0.991366994457755</v>
      </c>
    </row>
    <row r="7810" spans="1:4" hidden="1" x14ac:dyDescent="0.3">
      <c r="A7810">
        <v>7808</v>
      </c>
      <c r="B7810" t="s">
        <v>10220</v>
      </c>
      <c r="C7810" t="s">
        <v>163</v>
      </c>
      <c r="D7810">
        <v>0.99986178472639398</v>
      </c>
    </row>
    <row r="7811" spans="1:4" hidden="1" x14ac:dyDescent="0.3">
      <c r="A7811">
        <v>7809</v>
      </c>
      <c r="B7811" s="1" t="s">
        <v>10221</v>
      </c>
      <c r="C7811" t="s">
        <v>165</v>
      </c>
      <c r="D7811" s="1" t="s">
        <v>10222</v>
      </c>
    </row>
    <row r="7812" spans="1:4" hidden="1" x14ac:dyDescent="0.3">
      <c r="A7812">
        <v>7810</v>
      </c>
      <c r="B7812" t="s">
        <v>10223</v>
      </c>
      <c r="C7812" t="s">
        <v>168</v>
      </c>
      <c r="D7812">
        <v>1.00052837663267</v>
      </c>
    </row>
    <row r="7813" spans="1:4" hidden="1" x14ac:dyDescent="0.3">
      <c r="A7813">
        <v>7811</v>
      </c>
      <c r="B7813" t="s">
        <v>10224</v>
      </c>
      <c r="C7813" t="s">
        <v>170</v>
      </c>
      <c r="D7813">
        <v>0.99961792668874405</v>
      </c>
    </row>
    <row r="7814" spans="1:4" hidden="1" x14ac:dyDescent="0.3">
      <c r="A7814">
        <v>7812</v>
      </c>
      <c r="B7814" s="1" t="s">
        <v>10225</v>
      </c>
      <c r="C7814" t="s">
        <v>172</v>
      </c>
      <c r="D7814" s="1" t="s">
        <v>10226</v>
      </c>
    </row>
    <row r="7815" spans="1:4" hidden="1" x14ac:dyDescent="0.3">
      <c r="A7815">
        <v>7813</v>
      </c>
      <c r="B7815" s="1" t="s">
        <v>10227</v>
      </c>
      <c r="C7815" t="s">
        <v>55</v>
      </c>
      <c r="D7815" s="1" t="s">
        <v>10228</v>
      </c>
    </row>
    <row r="7816" spans="1:4" hidden="1" x14ac:dyDescent="0.3">
      <c r="A7816">
        <v>7814</v>
      </c>
      <c r="B7816" s="1" t="s">
        <v>10229</v>
      </c>
      <c r="C7816" t="s">
        <v>52</v>
      </c>
      <c r="D7816" s="1" t="s">
        <v>10230</v>
      </c>
    </row>
    <row r="7817" spans="1:4" hidden="1" x14ac:dyDescent="0.3">
      <c r="A7817">
        <v>7815</v>
      </c>
      <c r="B7817" s="1" t="s">
        <v>10231</v>
      </c>
      <c r="C7817" t="s">
        <v>58</v>
      </c>
      <c r="D7817" s="1" t="s">
        <v>10232</v>
      </c>
    </row>
    <row r="7818" spans="1:4" hidden="1" x14ac:dyDescent="0.3">
      <c r="A7818">
        <v>7816</v>
      </c>
      <c r="B7818" t="s">
        <v>10233</v>
      </c>
      <c r="C7818" t="s">
        <v>61</v>
      </c>
      <c r="D7818">
        <v>143403908.748772</v>
      </c>
    </row>
    <row r="7819" spans="1:4" hidden="1" x14ac:dyDescent="0.3">
      <c r="A7819">
        <v>7817</v>
      </c>
      <c r="B7819" t="s">
        <v>10234</v>
      </c>
      <c r="C7819" t="s">
        <v>63</v>
      </c>
      <c r="D7819">
        <v>76809517.553734794</v>
      </c>
    </row>
    <row r="7820" spans="1:4" hidden="1" x14ac:dyDescent="0.3">
      <c r="A7820">
        <v>7818</v>
      </c>
      <c r="B7820" t="s">
        <v>10235</v>
      </c>
      <c r="C7820" t="s">
        <v>65</v>
      </c>
      <c r="D7820">
        <v>39054897.268595196</v>
      </c>
    </row>
    <row r="7821" spans="1:4" hidden="1" x14ac:dyDescent="0.3">
      <c r="A7821">
        <v>7819</v>
      </c>
      <c r="B7821" s="1" t="s">
        <v>10236</v>
      </c>
      <c r="C7821" t="s">
        <v>67</v>
      </c>
      <c r="D7821" s="1" t="s">
        <v>10237</v>
      </c>
    </row>
    <row r="7822" spans="1:4" hidden="1" x14ac:dyDescent="0.3">
      <c r="A7822">
        <v>7820</v>
      </c>
      <c r="B7822" s="1" t="s">
        <v>10238</v>
      </c>
      <c r="C7822" t="s">
        <v>70</v>
      </c>
      <c r="D7822" s="1" t="s">
        <v>10239</v>
      </c>
    </row>
    <row r="7823" spans="1:4" hidden="1" x14ac:dyDescent="0.3">
      <c r="A7823">
        <v>7821</v>
      </c>
      <c r="B7823" t="s">
        <v>10240</v>
      </c>
      <c r="C7823" t="s">
        <v>73</v>
      </c>
      <c r="D7823">
        <v>1.0001905246121301</v>
      </c>
    </row>
    <row r="7824" spans="1:4" hidden="1" x14ac:dyDescent="0.3">
      <c r="A7824">
        <v>7822</v>
      </c>
      <c r="B7824" t="s">
        <v>74</v>
      </c>
      <c r="C7824" t="s">
        <v>75</v>
      </c>
      <c r="D7824">
        <v>2.7397260273972599E-3</v>
      </c>
    </row>
    <row r="7825" spans="1:4" hidden="1" x14ac:dyDescent="0.3">
      <c r="A7825">
        <v>7823</v>
      </c>
      <c r="B7825" t="s">
        <v>76</v>
      </c>
      <c r="C7825" t="s">
        <v>77</v>
      </c>
      <c r="D7825">
        <v>0</v>
      </c>
    </row>
    <row r="7826" spans="1:4" hidden="1" x14ac:dyDescent="0.3">
      <c r="A7826">
        <v>7824</v>
      </c>
      <c r="B7826" t="s">
        <v>78</v>
      </c>
      <c r="C7826" t="s">
        <v>79</v>
      </c>
      <c r="D7826">
        <v>0</v>
      </c>
    </row>
    <row r="7827" spans="1:4" hidden="1" x14ac:dyDescent="0.3">
      <c r="A7827">
        <v>7825</v>
      </c>
      <c r="B7827" s="1" t="s">
        <v>10241</v>
      </c>
      <c r="C7827" t="s">
        <v>81</v>
      </c>
      <c r="D7827" s="1" t="s">
        <v>10242</v>
      </c>
    </row>
    <row r="7828" spans="1:4" hidden="1" x14ac:dyDescent="0.3">
      <c r="A7828">
        <v>7826</v>
      </c>
      <c r="B7828" t="s">
        <v>10243</v>
      </c>
      <c r="C7828" t="s">
        <v>84</v>
      </c>
      <c r="D7828">
        <v>1.0002164637081301</v>
      </c>
    </row>
    <row r="7829" spans="1:4" hidden="1" x14ac:dyDescent="0.3">
      <c r="A7829">
        <v>7827</v>
      </c>
      <c r="B7829" s="1" t="s">
        <v>10244</v>
      </c>
      <c r="C7829" t="s">
        <v>86</v>
      </c>
      <c r="D7829" s="1" t="s">
        <v>10245</v>
      </c>
    </row>
    <row r="7830" spans="1:4" hidden="1" x14ac:dyDescent="0.3">
      <c r="A7830">
        <v>7828</v>
      </c>
      <c r="B7830" t="s">
        <v>10246</v>
      </c>
      <c r="C7830" t="s">
        <v>89</v>
      </c>
      <c r="D7830">
        <v>101167880.308938</v>
      </c>
    </row>
    <row r="7831" spans="1:4" hidden="1" x14ac:dyDescent="0.3">
      <c r="A7831">
        <v>7829</v>
      </c>
      <c r="B7831" s="1" t="s">
        <v>10247</v>
      </c>
      <c r="C7831" t="s">
        <v>91</v>
      </c>
      <c r="D7831" s="1" t="s">
        <v>10181</v>
      </c>
    </row>
    <row r="7832" spans="1:4" hidden="1" x14ac:dyDescent="0.3">
      <c r="A7832">
        <v>7830</v>
      </c>
      <c r="B7832" t="s">
        <v>10248</v>
      </c>
      <c r="C7832" t="s">
        <v>94</v>
      </c>
      <c r="D7832">
        <v>76809517.553734794</v>
      </c>
    </row>
    <row r="7833" spans="1:4" hidden="1" x14ac:dyDescent="0.3">
      <c r="A7833">
        <v>7831</v>
      </c>
      <c r="B7833" t="s">
        <v>10249</v>
      </c>
      <c r="C7833" t="s">
        <v>96</v>
      </c>
      <c r="D7833">
        <v>39054897.268595196</v>
      </c>
    </row>
    <row r="7834" spans="1:4" hidden="1" x14ac:dyDescent="0.3">
      <c r="A7834">
        <v>7832</v>
      </c>
      <c r="B7834" t="s">
        <v>10250</v>
      </c>
      <c r="C7834" t="s">
        <v>98</v>
      </c>
      <c r="D7834">
        <v>27539493.926442102</v>
      </c>
    </row>
    <row r="7835" spans="1:4" hidden="1" x14ac:dyDescent="0.3">
      <c r="A7835">
        <v>7833</v>
      </c>
      <c r="B7835" s="1" t="s">
        <v>10251</v>
      </c>
      <c r="C7835" t="s">
        <v>100</v>
      </c>
      <c r="D7835" s="1" t="s">
        <v>10252</v>
      </c>
    </row>
    <row r="7836" spans="1:4" hidden="1" x14ac:dyDescent="0.3">
      <c r="A7836">
        <v>7834</v>
      </c>
      <c r="B7836" t="s">
        <v>10253</v>
      </c>
      <c r="C7836" t="s">
        <v>103</v>
      </c>
      <c r="D7836">
        <v>8.3300154175517099E-3</v>
      </c>
    </row>
    <row r="7837" spans="1:4" hidden="1" x14ac:dyDescent="0.3">
      <c r="A7837">
        <v>7835</v>
      </c>
      <c r="B7837" t="s">
        <v>10254</v>
      </c>
      <c r="C7837" t="s">
        <v>105</v>
      </c>
      <c r="D7837">
        <v>1.3970871931536101E-3</v>
      </c>
    </row>
    <row r="7838" spans="1:4" hidden="1" x14ac:dyDescent="0.3">
      <c r="A7838">
        <v>7836</v>
      </c>
      <c r="B7838" t="s">
        <v>10255</v>
      </c>
      <c r="C7838" t="s">
        <v>107</v>
      </c>
      <c r="D7838">
        <v>1.0366705714088299E-2</v>
      </c>
    </row>
    <row r="7839" spans="1:4" hidden="1" x14ac:dyDescent="0.3">
      <c r="A7839">
        <v>7837</v>
      </c>
      <c r="B7839" s="1" t="s">
        <v>10256</v>
      </c>
      <c r="C7839" t="s">
        <v>109</v>
      </c>
      <c r="D7839" s="1" t="s">
        <v>10257</v>
      </c>
    </row>
    <row r="7840" spans="1:4" x14ac:dyDescent="0.3">
      <c r="A7840">
        <v>7838</v>
      </c>
      <c r="B7840" t="s">
        <v>10258</v>
      </c>
      <c r="C7840" t="s">
        <v>207</v>
      </c>
      <c r="D7840">
        <v>143404820.70905799</v>
      </c>
    </row>
    <row r="7841" spans="1:4" hidden="1" x14ac:dyDescent="0.3">
      <c r="A7841">
        <v>7839</v>
      </c>
      <c r="B7841" t="s">
        <v>10259</v>
      </c>
      <c r="C7841" t="s">
        <v>209</v>
      </c>
      <c r="D7841">
        <v>-1992.0081525063999</v>
      </c>
    </row>
    <row r="7842" spans="1:4" hidden="1" x14ac:dyDescent="0.3">
      <c r="A7842">
        <v>7840</v>
      </c>
      <c r="B7842" t="s">
        <v>10260</v>
      </c>
      <c r="C7842" t="s">
        <v>211</v>
      </c>
      <c r="D7842">
        <v>-1012.85933221834</v>
      </c>
    </row>
    <row r="7843" spans="1:4" hidden="1" x14ac:dyDescent="0.3">
      <c r="A7843">
        <v>7841</v>
      </c>
      <c r="B7843" s="1" t="s">
        <v>10261</v>
      </c>
      <c r="C7843" t="s">
        <v>213</v>
      </c>
      <c r="D7843" s="1" t="s">
        <v>10262</v>
      </c>
    </row>
    <row r="7844" spans="1:4" hidden="1" x14ac:dyDescent="0.3">
      <c r="A7844">
        <v>7842</v>
      </c>
      <c r="B7844" t="s">
        <v>10263</v>
      </c>
      <c r="C7844" t="s">
        <v>216</v>
      </c>
      <c r="D7844">
        <v>76812212.3453601</v>
      </c>
    </row>
    <row r="7845" spans="1:4" hidden="1" x14ac:dyDescent="0.3">
      <c r="A7845">
        <v>7843</v>
      </c>
      <c r="B7845" t="s">
        <v>10264</v>
      </c>
      <c r="C7845" t="s">
        <v>218</v>
      </c>
      <c r="D7845">
        <v>39056048.040990598</v>
      </c>
    </row>
    <row r="7846" spans="1:4" hidden="1" x14ac:dyDescent="0.3">
      <c r="A7846">
        <v>7844</v>
      </c>
      <c r="B7846" t="s">
        <v>10265</v>
      </c>
      <c r="C7846" t="s">
        <v>220</v>
      </c>
      <c r="D7846">
        <v>27540279.4055424</v>
      </c>
    </row>
    <row r="7847" spans="1:4" hidden="1" x14ac:dyDescent="0.3">
      <c r="A7847">
        <v>7845</v>
      </c>
      <c r="B7847" s="1" t="s">
        <v>10266</v>
      </c>
      <c r="C7847" t="s">
        <v>222</v>
      </c>
      <c r="D7847" s="1" t="s">
        <v>10267</v>
      </c>
    </row>
    <row r="7848" spans="1:4" hidden="1" x14ac:dyDescent="0.3">
      <c r="A7848">
        <v>7846</v>
      </c>
      <c r="B7848" t="s">
        <v>10268</v>
      </c>
      <c r="C7848" t="s">
        <v>225</v>
      </c>
      <c r="D7848">
        <v>101170504.012417</v>
      </c>
    </row>
    <row r="7849" spans="1:4" hidden="1" x14ac:dyDescent="0.3">
      <c r="A7849">
        <v>7847</v>
      </c>
      <c r="B7849" t="s">
        <v>10269</v>
      </c>
      <c r="C7849" t="s">
        <v>227</v>
      </c>
      <c r="D7849">
        <v>-2623.7034793347102</v>
      </c>
    </row>
    <row r="7850" spans="1:4" hidden="1" x14ac:dyDescent="0.3">
      <c r="A7850">
        <v>7848</v>
      </c>
      <c r="B7850" s="1" t="s">
        <v>10270</v>
      </c>
      <c r="C7850" t="s">
        <v>229</v>
      </c>
      <c r="D7850" s="1" t="s">
        <v>10271</v>
      </c>
    </row>
    <row r="7851" spans="1:4" hidden="1" x14ac:dyDescent="0.3">
      <c r="A7851">
        <v>7849</v>
      </c>
      <c r="B7851" t="s">
        <v>10272</v>
      </c>
      <c r="C7851" t="s">
        <v>112</v>
      </c>
      <c r="D7851">
        <v>702.78347277746104</v>
      </c>
    </row>
    <row r="7852" spans="1:4" hidden="1" x14ac:dyDescent="0.3">
      <c r="A7852">
        <v>7850</v>
      </c>
      <c r="B7852" t="s">
        <v>10273</v>
      </c>
      <c r="C7852" t="s">
        <v>114</v>
      </c>
      <c r="D7852">
        <v>137.913063171734</v>
      </c>
    </row>
    <row r="7853" spans="1:4" hidden="1" x14ac:dyDescent="0.3">
      <c r="A7853">
        <v>7851</v>
      </c>
      <c r="B7853" s="1" t="s">
        <v>10274</v>
      </c>
      <c r="C7853" t="s">
        <v>116</v>
      </c>
      <c r="D7853" s="1" t="s">
        <v>10275</v>
      </c>
    </row>
    <row r="7854" spans="1:4" hidden="1" x14ac:dyDescent="0.3">
      <c r="A7854">
        <v>7852</v>
      </c>
      <c r="B7854" t="s">
        <v>10276</v>
      </c>
      <c r="C7854" t="s">
        <v>119</v>
      </c>
      <c r="D7854">
        <v>76812212.3453601</v>
      </c>
    </row>
    <row r="7855" spans="1:4" hidden="1" x14ac:dyDescent="0.3">
      <c r="A7855">
        <v>7853</v>
      </c>
      <c r="B7855" t="s">
        <v>10277</v>
      </c>
      <c r="C7855" t="s">
        <v>121</v>
      </c>
      <c r="D7855">
        <v>39056048.040990598</v>
      </c>
    </row>
    <row r="7856" spans="1:4" hidden="1" x14ac:dyDescent="0.3">
      <c r="A7856">
        <v>7854</v>
      </c>
      <c r="B7856" s="1" t="s">
        <v>10278</v>
      </c>
      <c r="C7856" t="s">
        <v>123</v>
      </c>
      <c r="D7856" s="1" t="s">
        <v>10279</v>
      </c>
    </row>
    <row r="7857" spans="1:4" hidden="1" x14ac:dyDescent="0.3">
      <c r="A7857">
        <v>7855</v>
      </c>
      <c r="B7857" t="s">
        <v>10280</v>
      </c>
      <c r="C7857" t="s">
        <v>126</v>
      </c>
      <c r="D7857">
        <v>0.75907093314466101</v>
      </c>
    </row>
    <row r="7858" spans="1:4" hidden="1" x14ac:dyDescent="0.3">
      <c r="A7858">
        <v>7856</v>
      </c>
      <c r="B7858" t="s">
        <v>10281</v>
      </c>
      <c r="C7858" t="s">
        <v>128</v>
      </c>
      <c r="D7858">
        <v>0.38595829915850999</v>
      </c>
    </row>
    <row r="7859" spans="1:4" hidden="1" x14ac:dyDescent="0.3">
      <c r="A7859">
        <v>7857</v>
      </c>
      <c r="B7859" s="1" t="s">
        <v>10282</v>
      </c>
      <c r="C7859" t="s">
        <v>130</v>
      </c>
      <c r="D7859" s="1" t="s">
        <v>10283</v>
      </c>
    </row>
    <row r="7860" spans="1:4" hidden="1" x14ac:dyDescent="0.3">
      <c r="A7860">
        <v>7858</v>
      </c>
      <c r="B7860" s="1" t="s">
        <v>10284</v>
      </c>
      <c r="C7860" t="s">
        <v>4</v>
      </c>
      <c r="D7860" t="s">
        <v>10285</v>
      </c>
    </row>
    <row r="7861" spans="1:4" hidden="1" x14ac:dyDescent="0.3">
      <c r="A7861">
        <v>7859</v>
      </c>
      <c r="B7861" t="s">
        <v>10286</v>
      </c>
      <c r="C7861" t="s">
        <v>7</v>
      </c>
      <c r="D7861">
        <v>1793.28</v>
      </c>
    </row>
    <row r="7862" spans="1:4" hidden="1" x14ac:dyDescent="0.3">
      <c r="A7862">
        <v>7860</v>
      </c>
      <c r="B7862" s="1" t="s">
        <v>10287</v>
      </c>
      <c r="C7862" t="s">
        <v>9</v>
      </c>
      <c r="D7862" s="1" t="s">
        <v>10288</v>
      </c>
    </row>
    <row r="7863" spans="1:4" hidden="1" x14ac:dyDescent="0.3">
      <c r="A7863">
        <v>7861</v>
      </c>
      <c r="B7863" t="s">
        <v>10289</v>
      </c>
      <c r="C7863" t="s">
        <v>14</v>
      </c>
      <c r="D7863">
        <v>97.203125</v>
      </c>
    </row>
    <row r="7864" spans="1:4" hidden="1" x14ac:dyDescent="0.3">
      <c r="A7864">
        <v>7862</v>
      </c>
      <c r="B7864" t="s">
        <v>10290</v>
      </c>
      <c r="C7864" t="s">
        <v>16</v>
      </c>
      <c r="D7864">
        <v>4.3762048197705399</v>
      </c>
    </row>
    <row r="7865" spans="1:4" hidden="1" x14ac:dyDescent="0.3">
      <c r="A7865">
        <v>7863</v>
      </c>
      <c r="B7865" s="1" t="s">
        <v>10291</v>
      </c>
      <c r="C7865" t="s">
        <v>140</v>
      </c>
      <c r="D7865" s="1" t="s">
        <v>10292</v>
      </c>
    </row>
    <row r="7866" spans="1:4" hidden="1" x14ac:dyDescent="0.3">
      <c r="A7866">
        <v>7864</v>
      </c>
      <c r="B7866" t="s">
        <v>10293</v>
      </c>
      <c r="C7866" t="s">
        <v>22</v>
      </c>
      <c r="D7866">
        <v>68.650000000000006</v>
      </c>
    </row>
    <row r="7867" spans="1:4" hidden="1" x14ac:dyDescent="0.3">
      <c r="A7867">
        <v>7865</v>
      </c>
      <c r="B7867" t="s">
        <v>10294</v>
      </c>
      <c r="C7867" t="s">
        <v>24</v>
      </c>
      <c r="D7867">
        <v>6.4808193437870001</v>
      </c>
    </row>
    <row r="7868" spans="1:4" hidden="1" x14ac:dyDescent="0.3">
      <c r="A7868">
        <v>7866</v>
      </c>
      <c r="B7868" s="1" t="s">
        <v>10295</v>
      </c>
      <c r="C7868" t="s">
        <v>145</v>
      </c>
      <c r="D7868" s="1" t="s">
        <v>10296</v>
      </c>
    </row>
    <row r="7869" spans="1:4" hidden="1" x14ac:dyDescent="0.3">
      <c r="A7869">
        <v>7867</v>
      </c>
      <c r="B7869" t="s">
        <v>10297</v>
      </c>
      <c r="C7869" t="s">
        <v>35</v>
      </c>
      <c r="D7869">
        <v>-0.39194843261489398</v>
      </c>
    </row>
    <row r="7870" spans="1:4" hidden="1" x14ac:dyDescent="0.3">
      <c r="A7870">
        <v>7868</v>
      </c>
      <c r="B7870" t="s">
        <v>10298</v>
      </c>
      <c r="C7870" t="s">
        <v>149</v>
      </c>
      <c r="D7870">
        <v>0.74271303824044299</v>
      </c>
    </row>
    <row r="7871" spans="1:4" hidden="1" x14ac:dyDescent="0.3">
      <c r="A7871">
        <v>7869</v>
      </c>
      <c r="B7871" s="1" t="s">
        <v>10299</v>
      </c>
      <c r="C7871" t="s">
        <v>151</v>
      </c>
      <c r="D7871" s="1" t="s">
        <v>10300</v>
      </c>
    </row>
    <row r="7872" spans="1:4" hidden="1" x14ac:dyDescent="0.3">
      <c r="A7872">
        <v>7870</v>
      </c>
      <c r="B7872" t="s">
        <v>10301</v>
      </c>
      <c r="C7872" t="s">
        <v>30</v>
      </c>
      <c r="D7872">
        <v>0.54356965732190499</v>
      </c>
    </row>
    <row r="7873" spans="1:4" hidden="1" x14ac:dyDescent="0.3">
      <c r="A7873">
        <v>7871</v>
      </c>
      <c r="B7873" t="s">
        <v>10302</v>
      </c>
      <c r="C7873" t="s">
        <v>32</v>
      </c>
      <c r="D7873">
        <v>0.18187300938401099</v>
      </c>
    </row>
    <row r="7874" spans="1:4" hidden="1" x14ac:dyDescent="0.3">
      <c r="A7874">
        <v>7872</v>
      </c>
      <c r="B7874" s="1" t="s">
        <v>10303</v>
      </c>
      <c r="C7874" t="s">
        <v>155</v>
      </c>
      <c r="D7874" s="1" t="s">
        <v>10304</v>
      </c>
    </row>
    <row r="7875" spans="1:4" hidden="1" x14ac:dyDescent="0.3">
      <c r="A7875">
        <v>7873</v>
      </c>
      <c r="B7875" t="s">
        <v>10305</v>
      </c>
      <c r="C7875" t="s">
        <v>40</v>
      </c>
      <c r="D7875">
        <v>0.848378775292988</v>
      </c>
    </row>
    <row r="7876" spans="1:4" hidden="1" x14ac:dyDescent="0.3">
      <c r="A7876">
        <v>7874</v>
      </c>
      <c r="B7876" t="s">
        <v>10306</v>
      </c>
      <c r="C7876" t="s">
        <v>42</v>
      </c>
      <c r="D7876">
        <v>0.16454202376135199</v>
      </c>
    </row>
    <row r="7877" spans="1:4" hidden="1" x14ac:dyDescent="0.3">
      <c r="A7877">
        <v>7875</v>
      </c>
      <c r="B7877" s="1" t="s">
        <v>10307</v>
      </c>
      <c r="C7877" t="s">
        <v>159</v>
      </c>
      <c r="D7877" s="1" t="s">
        <v>10308</v>
      </c>
    </row>
    <row r="7878" spans="1:4" hidden="1" x14ac:dyDescent="0.3">
      <c r="A7878">
        <v>7876</v>
      </c>
      <c r="B7878" t="s">
        <v>10309</v>
      </c>
      <c r="C7878" t="s">
        <v>161</v>
      </c>
      <c r="D7878">
        <v>1.0055512566026299</v>
      </c>
    </row>
    <row r="7879" spans="1:4" hidden="1" x14ac:dyDescent="0.3">
      <c r="A7879">
        <v>7877</v>
      </c>
      <c r="B7879" t="s">
        <v>10310</v>
      </c>
      <c r="C7879" t="s">
        <v>163</v>
      </c>
      <c r="D7879">
        <v>1.00028418399234</v>
      </c>
    </row>
    <row r="7880" spans="1:4" hidden="1" x14ac:dyDescent="0.3">
      <c r="A7880">
        <v>7878</v>
      </c>
      <c r="B7880" s="1" t="s">
        <v>10311</v>
      </c>
      <c r="C7880" t="s">
        <v>165</v>
      </c>
      <c r="D7880" s="1" t="s">
        <v>10312</v>
      </c>
    </row>
    <row r="7881" spans="1:4" hidden="1" x14ac:dyDescent="0.3">
      <c r="A7881">
        <v>7879</v>
      </c>
      <c r="B7881" t="s">
        <v>10313</v>
      </c>
      <c r="C7881" t="s">
        <v>168</v>
      </c>
      <c r="D7881">
        <v>1.0002493374147901</v>
      </c>
    </row>
    <row r="7882" spans="1:4" hidden="1" x14ac:dyDescent="0.3">
      <c r="A7882">
        <v>7880</v>
      </c>
      <c r="B7882" t="s">
        <v>10314</v>
      </c>
      <c r="C7882" t="s">
        <v>170</v>
      </c>
      <c r="D7882">
        <v>1.00036585026512</v>
      </c>
    </row>
    <row r="7883" spans="1:4" hidden="1" x14ac:dyDescent="0.3">
      <c r="A7883">
        <v>7881</v>
      </c>
      <c r="B7883" s="1" t="s">
        <v>10315</v>
      </c>
      <c r="C7883" t="s">
        <v>172</v>
      </c>
      <c r="D7883" s="1" t="s">
        <v>10316</v>
      </c>
    </row>
    <row r="7884" spans="1:4" hidden="1" x14ac:dyDescent="0.3">
      <c r="A7884">
        <v>7882</v>
      </c>
      <c r="B7884" s="1" t="s">
        <v>10317</v>
      </c>
      <c r="C7884" t="s">
        <v>55</v>
      </c>
      <c r="D7884" s="1" t="s">
        <v>10318</v>
      </c>
    </row>
    <row r="7885" spans="1:4" hidden="1" x14ac:dyDescent="0.3">
      <c r="A7885">
        <v>7883</v>
      </c>
      <c r="B7885" s="1" t="s">
        <v>10319</v>
      </c>
      <c r="C7885" t="s">
        <v>52</v>
      </c>
      <c r="D7885" s="1" t="s">
        <v>10320</v>
      </c>
    </row>
    <row r="7886" spans="1:4" hidden="1" x14ac:dyDescent="0.3">
      <c r="A7886">
        <v>7884</v>
      </c>
      <c r="B7886" s="1" t="s">
        <v>10321</v>
      </c>
      <c r="C7886" t="s">
        <v>58</v>
      </c>
      <c r="D7886" s="1" t="s">
        <v>10322</v>
      </c>
    </row>
    <row r="7887" spans="1:4" hidden="1" x14ac:dyDescent="0.3">
      <c r="A7887">
        <v>7885</v>
      </c>
      <c r="B7887" t="s">
        <v>10323</v>
      </c>
      <c r="C7887" t="s">
        <v>61</v>
      </c>
      <c r="D7887">
        <v>143715895.19326299</v>
      </c>
    </row>
    <row r="7888" spans="1:4" hidden="1" x14ac:dyDescent="0.3">
      <c r="A7888">
        <v>7886</v>
      </c>
      <c r="B7888" t="s">
        <v>10324</v>
      </c>
      <c r="C7888" t="s">
        <v>63</v>
      </c>
      <c r="D7888">
        <v>77238616.646304995</v>
      </c>
    </row>
    <row r="7889" spans="1:4" hidden="1" x14ac:dyDescent="0.3">
      <c r="A7889">
        <v>7887</v>
      </c>
      <c r="B7889" t="s">
        <v>10325</v>
      </c>
      <c r="C7889" t="s">
        <v>65</v>
      </c>
      <c r="D7889">
        <v>39067147.144648202</v>
      </c>
    </row>
    <row r="7890" spans="1:4" hidden="1" x14ac:dyDescent="0.3">
      <c r="A7890">
        <v>7888</v>
      </c>
      <c r="B7890" s="1" t="s">
        <v>10326</v>
      </c>
      <c r="C7890" t="s">
        <v>67</v>
      </c>
      <c r="D7890" s="1" t="s">
        <v>10327</v>
      </c>
    </row>
    <row r="7891" spans="1:4" hidden="1" x14ac:dyDescent="0.3">
      <c r="A7891">
        <v>7889</v>
      </c>
      <c r="B7891" s="1" t="s">
        <v>10328</v>
      </c>
      <c r="C7891" t="s">
        <v>70</v>
      </c>
      <c r="D7891" s="1" t="s">
        <v>10329</v>
      </c>
    </row>
    <row r="7892" spans="1:4" hidden="1" x14ac:dyDescent="0.3">
      <c r="A7892">
        <v>7890</v>
      </c>
      <c r="B7892" t="s">
        <v>10330</v>
      </c>
      <c r="C7892" t="s">
        <v>73</v>
      </c>
      <c r="D7892">
        <v>1.0002164637081301</v>
      </c>
    </row>
    <row r="7893" spans="1:4" hidden="1" x14ac:dyDescent="0.3">
      <c r="A7893">
        <v>7891</v>
      </c>
      <c r="B7893" t="s">
        <v>74</v>
      </c>
      <c r="C7893" t="s">
        <v>75</v>
      </c>
      <c r="D7893">
        <v>2.7397260273972599E-3</v>
      </c>
    </row>
    <row r="7894" spans="1:4" hidden="1" x14ac:dyDescent="0.3">
      <c r="A7894">
        <v>7892</v>
      </c>
      <c r="B7894" t="s">
        <v>76</v>
      </c>
      <c r="C7894" t="s">
        <v>77</v>
      </c>
      <c r="D7894">
        <v>0</v>
      </c>
    </row>
    <row r="7895" spans="1:4" hidden="1" x14ac:dyDescent="0.3">
      <c r="A7895">
        <v>7893</v>
      </c>
      <c r="B7895" t="s">
        <v>78</v>
      </c>
      <c r="C7895" t="s">
        <v>79</v>
      </c>
      <c r="D7895">
        <v>0</v>
      </c>
    </row>
    <row r="7896" spans="1:4" hidden="1" x14ac:dyDescent="0.3">
      <c r="A7896">
        <v>7894</v>
      </c>
      <c r="B7896" s="1" t="s">
        <v>10331</v>
      </c>
      <c r="C7896" t="s">
        <v>81</v>
      </c>
      <c r="D7896" s="1" t="s">
        <v>10332</v>
      </c>
    </row>
    <row r="7897" spans="1:4" hidden="1" x14ac:dyDescent="0.3">
      <c r="A7897">
        <v>7895</v>
      </c>
      <c r="B7897" t="s">
        <v>10333</v>
      </c>
      <c r="C7897" t="s">
        <v>84</v>
      </c>
      <c r="D7897">
        <v>1.00023326656249</v>
      </c>
    </row>
    <row r="7898" spans="1:4" hidden="1" x14ac:dyDescent="0.3">
      <c r="A7898">
        <v>7896</v>
      </c>
      <c r="B7898" s="1" t="s">
        <v>10334</v>
      </c>
      <c r="C7898" t="s">
        <v>86</v>
      </c>
      <c r="D7898" s="1" t="s">
        <v>10335</v>
      </c>
    </row>
    <row r="7899" spans="1:4" hidden="1" x14ac:dyDescent="0.3">
      <c r="A7899">
        <v>7897</v>
      </c>
      <c r="B7899" t="s">
        <v>10336</v>
      </c>
      <c r="C7899" t="s">
        <v>89</v>
      </c>
      <c r="D7899">
        <v>101166180.79621799</v>
      </c>
    </row>
    <row r="7900" spans="1:4" hidden="1" x14ac:dyDescent="0.3">
      <c r="A7900">
        <v>7898</v>
      </c>
      <c r="B7900" s="1" t="s">
        <v>10337</v>
      </c>
      <c r="C7900" t="s">
        <v>91</v>
      </c>
      <c r="D7900" s="1" t="s">
        <v>10271</v>
      </c>
    </row>
    <row r="7901" spans="1:4" hidden="1" x14ac:dyDescent="0.3">
      <c r="A7901">
        <v>7899</v>
      </c>
      <c r="B7901" t="s">
        <v>10338</v>
      </c>
      <c r="C7901" t="s">
        <v>94</v>
      </c>
      <c r="D7901">
        <v>77238616.646304995</v>
      </c>
    </row>
    <row r="7902" spans="1:4" hidden="1" x14ac:dyDescent="0.3">
      <c r="A7902">
        <v>7900</v>
      </c>
      <c r="B7902" t="s">
        <v>10339</v>
      </c>
      <c r="C7902" t="s">
        <v>96</v>
      </c>
      <c r="D7902">
        <v>39067147.144648202</v>
      </c>
    </row>
    <row r="7903" spans="1:4" hidden="1" x14ac:dyDescent="0.3">
      <c r="A7903">
        <v>7901</v>
      </c>
      <c r="B7903" t="s">
        <v>10340</v>
      </c>
      <c r="C7903" t="s">
        <v>98</v>
      </c>
      <c r="D7903">
        <v>27410131.402310401</v>
      </c>
    </row>
    <row r="7904" spans="1:4" hidden="1" x14ac:dyDescent="0.3">
      <c r="A7904">
        <v>7902</v>
      </c>
      <c r="B7904" s="1" t="s">
        <v>10341</v>
      </c>
      <c r="C7904" t="s">
        <v>100</v>
      </c>
      <c r="D7904" s="1" t="s">
        <v>10342</v>
      </c>
    </row>
    <row r="7905" spans="1:4" hidden="1" x14ac:dyDescent="0.3">
      <c r="A7905">
        <v>7903</v>
      </c>
      <c r="B7905" t="s">
        <v>10343</v>
      </c>
      <c r="C7905" t="s">
        <v>103</v>
      </c>
      <c r="D7905">
        <v>8.3556644904124698E-3</v>
      </c>
    </row>
    <row r="7906" spans="1:4" hidden="1" x14ac:dyDescent="0.3">
      <c r="A7906">
        <v>7904</v>
      </c>
      <c r="B7906" t="s">
        <v>10344</v>
      </c>
      <c r="C7906" t="s">
        <v>105</v>
      </c>
      <c r="D7906">
        <v>1.39631007863653E-3</v>
      </c>
    </row>
    <row r="7907" spans="1:4" hidden="1" x14ac:dyDescent="0.3">
      <c r="A7907">
        <v>7905</v>
      </c>
      <c r="B7907" t="s">
        <v>10345</v>
      </c>
      <c r="C7907" t="s">
        <v>107</v>
      </c>
      <c r="D7907">
        <v>1.0353230219743E-2</v>
      </c>
    </row>
    <row r="7908" spans="1:4" hidden="1" x14ac:dyDescent="0.3">
      <c r="A7908">
        <v>7906</v>
      </c>
      <c r="B7908" s="1" t="s">
        <v>10346</v>
      </c>
      <c r="C7908" t="s">
        <v>109</v>
      </c>
      <c r="D7908" s="1" t="s">
        <v>10347</v>
      </c>
    </row>
    <row r="7909" spans="1:4" x14ac:dyDescent="0.3">
      <c r="A7909">
        <v>7907</v>
      </c>
      <c r="B7909" t="s">
        <v>10348</v>
      </c>
      <c r="C7909" t="s">
        <v>207</v>
      </c>
      <c r="D7909">
        <v>143716485.347646</v>
      </c>
    </row>
    <row r="7910" spans="1:4" hidden="1" x14ac:dyDescent="0.3">
      <c r="A7910">
        <v>7908</v>
      </c>
      <c r="B7910" t="s">
        <v>10349</v>
      </c>
      <c r="C7910" t="s">
        <v>209</v>
      </c>
      <c r="D7910">
        <v>-1297.5552050915901</v>
      </c>
    </row>
    <row r="7911" spans="1:4" hidden="1" x14ac:dyDescent="0.3">
      <c r="A7911">
        <v>7909</v>
      </c>
      <c r="B7911" t="s">
        <v>10350</v>
      </c>
      <c r="C7911" t="s">
        <v>211</v>
      </c>
      <c r="D7911">
        <v>-656.29954612590404</v>
      </c>
    </row>
    <row r="7912" spans="1:4" hidden="1" x14ac:dyDescent="0.3">
      <c r="A7912">
        <v>7910</v>
      </c>
      <c r="B7912" s="1" t="s">
        <v>10351</v>
      </c>
      <c r="C7912" t="s">
        <v>213</v>
      </c>
      <c r="D7912" s="1" t="s">
        <v>10352</v>
      </c>
    </row>
    <row r="7913" spans="1:4" hidden="1" x14ac:dyDescent="0.3">
      <c r="A7913">
        <v>7911</v>
      </c>
      <c r="B7913" t="s">
        <v>10353</v>
      </c>
      <c r="C7913" t="s">
        <v>216</v>
      </c>
      <c r="D7913">
        <v>77240321.986960396</v>
      </c>
    </row>
    <row r="7914" spans="1:4" hidden="1" x14ac:dyDescent="0.3">
      <c r="A7914">
        <v>7912</v>
      </c>
      <c r="B7914" t="s">
        <v>10354</v>
      </c>
      <c r="C7914" t="s">
        <v>218</v>
      </c>
      <c r="D7914">
        <v>39067924.0958248</v>
      </c>
    </row>
    <row r="7915" spans="1:4" hidden="1" x14ac:dyDescent="0.3">
      <c r="A7915">
        <v>7913</v>
      </c>
      <c r="B7915" t="s">
        <v>10355</v>
      </c>
      <c r="C7915" t="s">
        <v>220</v>
      </c>
      <c r="D7915">
        <v>27410653.5894209</v>
      </c>
    </row>
    <row r="7916" spans="1:4" hidden="1" x14ac:dyDescent="0.3">
      <c r="A7916">
        <v>7914</v>
      </c>
      <c r="B7916" s="1" t="s">
        <v>10356</v>
      </c>
      <c r="C7916" t="s">
        <v>222</v>
      </c>
      <c r="D7916" s="1" t="s">
        <v>10357</v>
      </c>
    </row>
    <row r="7917" spans="1:4" hidden="1" x14ac:dyDescent="0.3">
      <c r="A7917">
        <v>7915</v>
      </c>
      <c r="B7917" t="s">
        <v>10358</v>
      </c>
      <c r="C7917" t="s">
        <v>225</v>
      </c>
      <c r="D7917">
        <v>101167880.308938</v>
      </c>
    </row>
    <row r="7918" spans="1:4" hidden="1" x14ac:dyDescent="0.3">
      <c r="A7918">
        <v>7916</v>
      </c>
      <c r="B7918" t="s">
        <v>10359</v>
      </c>
      <c r="C7918" t="s">
        <v>227</v>
      </c>
      <c r="D7918">
        <v>-1699.51271960139</v>
      </c>
    </row>
    <row r="7919" spans="1:4" hidden="1" x14ac:dyDescent="0.3">
      <c r="A7919">
        <v>7917</v>
      </c>
      <c r="B7919" s="1" t="s">
        <v>10360</v>
      </c>
      <c r="C7919" t="s">
        <v>229</v>
      </c>
      <c r="D7919" s="1" t="s">
        <v>10361</v>
      </c>
    </row>
    <row r="7920" spans="1:4" hidden="1" x14ac:dyDescent="0.3">
      <c r="A7920">
        <v>7918</v>
      </c>
      <c r="B7920" t="s">
        <v>10362</v>
      </c>
      <c r="C7920" t="s">
        <v>112</v>
      </c>
      <c r="D7920">
        <v>407.78545039212401</v>
      </c>
    </row>
    <row r="7921" spans="1:4" hidden="1" x14ac:dyDescent="0.3">
      <c r="A7921">
        <v>7919</v>
      </c>
      <c r="B7921" t="s">
        <v>10363</v>
      </c>
      <c r="C7921" t="s">
        <v>114</v>
      </c>
      <c r="D7921">
        <v>120.65163046232</v>
      </c>
    </row>
    <row r="7922" spans="1:4" hidden="1" x14ac:dyDescent="0.3">
      <c r="A7922">
        <v>7920</v>
      </c>
      <c r="B7922" s="1" t="s">
        <v>10364</v>
      </c>
      <c r="C7922" t="s">
        <v>116</v>
      </c>
      <c r="D7922" s="1" t="s">
        <v>10365</v>
      </c>
    </row>
    <row r="7923" spans="1:4" hidden="1" x14ac:dyDescent="0.3">
      <c r="A7923">
        <v>7921</v>
      </c>
      <c r="B7923" t="s">
        <v>10366</v>
      </c>
      <c r="C7923" t="s">
        <v>119</v>
      </c>
      <c r="D7923">
        <v>77240321.986960396</v>
      </c>
    </row>
    <row r="7924" spans="1:4" hidden="1" x14ac:dyDescent="0.3">
      <c r="A7924">
        <v>7922</v>
      </c>
      <c r="B7924" t="s">
        <v>10367</v>
      </c>
      <c r="C7924" t="s">
        <v>121</v>
      </c>
      <c r="D7924">
        <v>39067924.0958248</v>
      </c>
    </row>
    <row r="7925" spans="1:4" hidden="1" x14ac:dyDescent="0.3">
      <c r="A7925">
        <v>7923</v>
      </c>
      <c r="B7925" s="1" t="s">
        <v>10368</v>
      </c>
      <c r="C7925" t="s">
        <v>123</v>
      </c>
      <c r="D7925" s="1" t="s">
        <v>10369</v>
      </c>
    </row>
    <row r="7926" spans="1:4" hidden="1" x14ac:dyDescent="0.3">
      <c r="A7926">
        <v>7924</v>
      </c>
      <c r="B7926" t="s">
        <v>10370</v>
      </c>
      <c r="C7926" t="s">
        <v>126</v>
      </c>
      <c r="D7926">
        <v>0.76330855572607903</v>
      </c>
    </row>
    <row r="7927" spans="1:4" hidden="1" x14ac:dyDescent="0.3">
      <c r="A7927">
        <v>7925</v>
      </c>
      <c r="B7927" t="s">
        <v>10371</v>
      </c>
      <c r="C7927" t="s">
        <v>128</v>
      </c>
      <c r="D7927">
        <v>0.38607918700590599</v>
      </c>
    </row>
    <row r="7928" spans="1:4" hidden="1" x14ac:dyDescent="0.3">
      <c r="A7928">
        <v>7926</v>
      </c>
      <c r="B7928" s="1" t="s">
        <v>10372</v>
      </c>
      <c r="C7928" t="s">
        <v>130</v>
      </c>
      <c r="D7928" s="1" t="s">
        <v>10373</v>
      </c>
    </row>
    <row r="7929" spans="1:4" hidden="1" x14ac:dyDescent="0.3">
      <c r="A7929">
        <v>7927</v>
      </c>
      <c r="B7929" s="1" t="s">
        <v>10374</v>
      </c>
      <c r="C7929" t="s">
        <v>4</v>
      </c>
      <c r="D7929" t="s">
        <v>10375</v>
      </c>
    </row>
    <row r="7930" spans="1:4" hidden="1" x14ac:dyDescent="0.3">
      <c r="A7930">
        <v>7928</v>
      </c>
      <c r="B7930" t="s">
        <v>10376</v>
      </c>
      <c r="C7930" t="s">
        <v>7</v>
      </c>
      <c r="D7930">
        <v>1787.76</v>
      </c>
    </row>
    <row r="7931" spans="1:4" hidden="1" x14ac:dyDescent="0.3">
      <c r="A7931">
        <v>7929</v>
      </c>
      <c r="B7931" s="1" t="s">
        <v>10377</v>
      </c>
      <c r="C7931" t="s">
        <v>9</v>
      </c>
      <c r="D7931" s="1" t="s">
        <v>10378</v>
      </c>
    </row>
    <row r="7932" spans="1:4" hidden="1" x14ac:dyDescent="0.3">
      <c r="A7932">
        <v>7930</v>
      </c>
      <c r="B7932" t="s">
        <v>10379</v>
      </c>
      <c r="C7932" t="s">
        <v>14</v>
      </c>
      <c r="D7932">
        <v>97.328125</v>
      </c>
    </row>
    <row r="7933" spans="1:4" hidden="1" x14ac:dyDescent="0.3">
      <c r="A7933">
        <v>7931</v>
      </c>
      <c r="B7933" t="s">
        <v>10380</v>
      </c>
      <c r="C7933" t="s">
        <v>16</v>
      </c>
      <c r="D7933">
        <v>4.3776159117384603</v>
      </c>
    </row>
    <row r="7934" spans="1:4" hidden="1" x14ac:dyDescent="0.3">
      <c r="A7934">
        <v>7932</v>
      </c>
      <c r="B7934" s="1" t="s">
        <v>10381</v>
      </c>
      <c r="C7934" t="s">
        <v>140</v>
      </c>
      <c r="D7934" s="1" t="s">
        <v>10382</v>
      </c>
    </row>
    <row r="7935" spans="1:4" hidden="1" x14ac:dyDescent="0.3">
      <c r="A7935">
        <v>7933</v>
      </c>
      <c r="B7935" t="s">
        <v>10383</v>
      </c>
      <c r="C7935" t="s">
        <v>22</v>
      </c>
      <c r="D7935">
        <v>68.599999999999994</v>
      </c>
    </row>
    <row r="7936" spans="1:4" hidden="1" x14ac:dyDescent="0.3">
      <c r="A7936">
        <v>7934</v>
      </c>
      <c r="B7936" t="s">
        <v>10384</v>
      </c>
      <c r="C7936" t="s">
        <v>24</v>
      </c>
      <c r="D7936">
        <v>6.4979028806775796</v>
      </c>
    </row>
    <row r="7937" spans="1:4" hidden="1" x14ac:dyDescent="0.3">
      <c r="A7937">
        <v>7935</v>
      </c>
      <c r="B7937" s="1" t="s">
        <v>10385</v>
      </c>
      <c r="C7937" t="s">
        <v>145</v>
      </c>
      <c r="D7937" s="1" t="s">
        <v>10386</v>
      </c>
    </row>
    <row r="7938" spans="1:4" hidden="1" x14ac:dyDescent="0.3">
      <c r="A7938">
        <v>7936</v>
      </c>
      <c r="B7938" t="s">
        <v>10387</v>
      </c>
      <c r="C7938" t="s">
        <v>35</v>
      </c>
      <c r="D7938">
        <v>-3.1381057476063103E-2</v>
      </c>
    </row>
    <row r="7939" spans="1:4" hidden="1" x14ac:dyDescent="0.3">
      <c r="A7939">
        <v>7937</v>
      </c>
      <c r="B7939" t="s">
        <v>10388</v>
      </c>
      <c r="C7939" t="s">
        <v>149</v>
      </c>
      <c r="D7939">
        <v>0.73864484534755204</v>
      </c>
    </row>
    <row r="7940" spans="1:4" hidden="1" x14ac:dyDescent="0.3">
      <c r="A7940">
        <v>7938</v>
      </c>
      <c r="B7940" s="1" t="s">
        <v>10389</v>
      </c>
      <c r="C7940" t="s">
        <v>151</v>
      </c>
      <c r="D7940" s="1" t="s">
        <v>10390</v>
      </c>
    </row>
    <row r="7941" spans="1:4" hidden="1" x14ac:dyDescent="0.3">
      <c r="A7941">
        <v>7939</v>
      </c>
      <c r="B7941" t="s">
        <v>10391</v>
      </c>
      <c r="C7941" t="s">
        <v>30</v>
      </c>
      <c r="D7941">
        <v>0.40747092222696002</v>
      </c>
    </row>
    <row r="7942" spans="1:4" hidden="1" x14ac:dyDescent="0.3">
      <c r="A7942">
        <v>7940</v>
      </c>
      <c r="B7942" t="s">
        <v>10392</v>
      </c>
      <c r="C7942" t="s">
        <v>32</v>
      </c>
      <c r="D7942">
        <v>0.185700626659423</v>
      </c>
    </row>
    <row r="7943" spans="1:4" hidden="1" x14ac:dyDescent="0.3">
      <c r="A7943">
        <v>7941</v>
      </c>
      <c r="B7943" s="1" t="s">
        <v>10393</v>
      </c>
      <c r="C7943" t="s">
        <v>155</v>
      </c>
      <c r="D7943" s="1" t="s">
        <v>10394</v>
      </c>
    </row>
    <row r="7944" spans="1:4" hidden="1" x14ac:dyDescent="0.3">
      <c r="A7944">
        <v>7942</v>
      </c>
      <c r="B7944" t="s">
        <v>10395</v>
      </c>
      <c r="C7944" t="s">
        <v>40</v>
      </c>
      <c r="D7944">
        <v>0.62391013524910199</v>
      </c>
    </row>
    <row r="7945" spans="1:4" hidden="1" x14ac:dyDescent="0.3">
      <c r="A7945">
        <v>7943</v>
      </c>
      <c r="B7945" t="s">
        <v>10396</v>
      </c>
      <c r="C7945" t="s">
        <v>42</v>
      </c>
      <c r="D7945">
        <v>0.16812998124182299</v>
      </c>
    </row>
    <row r="7946" spans="1:4" hidden="1" x14ac:dyDescent="0.3">
      <c r="A7946">
        <v>7944</v>
      </c>
      <c r="B7946" s="1" t="s">
        <v>10397</v>
      </c>
      <c r="C7946" t="s">
        <v>159</v>
      </c>
      <c r="D7946" s="1" t="s">
        <v>10398</v>
      </c>
    </row>
    <row r="7947" spans="1:4" hidden="1" x14ac:dyDescent="0.3">
      <c r="A7947">
        <v>7945</v>
      </c>
      <c r="B7947" t="s">
        <v>10399</v>
      </c>
      <c r="C7947" t="s">
        <v>161</v>
      </c>
      <c r="D7947">
        <v>0.996921841541755</v>
      </c>
    </row>
    <row r="7948" spans="1:4" hidden="1" x14ac:dyDescent="0.3">
      <c r="A7948">
        <v>7946</v>
      </c>
      <c r="B7948" t="s">
        <v>10400</v>
      </c>
      <c r="C7948" t="s">
        <v>163</v>
      </c>
      <c r="D7948">
        <v>1.0012444568416801</v>
      </c>
    </row>
    <row r="7949" spans="1:4" hidden="1" x14ac:dyDescent="0.3">
      <c r="A7949">
        <v>7947</v>
      </c>
      <c r="B7949" s="1" t="s">
        <v>10401</v>
      </c>
      <c r="C7949" t="s">
        <v>165</v>
      </c>
      <c r="D7949" s="1" t="s">
        <v>10402</v>
      </c>
    </row>
    <row r="7950" spans="1:4" hidden="1" x14ac:dyDescent="0.3">
      <c r="A7950">
        <v>7948</v>
      </c>
      <c r="B7950" t="s">
        <v>10403</v>
      </c>
      <c r="C7950" t="s">
        <v>168</v>
      </c>
      <c r="D7950">
        <v>0.99766559794778498</v>
      </c>
    </row>
    <row r="7951" spans="1:4" hidden="1" x14ac:dyDescent="0.3">
      <c r="A7951">
        <v>7949</v>
      </c>
      <c r="B7951" t="s">
        <v>10404</v>
      </c>
      <c r="C7951" t="s">
        <v>170</v>
      </c>
      <c r="D7951">
        <v>1.0032386028321301</v>
      </c>
    </row>
    <row r="7952" spans="1:4" hidden="1" x14ac:dyDescent="0.3">
      <c r="A7952">
        <v>7950</v>
      </c>
      <c r="B7952" s="1" t="s">
        <v>10405</v>
      </c>
      <c r="C7952" t="s">
        <v>172</v>
      </c>
      <c r="D7952" s="1" t="s">
        <v>10406</v>
      </c>
    </row>
    <row r="7953" spans="1:4" hidden="1" x14ac:dyDescent="0.3">
      <c r="A7953">
        <v>7951</v>
      </c>
      <c r="B7953" s="1" t="s">
        <v>10407</v>
      </c>
      <c r="C7953" t="s">
        <v>55</v>
      </c>
      <c r="D7953" s="1" t="s">
        <v>10408</v>
      </c>
    </row>
    <row r="7954" spans="1:4" hidden="1" x14ac:dyDescent="0.3">
      <c r="A7954">
        <v>7952</v>
      </c>
      <c r="B7954" s="1" t="s">
        <v>10409</v>
      </c>
      <c r="C7954" t="s">
        <v>52</v>
      </c>
      <c r="D7954" s="1" t="s">
        <v>10410</v>
      </c>
    </row>
    <row r="7955" spans="1:4" hidden="1" x14ac:dyDescent="0.3">
      <c r="A7955">
        <v>7953</v>
      </c>
      <c r="B7955" s="1" t="s">
        <v>10411</v>
      </c>
      <c r="C7955" t="s">
        <v>58</v>
      </c>
      <c r="D7955" s="1" t="s">
        <v>10412</v>
      </c>
    </row>
    <row r="7956" spans="1:4" hidden="1" x14ac:dyDescent="0.3">
      <c r="A7956">
        <v>7954</v>
      </c>
      <c r="B7956" t="s">
        <v>10413</v>
      </c>
      <c r="C7956" t="s">
        <v>61</v>
      </c>
      <c r="D7956">
        <v>143517750.85745201</v>
      </c>
    </row>
    <row r="7957" spans="1:4" hidden="1" x14ac:dyDescent="0.3">
      <c r="A7957">
        <v>7955</v>
      </c>
      <c r="B7957" t="s">
        <v>10414</v>
      </c>
      <c r="C7957" t="s">
        <v>63</v>
      </c>
      <c r="D7957">
        <v>77002564.036518797</v>
      </c>
    </row>
    <row r="7958" spans="1:4" hidden="1" x14ac:dyDescent="0.3">
      <c r="A7958">
        <v>7956</v>
      </c>
      <c r="B7958" t="s">
        <v>10415</v>
      </c>
      <c r="C7958" t="s">
        <v>65</v>
      </c>
      <c r="D7958">
        <v>39116542.441256203</v>
      </c>
    </row>
    <row r="7959" spans="1:4" hidden="1" x14ac:dyDescent="0.3">
      <c r="A7959">
        <v>7957</v>
      </c>
      <c r="B7959" s="1" t="s">
        <v>10416</v>
      </c>
      <c r="C7959" t="s">
        <v>67</v>
      </c>
      <c r="D7959" s="1" t="s">
        <v>10417</v>
      </c>
    </row>
    <row r="7960" spans="1:4" hidden="1" x14ac:dyDescent="0.3">
      <c r="A7960">
        <v>7958</v>
      </c>
      <c r="B7960" s="1" t="s">
        <v>10418</v>
      </c>
      <c r="C7960" t="s">
        <v>70</v>
      </c>
      <c r="D7960" s="1" t="s">
        <v>10419</v>
      </c>
    </row>
    <row r="7961" spans="1:4" hidden="1" x14ac:dyDescent="0.3">
      <c r="A7961">
        <v>7959</v>
      </c>
      <c r="B7961" t="s">
        <v>10420</v>
      </c>
      <c r="C7961" t="s">
        <v>73</v>
      </c>
      <c r="D7961">
        <v>1.00023326656249</v>
      </c>
    </row>
    <row r="7962" spans="1:4" hidden="1" x14ac:dyDescent="0.3">
      <c r="A7962">
        <v>7960</v>
      </c>
      <c r="B7962" t="s">
        <v>74</v>
      </c>
      <c r="C7962" t="s">
        <v>75</v>
      </c>
      <c r="D7962">
        <v>2.7397260273972599E-3</v>
      </c>
    </row>
    <row r="7963" spans="1:4" hidden="1" x14ac:dyDescent="0.3">
      <c r="A7963">
        <v>7961</v>
      </c>
      <c r="B7963" t="s">
        <v>76</v>
      </c>
      <c r="C7963" t="s">
        <v>77</v>
      </c>
      <c r="D7963">
        <v>0</v>
      </c>
    </row>
    <row r="7964" spans="1:4" hidden="1" x14ac:dyDescent="0.3">
      <c r="A7964">
        <v>7962</v>
      </c>
      <c r="B7964" t="s">
        <v>78</v>
      </c>
      <c r="C7964" t="s">
        <v>79</v>
      </c>
      <c r="D7964">
        <v>0</v>
      </c>
    </row>
    <row r="7965" spans="1:4" hidden="1" x14ac:dyDescent="0.3">
      <c r="A7965">
        <v>7963</v>
      </c>
      <c r="B7965" s="1" t="s">
        <v>10421</v>
      </c>
      <c r="C7965" t="s">
        <v>81</v>
      </c>
      <c r="D7965" s="1" t="s">
        <v>10422</v>
      </c>
    </row>
    <row r="7966" spans="1:4" hidden="1" x14ac:dyDescent="0.3">
      <c r="A7966">
        <v>7964</v>
      </c>
      <c r="B7966" t="s">
        <v>10423</v>
      </c>
      <c r="C7966" t="s">
        <v>84</v>
      </c>
      <c r="D7966">
        <v>1.00022581908135</v>
      </c>
    </row>
    <row r="7967" spans="1:4" hidden="1" x14ac:dyDescent="0.3">
      <c r="A7967">
        <v>7965</v>
      </c>
      <c r="B7967" s="1" t="s">
        <v>10424</v>
      </c>
      <c r="C7967" t="s">
        <v>86</v>
      </c>
      <c r="D7967" s="1" t="s">
        <v>10425</v>
      </c>
    </row>
    <row r="7968" spans="1:4" hidden="1" x14ac:dyDescent="0.3">
      <c r="A7968">
        <v>7966</v>
      </c>
      <c r="B7968" t="s">
        <v>10426</v>
      </c>
      <c r="C7968" t="s">
        <v>89</v>
      </c>
      <c r="D7968">
        <v>101166934.059341</v>
      </c>
    </row>
    <row r="7969" spans="1:4" hidden="1" x14ac:dyDescent="0.3">
      <c r="A7969">
        <v>7967</v>
      </c>
      <c r="B7969" s="1" t="s">
        <v>10427</v>
      </c>
      <c r="C7969" t="s">
        <v>91</v>
      </c>
      <c r="D7969" s="1" t="s">
        <v>10361</v>
      </c>
    </row>
    <row r="7970" spans="1:4" hidden="1" x14ac:dyDescent="0.3">
      <c r="A7970">
        <v>7968</v>
      </c>
      <c r="B7970" t="s">
        <v>10428</v>
      </c>
      <c r="C7970" t="s">
        <v>94</v>
      </c>
      <c r="D7970">
        <v>77002564.036518797</v>
      </c>
    </row>
    <row r="7971" spans="1:4" hidden="1" x14ac:dyDescent="0.3">
      <c r="A7971">
        <v>7969</v>
      </c>
      <c r="B7971" t="s">
        <v>10429</v>
      </c>
      <c r="C7971" t="s">
        <v>96</v>
      </c>
      <c r="D7971">
        <v>39116542.441256203</v>
      </c>
    </row>
    <row r="7972" spans="1:4" hidden="1" x14ac:dyDescent="0.3">
      <c r="A7972">
        <v>7970</v>
      </c>
      <c r="B7972" t="s">
        <v>10430</v>
      </c>
      <c r="C7972" t="s">
        <v>98</v>
      </c>
      <c r="D7972">
        <v>27398644.379677601</v>
      </c>
    </row>
    <row r="7973" spans="1:4" hidden="1" x14ac:dyDescent="0.3">
      <c r="A7973">
        <v>7971</v>
      </c>
      <c r="B7973" s="1" t="s">
        <v>10431</v>
      </c>
      <c r="C7973" t="s">
        <v>100</v>
      </c>
      <c r="D7973" s="1" t="s">
        <v>10432</v>
      </c>
    </row>
    <row r="7974" spans="1:4" hidden="1" x14ac:dyDescent="0.3">
      <c r="A7974">
        <v>7972</v>
      </c>
      <c r="B7974" t="s">
        <v>10433</v>
      </c>
      <c r="C7974" t="s">
        <v>103</v>
      </c>
      <c r="D7974">
        <v>8.1509493810147798E-3</v>
      </c>
    </row>
    <row r="7975" spans="1:4" hidden="1" x14ac:dyDescent="0.3">
      <c r="A7975">
        <v>7973</v>
      </c>
      <c r="B7975" t="s">
        <v>10434</v>
      </c>
      <c r="C7975" t="s">
        <v>105</v>
      </c>
      <c r="D7975">
        <v>1.3892201901552601E-3</v>
      </c>
    </row>
    <row r="7976" spans="1:4" hidden="1" x14ac:dyDescent="0.3">
      <c r="A7976">
        <v>7974</v>
      </c>
      <c r="B7976" t="s">
        <v>10435</v>
      </c>
      <c r="C7976" t="s">
        <v>107</v>
      </c>
      <c r="D7976">
        <v>1.0345823994160799E-2</v>
      </c>
    </row>
    <row r="7977" spans="1:4" hidden="1" x14ac:dyDescent="0.3">
      <c r="A7977">
        <v>7975</v>
      </c>
      <c r="B7977" s="1" t="s">
        <v>10436</v>
      </c>
      <c r="C7977" t="s">
        <v>109</v>
      </c>
      <c r="D7977" s="1" t="s">
        <v>10437</v>
      </c>
    </row>
    <row r="7978" spans="1:4" x14ac:dyDescent="0.3">
      <c r="A7978">
        <v>7976</v>
      </c>
      <c r="B7978" t="s">
        <v>10438</v>
      </c>
      <c r="C7978" t="s">
        <v>207</v>
      </c>
      <c r="D7978">
        <v>143517489.25422299</v>
      </c>
    </row>
    <row r="7979" spans="1:4" hidden="1" x14ac:dyDescent="0.3">
      <c r="A7979">
        <v>7977</v>
      </c>
      <c r="B7979" t="s">
        <v>10439</v>
      </c>
      <c r="C7979" t="s">
        <v>209</v>
      </c>
      <c r="D7979">
        <v>573.34005963803202</v>
      </c>
    </row>
    <row r="7980" spans="1:4" hidden="1" x14ac:dyDescent="0.3">
      <c r="A7980">
        <v>7978</v>
      </c>
      <c r="B7980" t="s">
        <v>10440</v>
      </c>
      <c r="C7980" t="s">
        <v>211</v>
      </c>
      <c r="D7980">
        <v>291.25135673320301</v>
      </c>
    </row>
    <row r="7981" spans="1:4" hidden="1" x14ac:dyDescent="0.3">
      <c r="A7981">
        <v>7979</v>
      </c>
      <c r="B7981" s="1" t="s">
        <v>10441</v>
      </c>
      <c r="C7981" t="s">
        <v>213</v>
      </c>
      <c r="D7981" s="1" t="s">
        <v>10442</v>
      </c>
    </row>
    <row r="7982" spans="1:4" hidden="1" x14ac:dyDescent="0.3">
      <c r="A7982">
        <v>7980</v>
      </c>
      <c r="B7982" t="s">
        <v>10443</v>
      </c>
      <c r="C7982" t="s">
        <v>216</v>
      </c>
      <c r="D7982">
        <v>77001810.379014298</v>
      </c>
    </row>
    <row r="7983" spans="1:4" hidden="1" x14ac:dyDescent="0.3">
      <c r="A7983">
        <v>7981</v>
      </c>
      <c r="B7983" t="s">
        <v>10444</v>
      </c>
      <c r="C7983" t="s">
        <v>218</v>
      </c>
      <c r="D7983">
        <v>39116195.295963697</v>
      </c>
    </row>
    <row r="7984" spans="1:4" hidden="1" x14ac:dyDescent="0.3">
      <c r="A7984">
        <v>7982</v>
      </c>
      <c r="B7984" t="s">
        <v>10445</v>
      </c>
      <c r="C7984" t="s">
        <v>220</v>
      </c>
      <c r="D7984">
        <v>27398414.984717999</v>
      </c>
    </row>
    <row r="7985" spans="1:4" hidden="1" x14ac:dyDescent="0.3">
      <c r="A7985">
        <v>7983</v>
      </c>
      <c r="B7985" s="1" t="s">
        <v>10446</v>
      </c>
      <c r="C7985" t="s">
        <v>222</v>
      </c>
      <c r="D7985" s="1" t="s">
        <v>10447</v>
      </c>
    </row>
    <row r="7986" spans="1:4" hidden="1" x14ac:dyDescent="0.3">
      <c r="A7986">
        <v>7984</v>
      </c>
      <c r="B7986" t="s">
        <v>10448</v>
      </c>
      <c r="C7986" t="s">
        <v>225</v>
      </c>
      <c r="D7986">
        <v>101166180.79621799</v>
      </c>
    </row>
    <row r="7987" spans="1:4" hidden="1" x14ac:dyDescent="0.3">
      <c r="A7987">
        <v>7985</v>
      </c>
      <c r="B7987" t="s">
        <v>10449</v>
      </c>
      <c r="C7987" t="s">
        <v>227</v>
      </c>
      <c r="D7987">
        <v>753.26312258839596</v>
      </c>
    </row>
    <row r="7988" spans="1:4" hidden="1" x14ac:dyDescent="0.3">
      <c r="A7988">
        <v>7986</v>
      </c>
      <c r="B7988" s="1" t="s">
        <v>10450</v>
      </c>
      <c r="C7988" t="s">
        <v>229</v>
      </c>
      <c r="D7988" s="1" t="s">
        <v>10451</v>
      </c>
    </row>
    <row r="7989" spans="1:4" hidden="1" x14ac:dyDescent="0.3">
      <c r="A7989">
        <v>7987</v>
      </c>
      <c r="B7989" t="s">
        <v>10452</v>
      </c>
      <c r="C7989" t="s">
        <v>112</v>
      </c>
      <c r="D7989">
        <v>-180.317444800039</v>
      </c>
    </row>
    <row r="7990" spans="1:4" hidden="1" x14ac:dyDescent="0.3">
      <c r="A7990">
        <v>7988</v>
      </c>
      <c r="B7990" t="s">
        <v>10453</v>
      </c>
      <c r="C7990" t="s">
        <v>114</v>
      </c>
      <c r="D7990">
        <v>-55.893935754606503</v>
      </c>
    </row>
    <row r="7991" spans="1:4" hidden="1" x14ac:dyDescent="0.3">
      <c r="A7991">
        <v>7989</v>
      </c>
      <c r="B7991" s="1" t="s">
        <v>10454</v>
      </c>
      <c r="C7991" t="s">
        <v>116</v>
      </c>
      <c r="D7991" s="1" t="s">
        <v>10455</v>
      </c>
    </row>
    <row r="7992" spans="1:4" hidden="1" x14ac:dyDescent="0.3">
      <c r="A7992">
        <v>7990</v>
      </c>
      <c r="B7992" t="s">
        <v>10456</v>
      </c>
      <c r="C7992" t="s">
        <v>119</v>
      </c>
      <c r="D7992">
        <v>77001810.379014298</v>
      </c>
    </row>
    <row r="7993" spans="1:4" hidden="1" x14ac:dyDescent="0.3">
      <c r="A7993">
        <v>7991</v>
      </c>
      <c r="B7993" t="s">
        <v>10457</v>
      </c>
      <c r="C7993" t="s">
        <v>121</v>
      </c>
      <c r="D7993">
        <v>39116195.295963697</v>
      </c>
    </row>
    <row r="7994" spans="1:4" hidden="1" x14ac:dyDescent="0.3">
      <c r="A7994">
        <v>7992</v>
      </c>
      <c r="B7994" s="1" t="s">
        <v>10458</v>
      </c>
      <c r="C7994" t="s">
        <v>123</v>
      </c>
      <c r="D7994" s="1" t="s">
        <v>10459</v>
      </c>
    </row>
    <row r="7995" spans="1:4" hidden="1" x14ac:dyDescent="0.3">
      <c r="A7995">
        <v>7993</v>
      </c>
      <c r="B7995" t="s">
        <v>10460</v>
      </c>
      <c r="C7995" t="s">
        <v>126</v>
      </c>
      <c r="D7995">
        <v>0.76096997258172105</v>
      </c>
    </row>
    <row r="7996" spans="1:4" hidden="1" x14ac:dyDescent="0.3">
      <c r="A7996">
        <v>7994</v>
      </c>
      <c r="B7996" t="s">
        <v>10461</v>
      </c>
      <c r="C7996" t="s">
        <v>128</v>
      </c>
      <c r="D7996">
        <v>0.38656558742394298</v>
      </c>
    </row>
    <row r="7997" spans="1:4" hidden="1" x14ac:dyDescent="0.3">
      <c r="A7997">
        <v>7995</v>
      </c>
      <c r="B7997" s="1" t="s">
        <v>10462</v>
      </c>
      <c r="C7997" t="s">
        <v>130</v>
      </c>
      <c r="D7997" s="1" t="s">
        <v>10463</v>
      </c>
    </row>
    <row r="7998" spans="1:4" hidden="1" x14ac:dyDescent="0.3">
      <c r="A7998">
        <v>7996</v>
      </c>
      <c r="B7998" s="1" t="s">
        <v>10464</v>
      </c>
      <c r="C7998" t="s">
        <v>4</v>
      </c>
      <c r="D7998" t="s">
        <v>10465</v>
      </c>
    </row>
    <row r="7999" spans="1:4" hidden="1" x14ac:dyDescent="0.3">
      <c r="A7999">
        <v>7997</v>
      </c>
      <c r="B7999" t="s">
        <v>10466</v>
      </c>
      <c r="C7999" t="s">
        <v>7</v>
      </c>
      <c r="D7999">
        <v>1769.84</v>
      </c>
    </row>
    <row r="8000" spans="1:4" hidden="1" x14ac:dyDescent="0.3">
      <c r="A8000">
        <v>7998</v>
      </c>
      <c r="B8000" s="1" t="s">
        <v>10467</v>
      </c>
      <c r="C8000" t="s">
        <v>9</v>
      </c>
      <c r="D8000" s="1" t="s">
        <v>10468</v>
      </c>
    </row>
    <row r="8001" spans="1:4" hidden="1" x14ac:dyDescent="0.3">
      <c r="A8001">
        <v>7999</v>
      </c>
      <c r="B8001" t="s">
        <v>10469</v>
      </c>
      <c r="C8001" t="s">
        <v>14</v>
      </c>
      <c r="D8001">
        <v>97.17578125</v>
      </c>
    </row>
    <row r="8002" spans="1:4" hidden="1" x14ac:dyDescent="0.3">
      <c r="A8002">
        <v>8000</v>
      </c>
      <c r="B8002" t="s">
        <v>10470</v>
      </c>
      <c r="C8002" t="s">
        <v>16</v>
      </c>
      <c r="D8002">
        <v>4.3746719918640196</v>
      </c>
    </row>
    <row r="8003" spans="1:4" hidden="1" x14ac:dyDescent="0.3">
      <c r="A8003">
        <v>8001</v>
      </c>
      <c r="B8003" s="1" t="s">
        <v>10471</v>
      </c>
      <c r="C8003" t="s">
        <v>140</v>
      </c>
      <c r="D8003" s="1" t="s">
        <v>10472</v>
      </c>
    </row>
    <row r="8004" spans="1:4" hidden="1" x14ac:dyDescent="0.3">
      <c r="A8004">
        <v>8002</v>
      </c>
      <c r="B8004" t="s">
        <v>9665</v>
      </c>
      <c r="C8004" t="s">
        <v>22</v>
      </c>
      <c r="D8004">
        <v>67.900000000000006</v>
      </c>
    </row>
    <row r="8005" spans="1:4" hidden="1" x14ac:dyDescent="0.3">
      <c r="A8005">
        <v>8003</v>
      </c>
      <c r="B8005" t="s">
        <v>10473</v>
      </c>
      <c r="C8005" t="s">
        <v>24</v>
      </c>
      <c r="D8005">
        <v>6.4900595021088696</v>
      </c>
    </row>
    <row r="8006" spans="1:4" hidden="1" x14ac:dyDescent="0.3">
      <c r="A8006">
        <v>8004</v>
      </c>
      <c r="B8006" s="1" t="s">
        <v>10474</v>
      </c>
      <c r="C8006" t="s">
        <v>145</v>
      </c>
      <c r="D8006" s="1" t="s">
        <v>10475</v>
      </c>
    </row>
    <row r="8007" spans="1:4" hidden="1" x14ac:dyDescent="0.3">
      <c r="A8007">
        <v>8005</v>
      </c>
      <c r="B8007" t="s">
        <v>10476</v>
      </c>
      <c r="C8007" t="s">
        <v>35</v>
      </c>
      <c r="D8007">
        <v>0.411135235123536</v>
      </c>
    </row>
    <row r="8008" spans="1:4" hidden="1" x14ac:dyDescent="0.3">
      <c r="A8008">
        <v>8006</v>
      </c>
      <c r="B8008" t="s">
        <v>10477</v>
      </c>
      <c r="C8008" t="s">
        <v>149</v>
      </c>
      <c r="D8008">
        <v>0.73988293268437599</v>
      </c>
    </row>
    <row r="8009" spans="1:4" hidden="1" x14ac:dyDescent="0.3">
      <c r="A8009">
        <v>8007</v>
      </c>
      <c r="B8009" s="1" t="s">
        <v>10478</v>
      </c>
      <c r="C8009" t="s">
        <v>151</v>
      </c>
      <c r="D8009" s="1" t="s">
        <v>10479</v>
      </c>
    </row>
    <row r="8010" spans="1:4" hidden="1" x14ac:dyDescent="0.3">
      <c r="A8010">
        <v>8008</v>
      </c>
      <c r="B8010" t="s">
        <v>10480</v>
      </c>
      <c r="C8010" t="s">
        <v>30</v>
      </c>
      <c r="D8010">
        <v>0.23426661210399399</v>
      </c>
    </row>
    <row r="8011" spans="1:4" hidden="1" x14ac:dyDescent="0.3">
      <c r="A8011">
        <v>8009</v>
      </c>
      <c r="B8011" t="s">
        <v>10481</v>
      </c>
      <c r="C8011" t="s">
        <v>32</v>
      </c>
      <c r="D8011">
        <v>0.18468725195740601</v>
      </c>
    </row>
    <row r="8012" spans="1:4" hidden="1" x14ac:dyDescent="0.3">
      <c r="A8012">
        <v>8010</v>
      </c>
      <c r="B8012" s="1" t="s">
        <v>10482</v>
      </c>
      <c r="C8012" t="s">
        <v>155</v>
      </c>
      <c r="D8012" s="1" t="s">
        <v>10483</v>
      </c>
    </row>
    <row r="8013" spans="1:4" hidden="1" x14ac:dyDescent="0.3">
      <c r="A8013">
        <v>8011</v>
      </c>
      <c r="B8013" t="s">
        <v>10484</v>
      </c>
      <c r="C8013" t="s">
        <v>40</v>
      </c>
      <c r="D8013">
        <v>0.35459815277246798</v>
      </c>
    </row>
    <row r="8014" spans="1:4" hidden="1" x14ac:dyDescent="0.3">
      <c r="A8014">
        <v>8012</v>
      </c>
      <c r="B8014" t="s">
        <v>10485</v>
      </c>
      <c r="C8014" t="s">
        <v>42</v>
      </c>
      <c r="D8014">
        <v>0.166877915753504</v>
      </c>
    </row>
    <row r="8015" spans="1:4" hidden="1" x14ac:dyDescent="0.3">
      <c r="A8015">
        <v>8013</v>
      </c>
      <c r="B8015" s="1" t="s">
        <v>10486</v>
      </c>
      <c r="C8015" t="s">
        <v>159</v>
      </c>
      <c r="D8015" s="1" t="s">
        <v>10487</v>
      </c>
    </row>
    <row r="8016" spans="1:4" hidden="1" x14ac:dyDescent="0.3">
      <c r="A8016">
        <v>8014</v>
      </c>
      <c r="B8016" t="s">
        <v>10488</v>
      </c>
      <c r="C8016" t="s">
        <v>161</v>
      </c>
      <c r="D8016">
        <v>0.98997628316999997</v>
      </c>
    </row>
    <row r="8017" spans="1:4" hidden="1" x14ac:dyDescent="0.3">
      <c r="A8017">
        <v>8015</v>
      </c>
      <c r="B8017" t="s">
        <v>10489</v>
      </c>
      <c r="C8017" t="s">
        <v>163</v>
      </c>
      <c r="D8017">
        <v>0.99847316711443801</v>
      </c>
    </row>
    <row r="8018" spans="1:4" hidden="1" x14ac:dyDescent="0.3">
      <c r="A8018">
        <v>8016</v>
      </c>
      <c r="B8018" s="1" t="s">
        <v>10490</v>
      </c>
      <c r="C8018" t="s">
        <v>165</v>
      </c>
      <c r="D8018" s="1" t="s">
        <v>10491</v>
      </c>
    </row>
    <row r="8019" spans="1:4" hidden="1" x14ac:dyDescent="0.3">
      <c r="A8019">
        <v>8017</v>
      </c>
      <c r="B8019" t="s">
        <v>10492</v>
      </c>
      <c r="C8019" t="s">
        <v>168</v>
      </c>
      <c r="D8019">
        <v>1.00071209904664</v>
      </c>
    </row>
    <row r="8020" spans="1:4" hidden="1" x14ac:dyDescent="0.3">
      <c r="A8020">
        <v>8018</v>
      </c>
      <c r="B8020" t="s">
        <v>10493</v>
      </c>
      <c r="C8020" t="s">
        <v>170</v>
      </c>
      <c r="D8020">
        <v>0.99914533679140205</v>
      </c>
    </row>
    <row r="8021" spans="1:4" hidden="1" x14ac:dyDescent="0.3">
      <c r="A8021">
        <v>8019</v>
      </c>
      <c r="B8021" s="1" t="s">
        <v>10494</v>
      </c>
      <c r="C8021" t="s">
        <v>172</v>
      </c>
      <c r="D8021" s="1" t="s">
        <v>10495</v>
      </c>
    </row>
    <row r="8022" spans="1:4" hidden="1" x14ac:dyDescent="0.3">
      <c r="A8022">
        <v>8020</v>
      </c>
      <c r="B8022" s="1" t="s">
        <v>10496</v>
      </c>
      <c r="C8022" t="s">
        <v>55</v>
      </c>
      <c r="D8022" s="1" t="s">
        <v>10497</v>
      </c>
    </row>
    <row r="8023" spans="1:4" hidden="1" x14ac:dyDescent="0.3">
      <c r="A8023">
        <v>8021</v>
      </c>
      <c r="B8023" s="1" t="s">
        <v>10498</v>
      </c>
      <c r="C8023" t="s">
        <v>52</v>
      </c>
      <c r="D8023" s="1" t="s">
        <v>10499</v>
      </c>
    </row>
    <row r="8024" spans="1:4" hidden="1" x14ac:dyDescent="0.3">
      <c r="A8024">
        <v>8022</v>
      </c>
      <c r="B8024" s="1" t="s">
        <v>10500</v>
      </c>
      <c r="C8024" t="s">
        <v>58</v>
      </c>
      <c r="D8024" s="1" t="s">
        <v>10501</v>
      </c>
    </row>
    <row r="8025" spans="1:4" hidden="1" x14ac:dyDescent="0.3">
      <c r="A8025">
        <v>8023</v>
      </c>
      <c r="B8025" t="s">
        <v>10502</v>
      </c>
      <c r="C8025" t="s">
        <v>61</v>
      </c>
      <c r="D8025">
        <v>142426605.70995</v>
      </c>
    </row>
    <row r="8026" spans="1:4" hidden="1" x14ac:dyDescent="0.3">
      <c r="A8026">
        <v>8024</v>
      </c>
      <c r="B8026" t="s">
        <v>10503</v>
      </c>
      <c r="C8026" t="s">
        <v>63</v>
      </c>
      <c r="D8026">
        <v>76229966.036377802</v>
      </c>
    </row>
    <row r="8027" spans="1:4" hidden="1" x14ac:dyDescent="0.3">
      <c r="A8027">
        <v>8025</v>
      </c>
      <c r="B8027" t="s">
        <v>10504</v>
      </c>
      <c r="C8027" t="s">
        <v>65</v>
      </c>
      <c r="D8027">
        <v>39056471.402627803</v>
      </c>
    </row>
    <row r="8028" spans="1:4" hidden="1" x14ac:dyDescent="0.3">
      <c r="A8028">
        <v>8026</v>
      </c>
      <c r="B8028" s="1" t="s">
        <v>10505</v>
      </c>
      <c r="C8028" t="s">
        <v>67</v>
      </c>
      <c r="D8028" s="1" t="s">
        <v>10506</v>
      </c>
    </row>
    <row r="8029" spans="1:4" hidden="1" x14ac:dyDescent="0.3">
      <c r="A8029">
        <v>8027</v>
      </c>
      <c r="B8029" s="1" t="s">
        <v>10507</v>
      </c>
      <c r="C8029" t="s">
        <v>70</v>
      </c>
      <c r="D8029" s="1" t="s">
        <v>10508</v>
      </c>
    </row>
    <row r="8030" spans="1:4" hidden="1" x14ac:dyDescent="0.3">
      <c r="A8030">
        <v>8028</v>
      </c>
      <c r="B8030" t="s">
        <v>10509</v>
      </c>
      <c r="C8030" t="s">
        <v>73</v>
      </c>
      <c r="D8030">
        <v>1.00022581908135</v>
      </c>
    </row>
    <row r="8031" spans="1:4" hidden="1" x14ac:dyDescent="0.3">
      <c r="A8031">
        <v>8029</v>
      </c>
      <c r="B8031" t="s">
        <v>74</v>
      </c>
      <c r="C8031" t="s">
        <v>75</v>
      </c>
      <c r="D8031">
        <v>2.7397260273972599E-3</v>
      </c>
    </row>
    <row r="8032" spans="1:4" hidden="1" x14ac:dyDescent="0.3">
      <c r="A8032">
        <v>8030</v>
      </c>
      <c r="B8032" t="s">
        <v>76</v>
      </c>
      <c r="C8032" t="s">
        <v>77</v>
      </c>
      <c r="D8032">
        <v>0</v>
      </c>
    </row>
    <row r="8033" spans="1:4" hidden="1" x14ac:dyDescent="0.3">
      <c r="A8033">
        <v>8031</v>
      </c>
      <c r="B8033" t="s">
        <v>78</v>
      </c>
      <c r="C8033" t="s">
        <v>79</v>
      </c>
      <c r="D8033">
        <v>0</v>
      </c>
    </row>
    <row r="8034" spans="1:4" hidden="1" x14ac:dyDescent="0.3">
      <c r="A8034">
        <v>8032</v>
      </c>
      <c r="B8034" s="1" t="s">
        <v>10510</v>
      </c>
      <c r="C8034" t="s">
        <v>81</v>
      </c>
      <c r="D8034" s="1" t="s">
        <v>10511</v>
      </c>
    </row>
    <row r="8035" spans="1:4" hidden="1" x14ac:dyDescent="0.3">
      <c r="A8035">
        <v>8033</v>
      </c>
      <c r="B8035" t="s">
        <v>10512</v>
      </c>
      <c r="C8035" t="s">
        <v>84</v>
      </c>
      <c r="D8035">
        <v>1.0002422264281801</v>
      </c>
    </row>
    <row r="8036" spans="1:4" hidden="1" x14ac:dyDescent="0.3">
      <c r="A8036">
        <v>8034</v>
      </c>
      <c r="B8036" s="1" t="s">
        <v>10513</v>
      </c>
      <c r="C8036" t="s">
        <v>86</v>
      </c>
      <c r="D8036" s="1" t="s">
        <v>10514</v>
      </c>
    </row>
    <row r="8037" spans="1:4" hidden="1" x14ac:dyDescent="0.3">
      <c r="A8037">
        <v>8035</v>
      </c>
      <c r="B8037" t="s">
        <v>10515</v>
      </c>
      <c r="C8037" t="s">
        <v>89</v>
      </c>
      <c r="D8037">
        <v>101165274.58033501</v>
      </c>
    </row>
    <row r="8038" spans="1:4" hidden="1" x14ac:dyDescent="0.3">
      <c r="A8038">
        <v>8036</v>
      </c>
      <c r="B8038" s="1" t="s">
        <v>10516</v>
      </c>
      <c r="C8038" t="s">
        <v>91</v>
      </c>
      <c r="D8038" s="1" t="s">
        <v>10451</v>
      </c>
    </row>
    <row r="8039" spans="1:4" hidden="1" x14ac:dyDescent="0.3">
      <c r="A8039">
        <v>8037</v>
      </c>
      <c r="B8039" t="s">
        <v>10517</v>
      </c>
      <c r="C8039" t="s">
        <v>94</v>
      </c>
      <c r="D8039">
        <v>76229966.036377802</v>
      </c>
    </row>
    <row r="8040" spans="1:4" hidden="1" x14ac:dyDescent="0.3">
      <c r="A8040">
        <v>8038</v>
      </c>
      <c r="B8040" t="s">
        <v>10518</v>
      </c>
      <c r="C8040" t="s">
        <v>96</v>
      </c>
      <c r="D8040">
        <v>39056471.402627803</v>
      </c>
    </row>
    <row r="8041" spans="1:4" hidden="1" x14ac:dyDescent="0.3">
      <c r="A8041">
        <v>8039</v>
      </c>
      <c r="B8041" t="s">
        <v>10519</v>
      </c>
      <c r="C8041" t="s">
        <v>98</v>
      </c>
      <c r="D8041">
        <v>27140168.270944599</v>
      </c>
    </row>
    <row r="8042" spans="1:4" hidden="1" x14ac:dyDescent="0.3">
      <c r="A8042">
        <v>8040</v>
      </c>
      <c r="B8042" s="1" t="s">
        <v>10520</v>
      </c>
      <c r="C8042" t="s">
        <v>100</v>
      </c>
      <c r="D8042" s="1" t="s">
        <v>10521</v>
      </c>
    </row>
    <row r="8043" spans="1:4" hidden="1" x14ac:dyDescent="0.3">
      <c r="A8043">
        <v>8041</v>
      </c>
      <c r="B8043" t="s">
        <v>10522</v>
      </c>
      <c r="C8043" t="s">
        <v>103</v>
      </c>
      <c r="D8043">
        <v>8.0705059926804504E-3</v>
      </c>
    </row>
    <row r="8044" spans="1:4" hidden="1" x14ac:dyDescent="0.3">
      <c r="A8044">
        <v>8042</v>
      </c>
      <c r="B8044" t="s">
        <v>10523</v>
      </c>
      <c r="C8044" t="s">
        <v>105</v>
      </c>
      <c r="D8044">
        <v>1.36924304270299E-3</v>
      </c>
    </row>
    <row r="8045" spans="1:4" hidden="1" x14ac:dyDescent="0.3">
      <c r="A8045">
        <v>8043</v>
      </c>
      <c r="B8045" t="s">
        <v>10524</v>
      </c>
      <c r="C8045" t="s">
        <v>107</v>
      </c>
      <c r="D8045">
        <v>1.0383842334939801E-2</v>
      </c>
    </row>
    <row r="8046" spans="1:4" hidden="1" x14ac:dyDescent="0.3">
      <c r="A8046">
        <v>8044</v>
      </c>
      <c r="B8046" s="1" t="s">
        <v>10525</v>
      </c>
      <c r="C8046" t="s">
        <v>109</v>
      </c>
      <c r="D8046" s="1" t="s">
        <v>10526</v>
      </c>
    </row>
    <row r="8047" spans="1:4" x14ac:dyDescent="0.3">
      <c r="A8047">
        <v>8045</v>
      </c>
      <c r="B8047" t="s">
        <v>10527</v>
      </c>
      <c r="C8047" t="s">
        <v>207</v>
      </c>
      <c r="D8047">
        <v>142427182.95003399</v>
      </c>
    </row>
    <row r="8048" spans="1:4" hidden="1" x14ac:dyDescent="0.3">
      <c r="A8048">
        <v>8046</v>
      </c>
      <c r="B8048" t="s">
        <v>10528</v>
      </c>
      <c r="C8048" t="s">
        <v>209</v>
      </c>
      <c r="D8048">
        <v>-1250.45640335538</v>
      </c>
    </row>
    <row r="8049" spans="1:4" hidden="1" x14ac:dyDescent="0.3">
      <c r="A8049">
        <v>8047</v>
      </c>
      <c r="B8049" t="s">
        <v>10529</v>
      </c>
      <c r="C8049" t="s">
        <v>211</v>
      </c>
      <c r="D8049">
        <v>-640.66985109357802</v>
      </c>
    </row>
    <row r="8050" spans="1:4" hidden="1" x14ac:dyDescent="0.3">
      <c r="A8050">
        <v>8048</v>
      </c>
      <c r="B8050" s="1" t="s">
        <v>10530</v>
      </c>
      <c r="C8050" t="s">
        <v>213</v>
      </c>
      <c r="D8050" s="1" t="s">
        <v>10531</v>
      </c>
    </row>
    <row r="8051" spans="1:4" hidden="1" x14ac:dyDescent="0.3">
      <c r="A8051">
        <v>8049</v>
      </c>
      <c r="B8051" t="s">
        <v>10532</v>
      </c>
      <c r="C8051" t="s">
        <v>216</v>
      </c>
      <c r="D8051">
        <v>76231660.688562497</v>
      </c>
    </row>
    <row r="8052" spans="1:4" hidden="1" x14ac:dyDescent="0.3">
      <c r="A8052">
        <v>8050</v>
      </c>
      <c r="B8052" t="s">
        <v>10533</v>
      </c>
      <c r="C8052" t="s">
        <v>218</v>
      </c>
      <c r="D8052">
        <v>39057200.691608101</v>
      </c>
    </row>
    <row r="8053" spans="1:4" hidden="1" x14ac:dyDescent="0.3">
      <c r="A8053">
        <v>8051</v>
      </c>
      <c r="B8053" t="s">
        <v>10534</v>
      </c>
      <c r="C8053" t="s">
        <v>220</v>
      </c>
      <c r="D8053">
        <v>27140657.894467101</v>
      </c>
    </row>
    <row r="8054" spans="1:4" hidden="1" x14ac:dyDescent="0.3">
      <c r="A8054">
        <v>8052</v>
      </c>
      <c r="B8054" s="1" t="s">
        <v>10535</v>
      </c>
      <c r="C8054" t="s">
        <v>222</v>
      </c>
      <c r="D8054" s="1" t="s">
        <v>10536</v>
      </c>
    </row>
    <row r="8055" spans="1:4" hidden="1" x14ac:dyDescent="0.3">
      <c r="A8055">
        <v>8053</v>
      </c>
      <c r="B8055" t="s">
        <v>10537</v>
      </c>
      <c r="C8055" t="s">
        <v>225</v>
      </c>
      <c r="D8055">
        <v>101166934.059341</v>
      </c>
    </row>
    <row r="8056" spans="1:4" hidden="1" x14ac:dyDescent="0.3">
      <c r="A8056">
        <v>8054</v>
      </c>
      <c r="B8056" t="s">
        <v>10538</v>
      </c>
      <c r="C8056" t="s">
        <v>227</v>
      </c>
      <c r="D8056">
        <v>-1659.47900596261</v>
      </c>
    </row>
    <row r="8057" spans="1:4" hidden="1" x14ac:dyDescent="0.3">
      <c r="A8057">
        <v>8055</v>
      </c>
      <c r="B8057" s="1" t="s">
        <v>10539</v>
      </c>
      <c r="C8057" t="s">
        <v>229</v>
      </c>
      <c r="D8057" s="1" t="s">
        <v>10540</v>
      </c>
    </row>
    <row r="8058" spans="1:4" hidden="1" x14ac:dyDescent="0.3">
      <c r="A8058">
        <v>8056</v>
      </c>
      <c r="B8058" t="s">
        <v>10541</v>
      </c>
      <c r="C8058" t="s">
        <v>112</v>
      </c>
      <c r="D8058">
        <v>444.19578141130398</v>
      </c>
    </row>
    <row r="8059" spans="1:4" hidden="1" x14ac:dyDescent="0.3">
      <c r="A8059">
        <v>8057</v>
      </c>
      <c r="B8059" t="s">
        <v>10542</v>
      </c>
      <c r="C8059" t="s">
        <v>114</v>
      </c>
      <c r="D8059">
        <v>88.619129188510996</v>
      </c>
    </row>
    <row r="8060" spans="1:4" hidden="1" x14ac:dyDescent="0.3">
      <c r="A8060">
        <v>8058</v>
      </c>
      <c r="B8060" s="1" t="s">
        <v>10543</v>
      </c>
      <c r="C8060" t="s">
        <v>116</v>
      </c>
      <c r="D8060" s="1" t="s">
        <v>10544</v>
      </c>
    </row>
    <row r="8061" spans="1:4" hidden="1" x14ac:dyDescent="0.3">
      <c r="A8061">
        <v>8059</v>
      </c>
      <c r="B8061" t="s">
        <v>10545</v>
      </c>
      <c r="C8061" t="s">
        <v>119</v>
      </c>
      <c r="D8061">
        <v>76231660.688562497</v>
      </c>
    </row>
    <row r="8062" spans="1:4" hidden="1" x14ac:dyDescent="0.3">
      <c r="A8062">
        <v>8060</v>
      </c>
      <c r="B8062" t="s">
        <v>10546</v>
      </c>
      <c r="C8062" t="s">
        <v>121</v>
      </c>
      <c r="D8062">
        <v>39057200.691608101</v>
      </c>
    </row>
    <row r="8063" spans="1:4" hidden="1" x14ac:dyDescent="0.3">
      <c r="A8063">
        <v>8061</v>
      </c>
      <c r="B8063" s="1" t="s">
        <v>10547</v>
      </c>
      <c r="C8063" t="s">
        <v>123</v>
      </c>
      <c r="D8063" s="1" t="s">
        <v>10548</v>
      </c>
    </row>
    <row r="8064" spans="1:4" hidden="1" x14ac:dyDescent="0.3">
      <c r="A8064">
        <v>8062</v>
      </c>
      <c r="B8064" t="s">
        <v>10549</v>
      </c>
      <c r="C8064" t="s">
        <v>126</v>
      </c>
      <c r="D8064">
        <v>0.75334100559656103</v>
      </c>
    </row>
    <row r="8065" spans="1:4" hidden="1" x14ac:dyDescent="0.3">
      <c r="A8065">
        <v>8063</v>
      </c>
      <c r="B8065" t="s">
        <v>10550</v>
      </c>
      <c r="C8065" t="s">
        <v>128</v>
      </c>
      <c r="D8065">
        <v>0.38597336827029499</v>
      </c>
    </row>
    <row r="8066" spans="1:4" hidden="1" x14ac:dyDescent="0.3">
      <c r="A8066">
        <v>8064</v>
      </c>
      <c r="B8066" s="1" t="s">
        <v>10551</v>
      </c>
      <c r="C8066" t="s">
        <v>130</v>
      </c>
      <c r="D8066" s="1" t="s">
        <v>10552</v>
      </c>
    </row>
    <row r="8067" spans="1:4" hidden="1" x14ac:dyDescent="0.3">
      <c r="A8067">
        <v>8065</v>
      </c>
      <c r="B8067" s="1" t="s">
        <v>10553</v>
      </c>
      <c r="C8067" t="s">
        <v>4</v>
      </c>
      <c r="D8067" t="s">
        <v>10554</v>
      </c>
    </row>
    <row r="8068" spans="1:4" hidden="1" x14ac:dyDescent="0.3">
      <c r="A8068">
        <v>8066</v>
      </c>
      <c r="B8068" t="s">
        <v>10555</v>
      </c>
      <c r="C8068" t="s">
        <v>7</v>
      </c>
      <c r="D8068">
        <v>1792.04</v>
      </c>
    </row>
    <row r="8069" spans="1:4" hidden="1" x14ac:dyDescent="0.3">
      <c r="A8069">
        <v>8067</v>
      </c>
      <c r="B8069" s="1" t="s">
        <v>10556</v>
      </c>
      <c r="C8069" t="s">
        <v>9</v>
      </c>
      <c r="D8069" s="1" t="s">
        <v>10557</v>
      </c>
    </row>
    <row r="8070" spans="1:4" hidden="1" x14ac:dyDescent="0.3">
      <c r="A8070">
        <v>8068</v>
      </c>
      <c r="B8070" t="s">
        <v>10558</v>
      </c>
      <c r="C8070" t="s">
        <v>14</v>
      </c>
      <c r="D8070">
        <v>97.484375</v>
      </c>
    </row>
    <row r="8071" spans="1:4" hidden="1" x14ac:dyDescent="0.3">
      <c r="A8071">
        <v>8069</v>
      </c>
      <c r="B8071" t="s">
        <v>10559</v>
      </c>
      <c r="C8071" t="s">
        <v>16</v>
      </c>
      <c r="D8071">
        <v>4.3797785256163397</v>
      </c>
    </row>
    <row r="8072" spans="1:4" hidden="1" x14ac:dyDescent="0.3">
      <c r="A8072">
        <v>8070</v>
      </c>
      <c r="B8072" s="1" t="s">
        <v>10560</v>
      </c>
      <c r="C8072" t="s">
        <v>140</v>
      </c>
      <c r="D8072" s="1" t="s">
        <v>10561</v>
      </c>
    </row>
    <row r="8073" spans="1:4" hidden="1" x14ac:dyDescent="0.3">
      <c r="A8073">
        <v>8071</v>
      </c>
      <c r="B8073" t="s">
        <v>10562</v>
      </c>
      <c r="C8073" t="s">
        <v>22</v>
      </c>
      <c r="D8073">
        <v>68.75</v>
      </c>
    </row>
    <row r="8074" spans="1:4" hidden="1" x14ac:dyDescent="0.3">
      <c r="A8074">
        <v>8072</v>
      </c>
      <c r="B8074" t="s">
        <v>10563</v>
      </c>
      <c r="C8074" t="s">
        <v>24</v>
      </c>
      <c r="D8074">
        <v>6.4977807654576196</v>
      </c>
    </row>
    <row r="8075" spans="1:4" hidden="1" x14ac:dyDescent="0.3">
      <c r="A8075">
        <v>8073</v>
      </c>
      <c r="B8075" s="1" t="s">
        <v>10564</v>
      </c>
      <c r="C8075" t="s">
        <v>145</v>
      </c>
      <c r="D8075" s="1" t="s">
        <v>10565</v>
      </c>
    </row>
    <row r="8076" spans="1:4" hidden="1" x14ac:dyDescent="0.3">
      <c r="A8076">
        <v>8074</v>
      </c>
      <c r="B8076" t="s">
        <v>10566</v>
      </c>
      <c r="C8076" t="s">
        <v>35</v>
      </c>
      <c r="D8076">
        <v>-1.25960759922911</v>
      </c>
    </row>
    <row r="8077" spans="1:4" hidden="1" x14ac:dyDescent="0.3">
      <c r="A8077">
        <v>8075</v>
      </c>
      <c r="B8077" t="s">
        <v>10567</v>
      </c>
      <c r="C8077" t="s">
        <v>149</v>
      </c>
      <c r="D8077">
        <v>0.73391140786889097</v>
      </c>
    </row>
    <row r="8078" spans="1:4" hidden="1" x14ac:dyDescent="0.3">
      <c r="A8078">
        <v>8076</v>
      </c>
      <c r="B8078" s="1" t="s">
        <v>10568</v>
      </c>
      <c r="C8078" t="s">
        <v>151</v>
      </c>
      <c r="D8078" s="1" t="s">
        <v>10569</v>
      </c>
    </row>
    <row r="8079" spans="1:4" hidden="1" x14ac:dyDescent="0.3">
      <c r="A8079">
        <v>8077</v>
      </c>
      <c r="B8079" t="s">
        <v>10570</v>
      </c>
      <c r="C8079" t="s">
        <v>30</v>
      </c>
      <c r="D8079">
        <v>0.89637086024062096</v>
      </c>
    </row>
    <row r="8080" spans="1:4" hidden="1" x14ac:dyDescent="0.3">
      <c r="A8080">
        <v>8078</v>
      </c>
      <c r="B8080" t="s">
        <v>10571</v>
      </c>
      <c r="C8080" t="s">
        <v>32</v>
      </c>
      <c r="D8080">
        <v>0.19004960361268899</v>
      </c>
    </row>
    <row r="8081" spans="1:4" hidden="1" x14ac:dyDescent="0.3">
      <c r="A8081">
        <v>8079</v>
      </c>
      <c r="B8081" s="1" t="s">
        <v>10572</v>
      </c>
      <c r="C8081" t="s">
        <v>155</v>
      </c>
      <c r="D8081" s="1" t="s">
        <v>10573</v>
      </c>
    </row>
    <row r="8082" spans="1:4" hidden="1" x14ac:dyDescent="0.3">
      <c r="A8082">
        <v>8080</v>
      </c>
      <c r="B8082" t="s">
        <v>10574</v>
      </c>
      <c r="C8082" t="s">
        <v>40</v>
      </c>
      <c r="D8082">
        <v>1.3632367389884901</v>
      </c>
    </row>
    <row r="8083" spans="1:4" hidden="1" x14ac:dyDescent="0.3">
      <c r="A8083">
        <v>8081</v>
      </c>
      <c r="B8083" t="s">
        <v>10575</v>
      </c>
      <c r="C8083" t="s">
        <v>42</v>
      </c>
      <c r="D8083">
        <v>0.17251267471974199</v>
      </c>
    </row>
    <row r="8084" spans="1:4" hidden="1" x14ac:dyDescent="0.3">
      <c r="A8084">
        <v>8082</v>
      </c>
      <c r="B8084" s="1" t="s">
        <v>10576</v>
      </c>
      <c r="C8084" t="s">
        <v>159</v>
      </c>
      <c r="D8084" s="1" t="s">
        <v>10577</v>
      </c>
    </row>
    <row r="8085" spans="1:4" hidden="1" x14ac:dyDescent="0.3">
      <c r="A8085">
        <v>8083</v>
      </c>
      <c r="B8085" t="s">
        <v>10578</v>
      </c>
      <c r="C8085" t="s">
        <v>161</v>
      </c>
      <c r="D8085">
        <v>1.01254350675767</v>
      </c>
    </row>
    <row r="8086" spans="1:4" hidden="1" x14ac:dyDescent="0.3">
      <c r="A8086">
        <v>8084</v>
      </c>
      <c r="B8086" t="s">
        <v>10579</v>
      </c>
      <c r="C8086" t="s">
        <v>163</v>
      </c>
      <c r="D8086">
        <v>1.0030891076675399</v>
      </c>
    </row>
    <row r="8087" spans="1:4" hidden="1" x14ac:dyDescent="0.3">
      <c r="A8087">
        <v>8085</v>
      </c>
      <c r="B8087" s="1" t="s">
        <v>10580</v>
      </c>
      <c r="C8087" t="s">
        <v>165</v>
      </c>
      <c r="D8087" s="1" t="s">
        <v>10581</v>
      </c>
    </row>
    <row r="8088" spans="1:4" hidden="1" x14ac:dyDescent="0.3">
      <c r="A8088">
        <v>8086</v>
      </c>
      <c r="B8088" t="s">
        <v>10582</v>
      </c>
      <c r="C8088" t="s">
        <v>168</v>
      </c>
      <c r="D8088">
        <v>0.99656785827177896</v>
      </c>
    </row>
    <row r="8089" spans="1:4" hidden="1" x14ac:dyDescent="0.3">
      <c r="A8089">
        <v>8087</v>
      </c>
      <c r="B8089" t="s">
        <v>10583</v>
      </c>
      <c r="C8089" t="s">
        <v>170</v>
      </c>
      <c r="D8089">
        <v>1.0045263858849001</v>
      </c>
    </row>
    <row r="8090" spans="1:4" hidden="1" x14ac:dyDescent="0.3">
      <c r="A8090">
        <v>8088</v>
      </c>
      <c r="B8090" s="1" t="s">
        <v>10584</v>
      </c>
      <c r="C8090" t="s">
        <v>172</v>
      </c>
      <c r="D8090" s="1" t="s">
        <v>10585</v>
      </c>
    </row>
    <row r="8091" spans="1:4" hidden="1" x14ac:dyDescent="0.3">
      <c r="A8091">
        <v>8089</v>
      </c>
      <c r="B8091" s="1" t="s">
        <v>10586</v>
      </c>
      <c r="C8091" t="s">
        <v>55</v>
      </c>
      <c r="D8091" s="1" t="s">
        <v>10587</v>
      </c>
    </row>
    <row r="8092" spans="1:4" hidden="1" x14ac:dyDescent="0.3">
      <c r="A8092">
        <v>8090</v>
      </c>
      <c r="B8092" s="1" t="s">
        <v>10588</v>
      </c>
      <c r="C8092" t="s">
        <v>52</v>
      </c>
      <c r="D8092" s="1" t="s">
        <v>10589</v>
      </c>
    </row>
    <row r="8093" spans="1:4" hidden="1" x14ac:dyDescent="0.3">
      <c r="A8093">
        <v>8091</v>
      </c>
      <c r="B8093" s="1" t="s">
        <v>10590</v>
      </c>
      <c r="C8093" t="s">
        <v>58</v>
      </c>
      <c r="D8093" s="1" t="s">
        <v>10591</v>
      </c>
    </row>
    <row r="8094" spans="1:4" hidden="1" x14ac:dyDescent="0.3">
      <c r="A8094">
        <v>8092</v>
      </c>
      <c r="B8094" t="s">
        <v>10592</v>
      </c>
      <c r="C8094" t="s">
        <v>61</v>
      </c>
      <c r="D8094">
        <v>143819316.72388601</v>
      </c>
    </row>
    <row r="8095" spans="1:4" hidden="1" x14ac:dyDescent="0.3">
      <c r="A8095">
        <v>8093</v>
      </c>
      <c r="B8095" t="s">
        <v>10593</v>
      </c>
      <c r="C8095" t="s">
        <v>63</v>
      </c>
      <c r="D8095">
        <v>77187873.039558202</v>
      </c>
    </row>
    <row r="8096" spans="1:4" hidden="1" x14ac:dyDescent="0.3">
      <c r="A8096">
        <v>8094</v>
      </c>
      <c r="B8096" t="s">
        <v>10594</v>
      </c>
      <c r="C8096" t="s">
        <v>65</v>
      </c>
      <c r="D8096">
        <v>39177852.5897374</v>
      </c>
    </row>
    <row r="8097" spans="1:4" hidden="1" x14ac:dyDescent="0.3">
      <c r="A8097">
        <v>8095</v>
      </c>
      <c r="B8097" s="1" t="s">
        <v>10595</v>
      </c>
      <c r="C8097" t="s">
        <v>67</v>
      </c>
      <c r="D8097" s="1" t="s">
        <v>10596</v>
      </c>
    </row>
    <row r="8098" spans="1:4" hidden="1" x14ac:dyDescent="0.3">
      <c r="A8098">
        <v>8096</v>
      </c>
      <c r="B8098" s="1" t="s">
        <v>10597</v>
      </c>
      <c r="C8098" t="s">
        <v>70</v>
      </c>
      <c r="D8098" s="1" t="s">
        <v>10598</v>
      </c>
    </row>
    <row r="8099" spans="1:4" hidden="1" x14ac:dyDescent="0.3">
      <c r="A8099">
        <v>8097</v>
      </c>
      <c r="B8099" t="s">
        <v>10599</v>
      </c>
      <c r="C8099" t="s">
        <v>73</v>
      </c>
      <c r="D8099">
        <v>1.0002422264281801</v>
      </c>
    </row>
    <row r="8100" spans="1:4" hidden="1" x14ac:dyDescent="0.3">
      <c r="A8100">
        <v>8098</v>
      </c>
      <c r="B8100" t="s">
        <v>74</v>
      </c>
      <c r="C8100" t="s">
        <v>75</v>
      </c>
      <c r="D8100">
        <v>2.7397260273972599E-3</v>
      </c>
    </row>
    <row r="8101" spans="1:4" hidden="1" x14ac:dyDescent="0.3">
      <c r="A8101">
        <v>8099</v>
      </c>
      <c r="B8101" t="s">
        <v>76</v>
      </c>
      <c r="C8101" t="s">
        <v>77</v>
      </c>
      <c r="D8101">
        <v>0</v>
      </c>
    </row>
    <row r="8102" spans="1:4" hidden="1" x14ac:dyDescent="0.3">
      <c r="A8102">
        <v>8100</v>
      </c>
      <c r="B8102" t="s">
        <v>78</v>
      </c>
      <c r="C8102" t="s">
        <v>79</v>
      </c>
      <c r="D8102">
        <v>0</v>
      </c>
    </row>
    <row r="8103" spans="1:4" hidden="1" x14ac:dyDescent="0.3">
      <c r="A8103">
        <v>8101</v>
      </c>
      <c r="B8103" s="1" t="s">
        <v>10600</v>
      </c>
      <c r="C8103" t="s">
        <v>81</v>
      </c>
      <c r="D8103" s="1" t="s">
        <v>10601</v>
      </c>
    </row>
    <row r="8104" spans="1:4" hidden="1" x14ac:dyDescent="0.3">
      <c r="A8104">
        <v>8102</v>
      </c>
      <c r="B8104" t="s">
        <v>10602</v>
      </c>
      <c r="C8104" t="s">
        <v>84</v>
      </c>
      <c r="D8104">
        <v>1.00025155965882</v>
      </c>
    </row>
    <row r="8105" spans="1:4" hidden="1" x14ac:dyDescent="0.3">
      <c r="A8105">
        <v>8103</v>
      </c>
      <c r="B8105" s="1" t="s">
        <v>10603</v>
      </c>
      <c r="C8105" t="s">
        <v>86</v>
      </c>
      <c r="D8105" s="1" t="s">
        <v>10604</v>
      </c>
    </row>
    <row r="8106" spans="1:4" hidden="1" x14ac:dyDescent="0.3">
      <c r="A8106">
        <v>8104</v>
      </c>
      <c r="B8106" t="s">
        <v>10605</v>
      </c>
      <c r="C8106" t="s">
        <v>89</v>
      </c>
      <c r="D8106">
        <v>101164330.618958</v>
      </c>
    </row>
    <row r="8107" spans="1:4" hidden="1" x14ac:dyDescent="0.3">
      <c r="A8107">
        <v>8105</v>
      </c>
      <c r="B8107" s="1" t="s">
        <v>10606</v>
      </c>
      <c r="C8107" t="s">
        <v>91</v>
      </c>
      <c r="D8107" s="1" t="s">
        <v>10540</v>
      </c>
    </row>
    <row r="8108" spans="1:4" hidden="1" x14ac:dyDescent="0.3">
      <c r="A8108">
        <v>8106</v>
      </c>
      <c r="B8108" t="s">
        <v>10607</v>
      </c>
      <c r="C8108" t="s">
        <v>94</v>
      </c>
      <c r="D8108">
        <v>77187873.039558202</v>
      </c>
    </row>
    <row r="8109" spans="1:4" hidden="1" x14ac:dyDescent="0.3">
      <c r="A8109">
        <v>8107</v>
      </c>
      <c r="B8109" t="s">
        <v>10608</v>
      </c>
      <c r="C8109" t="s">
        <v>96</v>
      </c>
      <c r="D8109">
        <v>39177852.5897374</v>
      </c>
    </row>
    <row r="8110" spans="1:4" hidden="1" x14ac:dyDescent="0.3">
      <c r="A8110">
        <v>8108</v>
      </c>
      <c r="B8110" t="s">
        <v>10609</v>
      </c>
      <c r="C8110" t="s">
        <v>98</v>
      </c>
      <c r="D8110">
        <v>27453591.094590399</v>
      </c>
    </row>
    <row r="8111" spans="1:4" hidden="1" x14ac:dyDescent="0.3">
      <c r="A8111">
        <v>8109</v>
      </c>
      <c r="B8111" s="1" t="s">
        <v>10610</v>
      </c>
      <c r="C8111" t="s">
        <v>100</v>
      </c>
      <c r="D8111" s="1" t="s">
        <v>10611</v>
      </c>
    </row>
    <row r="8112" spans="1:4" hidden="1" x14ac:dyDescent="0.3">
      <c r="A8112">
        <v>8110</v>
      </c>
      <c r="B8112" t="s">
        <v>10612</v>
      </c>
      <c r="C8112" t="s">
        <v>103</v>
      </c>
      <c r="D8112">
        <v>8.1127308448441706E-3</v>
      </c>
    </row>
    <row r="8113" spans="1:4" hidden="1" x14ac:dyDescent="0.3">
      <c r="A8113">
        <v>8111</v>
      </c>
      <c r="B8113" t="s">
        <v>10613</v>
      </c>
      <c r="C8113" t="s">
        <v>105</v>
      </c>
      <c r="D8113">
        <v>1.4080672108867901E-3</v>
      </c>
    </row>
    <row r="8114" spans="1:4" hidden="1" x14ac:dyDescent="0.3">
      <c r="A8114">
        <v>8112</v>
      </c>
      <c r="B8114" t="s">
        <v>10614</v>
      </c>
      <c r="C8114" t="s">
        <v>107</v>
      </c>
      <c r="D8114">
        <v>1.04611977539348E-2</v>
      </c>
    </row>
    <row r="8115" spans="1:4" hidden="1" x14ac:dyDescent="0.3">
      <c r="A8115">
        <v>8113</v>
      </c>
      <c r="B8115" s="1" t="s">
        <v>10615</v>
      </c>
      <c r="C8115" t="s">
        <v>109</v>
      </c>
      <c r="D8115" s="1" t="s">
        <v>10616</v>
      </c>
    </row>
    <row r="8116" spans="1:4" x14ac:dyDescent="0.3">
      <c r="A8116">
        <v>8114</v>
      </c>
      <c r="B8116" t="s">
        <v>10617</v>
      </c>
      <c r="C8116" t="s">
        <v>207</v>
      </c>
      <c r="D8116">
        <v>143819643.866409</v>
      </c>
    </row>
    <row r="8117" spans="1:4" hidden="1" x14ac:dyDescent="0.3">
      <c r="A8117">
        <v>8115</v>
      </c>
      <c r="B8117" t="s">
        <v>10618</v>
      </c>
      <c r="C8117" t="s">
        <v>209</v>
      </c>
      <c r="D8117">
        <v>-720.23987224581299</v>
      </c>
    </row>
    <row r="8118" spans="1:4" hidden="1" x14ac:dyDescent="0.3">
      <c r="A8118">
        <v>8116</v>
      </c>
      <c r="B8118" t="s">
        <v>10619</v>
      </c>
      <c r="C8118" t="s">
        <v>211</v>
      </c>
      <c r="D8118">
        <v>-365.56803048318397</v>
      </c>
    </row>
    <row r="8119" spans="1:4" hidden="1" x14ac:dyDescent="0.3">
      <c r="A8119">
        <v>8117</v>
      </c>
      <c r="B8119" s="1" t="s">
        <v>10620</v>
      </c>
      <c r="C8119" t="s">
        <v>213</v>
      </c>
      <c r="D8119" s="1" t="s">
        <v>10621</v>
      </c>
    </row>
    <row r="8120" spans="1:4" hidden="1" x14ac:dyDescent="0.3">
      <c r="A8120">
        <v>8118</v>
      </c>
      <c r="B8120" t="s">
        <v>10622</v>
      </c>
      <c r="C8120" t="s">
        <v>216</v>
      </c>
      <c r="D8120">
        <v>77188819.596429393</v>
      </c>
    </row>
    <row r="8121" spans="1:4" hidden="1" x14ac:dyDescent="0.3">
      <c r="A8121">
        <v>8119</v>
      </c>
      <c r="B8121" t="s">
        <v>10623</v>
      </c>
      <c r="C8121" t="s">
        <v>218</v>
      </c>
      <c r="D8121">
        <v>39178287.460261501</v>
      </c>
    </row>
    <row r="8122" spans="1:4" hidden="1" x14ac:dyDescent="0.3">
      <c r="A8122">
        <v>8120</v>
      </c>
      <c r="B8122" t="s">
        <v>10624</v>
      </c>
      <c r="C8122" t="s">
        <v>220</v>
      </c>
      <c r="D8122">
        <v>27453878.7865621</v>
      </c>
    </row>
    <row r="8123" spans="1:4" hidden="1" x14ac:dyDescent="0.3">
      <c r="A8123">
        <v>8121</v>
      </c>
      <c r="B8123" s="1" t="s">
        <v>10625</v>
      </c>
      <c r="C8123" t="s">
        <v>222</v>
      </c>
      <c r="D8123" s="1" t="s">
        <v>10626</v>
      </c>
    </row>
    <row r="8124" spans="1:4" hidden="1" x14ac:dyDescent="0.3">
      <c r="A8124">
        <v>8122</v>
      </c>
      <c r="B8124" t="s">
        <v>10627</v>
      </c>
      <c r="C8124" t="s">
        <v>225</v>
      </c>
      <c r="D8124">
        <v>101165274.58033501</v>
      </c>
    </row>
    <row r="8125" spans="1:4" hidden="1" x14ac:dyDescent="0.3">
      <c r="A8125">
        <v>8123</v>
      </c>
      <c r="B8125" t="s">
        <v>10628</v>
      </c>
      <c r="C8125" t="s">
        <v>227</v>
      </c>
      <c r="D8125">
        <v>-943.96137705445199</v>
      </c>
    </row>
    <row r="8126" spans="1:4" hidden="1" x14ac:dyDescent="0.3">
      <c r="A8126">
        <v>8124</v>
      </c>
      <c r="B8126" s="1" t="s">
        <v>10629</v>
      </c>
      <c r="C8126" t="s">
        <v>229</v>
      </c>
      <c r="D8126" s="1" t="s">
        <v>10630</v>
      </c>
    </row>
    <row r="8127" spans="1:4" hidden="1" x14ac:dyDescent="0.3">
      <c r="A8127">
        <v>8125</v>
      </c>
      <c r="B8127" t="s">
        <v>10631</v>
      </c>
      <c r="C8127" t="s">
        <v>112</v>
      </c>
      <c r="D8127">
        <v>226.31699900770801</v>
      </c>
    </row>
    <row r="8128" spans="1:4" hidden="1" x14ac:dyDescent="0.3">
      <c r="A8128">
        <v>8126</v>
      </c>
      <c r="B8128" t="s">
        <v>10632</v>
      </c>
      <c r="C8128" t="s">
        <v>114</v>
      </c>
      <c r="D8128">
        <v>69.302493609734398</v>
      </c>
    </row>
    <row r="8129" spans="1:4" hidden="1" x14ac:dyDescent="0.3">
      <c r="A8129">
        <v>8127</v>
      </c>
      <c r="B8129" s="1" t="s">
        <v>10633</v>
      </c>
      <c r="C8129" t="s">
        <v>116</v>
      </c>
      <c r="D8129" s="1" t="s">
        <v>10634</v>
      </c>
    </row>
    <row r="8130" spans="1:4" hidden="1" x14ac:dyDescent="0.3">
      <c r="A8130">
        <v>8128</v>
      </c>
      <c r="B8130" t="s">
        <v>10635</v>
      </c>
      <c r="C8130" t="s">
        <v>119</v>
      </c>
      <c r="D8130">
        <v>77188819.596429393</v>
      </c>
    </row>
    <row r="8131" spans="1:4" hidden="1" x14ac:dyDescent="0.3">
      <c r="A8131">
        <v>8129</v>
      </c>
      <c r="B8131" t="s">
        <v>10636</v>
      </c>
      <c r="C8131" t="s">
        <v>121</v>
      </c>
      <c r="D8131">
        <v>39178287.460261501</v>
      </c>
    </row>
    <row r="8132" spans="1:4" hidden="1" x14ac:dyDescent="0.3">
      <c r="A8132">
        <v>8130</v>
      </c>
      <c r="B8132" s="1" t="s">
        <v>10637</v>
      </c>
      <c r="C8132" t="s">
        <v>123</v>
      </c>
      <c r="D8132" s="1" t="s">
        <v>10638</v>
      </c>
    </row>
    <row r="8133" spans="1:4" hidden="1" x14ac:dyDescent="0.3">
      <c r="A8133">
        <v>8131</v>
      </c>
      <c r="B8133" t="s">
        <v>10639</v>
      </c>
      <c r="C8133" t="s">
        <v>126</v>
      </c>
      <c r="D8133">
        <v>0.76280529269439601</v>
      </c>
    </row>
    <row r="8134" spans="1:4" hidden="1" x14ac:dyDescent="0.3">
      <c r="A8134">
        <v>8132</v>
      </c>
      <c r="B8134" t="s">
        <v>10640</v>
      </c>
      <c r="C8134" t="s">
        <v>128</v>
      </c>
      <c r="D8134">
        <v>0.38717271736556502</v>
      </c>
    </row>
    <row r="8135" spans="1:4" hidden="1" x14ac:dyDescent="0.3">
      <c r="A8135">
        <v>8133</v>
      </c>
      <c r="B8135" s="1" t="s">
        <v>10641</v>
      </c>
      <c r="C8135" t="s">
        <v>130</v>
      </c>
      <c r="D8135" s="1" t="s">
        <v>10642</v>
      </c>
    </row>
    <row r="8136" spans="1:4" hidden="1" x14ac:dyDescent="0.3">
      <c r="A8136">
        <v>8134</v>
      </c>
      <c r="B8136" s="1" t="s">
        <v>10643</v>
      </c>
      <c r="C8136" t="s">
        <v>4</v>
      </c>
      <c r="D8136" t="s">
        <v>10644</v>
      </c>
    </row>
    <row r="8137" spans="1:4" hidden="1" x14ac:dyDescent="0.3">
      <c r="A8137">
        <v>8135</v>
      </c>
      <c r="B8137" t="s">
        <v>10645</v>
      </c>
      <c r="C8137" t="s">
        <v>7</v>
      </c>
      <c r="D8137">
        <v>1818.36</v>
      </c>
    </row>
    <row r="8138" spans="1:4" hidden="1" x14ac:dyDescent="0.3">
      <c r="A8138">
        <v>8136</v>
      </c>
      <c r="B8138" s="1" t="s">
        <v>10646</v>
      </c>
      <c r="C8138" t="s">
        <v>9</v>
      </c>
      <c r="D8138" s="1" t="s">
        <v>10647</v>
      </c>
    </row>
    <row r="8139" spans="1:4" hidden="1" x14ac:dyDescent="0.3">
      <c r="A8139">
        <v>8137</v>
      </c>
      <c r="B8139" t="s">
        <v>10648</v>
      </c>
      <c r="C8139" t="s">
        <v>14</v>
      </c>
      <c r="D8139">
        <v>97.69140625</v>
      </c>
    </row>
    <row r="8140" spans="1:4" hidden="1" x14ac:dyDescent="0.3">
      <c r="A8140">
        <v>8138</v>
      </c>
      <c r="B8140" t="s">
        <v>10649</v>
      </c>
      <c r="C8140" t="s">
        <v>16</v>
      </c>
      <c r="D8140">
        <v>4.3858267177995103</v>
      </c>
    </row>
    <row r="8141" spans="1:4" hidden="1" x14ac:dyDescent="0.3">
      <c r="A8141">
        <v>8139</v>
      </c>
      <c r="B8141" s="1" t="s">
        <v>10650</v>
      </c>
      <c r="C8141" t="s">
        <v>140</v>
      </c>
      <c r="D8141" s="1" t="s">
        <v>10651</v>
      </c>
    </row>
    <row r="8142" spans="1:4" hidden="1" x14ac:dyDescent="0.3">
      <c r="A8142">
        <v>8140</v>
      </c>
      <c r="B8142" t="s">
        <v>10652</v>
      </c>
      <c r="C8142" t="s">
        <v>22</v>
      </c>
      <c r="D8142">
        <v>68.7</v>
      </c>
    </row>
    <row r="8143" spans="1:4" hidden="1" x14ac:dyDescent="0.3">
      <c r="A8143">
        <v>8141</v>
      </c>
      <c r="B8143" t="s">
        <v>10653</v>
      </c>
      <c r="C8143" t="s">
        <v>24</v>
      </c>
      <c r="D8143">
        <v>6.5826628742791202</v>
      </c>
    </row>
    <row r="8144" spans="1:4" hidden="1" x14ac:dyDescent="0.3">
      <c r="A8144">
        <v>8142</v>
      </c>
      <c r="B8144" s="1" t="s">
        <v>10654</v>
      </c>
      <c r="C8144" t="s">
        <v>145</v>
      </c>
      <c r="D8144" s="1" t="s">
        <v>10655</v>
      </c>
    </row>
    <row r="8145" spans="1:4" hidden="1" x14ac:dyDescent="0.3">
      <c r="A8145">
        <v>8143</v>
      </c>
      <c r="B8145" t="s">
        <v>10656</v>
      </c>
      <c r="C8145" t="s">
        <v>35</v>
      </c>
      <c r="D8145">
        <v>-0.65492897175014997</v>
      </c>
    </row>
    <row r="8146" spans="1:4" hidden="1" x14ac:dyDescent="0.3">
      <c r="A8146">
        <v>8144</v>
      </c>
      <c r="B8146" t="s">
        <v>10657</v>
      </c>
      <c r="C8146" t="s">
        <v>149</v>
      </c>
      <c r="D8146">
        <v>0.73548577548938199</v>
      </c>
    </row>
    <row r="8147" spans="1:4" hidden="1" x14ac:dyDescent="0.3">
      <c r="A8147">
        <v>8145</v>
      </c>
      <c r="B8147" s="1" t="s">
        <v>10658</v>
      </c>
      <c r="C8147" t="s">
        <v>151</v>
      </c>
      <c r="D8147" s="1" t="s">
        <v>10659</v>
      </c>
    </row>
    <row r="8148" spans="1:4" hidden="1" x14ac:dyDescent="0.3">
      <c r="A8148">
        <v>8146</v>
      </c>
      <c r="B8148" t="s">
        <v>10660</v>
      </c>
      <c r="C8148" t="s">
        <v>30</v>
      </c>
      <c r="D8148">
        <v>0.64373185562883195</v>
      </c>
    </row>
    <row r="8149" spans="1:4" hidden="1" x14ac:dyDescent="0.3">
      <c r="A8149">
        <v>8147</v>
      </c>
      <c r="B8149" t="s">
        <v>10661</v>
      </c>
      <c r="C8149" t="s">
        <v>32</v>
      </c>
      <c r="D8149">
        <v>0.190092774378716</v>
      </c>
    </row>
    <row r="8150" spans="1:4" hidden="1" x14ac:dyDescent="0.3">
      <c r="A8150">
        <v>8148</v>
      </c>
      <c r="B8150" s="1" t="s">
        <v>10662</v>
      </c>
      <c r="C8150" t="s">
        <v>155</v>
      </c>
      <c r="D8150" s="1" t="s">
        <v>10663</v>
      </c>
    </row>
    <row r="8151" spans="1:4" hidden="1" x14ac:dyDescent="0.3">
      <c r="A8151">
        <v>8149</v>
      </c>
      <c r="B8151" t="s">
        <v>10664</v>
      </c>
      <c r="C8151" t="s">
        <v>40</v>
      </c>
      <c r="D8151">
        <v>1.01119711612131</v>
      </c>
    </row>
    <row r="8152" spans="1:4" hidden="1" x14ac:dyDescent="0.3">
      <c r="A8152">
        <v>8150</v>
      </c>
      <c r="B8152" t="s">
        <v>10665</v>
      </c>
      <c r="C8152" t="s">
        <v>42</v>
      </c>
      <c r="D8152">
        <v>0.16955282765160501</v>
      </c>
    </row>
    <row r="8153" spans="1:4" hidden="1" x14ac:dyDescent="0.3">
      <c r="A8153">
        <v>8151</v>
      </c>
      <c r="B8153" s="1" t="s">
        <v>10666</v>
      </c>
      <c r="C8153" t="s">
        <v>159</v>
      </c>
      <c r="D8153" s="1" t="s">
        <v>10667</v>
      </c>
    </row>
    <row r="8154" spans="1:4" hidden="1" x14ac:dyDescent="0.3">
      <c r="A8154">
        <v>8152</v>
      </c>
      <c r="B8154" t="s">
        <v>10668</v>
      </c>
      <c r="C8154" t="s">
        <v>161</v>
      </c>
      <c r="D8154">
        <v>1.01468717216133</v>
      </c>
    </row>
    <row r="8155" spans="1:4" hidden="1" x14ac:dyDescent="0.3">
      <c r="A8155">
        <v>8153</v>
      </c>
      <c r="B8155" t="s">
        <v>10669</v>
      </c>
      <c r="C8155" t="s">
        <v>163</v>
      </c>
      <c r="D8155">
        <v>1.00209180005731</v>
      </c>
    </row>
    <row r="8156" spans="1:4" hidden="1" x14ac:dyDescent="0.3">
      <c r="A8156">
        <v>8154</v>
      </c>
      <c r="B8156" s="1" t="s">
        <v>10670</v>
      </c>
      <c r="C8156" t="s">
        <v>165</v>
      </c>
      <c r="D8156" s="1" t="s">
        <v>10671</v>
      </c>
    </row>
    <row r="8157" spans="1:4" hidden="1" x14ac:dyDescent="0.3">
      <c r="A8157">
        <v>8155</v>
      </c>
      <c r="B8157" t="s">
        <v>10672</v>
      </c>
      <c r="C8157" t="s">
        <v>168</v>
      </c>
      <c r="D8157">
        <v>1.0009079861943</v>
      </c>
    </row>
    <row r="8158" spans="1:4" hidden="1" x14ac:dyDescent="0.3">
      <c r="A8158">
        <v>8156</v>
      </c>
      <c r="B8158" t="s">
        <v>10673</v>
      </c>
      <c r="C8158" t="s">
        <v>170</v>
      </c>
      <c r="D8158">
        <v>1.0000362764424999</v>
      </c>
    </row>
    <row r="8159" spans="1:4" hidden="1" x14ac:dyDescent="0.3">
      <c r="A8159">
        <v>8157</v>
      </c>
      <c r="B8159" s="1" t="s">
        <v>10674</v>
      </c>
      <c r="C8159" t="s">
        <v>172</v>
      </c>
      <c r="D8159" s="1" t="s">
        <v>10675</v>
      </c>
    </row>
    <row r="8160" spans="1:4" hidden="1" x14ac:dyDescent="0.3">
      <c r="A8160">
        <v>8158</v>
      </c>
      <c r="B8160" s="1" t="s">
        <v>10676</v>
      </c>
      <c r="C8160" t="s">
        <v>55</v>
      </c>
      <c r="D8160" s="1" t="s">
        <v>10677</v>
      </c>
    </row>
    <row r="8161" spans="1:4" hidden="1" x14ac:dyDescent="0.3">
      <c r="A8161">
        <v>8159</v>
      </c>
      <c r="B8161" s="1" t="s">
        <v>10678</v>
      </c>
      <c r="C8161" t="s">
        <v>52</v>
      </c>
      <c r="D8161" s="1" t="s">
        <v>10679</v>
      </c>
    </row>
    <row r="8162" spans="1:4" hidden="1" x14ac:dyDescent="0.3">
      <c r="A8162">
        <v>8160</v>
      </c>
      <c r="B8162" s="1" t="s">
        <v>10680</v>
      </c>
      <c r="C8162" t="s">
        <v>58</v>
      </c>
      <c r="D8162" s="1" t="s">
        <v>10681</v>
      </c>
    </row>
    <row r="8163" spans="1:4" hidden="1" x14ac:dyDescent="0.3">
      <c r="A8163">
        <v>8161</v>
      </c>
      <c r="B8163" t="s">
        <v>10682</v>
      </c>
      <c r="C8163" t="s">
        <v>61</v>
      </c>
      <c r="D8163">
        <v>145049351.07992601</v>
      </c>
    </row>
    <row r="8164" spans="1:4" hidden="1" x14ac:dyDescent="0.3">
      <c r="A8164">
        <v>8162</v>
      </c>
      <c r="B8164" t="s">
        <v>10683</v>
      </c>
      <c r="C8164" t="s">
        <v>63</v>
      </c>
      <c r="D8164">
        <v>78322505.0787725</v>
      </c>
    </row>
    <row r="8165" spans="1:4" hidden="1" x14ac:dyDescent="0.3">
      <c r="A8165">
        <v>8163</v>
      </c>
      <c r="B8165" t="s">
        <v>10684</v>
      </c>
      <c r="C8165" t="s">
        <v>65</v>
      </c>
      <c r="D8165">
        <v>39260240.604216397</v>
      </c>
    </row>
    <row r="8166" spans="1:4" hidden="1" x14ac:dyDescent="0.3">
      <c r="A8166">
        <v>8164</v>
      </c>
      <c r="B8166" s="1" t="s">
        <v>10685</v>
      </c>
      <c r="C8166" t="s">
        <v>67</v>
      </c>
      <c r="D8166" s="1" t="s">
        <v>10686</v>
      </c>
    </row>
    <row r="8167" spans="1:4" hidden="1" x14ac:dyDescent="0.3">
      <c r="A8167">
        <v>8165</v>
      </c>
      <c r="B8167" s="1" t="s">
        <v>10687</v>
      </c>
      <c r="C8167" t="s">
        <v>70</v>
      </c>
      <c r="D8167" s="1" t="s">
        <v>10688</v>
      </c>
    </row>
    <row r="8168" spans="1:4" hidden="1" x14ac:dyDescent="0.3">
      <c r="A8168">
        <v>8166</v>
      </c>
      <c r="B8168" t="s">
        <v>10689</v>
      </c>
      <c r="C8168" t="s">
        <v>73</v>
      </c>
      <c r="D8168">
        <v>1.00025155965882</v>
      </c>
    </row>
    <row r="8169" spans="1:4" hidden="1" x14ac:dyDescent="0.3">
      <c r="A8169">
        <v>8167</v>
      </c>
      <c r="B8169" t="s">
        <v>74</v>
      </c>
      <c r="C8169" t="s">
        <v>75</v>
      </c>
      <c r="D8169">
        <v>2.7397260273972599E-3</v>
      </c>
    </row>
    <row r="8170" spans="1:4" hidden="1" x14ac:dyDescent="0.3">
      <c r="A8170">
        <v>8168</v>
      </c>
      <c r="B8170" t="s">
        <v>76</v>
      </c>
      <c r="C8170" t="s">
        <v>77</v>
      </c>
      <c r="D8170">
        <v>0</v>
      </c>
    </row>
    <row r="8171" spans="1:4" hidden="1" x14ac:dyDescent="0.3">
      <c r="A8171">
        <v>8169</v>
      </c>
      <c r="B8171" t="s">
        <v>78</v>
      </c>
      <c r="C8171" t="s">
        <v>79</v>
      </c>
      <c r="D8171">
        <v>0</v>
      </c>
    </row>
    <row r="8172" spans="1:4" hidden="1" x14ac:dyDescent="0.3">
      <c r="A8172">
        <v>8170</v>
      </c>
      <c r="B8172" s="1" t="s">
        <v>10690</v>
      </c>
      <c r="C8172" t="s">
        <v>81</v>
      </c>
      <c r="D8172" s="1" t="s">
        <v>10691</v>
      </c>
    </row>
    <row r="8173" spans="1:4" hidden="1" x14ac:dyDescent="0.3">
      <c r="A8173">
        <v>8171</v>
      </c>
      <c r="B8173" t="s">
        <v>10692</v>
      </c>
      <c r="C8173" t="s">
        <v>84</v>
      </c>
      <c r="D8173">
        <v>1.00023032729971</v>
      </c>
    </row>
    <row r="8174" spans="1:4" hidden="1" x14ac:dyDescent="0.3">
      <c r="A8174">
        <v>8172</v>
      </c>
      <c r="B8174" s="1" t="s">
        <v>10693</v>
      </c>
      <c r="C8174" t="s">
        <v>86</v>
      </c>
      <c r="D8174" s="1" t="s">
        <v>10694</v>
      </c>
    </row>
    <row r="8175" spans="1:4" hidden="1" x14ac:dyDescent="0.3">
      <c r="A8175">
        <v>8173</v>
      </c>
      <c r="B8175" t="s">
        <v>10695</v>
      </c>
      <c r="C8175" t="s">
        <v>89</v>
      </c>
      <c r="D8175">
        <v>101166478.081735</v>
      </c>
    </row>
    <row r="8176" spans="1:4" hidden="1" x14ac:dyDescent="0.3">
      <c r="A8176">
        <v>8174</v>
      </c>
      <c r="B8176" s="1" t="s">
        <v>10696</v>
      </c>
      <c r="C8176" t="s">
        <v>91</v>
      </c>
      <c r="D8176" s="1" t="s">
        <v>10630</v>
      </c>
    </row>
    <row r="8177" spans="1:4" hidden="1" x14ac:dyDescent="0.3">
      <c r="A8177">
        <v>8175</v>
      </c>
      <c r="B8177" t="s">
        <v>10697</v>
      </c>
      <c r="C8177" t="s">
        <v>94</v>
      </c>
      <c r="D8177">
        <v>78322505.0787725</v>
      </c>
    </row>
    <row r="8178" spans="1:4" hidden="1" x14ac:dyDescent="0.3">
      <c r="A8178">
        <v>8176</v>
      </c>
      <c r="B8178" t="s">
        <v>10698</v>
      </c>
      <c r="C8178" t="s">
        <v>96</v>
      </c>
      <c r="D8178">
        <v>39260240.604216397</v>
      </c>
    </row>
    <row r="8179" spans="1:4" hidden="1" x14ac:dyDescent="0.3">
      <c r="A8179">
        <v>8177</v>
      </c>
      <c r="B8179" t="s">
        <v>10699</v>
      </c>
      <c r="C8179" t="s">
        <v>98</v>
      </c>
      <c r="D8179">
        <v>27466605.3969374</v>
      </c>
    </row>
    <row r="8180" spans="1:4" hidden="1" x14ac:dyDescent="0.3">
      <c r="A8180">
        <v>8178</v>
      </c>
      <c r="B8180" s="1" t="s">
        <v>10700</v>
      </c>
      <c r="C8180" t="s">
        <v>100</v>
      </c>
      <c r="D8180" s="1" t="s">
        <v>10701</v>
      </c>
    </row>
    <row r="8181" spans="1:4" hidden="1" x14ac:dyDescent="0.3">
      <c r="A8181">
        <v>8179</v>
      </c>
      <c r="B8181" t="s">
        <v>10702</v>
      </c>
      <c r="C8181" t="s">
        <v>103</v>
      </c>
      <c r="D8181">
        <v>8.2161465183191104E-3</v>
      </c>
    </row>
    <row r="8182" spans="1:4" hidden="1" x14ac:dyDescent="0.3">
      <c r="A8182">
        <v>8180</v>
      </c>
      <c r="B8182" t="s">
        <v>10703</v>
      </c>
      <c r="C8182" t="s">
        <v>105</v>
      </c>
      <c r="D8182">
        <v>1.42333633661376E-3</v>
      </c>
    </row>
    <row r="8183" spans="1:4" hidden="1" x14ac:dyDescent="0.3">
      <c r="A8183">
        <v>8181</v>
      </c>
      <c r="B8183" t="s">
        <v>10704</v>
      </c>
      <c r="C8183" t="s">
        <v>107</v>
      </c>
      <c r="D8183">
        <v>1.02728135901039E-2</v>
      </c>
    </row>
    <row r="8184" spans="1:4" hidden="1" x14ac:dyDescent="0.3">
      <c r="A8184">
        <v>8182</v>
      </c>
      <c r="B8184" s="1" t="s">
        <v>10705</v>
      </c>
      <c r="C8184" t="s">
        <v>109</v>
      </c>
      <c r="D8184" s="1" t="s">
        <v>10706</v>
      </c>
    </row>
    <row r="8185" spans="1:4" x14ac:dyDescent="0.3">
      <c r="A8185">
        <v>8183</v>
      </c>
      <c r="B8185" t="s">
        <v>10707</v>
      </c>
      <c r="C8185" t="s">
        <v>207</v>
      </c>
      <c r="D8185">
        <v>145048605.313492</v>
      </c>
    </row>
    <row r="8186" spans="1:4" hidden="1" x14ac:dyDescent="0.3">
      <c r="A8186">
        <v>8184</v>
      </c>
      <c r="B8186" t="s">
        <v>10708</v>
      </c>
      <c r="C8186" t="s">
        <v>209</v>
      </c>
      <c r="D8186">
        <v>1662.5410126377999</v>
      </c>
    </row>
    <row r="8187" spans="1:4" hidden="1" x14ac:dyDescent="0.3">
      <c r="A8187">
        <v>8185</v>
      </c>
      <c r="B8187" t="s">
        <v>10709</v>
      </c>
      <c r="C8187" t="s">
        <v>211</v>
      </c>
      <c r="D8187">
        <v>833.37546364038099</v>
      </c>
    </row>
    <row r="8188" spans="1:4" hidden="1" x14ac:dyDescent="0.3">
      <c r="A8188">
        <v>8186</v>
      </c>
      <c r="B8188" s="1" t="s">
        <v>10710</v>
      </c>
      <c r="C8188" t="s">
        <v>213</v>
      </c>
      <c r="D8188" s="1" t="s">
        <v>10711</v>
      </c>
    </row>
    <row r="8189" spans="1:4" hidden="1" x14ac:dyDescent="0.3">
      <c r="A8189">
        <v>8187</v>
      </c>
      <c r="B8189" t="s">
        <v>10712</v>
      </c>
      <c r="C8189" t="s">
        <v>216</v>
      </c>
      <c r="D8189">
        <v>78320262.607639402</v>
      </c>
    </row>
    <row r="8190" spans="1:4" hidden="1" x14ac:dyDescent="0.3">
      <c r="A8190">
        <v>8188</v>
      </c>
      <c r="B8190" t="s">
        <v>10713</v>
      </c>
      <c r="C8190" t="s">
        <v>218</v>
      </c>
      <c r="D8190">
        <v>39259293.254678696</v>
      </c>
    </row>
    <row r="8191" spans="1:4" hidden="1" x14ac:dyDescent="0.3">
      <c r="A8191">
        <v>8189</v>
      </c>
      <c r="B8191" t="s">
        <v>10714</v>
      </c>
      <c r="C8191" t="s">
        <v>220</v>
      </c>
      <c r="D8191">
        <v>27465970.501637299</v>
      </c>
    </row>
    <row r="8192" spans="1:4" hidden="1" x14ac:dyDescent="0.3">
      <c r="A8192">
        <v>8190</v>
      </c>
      <c r="B8192" s="1" t="s">
        <v>10715</v>
      </c>
      <c r="C8192" t="s">
        <v>222</v>
      </c>
      <c r="D8192" s="1" t="s">
        <v>10716</v>
      </c>
    </row>
    <row r="8193" spans="1:4" hidden="1" x14ac:dyDescent="0.3">
      <c r="A8193">
        <v>8191</v>
      </c>
      <c r="B8193" t="s">
        <v>10717</v>
      </c>
      <c r="C8193" t="s">
        <v>225</v>
      </c>
      <c r="D8193">
        <v>101164330.618958</v>
      </c>
    </row>
    <row r="8194" spans="1:4" hidden="1" x14ac:dyDescent="0.3">
      <c r="A8194">
        <v>8192</v>
      </c>
      <c r="B8194" t="s">
        <v>10718</v>
      </c>
      <c r="C8194" t="s">
        <v>227</v>
      </c>
      <c r="D8194">
        <v>2147.4627774506798</v>
      </c>
    </row>
    <row r="8195" spans="1:4" hidden="1" x14ac:dyDescent="0.3">
      <c r="A8195">
        <v>8193</v>
      </c>
      <c r="B8195" s="1" t="s">
        <v>10719</v>
      </c>
      <c r="C8195" t="s">
        <v>229</v>
      </c>
      <c r="D8195" s="1" t="s">
        <v>10720</v>
      </c>
    </row>
    <row r="8196" spans="1:4" hidden="1" x14ac:dyDescent="0.3">
      <c r="A8196">
        <v>8194</v>
      </c>
      <c r="B8196" t="s">
        <v>10721</v>
      </c>
      <c r="C8196" t="s">
        <v>112</v>
      </c>
      <c r="D8196">
        <v>-579.93012045023499</v>
      </c>
    </row>
    <row r="8197" spans="1:4" hidden="1" x14ac:dyDescent="0.3">
      <c r="A8197">
        <v>8195</v>
      </c>
      <c r="B8197" t="s">
        <v>10722</v>
      </c>
      <c r="C8197" t="s">
        <v>114</v>
      </c>
      <c r="D8197">
        <v>-113.974074089637</v>
      </c>
    </row>
    <row r="8198" spans="1:4" hidden="1" x14ac:dyDescent="0.3">
      <c r="A8198">
        <v>8196</v>
      </c>
      <c r="B8198" s="1" t="s">
        <v>10723</v>
      </c>
      <c r="C8198" t="s">
        <v>116</v>
      </c>
      <c r="D8198" s="1" t="s">
        <v>10724</v>
      </c>
    </row>
    <row r="8199" spans="1:4" hidden="1" x14ac:dyDescent="0.3">
      <c r="A8199">
        <v>8197</v>
      </c>
      <c r="B8199" t="s">
        <v>10725</v>
      </c>
      <c r="C8199" t="s">
        <v>119</v>
      </c>
      <c r="D8199">
        <v>78320262.607639402</v>
      </c>
    </row>
    <row r="8200" spans="1:4" hidden="1" x14ac:dyDescent="0.3">
      <c r="A8200">
        <v>8198</v>
      </c>
      <c r="B8200" t="s">
        <v>10726</v>
      </c>
      <c r="C8200" t="s">
        <v>121</v>
      </c>
      <c r="D8200">
        <v>39259293.254678696</v>
      </c>
    </row>
    <row r="8201" spans="1:4" hidden="1" x14ac:dyDescent="0.3">
      <c r="A8201">
        <v>8199</v>
      </c>
      <c r="B8201" s="1" t="s">
        <v>10727</v>
      </c>
      <c r="C8201" t="s">
        <v>123</v>
      </c>
      <c r="D8201" s="1" t="s">
        <v>10728</v>
      </c>
    </row>
    <row r="8202" spans="1:4" hidden="1" x14ac:dyDescent="0.3">
      <c r="A8202">
        <v>8200</v>
      </c>
      <c r="B8202" t="s">
        <v>10729</v>
      </c>
      <c r="C8202" t="s">
        <v>126</v>
      </c>
      <c r="D8202">
        <v>0.77401023649289802</v>
      </c>
    </row>
    <row r="8203" spans="1:4" hidden="1" x14ac:dyDescent="0.3">
      <c r="A8203">
        <v>8201</v>
      </c>
      <c r="B8203" t="s">
        <v>10730</v>
      </c>
      <c r="C8203" t="s">
        <v>128</v>
      </c>
      <c r="D8203">
        <v>0.387985099192375</v>
      </c>
    </row>
    <row r="8204" spans="1:4" hidden="1" x14ac:dyDescent="0.3">
      <c r="A8204">
        <v>8202</v>
      </c>
      <c r="B8204" s="1" t="s">
        <v>10731</v>
      </c>
      <c r="C8204" t="s">
        <v>130</v>
      </c>
      <c r="D8204" s="1" t="s">
        <v>10732</v>
      </c>
    </row>
    <row r="8205" spans="1:4" hidden="1" x14ac:dyDescent="0.3">
      <c r="A8205">
        <v>8203</v>
      </c>
      <c r="B8205" s="1" t="s">
        <v>10733</v>
      </c>
      <c r="C8205" t="s">
        <v>4</v>
      </c>
      <c r="D8205" t="s">
        <v>10734</v>
      </c>
    </row>
    <row r="8206" spans="1:4" hidden="1" x14ac:dyDescent="0.3">
      <c r="A8206">
        <v>8204</v>
      </c>
      <c r="B8206" t="s">
        <v>10735</v>
      </c>
      <c r="C8206" t="s">
        <v>7</v>
      </c>
      <c r="D8206">
        <v>1824.18</v>
      </c>
    </row>
    <row r="8207" spans="1:4" hidden="1" x14ac:dyDescent="0.3">
      <c r="A8207">
        <v>8205</v>
      </c>
      <c r="B8207" s="1" t="s">
        <v>10736</v>
      </c>
      <c r="C8207" t="s">
        <v>9</v>
      </c>
      <c r="D8207" s="1" t="s">
        <v>10737</v>
      </c>
    </row>
    <row r="8208" spans="1:4" hidden="1" x14ac:dyDescent="0.3">
      <c r="A8208">
        <v>8206</v>
      </c>
      <c r="B8208" t="s">
        <v>10738</v>
      </c>
      <c r="C8208" t="s">
        <v>14</v>
      </c>
      <c r="D8208">
        <v>97.4453125</v>
      </c>
    </row>
    <row r="8209" spans="1:4" hidden="1" x14ac:dyDescent="0.3">
      <c r="A8209">
        <v>8207</v>
      </c>
      <c r="B8209" t="s">
        <v>10739</v>
      </c>
      <c r="C8209" t="s">
        <v>16</v>
      </c>
      <c r="D8209">
        <v>4.3813984648277904</v>
      </c>
    </row>
    <row r="8210" spans="1:4" hidden="1" x14ac:dyDescent="0.3">
      <c r="A8210">
        <v>8208</v>
      </c>
      <c r="B8210" s="1" t="s">
        <v>10740</v>
      </c>
      <c r="C8210" t="s">
        <v>140</v>
      </c>
      <c r="D8210" s="1" t="s">
        <v>10741</v>
      </c>
    </row>
    <row r="8211" spans="1:4" hidden="1" x14ac:dyDescent="0.3">
      <c r="A8211">
        <v>8209</v>
      </c>
      <c r="B8211" t="s">
        <v>10742</v>
      </c>
      <c r="C8211" t="s">
        <v>22</v>
      </c>
      <c r="D8211">
        <v>69.75</v>
      </c>
    </row>
    <row r="8212" spans="1:4" hidden="1" x14ac:dyDescent="0.3">
      <c r="A8212">
        <v>8210</v>
      </c>
      <c r="B8212" t="s">
        <v>10743</v>
      </c>
      <c r="C8212" t="s">
        <v>24</v>
      </c>
      <c r="D8212">
        <v>6.4844995221678499</v>
      </c>
    </row>
    <row r="8213" spans="1:4" hidden="1" x14ac:dyDescent="0.3">
      <c r="A8213">
        <v>8211</v>
      </c>
      <c r="B8213" s="1" t="s">
        <v>10744</v>
      </c>
      <c r="C8213" t="s">
        <v>145</v>
      </c>
      <c r="D8213" s="1" t="s">
        <v>10745</v>
      </c>
    </row>
    <row r="8214" spans="1:4" hidden="1" x14ac:dyDescent="0.3">
      <c r="A8214">
        <v>8212</v>
      </c>
      <c r="B8214" t="s">
        <v>10746</v>
      </c>
      <c r="C8214" t="s">
        <v>35</v>
      </c>
      <c r="D8214">
        <v>-6.1946501553330204</v>
      </c>
    </row>
    <row r="8215" spans="1:4" hidden="1" x14ac:dyDescent="0.3">
      <c r="A8215">
        <v>8213</v>
      </c>
      <c r="B8215" t="s">
        <v>10747</v>
      </c>
      <c r="C8215" t="s">
        <v>149</v>
      </c>
      <c r="D8215">
        <v>0.73349951609603603</v>
      </c>
    </row>
    <row r="8216" spans="1:4" hidden="1" x14ac:dyDescent="0.3">
      <c r="A8216">
        <v>8214</v>
      </c>
      <c r="B8216" s="1" t="s">
        <v>10748</v>
      </c>
      <c r="C8216" t="s">
        <v>151</v>
      </c>
      <c r="D8216" s="1" t="s">
        <v>10749</v>
      </c>
    </row>
    <row r="8217" spans="1:4" hidden="1" x14ac:dyDescent="0.3">
      <c r="A8217">
        <v>8215</v>
      </c>
      <c r="B8217" t="s">
        <v>10750</v>
      </c>
      <c r="C8217" t="s">
        <v>30</v>
      </c>
      <c r="D8217">
        <v>2.8125544171252499</v>
      </c>
    </row>
    <row r="8218" spans="1:4" hidden="1" x14ac:dyDescent="0.3">
      <c r="A8218">
        <v>8216</v>
      </c>
      <c r="B8218" t="s">
        <v>10751</v>
      </c>
      <c r="C8218" t="s">
        <v>32</v>
      </c>
      <c r="D8218">
        <v>0.189966896015306</v>
      </c>
    </row>
    <row r="8219" spans="1:4" hidden="1" x14ac:dyDescent="0.3">
      <c r="A8219">
        <v>8217</v>
      </c>
      <c r="B8219" s="1" t="s">
        <v>10752</v>
      </c>
      <c r="C8219" t="s">
        <v>155</v>
      </c>
      <c r="D8219" s="1" t="s">
        <v>10753</v>
      </c>
    </row>
    <row r="8220" spans="1:4" hidden="1" x14ac:dyDescent="0.3">
      <c r="A8220">
        <v>8218</v>
      </c>
      <c r="B8220" t="s">
        <v>10754</v>
      </c>
      <c r="C8220" t="s">
        <v>40</v>
      </c>
      <c r="D8220">
        <v>4.3820957382077701</v>
      </c>
    </row>
    <row r="8221" spans="1:4" hidden="1" x14ac:dyDescent="0.3">
      <c r="A8221">
        <v>8219</v>
      </c>
      <c r="B8221" t="s">
        <v>10755</v>
      </c>
      <c r="C8221" t="s">
        <v>42</v>
      </c>
      <c r="D8221">
        <v>0.17336052009858699</v>
      </c>
    </row>
    <row r="8222" spans="1:4" hidden="1" x14ac:dyDescent="0.3">
      <c r="A8222">
        <v>8220</v>
      </c>
      <c r="B8222" s="1" t="s">
        <v>10756</v>
      </c>
      <c r="C8222" t="s">
        <v>159</v>
      </c>
      <c r="D8222" s="1" t="s">
        <v>10757</v>
      </c>
    </row>
    <row r="8223" spans="1:4" hidden="1" x14ac:dyDescent="0.3">
      <c r="A8223">
        <v>8221</v>
      </c>
      <c r="B8223" t="s">
        <v>10758</v>
      </c>
      <c r="C8223" t="s">
        <v>161</v>
      </c>
      <c r="D8223">
        <v>1.0032006863327301</v>
      </c>
    </row>
    <row r="8224" spans="1:4" hidden="1" x14ac:dyDescent="0.3">
      <c r="A8224">
        <v>8222</v>
      </c>
      <c r="B8224" t="s">
        <v>10759</v>
      </c>
      <c r="C8224" t="s">
        <v>163</v>
      </c>
      <c r="D8224">
        <v>0.99754576024752994</v>
      </c>
    </row>
    <row r="8225" spans="1:4" hidden="1" x14ac:dyDescent="0.3">
      <c r="A8225">
        <v>8223</v>
      </c>
      <c r="B8225" s="1" t="s">
        <v>10760</v>
      </c>
      <c r="C8225" t="s">
        <v>165</v>
      </c>
      <c r="D8225" s="1" t="s">
        <v>10761</v>
      </c>
    </row>
    <row r="8226" spans="1:4" hidden="1" x14ac:dyDescent="0.3">
      <c r="A8226">
        <v>8224</v>
      </c>
      <c r="B8226" t="s">
        <v>10762</v>
      </c>
      <c r="C8226" t="s">
        <v>168</v>
      </c>
      <c r="D8226">
        <v>0.99885550234902598</v>
      </c>
    </row>
    <row r="8227" spans="1:4" hidden="1" x14ac:dyDescent="0.3">
      <c r="A8227">
        <v>8225</v>
      </c>
      <c r="B8227" t="s">
        <v>10763</v>
      </c>
      <c r="C8227" t="s">
        <v>170</v>
      </c>
      <c r="D8227">
        <v>0.99989422810883199</v>
      </c>
    </row>
    <row r="8228" spans="1:4" hidden="1" x14ac:dyDescent="0.3">
      <c r="A8228">
        <v>8226</v>
      </c>
      <c r="B8228" s="1" t="s">
        <v>10764</v>
      </c>
      <c r="C8228" t="s">
        <v>172</v>
      </c>
      <c r="D8228" s="1" t="s">
        <v>10765</v>
      </c>
    </row>
    <row r="8229" spans="1:4" hidden="1" x14ac:dyDescent="0.3">
      <c r="A8229">
        <v>8227</v>
      </c>
      <c r="B8229" s="1" t="s">
        <v>10766</v>
      </c>
      <c r="C8229" t="s">
        <v>55</v>
      </c>
      <c r="D8229" s="1" t="s">
        <v>10767</v>
      </c>
    </row>
    <row r="8230" spans="1:4" hidden="1" x14ac:dyDescent="0.3">
      <c r="A8230">
        <v>8228</v>
      </c>
      <c r="B8230" s="1" t="s">
        <v>10768</v>
      </c>
      <c r="C8230" t="s">
        <v>52</v>
      </c>
      <c r="D8230" s="1" t="s">
        <v>10769</v>
      </c>
    </row>
    <row r="8231" spans="1:4" hidden="1" x14ac:dyDescent="0.3">
      <c r="A8231">
        <v>8229</v>
      </c>
      <c r="B8231" s="1" t="s">
        <v>10770</v>
      </c>
      <c r="C8231" t="s">
        <v>58</v>
      </c>
      <c r="D8231" s="1" t="s">
        <v>10771</v>
      </c>
    </row>
    <row r="8232" spans="1:4" hidden="1" x14ac:dyDescent="0.3">
      <c r="A8232">
        <v>8230</v>
      </c>
      <c r="B8232" t="s">
        <v>10772</v>
      </c>
      <c r="C8232" t="s">
        <v>61</v>
      </c>
      <c r="D8232">
        <v>145547119.34733</v>
      </c>
    </row>
    <row r="8233" spans="1:4" hidden="1" x14ac:dyDescent="0.3">
      <c r="A8233">
        <v>8231</v>
      </c>
      <c r="B8233" t="s">
        <v>10773</v>
      </c>
      <c r="C8233" t="s">
        <v>63</v>
      </c>
      <c r="D8233">
        <v>78570941.201744199</v>
      </c>
    </row>
    <row r="8234" spans="1:4" hidden="1" x14ac:dyDescent="0.3">
      <c r="A8234">
        <v>8232</v>
      </c>
      <c r="B8234" t="s">
        <v>10774</v>
      </c>
      <c r="C8234" t="s">
        <v>65</v>
      </c>
      <c r="D8234">
        <v>39162941.5365192</v>
      </c>
    </row>
    <row r="8235" spans="1:4" hidden="1" x14ac:dyDescent="0.3">
      <c r="A8235">
        <v>8233</v>
      </c>
      <c r="B8235" s="1" t="s">
        <v>10775</v>
      </c>
      <c r="C8235" t="s">
        <v>67</v>
      </c>
      <c r="D8235" s="1" t="s">
        <v>10776</v>
      </c>
    </row>
    <row r="8236" spans="1:4" hidden="1" x14ac:dyDescent="0.3">
      <c r="A8236">
        <v>8234</v>
      </c>
      <c r="B8236" s="1" t="s">
        <v>10777</v>
      </c>
      <c r="C8236" t="s">
        <v>70</v>
      </c>
      <c r="D8236" s="1" t="s">
        <v>10778</v>
      </c>
    </row>
    <row r="8237" spans="1:4" hidden="1" x14ac:dyDescent="0.3">
      <c r="A8237">
        <v>8235</v>
      </c>
      <c r="B8237" t="s">
        <v>10779</v>
      </c>
      <c r="C8237" t="s">
        <v>73</v>
      </c>
      <c r="D8237">
        <v>1.00023032729971</v>
      </c>
    </row>
    <row r="8238" spans="1:4" hidden="1" x14ac:dyDescent="0.3">
      <c r="A8238">
        <v>8236</v>
      </c>
      <c r="B8238" t="s">
        <v>74</v>
      </c>
      <c r="C8238" t="s">
        <v>75</v>
      </c>
      <c r="D8238">
        <v>2.7397260273972599E-3</v>
      </c>
    </row>
    <row r="8239" spans="1:4" hidden="1" x14ac:dyDescent="0.3">
      <c r="A8239">
        <v>8237</v>
      </c>
      <c r="B8239" t="s">
        <v>76</v>
      </c>
      <c r="C8239" t="s">
        <v>77</v>
      </c>
      <c r="D8239">
        <v>0</v>
      </c>
    </row>
    <row r="8240" spans="1:4" hidden="1" x14ac:dyDescent="0.3">
      <c r="A8240">
        <v>8238</v>
      </c>
      <c r="B8240" t="s">
        <v>78</v>
      </c>
      <c r="C8240" t="s">
        <v>79</v>
      </c>
      <c r="D8240">
        <v>0</v>
      </c>
    </row>
    <row r="8241" spans="1:4" hidden="1" x14ac:dyDescent="0.3">
      <c r="A8241">
        <v>8239</v>
      </c>
      <c r="B8241" s="1" t="s">
        <v>10780</v>
      </c>
      <c r="C8241" t="s">
        <v>81</v>
      </c>
      <c r="D8241" s="1" t="s">
        <v>10781</v>
      </c>
    </row>
    <row r="8242" spans="1:4" hidden="1" x14ac:dyDescent="0.3">
      <c r="A8242">
        <v>8240</v>
      </c>
      <c r="B8242" t="s">
        <v>10782</v>
      </c>
      <c r="C8242" t="s">
        <v>84</v>
      </c>
      <c r="D8242">
        <v>1.0002532061538001</v>
      </c>
    </row>
    <row r="8243" spans="1:4" hidden="1" x14ac:dyDescent="0.3">
      <c r="A8243">
        <v>8241</v>
      </c>
      <c r="B8243" s="1" t="s">
        <v>10783</v>
      </c>
      <c r="C8243" t="s">
        <v>86</v>
      </c>
      <c r="D8243" s="1" t="s">
        <v>10784</v>
      </c>
    </row>
    <row r="8244" spans="1:4" hidden="1" x14ac:dyDescent="0.3">
      <c r="A8244">
        <v>8242</v>
      </c>
      <c r="B8244" t="s">
        <v>10785</v>
      </c>
      <c r="C8244" t="s">
        <v>89</v>
      </c>
      <c r="D8244">
        <v>101164164.09456</v>
      </c>
    </row>
    <row r="8245" spans="1:4" hidden="1" x14ac:dyDescent="0.3">
      <c r="A8245">
        <v>8243</v>
      </c>
      <c r="B8245" s="1" t="s">
        <v>10786</v>
      </c>
      <c r="C8245" t="s">
        <v>91</v>
      </c>
      <c r="D8245" s="1" t="s">
        <v>10720</v>
      </c>
    </row>
    <row r="8246" spans="1:4" hidden="1" x14ac:dyDescent="0.3">
      <c r="A8246">
        <v>8244</v>
      </c>
      <c r="B8246" t="s">
        <v>10787</v>
      </c>
      <c r="C8246" t="s">
        <v>94</v>
      </c>
      <c r="D8246">
        <v>78570941.201744199</v>
      </c>
    </row>
    <row r="8247" spans="1:4" hidden="1" x14ac:dyDescent="0.3">
      <c r="A8247">
        <v>8245</v>
      </c>
      <c r="B8247" t="s">
        <v>10788</v>
      </c>
      <c r="C8247" t="s">
        <v>96</v>
      </c>
      <c r="D8247">
        <v>39162941.5365192</v>
      </c>
    </row>
    <row r="8248" spans="1:4" hidden="1" x14ac:dyDescent="0.3">
      <c r="A8248">
        <v>8246</v>
      </c>
      <c r="B8248" t="s">
        <v>10789</v>
      </c>
      <c r="C8248" t="s">
        <v>98</v>
      </c>
      <c r="D8248">
        <v>27813236.609067</v>
      </c>
    </row>
    <row r="8249" spans="1:4" hidden="1" x14ac:dyDescent="0.3">
      <c r="A8249">
        <v>8247</v>
      </c>
      <c r="B8249" s="1" t="s">
        <v>10790</v>
      </c>
      <c r="C8249" t="s">
        <v>100</v>
      </c>
      <c r="D8249" s="1" t="s">
        <v>10791</v>
      </c>
    </row>
    <row r="8250" spans="1:4" hidden="1" x14ac:dyDescent="0.3">
      <c r="A8250">
        <v>8248</v>
      </c>
      <c r="B8250" t="s">
        <v>10792</v>
      </c>
      <c r="C8250" t="s">
        <v>103</v>
      </c>
      <c r="D8250">
        <v>8.3549246849767694E-3</v>
      </c>
    </row>
    <row r="8251" spans="1:4" hidden="1" x14ac:dyDescent="0.3">
      <c r="A8251">
        <v>8249</v>
      </c>
      <c r="B8251" t="s">
        <v>10793</v>
      </c>
      <c r="C8251" t="s">
        <v>105</v>
      </c>
      <c r="D8251">
        <v>1.43955082687937E-3</v>
      </c>
    </row>
    <row r="8252" spans="1:4" hidden="1" x14ac:dyDescent="0.3">
      <c r="A8252">
        <v>8250</v>
      </c>
      <c r="B8252" t="s">
        <v>10794</v>
      </c>
      <c r="C8252" t="s">
        <v>107</v>
      </c>
      <c r="D8252">
        <v>1.03997449560734E-2</v>
      </c>
    </row>
    <row r="8253" spans="1:4" hidden="1" x14ac:dyDescent="0.3">
      <c r="A8253">
        <v>8251</v>
      </c>
      <c r="B8253" s="1" t="s">
        <v>10795</v>
      </c>
      <c r="C8253" t="s">
        <v>109</v>
      </c>
      <c r="D8253" s="1" t="s">
        <v>10796</v>
      </c>
    </row>
    <row r="8254" spans="1:4" x14ac:dyDescent="0.3">
      <c r="A8254">
        <v>8252</v>
      </c>
      <c r="B8254" t="s">
        <v>10797</v>
      </c>
      <c r="C8254" t="s">
        <v>207</v>
      </c>
      <c r="D8254">
        <v>145547923.17407501</v>
      </c>
    </row>
    <row r="8255" spans="1:4" hidden="1" x14ac:dyDescent="0.3">
      <c r="A8255">
        <v>8253</v>
      </c>
      <c r="B8255" t="s">
        <v>10798</v>
      </c>
      <c r="C8255" t="s">
        <v>209</v>
      </c>
      <c r="D8255">
        <v>-1797.2124122568</v>
      </c>
    </row>
    <row r="8256" spans="1:4" hidden="1" x14ac:dyDescent="0.3">
      <c r="A8256">
        <v>8254</v>
      </c>
      <c r="B8256" t="s">
        <v>10799</v>
      </c>
      <c r="C8256" t="s">
        <v>211</v>
      </c>
      <c r="D8256">
        <v>-895.80072534148599</v>
      </c>
    </row>
    <row r="8257" spans="1:4" hidden="1" x14ac:dyDescent="0.3">
      <c r="A8257">
        <v>8255</v>
      </c>
      <c r="B8257" s="1" t="s">
        <v>10800</v>
      </c>
      <c r="C8257" t="s">
        <v>213</v>
      </c>
      <c r="D8257" s="1" t="s">
        <v>10801</v>
      </c>
    </row>
    <row r="8258" spans="1:4" hidden="1" x14ac:dyDescent="0.3">
      <c r="A8258">
        <v>8256</v>
      </c>
      <c r="B8258" t="s">
        <v>10802</v>
      </c>
      <c r="C8258" t="s">
        <v>216</v>
      </c>
      <c r="D8258">
        <v>78573317.983674198</v>
      </c>
    </row>
    <row r="8259" spans="1:4" hidden="1" x14ac:dyDescent="0.3">
      <c r="A8259">
        <v>8257</v>
      </c>
      <c r="B8259" t="s">
        <v>10803</v>
      </c>
      <c r="C8259" t="s">
        <v>218</v>
      </c>
      <c r="D8259">
        <v>39164004.634197302</v>
      </c>
    </row>
    <row r="8260" spans="1:4" hidden="1" x14ac:dyDescent="0.3">
      <c r="A8260">
        <v>8258</v>
      </c>
      <c r="B8260" t="s">
        <v>10804</v>
      </c>
      <c r="C8260" t="s">
        <v>220</v>
      </c>
      <c r="D8260">
        <v>27813929.7590953</v>
      </c>
    </row>
    <row r="8261" spans="1:4" hidden="1" x14ac:dyDescent="0.3">
      <c r="A8261">
        <v>8259</v>
      </c>
      <c r="B8261" s="1" t="s">
        <v>10805</v>
      </c>
      <c r="C8261" t="s">
        <v>222</v>
      </c>
      <c r="D8261" s="1" t="s">
        <v>10806</v>
      </c>
    </row>
    <row r="8262" spans="1:4" hidden="1" x14ac:dyDescent="0.3">
      <c r="A8262">
        <v>8260</v>
      </c>
      <c r="B8262" t="s">
        <v>10807</v>
      </c>
      <c r="C8262" t="s">
        <v>225</v>
      </c>
      <c r="D8262">
        <v>101166478.081735</v>
      </c>
    </row>
    <row r="8263" spans="1:4" hidden="1" x14ac:dyDescent="0.3">
      <c r="A8263">
        <v>8261</v>
      </c>
      <c r="B8263" t="s">
        <v>10808</v>
      </c>
      <c r="C8263" t="s">
        <v>227</v>
      </c>
      <c r="D8263">
        <v>-2313.9871750175898</v>
      </c>
    </row>
    <row r="8264" spans="1:4" hidden="1" x14ac:dyDescent="0.3">
      <c r="A8264">
        <v>8262</v>
      </c>
      <c r="B8264" s="1" t="s">
        <v>10809</v>
      </c>
      <c r="C8264" t="s">
        <v>229</v>
      </c>
      <c r="D8264" s="1" t="s">
        <v>10810</v>
      </c>
    </row>
    <row r="8265" spans="1:4" hidden="1" x14ac:dyDescent="0.3">
      <c r="A8265">
        <v>8263</v>
      </c>
      <c r="B8265" t="s">
        <v>10811</v>
      </c>
      <c r="C8265" t="s">
        <v>112</v>
      </c>
      <c r="D8265">
        <v>579.56951770952196</v>
      </c>
    </row>
    <row r="8266" spans="1:4" hidden="1" x14ac:dyDescent="0.3">
      <c r="A8266">
        <v>8264</v>
      </c>
      <c r="B8266" t="s">
        <v>10812</v>
      </c>
      <c r="C8266" t="s">
        <v>114</v>
      </c>
      <c r="D8266">
        <v>167.29695280975099</v>
      </c>
    </row>
    <row r="8267" spans="1:4" hidden="1" x14ac:dyDescent="0.3">
      <c r="A8267">
        <v>8265</v>
      </c>
      <c r="B8267" s="1" t="s">
        <v>10813</v>
      </c>
      <c r="C8267" t="s">
        <v>116</v>
      </c>
      <c r="D8267" s="1" t="s">
        <v>10814</v>
      </c>
    </row>
    <row r="8268" spans="1:4" hidden="1" x14ac:dyDescent="0.3">
      <c r="A8268">
        <v>8266</v>
      </c>
      <c r="B8268" t="s">
        <v>10815</v>
      </c>
      <c r="C8268" t="s">
        <v>119</v>
      </c>
      <c r="D8268">
        <v>78573317.983674198</v>
      </c>
    </row>
    <row r="8269" spans="1:4" hidden="1" x14ac:dyDescent="0.3">
      <c r="A8269">
        <v>8267</v>
      </c>
      <c r="B8269" t="s">
        <v>10816</v>
      </c>
      <c r="C8269" t="s">
        <v>121</v>
      </c>
      <c r="D8269">
        <v>39164004.634197302</v>
      </c>
    </row>
    <row r="8270" spans="1:4" hidden="1" x14ac:dyDescent="0.3">
      <c r="A8270">
        <v>8268</v>
      </c>
      <c r="B8270" s="1" t="s">
        <v>10817</v>
      </c>
      <c r="C8270" t="s">
        <v>123</v>
      </c>
      <c r="D8270" s="1" t="s">
        <v>10818</v>
      </c>
    </row>
    <row r="8271" spans="1:4" hidden="1" x14ac:dyDescent="0.3">
      <c r="A8271">
        <v>8269</v>
      </c>
      <c r="B8271" t="s">
        <v>10819</v>
      </c>
      <c r="C8271" t="s">
        <v>126</v>
      </c>
      <c r="D8271">
        <v>0.77647684551096297</v>
      </c>
    </row>
    <row r="8272" spans="1:4" hidden="1" x14ac:dyDescent="0.3">
      <c r="A8272">
        <v>8270</v>
      </c>
      <c r="B8272" t="s">
        <v>10820</v>
      </c>
      <c r="C8272" t="s">
        <v>128</v>
      </c>
      <c r="D8272">
        <v>0.387026328482867</v>
      </c>
    </row>
    <row r="8273" spans="1:4" hidden="1" x14ac:dyDescent="0.3">
      <c r="A8273">
        <v>8271</v>
      </c>
      <c r="B8273" s="1" t="s">
        <v>10821</v>
      </c>
      <c r="C8273" t="s">
        <v>130</v>
      </c>
      <c r="D8273" s="1" t="s">
        <v>10822</v>
      </c>
    </row>
    <row r="8274" spans="1:4" hidden="1" x14ac:dyDescent="0.3">
      <c r="A8274">
        <v>8272</v>
      </c>
      <c r="B8274" s="1" t="s">
        <v>10823</v>
      </c>
      <c r="C8274" t="s">
        <v>4</v>
      </c>
      <c r="D8274" t="s">
        <v>10824</v>
      </c>
    </row>
    <row r="8275" spans="1:4" hidden="1" x14ac:dyDescent="0.3">
      <c r="A8275">
        <v>8273</v>
      </c>
      <c r="B8275" t="s">
        <v>10825</v>
      </c>
      <c r="C8275" t="s">
        <v>7</v>
      </c>
      <c r="D8275">
        <v>1831.92</v>
      </c>
    </row>
    <row r="8276" spans="1:4" hidden="1" x14ac:dyDescent="0.3">
      <c r="A8276">
        <v>8274</v>
      </c>
      <c r="B8276" s="1" t="s">
        <v>10826</v>
      </c>
      <c r="C8276" t="s">
        <v>9</v>
      </c>
      <c r="D8276" s="1" t="s">
        <v>10827</v>
      </c>
    </row>
    <row r="8277" spans="1:4" hidden="1" x14ac:dyDescent="0.3">
      <c r="A8277">
        <v>8275</v>
      </c>
      <c r="B8277" t="s">
        <v>10828</v>
      </c>
      <c r="C8277" t="s">
        <v>14</v>
      </c>
      <c r="D8277">
        <v>97.57421875</v>
      </c>
    </row>
    <row r="8278" spans="1:4" hidden="1" x14ac:dyDescent="0.3">
      <c r="A8278">
        <v>8276</v>
      </c>
      <c r="B8278" t="s">
        <v>10829</v>
      </c>
      <c r="C8278" t="s">
        <v>16</v>
      </c>
      <c r="D8278">
        <v>4.3851765284206596</v>
      </c>
    </row>
    <row r="8279" spans="1:4" hidden="1" x14ac:dyDescent="0.3">
      <c r="A8279">
        <v>8277</v>
      </c>
      <c r="B8279" s="1" t="s">
        <v>10830</v>
      </c>
      <c r="C8279" t="s">
        <v>140</v>
      </c>
      <c r="D8279" s="1" t="s">
        <v>10831</v>
      </c>
    </row>
    <row r="8280" spans="1:4" hidden="1" x14ac:dyDescent="0.3">
      <c r="A8280">
        <v>8278</v>
      </c>
      <c r="B8280" t="s">
        <v>10113</v>
      </c>
      <c r="C8280" t="s">
        <v>22</v>
      </c>
      <c r="D8280">
        <v>69.5</v>
      </c>
    </row>
    <row r="8281" spans="1:4" hidden="1" x14ac:dyDescent="0.3">
      <c r="A8281">
        <v>8279</v>
      </c>
      <c r="B8281" t="s">
        <v>10832</v>
      </c>
      <c r="C8281" t="s">
        <v>24</v>
      </c>
      <c r="D8281">
        <v>6.5452356352140901</v>
      </c>
    </row>
    <row r="8282" spans="1:4" hidden="1" x14ac:dyDescent="0.3">
      <c r="A8282">
        <v>8280</v>
      </c>
      <c r="B8282" s="1" t="s">
        <v>10833</v>
      </c>
      <c r="C8282" t="s">
        <v>145</v>
      </c>
      <c r="D8282" s="1" t="s">
        <v>10834</v>
      </c>
    </row>
    <row r="8283" spans="1:4" hidden="1" x14ac:dyDescent="0.3">
      <c r="A8283">
        <v>8281</v>
      </c>
      <c r="B8283" t="s">
        <v>10835</v>
      </c>
      <c r="C8283" t="s">
        <v>35</v>
      </c>
      <c r="D8283">
        <v>-0.274007335884626</v>
      </c>
    </row>
    <row r="8284" spans="1:4" hidden="1" x14ac:dyDescent="0.3">
      <c r="A8284">
        <v>8282</v>
      </c>
      <c r="B8284" t="s">
        <v>10836</v>
      </c>
      <c r="C8284" t="s">
        <v>149</v>
      </c>
      <c r="D8284">
        <v>0.73472243819481997</v>
      </c>
    </row>
    <row r="8285" spans="1:4" hidden="1" x14ac:dyDescent="0.3">
      <c r="A8285">
        <v>8283</v>
      </c>
      <c r="B8285" s="1" t="s">
        <v>10837</v>
      </c>
      <c r="C8285" t="s">
        <v>151</v>
      </c>
      <c r="D8285" s="1" t="s">
        <v>10838</v>
      </c>
    </row>
    <row r="8286" spans="1:4" hidden="1" x14ac:dyDescent="0.3">
      <c r="A8286">
        <v>8284</v>
      </c>
      <c r="B8286" t="s">
        <v>10839</v>
      </c>
      <c r="C8286" t="s">
        <v>30</v>
      </c>
      <c r="D8286">
        <v>0.49829866376437498</v>
      </c>
    </row>
    <row r="8287" spans="1:4" hidden="1" x14ac:dyDescent="0.3">
      <c r="A8287">
        <v>8285</v>
      </c>
      <c r="B8287" t="s">
        <v>10840</v>
      </c>
      <c r="C8287" t="s">
        <v>32</v>
      </c>
      <c r="D8287">
        <v>0.189601271258589</v>
      </c>
    </row>
    <row r="8288" spans="1:4" hidden="1" x14ac:dyDescent="0.3">
      <c r="A8288">
        <v>8286</v>
      </c>
      <c r="B8288" s="1" t="s">
        <v>10841</v>
      </c>
      <c r="C8288" t="s">
        <v>155</v>
      </c>
      <c r="D8288" s="1" t="s">
        <v>10842</v>
      </c>
    </row>
    <row r="8289" spans="1:4" hidden="1" x14ac:dyDescent="0.3">
      <c r="A8289">
        <v>8287</v>
      </c>
      <c r="B8289" t="s">
        <v>10843</v>
      </c>
      <c r="C8289" t="s">
        <v>40</v>
      </c>
      <c r="D8289">
        <v>0.77570867212025096</v>
      </c>
    </row>
    <row r="8290" spans="1:4" hidden="1" x14ac:dyDescent="0.3">
      <c r="A8290">
        <v>8288</v>
      </c>
      <c r="B8290" t="s">
        <v>10844</v>
      </c>
      <c r="C8290" t="s">
        <v>42</v>
      </c>
      <c r="D8290">
        <v>0.171456929790712</v>
      </c>
    </row>
    <row r="8291" spans="1:4" hidden="1" x14ac:dyDescent="0.3">
      <c r="A8291">
        <v>8289</v>
      </c>
      <c r="B8291" s="1" t="s">
        <v>10845</v>
      </c>
      <c r="C8291" t="s">
        <v>159</v>
      </c>
      <c r="D8291" s="1" t="s">
        <v>10846</v>
      </c>
    </row>
    <row r="8292" spans="1:4" hidden="1" x14ac:dyDescent="0.3">
      <c r="A8292">
        <v>8290</v>
      </c>
      <c r="B8292" t="s">
        <v>10847</v>
      </c>
      <c r="C8292" t="s">
        <v>161</v>
      </c>
      <c r="D8292">
        <v>1.00424300233529</v>
      </c>
    </row>
    <row r="8293" spans="1:4" hidden="1" x14ac:dyDescent="0.3">
      <c r="A8293">
        <v>8291</v>
      </c>
      <c r="B8293" t="s">
        <v>10848</v>
      </c>
      <c r="C8293" t="s">
        <v>163</v>
      </c>
      <c r="D8293">
        <v>1.0013030403548799</v>
      </c>
    </row>
    <row r="8294" spans="1:4" hidden="1" x14ac:dyDescent="0.3">
      <c r="A8294">
        <v>8292</v>
      </c>
      <c r="B8294" s="1" t="s">
        <v>10849</v>
      </c>
      <c r="C8294" t="s">
        <v>165</v>
      </c>
      <c r="D8294" s="1" t="s">
        <v>10850</v>
      </c>
    </row>
    <row r="8295" spans="1:4" hidden="1" x14ac:dyDescent="0.3">
      <c r="A8295">
        <v>8293</v>
      </c>
      <c r="B8295" t="s">
        <v>10851</v>
      </c>
      <c r="C8295" t="s">
        <v>168</v>
      </c>
      <c r="D8295">
        <v>1.0007054643439</v>
      </c>
    </row>
    <row r="8296" spans="1:4" hidden="1" x14ac:dyDescent="0.3">
      <c r="A8296">
        <v>8294</v>
      </c>
      <c r="B8296" t="s">
        <v>10852</v>
      </c>
      <c r="C8296" t="s">
        <v>170</v>
      </c>
      <c r="D8296">
        <v>0.99969274375787998</v>
      </c>
    </row>
    <row r="8297" spans="1:4" hidden="1" x14ac:dyDescent="0.3">
      <c r="A8297">
        <v>8295</v>
      </c>
      <c r="B8297" s="1" t="s">
        <v>10853</v>
      </c>
      <c r="C8297" t="s">
        <v>172</v>
      </c>
      <c r="D8297" s="1" t="s">
        <v>10854</v>
      </c>
    </row>
    <row r="8298" spans="1:4" hidden="1" x14ac:dyDescent="0.3">
      <c r="A8298">
        <v>8296</v>
      </c>
      <c r="B8298" s="1" t="s">
        <v>10855</v>
      </c>
      <c r="C8298" t="s">
        <v>55</v>
      </c>
      <c r="D8298" s="1" t="s">
        <v>10856</v>
      </c>
    </row>
    <row r="8299" spans="1:4" hidden="1" x14ac:dyDescent="0.3">
      <c r="A8299">
        <v>8297</v>
      </c>
      <c r="B8299" s="1" t="s">
        <v>10857</v>
      </c>
      <c r="C8299" t="s">
        <v>52</v>
      </c>
      <c r="D8299" s="1" t="s">
        <v>10858</v>
      </c>
    </row>
    <row r="8300" spans="1:4" hidden="1" x14ac:dyDescent="0.3">
      <c r="A8300">
        <v>8298</v>
      </c>
      <c r="B8300" s="1" t="s">
        <v>10859</v>
      </c>
      <c r="C8300" t="s">
        <v>58</v>
      </c>
      <c r="D8300" s="1" t="s">
        <v>10860</v>
      </c>
    </row>
    <row r="8301" spans="1:4" hidden="1" x14ac:dyDescent="0.3">
      <c r="A8301">
        <v>8299</v>
      </c>
      <c r="B8301" t="s">
        <v>10861</v>
      </c>
      <c r="C8301" t="s">
        <v>61</v>
      </c>
      <c r="D8301">
        <v>145866619.06253999</v>
      </c>
    </row>
    <row r="8302" spans="1:4" hidden="1" x14ac:dyDescent="0.3">
      <c r="A8302">
        <v>8300</v>
      </c>
      <c r="B8302" t="s">
        <v>10862</v>
      </c>
      <c r="C8302" t="s">
        <v>63</v>
      </c>
      <c r="D8302">
        <v>78906704.7553709</v>
      </c>
    </row>
    <row r="8303" spans="1:4" hidden="1" x14ac:dyDescent="0.3">
      <c r="A8303">
        <v>8301</v>
      </c>
      <c r="B8303" t="s">
        <v>10863</v>
      </c>
      <c r="C8303" t="s">
        <v>65</v>
      </c>
      <c r="D8303">
        <v>39215036.912694797</v>
      </c>
    </row>
    <row r="8304" spans="1:4" hidden="1" x14ac:dyDescent="0.3">
      <c r="A8304">
        <v>8302</v>
      </c>
      <c r="B8304" s="1" t="s">
        <v>10864</v>
      </c>
      <c r="C8304" t="s">
        <v>67</v>
      </c>
      <c r="D8304" s="1" t="s">
        <v>10865</v>
      </c>
    </row>
    <row r="8305" spans="1:4" hidden="1" x14ac:dyDescent="0.3">
      <c r="A8305">
        <v>8303</v>
      </c>
      <c r="B8305" s="1" t="s">
        <v>10866</v>
      </c>
      <c r="C8305" t="s">
        <v>70</v>
      </c>
      <c r="D8305" s="1" t="s">
        <v>10867</v>
      </c>
    </row>
    <row r="8306" spans="1:4" hidden="1" x14ac:dyDescent="0.3">
      <c r="A8306">
        <v>8304</v>
      </c>
      <c r="B8306" t="s">
        <v>10868</v>
      </c>
      <c r="C8306" t="s">
        <v>73</v>
      </c>
      <c r="D8306">
        <v>1.0002532061538001</v>
      </c>
    </row>
    <row r="8307" spans="1:4" hidden="1" x14ac:dyDescent="0.3">
      <c r="A8307">
        <v>8305</v>
      </c>
      <c r="B8307" t="s">
        <v>74</v>
      </c>
      <c r="C8307" t="s">
        <v>75</v>
      </c>
      <c r="D8307">
        <v>2.7397260273972599E-3</v>
      </c>
    </row>
    <row r="8308" spans="1:4" hidden="1" x14ac:dyDescent="0.3">
      <c r="A8308">
        <v>8306</v>
      </c>
      <c r="B8308" t="s">
        <v>76</v>
      </c>
      <c r="C8308" t="s">
        <v>77</v>
      </c>
      <c r="D8308">
        <v>0</v>
      </c>
    </row>
    <row r="8309" spans="1:4" hidden="1" x14ac:dyDescent="0.3">
      <c r="A8309">
        <v>8307</v>
      </c>
      <c r="B8309" t="s">
        <v>78</v>
      </c>
      <c r="C8309" t="s">
        <v>79</v>
      </c>
      <c r="D8309">
        <v>0</v>
      </c>
    </row>
    <row r="8310" spans="1:4" hidden="1" x14ac:dyDescent="0.3">
      <c r="A8310">
        <v>8308</v>
      </c>
      <c r="B8310" s="1" t="s">
        <v>10869</v>
      </c>
      <c r="C8310" t="s">
        <v>81</v>
      </c>
      <c r="D8310" s="1" t="s">
        <v>10870</v>
      </c>
    </row>
    <row r="8311" spans="1:4" hidden="1" x14ac:dyDescent="0.3">
      <c r="A8311">
        <v>8309</v>
      </c>
      <c r="B8311" t="s">
        <v>10871</v>
      </c>
      <c r="C8311" t="s">
        <v>84</v>
      </c>
      <c r="D8311">
        <v>1.0002901922798499</v>
      </c>
    </row>
    <row r="8312" spans="1:4" hidden="1" x14ac:dyDescent="0.3">
      <c r="A8312">
        <v>8310</v>
      </c>
      <c r="B8312" s="1" t="s">
        <v>10872</v>
      </c>
      <c r="C8312" t="s">
        <v>86</v>
      </c>
      <c r="D8312" s="1" t="s">
        <v>10873</v>
      </c>
    </row>
    <row r="8313" spans="1:4" hidden="1" x14ac:dyDescent="0.3">
      <c r="A8313">
        <v>8311</v>
      </c>
      <c r="B8313" t="s">
        <v>10874</v>
      </c>
      <c r="C8313" t="s">
        <v>89</v>
      </c>
      <c r="D8313">
        <v>101160423.509524</v>
      </c>
    </row>
    <row r="8314" spans="1:4" hidden="1" x14ac:dyDescent="0.3">
      <c r="A8314">
        <v>8312</v>
      </c>
      <c r="B8314" s="1" t="s">
        <v>10875</v>
      </c>
      <c r="C8314" t="s">
        <v>91</v>
      </c>
      <c r="D8314" s="1" t="s">
        <v>10810</v>
      </c>
    </row>
    <row r="8315" spans="1:4" hidden="1" x14ac:dyDescent="0.3">
      <c r="A8315">
        <v>8313</v>
      </c>
      <c r="B8315" t="s">
        <v>10876</v>
      </c>
      <c r="C8315" t="s">
        <v>94</v>
      </c>
      <c r="D8315">
        <v>78906704.7553709</v>
      </c>
    </row>
    <row r="8316" spans="1:4" hidden="1" x14ac:dyDescent="0.3">
      <c r="A8316">
        <v>8314</v>
      </c>
      <c r="B8316" t="s">
        <v>10877</v>
      </c>
      <c r="C8316" t="s">
        <v>96</v>
      </c>
      <c r="D8316">
        <v>39215036.912694797</v>
      </c>
    </row>
    <row r="8317" spans="1:4" hidden="1" x14ac:dyDescent="0.3">
      <c r="A8317">
        <v>8315</v>
      </c>
      <c r="B8317" t="s">
        <v>10878</v>
      </c>
      <c r="C8317" t="s">
        <v>98</v>
      </c>
      <c r="D8317">
        <v>27744877.394474801</v>
      </c>
    </row>
    <row r="8318" spans="1:4" hidden="1" x14ac:dyDescent="0.3">
      <c r="A8318">
        <v>8316</v>
      </c>
      <c r="B8318" s="1" t="s">
        <v>10879</v>
      </c>
      <c r="C8318" t="s">
        <v>100</v>
      </c>
      <c r="D8318" s="1" t="s">
        <v>10880</v>
      </c>
    </row>
    <row r="8319" spans="1:4" hidden="1" x14ac:dyDescent="0.3">
      <c r="A8319">
        <v>8317</v>
      </c>
      <c r="B8319" t="s">
        <v>10881</v>
      </c>
      <c r="C8319" t="s">
        <v>103</v>
      </c>
      <c r="D8319">
        <v>8.3433442793332292E-3</v>
      </c>
    </row>
    <row r="8320" spans="1:4" hidden="1" x14ac:dyDescent="0.3">
      <c r="A8320">
        <v>8318</v>
      </c>
      <c r="B8320" t="s">
        <v>10882</v>
      </c>
      <c r="C8320" t="s">
        <v>105</v>
      </c>
      <c r="D8320">
        <v>1.43568232790011E-3</v>
      </c>
    </row>
    <row r="8321" spans="1:4" hidden="1" x14ac:dyDescent="0.3">
      <c r="A8321">
        <v>8319</v>
      </c>
      <c r="B8321" t="s">
        <v>10883</v>
      </c>
      <c r="C8321" t="s">
        <v>107</v>
      </c>
      <c r="D8321">
        <v>1.02876603396068E-2</v>
      </c>
    </row>
    <row r="8322" spans="1:4" hidden="1" x14ac:dyDescent="0.3">
      <c r="A8322">
        <v>8320</v>
      </c>
      <c r="B8322" s="1" t="s">
        <v>10884</v>
      </c>
      <c r="C8322" t="s">
        <v>109</v>
      </c>
      <c r="D8322" s="1" t="s">
        <v>10885</v>
      </c>
    </row>
    <row r="8323" spans="1:4" x14ac:dyDescent="0.3">
      <c r="A8323">
        <v>8321</v>
      </c>
      <c r="B8323" t="s">
        <v>10886</v>
      </c>
      <c r="C8323" t="s">
        <v>207</v>
      </c>
      <c r="D8323">
        <v>145867919.50851601</v>
      </c>
    </row>
    <row r="8324" spans="1:4" hidden="1" x14ac:dyDescent="0.3">
      <c r="A8324">
        <v>8322</v>
      </c>
      <c r="B8324" t="s">
        <v>10887</v>
      </c>
      <c r="C8324" t="s">
        <v>209</v>
      </c>
      <c r="D8324">
        <v>-2917.7480109289399</v>
      </c>
    </row>
    <row r="8325" spans="1:4" hidden="1" x14ac:dyDescent="0.3">
      <c r="A8325">
        <v>8323</v>
      </c>
      <c r="B8325" t="s">
        <v>10888</v>
      </c>
      <c r="C8325" t="s">
        <v>211</v>
      </c>
      <c r="D8325">
        <v>-1450.05475669626</v>
      </c>
    </row>
    <row r="8326" spans="1:4" hidden="1" x14ac:dyDescent="0.3">
      <c r="A8326">
        <v>8324</v>
      </c>
      <c r="B8326" s="1" t="s">
        <v>10889</v>
      </c>
      <c r="C8326" t="s">
        <v>213</v>
      </c>
      <c r="D8326" s="1" t="s">
        <v>10890</v>
      </c>
    </row>
    <row r="8327" spans="1:4" hidden="1" x14ac:dyDescent="0.3">
      <c r="A8327">
        <v>8325</v>
      </c>
      <c r="B8327" t="s">
        <v>10891</v>
      </c>
      <c r="C8327" t="s">
        <v>216</v>
      </c>
      <c r="D8327">
        <v>78910527.550628498</v>
      </c>
    </row>
    <row r="8328" spans="1:4" hidden="1" x14ac:dyDescent="0.3">
      <c r="A8328">
        <v>8326</v>
      </c>
      <c r="B8328" t="s">
        <v>10892</v>
      </c>
      <c r="C8328" t="s">
        <v>218</v>
      </c>
      <c r="D8328">
        <v>39216747.0938555</v>
      </c>
    </row>
    <row r="8329" spans="1:4" hidden="1" x14ac:dyDescent="0.3">
      <c r="A8329">
        <v>8327</v>
      </c>
      <c r="B8329" t="s">
        <v>10893</v>
      </c>
      <c r="C8329" t="s">
        <v>220</v>
      </c>
      <c r="D8329">
        <v>27746038.587565999</v>
      </c>
    </row>
    <row r="8330" spans="1:4" hidden="1" x14ac:dyDescent="0.3">
      <c r="A8330">
        <v>8328</v>
      </c>
      <c r="B8330" s="1" t="s">
        <v>10894</v>
      </c>
      <c r="C8330" t="s">
        <v>222</v>
      </c>
      <c r="D8330" s="1" t="s">
        <v>10895</v>
      </c>
    </row>
    <row r="8331" spans="1:4" hidden="1" x14ac:dyDescent="0.3">
      <c r="A8331">
        <v>8329</v>
      </c>
      <c r="B8331" t="s">
        <v>10896</v>
      </c>
      <c r="C8331" t="s">
        <v>225</v>
      </c>
      <c r="D8331">
        <v>101164164.09456</v>
      </c>
    </row>
    <row r="8332" spans="1:4" hidden="1" x14ac:dyDescent="0.3">
      <c r="A8332">
        <v>8330</v>
      </c>
      <c r="B8332" t="s">
        <v>10897</v>
      </c>
      <c r="C8332" t="s">
        <v>227</v>
      </c>
      <c r="D8332">
        <v>-3740.5850363224699</v>
      </c>
    </row>
    <row r="8333" spans="1:4" hidden="1" x14ac:dyDescent="0.3">
      <c r="A8333">
        <v>8331</v>
      </c>
      <c r="B8333" s="1" t="s">
        <v>10898</v>
      </c>
      <c r="C8333" t="s">
        <v>229</v>
      </c>
      <c r="D8333" s="1" t="s">
        <v>10899</v>
      </c>
    </row>
    <row r="8334" spans="1:4" hidden="1" x14ac:dyDescent="0.3">
      <c r="A8334">
        <v>8332</v>
      </c>
      <c r="B8334" t="s">
        <v>10900</v>
      </c>
      <c r="C8334" t="s">
        <v>112</v>
      </c>
      <c r="D8334">
        <v>905.04724672201598</v>
      </c>
    </row>
    <row r="8335" spans="1:4" hidden="1" x14ac:dyDescent="0.3">
      <c r="A8335">
        <v>8333</v>
      </c>
      <c r="B8335" t="s">
        <v>10901</v>
      </c>
      <c r="C8335" t="s">
        <v>114</v>
      </c>
      <c r="D8335">
        <v>260.12640403696298</v>
      </c>
    </row>
    <row r="8336" spans="1:4" hidden="1" x14ac:dyDescent="0.3">
      <c r="A8336">
        <v>8334</v>
      </c>
      <c r="B8336" s="1" t="s">
        <v>10902</v>
      </c>
      <c r="C8336" t="s">
        <v>116</v>
      </c>
      <c r="D8336" s="1" t="s">
        <v>10903</v>
      </c>
    </row>
    <row r="8337" spans="1:4" hidden="1" x14ac:dyDescent="0.3">
      <c r="A8337">
        <v>8335</v>
      </c>
      <c r="B8337" t="s">
        <v>10904</v>
      </c>
      <c r="C8337" t="s">
        <v>119</v>
      </c>
      <c r="D8337">
        <v>78910527.550628498</v>
      </c>
    </row>
    <row r="8338" spans="1:4" hidden="1" x14ac:dyDescent="0.3">
      <c r="A8338">
        <v>8336</v>
      </c>
      <c r="B8338" t="s">
        <v>10905</v>
      </c>
      <c r="C8338" t="s">
        <v>121</v>
      </c>
      <c r="D8338">
        <v>39216747.0938555</v>
      </c>
    </row>
    <row r="8339" spans="1:4" hidden="1" x14ac:dyDescent="0.3">
      <c r="A8339">
        <v>8337</v>
      </c>
      <c r="B8339" s="1" t="s">
        <v>10906</v>
      </c>
      <c r="C8339" t="s">
        <v>123</v>
      </c>
      <c r="D8339" s="1" t="s">
        <v>10907</v>
      </c>
    </row>
    <row r="8340" spans="1:4" hidden="1" x14ac:dyDescent="0.3">
      <c r="A8340">
        <v>8338</v>
      </c>
      <c r="B8340" t="s">
        <v>10908</v>
      </c>
      <c r="C8340" t="s">
        <v>126</v>
      </c>
      <c r="D8340">
        <v>0.77979821880648004</v>
      </c>
    </row>
    <row r="8341" spans="1:4" hidden="1" x14ac:dyDescent="0.3">
      <c r="A8341">
        <v>8339</v>
      </c>
      <c r="B8341" t="s">
        <v>10909</v>
      </c>
      <c r="C8341" t="s">
        <v>128</v>
      </c>
      <c r="D8341">
        <v>0.38754207430120202</v>
      </c>
    </row>
    <row r="8342" spans="1:4" hidden="1" x14ac:dyDescent="0.3">
      <c r="A8342">
        <v>8340</v>
      </c>
      <c r="B8342" s="1" t="s">
        <v>10910</v>
      </c>
      <c r="C8342" t="s">
        <v>130</v>
      </c>
      <c r="D8342" s="1" t="s">
        <v>10911</v>
      </c>
    </row>
    <row r="8343" spans="1:4" hidden="1" x14ac:dyDescent="0.3">
      <c r="A8343">
        <v>8341</v>
      </c>
      <c r="B8343" s="1" t="s">
        <v>10912</v>
      </c>
      <c r="C8343" t="s">
        <v>4</v>
      </c>
      <c r="D8343" t="s">
        <v>10913</v>
      </c>
    </row>
    <row r="8344" spans="1:4" hidden="1" x14ac:dyDescent="0.3">
      <c r="A8344">
        <v>8342</v>
      </c>
      <c r="B8344" t="s">
        <v>10914</v>
      </c>
      <c r="C8344" t="s">
        <v>7</v>
      </c>
      <c r="D8344">
        <v>1849.6</v>
      </c>
    </row>
    <row r="8345" spans="1:4" hidden="1" x14ac:dyDescent="0.3">
      <c r="A8345">
        <v>8343</v>
      </c>
      <c r="B8345" s="1" t="s">
        <v>10915</v>
      </c>
      <c r="C8345" t="s">
        <v>9</v>
      </c>
      <c r="D8345" s="1" t="s">
        <v>10916</v>
      </c>
    </row>
    <row r="8346" spans="1:4" hidden="1" x14ac:dyDescent="0.3">
      <c r="A8346">
        <v>8344</v>
      </c>
      <c r="B8346" t="s">
        <v>10917</v>
      </c>
      <c r="C8346" t="s">
        <v>14</v>
      </c>
      <c r="D8346">
        <v>97.03515625</v>
      </c>
    </row>
    <row r="8347" spans="1:4" hidden="1" x14ac:dyDescent="0.3">
      <c r="A8347">
        <v>8345</v>
      </c>
      <c r="B8347" t="s">
        <v>10918</v>
      </c>
      <c r="C8347" t="s">
        <v>16</v>
      </c>
      <c r="D8347">
        <v>4.3779836861561696</v>
      </c>
    </row>
    <row r="8348" spans="1:4" hidden="1" x14ac:dyDescent="0.3">
      <c r="A8348">
        <v>8346</v>
      </c>
      <c r="B8348" s="1" t="s">
        <v>10919</v>
      </c>
      <c r="C8348" t="s">
        <v>140</v>
      </c>
      <c r="D8348" s="1" t="s">
        <v>10920</v>
      </c>
    </row>
    <row r="8349" spans="1:4" hidden="1" x14ac:dyDescent="0.3">
      <c r="A8349">
        <v>8347</v>
      </c>
      <c r="B8349" t="s">
        <v>10921</v>
      </c>
      <c r="C8349" t="s">
        <v>22</v>
      </c>
      <c r="D8349">
        <v>70.400000000000006</v>
      </c>
    </row>
    <row r="8350" spans="1:4" hidden="1" x14ac:dyDescent="0.3">
      <c r="A8350">
        <v>8348</v>
      </c>
      <c r="B8350" t="s">
        <v>10922</v>
      </c>
      <c r="C8350" t="s">
        <v>24</v>
      </c>
      <c r="D8350">
        <v>6.4272509183065596</v>
      </c>
    </row>
    <row r="8351" spans="1:4" hidden="1" x14ac:dyDescent="0.3">
      <c r="A8351">
        <v>8349</v>
      </c>
      <c r="B8351" s="1" t="s">
        <v>10923</v>
      </c>
      <c r="C8351" t="s">
        <v>145</v>
      </c>
      <c r="D8351" s="1" t="s">
        <v>10924</v>
      </c>
    </row>
    <row r="8352" spans="1:4" hidden="1" x14ac:dyDescent="0.3">
      <c r="A8352">
        <v>8350</v>
      </c>
      <c r="B8352" t="s">
        <v>10925</v>
      </c>
      <c r="C8352" t="s">
        <v>35</v>
      </c>
      <c r="D8352">
        <v>-1.6944071852953999</v>
      </c>
    </row>
    <row r="8353" spans="1:4" hidden="1" x14ac:dyDescent="0.3">
      <c r="A8353">
        <v>8351</v>
      </c>
      <c r="B8353" t="s">
        <v>10926</v>
      </c>
      <c r="C8353" t="s">
        <v>149</v>
      </c>
      <c r="D8353">
        <v>0.71916746194950998</v>
      </c>
    </row>
    <row r="8354" spans="1:4" hidden="1" x14ac:dyDescent="0.3">
      <c r="A8354">
        <v>8352</v>
      </c>
      <c r="B8354" s="1" t="s">
        <v>10927</v>
      </c>
      <c r="C8354" t="s">
        <v>151</v>
      </c>
      <c r="D8354" s="1" t="s">
        <v>10928</v>
      </c>
    </row>
    <row r="8355" spans="1:4" hidden="1" x14ac:dyDescent="0.3">
      <c r="A8355">
        <v>8353</v>
      </c>
      <c r="B8355" t="s">
        <v>10929</v>
      </c>
      <c r="C8355" t="s">
        <v>30</v>
      </c>
      <c r="D8355">
        <v>1.06738392405588</v>
      </c>
    </row>
    <row r="8356" spans="1:4" hidden="1" x14ac:dyDescent="0.3">
      <c r="A8356">
        <v>8354</v>
      </c>
      <c r="B8356" t="s">
        <v>10930</v>
      </c>
      <c r="C8356" t="s">
        <v>32</v>
      </c>
      <c r="D8356">
        <v>0.20228456166241199</v>
      </c>
    </row>
    <row r="8357" spans="1:4" hidden="1" x14ac:dyDescent="0.3">
      <c r="A8357">
        <v>8355</v>
      </c>
      <c r="B8357" s="1" t="s">
        <v>10931</v>
      </c>
      <c r="C8357" t="s">
        <v>155</v>
      </c>
      <c r="D8357" s="1" t="s">
        <v>10932</v>
      </c>
    </row>
    <row r="8358" spans="1:4" hidden="1" x14ac:dyDescent="0.3">
      <c r="A8358">
        <v>8356</v>
      </c>
      <c r="B8358" t="s">
        <v>10933</v>
      </c>
      <c r="C8358" t="s">
        <v>40</v>
      </c>
      <c r="D8358">
        <v>1.6270232612395199</v>
      </c>
    </row>
    <row r="8359" spans="1:4" hidden="1" x14ac:dyDescent="0.3">
      <c r="A8359">
        <v>8357</v>
      </c>
      <c r="B8359" t="s">
        <v>10934</v>
      </c>
      <c r="C8359" t="s">
        <v>42</v>
      </c>
      <c r="D8359">
        <v>0.18821216254867901</v>
      </c>
    </row>
    <row r="8360" spans="1:4" hidden="1" x14ac:dyDescent="0.3">
      <c r="A8360">
        <v>8358</v>
      </c>
      <c r="B8360" s="1" t="s">
        <v>10935</v>
      </c>
      <c r="C8360" t="s">
        <v>159</v>
      </c>
      <c r="D8360" s="1" t="s">
        <v>10936</v>
      </c>
    </row>
    <row r="8361" spans="1:4" hidden="1" x14ac:dyDescent="0.3">
      <c r="A8361">
        <v>8359</v>
      </c>
      <c r="B8361" t="s">
        <v>10937</v>
      </c>
      <c r="C8361" t="s">
        <v>161</v>
      </c>
      <c r="D8361">
        <v>1.0096510764662201</v>
      </c>
    </row>
    <row r="8362" spans="1:4" hidden="1" x14ac:dyDescent="0.3">
      <c r="A8362">
        <v>8360</v>
      </c>
      <c r="B8362" t="s">
        <v>10938</v>
      </c>
      <c r="C8362" t="s">
        <v>163</v>
      </c>
      <c r="D8362">
        <v>0.99464242269412395</v>
      </c>
    </row>
    <row r="8363" spans="1:4" hidden="1" x14ac:dyDescent="0.3">
      <c r="A8363">
        <v>8361</v>
      </c>
      <c r="B8363" s="1" t="s">
        <v>10939</v>
      </c>
      <c r="C8363" t="s">
        <v>165</v>
      </c>
      <c r="D8363" s="1" t="s">
        <v>10940</v>
      </c>
    </row>
    <row r="8364" spans="1:4" hidden="1" x14ac:dyDescent="0.3">
      <c r="A8364">
        <v>8362</v>
      </c>
      <c r="B8364" t="s">
        <v>10941</v>
      </c>
      <c r="C8364" t="s">
        <v>168</v>
      </c>
      <c r="D8364">
        <v>0.99103316132723895</v>
      </c>
    </row>
    <row r="8365" spans="1:4" hidden="1" x14ac:dyDescent="0.3">
      <c r="A8365">
        <v>8363</v>
      </c>
      <c r="B8365" t="s">
        <v>10942</v>
      </c>
      <c r="C8365" t="s">
        <v>170</v>
      </c>
      <c r="D8365">
        <v>1.0106617996384599</v>
      </c>
    </row>
    <row r="8366" spans="1:4" hidden="1" x14ac:dyDescent="0.3">
      <c r="A8366">
        <v>8364</v>
      </c>
      <c r="B8366" s="1" t="s">
        <v>10943</v>
      </c>
      <c r="C8366" t="s">
        <v>172</v>
      </c>
      <c r="D8366" s="1" t="s">
        <v>10944</v>
      </c>
    </row>
    <row r="8367" spans="1:4" hidden="1" x14ac:dyDescent="0.3">
      <c r="A8367">
        <v>8365</v>
      </c>
      <c r="B8367" s="1" t="s">
        <v>10945</v>
      </c>
      <c r="C8367" t="s">
        <v>55</v>
      </c>
      <c r="D8367" s="1" t="s">
        <v>10946</v>
      </c>
    </row>
    <row r="8368" spans="1:4" hidden="1" x14ac:dyDescent="0.3">
      <c r="A8368">
        <v>8366</v>
      </c>
      <c r="B8368" s="1" t="s">
        <v>10947</v>
      </c>
      <c r="C8368" t="s">
        <v>52</v>
      </c>
      <c r="D8368" s="1" t="s">
        <v>10948</v>
      </c>
    </row>
    <row r="8369" spans="1:4" hidden="1" x14ac:dyDescent="0.3">
      <c r="A8369">
        <v>8367</v>
      </c>
      <c r="B8369" s="1" t="s">
        <v>10949</v>
      </c>
      <c r="C8369" t="s">
        <v>58</v>
      </c>
      <c r="D8369" s="1" t="s">
        <v>10950</v>
      </c>
    </row>
    <row r="8370" spans="1:4" hidden="1" x14ac:dyDescent="0.3">
      <c r="A8370">
        <v>8368</v>
      </c>
      <c r="B8370" t="s">
        <v>10951</v>
      </c>
      <c r="C8370" t="s">
        <v>61</v>
      </c>
      <c r="D8370">
        <v>146710105.89783001</v>
      </c>
    </row>
    <row r="8371" spans="1:4" hidden="1" x14ac:dyDescent="0.3">
      <c r="A8371">
        <v>8369</v>
      </c>
      <c r="B8371" t="s">
        <v>10952</v>
      </c>
      <c r="C8371" t="s">
        <v>63</v>
      </c>
      <c r="D8371">
        <v>79672099.086009502</v>
      </c>
    </row>
    <row r="8372" spans="1:4" hidden="1" x14ac:dyDescent="0.3">
      <c r="A8372">
        <v>8370</v>
      </c>
      <c r="B8372" t="s">
        <v>10953</v>
      </c>
      <c r="C8372" t="s">
        <v>65</v>
      </c>
      <c r="D8372">
        <v>39006640.339615203</v>
      </c>
    </row>
    <row r="8373" spans="1:4" hidden="1" x14ac:dyDescent="0.3">
      <c r="A8373">
        <v>8371</v>
      </c>
      <c r="B8373" s="1" t="s">
        <v>10954</v>
      </c>
      <c r="C8373" t="s">
        <v>67</v>
      </c>
      <c r="D8373" s="1" t="s">
        <v>10955</v>
      </c>
    </row>
    <row r="8374" spans="1:4" hidden="1" x14ac:dyDescent="0.3">
      <c r="A8374">
        <v>8372</v>
      </c>
      <c r="B8374" s="1" t="s">
        <v>10956</v>
      </c>
      <c r="C8374" t="s">
        <v>70</v>
      </c>
      <c r="D8374" s="1" t="s">
        <v>10957</v>
      </c>
    </row>
    <row r="8375" spans="1:4" hidden="1" x14ac:dyDescent="0.3">
      <c r="A8375">
        <v>8373</v>
      </c>
      <c r="B8375" t="s">
        <v>10958</v>
      </c>
      <c r="C8375" t="s">
        <v>73</v>
      </c>
      <c r="D8375">
        <v>1.0002901922798499</v>
      </c>
    </row>
    <row r="8376" spans="1:4" hidden="1" x14ac:dyDescent="0.3">
      <c r="A8376">
        <v>8374</v>
      </c>
      <c r="B8376" t="s">
        <v>74</v>
      </c>
      <c r="C8376" t="s">
        <v>75</v>
      </c>
      <c r="D8376">
        <v>2.7397260273972599E-3</v>
      </c>
    </row>
    <row r="8377" spans="1:4" hidden="1" x14ac:dyDescent="0.3">
      <c r="A8377">
        <v>8375</v>
      </c>
      <c r="B8377" t="s">
        <v>76</v>
      </c>
      <c r="C8377" t="s">
        <v>77</v>
      </c>
      <c r="D8377">
        <v>0</v>
      </c>
    </row>
    <row r="8378" spans="1:4" hidden="1" x14ac:dyDescent="0.3">
      <c r="A8378">
        <v>8376</v>
      </c>
      <c r="B8378" t="s">
        <v>78</v>
      </c>
      <c r="C8378" t="s">
        <v>79</v>
      </c>
      <c r="D8378">
        <v>0</v>
      </c>
    </row>
    <row r="8379" spans="1:4" hidden="1" x14ac:dyDescent="0.3">
      <c r="A8379">
        <v>8377</v>
      </c>
      <c r="B8379" s="1" t="s">
        <v>10959</v>
      </c>
      <c r="C8379" t="s">
        <v>81</v>
      </c>
      <c r="D8379" s="1" t="s">
        <v>10960</v>
      </c>
    </row>
    <row r="8380" spans="1:4" hidden="1" x14ac:dyDescent="0.3">
      <c r="A8380">
        <v>8378</v>
      </c>
      <c r="B8380" t="s">
        <v>10961</v>
      </c>
      <c r="C8380" t="s">
        <v>84</v>
      </c>
      <c r="D8380">
        <v>1.00027684098863</v>
      </c>
    </row>
    <row r="8381" spans="1:4" hidden="1" x14ac:dyDescent="0.3">
      <c r="A8381">
        <v>8379</v>
      </c>
      <c r="B8381" s="1" t="s">
        <v>10962</v>
      </c>
      <c r="C8381" t="s">
        <v>86</v>
      </c>
      <c r="D8381" s="1" t="s">
        <v>10963</v>
      </c>
    </row>
    <row r="8382" spans="1:4" hidden="1" x14ac:dyDescent="0.3">
      <c r="A8382">
        <v>8380</v>
      </c>
      <c r="B8382" t="s">
        <v>10964</v>
      </c>
      <c r="C8382" t="s">
        <v>89</v>
      </c>
      <c r="D8382">
        <v>101161773.757994</v>
      </c>
    </row>
    <row r="8383" spans="1:4" hidden="1" x14ac:dyDescent="0.3">
      <c r="A8383">
        <v>8381</v>
      </c>
      <c r="B8383" s="1" t="s">
        <v>10965</v>
      </c>
      <c r="C8383" t="s">
        <v>91</v>
      </c>
      <c r="D8383" s="1" t="s">
        <v>10899</v>
      </c>
    </row>
    <row r="8384" spans="1:4" hidden="1" x14ac:dyDescent="0.3">
      <c r="A8384">
        <v>8382</v>
      </c>
      <c r="B8384" t="s">
        <v>10966</v>
      </c>
      <c r="C8384" t="s">
        <v>94</v>
      </c>
      <c r="D8384">
        <v>79672099.086009502</v>
      </c>
    </row>
    <row r="8385" spans="1:4" hidden="1" x14ac:dyDescent="0.3">
      <c r="A8385">
        <v>8383</v>
      </c>
      <c r="B8385" t="s">
        <v>10967</v>
      </c>
      <c r="C8385" t="s">
        <v>96</v>
      </c>
      <c r="D8385">
        <v>39006640.339615203</v>
      </c>
    </row>
    <row r="8386" spans="1:4" hidden="1" x14ac:dyDescent="0.3">
      <c r="A8386">
        <v>8384</v>
      </c>
      <c r="B8386" t="s">
        <v>10968</v>
      </c>
      <c r="C8386" t="s">
        <v>98</v>
      </c>
      <c r="D8386">
        <v>28031366.472206101</v>
      </c>
    </row>
    <row r="8387" spans="1:4" hidden="1" x14ac:dyDescent="0.3">
      <c r="A8387">
        <v>8385</v>
      </c>
      <c r="B8387" s="1" t="s">
        <v>10969</v>
      </c>
      <c r="C8387" t="s">
        <v>100</v>
      </c>
      <c r="D8387" s="1" t="s">
        <v>10970</v>
      </c>
    </row>
    <row r="8388" spans="1:4" hidden="1" x14ac:dyDescent="0.3">
      <c r="A8388">
        <v>8386</v>
      </c>
      <c r="B8388" t="s">
        <v>10971</v>
      </c>
      <c r="C8388" t="s">
        <v>103</v>
      </c>
      <c r="D8388">
        <v>8.2849798649969192E-3</v>
      </c>
    </row>
    <row r="8389" spans="1:4" hidden="1" x14ac:dyDescent="0.3">
      <c r="A8389">
        <v>8387</v>
      </c>
      <c r="B8389" t="s">
        <v>10972</v>
      </c>
      <c r="C8389" t="s">
        <v>105</v>
      </c>
      <c r="D8389">
        <v>1.5303291595993101E-3</v>
      </c>
    </row>
    <row r="8390" spans="1:4" hidden="1" x14ac:dyDescent="0.3">
      <c r="A8390">
        <v>8388</v>
      </c>
      <c r="B8390" t="s">
        <v>10973</v>
      </c>
      <c r="C8390" t="s">
        <v>107</v>
      </c>
      <c r="D8390">
        <v>1.0380964413681E-2</v>
      </c>
    </row>
    <row r="8391" spans="1:4" hidden="1" x14ac:dyDescent="0.3">
      <c r="A8391">
        <v>8389</v>
      </c>
      <c r="B8391" s="1" t="s">
        <v>10974</v>
      </c>
      <c r="C8391" t="s">
        <v>109</v>
      </c>
      <c r="D8391" s="1" t="s">
        <v>10975</v>
      </c>
    </row>
    <row r="8392" spans="1:4" x14ac:dyDescent="0.3">
      <c r="A8392">
        <v>8390</v>
      </c>
      <c r="B8392" t="s">
        <v>10976</v>
      </c>
      <c r="C8392" t="s">
        <v>207</v>
      </c>
      <c r="D8392">
        <v>146709637.87108701</v>
      </c>
    </row>
    <row r="8393" spans="1:4" hidden="1" x14ac:dyDescent="0.3">
      <c r="A8393">
        <v>8391</v>
      </c>
      <c r="B8393" t="s">
        <v>10977</v>
      </c>
      <c r="C8393" t="s">
        <v>209</v>
      </c>
      <c r="D8393">
        <v>1063.4120820241501</v>
      </c>
    </row>
    <row r="8394" spans="1:4" hidden="1" x14ac:dyDescent="0.3">
      <c r="A8394">
        <v>8392</v>
      </c>
      <c r="B8394" t="s">
        <v>10978</v>
      </c>
      <c r="C8394" t="s">
        <v>211</v>
      </c>
      <c r="D8394">
        <v>520.637048093761</v>
      </c>
    </row>
    <row r="8395" spans="1:4" hidden="1" x14ac:dyDescent="0.3">
      <c r="A8395">
        <v>8393</v>
      </c>
      <c r="B8395" s="1" t="s">
        <v>10979</v>
      </c>
      <c r="C8395" t="s">
        <v>213</v>
      </c>
      <c r="D8395" s="1" t="s">
        <v>10980</v>
      </c>
    </row>
    <row r="8396" spans="1:4" hidden="1" x14ac:dyDescent="0.3">
      <c r="A8396">
        <v>8394</v>
      </c>
      <c r="B8396" t="s">
        <v>10981</v>
      </c>
      <c r="C8396" t="s">
        <v>216</v>
      </c>
      <c r="D8396">
        <v>79670682.073596895</v>
      </c>
    </row>
    <row r="8397" spans="1:4" hidden="1" x14ac:dyDescent="0.3">
      <c r="A8397">
        <v>8395</v>
      </c>
      <c r="B8397" t="s">
        <v>10982</v>
      </c>
      <c r="C8397" t="s">
        <v>218</v>
      </c>
      <c r="D8397">
        <v>39006053.660270497</v>
      </c>
    </row>
    <row r="8398" spans="1:4" hidden="1" x14ac:dyDescent="0.3">
      <c r="A8398">
        <v>8396</v>
      </c>
      <c r="B8398" t="s">
        <v>10983</v>
      </c>
      <c r="C8398" t="s">
        <v>220</v>
      </c>
      <c r="D8398">
        <v>28030943.942373302</v>
      </c>
    </row>
    <row r="8399" spans="1:4" hidden="1" x14ac:dyDescent="0.3">
      <c r="A8399">
        <v>8397</v>
      </c>
      <c r="B8399" s="1" t="s">
        <v>10984</v>
      </c>
      <c r="C8399" t="s">
        <v>222</v>
      </c>
      <c r="D8399" s="1" t="s">
        <v>10985</v>
      </c>
    </row>
    <row r="8400" spans="1:4" hidden="1" x14ac:dyDescent="0.3">
      <c r="A8400">
        <v>8398</v>
      </c>
      <c r="B8400" t="s">
        <v>10986</v>
      </c>
      <c r="C8400" t="s">
        <v>225</v>
      </c>
      <c r="D8400">
        <v>101160423.509524</v>
      </c>
    </row>
    <row r="8401" spans="1:4" hidden="1" x14ac:dyDescent="0.3">
      <c r="A8401">
        <v>8399</v>
      </c>
      <c r="B8401" t="s">
        <v>10987</v>
      </c>
      <c r="C8401" t="s">
        <v>227</v>
      </c>
      <c r="D8401">
        <v>1350.24847011268</v>
      </c>
    </row>
    <row r="8402" spans="1:4" hidden="1" x14ac:dyDescent="0.3">
      <c r="A8402">
        <v>8400</v>
      </c>
      <c r="B8402" s="1" t="s">
        <v>10988</v>
      </c>
      <c r="C8402" t="s">
        <v>229</v>
      </c>
      <c r="D8402" s="1" t="s">
        <v>10989</v>
      </c>
    </row>
    <row r="8403" spans="1:4" hidden="1" x14ac:dyDescent="0.3">
      <c r="A8403">
        <v>8401</v>
      </c>
      <c r="B8403" t="s">
        <v>10990</v>
      </c>
      <c r="C8403" t="s">
        <v>112</v>
      </c>
      <c r="D8403">
        <v>-353.600330545232</v>
      </c>
    </row>
    <row r="8404" spans="1:4" hidden="1" x14ac:dyDescent="0.3">
      <c r="A8404">
        <v>8402</v>
      </c>
      <c r="B8404" t="s">
        <v>10991</v>
      </c>
      <c r="C8404" t="s">
        <v>114</v>
      </c>
      <c r="D8404">
        <v>-66.042296549730096</v>
      </c>
    </row>
    <row r="8405" spans="1:4" hidden="1" x14ac:dyDescent="0.3">
      <c r="A8405">
        <v>8403</v>
      </c>
      <c r="B8405" s="1" t="s">
        <v>10992</v>
      </c>
      <c r="C8405" t="s">
        <v>116</v>
      </c>
      <c r="D8405" s="1" t="s">
        <v>10993</v>
      </c>
    </row>
    <row r="8406" spans="1:4" hidden="1" x14ac:dyDescent="0.3">
      <c r="A8406">
        <v>8404</v>
      </c>
      <c r="B8406" t="s">
        <v>10994</v>
      </c>
      <c r="C8406" t="s">
        <v>119</v>
      </c>
      <c r="D8406">
        <v>79670682.073596895</v>
      </c>
    </row>
    <row r="8407" spans="1:4" hidden="1" x14ac:dyDescent="0.3">
      <c r="A8407">
        <v>8405</v>
      </c>
      <c r="B8407" t="s">
        <v>10995</v>
      </c>
      <c r="C8407" t="s">
        <v>121</v>
      </c>
      <c r="D8407">
        <v>39006053.660270497</v>
      </c>
    </row>
    <row r="8408" spans="1:4" hidden="1" x14ac:dyDescent="0.3">
      <c r="A8408">
        <v>8406</v>
      </c>
      <c r="B8408" s="1" t="s">
        <v>10996</v>
      </c>
      <c r="C8408" t="s">
        <v>123</v>
      </c>
      <c r="D8408" s="1" t="s">
        <v>10997</v>
      </c>
    </row>
    <row r="8409" spans="1:4" hidden="1" x14ac:dyDescent="0.3">
      <c r="A8409">
        <v>8407</v>
      </c>
      <c r="B8409" t="s">
        <v>10998</v>
      </c>
      <c r="C8409" t="s">
        <v>126</v>
      </c>
      <c r="D8409">
        <v>0.78734972931437996</v>
      </c>
    </row>
    <row r="8410" spans="1:4" hidden="1" x14ac:dyDescent="0.3">
      <c r="A8410">
        <v>8408</v>
      </c>
      <c r="B8410" t="s">
        <v>10999</v>
      </c>
      <c r="C8410" t="s">
        <v>128</v>
      </c>
      <c r="D8410">
        <v>0.385479388298271</v>
      </c>
    </row>
    <row r="8411" spans="1:4" hidden="1" x14ac:dyDescent="0.3">
      <c r="A8411">
        <v>8409</v>
      </c>
      <c r="B8411" s="1" t="s">
        <v>11000</v>
      </c>
      <c r="C8411" t="s">
        <v>130</v>
      </c>
      <c r="D8411" s="1" t="s">
        <v>11001</v>
      </c>
    </row>
    <row r="8412" spans="1:4" hidden="1" x14ac:dyDescent="0.3">
      <c r="A8412">
        <v>8410</v>
      </c>
      <c r="B8412" s="1" t="s">
        <v>11002</v>
      </c>
      <c r="C8412" t="s">
        <v>4</v>
      </c>
      <c r="D8412" t="s">
        <v>11003</v>
      </c>
    </row>
    <row r="8413" spans="1:4" hidden="1" x14ac:dyDescent="0.3">
      <c r="A8413">
        <v>8411</v>
      </c>
      <c r="B8413" t="s">
        <v>11004</v>
      </c>
      <c r="C8413" t="s">
        <v>7</v>
      </c>
      <c r="D8413">
        <v>1864.9</v>
      </c>
    </row>
    <row r="8414" spans="1:4" hidden="1" x14ac:dyDescent="0.3">
      <c r="A8414">
        <v>8412</v>
      </c>
      <c r="B8414" s="1" t="s">
        <v>11005</v>
      </c>
      <c r="C8414" t="s">
        <v>9</v>
      </c>
      <c r="D8414" s="1" t="s">
        <v>11006</v>
      </c>
    </row>
    <row r="8415" spans="1:4" hidden="1" x14ac:dyDescent="0.3">
      <c r="A8415">
        <v>8413</v>
      </c>
      <c r="B8415" t="s">
        <v>11007</v>
      </c>
      <c r="C8415" t="s">
        <v>14</v>
      </c>
      <c r="D8415">
        <v>97.015625</v>
      </c>
    </row>
    <row r="8416" spans="1:4" hidden="1" x14ac:dyDescent="0.3">
      <c r="A8416">
        <v>8414</v>
      </c>
      <c r="B8416" t="s">
        <v>11008</v>
      </c>
      <c r="C8416" t="s">
        <v>16</v>
      </c>
      <c r="D8416">
        <v>4.3764432149516903</v>
      </c>
    </row>
    <row r="8417" spans="1:4" hidden="1" x14ac:dyDescent="0.3">
      <c r="A8417">
        <v>8415</v>
      </c>
      <c r="B8417" s="1" t="s">
        <v>11009</v>
      </c>
      <c r="C8417" t="s">
        <v>140</v>
      </c>
      <c r="D8417" s="1" t="s">
        <v>11010</v>
      </c>
    </row>
    <row r="8418" spans="1:4" hidden="1" x14ac:dyDescent="0.3">
      <c r="A8418">
        <v>8416</v>
      </c>
      <c r="B8418" t="s">
        <v>6705</v>
      </c>
      <c r="C8418" t="s">
        <v>22</v>
      </c>
      <c r="D8418">
        <v>71.5</v>
      </c>
    </row>
    <row r="8419" spans="1:4" hidden="1" x14ac:dyDescent="0.3">
      <c r="A8419">
        <v>8417</v>
      </c>
      <c r="B8419" t="s">
        <v>11011</v>
      </c>
      <c r="C8419" t="s">
        <v>24</v>
      </c>
      <c r="D8419">
        <v>6.3593033084093298</v>
      </c>
    </row>
    <row r="8420" spans="1:4" hidden="1" x14ac:dyDescent="0.3">
      <c r="A8420">
        <v>8418</v>
      </c>
      <c r="B8420" s="1" t="s">
        <v>11012</v>
      </c>
      <c r="C8420" t="s">
        <v>145</v>
      </c>
      <c r="D8420" s="1" t="s">
        <v>11013</v>
      </c>
    </row>
    <row r="8421" spans="1:4" hidden="1" x14ac:dyDescent="0.3">
      <c r="A8421">
        <v>8419</v>
      </c>
      <c r="B8421" t="s">
        <v>11014</v>
      </c>
      <c r="C8421" t="s">
        <v>35</v>
      </c>
      <c r="D8421">
        <v>-1.0350133626439599</v>
      </c>
    </row>
    <row r="8422" spans="1:4" hidden="1" x14ac:dyDescent="0.3">
      <c r="A8422">
        <v>8420</v>
      </c>
      <c r="B8422" t="s">
        <v>11015</v>
      </c>
      <c r="C8422" t="s">
        <v>149</v>
      </c>
      <c r="D8422">
        <v>0.71911346432170498</v>
      </c>
    </row>
    <row r="8423" spans="1:4" hidden="1" x14ac:dyDescent="0.3">
      <c r="A8423">
        <v>8421</v>
      </c>
      <c r="B8423" s="1" t="s">
        <v>11016</v>
      </c>
      <c r="C8423" t="s">
        <v>151</v>
      </c>
      <c r="D8423" s="1" t="s">
        <v>11017</v>
      </c>
    </row>
    <row r="8424" spans="1:4" hidden="1" x14ac:dyDescent="0.3">
      <c r="A8424">
        <v>8422</v>
      </c>
      <c r="B8424" t="s">
        <v>11018</v>
      </c>
      <c r="C8424" t="s">
        <v>30</v>
      </c>
      <c r="D8424">
        <v>0.81232382562896599</v>
      </c>
    </row>
    <row r="8425" spans="1:4" hidden="1" x14ac:dyDescent="0.3">
      <c r="A8425">
        <v>8423</v>
      </c>
      <c r="B8425" t="s">
        <v>11019</v>
      </c>
      <c r="C8425" t="s">
        <v>32</v>
      </c>
      <c r="D8425">
        <v>0.20034533038723701</v>
      </c>
    </row>
    <row r="8426" spans="1:4" hidden="1" x14ac:dyDescent="0.3">
      <c r="A8426">
        <v>8424</v>
      </c>
      <c r="B8426" s="1" t="s">
        <v>11020</v>
      </c>
      <c r="C8426" t="s">
        <v>155</v>
      </c>
      <c r="D8426" s="1" t="s">
        <v>11021</v>
      </c>
    </row>
    <row r="8427" spans="1:4" hidden="1" x14ac:dyDescent="0.3">
      <c r="A8427">
        <v>8425</v>
      </c>
      <c r="B8427" t="s">
        <v>11022</v>
      </c>
      <c r="C8427" t="s">
        <v>40</v>
      </c>
      <c r="D8427">
        <v>1.2226895370149899</v>
      </c>
    </row>
    <row r="8428" spans="1:4" hidden="1" x14ac:dyDescent="0.3">
      <c r="A8428">
        <v>8426</v>
      </c>
      <c r="B8428" t="s">
        <v>11023</v>
      </c>
      <c r="C8428" t="s">
        <v>42</v>
      </c>
      <c r="D8428">
        <v>0.19025580505838599</v>
      </c>
    </row>
    <row r="8429" spans="1:4" hidden="1" x14ac:dyDescent="0.3">
      <c r="A8429">
        <v>8427</v>
      </c>
      <c r="B8429" s="1" t="s">
        <v>11024</v>
      </c>
      <c r="C8429" t="s">
        <v>159</v>
      </c>
      <c r="D8429" s="1" t="s">
        <v>11025</v>
      </c>
    </row>
    <row r="8430" spans="1:4" hidden="1" x14ac:dyDescent="0.3">
      <c r="A8430">
        <v>8428</v>
      </c>
      <c r="B8430" t="s">
        <v>11026</v>
      </c>
      <c r="C8430" t="s">
        <v>161</v>
      </c>
      <c r="D8430">
        <v>1.0082720588235199</v>
      </c>
    </row>
    <row r="8431" spans="1:4" hidden="1" x14ac:dyDescent="0.3">
      <c r="A8431">
        <v>8429</v>
      </c>
      <c r="B8431" t="s">
        <v>11027</v>
      </c>
      <c r="C8431" t="s">
        <v>163</v>
      </c>
      <c r="D8431">
        <v>0.99979221902390802</v>
      </c>
    </row>
    <row r="8432" spans="1:4" hidden="1" x14ac:dyDescent="0.3">
      <c r="A8432">
        <v>8430</v>
      </c>
      <c r="B8432" s="1" t="s">
        <v>11028</v>
      </c>
      <c r="C8432" t="s">
        <v>165</v>
      </c>
      <c r="D8432" s="1" t="s">
        <v>11029</v>
      </c>
    </row>
    <row r="8433" spans="1:4" hidden="1" x14ac:dyDescent="0.3">
      <c r="A8433">
        <v>8431</v>
      </c>
      <c r="B8433" t="s">
        <v>11030</v>
      </c>
      <c r="C8433" t="s">
        <v>168</v>
      </c>
      <c r="D8433">
        <v>0.99996859082724499</v>
      </c>
    </row>
    <row r="8434" spans="1:4" hidden="1" x14ac:dyDescent="0.3">
      <c r="A8434">
        <v>8432</v>
      </c>
      <c r="B8434" t="s">
        <v>11031</v>
      </c>
      <c r="C8434" t="s">
        <v>170</v>
      </c>
      <c r="D8434">
        <v>0.99838704468391903</v>
      </c>
    </row>
    <row r="8435" spans="1:4" hidden="1" x14ac:dyDescent="0.3">
      <c r="A8435">
        <v>8433</v>
      </c>
      <c r="B8435" s="1" t="s">
        <v>11032</v>
      </c>
      <c r="C8435" t="s">
        <v>172</v>
      </c>
      <c r="D8435" s="1" t="s">
        <v>11033</v>
      </c>
    </row>
    <row r="8436" spans="1:4" hidden="1" x14ac:dyDescent="0.3">
      <c r="A8436">
        <v>8434</v>
      </c>
      <c r="B8436" s="1" t="s">
        <v>11034</v>
      </c>
      <c r="C8436" t="s">
        <v>55</v>
      </c>
      <c r="D8436" s="1" t="s">
        <v>11035</v>
      </c>
    </row>
    <row r="8437" spans="1:4" hidden="1" x14ac:dyDescent="0.3">
      <c r="A8437">
        <v>8435</v>
      </c>
      <c r="B8437" s="1" t="s">
        <v>11036</v>
      </c>
      <c r="C8437" t="s">
        <v>52</v>
      </c>
      <c r="D8437" s="1" t="s">
        <v>11037</v>
      </c>
    </row>
    <row r="8438" spans="1:4" hidden="1" x14ac:dyDescent="0.3">
      <c r="A8438">
        <v>8436</v>
      </c>
      <c r="B8438" s="1" t="s">
        <v>11038</v>
      </c>
      <c r="C8438" t="s">
        <v>58</v>
      </c>
      <c r="D8438" s="1" t="s">
        <v>11039</v>
      </c>
    </row>
    <row r="8439" spans="1:4" hidden="1" x14ac:dyDescent="0.3">
      <c r="A8439">
        <v>8437</v>
      </c>
      <c r="B8439" t="s">
        <v>11040</v>
      </c>
      <c r="C8439" t="s">
        <v>61</v>
      </c>
      <c r="D8439">
        <v>147735166.84827501</v>
      </c>
    </row>
    <row r="8440" spans="1:4" hidden="1" x14ac:dyDescent="0.3">
      <c r="A8440">
        <v>8438</v>
      </c>
      <c r="B8440" t="s">
        <v>11041</v>
      </c>
      <c r="C8440" t="s">
        <v>63</v>
      </c>
      <c r="D8440">
        <v>80329722.642220393</v>
      </c>
    </row>
    <row r="8441" spans="1:4" hidden="1" x14ac:dyDescent="0.3">
      <c r="A8441">
        <v>8439</v>
      </c>
      <c r="B8441" t="s">
        <v>11042</v>
      </c>
      <c r="C8441" t="s">
        <v>65</v>
      </c>
      <c r="D8441">
        <v>38997948.944367498</v>
      </c>
    </row>
    <row r="8442" spans="1:4" hidden="1" x14ac:dyDescent="0.3">
      <c r="A8442">
        <v>8440</v>
      </c>
      <c r="B8442" s="1" t="s">
        <v>11043</v>
      </c>
      <c r="C8442" t="s">
        <v>67</v>
      </c>
      <c r="D8442" s="1" t="s">
        <v>11044</v>
      </c>
    </row>
    <row r="8443" spans="1:4" hidden="1" x14ac:dyDescent="0.3">
      <c r="A8443">
        <v>8441</v>
      </c>
      <c r="B8443" s="1" t="s">
        <v>11045</v>
      </c>
      <c r="C8443" t="s">
        <v>70</v>
      </c>
      <c r="D8443" s="1" t="s">
        <v>11046</v>
      </c>
    </row>
    <row r="8444" spans="1:4" hidden="1" x14ac:dyDescent="0.3">
      <c r="A8444">
        <v>8442</v>
      </c>
      <c r="B8444" t="s">
        <v>11047</v>
      </c>
      <c r="C8444" t="s">
        <v>73</v>
      </c>
      <c r="D8444">
        <v>1.00027684098863</v>
      </c>
    </row>
    <row r="8445" spans="1:4" hidden="1" x14ac:dyDescent="0.3">
      <c r="A8445">
        <v>8443</v>
      </c>
      <c r="B8445" t="s">
        <v>74</v>
      </c>
      <c r="C8445" t="s">
        <v>75</v>
      </c>
      <c r="D8445">
        <v>2.7397260273972599E-3</v>
      </c>
    </row>
    <row r="8446" spans="1:4" hidden="1" x14ac:dyDescent="0.3">
      <c r="A8446">
        <v>8444</v>
      </c>
      <c r="B8446" t="s">
        <v>76</v>
      </c>
      <c r="C8446" t="s">
        <v>77</v>
      </c>
      <c r="D8446">
        <v>0</v>
      </c>
    </row>
    <row r="8447" spans="1:4" hidden="1" x14ac:dyDescent="0.3">
      <c r="A8447">
        <v>8445</v>
      </c>
      <c r="B8447" t="s">
        <v>78</v>
      </c>
      <c r="C8447" t="s">
        <v>79</v>
      </c>
      <c r="D8447">
        <v>0</v>
      </c>
    </row>
    <row r="8448" spans="1:4" hidden="1" x14ac:dyDescent="0.3">
      <c r="A8448">
        <v>8446</v>
      </c>
      <c r="B8448" s="1" t="s">
        <v>11048</v>
      </c>
      <c r="C8448" t="s">
        <v>81</v>
      </c>
      <c r="D8448" s="1" t="s">
        <v>11049</v>
      </c>
    </row>
    <row r="8449" spans="1:4" hidden="1" x14ac:dyDescent="0.3">
      <c r="A8449">
        <v>8447</v>
      </c>
      <c r="B8449" t="s">
        <v>11050</v>
      </c>
      <c r="C8449" t="s">
        <v>84</v>
      </c>
      <c r="D8449">
        <v>1.00025829777461</v>
      </c>
    </row>
    <row r="8450" spans="1:4" hidden="1" x14ac:dyDescent="0.3">
      <c r="A8450">
        <v>8448</v>
      </c>
      <c r="B8450" s="1" t="s">
        <v>11051</v>
      </c>
      <c r="C8450" t="s">
        <v>86</v>
      </c>
      <c r="D8450" s="1" t="s">
        <v>11052</v>
      </c>
    </row>
    <row r="8451" spans="1:4" hidden="1" x14ac:dyDescent="0.3">
      <c r="A8451">
        <v>8449</v>
      </c>
      <c r="B8451" t="s">
        <v>11053</v>
      </c>
      <c r="C8451" t="s">
        <v>89</v>
      </c>
      <c r="D8451">
        <v>101163649.138009</v>
      </c>
    </row>
    <row r="8452" spans="1:4" hidden="1" x14ac:dyDescent="0.3">
      <c r="A8452">
        <v>8450</v>
      </c>
      <c r="B8452" s="1" t="s">
        <v>11054</v>
      </c>
      <c r="C8452" t="s">
        <v>91</v>
      </c>
      <c r="D8452" s="1" t="s">
        <v>10989</v>
      </c>
    </row>
    <row r="8453" spans="1:4" hidden="1" x14ac:dyDescent="0.3">
      <c r="A8453">
        <v>8451</v>
      </c>
      <c r="B8453" t="s">
        <v>11055</v>
      </c>
      <c r="C8453" t="s">
        <v>94</v>
      </c>
      <c r="D8453">
        <v>80329722.642220393</v>
      </c>
    </row>
    <row r="8454" spans="1:4" hidden="1" x14ac:dyDescent="0.3">
      <c r="A8454">
        <v>8452</v>
      </c>
      <c r="B8454" t="s">
        <v>11056</v>
      </c>
      <c r="C8454" t="s">
        <v>96</v>
      </c>
      <c r="D8454">
        <v>38997948.944367498</v>
      </c>
    </row>
    <row r="8455" spans="1:4" hidden="1" x14ac:dyDescent="0.3">
      <c r="A8455">
        <v>8453</v>
      </c>
      <c r="B8455" t="s">
        <v>11057</v>
      </c>
      <c r="C8455" t="s">
        <v>98</v>
      </c>
      <c r="D8455">
        <v>28407495.261687402</v>
      </c>
    </row>
    <row r="8456" spans="1:4" hidden="1" x14ac:dyDescent="0.3">
      <c r="A8456">
        <v>8454</v>
      </c>
      <c r="B8456" s="1" t="s">
        <v>11058</v>
      </c>
      <c r="C8456" t="s">
        <v>100</v>
      </c>
      <c r="D8456" s="1" t="s">
        <v>11059</v>
      </c>
    </row>
    <row r="8457" spans="1:4" hidden="1" x14ac:dyDescent="0.3">
      <c r="A8457">
        <v>8455</v>
      </c>
      <c r="B8457" t="s">
        <v>11060</v>
      </c>
      <c r="C8457" t="s">
        <v>103</v>
      </c>
      <c r="D8457">
        <v>8.2852945102290104E-3</v>
      </c>
    </row>
    <row r="8458" spans="1:4" hidden="1" x14ac:dyDescent="0.3">
      <c r="A8458">
        <v>8456</v>
      </c>
      <c r="B8458" t="s">
        <v>11061</v>
      </c>
      <c r="C8458" t="s">
        <v>105</v>
      </c>
      <c r="D8458">
        <v>1.52171503711591E-3</v>
      </c>
    </row>
    <row r="8459" spans="1:4" hidden="1" x14ac:dyDescent="0.3">
      <c r="A8459">
        <v>8457</v>
      </c>
      <c r="B8459" t="s">
        <v>11062</v>
      </c>
      <c r="C8459" t="s">
        <v>107</v>
      </c>
      <c r="D8459">
        <v>1.0470387478887601E-2</v>
      </c>
    </row>
    <row r="8460" spans="1:4" hidden="1" x14ac:dyDescent="0.3">
      <c r="A8460">
        <v>8458</v>
      </c>
      <c r="B8460" s="1" t="s">
        <v>11063</v>
      </c>
      <c r="C8460" t="s">
        <v>109</v>
      </c>
      <c r="D8460" s="1" t="s">
        <v>11064</v>
      </c>
    </row>
    <row r="8461" spans="1:4" x14ac:dyDescent="0.3">
      <c r="A8461">
        <v>8459</v>
      </c>
      <c r="B8461" t="s">
        <v>11065</v>
      </c>
      <c r="C8461" t="s">
        <v>207</v>
      </c>
      <c r="D8461">
        <v>147734515.25447401</v>
      </c>
    </row>
    <row r="8462" spans="1:4" hidden="1" x14ac:dyDescent="0.3">
      <c r="A8462">
        <v>8460</v>
      </c>
      <c r="B8462" t="s">
        <v>11066</v>
      </c>
      <c r="C8462" t="s">
        <v>209</v>
      </c>
      <c r="D8462">
        <v>1489.1498720976199</v>
      </c>
    </row>
    <row r="8463" spans="1:4" hidden="1" x14ac:dyDescent="0.3">
      <c r="A8463">
        <v>8461</v>
      </c>
      <c r="B8463" t="s">
        <v>11067</v>
      </c>
      <c r="C8463" t="s">
        <v>211</v>
      </c>
      <c r="D8463">
        <v>722.94547784566498</v>
      </c>
    </row>
    <row r="8464" spans="1:4" hidden="1" x14ac:dyDescent="0.3">
      <c r="A8464">
        <v>8462</v>
      </c>
      <c r="B8464" s="1" t="s">
        <v>11068</v>
      </c>
      <c r="C8464" t="s">
        <v>213</v>
      </c>
      <c r="D8464" s="1" t="s">
        <v>11069</v>
      </c>
    </row>
    <row r="8465" spans="1:4" hidden="1" x14ac:dyDescent="0.3">
      <c r="A8465">
        <v>8463</v>
      </c>
      <c r="B8465" t="s">
        <v>11070</v>
      </c>
      <c r="C8465" t="s">
        <v>216</v>
      </c>
      <c r="D8465">
        <v>80327742.228445798</v>
      </c>
    </row>
    <row r="8466" spans="1:4" hidden="1" x14ac:dyDescent="0.3">
      <c r="A8466">
        <v>8464</v>
      </c>
      <c r="B8466" t="s">
        <v>11071</v>
      </c>
      <c r="C8466" t="s">
        <v>218</v>
      </c>
      <c r="D8466">
        <v>38997134.591836601</v>
      </c>
    </row>
    <row r="8467" spans="1:4" hidden="1" x14ac:dyDescent="0.3">
      <c r="A8467">
        <v>8465</v>
      </c>
      <c r="B8467" t="s">
        <v>11072</v>
      </c>
      <c r="C8467" t="s">
        <v>220</v>
      </c>
      <c r="D8467">
        <v>28406899.719645701</v>
      </c>
    </row>
    <row r="8468" spans="1:4" hidden="1" x14ac:dyDescent="0.3">
      <c r="A8468">
        <v>8466</v>
      </c>
      <c r="B8468" s="1" t="s">
        <v>11073</v>
      </c>
      <c r="C8468" t="s">
        <v>222</v>
      </c>
      <c r="D8468" s="1" t="s">
        <v>11074</v>
      </c>
    </row>
    <row r="8469" spans="1:4" hidden="1" x14ac:dyDescent="0.3">
      <c r="A8469">
        <v>8467</v>
      </c>
      <c r="B8469" t="s">
        <v>11075</v>
      </c>
      <c r="C8469" t="s">
        <v>225</v>
      </c>
      <c r="D8469">
        <v>101161773.757994</v>
      </c>
    </row>
    <row r="8470" spans="1:4" hidden="1" x14ac:dyDescent="0.3">
      <c r="A8470">
        <v>8468</v>
      </c>
      <c r="B8470" t="s">
        <v>11076</v>
      </c>
      <c r="C8470" t="s">
        <v>227</v>
      </c>
      <c r="D8470">
        <v>1875.3800153434199</v>
      </c>
    </row>
    <row r="8471" spans="1:4" hidden="1" x14ac:dyDescent="0.3">
      <c r="A8471">
        <v>8469</v>
      </c>
      <c r="B8471" s="1" t="s">
        <v>11077</v>
      </c>
      <c r="C8471" t="s">
        <v>229</v>
      </c>
      <c r="D8471" s="1" t="s">
        <v>11078</v>
      </c>
    </row>
    <row r="8472" spans="1:4" hidden="1" x14ac:dyDescent="0.3">
      <c r="A8472">
        <v>8470</v>
      </c>
      <c r="B8472" t="s">
        <v>11079</v>
      </c>
      <c r="C8472" t="s">
        <v>112</v>
      </c>
      <c r="D8472">
        <v>-491.26390251249501</v>
      </c>
    </row>
    <row r="8473" spans="1:4" hidden="1" x14ac:dyDescent="0.3">
      <c r="A8473">
        <v>8471</v>
      </c>
      <c r="B8473" t="s">
        <v>11080</v>
      </c>
      <c r="C8473" t="s">
        <v>114</v>
      </c>
      <c r="D8473">
        <v>-91.407053028026098</v>
      </c>
    </row>
    <row r="8474" spans="1:4" hidden="1" x14ac:dyDescent="0.3">
      <c r="A8474">
        <v>8472</v>
      </c>
      <c r="B8474" s="1" t="s">
        <v>11081</v>
      </c>
      <c r="C8474" t="s">
        <v>116</v>
      </c>
      <c r="D8474" s="1" t="s">
        <v>11082</v>
      </c>
    </row>
    <row r="8475" spans="1:4" hidden="1" x14ac:dyDescent="0.3">
      <c r="A8475">
        <v>8473</v>
      </c>
      <c r="B8475" t="s">
        <v>11083</v>
      </c>
      <c r="C8475" t="s">
        <v>119</v>
      </c>
      <c r="D8475">
        <v>80327742.228445798</v>
      </c>
    </row>
    <row r="8476" spans="1:4" hidden="1" x14ac:dyDescent="0.3">
      <c r="A8476">
        <v>8474</v>
      </c>
      <c r="B8476" t="s">
        <v>11084</v>
      </c>
      <c r="C8476" t="s">
        <v>121</v>
      </c>
      <c r="D8476">
        <v>38997134.591836601</v>
      </c>
    </row>
    <row r="8477" spans="1:4" hidden="1" x14ac:dyDescent="0.3">
      <c r="A8477">
        <v>8475</v>
      </c>
      <c r="B8477" s="1" t="s">
        <v>11085</v>
      </c>
      <c r="C8477" t="s">
        <v>123</v>
      </c>
      <c r="D8477" s="1" t="s">
        <v>11086</v>
      </c>
    </row>
    <row r="8478" spans="1:4" hidden="1" x14ac:dyDescent="0.3">
      <c r="A8478">
        <v>8476</v>
      </c>
      <c r="B8478" t="s">
        <v>11087</v>
      </c>
      <c r="C8478" t="s">
        <v>126</v>
      </c>
      <c r="D8478">
        <v>0.79384728169561103</v>
      </c>
    </row>
    <row r="8479" spans="1:4" hidden="1" x14ac:dyDescent="0.3">
      <c r="A8479">
        <v>8477</v>
      </c>
      <c r="B8479" t="s">
        <v>11088</v>
      </c>
      <c r="C8479" t="s">
        <v>128</v>
      </c>
      <c r="D8479">
        <v>0.385393245606305</v>
      </c>
    </row>
    <row r="8480" spans="1:4" hidden="1" x14ac:dyDescent="0.3">
      <c r="A8480">
        <v>8478</v>
      </c>
      <c r="B8480" s="1" t="s">
        <v>11089</v>
      </c>
      <c r="C8480" t="s">
        <v>130</v>
      </c>
      <c r="D8480" s="1" t="s">
        <v>11090</v>
      </c>
    </row>
    <row r="8481" spans="1:4" hidden="1" x14ac:dyDescent="0.3">
      <c r="A8481">
        <v>8479</v>
      </c>
      <c r="B8481" s="1" t="s">
        <v>11091</v>
      </c>
      <c r="C8481" t="s">
        <v>4</v>
      </c>
      <c r="D8481" t="s">
        <v>11092</v>
      </c>
    </row>
    <row r="8482" spans="1:4" hidden="1" x14ac:dyDescent="0.3">
      <c r="A8482">
        <v>8480</v>
      </c>
      <c r="B8482" t="s">
        <v>11093</v>
      </c>
      <c r="C8482" t="s">
        <v>7</v>
      </c>
      <c r="D8482">
        <v>1862.84</v>
      </c>
    </row>
    <row r="8483" spans="1:4" hidden="1" x14ac:dyDescent="0.3">
      <c r="A8483">
        <v>8481</v>
      </c>
      <c r="B8483" s="1" t="s">
        <v>11094</v>
      </c>
      <c r="C8483" t="s">
        <v>9</v>
      </c>
      <c r="D8483" s="1" t="s">
        <v>11095</v>
      </c>
    </row>
    <row r="8484" spans="1:4" hidden="1" x14ac:dyDescent="0.3">
      <c r="A8484">
        <v>8482</v>
      </c>
      <c r="B8484" t="s">
        <v>11096</v>
      </c>
      <c r="C8484" t="s">
        <v>14</v>
      </c>
      <c r="D8484">
        <v>96.90234375</v>
      </c>
    </row>
    <row r="8485" spans="1:4" hidden="1" x14ac:dyDescent="0.3">
      <c r="A8485">
        <v>8483</v>
      </c>
      <c r="B8485" t="s">
        <v>11097</v>
      </c>
      <c r="C8485" t="s">
        <v>16</v>
      </c>
      <c r="D8485">
        <v>4.37267922260419</v>
      </c>
    </row>
    <row r="8486" spans="1:4" hidden="1" x14ac:dyDescent="0.3">
      <c r="A8486">
        <v>8484</v>
      </c>
      <c r="B8486" s="1" t="s">
        <v>11098</v>
      </c>
      <c r="C8486" t="s">
        <v>140</v>
      </c>
      <c r="D8486" s="1" t="s">
        <v>11099</v>
      </c>
    </row>
    <row r="8487" spans="1:4" hidden="1" x14ac:dyDescent="0.3">
      <c r="A8487">
        <v>8485</v>
      </c>
      <c r="B8487" t="s">
        <v>6705</v>
      </c>
      <c r="C8487" t="s">
        <v>22</v>
      </c>
      <c r="D8487">
        <v>71.5</v>
      </c>
    </row>
    <row r="8488" spans="1:4" hidden="1" x14ac:dyDescent="0.3">
      <c r="A8488">
        <v>8486</v>
      </c>
      <c r="B8488" t="s">
        <v>11100</v>
      </c>
      <c r="C8488" t="s">
        <v>24</v>
      </c>
      <c r="D8488">
        <v>6.3224507741568301</v>
      </c>
    </row>
    <row r="8489" spans="1:4" hidden="1" x14ac:dyDescent="0.3">
      <c r="A8489">
        <v>8487</v>
      </c>
      <c r="B8489" s="1" t="s">
        <v>11101</v>
      </c>
      <c r="C8489" t="s">
        <v>145</v>
      </c>
      <c r="D8489" s="1" t="s">
        <v>11102</v>
      </c>
    </row>
    <row r="8490" spans="1:4" hidden="1" x14ac:dyDescent="0.3">
      <c r="A8490">
        <v>8488</v>
      </c>
      <c r="B8490" t="s">
        <v>11103</v>
      </c>
      <c r="C8490" t="s">
        <v>35</v>
      </c>
      <c r="D8490">
        <v>-0.33541825689231403</v>
      </c>
    </row>
    <row r="8491" spans="1:4" hidden="1" x14ac:dyDescent="0.3">
      <c r="A8491">
        <v>8489</v>
      </c>
      <c r="B8491" t="s">
        <v>11104</v>
      </c>
      <c r="C8491" t="s">
        <v>149</v>
      </c>
      <c r="D8491">
        <v>0.71727486192828105</v>
      </c>
    </row>
    <row r="8492" spans="1:4" hidden="1" x14ac:dyDescent="0.3">
      <c r="A8492">
        <v>8490</v>
      </c>
      <c r="B8492" s="1" t="s">
        <v>11105</v>
      </c>
      <c r="C8492" t="s">
        <v>151</v>
      </c>
      <c r="D8492" s="1" t="s">
        <v>11106</v>
      </c>
    </row>
    <row r="8493" spans="1:4" hidden="1" x14ac:dyDescent="0.3">
      <c r="A8493">
        <v>8491</v>
      </c>
      <c r="B8493" t="s">
        <v>11107</v>
      </c>
      <c r="C8493" t="s">
        <v>30</v>
      </c>
      <c r="D8493">
        <v>0.52789092488150802</v>
      </c>
    </row>
    <row r="8494" spans="1:4" hidden="1" x14ac:dyDescent="0.3">
      <c r="A8494">
        <v>8492</v>
      </c>
      <c r="B8494" t="s">
        <v>11108</v>
      </c>
      <c r="C8494" t="s">
        <v>32</v>
      </c>
      <c r="D8494">
        <v>0.20222835451142601</v>
      </c>
    </row>
    <row r="8495" spans="1:4" hidden="1" x14ac:dyDescent="0.3">
      <c r="A8495">
        <v>8493</v>
      </c>
      <c r="B8495" s="1" t="s">
        <v>11109</v>
      </c>
      <c r="C8495" t="s">
        <v>155</v>
      </c>
      <c r="D8495" s="1" t="s">
        <v>11110</v>
      </c>
    </row>
    <row r="8496" spans="1:4" hidden="1" x14ac:dyDescent="0.3">
      <c r="A8496">
        <v>8494</v>
      </c>
      <c r="B8496" t="s">
        <v>11111</v>
      </c>
      <c r="C8496" t="s">
        <v>40</v>
      </c>
      <c r="D8496">
        <v>0.80752733201080595</v>
      </c>
    </row>
    <row r="8497" spans="1:4" hidden="1" x14ac:dyDescent="0.3">
      <c r="A8497">
        <v>8495</v>
      </c>
      <c r="B8497" t="s">
        <v>11112</v>
      </c>
      <c r="C8497" t="s">
        <v>42</v>
      </c>
      <c r="D8497">
        <v>0.191937331585051</v>
      </c>
    </row>
    <row r="8498" spans="1:4" hidden="1" x14ac:dyDescent="0.3">
      <c r="A8498">
        <v>8496</v>
      </c>
      <c r="B8498" s="1" t="s">
        <v>11113</v>
      </c>
      <c r="C8498" t="s">
        <v>159</v>
      </c>
      <c r="D8498" s="1" t="s">
        <v>11114</v>
      </c>
    </row>
    <row r="8499" spans="1:4" hidden="1" x14ac:dyDescent="0.3">
      <c r="A8499">
        <v>8497</v>
      </c>
      <c r="B8499" t="s">
        <v>11115</v>
      </c>
      <c r="C8499" t="s">
        <v>161</v>
      </c>
      <c r="D8499">
        <v>0.998895383130462</v>
      </c>
    </row>
    <row r="8500" spans="1:4" hidden="1" x14ac:dyDescent="0.3">
      <c r="A8500">
        <v>8498</v>
      </c>
      <c r="B8500" t="s">
        <v>11116</v>
      </c>
      <c r="C8500" t="s">
        <v>163</v>
      </c>
      <c r="D8500">
        <v>0.99884561737019295</v>
      </c>
    </row>
    <row r="8501" spans="1:4" hidden="1" x14ac:dyDescent="0.3">
      <c r="A8501">
        <v>8499</v>
      </c>
      <c r="B8501" s="1" t="s">
        <v>11117</v>
      </c>
      <c r="C8501" t="s">
        <v>165</v>
      </c>
      <c r="D8501" s="1" t="s">
        <v>11118</v>
      </c>
    </row>
    <row r="8502" spans="1:4" hidden="1" x14ac:dyDescent="0.3">
      <c r="A8502">
        <v>8500</v>
      </c>
      <c r="B8502" t="s">
        <v>11119</v>
      </c>
      <c r="C8502" t="s">
        <v>168</v>
      </c>
      <c r="D8502">
        <v>0.99893049386699495</v>
      </c>
    </row>
    <row r="8503" spans="1:4" hidden="1" x14ac:dyDescent="0.3">
      <c r="A8503">
        <v>8501</v>
      </c>
      <c r="B8503" t="s">
        <v>11120</v>
      </c>
      <c r="C8503" t="s">
        <v>170</v>
      </c>
      <c r="D8503">
        <v>1.0015687353268401</v>
      </c>
    </row>
    <row r="8504" spans="1:4" hidden="1" x14ac:dyDescent="0.3">
      <c r="A8504">
        <v>8502</v>
      </c>
      <c r="B8504" s="1" t="s">
        <v>11121</v>
      </c>
      <c r="C8504" t="s">
        <v>172</v>
      </c>
      <c r="D8504" s="1" t="s">
        <v>11122</v>
      </c>
    </row>
    <row r="8505" spans="1:4" hidden="1" x14ac:dyDescent="0.3">
      <c r="A8505">
        <v>8503</v>
      </c>
      <c r="B8505" s="1" t="s">
        <v>11123</v>
      </c>
      <c r="C8505" t="s">
        <v>55</v>
      </c>
      <c r="D8505" s="1" t="s">
        <v>11124</v>
      </c>
    </row>
    <row r="8506" spans="1:4" hidden="1" x14ac:dyDescent="0.3">
      <c r="A8506">
        <v>8504</v>
      </c>
      <c r="B8506" s="1" t="s">
        <v>11125</v>
      </c>
      <c r="C8506" t="s">
        <v>52</v>
      </c>
      <c r="D8506" s="1" t="s">
        <v>11126</v>
      </c>
    </row>
    <row r="8507" spans="1:4" hidden="1" x14ac:dyDescent="0.3">
      <c r="A8507">
        <v>8505</v>
      </c>
      <c r="B8507" s="1" t="s">
        <v>11127</v>
      </c>
      <c r="C8507" t="s">
        <v>58</v>
      </c>
      <c r="D8507" s="1" t="s">
        <v>11128</v>
      </c>
    </row>
    <row r="8508" spans="1:4" hidden="1" x14ac:dyDescent="0.3">
      <c r="A8508">
        <v>8506</v>
      </c>
      <c r="B8508" t="s">
        <v>11129</v>
      </c>
      <c r="C8508" t="s">
        <v>61</v>
      </c>
      <c r="D8508">
        <v>147584581.93062001</v>
      </c>
    </row>
    <row r="8509" spans="1:4" hidden="1" x14ac:dyDescent="0.3">
      <c r="A8509">
        <v>8507</v>
      </c>
      <c r="B8509" t="s">
        <v>11130</v>
      </c>
      <c r="C8509" t="s">
        <v>63</v>
      </c>
      <c r="D8509">
        <v>80239010.849288404</v>
      </c>
    </row>
    <row r="8510" spans="1:4" hidden="1" x14ac:dyDescent="0.3">
      <c r="A8510">
        <v>8508</v>
      </c>
      <c r="B8510" t="s">
        <v>11131</v>
      </c>
      <c r="C8510" t="s">
        <v>65</v>
      </c>
      <c r="D8510">
        <v>38952116.977051601</v>
      </c>
    </row>
    <row r="8511" spans="1:4" hidden="1" x14ac:dyDescent="0.3">
      <c r="A8511">
        <v>8509</v>
      </c>
      <c r="B8511" s="1" t="s">
        <v>11132</v>
      </c>
      <c r="C8511" t="s">
        <v>67</v>
      </c>
      <c r="D8511" s="1" t="s">
        <v>11133</v>
      </c>
    </row>
    <row r="8512" spans="1:4" hidden="1" x14ac:dyDescent="0.3">
      <c r="A8512">
        <v>8510</v>
      </c>
      <c r="B8512" s="1" t="s">
        <v>11134</v>
      </c>
      <c r="C8512" t="s">
        <v>70</v>
      </c>
      <c r="D8512" s="1" t="s">
        <v>11135</v>
      </c>
    </row>
    <row r="8513" spans="1:4" hidden="1" x14ac:dyDescent="0.3">
      <c r="A8513">
        <v>8511</v>
      </c>
      <c r="B8513" t="s">
        <v>11136</v>
      </c>
      <c r="C8513" t="s">
        <v>73</v>
      </c>
      <c r="D8513">
        <v>1.00025829777461</v>
      </c>
    </row>
    <row r="8514" spans="1:4" hidden="1" x14ac:dyDescent="0.3">
      <c r="A8514">
        <v>8512</v>
      </c>
      <c r="B8514" t="s">
        <v>74</v>
      </c>
      <c r="C8514" t="s">
        <v>75</v>
      </c>
      <c r="D8514">
        <v>2.7397260273972599E-3</v>
      </c>
    </row>
    <row r="8515" spans="1:4" hidden="1" x14ac:dyDescent="0.3">
      <c r="A8515">
        <v>8513</v>
      </c>
      <c r="B8515" t="s">
        <v>76</v>
      </c>
      <c r="C8515" t="s">
        <v>77</v>
      </c>
      <c r="D8515">
        <v>0</v>
      </c>
    </row>
    <row r="8516" spans="1:4" hidden="1" x14ac:dyDescent="0.3">
      <c r="A8516">
        <v>8514</v>
      </c>
      <c r="B8516" t="s">
        <v>78</v>
      </c>
      <c r="C8516" t="s">
        <v>79</v>
      </c>
      <c r="D8516">
        <v>0</v>
      </c>
    </row>
    <row r="8517" spans="1:4" hidden="1" x14ac:dyDescent="0.3">
      <c r="A8517">
        <v>8515</v>
      </c>
      <c r="B8517" s="1" t="s">
        <v>11137</v>
      </c>
      <c r="C8517" t="s">
        <v>81</v>
      </c>
      <c r="D8517" s="1" t="s">
        <v>11138</v>
      </c>
    </row>
    <row r="8518" spans="1:4" hidden="1" x14ac:dyDescent="0.3">
      <c r="A8518">
        <v>8516</v>
      </c>
      <c r="B8518" t="s">
        <v>11139</v>
      </c>
      <c r="C8518" t="s">
        <v>84</v>
      </c>
      <c r="D8518">
        <v>1.0002332587023</v>
      </c>
    </row>
    <row r="8519" spans="1:4" hidden="1" x14ac:dyDescent="0.3">
      <c r="A8519">
        <v>8517</v>
      </c>
      <c r="B8519" s="1" t="s">
        <v>11140</v>
      </c>
      <c r="C8519" t="s">
        <v>86</v>
      </c>
      <c r="D8519" s="1" t="s">
        <v>11141</v>
      </c>
    </row>
    <row r="8520" spans="1:4" hidden="1" x14ac:dyDescent="0.3">
      <c r="A8520">
        <v>8518</v>
      </c>
      <c r="B8520" t="s">
        <v>11142</v>
      </c>
      <c r="C8520" t="s">
        <v>89</v>
      </c>
      <c r="D8520">
        <v>101166181.59121799</v>
      </c>
    </row>
    <row r="8521" spans="1:4" hidden="1" x14ac:dyDescent="0.3">
      <c r="A8521">
        <v>8519</v>
      </c>
      <c r="B8521" s="1" t="s">
        <v>11143</v>
      </c>
      <c r="C8521" t="s">
        <v>91</v>
      </c>
      <c r="D8521" s="1" t="s">
        <v>11078</v>
      </c>
    </row>
    <row r="8522" spans="1:4" hidden="1" x14ac:dyDescent="0.3">
      <c r="A8522">
        <v>8520</v>
      </c>
      <c r="B8522" t="s">
        <v>11144</v>
      </c>
      <c r="C8522" t="s">
        <v>94</v>
      </c>
      <c r="D8522">
        <v>80239010.849288404</v>
      </c>
    </row>
    <row r="8523" spans="1:4" hidden="1" x14ac:dyDescent="0.3">
      <c r="A8523">
        <v>8521</v>
      </c>
      <c r="B8523" t="s">
        <v>11145</v>
      </c>
      <c r="C8523" t="s">
        <v>96</v>
      </c>
      <c r="D8523">
        <v>38952116.977051601</v>
      </c>
    </row>
    <row r="8524" spans="1:4" hidden="1" x14ac:dyDescent="0.3">
      <c r="A8524">
        <v>8522</v>
      </c>
      <c r="B8524" t="s">
        <v>11146</v>
      </c>
      <c r="C8524" t="s">
        <v>98</v>
      </c>
      <c r="D8524">
        <v>28393454.104279999</v>
      </c>
    </row>
    <row r="8525" spans="1:4" hidden="1" x14ac:dyDescent="0.3">
      <c r="A8525">
        <v>8523</v>
      </c>
      <c r="B8525" s="1" t="s">
        <v>11147</v>
      </c>
      <c r="C8525" t="s">
        <v>100</v>
      </c>
      <c r="D8525" s="1" t="s">
        <v>11148</v>
      </c>
    </row>
    <row r="8526" spans="1:4" hidden="1" x14ac:dyDescent="0.3">
      <c r="A8526">
        <v>8524</v>
      </c>
      <c r="B8526" t="s">
        <v>11149</v>
      </c>
      <c r="C8526" t="s">
        <v>103</v>
      </c>
      <c r="D8526">
        <v>7.9095622112774107E-3</v>
      </c>
    </row>
    <row r="8527" spans="1:4" hidden="1" x14ac:dyDescent="0.3">
      <c r="A8527">
        <v>8525</v>
      </c>
      <c r="B8527" t="s">
        <v>11150</v>
      </c>
      <c r="C8527" t="s">
        <v>105</v>
      </c>
      <c r="D8527">
        <v>1.4409785339466301E-3</v>
      </c>
    </row>
    <row r="8528" spans="1:4" hidden="1" x14ac:dyDescent="0.3">
      <c r="A8528">
        <v>8526</v>
      </c>
      <c r="B8528" t="s">
        <v>11151</v>
      </c>
      <c r="C8528" t="s">
        <v>107</v>
      </c>
      <c r="D8528">
        <v>1.04688171815394E-2</v>
      </c>
    </row>
    <row r="8529" spans="1:4" hidden="1" x14ac:dyDescent="0.3">
      <c r="A8529">
        <v>8527</v>
      </c>
      <c r="B8529" s="1" t="s">
        <v>11152</v>
      </c>
      <c r="C8529" t="s">
        <v>109</v>
      </c>
      <c r="D8529" s="1" t="s">
        <v>11153</v>
      </c>
    </row>
    <row r="8530" spans="1:4" x14ac:dyDescent="0.3">
      <c r="A8530">
        <v>8528</v>
      </c>
      <c r="B8530" t="s">
        <v>11154</v>
      </c>
      <c r="C8530" t="s">
        <v>207</v>
      </c>
      <c r="D8530">
        <v>147583701.478212</v>
      </c>
    </row>
    <row r="8531" spans="1:4" hidden="1" x14ac:dyDescent="0.3">
      <c r="A8531">
        <v>8529</v>
      </c>
      <c r="B8531" t="s">
        <v>11155</v>
      </c>
      <c r="C8531" t="s">
        <v>209</v>
      </c>
      <c r="D8531">
        <v>2008.5749798173599</v>
      </c>
    </row>
    <row r="8532" spans="1:4" hidden="1" x14ac:dyDescent="0.3">
      <c r="A8532">
        <v>8530</v>
      </c>
      <c r="B8532" t="s">
        <v>11156</v>
      </c>
      <c r="C8532" t="s">
        <v>211</v>
      </c>
      <c r="D8532">
        <v>975.06991957119203</v>
      </c>
    </row>
    <row r="8533" spans="1:4" hidden="1" x14ac:dyDescent="0.3">
      <c r="A8533">
        <v>8531</v>
      </c>
      <c r="B8533" s="1" t="s">
        <v>11157</v>
      </c>
      <c r="C8533" t="s">
        <v>213</v>
      </c>
      <c r="D8533" s="1" t="s">
        <v>11158</v>
      </c>
    </row>
    <row r="8534" spans="1:4" hidden="1" x14ac:dyDescent="0.3">
      <c r="A8534">
        <v>8532</v>
      </c>
      <c r="B8534" t="s">
        <v>11159</v>
      </c>
      <c r="C8534" t="s">
        <v>216</v>
      </c>
      <c r="D8534">
        <v>80236339.141679198</v>
      </c>
    </row>
    <row r="8535" spans="1:4" hidden="1" x14ac:dyDescent="0.3">
      <c r="A8535">
        <v>8533</v>
      </c>
      <c r="B8535" t="s">
        <v>11160</v>
      </c>
      <c r="C8535" t="s">
        <v>218</v>
      </c>
      <c r="D8535">
        <v>38951018.278977998</v>
      </c>
    </row>
    <row r="8536" spans="1:4" hidden="1" x14ac:dyDescent="0.3">
      <c r="A8536">
        <v>8534</v>
      </c>
      <c r="B8536" t="s">
        <v>11161</v>
      </c>
      <c r="C8536" t="s">
        <v>220</v>
      </c>
      <c r="D8536">
        <v>28392649.652838901</v>
      </c>
    </row>
    <row r="8537" spans="1:4" hidden="1" x14ac:dyDescent="0.3">
      <c r="A8537">
        <v>8535</v>
      </c>
      <c r="B8537" s="1" t="s">
        <v>11162</v>
      </c>
      <c r="C8537" t="s">
        <v>222</v>
      </c>
      <c r="D8537" s="1" t="s">
        <v>11163</v>
      </c>
    </row>
    <row r="8538" spans="1:4" hidden="1" x14ac:dyDescent="0.3">
      <c r="A8538">
        <v>8536</v>
      </c>
      <c r="B8538" t="s">
        <v>11164</v>
      </c>
      <c r="C8538" t="s">
        <v>225</v>
      </c>
      <c r="D8538">
        <v>101163649.138009</v>
      </c>
    </row>
    <row r="8539" spans="1:4" hidden="1" x14ac:dyDescent="0.3">
      <c r="A8539">
        <v>8537</v>
      </c>
      <c r="B8539" t="s">
        <v>11165</v>
      </c>
      <c r="C8539" t="s">
        <v>227</v>
      </c>
      <c r="D8539">
        <v>2532.4532088488299</v>
      </c>
    </row>
    <row r="8540" spans="1:4" hidden="1" x14ac:dyDescent="0.3">
      <c r="A8540">
        <v>8538</v>
      </c>
      <c r="B8540" s="1" t="s">
        <v>11166</v>
      </c>
      <c r="C8540" t="s">
        <v>229</v>
      </c>
      <c r="D8540" s="1" t="s">
        <v>11167</v>
      </c>
    </row>
    <row r="8541" spans="1:4" hidden="1" x14ac:dyDescent="0.3">
      <c r="A8541">
        <v>8539</v>
      </c>
      <c r="B8541" t="s">
        <v>11168</v>
      </c>
      <c r="C8541" t="s">
        <v>112</v>
      </c>
      <c r="D8541">
        <v>-663.13262938943296</v>
      </c>
    </row>
    <row r="8542" spans="1:4" hidden="1" x14ac:dyDescent="0.3">
      <c r="A8542">
        <v>8540</v>
      </c>
      <c r="B8542" t="s">
        <v>11169</v>
      </c>
      <c r="C8542" t="s">
        <v>114</v>
      </c>
      <c r="D8542">
        <v>-123.628154065361</v>
      </c>
    </row>
    <row r="8543" spans="1:4" hidden="1" x14ac:dyDescent="0.3">
      <c r="A8543">
        <v>8541</v>
      </c>
      <c r="B8543" s="1" t="s">
        <v>11170</v>
      </c>
      <c r="C8543" t="s">
        <v>116</v>
      </c>
      <c r="D8543" s="1" t="s">
        <v>11171</v>
      </c>
    </row>
    <row r="8544" spans="1:4" hidden="1" x14ac:dyDescent="0.3">
      <c r="A8544">
        <v>8542</v>
      </c>
      <c r="B8544" t="s">
        <v>11172</v>
      </c>
      <c r="C8544" t="s">
        <v>119</v>
      </c>
      <c r="D8544">
        <v>80236339.141679198</v>
      </c>
    </row>
    <row r="8545" spans="1:4" hidden="1" x14ac:dyDescent="0.3">
      <c r="A8545">
        <v>8543</v>
      </c>
      <c r="B8545" t="s">
        <v>11173</v>
      </c>
      <c r="C8545" t="s">
        <v>121</v>
      </c>
      <c r="D8545">
        <v>38951018.278977998</v>
      </c>
    </row>
    <row r="8546" spans="1:4" hidden="1" x14ac:dyDescent="0.3">
      <c r="A8546">
        <v>8544</v>
      </c>
      <c r="B8546" s="1" t="s">
        <v>11174</v>
      </c>
      <c r="C8546" t="s">
        <v>123</v>
      </c>
      <c r="D8546" s="1" t="s">
        <v>11175</v>
      </c>
    </row>
    <row r="8547" spans="1:4" hidden="1" x14ac:dyDescent="0.3">
      <c r="A8547">
        <v>8545</v>
      </c>
      <c r="B8547" t="s">
        <v>11176</v>
      </c>
      <c r="C8547" t="s">
        <v>126</v>
      </c>
      <c r="D8547">
        <v>0.79294913109065102</v>
      </c>
    </row>
    <row r="8548" spans="1:4" hidden="1" x14ac:dyDescent="0.3">
      <c r="A8548">
        <v>8546</v>
      </c>
      <c r="B8548" t="s">
        <v>11177</v>
      </c>
      <c r="C8548" t="s">
        <v>128</v>
      </c>
      <c r="D8548">
        <v>0.38493999638833998</v>
      </c>
    </row>
    <row r="8549" spans="1:4" hidden="1" x14ac:dyDescent="0.3">
      <c r="A8549">
        <v>8547</v>
      </c>
      <c r="B8549" s="1" t="s">
        <v>11178</v>
      </c>
      <c r="C8549" t="s">
        <v>130</v>
      </c>
      <c r="D8549" s="1" t="s">
        <v>11179</v>
      </c>
    </row>
    <row r="8550" spans="1:4" hidden="1" x14ac:dyDescent="0.3">
      <c r="A8550">
        <v>8548</v>
      </c>
      <c r="B8550" s="1" t="s">
        <v>11180</v>
      </c>
      <c r="C8550" t="s">
        <v>4</v>
      </c>
      <c r="D8550" t="s">
        <v>11181</v>
      </c>
    </row>
    <row r="8551" spans="1:4" hidden="1" x14ac:dyDescent="0.3">
      <c r="A8551">
        <v>8549</v>
      </c>
      <c r="B8551" t="s">
        <v>11182</v>
      </c>
      <c r="C8551" t="s">
        <v>7</v>
      </c>
      <c r="D8551">
        <v>1850.63</v>
      </c>
    </row>
    <row r="8552" spans="1:4" hidden="1" x14ac:dyDescent="0.3">
      <c r="A8552">
        <v>8550</v>
      </c>
      <c r="B8552" s="1" t="s">
        <v>11183</v>
      </c>
      <c r="C8552" t="s">
        <v>9</v>
      </c>
      <c r="D8552" s="1" t="s">
        <v>11184</v>
      </c>
    </row>
    <row r="8553" spans="1:4" hidden="1" x14ac:dyDescent="0.3">
      <c r="A8553">
        <v>8551</v>
      </c>
      <c r="B8553" t="s">
        <v>11185</v>
      </c>
      <c r="C8553" t="s">
        <v>14</v>
      </c>
      <c r="D8553">
        <v>96.859375</v>
      </c>
    </row>
    <row r="8554" spans="1:4" hidden="1" x14ac:dyDescent="0.3">
      <c r="A8554">
        <v>8552</v>
      </c>
      <c r="B8554" t="s">
        <v>11186</v>
      </c>
      <c r="C8554" t="s">
        <v>16</v>
      </c>
      <c r="D8554">
        <v>4.3727355848345999</v>
      </c>
    </row>
    <row r="8555" spans="1:4" hidden="1" x14ac:dyDescent="0.3">
      <c r="A8555">
        <v>8553</v>
      </c>
      <c r="B8555" s="1" t="s">
        <v>11187</v>
      </c>
      <c r="C8555" t="s">
        <v>140</v>
      </c>
      <c r="D8555" s="1" t="s">
        <v>11188</v>
      </c>
    </row>
    <row r="8556" spans="1:4" hidden="1" x14ac:dyDescent="0.3">
      <c r="A8556">
        <v>8554</v>
      </c>
      <c r="B8556" t="s">
        <v>11189</v>
      </c>
      <c r="C8556" t="s">
        <v>22</v>
      </c>
      <c r="D8556">
        <v>71.849999999999994</v>
      </c>
    </row>
    <row r="8557" spans="1:4" hidden="1" x14ac:dyDescent="0.3">
      <c r="A8557">
        <v>8555</v>
      </c>
      <c r="B8557" t="s">
        <v>11190</v>
      </c>
      <c r="C8557" t="s">
        <v>24</v>
      </c>
      <c r="D8557">
        <v>6.31178756287306</v>
      </c>
    </row>
    <row r="8558" spans="1:4" hidden="1" x14ac:dyDescent="0.3">
      <c r="A8558">
        <v>8556</v>
      </c>
      <c r="B8558" s="1" t="s">
        <v>11191</v>
      </c>
      <c r="C8558" t="s">
        <v>145</v>
      </c>
      <c r="D8558" s="1" t="s">
        <v>11192</v>
      </c>
    </row>
    <row r="8559" spans="1:4" hidden="1" x14ac:dyDescent="0.3">
      <c r="A8559">
        <v>8557</v>
      </c>
      <c r="B8559" t="s">
        <v>11193</v>
      </c>
      <c r="C8559" t="s">
        <v>35</v>
      </c>
      <c r="D8559">
        <v>-0.17258556143893899</v>
      </c>
    </row>
    <row r="8560" spans="1:4" hidden="1" x14ac:dyDescent="0.3">
      <c r="A8560">
        <v>8558</v>
      </c>
      <c r="B8560" t="s">
        <v>11194</v>
      </c>
      <c r="C8560" t="s">
        <v>149</v>
      </c>
      <c r="D8560">
        <v>0.70658571042903595</v>
      </c>
    </row>
    <row r="8561" spans="1:4" hidden="1" x14ac:dyDescent="0.3">
      <c r="A8561">
        <v>8559</v>
      </c>
      <c r="B8561" s="1" t="s">
        <v>11195</v>
      </c>
      <c r="C8561" t="s">
        <v>151</v>
      </c>
      <c r="D8561" s="1" t="s">
        <v>11196</v>
      </c>
    </row>
    <row r="8562" spans="1:4" hidden="1" x14ac:dyDescent="0.3">
      <c r="A8562">
        <v>8560</v>
      </c>
      <c r="B8562" t="s">
        <v>11197</v>
      </c>
      <c r="C8562" t="s">
        <v>30</v>
      </c>
      <c r="D8562">
        <v>0.465223119427287</v>
      </c>
    </row>
    <row r="8563" spans="1:4" hidden="1" x14ac:dyDescent="0.3">
      <c r="A8563">
        <v>8561</v>
      </c>
      <c r="B8563" t="s">
        <v>11198</v>
      </c>
      <c r="C8563" t="s">
        <v>32</v>
      </c>
      <c r="D8563">
        <v>0.212431343541953</v>
      </c>
    </row>
    <row r="8564" spans="1:4" hidden="1" x14ac:dyDescent="0.3">
      <c r="A8564">
        <v>8562</v>
      </c>
      <c r="B8564" s="1" t="s">
        <v>11199</v>
      </c>
      <c r="C8564" t="s">
        <v>155</v>
      </c>
      <c r="D8564" s="1" t="s">
        <v>11200</v>
      </c>
    </row>
    <row r="8565" spans="1:4" hidden="1" x14ac:dyDescent="0.3">
      <c r="A8565">
        <v>8563</v>
      </c>
      <c r="B8565" t="s">
        <v>11201</v>
      </c>
      <c r="C8565" t="s">
        <v>40</v>
      </c>
      <c r="D8565">
        <v>0.70736244201165099</v>
      </c>
    </row>
    <row r="8566" spans="1:4" hidden="1" x14ac:dyDescent="0.3">
      <c r="A8566">
        <v>8564</v>
      </c>
      <c r="B8566" t="s">
        <v>11202</v>
      </c>
      <c r="C8566" t="s">
        <v>42</v>
      </c>
      <c r="D8566">
        <v>0.202825128872132</v>
      </c>
    </row>
    <row r="8567" spans="1:4" hidden="1" x14ac:dyDescent="0.3">
      <c r="A8567">
        <v>8565</v>
      </c>
      <c r="B8567" s="1" t="s">
        <v>11203</v>
      </c>
      <c r="C8567" t="s">
        <v>159</v>
      </c>
      <c r="D8567" s="1" t="s">
        <v>11204</v>
      </c>
    </row>
    <row r="8568" spans="1:4" hidden="1" x14ac:dyDescent="0.3">
      <c r="A8568">
        <v>8566</v>
      </c>
      <c r="B8568" t="s">
        <v>11205</v>
      </c>
      <c r="C8568" t="s">
        <v>161</v>
      </c>
      <c r="D8568">
        <v>0.99344549182967901</v>
      </c>
    </row>
    <row r="8569" spans="1:4" hidden="1" x14ac:dyDescent="0.3">
      <c r="A8569">
        <v>8567</v>
      </c>
      <c r="B8569" t="s">
        <v>11206</v>
      </c>
      <c r="C8569" t="s">
        <v>163</v>
      </c>
      <c r="D8569">
        <v>0.999576278666644</v>
      </c>
    </row>
    <row r="8570" spans="1:4" hidden="1" x14ac:dyDescent="0.3">
      <c r="A8570">
        <v>8568</v>
      </c>
      <c r="B8570" s="1" t="s">
        <v>11207</v>
      </c>
      <c r="C8570" t="s">
        <v>165</v>
      </c>
      <c r="D8570" s="1" t="s">
        <v>11208</v>
      </c>
    </row>
    <row r="8571" spans="1:4" hidden="1" x14ac:dyDescent="0.3">
      <c r="A8571">
        <v>8569</v>
      </c>
      <c r="B8571" t="s">
        <v>11209</v>
      </c>
      <c r="C8571" t="s">
        <v>168</v>
      </c>
      <c r="D8571">
        <v>0.99377551506970596</v>
      </c>
    </row>
    <row r="8572" spans="1:4" hidden="1" x14ac:dyDescent="0.3">
      <c r="A8572">
        <v>8570</v>
      </c>
      <c r="B8572" t="s">
        <v>11210</v>
      </c>
      <c r="C8572" t="s">
        <v>170</v>
      </c>
      <c r="D8572">
        <v>1.00848673132041</v>
      </c>
    </row>
    <row r="8573" spans="1:4" hidden="1" x14ac:dyDescent="0.3">
      <c r="A8573">
        <v>8571</v>
      </c>
      <c r="B8573" s="1" t="s">
        <v>11211</v>
      </c>
      <c r="C8573" t="s">
        <v>172</v>
      </c>
      <c r="D8573" s="1" t="s">
        <v>11212</v>
      </c>
    </row>
    <row r="8574" spans="1:4" hidden="1" x14ac:dyDescent="0.3">
      <c r="A8574">
        <v>8572</v>
      </c>
      <c r="B8574" s="1" t="s">
        <v>11213</v>
      </c>
      <c r="C8574" t="s">
        <v>55</v>
      </c>
      <c r="D8574" s="1" t="s">
        <v>11214</v>
      </c>
    </row>
    <row r="8575" spans="1:4" hidden="1" x14ac:dyDescent="0.3">
      <c r="A8575">
        <v>8573</v>
      </c>
      <c r="B8575" s="1" t="s">
        <v>11215</v>
      </c>
      <c r="C8575" t="s">
        <v>52</v>
      </c>
      <c r="D8575" s="1" t="s">
        <v>11216</v>
      </c>
    </row>
    <row r="8576" spans="1:4" hidden="1" x14ac:dyDescent="0.3">
      <c r="A8576">
        <v>8574</v>
      </c>
      <c r="B8576" s="1" t="s">
        <v>11217</v>
      </c>
      <c r="C8576" t="s">
        <v>58</v>
      </c>
      <c r="D8576" s="1" t="s">
        <v>11218</v>
      </c>
    </row>
    <row r="8577" spans="1:4" hidden="1" x14ac:dyDescent="0.3">
      <c r="A8577">
        <v>8575</v>
      </c>
      <c r="B8577" t="s">
        <v>11219</v>
      </c>
      <c r="C8577" t="s">
        <v>61</v>
      </c>
      <c r="D8577">
        <v>147161396.182859</v>
      </c>
    </row>
    <row r="8578" spans="1:4" hidden="1" x14ac:dyDescent="0.3">
      <c r="A8578">
        <v>8576</v>
      </c>
      <c r="B8578" t="s">
        <v>11220</v>
      </c>
      <c r="C8578" t="s">
        <v>63</v>
      </c>
      <c r="D8578">
        <v>79710429.401218504</v>
      </c>
    </row>
    <row r="8579" spans="1:4" hidden="1" x14ac:dyDescent="0.3">
      <c r="A8579">
        <v>8577</v>
      </c>
      <c r="B8579" t="s">
        <v>11221</v>
      </c>
      <c r="C8579" t="s">
        <v>65</v>
      </c>
      <c r="D8579">
        <v>38934513.901577197</v>
      </c>
    </row>
    <row r="8580" spans="1:4" hidden="1" x14ac:dyDescent="0.3">
      <c r="A8580">
        <v>8578</v>
      </c>
      <c r="B8580" s="1" t="s">
        <v>11222</v>
      </c>
      <c r="C8580" t="s">
        <v>67</v>
      </c>
      <c r="D8580" s="1" t="s">
        <v>11223</v>
      </c>
    </row>
    <row r="8581" spans="1:4" hidden="1" x14ac:dyDescent="0.3">
      <c r="A8581">
        <v>8579</v>
      </c>
      <c r="B8581" s="1" t="s">
        <v>11224</v>
      </c>
      <c r="C8581" t="s">
        <v>70</v>
      </c>
      <c r="D8581" s="1" t="s">
        <v>11225</v>
      </c>
    </row>
    <row r="8582" spans="1:4" hidden="1" x14ac:dyDescent="0.3">
      <c r="A8582">
        <v>8580</v>
      </c>
      <c r="B8582" t="s">
        <v>11226</v>
      </c>
      <c r="C8582" t="s">
        <v>73</v>
      </c>
      <c r="D8582">
        <v>1.0002332587023</v>
      </c>
    </row>
    <row r="8583" spans="1:4" hidden="1" x14ac:dyDescent="0.3">
      <c r="A8583">
        <v>8581</v>
      </c>
      <c r="B8583" t="s">
        <v>74</v>
      </c>
      <c r="C8583" t="s">
        <v>75</v>
      </c>
      <c r="D8583">
        <v>2.7397260273972599E-3</v>
      </c>
    </row>
    <row r="8584" spans="1:4" hidden="1" x14ac:dyDescent="0.3">
      <c r="A8584">
        <v>8582</v>
      </c>
      <c r="B8584" t="s">
        <v>76</v>
      </c>
      <c r="C8584" t="s">
        <v>77</v>
      </c>
      <c r="D8584">
        <v>0</v>
      </c>
    </row>
    <row r="8585" spans="1:4" hidden="1" x14ac:dyDescent="0.3">
      <c r="A8585">
        <v>8583</v>
      </c>
      <c r="B8585" t="s">
        <v>78</v>
      </c>
      <c r="C8585" t="s">
        <v>79</v>
      </c>
      <c r="D8585">
        <v>0</v>
      </c>
    </row>
    <row r="8586" spans="1:4" hidden="1" x14ac:dyDescent="0.3">
      <c r="A8586">
        <v>8584</v>
      </c>
      <c r="B8586" s="1" t="s">
        <v>11227</v>
      </c>
      <c r="C8586" t="s">
        <v>81</v>
      </c>
      <c r="D8586" s="1" t="s">
        <v>11228</v>
      </c>
    </row>
    <row r="8587" spans="1:4" hidden="1" x14ac:dyDescent="0.3">
      <c r="A8587">
        <v>8585</v>
      </c>
      <c r="B8587" t="s">
        <v>11229</v>
      </c>
      <c r="C8587" t="s">
        <v>84</v>
      </c>
      <c r="D8587">
        <v>1.0002279824385101</v>
      </c>
    </row>
    <row r="8588" spans="1:4" hidden="1" x14ac:dyDescent="0.3">
      <c r="A8588">
        <v>8586</v>
      </c>
      <c r="B8588" s="1" t="s">
        <v>11230</v>
      </c>
      <c r="C8588" t="s">
        <v>86</v>
      </c>
      <c r="D8588" s="1" t="s">
        <v>11231</v>
      </c>
    </row>
    <row r="8589" spans="1:4" hidden="1" x14ac:dyDescent="0.3">
      <c r="A8589">
        <v>8587</v>
      </c>
      <c r="B8589" t="s">
        <v>11232</v>
      </c>
      <c r="C8589" t="s">
        <v>89</v>
      </c>
      <c r="D8589">
        <v>101166715.24901401</v>
      </c>
    </row>
    <row r="8590" spans="1:4" hidden="1" x14ac:dyDescent="0.3">
      <c r="A8590">
        <v>8588</v>
      </c>
      <c r="B8590" s="1" t="s">
        <v>11233</v>
      </c>
      <c r="C8590" t="s">
        <v>91</v>
      </c>
      <c r="D8590" s="1" t="s">
        <v>11167</v>
      </c>
    </row>
    <row r="8591" spans="1:4" hidden="1" x14ac:dyDescent="0.3">
      <c r="A8591">
        <v>8589</v>
      </c>
      <c r="B8591" t="s">
        <v>11234</v>
      </c>
      <c r="C8591" t="s">
        <v>94</v>
      </c>
      <c r="D8591">
        <v>79710429.401218504</v>
      </c>
    </row>
    <row r="8592" spans="1:4" hidden="1" x14ac:dyDescent="0.3">
      <c r="A8592">
        <v>8590</v>
      </c>
      <c r="B8592" t="s">
        <v>11235</v>
      </c>
      <c r="C8592" t="s">
        <v>96</v>
      </c>
      <c r="D8592">
        <v>38934513.901577197</v>
      </c>
    </row>
    <row r="8593" spans="1:4" hidden="1" x14ac:dyDescent="0.3">
      <c r="A8593">
        <v>8591</v>
      </c>
      <c r="B8593" t="s">
        <v>11236</v>
      </c>
      <c r="C8593" t="s">
        <v>98</v>
      </c>
      <c r="D8593">
        <v>28516452.880063199</v>
      </c>
    </row>
    <row r="8594" spans="1:4" hidden="1" x14ac:dyDescent="0.3">
      <c r="A8594">
        <v>8592</v>
      </c>
      <c r="B8594" s="1" t="s">
        <v>11237</v>
      </c>
      <c r="C8594" t="s">
        <v>100</v>
      </c>
      <c r="D8594" s="1" t="s">
        <v>11238</v>
      </c>
    </row>
    <row r="8595" spans="1:4" hidden="1" x14ac:dyDescent="0.3">
      <c r="A8595">
        <v>8593</v>
      </c>
      <c r="B8595" t="s">
        <v>11239</v>
      </c>
      <c r="C8595" t="s">
        <v>103</v>
      </c>
      <c r="D8595">
        <v>7.6102819150449599E-3</v>
      </c>
    </row>
    <row r="8596" spans="1:4" hidden="1" x14ac:dyDescent="0.3">
      <c r="A8596">
        <v>8594</v>
      </c>
      <c r="B8596" t="s">
        <v>11240</v>
      </c>
      <c r="C8596" t="s">
        <v>105</v>
      </c>
      <c r="D8596">
        <v>1.4410640036472001E-3</v>
      </c>
    </row>
    <row r="8597" spans="1:4" hidden="1" x14ac:dyDescent="0.3">
      <c r="A8597">
        <v>8595</v>
      </c>
      <c r="B8597" t="s">
        <v>11241</v>
      </c>
      <c r="C8597" t="s">
        <v>107</v>
      </c>
      <c r="D8597">
        <v>1.0452001094531401E-2</v>
      </c>
    </row>
    <row r="8598" spans="1:4" hidden="1" x14ac:dyDescent="0.3">
      <c r="A8598">
        <v>8596</v>
      </c>
      <c r="B8598" s="1" t="s">
        <v>11242</v>
      </c>
      <c r="C8598" t="s">
        <v>109</v>
      </c>
      <c r="D8598" s="1" t="s">
        <v>11243</v>
      </c>
    </row>
    <row r="8599" spans="1:4" x14ac:dyDescent="0.3">
      <c r="A8599">
        <v>8597</v>
      </c>
      <c r="B8599" t="s">
        <v>11244</v>
      </c>
      <c r="C8599" t="s">
        <v>207</v>
      </c>
      <c r="D8599">
        <v>147161210.96292701</v>
      </c>
    </row>
    <row r="8600" spans="1:4" hidden="1" x14ac:dyDescent="0.3">
      <c r="A8600">
        <v>8598</v>
      </c>
      <c r="B8600" t="s">
        <v>11245</v>
      </c>
      <c r="C8600" t="s">
        <v>209</v>
      </c>
      <c r="D8600">
        <v>420.47448989498099</v>
      </c>
    </row>
    <row r="8601" spans="1:4" hidden="1" x14ac:dyDescent="0.3">
      <c r="A8601">
        <v>8599</v>
      </c>
      <c r="B8601" t="s">
        <v>11246</v>
      </c>
      <c r="C8601" t="s">
        <v>211</v>
      </c>
      <c r="D8601">
        <v>205.38067007359399</v>
      </c>
    </row>
    <row r="8602" spans="1:4" hidden="1" x14ac:dyDescent="0.3">
      <c r="A8602">
        <v>8600</v>
      </c>
      <c r="B8602" s="1" t="s">
        <v>11247</v>
      </c>
      <c r="C8602" t="s">
        <v>213</v>
      </c>
      <c r="D8602" s="1" t="s">
        <v>11248</v>
      </c>
    </row>
    <row r="8603" spans="1:4" hidden="1" x14ac:dyDescent="0.3">
      <c r="A8603">
        <v>8601</v>
      </c>
      <c r="B8603" t="s">
        <v>11249</v>
      </c>
      <c r="C8603" t="s">
        <v>216</v>
      </c>
      <c r="D8603">
        <v>79709879.465155199</v>
      </c>
    </row>
    <row r="8604" spans="1:4" hidden="1" x14ac:dyDescent="0.3">
      <c r="A8604">
        <v>8602</v>
      </c>
      <c r="B8604" t="s">
        <v>11250</v>
      </c>
      <c r="C8604" t="s">
        <v>218</v>
      </c>
      <c r="D8604">
        <v>38934272.707311802</v>
      </c>
    </row>
    <row r="8605" spans="1:4" hidden="1" x14ac:dyDescent="0.3">
      <c r="A8605">
        <v>8603</v>
      </c>
      <c r="B8605" t="s">
        <v>11251</v>
      </c>
      <c r="C8605" t="s">
        <v>220</v>
      </c>
      <c r="D8605">
        <v>28516282.510165799</v>
      </c>
    </row>
    <row r="8606" spans="1:4" hidden="1" x14ac:dyDescent="0.3">
      <c r="A8606">
        <v>8604</v>
      </c>
      <c r="B8606" s="1" t="s">
        <v>11252</v>
      </c>
      <c r="C8606" t="s">
        <v>222</v>
      </c>
      <c r="D8606" s="1" t="s">
        <v>11253</v>
      </c>
    </row>
    <row r="8607" spans="1:4" hidden="1" x14ac:dyDescent="0.3">
      <c r="A8607">
        <v>8605</v>
      </c>
      <c r="B8607" t="s">
        <v>11254</v>
      </c>
      <c r="C8607" t="s">
        <v>225</v>
      </c>
      <c r="D8607">
        <v>101166181.59121799</v>
      </c>
    </row>
    <row r="8608" spans="1:4" hidden="1" x14ac:dyDescent="0.3">
      <c r="A8608">
        <v>8606</v>
      </c>
      <c r="B8608" t="s">
        <v>11255</v>
      </c>
      <c r="C8608" t="s">
        <v>227</v>
      </c>
      <c r="D8608">
        <v>533.65779605507805</v>
      </c>
    </row>
    <row r="8609" spans="1:4" hidden="1" x14ac:dyDescent="0.3">
      <c r="A8609">
        <v>8607</v>
      </c>
      <c r="B8609" s="1" t="s">
        <v>11256</v>
      </c>
      <c r="C8609" t="s">
        <v>229</v>
      </c>
      <c r="D8609" s="1" t="s">
        <v>11257</v>
      </c>
    </row>
    <row r="8610" spans="1:4" hidden="1" x14ac:dyDescent="0.3">
      <c r="A8610">
        <v>8608</v>
      </c>
      <c r="B8610" t="s">
        <v>11258</v>
      </c>
      <c r="C8610" t="s">
        <v>112</v>
      </c>
      <c r="D8610">
        <v>-129.461573390599</v>
      </c>
    </row>
    <row r="8611" spans="1:4" hidden="1" x14ac:dyDescent="0.3">
      <c r="A8611">
        <v>8609</v>
      </c>
      <c r="B8611" t="s">
        <v>11259</v>
      </c>
      <c r="C8611" t="s">
        <v>114</v>
      </c>
      <c r="D8611">
        <v>-35.813595384800699</v>
      </c>
    </row>
    <row r="8612" spans="1:4" hidden="1" x14ac:dyDescent="0.3">
      <c r="A8612">
        <v>8610</v>
      </c>
      <c r="B8612" s="1" t="s">
        <v>11260</v>
      </c>
      <c r="C8612" t="s">
        <v>116</v>
      </c>
      <c r="D8612" s="1" t="s">
        <v>11261</v>
      </c>
    </row>
    <row r="8613" spans="1:4" hidden="1" x14ac:dyDescent="0.3">
      <c r="A8613">
        <v>8611</v>
      </c>
      <c r="B8613" t="s">
        <v>11262</v>
      </c>
      <c r="C8613" t="s">
        <v>119</v>
      </c>
      <c r="D8613">
        <v>79709879.465155199</v>
      </c>
    </row>
    <row r="8614" spans="1:4" hidden="1" x14ac:dyDescent="0.3">
      <c r="A8614">
        <v>8612</v>
      </c>
      <c r="B8614" t="s">
        <v>11263</v>
      </c>
      <c r="C8614" t="s">
        <v>121</v>
      </c>
      <c r="D8614">
        <v>38934272.707311802</v>
      </c>
    </row>
    <row r="8615" spans="1:4" hidden="1" x14ac:dyDescent="0.3">
      <c r="A8615">
        <v>8613</v>
      </c>
      <c r="B8615" s="1" t="s">
        <v>11264</v>
      </c>
      <c r="C8615" t="s">
        <v>123</v>
      </c>
      <c r="D8615" s="1" t="s">
        <v>11265</v>
      </c>
    </row>
    <row r="8616" spans="1:4" hidden="1" x14ac:dyDescent="0.3">
      <c r="A8616">
        <v>8614</v>
      </c>
      <c r="B8616" t="s">
        <v>11266</v>
      </c>
      <c r="C8616" t="s">
        <v>126</v>
      </c>
      <c r="D8616">
        <v>0.78773074065923099</v>
      </c>
    </row>
    <row r="8617" spans="1:4" hidden="1" x14ac:dyDescent="0.3">
      <c r="A8617">
        <v>8615</v>
      </c>
      <c r="B8617" t="s">
        <v>11267</v>
      </c>
      <c r="C8617" t="s">
        <v>128</v>
      </c>
      <c r="D8617">
        <v>0.38476690320634999</v>
      </c>
    </row>
    <row r="8618" spans="1:4" hidden="1" x14ac:dyDescent="0.3">
      <c r="A8618">
        <v>8616</v>
      </c>
      <c r="B8618" s="1" t="s">
        <v>11268</v>
      </c>
      <c r="C8618" t="s">
        <v>130</v>
      </c>
      <c r="D8618" s="1" t="s">
        <v>11269</v>
      </c>
    </row>
    <row r="8619" spans="1:4" hidden="1" x14ac:dyDescent="0.3">
      <c r="A8619">
        <v>8617</v>
      </c>
      <c r="B8619" s="1" t="s">
        <v>11270</v>
      </c>
      <c r="C8619" t="s">
        <v>4</v>
      </c>
      <c r="D8619" t="s">
        <v>11271</v>
      </c>
    </row>
    <row r="8620" spans="1:4" hidden="1" x14ac:dyDescent="0.3">
      <c r="A8620">
        <v>8618</v>
      </c>
      <c r="B8620" t="s">
        <v>11272</v>
      </c>
      <c r="C8620" t="s">
        <v>7</v>
      </c>
      <c r="D8620">
        <v>1867.48</v>
      </c>
    </row>
    <row r="8621" spans="1:4" hidden="1" x14ac:dyDescent="0.3">
      <c r="A8621">
        <v>8619</v>
      </c>
      <c r="B8621" s="1" t="s">
        <v>11273</v>
      </c>
      <c r="C8621" t="s">
        <v>9</v>
      </c>
      <c r="D8621" s="1" t="s">
        <v>11274</v>
      </c>
    </row>
    <row r="8622" spans="1:4" hidden="1" x14ac:dyDescent="0.3">
      <c r="A8622">
        <v>8620</v>
      </c>
      <c r="B8622" t="s">
        <v>9661</v>
      </c>
      <c r="C8622" t="s">
        <v>14</v>
      </c>
      <c r="D8622">
        <v>96.98046875</v>
      </c>
    </row>
    <row r="8623" spans="1:4" hidden="1" x14ac:dyDescent="0.3">
      <c r="A8623">
        <v>8621</v>
      </c>
      <c r="B8623" t="s">
        <v>11275</v>
      </c>
      <c r="C8623" t="s">
        <v>16</v>
      </c>
      <c r="D8623">
        <v>4.3749234655968703</v>
      </c>
    </row>
    <row r="8624" spans="1:4" hidden="1" x14ac:dyDescent="0.3">
      <c r="A8624">
        <v>8622</v>
      </c>
      <c r="B8624" s="1" t="s">
        <v>11276</v>
      </c>
      <c r="C8624" t="s">
        <v>140</v>
      </c>
      <c r="D8624" s="1" t="s">
        <v>11277</v>
      </c>
    </row>
    <row r="8625" spans="1:4" hidden="1" x14ac:dyDescent="0.3">
      <c r="A8625">
        <v>8623</v>
      </c>
      <c r="B8625" t="s">
        <v>11278</v>
      </c>
      <c r="C8625" t="s">
        <v>22</v>
      </c>
      <c r="D8625">
        <v>71.099999999999994</v>
      </c>
    </row>
    <row r="8626" spans="1:4" hidden="1" x14ac:dyDescent="0.3">
      <c r="A8626">
        <v>8624</v>
      </c>
      <c r="B8626" t="s">
        <v>11279</v>
      </c>
      <c r="C8626" t="s">
        <v>24</v>
      </c>
      <c r="D8626">
        <v>6.4465291205362503</v>
      </c>
    </row>
    <row r="8627" spans="1:4" hidden="1" x14ac:dyDescent="0.3">
      <c r="A8627">
        <v>8625</v>
      </c>
      <c r="B8627" s="1" t="s">
        <v>11280</v>
      </c>
      <c r="C8627" t="s">
        <v>145</v>
      </c>
      <c r="D8627" s="1" t="s">
        <v>11281</v>
      </c>
    </row>
    <row r="8628" spans="1:4" hidden="1" x14ac:dyDescent="0.3">
      <c r="A8628">
        <v>8626</v>
      </c>
      <c r="B8628" t="s">
        <v>11282</v>
      </c>
      <c r="C8628" t="s">
        <v>35</v>
      </c>
      <c r="D8628">
        <v>0.13344190419200699</v>
      </c>
    </row>
    <row r="8629" spans="1:4" hidden="1" x14ac:dyDescent="0.3">
      <c r="A8629">
        <v>8627</v>
      </c>
      <c r="B8629" t="s">
        <v>11283</v>
      </c>
      <c r="C8629" t="s">
        <v>149</v>
      </c>
      <c r="D8629">
        <v>0.70855173091665502</v>
      </c>
    </row>
    <row r="8630" spans="1:4" hidden="1" x14ac:dyDescent="0.3">
      <c r="A8630">
        <v>8628</v>
      </c>
      <c r="B8630" s="1" t="s">
        <v>11284</v>
      </c>
      <c r="C8630" t="s">
        <v>151</v>
      </c>
      <c r="D8630" s="1" t="s">
        <v>11285</v>
      </c>
    </row>
    <row r="8631" spans="1:4" hidden="1" x14ac:dyDescent="0.3">
      <c r="A8631">
        <v>8629</v>
      </c>
      <c r="B8631" t="s">
        <v>11286</v>
      </c>
      <c r="C8631" t="s">
        <v>30</v>
      </c>
      <c r="D8631">
        <v>0.34103717199257799</v>
      </c>
    </row>
    <row r="8632" spans="1:4" hidden="1" x14ac:dyDescent="0.3">
      <c r="A8632">
        <v>8630</v>
      </c>
      <c r="B8632" t="s">
        <v>11287</v>
      </c>
      <c r="C8632" t="s">
        <v>32</v>
      </c>
      <c r="D8632">
        <v>0.21320374076944801</v>
      </c>
    </row>
    <row r="8633" spans="1:4" hidden="1" x14ac:dyDescent="0.3">
      <c r="A8633">
        <v>8631</v>
      </c>
      <c r="B8633" s="1" t="s">
        <v>11288</v>
      </c>
      <c r="C8633" t="s">
        <v>155</v>
      </c>
      <c r="D8633" s="1" t="s">
        <v>11289</v>
      </c>
    </row>
    <row r="8634" spans="1:4" hidden="1" x14ac:dyDescent="0.3">
      <c r="A8634">
        <v>8632</v>
      </c>
      <c r="B8634" t="s">
        <v>11290</v>
      </c>
      <c r="C8634" t="s">
        <v>40</v>
      </c>
      <c r="D8634">
        <v>0.52552092381541404</v>
      </c>
    </row>
    <row r="8635" spans="1:4" hidden="1" x14ac:dyDescent="0.3">
      <c r="A8635">
        <v>8633</v>
      </c>
      <c r="B8635" t="s">
        <v>11291</v>
      </c>
      <c r="C8635" t="s">
        <v>42</v>
      </c>
      <c r="D8635">
        <v>0.19812581551615499</v>
      </c>
    </row>
    <row r="8636" spans="1:4" hidden="1" x14ac:dyDescent="0.3">
      <c r="A8636">
        <v>8634</v>
      </c>
      <c r="B8636" s="1" t="s">
        <v>11292</v>
      </c>
      <c r="C8636" t="s">
        <v>159</v>
      </c>
      <c r="D8636" s="1" t="s">
        <v>11293</v>
      </c>
    </row>
    <row r="8637" spans="1:4" hidden="1" x14ac:dyDescent="0.3">
      <c r="A8637">
        <v>8635</v>
      </c>
      <c r="B8637" t="s">
        <v>11294</v>
      </c>
      <c r="C8637" t="s">
        <v>161</v>
      </c>
      <c r="D8637">
        <v>1.0091050074839301</v>
      </c>
    </row>
    <row r="8638" spans="1:4" hidden="1" x14ac:dyDescent="0.3">
      <c r="A8638">
        <v>8636</v>
      </c>
      <c r="B8638" t="s">
        <v>11295</v>
      </c>
      <c r="C8638" t="s">
        <v>163</v>
      </c>
      <c r="D8638">
        <v>1.00121781152294</v>
      </c>
    </row>
    <row r="8639" spans="1:4" hidden="1" x14ac:dyDescent="0.3">
      <c r="A8639">
        <v>8637</v>
      </c>
      <c r="B8639" s="1" t="s">
        <v>11296</v>
      </c>
      <c r="C8639" t="s">
        <v>165</v>
      </c>
      <c r="D8639" s="1" t="s">
        <v>11297</v>
      </c>
    </row>
    <row r="8640" spans="1:4" hidden="1" x14ac:dyDescent="0.3">
      <c r="A8640">
        <v>8638</v>
      </c>
      <c r="B8640" t="s">
        <v>11298</v>
      </c>
      <c r="C8640" t="s">
        <v>168</v>
      </c>
      <c r="D8640">
        <v>1.0011520197758601</v>
      </c>
    </row>
    <row r="8641" spans="1:4" hidden="1" x14ac:dyDescent="0.3">
      <c r="A8641">
        <v>8639</v>
      </c>
      <c r="B8641" t="s">
        <v>11299</v>
      </c>
      <c r="C8641" t="s">
        <v>170</v>
      </c>
      <c r="D8641">
        <v>1.0006370647143099</v>
      </c>
    </row>
    <row r="8642" spans="1:4" hidden="1" x14ac:dyDescent="0.3">
      <c r="A8642">
        <v>8640</v>
      </c>
      <c r="B8642" s="1" t="s">
        <v>11300</v>
      </c>
      <c r="C8642" t="s">
        <v>172</v>
      </c>
      <c r="D8642" s="1" t="s">
        <v>11301</v>
      </c>
    </row>
    <row r="8643" spans="1:4" hidden="1" x14ac:dyDescent="0.3">
      <c r="A8643">
        <v>8641</v>
      </c>
      <c r="B8643" s="1" t="s">
        <v>11302</v>
      </c>
      <c r="C8643" t="s">
        <v>55</v>
      </c>
      <c r="D8643" s="1" t="s">
        <v>11303</v>
      </c>
    </row>
    <row r="8644" spans="1:4" hidden="1" x14ac:dyDescent="0.3">
      <c r="A8644">
        <v>8642</v>
      </c>
      <c r="B8644" s="1" t="s">
        <v>11304</v>
      </c>
      <c r="C8644" t="s">
        <v>52</v>
      </c>
      <c r="D8644" s="1" t="s">
        <v>11305</v>
      </c>
    </row>
    <row r="8645" spans="1:4" hidden="1" x14ac:dyDescent="0.3">
      <c r="A8645">
        <v>8643</v>
      </c>
      <c r="B8645" s="1" t="s">
        <v>11306</v>
      </c>
      <c r="C8645" t="s">
        <v>58</v>
      </c>
      <c r="D8645" s="1" t="s">
        <v>11307</v>
      </c>
    </row>
    <row r="8646" spans="1:4" hidden="1" x14ac:dyDescent="0.3">
      <c r="A8646">
        <v>8644</v>
      </c>
      <c r="B8646" t="s">
        <v>11308</v>
      </c>
      <c r="C8646" t="s">
        <v>61</v>
      </c>
      <c r="D8646">
        <v>147709139.526153</v>
      </c>
    </row>
    <row r="8647" spans="1:4" hidden="1" x14ac:dyDescent="0.3">
      <c r="A8647">
        <v>8645</v>
      </c>
      <c r="B8647" t="s">
        <v>11309</v>
      </c>
      <c r="C8647" t="s">
        <v>63</v>
      </c>
      <c r="D8647">
        <v>80435638.514229193</v>
      </c>
    </row>
    <row r="8648" spans="1:4" hidden="1" x14ac:dyDescent="0.3">
      <c r="A8648">
        <v>8646</v>
      </c>
      <c r="B8648" t="s">
        <v>11310</v>
      </c>
      <c r="C8648" t="s">
        <v>65</v>
      </c>
      <c r="D8648">
        <v>38981687.313252203</v>
      </c>
    </row>
    <row r="8649" spans="1:4" hidden="1" x14ac:dyDescent="0.3">
      <c r="A8649">
        <v>8647</v>
      </c>
      <c r="B8649" s="1" t="s">
        <v>11311</v>
      </c>
      <c r="C8649" t="s">
        <v>67</v>
      </c>
      <c r="D8649" s="1" t="s">
        <v>11312</v>
      </c>
    </row>
    <row r="8650" spans="1:4" hidden="1" x14ac:dyDescent="0.3">
      <c r="A8650">
        <v>8648</v>
      </c>
      <c r="B8650" s="1" t="s">
        <v>11313</v>
      </c>
      <c r="C8650" t="s">
        <v>70</v>
      </c>
      <c r="D8650" s="1" t="s">
        <v>11314</v>
      </c>
    </row>
    <row r="8651" spans="1:4" hidden="1" x14ac:dyDescent="0.3">
      <c r="A8651">
        <v>8649</v>
      </c>
      <c r="B8651" t="s">
        <v>11315</v>
      </c>
      <c r="C8651" t="s">
        <v>73</v>
      </c>
      <c r="D8651">
        <v>1.0002279824385101</v>
      </c>
    </row>
    <row r="8652" spans="1:4" hidden="1" x14ac:dyDescent="0.3">
      <c r="A8652">
        <v>8650</v>
      </c>
      <c r="B8652" t="s">
        <v>74</v>
      </c>
      <c r="C8652" t="s">
        <v>75</v>
      </c>
      <c r="D8652">
        <v>2.7397260273972599E-3</v>
      </c>
    </row>
    <row r="8653" spans="1:4" hidden="1" x14ac:dyDescent="0.3">
      <c r="A8653">
        <v>8651</v>
      </c>
      <c r="B8653" t="s">
        <v>76</v>
      </c>
      <c r="C8653" t="s">
        <v>77</v>
      </c>
      <c r="D8653">
        <v>0</v>
      </c>
    </row>
    <row r="8654" spans="1:4" hidden="1" x14ac:dyDescent="0.3">
      <c r="A8654">
        <v>8652</v>
      </c>
      <c r="B8654" t="s">
        <v>78</v>
      </c>
      <c r="C8654" t="s">
        <v>79</v>
      </c>
      <c r="D8654">
        <v>0</v>
      </c>
    </row>
    <row r="8655" spans="1:4" hidden="1" x14ac:dyDescent="0.3">
      <c r="A8655">
        <v>8653</v>
      </c>
      <c r="B8655" s="1" t="s">
        <v>11316</v>
      </c>
      <c r="C8655" t="s">
        <v>81</v>
      </c>
      <c r="D8655" s="1" t="s">
        <v>11317</v>
      </c>
    </row>
    <row r="8656" spans="1:4" hidden="1" x14ac:dyDescent="0.3">
      <c r="A8656">
        <v>8654</v>
      </c>
      <c r="B8656" t="s">
        <v>11318</v>
      </c>
      <c r="C8656" t="s">
        <v>84</v>
      </c>
      <c r="D8656">
        <v>1.00019008638611</v>
      </c>
    </row>
    <row r="8657" spans="1:4" hidden="1" x14ac:dyDescent="0.3">
      <c r="A8657">
        <v>8655</v>
      </c>
      <c r="B8657" s="1" t="s">
        <v>11319</v>
      </c>
      <c r="C8657" t="s">
        <v>86</v>
      </c>
      <c r="D8657" s="1" t="s">
        <v>11320</v>
      </c>
    </row>
    <row r="8658" spans="1:4" hidden="1" x14ac:dyDescent="0.3">
      <c r="A8658">
        <v>8656</v>
      </c>
      <c r="B8658" t="s">
        <v>11321</v>
      </c>
      <c r="C8658" t="s">
        <v>89</v>
      </c>
      <c r="D8658">
        <v>101170548.33953799</v>
      </c>
    </row>
    <row r="8659" spans="1:4" hidden="1" x14ac:dyDescent="0.3">
      <c r="A8659">
        <v>8657</v>
      </c>
      <c r="B8659" s="1" t="s">
        <v>11322</v>
      </c>
      <c r="C8659" t="s">
        <v>91</v>
      </c>
      <c r="D8659" s="1" t="s">
        <v>11257</v>
      </c>
    </row>
    <row r="8660" spans="1:4" hidden="1" x14ac:dyDescent="0.3">
      <c r="A8660">
        <v>8658</v>
      </c>
      <c r="B8660" t="s">
        <v>11323</v>
      </c>
      <c r="C8660" t="s">
        <v>94</v>
      </c>
      <c r="D8660">
        <v>80435638.514229193</v>
      </c>
    </row>
    <row r="8661" spans="1:4" hidden="1" x14ac:dyDescent="0.3">
      <c r="A8661">
        <v>8659</v>
      </c>
      <c r="B8661" t="s">
        <v>11324</v>
      </c>
      <c r="C8661" t="s">
        <v>96</v>
      </c>
      <c r="D8661">
        <v>38981687.313252203</v>
      </c>
    </row>
    <row r="8662" spans="1:4" hidden="1" x14ac:dyDescent="0.3">
      <c r="A8662">
        <v>8660</v>
      </c>
      <c r="B8662" t="s">
        <v>11325</v>
      </c>
      <c r="C8662" t="s">
        <v>98</v>
      </c>
      <c r="D8662">
        <v>28291813.698672399</v>
      </c>
    </row>
    <row r="8663" spans="1:4" hidden="1" x14ac:dyDescent="0.3">
      <c r="A8663">
        <v>8661</v>
      </c>
      <c r="B8663" s="1" t="s">
        <v>11326</v>
      </c>
      <c r="C8663" t="s">
        <v>100</v>
      </c>
      <c r="D8663" s="1" t="s">
        <v>11327</v>
      </c>
    </row>
    <row r="8664" spans="1:4" hidden="1" x14ac:dyDescent="0.3">
      <c r="A8664">
        <v>8662</v>
      </c>
      <c r="B8664" t="s">
        <v>11328</v>
      </c>
      <c r="C8664" t="s">
        <v>103</v>
      </c>
      <c r="D8664">
        <v>7.6213869395252397E-3</v>
      </c>
    </row>
    <row r="8665" spans="1:4" hidden="1" x14ac:dyDescent="0.3">
      <c r="A8665">
        <v>8663</v>
      </c>
      <c r="B8665" t="s">
        <v>11329</v>
      </c>
      <c r="C8665" t="s">
        <v>105</v>
      </c>
      <c r="D8665">
        <v>1.4476013141019599E-3</v>
      </c>
    </row>
    <row r="8666" spans="1:4" hidden="1" x14ac:dyDescent="0.3">
      <c r="A8666">
        <v>8664</v>
      </c>
      <c r="B8666" t="s">
        <v>11330</v>
      </c>
      <c r="C8666" t="s">
        <v>107</v>
      </c>
      <c r="D8666">
        <v>9.8635594717894296E-3</v>
      </c>
    </row>
    <row r="8667" spans="1:4" hidden="1" x14ac:dyDescent="0.3">
      <c r="A8667">
        <v>8665</v>
      </c>
      <c r="B8667" s="1" t="s">
        <v>11331</v>
      </c>
      <c r="C8667" t="s">
        <v>109</v>
      </c>
      <c r="D8667" s="1" t="s">
        <v>11332</v>
      </c>
    </row>
    <row r="8668" spans="1:4" x14ac:dyDescent="0.3">
      <c r="A8668">
        <v>8666</v>
      </c>
      <c r="B8668" t="s">
        <v>11333</v>
      </c>
      <c r="C8668" t="s">
        <v>207</v>
      </c>
      <c r="D8668">
        <v>147707807.201749</v>
      </c>
    </row>
    <row r="8669" spans="1:4" hidden="1" x14ac:dyDescent="0.3">
      <c r="A8669">
        <v>8667</v>
      </c>
      <c r="B8669" t="s">
        <v>11334</v>
      </c>
      <c r="C8669" t="s">
        <v>209</v>
      </c>
      <c r="D8669">
        <v>3047.4588449407202</v>
      </c>
    </row>
    <row r="8670" spans="1:4" hidden="1" x14ac:dyDescent="0.3">
      <c r="A8670">
        <v>8668</v>
      </c>
      <c r="B8670" t="s">
        <v>11335</v>
      </c>
      <c r="C8670" t="s">
        <v>211</v>
      </c>
      <c r="D8670">
        <v>1476.9080324951001</v>
      </c>
    </row>
    <row r="8671" spans="1:4" hidden="1" x14ac:dyDescent="0.3">
      <c r="A8671">
        <v>8669</v>
      </c>
      <c r="B8671" s="1" t="s">
        <v>11336</v>
      </c>
      <c r="C8671" t="s">
        <v>213</v>
      </c>
      <c r="D8671" s="1" t="s">
        <v>11337</v>
      </c>
    </row>
    <row r="8672" spans="1:4" hidden="1" x14ac:dyDescent="0.3">
      <c r="A8672">
        <v>8670</v>
      </c>
      <c r="B8672" t="s">
        <v>11338</v>
      </c>
      <c r="C8672" t="s">
        <v>216</v>
      </c>
      <c r="D8672">
        <v>80431547.154595107</v>
      </c>
    </row>
    <row r="8673" spans="1:4" hidden="1" x14ac:dyDescent="0.3">
      <c r="A8673">
        <v>8671</v>
      </c>
      <c r="B8673" t="s">
        <v>11339</v>
      </c>
      <c r="C8673" t="s">
        <v>218</v>
      </c>
      <c r="D8673">
        <v>38980017.156209096</v>
      </c>
    </row>
    <row r="8674" spans="1:4" hidden="1" x14ac:dyDescent="0.3">
      <c r="A8674">
        <v>8672</v>
      </c>
      <c r="B8674" t="s">
        <v>11340</v>
      </c>
      <c r="C8674" t="s">
        <v>220</v>
      </c>
      <c r="D8674">
        <v>28290646.623994201</v>
      </c>
    </row>
    <row r="8675" spans="1:4" hidden="1" x14ac:dyDescent="0.3">
      <c r="A8675">
        <v>8673</v>
      </c>
      <c r="B8675" s="1" t="s">
        <v>11341</v>
      </c>
      <c r="C8675" t="s">
        <v>222</v>
      </c>
      <c r="D8675" s="1" t="s">
        <v>11342</v>
      </c>
    </row>
    <row r="8676" spans="1:4" hidden="1" x14ac:dyDescent="0.3">
      <c r="A8676">
        <v>8674</v>
      </c>
      <c r="B8676" t="s">
        <v>11343</v>
      </c>
      <c r="C8676" t="s">
        <v>225</v>
      </c>
      <c r="D8676">
        <v>101166715.24901401</v>
      </c>
    </row>
    <row r="8677" spans="1:4" hidden="1" x14ac:dyDescent="0.3">
      <c r="A8677">
        <v>8675</v>
      </c>
      <c r="B8677" t="s">
        <v>11344</v>
      </c>
      <c r="C8677" t="s">
        <v>227</v>
      </c>
      <c r="D8677">
        <v>3833.0905236303802</v>
      </c>
    </row>
    <row r="8678" spans="1:4" hidden="1" x14ac:dyDescent="0.3">
      <c r="A8678">
        <v>8676</v>
      </c>
      <c r="B8678" s="1" t="s">
        <v>11345</v>
      </c>
      <c r="C8678" t="s">
        <v>229</v>
      </c>
      <c r="D8678" s="1" t="s">
        <v>11346</v>
      </c>
    </row>
    <row r="8679" spans="1:4" hidden="1" x14ac:dyDescent="0.3">
      <c r="A8679">
        <v>8677</v>
      </c>
      <c r="B8679" t="s">
        <v>11347</v>
      </c>
      <c r="C8679" t="s">
        <v>112</v>
      </c>
      <c r="D8679">
        <v>-1043.9007891485301</v>
      </c>
    </row>
    <row r="8680" spans="1:4" hidden="1" x14ac:dyDescent="0.3">
      <c r="A8680">
        <v>8678</v>
      </c>
      <c r="B8680" t="s">
        <v>11348</v>
      </c>
      <c r="C8680" t="s">
        <v>114</v>
      </c>
      <c r="D8680">
        <v>-193.24901058984901</v>
      </c>
    </row>
    <row r="8681" spans="1:4" hidden="1" x14ac:dyDescent="0.3">
      <c r="A8681">
        <v>8679</v>
      </c>
      <c r="B8681" s="1" t="s">
        <v>11349</v>
      </c>
      <c r="C8681" t="s">
        <v>116</v>
      </c>
      <c r="D8681" s="1" t="s">
        <v>11350</v>
      </c>
    </row>
    <row r="8682" spans="1:4" hidden="1" x14ac:dyDescent="0.3">
      <c r="A8682">
        <v>8680</v>
      </c>
      <c r="B8682" t="s">
        <v>11351</v>
      </c>
      <c r="C8682" t="s">
        <v>119</v>
      </c>
      <c r="D8682">
        <v>80431547.154595107</v>
      </c>
    </row>
    <row r="8683" spans="1:4" hidden="1" x14ac:dyDescent="0.3">
      <c r="A8683">
        <v>8681</v>
      </c>
      <c r="B8683" t="s">
        <v>11352</v>
      </c>
      <c r="C8683" t="s">
        <v>121</v>
      </c>
      <c r="D8683">
        <v>38980017.156209096</v>
      </c>
    </row>
    <row r="8684" spans="1:4" hidden="1" x14ac:dyDescent="0.3">
      <c r="A8684">
        <v>8682</v>
      </c>
      <c r="B8684" s="1" t="s">
        <v>11353</v>
      </c>
      <c r="C8684" t="s">
        <v>123</v>
      </c>
      <c r="D8684" s="1" t="s">
        <v>11354</v>
      </c>
    </row>
    <row r="8685" spans="1:4" hidden="1" x14ac:dyDescent="0.3">
      <c r="A8685">
        <v>8683</v>
      </c>
      <c r="B8685" t="s">
        <v>11355</v>
      </c>
      <c r="C8685" t="s">
        <v>126</v>
      </c>
      <c r="D8685">
        <v>0.79488852554118505</v>
      </c>
    </row>
    <row r="8686" spans="1:4" hidden="1" x14ac:dyDescent="0.3">
      <c r="A8686">
        <v>8684</v>
      </c>
      <c r="B8686" t="s">
        <v>11356</v>
      </c>
      <c r="C8686" t="s">
        <v>128</v>
      </c>
      <c r="D8686">
        <v>0.38523153487666101</v>
      </c>
    </row>
    <row r="8687" spans="1:4" hidden="1" x14ac:dyDescent="0.3">
      <c r="A8687">
        <v>8685</v>
      </c>
      <c r="B8687" s="1" t="s">
        <v>11357</v>
      </c>
      <c r="C8687" t="s">
        <v>130</v>
      </c>
      <c r="D8687" s="1" t="s">
        <v>11358</v>
      </c>
    </row>
    <row r="8688" spans="1:4" hidden="1" x14ac:dyDescent="0.3">
      <c r="A8688">
        <v>8686</v>
      </c>
      <c r="B8688" s="1" t="s">
        <v>11359</v>
      </c>
      <c r="C8688" t="s">
        <v>4</v>
      </c>
      <c r="D8688" t="s">
        <v>11360</v>
      </c>
    </row>
    <row r="8689" spans="1:4" hidden="1" x14ac:dyDescent="0.3">
      <c r="A8689">
        <v>8687</v>
      </c>
      <c r="B8689" t="s">
        <v>11361</v>
      </c>
      <c r="C8689" t="s">
        <v>7</v>
      </c>
      <c r="D8689">
        <v>1858.94</v>
      </c>
    </row>
    <row r="8690" spans="1:4" hidden="1" x14ac:dyDescent="0.3">
      <c r="A8690">
        <v>8688</v>
      </c>
      <c r="B8690" s="1" t="s">
        <v>11362</v>
      </c>
      <c r="C8690" t="s">
        <v>9</v>
      </c>
      <c r="D8690" s="1" t="s">
        <v>11363</v>
      </c>
    </row>
    <row r="8691" spans="1:4" hidden="1" x14ac:dyDescent="0.3">
      <c r="A8691">
        <v>8689</v>
      </c>
      <c r="B8691" t="s">
        <v>11007</v>
      </c>
      <c r="C8691" t="s">
        <v>14</v>
      </c>
      <c r="D8691">
        <v>97.015625</v>
      </c>
    </row>
    <row r="8692" spans="1:4" hidden="1" x14ac:dyDescent="0.3">
      <c r="A8692">
        <v>8690</v>
      </c>
      <c r="B8692" t="s">
        <v>11364</v>
      </c>
      <c r="C8692" t="s">
        <v>16</v>
      </c>
      <c r="D8692">
        <v>4.3756607107793304</v>
      </c>
    </row>
    <row r="8693" spans="1:4" hidden="1" x14ac:dyDescent="0.3">
      <c r="A8693">
        <v>8691</v>
      </c>
      <c r="B8693" s="1" t="s">
        <v>11365</v>
      </c>
      <c r="C8693" t="s">
        <v>140</v>
      </c>
      <c r="D8693" s="1" t="s">
        <v>11366</v>
      </c>
    </row>
    <row r="8694" spans="1:4" hidden="1" x14ac:dyDescent="0.3">
      <c r="A8694">
        <v>8692</v>
      </c>
      <c r="B8694" t="s">
        <v>11367</v>
      </c>
      <c r="C8694" t="s">
        <v>22</v>
      </c>
      <c r="D8694">
        <v>71.2</v>
      </c>
    </row>
    <row r="8695" spans="1:4" hidden="1" x14ac:dyDescent="0.3">
      <c r="A8695">
        <v>8693</v>
      </c>
      <c r="B8695" t="s">
        <v>11368</v>
      </c>
      <c r="C8695" t="s">
        <v>24</v>
      </c>
      <c r="D8695">
        <v>6.4512498014595501</v>
      </c>
    </row>
    <row r="8696" spans="1:4" hidden="1" x14ac:dyDescent="0.3">
      <c r="A8696">
        <v>8694</v>
      </c>
      <c r="B8696" s="1" t="s">
        <v>11369</v>
      </c>
      <c r="C8696" t="s">
        <v>145</v>
      </c>
      <c r="D8696" s="1" t="s">
        <v>11370</v>
      </c>
    </row>
    <row r="8697" spans="1:4" hidden="1" x14ac:dyDescent="0.3">
      <c r="A8697">
        <v>8695</v>
      </c>
      <c r="B8697" t="s">
        <v>11371</v>
      </c>
      <c r="C8697" t="s">
        <v>35</v>
      </c>
      <c r="D8697">
        <v>4.58996465544299E-2</v>
      </c>
    </row>
    <row r="8698" spans="1:4" hidden="1" x14ac:dyDescent="0.3">
      <c r="A8698">
        <v>8696</v>
      </c>
      <c r="B8698" t="s">
        <v>11372</v>
      </c>
      <c r="C8698" t="s">
        <v>149</v>
      </c>
      <c r="D8698">
        <v>0.70824370390458502</v>
      </c>
    </row>
    <row r="8699" spans="1:4" hidden="1" x14ac:dyDescent="0.3">
      <c r="A8699">
        <v>8697</v>
      </c>
      <c r="B8699" s="1" t="s">
        <v>11373</v>
      </c>
      <c r="C8699" t="s">
        <v>151</v>
      </c>
      <c r="D8699" s="1" t="s">
        <v>11374</v>
      </c>
    </row>
    <row r="8700" spans="1:4" hidden="1" x14ac:dyDescent="0.3">
      <c r="A8700">
        <v>8698</v>
      </c>
      <c r="B8700" t="s">
        <v>11375</v>
      </c>
      <c r="C8700" t="s">
        <v>30</v>
      </c>
      <c r="D8700">
        <v>0.37379292717428297</v>
      </c>
    </row>
    <row r="8701" spans="1:4" hidden="1" x14ac:dyDescent="0.3">
      <c r="A8701">
        <v>8699</v>
      </c>
      <c r="B8701" t="s">
        <v>11376</v>
      </c>
      <c r="C8701" t="s">
        <v>32</v>
      </c>
      <c r="D8701">
        <v>0.213646766794786</v>
      </c>
    </row>
    <row r="8702" spans="1:4" hidden="1" x14ac:dyDescent="0.3">
      <c r="A8702">
        <v>8700</v>
      </c>
      <c r="B8702" s="1" t="s">
        <v>11377</v>
      </c>
      <c r="C8702" t="s">
        <v>155</v>
      </c>
      <c r="D8702" s="1" t="s">
        <v>11378</v>
      </c>
    </row>
    <row r="8703" spans="1:4" hidden="1" x14ac:dyDescent="0.3">
      <c r="A8703">
        <v>8701</v>
      </c>
      <c r="B8703" t="s">
        <v>11379</v>
      </c>
      <c r="C8703" t="s">
        <v>40</v>
      </c>
      <c r="D8703">
        <v>0.58030742627128695</v>
      </c>
    </row>
    <row r="8704" spans="1:4" hidden="1" x14ac:dyDescent="0.3">
      <c r="A8704">
        <v>8702</v>
      </c>
      <c r="B8704" t="s">
        <v>11380</v>
      </c>
      <c r="C8704" t="s">
        <v>42</v>
      </c>
      <c r="D8704">
        <v>0.198296600279211</v>
      </c>
    </row>
    <row r="8705" spans="1:4" hidden="1" x14ac:dyDescent="0.3">
      <c r="A8705">
        <v>8703</v>
      </c>
      <c r="B8705" s="1" t="s">
        <v>11381</v>
      </c>
      <c r="C8705" t="s">
        <v>159</v>
      </c>
      <c r="D8705" s="1" t="s">
        <v>11382</v>
      </c>
    </row>
    <row r="8706" spans="1:4" hidden="1" x14ac:dyDescent="0.3">
      <c r="A8706">
        <v>8704</v>
      </c>
      <c r="B8706" t="s">
        <v>11383</v>
      </c>
      <c r="C8706" t="s">
        <v>161</v>
      </c>
      <c r="D8706">
        <v>0.99542699252468503</v>
      </c>
    </row>
    <row r="8707" spans="1:4" hidden="1" x14ac:dyDescent="0.3">
      <c r="A8707">
        <v>8705</v>
      </c>
      <c r="B8707" t="s">
        <v>11384</v>
      </c>
      <c r="C8707" t="s">
        <v>163</v>
      </c>
      <c r="D8707">
        <v>1.00035413503315</v>
      </c>
    </row>
    <row r="8708" spans="1:4" hidden="1" x14ac:dyDescent="0.3">
      <c r="A8708">
        <v>8706</v>
      </c>
      <c r="B8708" s="1" t="s">
        <v>11385</v>
      </c>
      <c r="C8708" t="s">
        <v>165</v>
      </c>
      <c r="D8708" s="1" t="s">
        <v>11386</v>
      </c>
    </row>
    <row r="8709" spans="1:4" hidden="1" x14ac:dyDescent="0.3">
      <c r="A8709">
        <v>8707</v>
      </c>
      <c r="B8709" t="s">
        <v>11387</v>
      </c>
      <c r="C8709" t="s">
        <v>168</v>
      </c>
      <c r="D8709">
        <v>0.99981971455326901</v>
      </c>
    </row>
    <row r="8710" spans="1:4" hidden="1" x14ac:dyDescent="0.3">
      <c r="A8710">
        <v>8708</v>
      </c>
      <c r="B8710" t="s">
        <v>11388</v>
      </c>
      <c r="C8710" t="s">
        <v>170</v>
      </c>
      <c r="D8710">
        <v>1.00036517034233</v>
      </c>
    </row>
    <row r="8711" spans="1:4" hidden="1" x14ac:dyDescent="0.3">
      <c r="A8711">
        <v>8709</v>
      </c>
      <c r="B8711" s="1" t="s">
        <v>11389</v>
      </c>
      <c r="C8711" t="s">
        <v>172</v>
      </c>
      <c r="D8711" s="1" t="s">
        <v>11390</v>
      </c>
    </row>
    <row r="8712" spans="1:4" hidden="1" x14ac:dyDescent="0.3">
      <c r="A8712">
        <v>8710</v>
      </c>
      <c r="B8712" s="1" t="s">
        <v>11391</v>
      </c>
      <c r="C8712" t="s">
        <v>55</v>
      </c>
      <c r="D8712" s="1" t="s">
        <v>11392</v>
      </c>
    </row>
    <row r="8713" spans="1:4" hidden="1" x14ac:dyDescent="0.3">
      <c r="A8713">
        <v>8711</v>
      </c>
      <c r="B8713" s="1" t="s">
        <v>11393</v>
      </c>
      <c r="C8713" t="s">
        <v>52</v>
      </c>
      <c r="D8713" s="1" t="s">
        <v>11394</v>
      </c>
    </row>
    <row r="8714" spans="1:4" hidden="1" x14ac:dyDescent="0.3">
      <c r="A8714">
        <v>8712</v>
      </c>
      <c r="B8714" s="1" t="s">
        <v>11395</v>
      </c>
      <c r="C8714" t="s">
        <v>58</v>
      </c>
      <c r="D8714" s="1" t="s">
        <v>11396</v>
      </c>
    </row>
    <row r="8715" spans="1:4" hidden="1" x14ac:dyDescent="0.3">
      <c r="A8715">
        <v>8713</v>
      </c>
      <c r="B8715" t="s">
        <v>11397</v>
      </c>
      <c r="C8715" t="s">
        <v>61</v>
      </c>
      <c r="D8715">
        <v>147386405.42146799</v>
      </c>
    </row>
    <row r="8716" spans="1:4" hidden="1" x14ac:dyDescent="0.3">
      <c r="A8716">
        <v>8714</v>
      </c>
      <c r="B8716" t="s">
        <v>11398</v>
      </c>
      <c r="C8716" t="s">
        <v>63</v>
      </c>
      <c r="D8716">
        <v>80063733.088206097</v>
      </c>
    </row>
    <row r="8717" spans="1:4" hidden="1" x14ac:dyDescent="0.3">
      <c r="A8717">
        <v>8715</v>
      </c>
      <c r="B8717" t="s">
        <v>11399</v>
      </c>
      <c r="C8717" t="s">
        <v>65</v>
      </c>
      <c r="D8717">
        <v>38993821.345876999</v>
      </c>
    </row>
    <row r="8718" spans="1:4" hidden="1" x14ac:dyDescent="0.3">
      <c r="A8718">
        <v>8716</v>
      </c>
      <c r="B8718" s="1" t="s">
        <v>11400</v>
      </c>
      <c r="C8718" t="s">
        <v>67</v>
      </c>
      <c r="D8718" s="1" t="s">
        <v>11401</v>
      </c>
    </row>
    <row r="8719" spans="1:4" hidden="1" x14ac:dyDescent="0.3">
      <c r="A8719">
        <v>8717</v>
      </c>
      <c r="B8719" s="1" t="s">
        <v>11402</v>
      </c>
      <c r="C8719" t="s">
        <v>70</v>
      </c>
      <c r="D8719" s="1" t="s">
        <v>11403</v>
      </c>
    </row>
    <row r="8720" spans="1:4" hidden="1" x14ac:dyDescent="0.3">
      <c r="A8720">
        <v>8718</v>
      </c>
      <c r="B8720" t="s">
        <v>11404</v>
      </c>
      <c r="C8720" t="s">
        <v>73</v>
      </c>
      <c r="D8720">
        <v>1.00019008638611</v>
      </c>
    </row>
    <row r="8721" spans="1:4" hidden="1" x14ac:dyDescent="0.3">
      <c r="A8721">
        <v>8719</v>
      </c>
      <c r="B8721" t="s">
        <v>74</v>
      </c>
      <c r="C8721" t="s">
        <v>75</v>
      </c>
      <c r="D8721">
        <v>2.7397260273972599E-3</v>
      </c>
    </row>
    <row r="8722" spans="1:4" hidden="1" x14ac:dyDescent="0.3">
      <c r="A8722">
        <v>8720</v>
      </c>
      <c r="B8722" t="s">
        <v>76</v>
      </c>
      <c r="C8722" t="s">
        <v>77</v>
      </c>
      <c r="D8722">
        <v>0</v>
      </c>
    </row>
    <row r="8723" spans="1:4" hidden="1" x14ac:dyDescent="0.3">
      <c r="A8723">
        <v>8721</v>
      </c>
      <c r="B8723" t="s">
        <v>78</v>
      </c>
      <c r="C8723" t="s">
        <v>79</v>
      </c>
      <c r="D8723">
        <v>0</v>
      </c>
    </row>
    <row r="8724" spans="1:4" hidden="1" x14ac:dyDescent="0.3">
      <c r="A8724">
        <v>8722</v>
      </c>
      <c r="B8724" s="1" t="s">
        <v>11405</v>
      </c>
      <c r="C8724" t="s">
        <v>81</v>
      </c>
      <c r="D8724" s="1" t="s">
        <v>11406</v>
      </c>
    </row>
    <row r="8725" spans="1:4" hidden="1" x14ac:dyDescent="0.3">
      <c r="A8725">
        <v>8723</v>
      </c>
      <c r="B8725" t="s">
        <v>11407</v>
      </c>
      <c r="C8725" t="s">
        <v>84</v>
      </c>
      <c r="D8725">
        <v>1.00018961897458</v>
      </c>
    </row>
    <row r="8726" spans="1:4" hidden="1" x14ac:dyDescent="0.3">
      <c r="A8726">
        <v>8724</v>
      </c>
      <c r="B8726" s="1" t="s">
        <v>11408</v>
      </c>
      <c r="C8726" t="s">
        <v>86</v>
      </c>
      <c r="D8726" s="1" t="s">
        <v>11409</v>
      </c>
    </row>
    <row r="8727" spans="1:4" hidden="1" x14ac:dyDescent="0.3">
      <c r="A8727">
        <v>8725</v>
      </c>
      <c r="B8727" t="s">
        <v>11410</v>
      </c>
      <c r="C8727" t="s">
        <v>89</v>
      </c>
      <c r="D8727">
        <v>101170595.618854</v>
      </c>
    </row>
    <row r="8728" spans="1:4" hidden="1" x14ac:dyDescent="0.3">
      <c r="A8728">
        <v>8726</v>
      </c>
      <c r="B8728" s="1" t="s">
        <v>11411</v>
      </c>
      <c r="C8728" t="s">
        <v>91</v>
      </c>
      <c r="D8728" s="1" t="s">
        <v>11346</v>
      </c>
    </row>
    <row r="8729" spans="1:4" hidden="1" x14ac:dyDescent="0.3">
      <c r="A8729">
        <v>8727</v>
      </c>
      <c r="B8729" t="s">
        <v>11412</v>
      </c>
      <c r="C8729" t="s">
        <v>94</v>
      </c>
      <c r="D8729">
        <v>80063733.088206097</v>
      </c>
    </row>
    <row r="8730" spans="1:4" hidden="1" x14ac:dyDescent="0.3">
      <c r="A8730">
        <v>8728</v>
      </c>
      <c r="B8730" t="s">
        <v>11413</v>
      </c>
      <c r="C8730" t="s">
        <v>96</v>
      </c>
      <c r="D8730">
        <v>38993821.345876999</v>
      </c>
    </row>
    <row r="8731" spans="1:4" hidden="1" x14ac:dyDescent="0.3">
      <c r="A8731">
        <v>8729</v>
      </c>
      <c r="B8731" t="s">
        <v>11414</v>
      </c>
      <c r="C8731" t="s">
        <v>98</v>
      </c>
      <c r="D8731">
        <v>28328850.987385102</v>
      </c>
    </row>
    <row r="8732" spans="1:4" hidden="1" x14ac:dyDescent="0.3">
      <c r="A8732">
        <v>8730</v>
      </c>
      <c r="B8732" s="1" t="s">
        <v>11415</v>
      </c>
      <c r="C8732" t="s">
        <v>100</v>
      </c>
      <c r="D8732" s="1" t="s">
        <v>11416</v>
      </c>
    </row>
    <row r="8733" spans="1:4" hidden="1" x14ac:dyDescent="0.3">
      <c r="A8733">
        <v>8731</v>
      </c>
      <c r="B8733" t="s">
        <v>11417</v>
      </c>
      <c r="C8733" t="s">
        <v>103</v>
      </c>
      <c r="D8733">
        <v>7.5994773932571797E-3</v>
      </c>
    </row>
    <row r="8734" spans="1:4" hidden="1" x14ac:dyDescent="0.3">
      <c r="A8734">
        <v>8732</v>
      </c>
      <c r="B8734" t="s">
        <v>11418</v>
      </c>
      <c r="C8734" t="s">
        <v>105</v>
      </c>
      <c r="D8734">
        <v>1.4482689007215899E-3</v>
      </c>
    </row>
    <row r="8735" spans="1:4" hidden="1" x14ac:dyDescent="0.3">
      <c r="A8735">
        <v>8733</v>
      </c>
      <c r="B8735" t="s">
        <v>11419</v>
      </c>
      <c r="C8735" t="s">
        <v>107</v>
      </c>
      <c r="D8735">
        <v>9.8570463670811601E-3</v>
      </c>
    </row>
    <row r="8736" spans="1:4" hidden="1" x14ac:dyDescent="0.3">
      <c r="A8736">
        <v>8734</v>
      </c>
      <c r="B8736" s="1" t="s">
        <v>11420</v>
      </c>
      <c r="C8736" t="s">
        <v>109</v>
      </c>
      <c r="D8736" s="1" t="s">
        <v>11421</v>
      </c>
    </row>
    <row r="8737" spans="1:4" x14ac:dyDescent="0.3">
      <c r="A8737">
        <v>8735</v>
      </c>
      <c r="B8737" t="s">
        <v>11422</v>
      </c>
      <c r="C8737" t="s">
        <v>207</v>
      </c>
      <c r="D8737">
        <v>147386388.975196</v>
      </c>
    </row>
    <row r="8738" spans="1:4" hidden="1" x14ac:dyDescent="0.3">
      <c r="A8738">
        <v>8736</v>
      </c>
      <c r="B8738" t="s">
        <v>11423</v>
      </c>
      <c r="C8738" t="s">
        <v>209</v>
      </c>
      <c r="D8738">
        <v>37.415594507763103</v>
      </c>
    </row>
    <row r="8739" spans="1:4" hidden="1" x14ac:dyDescent="0.3">
      <c r="A8739">
        <v>8737</v>
      </c>
      <c r="B8739" t="s">
        <v>11424</v>
      </c>
      <c r="C8739" t="s">
        <v>211</v>
      </c>
      <c r="D8739">
        <v>18.222696364123799</v>
      </c>
    </row>
    <row r="8740" spans="1:4" hidden="1" x14ac:dyDescent="0.3">
      <c r="A8740">
        <v>8738</v>
      </c>
      <c r="B8740" s="1" t="s">
        <v>11425</v>
      </c>
      <c r="C8740" t="s">
        <v>213</v>
      </c>
      <c r="D8740" s="1" t="s">
        <v>11426</v>
      </c>
    </row>
    <row r="8741" spans="1:4" hidden="1" x14ac:dyDescent="0.3">
      <c r="A8741">
        <v>8739</v>
      </c>
      <c r="B8741" t="s">
        <v>11427</v>
      </c>
      <c r="C8741" t="s">
        <v>216</v>
      </c>
      <c r="D8741">
        <v>80063684.171802402</v>
      </c>
    </row>
    <row r="8742" spans="1:4" hidden="1" x14ac:dyDescent="0.3">
      <c r="A8742">
        <v>8740</v>
      </c>
      <c r="B8742" t="s">
        <v>11428</v>
      </c>
      <c r="C8742" t="s">
        <v>218</v>
      </c>
      <c r="D8742">
        <v>38993799.928880997</v>
      </c>
    </row>
    <row r="8743" spans="1:4" hidden="1" x14ac:dyDescent="0.3">
      <c r="A8743">
        <v>8741</v>
      </c>
      <c r="B8743" t="s">
        <v>11429</v>
      </c>
      <c r="C8743" t="s">
        <v>220</v>
      </c>
      <c r="D8743">
        <v>28328835.997507699</v>
      </c>
    </row>
    <row r="8744" spans="1:4" hidden="1" x14ac:dyDescent="0.3">
      <c r="A8744">
        <v>8742</v>
      </c>
      <c r="B8744" s="1" t="s">
        <v>11430</v>
      </c>
      <c r="C8744" t="s">
        <v>222</v>
      </c>
      <c r="D8744" s="1" t="s">
        <v>11431</v>
      </c>
    </row>
    <row r="8745" spans="1:4" hidden="1" x14ac:dyDescent="0.3">
      <c r="A8745">
        <v>8743</v>
      </c>
      <c r="B8745" t="s">
        <v>11432</v>
      </c>
      <c r="C8745" t="s">
        <v>225</v>
      </c>
      <c r="D8745">
        <v>101170548.33953799</v>
      </c>
    </row>
    <row r="8746" spans="1:4" hidden="1" x14ac:dyDescent="0.3">
      <c r="A8746">
        <v>8744</v>
      </c>
      <c r="B8746" t="s">
        <v>11433</v>
      </c>
      <c r="C8746" t="s">
        <v>227</v>
      </c>
      <c r="D8746">
        <v>47.279315859079297</v>
      </c>
    </row>
    <row r="8747" spans="1:4" hidden="1" x14ac:dyDescent="0.3">
      <c r="A8747">
        <v>8745</v>
      </c>
      <c r="B8747" s="1" t="s">
        <v>11434</v>
      </c>
      <c r="C8747" t="s">
        <v>229</v>
      </c>
      <c r="D8747" s="1" t="s">
        <v>11435</v>
      </c>
    </row>
    <row r="8748" spans="1:4" hidden="1" x14ac:dyDescent="0.3">
      <c r="A8748">
        <v>8746</v>
      </c>
      <c r="B8748" t="s">
        <v>11436</v>
      </c>
      <c r="C8748" t="s">
        <v>112</v>
      </c>
      <c r="D8748">
        <v>-11.500809203203801</v>
      </c>
    </row>
    <row r="8749" spans="1:4" hidden="1" x14ac:dyDescent="0.3">
      <c r="A8749">
        <v>8747</v>
      </c>
      <c r="B8749" t="s">
        <v>11437</v>
      </c>
      <c r="C8749" t="s">
        <v>114</v>
      </c>
      <c r="D8749">
        <v>-3.1942996358275</v>
      </c>
    </row>
    <row r="8750" spans="1:4" hidden="1" x14ac:dyDescent="0.3">
      <c r="A8750">
        <v>8748</v>
      </c>
      <c r="B8750" s="1" t="s">
        <v>11438</v>
      </c>
      <c r="C8750" t="s">
        <v>116</v>
      </c>
      <c r="D8750" s="1" t="s">
        <v>11439</v>
      </c>
    </row>
    <row r="8751" spans="1:4" hidden="1" x14ac:dyDescent="0.3">
      <c r="A8751">
        <v>8749</v>
      </c>
      <c r="B8751" t="s">
        <v>11440</v>
      </c>
      <c r="C8751" t="s">
        <v>119</v>
      </c>
      <c r="D8751">
        <v>80063684.171802402</v>
      </c>
    </row>
    <row r="8752" spans="1:4" hidden="1" x14ac:dyDescent="0.3">
      <c r="A8752">
        <v>8750</v>
      </c>
      <c r="B8752" t="s">
        <v>11441</v>
      </c>
      <c r="C8752" t="s">
        <v>121</v>
      </c>
      <c r="D8752">
        <v>38993799.928880997</v>
      </c>
    </row>
    <row r="8753" spans="1:4" hidden="1" x14ac:dyDescent="0.3">
      <c r="A8753">
        <v>8751</v>
      </c>
      <c r="B8753" s="1" t="s">
        <v>11442</v>
      </c>
      <c r="C8753" t="s">
        <v>123</v>
      </c>
      <c r="D8753" s="1" t="s">
        <v>11443</v>
      </c>
    </row>
    <row r="8754" spans="1:4" hidden="1" x14ac:dyDescent="0.3">
      <c r="A8754">
        <v>8752</v>
      </c>
      <c r="B8754" t="s">
        <v>11444</v>
      </c>
      <c r="C8754" t="s">
        <v>126</v>
      </c>
      <c r="D8754">
        <v>0.79122340216670595</v>
      </c>
    </row>
    <row r="8755" spans="1:4" hidden="1" x14ac:dyDescent="0.3">
      <c r="A8755">
        <v>8753</v>
      </c>
      <c r="B8755" t="s">
        <v>11445</v>
      </c>
      <c r="C8755" t="s">
        <v>128</v>
      </c>
      <c r="D8755">
        <v>0.38535332669594002</v>
      </c>
    </row>
    <row r="8756" spans="1:4" hidden="1" x14ac:dyDescent="0.3">
      <c r="A8756">
        <v>8754</v>
      </c>
      <c r="B8756" s="1" t="s">
        <v>11446</v>
      </c>
      <c r="C8756" t="s">
        <v>130</v>
      </c>
      <c r="D8756" s="1" t="s">
        <v>11447</v>
      </c>
    </row>
    <row r="8757" spans="1:4" hidden="1" x14ac:dyDescent="0.3">
      <c r="A8757">
        <v>8755</v>
      </c>
      <c r="B8757" s="1" t="s">
        <v>11448</v>
      </c>
      <c r="C8757" t="s">
        <v>4</v>
      </c>
      <c r="D8757" t="s">
        <v>11449</v>
      </c>
    </row>
    <row r="8758" spans="1:4" hidden="1" x14ac:dyDescent="0.3">
      <c r="A8758">
        <v>8756</v>
      </c>
      <c r="B8758" t="s">
        <v>11450</v>
      </c>
      <c r="C8758" t="s">
        <v>7</v>
      </c>
      <c r="D8758">
        <v>1845.73</v>
      </c>
    </row>
    <row r="8759" spans="1:4" hidden="1" x14ac:dyDescent="0.3">
      <c r="A8759">
        <v>8757</v>
      </c>
      <c r="B8759" s="1" t="s">
        <v>11451</v>
      </c>
      <c r="C8759" t="s">
        <v>9</v>
      </c>
      <c r="D8759" s="1" t="s">
        <v>11452</v>
      </c>
    </row>
    <row r="8760" spans="1:4" hidden="1" x14ac:dyDescent="0.3">
      <c r="A8760">
        <v>8758</v>
      </c>
      <c r="B8760" t="s">
        <v>11453</v>
      </c>
      <c r="C8760" t="s">
        <v>14</v>
      </c>
      <c r="D8760">
        <v>96.984375</v>
      </c>
    </row>
    <row r="8761" spans="1:4" hidden="1" x14ac:dyDescent="0.3">
      <c r="A8761">
        <v>8759</v>
      </c>
      <c r="B8761" t="s">
        <v>11454</v>
      </c>
      <c r="C8761" t="s">
        <v>16</v>
      </c>
      <c r="D8761">
        <v>4.3796118948427099</v>
      </c>
    </row>
    <row r="8762" spans="1:4" hidden="1" x14ac:dyDescent="0.3">
      <c r="A8762">
        <v>8760</v>
      </c>
      <c r="B8762" s="1" t="s">
        <v>11455</v>
      </c>
      <c r="C8762" t="s">
        <v>140</v>
      </c>
      <c r="D8762" s="1" t="s">
        <v>11456</v>
      </c>
    </row>
    <row r="8763" spans="1:4" hidden="1" x14ac:dyDescent="0.3">
      <c r="A8763">
        <v>8761</v>
      </c>
      <c r="B8763" t="s">
        <v>11457</v>
      </c>
      <c r="C8763" t="s">
        <v>22</v>
      </c>
      <c r="D8763">
        <v>71.45</v>
      </c>
    </row>
    <row r="8764" spans="1:4" hidden="1" x14ac:dyDescent="0.3">
      <c r="A8764">
        <v>8762</v>
      </c>
      <c r="B8764" t="s">
        <v>11458</v>
      </c>
      <c r="C8764" t="s">
        <v>24</v>
      </c>
      <c r="D8764">
        <v>6.4802672151800698</v>
      </c>
    </row>
    <row r="8765" spans="1:4" hidden="1" x14ac:dyDescent="0.3">
      <c r="A8765">
        <v>8763</v>
      </c>
      <c r="B8765" s="1" t="s">
        <v>11459</v>
      </c>
      <c r="C8765" t="s">
        <v>145</v>
      </c>
      <c r="D8765" s="1" t="s">
        <v>11460</v>
      </c>
    </row>
    <row r="8766" spans="1:4" hidden="1" x14ac:dyDescent="0.3">
      <c r="A8766">
        <v>8764</v>
      </c>
      <c r="B8766" t="s">
        <v>11461</v>
      </c>
      <c r="C8766" t="s">
        <v>35</v>
      </c>
      <c r="D8766">
        <v>-3.2498837855198602E-2</v>
      </c>
    </row>
    <row r="8767" spans="1:4" hidden="1" x14ac:dyDescent="0.3">
      <c r="A8767">
        <v>8765</v>
      </c>
      <c r="B8767" t="s">
        <v>11462</v>
      </c>
      <c r="C8767" t="s">
        <v>149</v>
      </c>
      <c r="D8767">
        <v>0.70940248077661605</v>
      </c>
    </row>
    <row r="8768" spans="1:4" hidden="1" x14ac:dyDescent="0.3">
      <c r="A8768">
        <v>8766</v>
      </c>
      <c r="B8768" s="1" t="s">
        <v>11463</v>
      </c>
      <c r="C8768" t="s">
        <v>151</v>
      </c>
      <c r="D8768" s="1" t="s">
        <v>11464</v>
      </c>
    </row>
    <row r="8769" spans="1:4" hidden="1" x14ac:dyDescent="0.3">
      <c r="A8769">
        <v>8767</v>
      </c>
      <c r="B8769" t="s">
        <v>11465</v>
      </c>
      <c r="C8769" t="s">
        <v>30</v>
      </c>
      <c r="D8769">
        <v>0.399774677805734</v>
      </c>
    </row>
    <row r="8770" spans="1:4" hidden="1" x14ac:dyDescent="0.3">
      <c r="A8770">
        <v>8768</v>
      </c>
      <c r="B8770" t="s">
        <v>11466</v>
      </c>
      <c r="C8770" t="s">
        <v>32</v>
      </c>
      <c r="D8770">
        <v>0.21277580025290699</v>
      </c>
    </row>
    <row r="8771" spans="1:4" hidden="1" x14ac:dyDescent="0.3">
      <c r="A8771">
        <v>8769</v>
      </c>
      <c r="B8771" s="1" t="s">
        <v>11467</v>
      </c>
      <c r="C8771" t="s">
        <v>155</v>
      </c>
      <c r="D8771" s="1" t="s">
        <v>11468</v>
      </c>
    </row>
    <row r="8772" spans="1:4" hidden="1" x14ac:dyDescent="0.3">
      <c r="A8772">
        <v>8770</v>
      </c>
      <c r="B8772" t="s">
        <v>11469</v>
      </c>
      <c r="C8772" t="s">
        <v>40</v>
      </c>
      <c r="D8772">
        <v>0.63272416004946397</v>
      </c>
    </row>
    <row r="8773" spans="1:4" hidden="1" x14ac:dyDescent="0.3">
      <c r="A8773">
        <v>8771</v>
      </c>
      <c r="B8773" t="s">
        <v>11470</v>
      </c>
      <c r="C8773" t="s">
        <v>42</v>
      </c>
      <c r="D8773">
        <v>0.19686122118131799</v>
      </c>
    </row>
    <row r="8774" spans="1:4" hidden="1" x14ac:dyDescent="0.3">
      <c r="A8774">
        <v>8772</v>
      </c>
      <c r="B8774" s="1" t="s">
        <v>11471</v>
      </c>
      <c r="C8774" t="s">
        <v>159</v>
      </c>
      <c r="D8774" s="1" t="s">
        <v>11472</v>
      </c>
    </row>
    <row r="8775" spans="1:4" hidden="1" x14ac:dyDescent="0.3">
      <c r="A8775">
        <v>8773</v>
      </c>
      <c r="B8775" t="s">
        <v>11473</v>
      </c>
      <c r="C8775" t="s">
        <v>161</v>
      </c>
      <c r="D8775">
        <v>0.99289379969229696</v>
      </c>
    </row>
    <row r="8776" spans="1:4" hidden="1" x14ac:dyDescent="0.3">
      <c r="A8776">
        <v>8774</v>
      </c>
      <c r="B8776" t="s">
        <v>11474</v>
      </c>
      <c r="C8776" t="s">
        <v>163</v>
      </c>
      <c r="D8776">
        <v>0.99973075776931597</v>
      </c>
    </row>
    <row r="8777" spans="1:4" hidden="1" x14ac:dyDescent="0.3">
      <c r="A8777">
        <v>8775</v>
      </c>
      <c r="B8777" s="1" t="s">
        <v>11475</v>
      </c>
      <c r="C8777" t="s">
        <v>165</v>
      </c>
      <c r="D8777" s="1" t="s">
        <v>11476</v>
      </c>
    </row>
    <row r="8778" spans="1:4" hidden="1" x14ac:dyDescent="0.3">
      <c r="A8778">
        <v>8776</v>
      </c>
      <c r="B8778" t="s">
        <v>11477</v>
      </c>
      <c r="C8778" t="s">
        <v>168</v>
      </c>
      <c r="D8778">
        <v>1.0006783440028899</v>
      </c>
    </row>
    <row r="8779" spans="1:4" hidden="1" x14ac:dyDescent="0.3">
      <c r="A8779">
        <v>8777</v>
      </c>
      <c r="B8779" t="s">
        <v>11478</v>
      </c>
      <c r="C8779" t="s">
        <v>170</v>
      </c>
      <c r="D8779">
        <v>0.99928235581743396</v>
      </c>
    </row>
    <row r="8780" spans="1:4" hidden="1" x14ac:dyDescent="0.3">
      <c r="A8780">
        <v>8778</v>
      </c>
      <c r="B8780" s="1" t="s">
        <v>11479</v>
      </c>
      <c r="C8780" t="s">
        <v>172</v>
      </c>
      <c r="D8780" s="1" t="s">
        <v>11480</v>
      </c>
    </row>
    <row r="8781" spans="1:4" hidden="1" x14ac:dyDescent="0.3">
      <c r="A8781">
        <v>8779</v>
      </c>
      <c r="B8781" s="1" t="s">
        <v>11481</v>
      </c>
      <c r="C8781" t="s">
        <v>55</v>
      </c>
      <c r="D8781" s="1" t="s">
        <v>11482</v>
      </c>
    </row>
    <row r="8782" spans="1:4" hidden="1" x14ac:dyDescent="0.3">
      <c r="A8782">
        <v>8780</v>
      </c>
      <c r="B8782" s="1" t="s">
        <v>11483</v>
      </c>
      <c r="C8782" t="s">
        <v>52</v>
      </c>
      <c r="D8782" s="1" t="s">
        <v>11484</v>
      </c>
    </row>
    <row r="8783" spans="1:4" hidden="1" x14ac:dyDescent="0.3">
      <c r="A8783">
        <v>8781</v>
      </c>
      <c r="B8783" s="1" t="s">
        <v>11485</v>
      </c>
      <c r="C8783" t="s">
        <v>58</v>
      </c>
      <c r="D8783" s="1" t="s">
        <v>11486</v>
      </c>
    </row>
    <row r="8784" spans="1:4" hidden="1" x14ac:dyDescent="0.3">
      <c r="A8784">
        <v>8782</v>
      </c>
      <c r="B8784" t="s">
        <v>11487</v>
      </c>
      <c r="C8784" t="s">
        <v>61</v>
      </c>
      <c r="D8784">
        <v>146908664.26092601</v>
      </c>
    </row>
    <row r="8785" spans="1:4" hidden="1" x14ac:dyDescent="0.3">
      <c r="A8785">
        <v>8783</v>
      </c>
      <c r="B8785" t="s">
        <v>11488</v>
      </c>
      <c r="C8785" t="s">
        <v>63</v>
      </c>
      <c r="D8785">
        <v>79494735.594704896</v>
      </c>
    </row>
    <row r="8786" spans="1:4" hidden="1" x14ac:dyDescent="0.3">
      <c r="A8786">
        <v>8784</v>
      </c>
      <c r="B8786" t="s">
        <v>11489</v>
      </c>
      <c r="C8786" t="s">
        <v>65</v>
      </c>
      <c r="D8786">
        <v>38983301.151205398</v>
      </c>
    </row>
    <row r="8787" spans="1:4" hidden="1" x14ac:dyDescent="0.3">
      <c r="A8787">
        <v>8785</v>
      </c>
      <c r="B8787" s="1" t="s">
        <v>11490</v>
      </c>
      <c r="C8787" t="s">
        <v>67</v>
      </c>
      <c r="D8787" s="1" t="s">
        <v>11491</v>
      </c>
    </row>
    <row r="8788" spans="1:4" hidden="1" x14ac:dyDescent="0.3">
      <c r="A8788">
        <v>8786</v>
      </c>
      <c r="B8788" s="1" t="s">
        <v>11492</v>
      </c>
      <c r="C8788" t="s">
        <v>70</v>
      </c>
      <c r="D8788" s="1" t="s">
        <v>11493</v>
      </c>
    </row>
    <row r="8789" spans="1:4" hidden="1" x14ac:dyDescent="0.3">
      <c r="A8789">
        <v>8787</v>
      </c>
      <c r="B8789" t="s">
        <v>11494</v>
      </c>
      <c r="C8789" t="s">
        <v>73</v>
      </c>
      <c r="D8789">
        <v>1.00018961897458</v>
      </c>
    </row>
    <row r="8790" spans="1:4" hidden="1" x14ac:dyDescent="0.3">
      <c r="A8790">
        <v>8788</v>
      </c>
      <c r="B8790" t="s">
        <v>74</v>
      </c>
      <c r="C8790" t="s">
        <v>75</v>
      </c>
      <c r="D8790">
        <v>2.7397260273972599E-3</v>
      </c>
    </row>
    <row r="8791" spans="1:4" hidden="1" x14ac:dyDescent="0.3">
      <c r="A8791">
        <v>8789</v>
      </c>
      <c r="B8791" t="s">
        <v>76</v>
      </c>
      <c r="C8791" t="s">
        <v>77</v>
      </c>
      <c r="D8791">
        <v>0</v>
      </c>
    </row>
    <row r="8792" spans="1:4" hidden="1" x14ac:dyDescent="0.3">
      <c r="A8792">
        <v>8790</v>
      </c>
      <c r="B8792" t="s">
        <v>78</v>
      </c>
      <c r="C8792" t="s">
        <v>79</v>
      </c>
      <c r="D8792">
        <v>0</v>
      </c>
    </row>
    <row r="8793" spans="1:4" hidden="1" x14ac:dyDescent="0.3">
      <c r="A8793">
        <v>8791</v>
      </c>
      <c r="B8793" s="1" t="s">
        <v>11495</v>
      </c>
      <c r="C8793" t="s">
        <v>81</v>
      </c>
      <c r="D8793" s="1" t="s">
        <v>11496</v>
      </c>
    </row>
    <row r="8794" spans="1:4" hidden="1" x14ac:dyDescent="0.3">
      <c r="A8794">
        <v>8792</v>
      </c>
      <c r="B8794" t="s">
        <v>11497</v>
      </c>
      <c r="C8794" t="s">
        <v>84</v>
      </c>
      <c r="D8794">
        <v>1.00021309948554</v>
      </c>
    </row>
    <row r="8795" spans="1:4" hidden="1" x14ac:dyDescent="0.3">
      <c r="A8795">
        <v>8793</v>
      </c>
      <c r="B8795" s="1" t="s">
        <v>11498</v>
      </c>
      <c r="C8795" t="s">
        <v>86</v>
      </c>
      <c r="D8795" s="1" t="s">
        <v>11499</v>
      </c>
    </row>
    <row r="8796" spans="1:4" hidden="1" x14ac:dyDescent="0.3">
      <c r="A8796">
        <v>8794</v>
      </c>
      <c r="B8796" t="s">
        <v>11500</v>
      </c>
      <c r="C8796" t="s">
        <v>89</v>
      </c>
      <c r="D8796">
        <v>101168220.58769201</v>
      </c>
    </row>
    <row r="8797" spans="1:4" hidden="1" x14ac:dyDescent="0.3">
      <c r="A8797">
        <v>8795</v>
      </c>
      <c r="B8797" s="1" t="s">
        <v>11501</v>
      </c>
      <c r="C8797" t="s">
        <v>91</v>
      </c>
      <c r="D8797" s="1" t="s">
        <v>11435</v>
      </c>
    </row>
    <row r="8798" spans="1:4" hidden="1" x14ac:dyDescent="0.3">
      <c r="A8798">
        <v>8796</v>
      </c>
      <c r="B8798" t="s">
        <v>11502</v>
      </c>
      <c r="C8798" t="s">
        <v>94</v>
      </c>
      <c r="D8798">
        <v>79494735.594704896</v>
      </c>
    </row>
    <row r="8799" spans="1:4" hidden="1" x14ac:dyDescent="0.3">
      <c r="A8799">
        <v>8797</v>
      </c>
      <c r="B8799" t="s">
        <v>11503</v>
      </c>
      <c r="C8799" t="s">
        <v>96</v>
      </c>
      <c r="D8799">
        <v>38983301.151205398</v>
      </c>
    </row>
    <row r="8800" spans="1:4" hidden="1" x14ac:dyDescent="0.3">
      <c r="A8800">
        <v>8798</v>
      </c>
      <c r="B8800" t="s">
        <v>11504</v>
      </c>
      <c r="C8800" t="s">
        <v>98</v>
      </c>
      <c r="D8800">
        <v>28430627.515016399</v>
      </c>
    </row>
    <row r="8801" spans="1:4" hidden="1" x14ac:dyDescent="0.3">
      <c r="A8801">
        <v>8799</v>
      </c>
      <c r="B8801" s="1" t="s">
        <v>11505</v>
      </c>
      <c r="C8801" t="s">
        <v>100</v>
      </c>
      <c r="D8801" s="1" t="s">
        <v>11506</v>
      </c>
    </row>
    <row r="8802" spans="1:4" hidden="1" x14ac:dyDescent="0.3">
      <c r="A8802">
        <v>8800</v>
      </c>
      <c r="B8802" t="s">
        <v>11507</v>
      </c>
      <c r="C8802" t="s">
        <v>103</v>
      </c>
      <c r="D8802">
        <v>7.6105130394496902E-3</v>
      </c>
    </row>
    <row r="8803" spans="1:4" hidden="1" x14ac:dyDescent="0.3">
      <c r="A8803">
        <v>8801</v>
      </c>
      <c r="B8803" t="s">
        <v>11508</v>
      </c>
      <c r="C8803" t="s">
        <v>105</v>
      </c>
      <c r="D8803">
        <v>1.4416959374911401E-3</v>
      </c>
    </row>
    <row r="8804" spans="1:4" hidden="1" x14ac:dyDescent="0.3">
      <c r="A8804">
        <v>8802</v>
      </c>
      <c r="B8804" t="s">
        <v>11509</v>
      </c>
      <c r="C8804" t="s">
        <v>107</v>
      </c>
      <c r="D8804">
        <v>9.8503076619522092E-3</v>
      </c>
    </row>
    <row r="8805" spans="1:4" hidden="1" x14ac:dyDescent="0.3">
      <c r="A8805">
        <v>8803</v>
      </c>
      <c r="B8805" s="1" t="s">
        <v>11510</v>
      </c>
      <c r="C8805" t="s">
        <v>109</v>
      </c>
      <c r="D8805" s="1" t="s">
        <v>11511</v>
      </c>
    </row>
    <row r="8806" spans="1:4" x14ac:dyDescent="0.3">
      <c r="A8806">
        <v>8804</v>
      </c>
      <c r="B8806" t="s">
        <v>11512</v>
      </c>
      <c r="C8806" t="s">
        <v>207</v>
      </c>
      <c r="D8806">
        <v>146909490.13952601</v>
      </c>
    </row>
    <row r="8807" spans="1:4" hidden="1" x14ac:dyDescent="0.3">
      <c r="A8807">
        <v>8805</v>
      </c>
      <c r="B8807" t="s">
        <v>11513</v>
      </c>
      <c r="C8807" t="s">
        <v>209</v>
      </c>
      <c r="D8807">
        <v>-1866.2382271358199</v>
      </c>
    </row>
    <row r="8808" spans="1:4" hidden="1" x14ac:dyDescent="0.3">
      <c r="A8808">
        <v>8806</v>
      </c>
      <c r="B8808" t="s">
        <v>11514</v>
      </c>
      <c r="C8808" t="s">
        <v>211</v>
      </c>
      <c r="D8808">
        <v>-915.17717277875204</v>
      </c>
    </row>
    <row r="8809" spans="1:4" hidden="1" x14ac:dyDescent="0.3">
      <c r="A8809">
        <v>8807</v>
      </c>
      <c r="B8809" s="1" t="s">
        <v>11515</v>
      </c>
      <c r="C8809" t="s">
        <v>213</v>
      </c>
      <c r="D8809" s="1" t="s">
        <v>11516</v>
      </c>
    </row>
    <row r="8810" spans="1:4" hidden="1" x14ac:dyDescent="0.3">
      <c r="A8810">
        <v>8808</v>
      </c>
      <c r="B8810" t="s">
        <v>11517</v>
      </c>
      <c r="C8810" t="s">
        <v>216</v>
      </c>
      <c r="D8810">
        <v>79497244.539322704</v>
      </c>
    </row>
    <row r="8811" spans="1:4" hidden="1" x14ac:dyDescent="0.3">
      <c r="A8811">
        <v>8809</v>
      </c>
      <c r="B8811" t="s">
        <v>11518</v>
      </c>
      <c r="C8811" t="s">
        <v>218</v>
      </c>
      <c r="D8811">
        <v>38984338.892712697</v>
      </c>
    </row>
    <row r="8812" spans="1:4" hidden="1" x14ac:dyDescent="0.3">
      <c r="A8812">
        <v>8810</v>
      </c>
      <c r="B8812" t="s">
        <v>11519</v>
      </c>
      <c r="C8812" t="s">
        <v>220</v>
      </c>
      <c r="D8812">
        <v>28431355.563415699</v>
      </c>
    </row>
    <row r="8813" spans="1:4" hidden="1" x14ac:dyDescent="0.3">
      <c r="A8813">
        <v>8811</v>
      </c>
      <c r="B8813" s="1" t="s">
        <v>11520</v>
      </c>
      <c r="C8813" t="s">
        <v>222</v>
      </c>
      <c r="D8813" s="1" t="s">
        <v>11521</v>
      </c>
    </row>
    <row r="8814" spans="1:4" hidden="1" x14ac:dyDescent="0.3">
      <c r="A8814">
        <v>8812</v>
      </c>
      <c r="B8814" t="s">
        <v>11522</v>
      </c>
      <c r="C8814" t="s">
        <v>225</v>
      </c>
      <c r="D8814">
        <v>101170595.618854</v>
      </c>
    </row>
    <row r="8815" spans="1:4" hidden="1" x14ac:dyDescent="0.3">
      <c r="A8815">
        <v>8813</v>
      </c>
      <c r="B8815" t="s">
        <v>11523</v>
      </c>
      <c r="C8815" t="s">
        <v>227</v>
      </c>
      <c r="D8815">
        <v>-2375.0311611443699</v>
      </c>
    </row>
    <row r="8816" spans="1:4" hidden="1" x14ac:dyDescent="0.3">
      <c r="A8816">
        <v>8814</v>
      </c>
      <c r="B8816" s="1" t="s">
        <v>11524</v>
      </c>
      <c r="C8816" t="s">
        <v>229</v>
      </c>
      <c r="D8816" s="1" t="s">
        <v>11525</v>
      </c>
    </row>
    <row r="8817" spans="1:4" hidden="1" x14ac:dyDescent="0.3">
      <c r="A8817">
        <v>8815</v>
      </c>
      <c r="B8817" t="s">
        <v>11526</v>
      </c>
      <c r="C8817" t="s">
        <v>112</v>
      </c>
      <c r="D8817">
        <v>642.70639061865404</v>
      </c>
    </row>
    <row r="8818" spans="1:4" hidden="1" x14ac:dyDescent="0.3">
      <c r="A8818">
        <v>8816</v>
      </c>
      <c r="B8818" t="s">
        <v>11527</v>
      </c>
      <c r="C8818" t="s">
        <v>114</v>
      </c>
      <c r="D8818">
        <v>122.564334531043</v>
      </c>
    </row>
    <row r="8819" spans="1:4" hidden="1" x14ac:dyDescent="0.3">
      <c r="A8819">
        <v>8817</v>
      </c>
      <c r="B8819" s="1" t="s">
        <v>11528</v>
      </c>
      <c r="C8819" t="s">
        <v>116</v>
      </c>
      <c r="D8819" s="1" t="s">
        <v>11529</v>
      </c>
    </row>
    <row r="8820" spans="1:4" hidden="1" x14ac:dyDescent="0.3">
      <c r="A8820">
        <v>8818</v>
      </c>
      <c r="B8820" t="s">
        <v>11530</v>
      </c>
      <c r="C8820" t="s">
        <v>119</v>
      </c>
      <c r="D8820">
        <v>79497244.539322704</v>
      </c>
    </row>
    <row r="8821" spans="1:4" hidden="1" x14ac:dyDescent="0.3">
      <c r="A8821">
        <v>8819</v>
      </c>
      <c r="B8821" t="s">
        <v>11531</v>
      </c>
      <c r="C8821" t="s">
        <v>121</v>
      </c>
      <c r="D8821">
        <v>38984338.892712697</v>
      </c>
    </row>
    <row r="8822" spans="1:4" hidden="1" x14ac:dyDescent="0.3">
      <c r="A8822">
        <v>8820</v>
      </c>
      <c r="B8822" s="1" t="s">
        <v>11532</v>
      </c>
      <c r="C8822" t="s">
        <v>123</v>
      </c>
      <c r="D8822" s="1" t="s">
        <v>11533</v>
      </c>
    </row>
    <row r="8823" spans="1:4" hidden="1" x14ac:dyDescent="0.3">
      <c r="A8823">
        <v>8821</v>
      </c>
      <c r="B8823" t="s">
        <v>11534</v>
      </c>
      <c r="C8823" t="s">
        <v>126</v>
      </c>
      <c r="D8823">
        <v>0.78560679454879701</v>
      </c>
    </row>
    <row r="8824" spans="1:4" hidden="1" x14ac:dyDescent="0.3">
      <c r="A8824">
        <v>8822</v>
      </c>
      <c r="B8824" t="s">
        <v>11535</v>
      </c>
      <c r="C8824" t="s">
        <v>128</v>
      </c>
      <c r="D8824">
        <v>0.38525060450314003</v>
      </c>
    </row>
    <row r="8825" spans="1:4" hidden="1" x14ac:dyDescent="0.3">
      <c r="A8825">
        <v>8823</v>
      </c>
      <c r="B8825" s="1" t="s">
        <v>11536</v>
      </c>
      <c r="C8825" t="s">
        <v>130</v>
      </c>
      <c r="D8825" s="1" t="s">
        <v>11537</v>
      </c>
    </row>
    <row r="8826" spans="1:4" hidden="1" x14ac:dyDescent="0.3">
      <c r="A8826">
        <v>8824</v>
      </c>
      <c r="B8826" s="1" t="s">
        <v>11538</v>
      </c>
      <c r="C8826" t="s">
        <v>4</v>
      </c>
      <c r="D8826" t="s">
        <v>11539</v>
      </c>
    </row>
    <row r="8827" spans="1:4" hidden="1" x14ac:dyDescent="0.3">
      <c r="A8827">
        <v>8825</v>
      </c>
      <c r="B8827" t="s">
        <v>11540</v>
      </c>
      <c r="C8827" t="s">
        <v>7</v>
      </c>
      <c r="D8827">
        <v>1804.65</v>
      </c>
    </row>
    <row r="8828" spans="1:4" hidden="1" x14ac:dyDescent="0.3">
      <c r="A8828">
        <v>8826</v>
      </c>
      <c r="B8828" s="1" t="s">
        <v>11541</v>
      </c>
      <c r="C8828" t="s">
        <v>9</v>
      </c>
      <c r="D8828" s="1" t="s">
        <v>11542</v>
      </c>
    </row>
    <row r="8829" spans="1:4" hidden="1" x14ac:dyDescent="0.3">
      <c r="A8829">
        <v>8827</v>
      </c>
      <c r="B8829" t="s">
        <v>11543</v>
      </c>
      <c r="C8829" t="s">
        <v>14</v>
      </c>
      <c r="D8829">
        <v>96.6171875</v>
      </c>
    </row>
    <row r="8830" spans="1:4" hidden="1" x14ac:dyDescent="0.3">
      <c r="A8830">
        <v>8828</v>
      </c>
      <c r="B8830" t="s">
        <v>11544</v>
      </c>
      <c r="C8830" t="s">
        <v>16</v>
      </c>
      <c r="D8830">
        <v>4.3730532628605596</v>
      </c>
    </row>
    <row r="8831" spans="1:4" hidden="1" x14ac:dyDescent="0.3">
      <c r="A8831">
        <v>8829</v>
      </c>
      <c r="B8831" s="1" t="s">
        <v>11545</v>
      </c>
      <c r="C8831" t="s">
        <v>140</v>
      </c>
      <c r="D8831" s="1" t="s">
        <v>11546</v>
      </c>
    </row>
    <row r="8832" spans="1:4" hidden="1" x14ac:dyDescent="0.3">
      <c r="A8832">
        <v>8830</v>
      </c>
      <c r="B8832" t="s">
        <v>10742</v>
      </c>
      <c r="C8832" t="s">
        <v>22</v>
      </c>
      <c r="D8832">
        <v>69.75</v>
      </c>
    </row>
    <row r="8833" spans="1:4" hidden="1" x14ac:dyDescent="0.3">
      <c r="A8833">
        <v>8831</v>
      </c>
      <c r="B8833" t="s">
        <v>11547</v>
      </c>
      <c r="C8833" t="s">
        <v>24</v>
      </c>
      <c r="D8833">
        <v>6.4490670858496397</v>
      </c>
    </row>
    <row r="8834" spans="1:4" hidden="1" x14ac:dyDescent="0.3">
      <c r="A8834">
        <v>8832</v>
      </c>
      <c r="B8834" s="1" t="s">
        <v>11548</v>
      </c>
      <c r="C8834" t="s">
        <v>145</v>
      </c>
      <c r="D8834" s="1" t="s">
        <v>11549</v>
      </c>
    </row>
    <row r="8835" spans="1:4" hidden="1" x14ac:dyDescent="0.3">
      <c r="A8835">
        <v>8833</v>
      </c>
      <c r="B8835" t="s">
        <v>11550</v>
      </c>
      <c r="C8835" t="s">
        <v>35</v>
      </c>
      <c r="D8835">
        <v>0.54906464466726101</v>
      </c>
    </row>
    <row r="8836" spans="1:4" hidden="1" x14ac:dyDescent="0.3">
      <c r="A8836">
        <v>8834</v>
      </c>
      <c r="B8836" t="s">
        <v>11551</v>
      </c>
      <c r="C8836" t="s">
        <v>149</v>
      </c>
      <c r="D8836">
        <v>0.70313092992040205</v>
      </c>
    </row>
    <row r="8837" spans="1:4" hidden="1" x14ac:dyDescent="0.3">
      <c r="A8837">
        <v>8835</v>
      </c>
      <c r="B8837" s="1" t="s">
        <v>11552</v>
      </c>
      <c r="C8837" t="s">
        <v>151</v>
      </c>
      <c r="D8837" s="1" t="s">
        <v>11553</v>
      </c>
    </row>
    <row r="8838" spans="1:4" hidden="1" x14ac:dyDescent="0.3">
      <c r="A8838">
        <v>8836</v>
      </c>
      <c r="B8838" t="s">
        <v>11554</v>
      </c>
      <c r="C8838" t="s">
        <v>30</v>
      </c>
      <c r="D8838">
        <v>0.178168163636784</v>
      </c>
    </row>
    <row r="8839" spans="1:4" hidden="1" x14ac:dyDescent="0.3">
      <c r="A8839">
        <v>8837</v>
      </c>
      <c r="B8839" t="s">
        <v>11555</v>
      </c>
      <c r="C8839" t="s">
        <v>32</v>
      </c>
      <c r="D8839">
        <v>0.21956587846822301</v>
      </c>
    </row>
    <row r="8840" spans="1:4" hidden="1" x14ac:dyDescent="0.3">
      <c r="A8840">
        <v>8838</v>
      </c>
      <c r="B8840" s="1" t="s">
        <v>11556</v>
      </c>
      <c r="C8840" t="s">
        <v>155</v>
      </c>
      <c r="D8840" s="1" t="s">
        <v>11557</v>
      </c>
    </row>
    <row r="8841" spans="1:4" hidden="1" x14ac:dyDescent="0.3">
      <c r="A8841">
        <v>8839</v>
      </c>
      <c r="B8841" t="s">
        <v>11558</v>
      </c>
      <c r="C8841" t="s">
        <v>40</v>
      </c>
      <c r="D8841">
        <v>0.27276719169595298</v>
      </c>
    </row>
    <row r="8842" spans="1:4" hidden="1" x14ac:dyDescent="0.3">
      <c r="A8842">
        <v>8840</v>
      </c>
      <c r="B8842" t="s">
        <v>11559</v>
      </c>
      <c r="C8842" t="s">
        <v>42</v>
      </c>
      <c r="D8842">
        <v>0.20264434930998601</v>
      </c>
    </row>
    <row r="8843" spans="1:4" hidden="1" x14ac:dyDescent="0.3">
      <c r="A8843">
        <v>8841</v>
      </c>
      <c r="B8843" s="1" t="s">
        <v>11560</v>
      </c>
      <c r="C8843" t="s">
        <v>159</v>
      </c>
      <c r="D8843" s="1" t="s">
        <v>11561</v>
      </c>
    </row>
    <row r="8844" spans="1:4" hidden="1" x14ac:dyDescent="0.3">
      <c r="A8844">
        <v>8842</v>
      </c>
      <c r="B8844" t="s">
        <v>11562</v>
      </c>
      <c r="C8844" t="s">
        <v>161</v>
      </c>
      <c r="D8844">
        <v>0.97774322354840604</v>
      </c>
    </row>
    <row r="8845" spans="1:4" hidden="1" x14ac:dyDescent="0.3">
      <c r="A8845">
        <v>8843</v>
      </c>
      <c r="B8845" t="s">
        <v>11563</v>
      </c>
      <c r="C8845" t="s">
        <v>163</v>
      </c>
      <c r="D8845">
        <v>0.99631283117967795</v>
      </c>
    </row>
    <row r="8846" spans="1:4" hidden="1" x14ac:dyDescent="0.3">
      <c r="A8846">
        <v>8844</v>
      </c>
      <c r="B8846" s="1" t="s">
        <v>11564</v>
      </c>
      <c r="C8846" t="s">
        <v>165</v>
      </c>
      <c r="D8846" s="1" t="s">
        <v>11565</v>
      </c>
    </row>
    <row r="8847" spans="1:4" hidden="1" x14ac:dyDescent="0.3">
      <c r="A8847">
        <v>8845</v>
      </c>
      <c r="B8847" t="s">
        <v>11566</v>
      </c>
      <c r="C8847" t="s">
        <v>168</v>
      </c>
      <c r="D8847">
        <v>0.99633114440470105</v>
      </c>
    </row>
    <row r="8848" spans="1:4" hidden="1" x14ac:dyDescent="0.3">
      <c r="A8848">
        <v>8846</v>
      </c>
      <c r="B8848" t="s">
        <v>11567</v>
      </c>
      <c r="C8848" t="s">
        <v>170</v>
      </c>
      <c r="D8848">
        <v>1.0055987909833699</v>
      </c>
    </row>
    <row r="8849" spans="1:4" hidden="1" x14ac:dyDescent="0.3">
      <c r="A8849">
        <v>8847</v>
      </c>
      <c r="B8849" s="1" t="s">
        <v>11568</v>
      </c>
      <c r="C8849" t="s">
        <v>172</v>
      </c>
      <c r="D8849" s="1" t="s">
        <v>11569</v>
      </c>
    </row>
    <row r="8850" spans="1:4" hidden="1" x14ac:dyDescent="0.3">
      <c r="A8850">
        <v>8848</v>
      </c>
      <c r="B8850" s="1" t="s">
        <v>11570</v>
      </c>
      <c r="C8850" t="s">
        <v>55</v>
      </c>
      <c r="D8850" s="1" t="s">
        <v>11571</v>
      </c>
    </row>
    <row r="8851" spans="1:4" hidden="1" x14ac:dyDescent="0.3">
      <c r="A8851">
        <v>8849</v>
      </c>
      <c r="B8851" s="1" t="s">
        <v>11572</v>
      </c>
      <c r="C8851" t="s">
        <v>52</v>
      </c>
      <c r="D8851" s="1" t="s">
        <v>11573</v>
      </c>
    </row>
    <row r="8852" spans="1:4" hidden="1" x14ac:dyDescent="0.3">
      <c r="A8852">
        <v>8850</v>
      </c>
      <c r="B8852" s="1" t="s">
        <v>11574</v>
      </c>
      <c r="C8852" t="s">
        <v>58</v>
      </c>
      <c r="D8852" s="1" t="s">
        <v>11575</v>
      </c>
    </row>
    <row r="8853" spans="1:4" hidden="1" x14ac:dyDescent="0.3">
      <c r="A8853">
        <v>8851</v>
      </c>
      <c r="B8853" t="s">
        <v>11576</v>
      </c>
      <c r="C8853" t="s">
        <v>61</v>
      </c>
      <c r="D8853">
        <v>144368249.76527199</v>
      </c>
    </row>
    <row r="8854" spans="1:4" hidden="1" x14ac:dyDescent="0.3">
      <c r="A8854">
        <v>8852</v>
      </c>
      <c r="B8854" t="s">
        <v>11577</v>
      </c>
      <c r="C8854" t="s">
        <v>63</v>
      </c>
      <c r="D8854">
        <v>77727892.139093295</v>
      </c>
    </row>
    <row r="8855" spans="1:4" hidden="1" x14ac:dyDescent="0.3">
      <c r="A8855">
        <v>8853</v>
      </c>
      <c r="B8855" t="s">
        <v>11578</v>
      </c>
      <c r="C8855" t="s">
        <v>65</v>
      </c>
      <c r="D8855">
        <v>38840597.053866602</v>
      </c>
    </row>
    <row r="8856" spans="1:4" hidden="1" x14ac:dyDescent="0.3">
      <c r="A8856">
        <v>8854</v>
      </c>
      <c r="B8856" s="1" t="s">
        <v>11579</v>
      </c>
      <c r="C8856" t="s">
        <v>67</v>
      </c>
      <c r="D8856" s="1" t="s">
        <v>11580</v>
      </c>
    </row>
    <row r="8857" spans="1:4" hidden="1" x14ac:dyDescent="0.3">
      <c r="A8857">
        <v>8855</v>
      </c>
      <c r="B8857" s="1" t="s">
        <v>11581</v>
      </c>
      <c r="C8857" t="s">
        <v>70</v>
      </c>
      <c r="D8857" s="1" t="s">
        <v>11582</v>
      </c>
    </row>
    <row r="8858" spans="1:4" hidden="1" x14ac:dyDescent="0.3">
      <c r="A8858">
        <v>8856</v>
      </c>
      <c r="B8858" t="s">
        <v>11583</v>
      </c>
      <c r="C8858" t="s">
        <v>73</v>
      </c>
      <c r="D8858">
        <v>1.00021309948554</v>
      </c>
    </row>
    <row r="8859" spans="1:4" hidden="1" x14ac:dyDescent="0.3">
      <c r="A8859">
        <v>8857</v>
      </c>
      <c r="B8859" t="s">
        <v>74</v>
      </c>
      <c r="C8859" t="s">
        <v>75</v>
      </c>
      <c r="D8859">
        <v>2.7397260273972599E-3</v>
      </c>
    </row>
    <row r="8860" spans="1:4" hidden="1" x14ac:dyDescent="0.3">
      <c r="A8860">
        <v>8858</v>
      </c>
      <c r="B8860" t="s">
        <v>76</v>
      </c>
      <c r="C8860" t="s">
        <v>77</v>
      </c>
      <c r="D8860">
        <v>0</v>
      </c>
    </row>
    <row r="8861" spans="1:4" hidden="1" x14ac:dyDescent="0.3">
      <c r="A8861">
        <v>8859</v>
      </c>
      <c r="B8861" t="s">
        <v>78</v>
      </c>
      <c r="C8861" t="s">
        <v>79</v>
      </c>
      <c r="D8861">
        <v>0</v>
      </c>
    </row>
    <row r="8862" spans="1:4" hidden="1" x14ac:dyDescent="0.3">
      <c r="A8862">
        <v>8860</v>
      </c>
      <c r="B8862" s="1" t="s">
        <v>11584</v>
      </c>
      <c r="C8862" t="s">
        <v>81</v>
      </c>
      <c r="D8862" s="1" t="s">
        <v>11585</v>
      </c>
    </row>
    <row r="8863" spans="1:4" hidden="1" x14ac:dyDescent="0.3">
      <c r="A8863">
        <v>8861</v>
      </c>
      <c r="B8863" t="s">
        <v>11586</v>
      </c>
      <c r="C8863" t="s">
        <v>84</v>
      </c>
      <c r="D8863">
        <v>1.0001924527488</v>
      </c>
    </row>
    <row r="8864" spans="1:4" hidden="1" x14ac:dyDescent="0.3">
      <c r="A8864">
        <v>8862</v>
      </c>
      <c r="B8864" s="1" t="s">
        <v>11587</v>
      </c>
      <c r="C8864" t="s">
        <v>86</v>
      </c>
      <c r="D8864" s="1" t="s">
        <v>11588</v>
      </c>
    </row>
    <row r="8865" spans="1:4" hidden="1" x14ac:dyDescent="0.3">
      <c r="A8865">
        <v>8863</v>
      </c>
      <c r="B8865" t="s">
        <v>11589</v>
      </c>
      <c r="C8865" t="s">
        <v>89</v>
      </c>
      <c r="D8865">
        <v>101170308.97939301</v>
      </c>
    </row>
    <row r="8866" spans="1:4" hidden="1" x14ac:dyDescent="0.3">
      <c r="A8866">
        <v>8864</v>
      </c>
      <c r="B8866" s="1" t="s">
        <v>11590</v>
      </c>
      <c r="C8866" t="s">
        <v>91</v>
      </c>
      <c r="D8866" s="1" t="s">
        <v>11525</v>
      </c>
    </row>
    <row r="8867" spans="1:4" hidden="1" x14ac:dyDescent="0.3">
      <c r="A8867">
        <v>8865</v>
      </c>
      <c r="B8867" t="s">
        <v>11591</v>
      </c>
      <c r="C8867" t="s">
        <v>94</v>
      </c>
      <c r="D8867">
        <v>77727892.139093295</v>
      </c>
    </row>
    <row r="8868" spans="1:4" hidden="1" x14ac:dyDescent="0.3">
      <c r="A8868">
        <v>8866</v>
      </c>
      <c r="B8868" t="s">
        <v>11592</v>
      </c>
      <c r="C8868" t="s">
        <v>96</v>
      </c>
      <c r="D8868">
        <v>38840597.053866602</v>
      </c>
    </row>
    <row r="8869" spans="1:4" hidden="1" x14ac:dyDescent="0.3">
      <c r="A8869">
        <v>8867</v>
      </c>
      <c r="B8869" t="s">
        <v>11593</v>
      </c>
      <c r="C8869" t="s">
        <v>98</v>
      </c>
      <c r="D8869">
        <v>27799760.572312701</v>
      </c>
    </row>
    <row r="8870" spans="1:4" hidden="1" x14ac:dyDescent="0.3">
      <c r="A8870">
        <v>8868</v>
      </c>
      <c r="B8870" s="1" t="s">
        <v>11594</v>
      </c>
      <c r="C8870" t="s">
        <v>100</v>
      </c>
      <c r="D8870" s="1" t="s">
        <v>11595</v>
      </c>
    </row>
    <row r="8871" spans="1:4" hidden="1" x14ac:dyDescent="0.3">
      <c r="A8871">
        <v>8869</v>
      </c>
      <c r="B8871" t="s">
        <v>11596</v>
      </c>
      <c r="C8871" t="s">
        <v>103</v>
      </c>
      <c r="D8871">
        <v>7.6484726287249002E-3</v>
      </c>
    </row>
    <row r="8872" spans="1:4" hidden="1" x14ac:dyDescent="0.3">
      <c r="A8872">
        <v>8870</v>
      </c>
      <c r="B8872" t="s">
        <v>11597</v>
      </c>
      <c r="C8872" t="s">
        <v>105</v>
      </c>
      <c r="D8872">
        <v>1.48492591532341E-3</v>
      </c>
    </row>
    <row r="8873" spans="1:4" hidden="1" x14ac:dyDescent="0.3">
      <c r="A8873">
        <v>8871</v>
      </c>
      <c r="B8873" t="s">
        <v>11598</v>
      </c>
      <c r="C8873" t="s">
        <v>107</v>
      </c>
      <c r="D8873">
        <v>1.00356986636411E-2</v>
      </c>
    </row>
    <row r="8874" spans="1:4" hidden="1" x14ac:dyDescent="0.3">
      <c r="A8874">
        <v>8872</v>
      </c>
      <c r="B8874" s="1" t="s">
        <v>11599</v>
      </c>
      <c r="C8874" t="s">
        <v>109</v>
      </c>
      <c r="D8874" s="1" t="s">
        <v>11600</v>
      </c>
    </row>
    <row r="8875" spans="1:4" x14ac:dyDescent="0.3">
      <c r="A8875">
        <v>8873</v>
      </c>
      <c r="B8875" t="s">
        <v>11601</v>
      </c>
      <c r="C8875" t="s">
        <v>207</v>
      </c>
      <c r="D8875">
        <v>144367523.30130601</v>
      </c>
    </row>
    <row r="8876" spans="1:4" hidden="1" x14ac:dyDescent="0.3">
      <c r="A8876">
        <v>8874</v>
      </c>
      <c r="B8876" t="s">
        <v>11602</v>
      </c>
      <c r="C8876" t="s">
        <v>209</v>
      </c>
      <c r="D8876">
        <v>1604.4750521133601</v>
      </c>
    </row>
    <row r="8877" spans="1:4" hidden="1" x14ac:dyDescent="0.3">
      <c r="A8877">
        <v>8875</v>
      </c>
      <c r="B8877" t="s">
        <v>11603</v>
      </c>
      <c r="C8877" t="s">
        <v>211</v>
      </c>
      <c r="D8877">
        <v>801.75758465460899</v>
      </c>
    </row>
    <row r="8878" spans="1:4" hidden="1" x14ac:dyDescent="0.3">
      <c r="A8878">
        <v>8876</v>
      </c>
      <c r="B8878" s="1" t="s">
        <v>11604</v>
      </c>
      <c r="C8878" t="s">
        <v>213</v>
      </c>
      <c r="D8878" s="1" t="s">
        <v>11605</v>
      </c>
    </row>
    <row r="8879" spans="1:4" hidden="1" x14ac:dyDescent="0.3">
      <c r="A8879">
        <v>8877</v>
      </c>
      <c r="B8879" t="s">
        <v>11606</v>
      </c>
      <c r="C8879" t="s">
        <v>216</v>
      </c>
      <c r="D8879">
        <v>77725785.815491095</v>
      </c>
    </row>
    <row r="8880" spans="1:4" hidden="1" x14ac:dyDescent="0.3">
      <c r="A8880">
        <v>8878</v>
      </c>
      <c r="B8880" t="s">
        <v>11607</v>
      </c>
      <c r="C8880" t="s">
        <v>218</v>
      </c>
      <c r="D8880">
        <v>38839643.046320602</v>
      </c>
    </row>
    <row r="8881" spans="1:4" hidden="1" x14ac:dyDescent="0.3">
      <c r="A8881">
        <v>8879</v>
      </c>
      <c r="B8881" t="s">
        <v>11608</v>
      </c>
      <c r="C8881" t="s">
        <v>220</v>
      </c>
      <c r="D8881">
        <v>27799114.3563012</v>
      </c>
    </row>
    <row r="8882" spans="1:4" hidden="1" x14ac:dyDescent="0.3">
      <c r="A8882">
        <v>8880</v>
      </c>
      <c r="B8882" s="1" t="s">
        <v>11609</v>
      </c>
      <c r="C8882" t="s">
        <v>222</v>
      </c>
      <c r="D8882" s="1" t="s">
        <v>11610</v>
      </c>
    </row>
    <row r="8883" spans="1:4" hidden="1" x14ac:dyDescent="0.3">
      <c r="A8883">
        <v>8881</v>
      </c>
      <c r="B8883" t="s">
        <v>11611</v>
      </c>
      <c r="C8883" t="s">
        <v>225</v>
      </c>
      <c r="D8883">
        <v>101168220.58769201</v>
      </c>
    </row>
    <row r="8884" spans="1:4" hidden="1" x14ac:dyDescent="0.3">
      <c r="A8884">
        <v>8882</v>
      </c>
      <c r="B8884" t="s">
        <v>11612</v>
      </c>
      <c r="C8884" t="s">
        <v>227</v>
      </c>
      <c r="D8884">
        <v>2088.3917003422898</v>
      </c>
    </row>
    <row r="8885" spans="1:4" hidden="1" x14ac:dyDescent="0.3">
      <c r="A8885">
        <v>8883</v>
      </c>
      <c r="B8885" s="1" t="s">
        <v>11613</v>
      </c>
      <c r="C8885" t="s">
        <v>229</v>
      </c>
      <c r="D8885" s="1" t="s">
        <v>11614</v>
      </c>
    </row>
    <row r="8886" spans="1:4" hidden="1" x14ac:dyDescent="0.3">
      <c r="A8886">
        <v>8884</v>
      </c>
      <c r="B8886" t="s">
        <v>11615</v>
      </c>
      <c r="C8886" t="s">
        <v>112</v>
      </c>
      <c r="D8886">
        <v>-501.84855003846297</v>
      </c>
    </row>
    <row r="8887" spans="1:4" hidden="1" x14ac:dyDescent="0.3">
      <c r="A8887">
        <v>8885</v>
      </c>
      <c r="B8887" t="s">
        <v>11616</v>
      </c>
      <c r="C8887" t="s">
        <v>114</v>
      </c>
      <c r="D8887">
        <v>-152.249961387177</v>
      </c>
    </row>
    <row r="8888" spans="1:4" hidden="1" x14ac:dyDescent="0.3">
      <c r="A8888">
        <v>8886</v>
      </c>
      <c r="B8888" s="1" t="s">
        <v>11617</v>
      </c>
      <c r="C8888" t="s">
        <v>116</v>
      </c>
      <c r="D8888" s="1" t="s">
        <v>11618</v>
      </c>
    </row>
    <row r="8889" spans="1:4" hidden="1" x14ac:dyDescent="0.3">
      <c r="A8889">
        <v>8887</v>
      </c>
      <c r="B8889" t="s">
        <v>11619</v>
      </c>
      <c r="C8889" t="s">
        <v>119</v>
      </c>
      <c r="D8889">
        <v>77725785.815491095</v>
      </c>
    </row>
    <row r="8890" spans="1:4" hidden="1" x14ac:dyDescent="0.3">
      <c r="A8890">
        <v>8888</v>
      </c>
      <c r="B8890" t="s">
        <v>11620</v>
      </c>
      <c r="C8890" t="s">
        <v>121</v>
      </c>
      <c r="D8890">
        <v>38839643.046320602</v>
      </c>
    </row>
    <row r="8891" spans="1:4" hidden="1" x14ac:dyDescent="0.3">
      <c r="A8891">
        <v>8889</v>
      </c>
      <c r="B8891" s="1" t="s">
        <v>11621</v>
      </c>
      <c r="C8891" t="s">
        <v>123</v>
      </c>
      <c r="D8891" s="1" t="s">
        <v>11622</v>
      </c>
    </row>
    <row r="8892" spans="1:4" hidden="1" x14ac:dyDescent="0.3">
      <c r="A8892">
        <v>8890</v>
      </c>
      <c r="B8892" t="s">
        <v>11623</v>
      </c>
      <c r="C8892" t="s">
        <v>126</v>
      </c>
      <c r="D8892">
        <v>0.76813479273618901</v>
      </c>
    </row>
    <row r="8893" spans="1:4" hidden="1" x14ac:dyDescent="0.3">
      <c r="A8893">
        <v>8891</v>
      </c>
      <c r="B8893" t="s">
        <v>11624</v>
      </c>
      <c r="C8893" t="s">
        <v>128</v>
      </c>
      <c r="D8893">
        <v>0.383837626706721</v>
      </c>
    </row>
    <row r="8894" spans="1:4" hidden="1" x14ac:dyDescent="0.3">
      <c r="A8894">
        <v>8892</v>
      </c>
      <c r="B8894" s="1" t="s">
        <v>11625</v>
      </c>
      <c r="C8894" t="s">
        <v>130</v>
      </c>
      <c r="D8894" s="1" t="s">
        <v>11626</v>
      </c>
    </row>
    <row r="8895" spans="1:4" hidden="1" x14ac:dyDescent="0.3">
      <c r="A8895">
        <v>8893</v>
      </c>
      <c r="B8895" s="1" t="s">
        <v>11627</v>
      </c>
      <c r="C8895" t="s">
        <v>4</v>
      </c>
      <c r="D8895" t="s">
        <v>11628</v>
      </c>
    </row>
    <row r="8896" spans="1:4" hidden="1" x14ac:dyDescent="0.3">
      <c r="A8896">
        <v>8894</v>
      </c>
      <c r="B8896" t="s">
        <v>11629</v>
      </c>
      <c r="C8896" t="s">
        <v>7</v>
      </c>
      <c r="D8896">
        <v>1789.16</v>
      </c>
    </row>
    <row r="8897" spans="1:4" hidden="1" x14ac:dyDescent="0.3">
      <c r="A8897">
        <v>8895</v>
      </c>
      <c r="B8897" s="1" t="s">
        <v>11630</v>
      </c>
      <c r="C8897" t="s">
        <v>9</v>
      </c>
      <c r="D8897" s="1" t="s">
        <v>11631</v>
      </c>
    </row>
    <row r="8898" spans="1:4" hidden="1" x14ac:dyDescent="0.3">
      <c r="A8898">
        <v>8896</v>
      </c>
      <c r="B8898" t="s">
        <v>11632</v>
      </c>
      <c r="C8898" t="s">
        <v>14</v>
      </c>
      <c r="D8898">
        <v>96.59375</v>
      </c>
    </row>
    <row r="8899" spans="1:4" hidden="1" x14ac:dyDescent="0.3">
      <c r="A8899">
        <v>8897</v>
      </c>
      <c r="B8899" t="s">
        <v>11633</v>
      </c>
      <c r="C8899" t="s">
        <v>16</v>
      </c>
      <c r="D8899">
        <v>4.3699674147368803</v>
      </c>
    </row>
    <row r="8900" spans="1:4" hidden="1" x14ac:dyDescent="0.3">
      <c r="A8900">
        <v>8898</v>
      </c>
      <c r="B8900" s="1" t="s">
        <v>11634</v>
      </c>
      <c r="C8900" t="s">
        <v>140</v>
      </c>
      <c r="D8900" s="1" t="s">
        <v>11635</v>
      </c>
    </row>
    <row r="8901" spans="1:4" hidden="1" x14ac:dyDescent="0.3">
      <c r="A8901">
        <v>8899</v>
      </c>
      <c r="B8901" t="s">
        <v>11636</v>
      </c>
      <c r="C8901" t="s">
        <v>22</v>
      </c>
      <c r="D8901">
        <v>69.849999999999994</v>
      </c>
    </row>
    <row r="8902" spans="1:4" hidden="1" x14ac:dyDescent="0.3">
      <c r="A8902">
        <v>8900</v>
      </c>
      <c r="B8902" t="s">
        <v>11637</v>
      </c>
      <c r="C8902" t="s">
        <v>24</v>
      </c>
      <c r="D8902">
        <v>6.4162009659897103</v>
      </c>
    </row>
    <row r="8903" spans="1:4" hidden="1" x14ac:dyDescent="0.3">
      <c r="A8903">
        <v>8901</v>
      </c>
      <c r="B8903" s="1" t="s">
        <v>11638</v>
      </c>
      <c r="C8903" t="s">
        <v>145</v>
      </c>
      <c r="D8903" s="1" t="s">
        <v>11639</v>
      </c>
    </row>
    <row r="8904" spans="1:4" hidden="1" x14ac:dyDescent="0.3">
      <c r="A8904">
        <v>8902</v>
      </c>
      <c r="B8904" t="s">
        <v>11640</v>
      </c>
      <c r="C8904" t="s">
        <v>35</v>
      </c>
      <c r="D8904">
        <v>0.56967750133258299</v>
      </c>
    </row>
    <row r="8905" spans="1:4" hidden="1" x14ac:dyDescent="0.3">
      <c r="A8905">
        <v>8903</v>
      </c>
      <c r="B8905" t="s">
        <v>11641</v>
      </c>
      <c r="C8905" t="s">
        <v>149</v>
      </c>
      <c r="D8905">
        <v>0.714648589701392</v>
      </c>
    </row>
    <row r="8906" spans="1:4" hidden="1" x14ac:dyDescent="0.3">
      <c r="A8906">
        <v>8904</v>
      </c>
      <c r="B8906" s="1" t="s">
        <v>11642</v>
      </c>
      <c r="C8906" t="s">
        <v>151</v>
      </c>
      <c r="D8906" s="1" t="s">
        <v>11643</v>
      </c>
    </row>
    <row r="8907" spans="1:4" hidden="1" x14ac:dyDescent="0.3">
      <c r="A8907">
        <v>8905</v>
      </c>
      <c r="B8907" t="s">
        <v>11644</v>
      </c>
      <c r="C8907" t="s">
        <v>30</v>
      </c>
      <c r="D8907">
        <v>0.169173448499646</v>
      </c>
    </row>
    <row r="8908" spans="1:4" hidden="1" x14ac:dyDescent="0.3">
      <c r="A8908">
        <v>8906</v>
      </c>
      <c r="B8908" t="s">
        <v>11645</v>
      </c>
      <c r="C8908" t="s">
        <v>32</v>
      </c>
      <c r="D8908">
        <v>0.20741832580178801</v>
      </c>
    </row>
    <row r="8909" spans="1:4" hidden="1" x14ac:dyDescent="0.3">
      <c r="A8909">
        <v>8907</v>
      </c>
      <c r="B8909" s="1" t="s">
        <v>11646</v>
      </c>
      <c r="C8909" t="s">
        <v>155</v>
      </c>
      <c r="D8909" s="1" t="s">
        <v>11647</v>
      </c>
    </row>
    <row r="8910" spans="1:4" hidden="1" x14ac:dyDescent="0.3">
      <c r="A8910">
        <v>8908</v>
      </c>
      <c r="B8910" t="s">
        <v>11648</v>
      </c>
      <c r="C8910" t="s">
        <v>40</v>
      </c>
      <c r="D8910">
        <v>0.26114905016776901</v>
      </c>
    </row>
    <row r="8911" spans="1:4" hidden="1" x14ac:dyDescent="0.3">
      <c r="A8911">
        <v>8909</v>
      </c>
      <c r="B8911" t="s">
        <v>11649</v>
      </c>
      <c r="C8911" t="s">
        <v>42</v>
      </c>
      <c r="D8911">
        <v>0.191870799526002</v>
      </c>
    </row>
    <row r="8912" spans="1:4" hidden="1" x14ac:dyDescent="0.3">
      <c r="A8912">
        <v>8910</v>
      </c>
      <c r="B8912" s="1" t="s">
        <v>11650</v>
      </c>
      <c r="C8912" t="s">
        <v>159</v>
      </c>
      <c r="D8912" s="1" t="s">
        <v>11651</v>
      </c>
    </row>
    <row r="8913" spans="1:4" hidden="1" x14ac:dyDescent="0.3">
      <c r="A8913">
        <v>8911</v>
      </c>
      <c r="B8913" t="s">
        <v>11652</v>
      </c>
      <c r="C8913" t="s">
        <v>161</v>
      </c>
      <c r="D8913">
        <v>0.99141661818080995</v>
      </c>
    </row>
    <row r="8914" spans="1:4" hidden="1" x14ac:dyDescent="0.3">
      <c r="A8914">
        <v>8912</v>
      </c>
      <c r="B8914" t="s">
        <v>11653</v>
      </c>
      <c r="C8914" t="s">
        <v>163</v>
      </c>
      <c r="D8914">
        <v>0.99973736721564999</v>
      </c>
    </row>
    <row r="8915" spans="1:4" hidden="1" x14ac:dyDescent="0.3">
      <c r="A8915">
        <v>8913</v>
      </c>
      <c r="B8915" s="1" t="s">
        <v>11654</v>
      </c>
      <c r="C8915" t="s">
        <v>165</v>
      </c>
      <c r="D8915" s="1" t="s">
        <v>11655</v>
      </c>
    </row>
    <row r="8916" spans="1:4" hidden="1" x14ac:dyDescent="0.3">
      <c r="A8916">
        <v>8914</v>
      </c>
      <c r="B8916" t="s">
        <v>11656</v>
      </c>
      <c r="C8916" t="s">
        <v>168</v>
      </c>
      <c r="D8916">
        <v>1.0067626390776201</v>
      </c>
    </row>
    <row r="8917" spans="1:4" hidden="1" x14ac:dyDescent="0.3">
      <c r="A8917">
        <v>8915</v>
      </c>
      <c r="B8917" t="s">
        <v>11657</v>
      </c>
      <c r="C8917" t="s">
        <v>170</v>
      </c>
      <c r="D8917">
        <v>0.99003944528056698</v>
      </c>
    </row>
    <row r="8918" spans="1:4" hidden="1" x14ac:dyDescent="0.3">
      <c r="A8918">
        <v>8916</v>
      </c>
      <c r="B8918" s="1" t="s">
        <v>11658</v>
      </c>
      <c r="C8918" t="s">
        <v>172</v>
      </c>
      <c r="D8918" s="1" t="s">
        <v>11659</v>
      </c>
    </row>
    <row r="8919" spans="1:4" hidden="1" x14ac:dyDescent="0.3">
      <c r="A8919">
        <v>8917</v>
      </c>
      <c r="B8919" s="1" t="s">
        <v>11660</v>
      </c>
      <c r="C8919" t="s">
        <v>55</v>
      </c>
      <c r="D8919" s="1" t="s">
        <v>11661</v>
      </c>
    </row>
    <row r="8920" spans="1:4" hidden="1" x14ac:dyDescent="0.3">
      <c r="A8920">
        <v>8918</v>
      </c>
      <c r="B8920" s="1" t="s">
        <v>11662</v>
      </c>
      <c r="C8920" t="s">
        <v>52</v>
      </c>
      <c r="D8920" s="1" t="s">
        <v>11663</v>
      </c>
    </row>
    <row r="8921" spans="1:4" hidden="1" x14ac:dyDescent="0.3">
      <c r="A8921">
        <v>8919</v>
      </c>
      <c r="B8921" s="1" t="s">
        <v>11664</v>
      </c>
      <c r="C8921" t="s">
        <v>58</v>
      </c>
      <c r="D8921" s="1" t="s">
        <v>11665</v>
      </c>
    </row>
    <row r="8922" spans="1:4" hidden="1" x14ac:dyDescent="0.3">
      <c r="A8922">
        <v>8920</v>
      </c>
      <c r="B8922" t="s">
        <v>11666</v>
      </c>
      <c r="C8922" t="s">
        <v>61</v>
      </c>
      <c r="D8922">
        <v>143711684.49021199</v>
      </c>
    </row>
    <row r="8923" spans="1:4" hidden="1" x14ac:dyDescent="0.3">
      <c r="A8923">
        <v>8921</v>
      </c>
      <c r="B8923" t="s">
        <v>11667</v>
      </c>
      <c r="C8923" t="s">
        <v>63</v>
      </c>
      <c r="D8923">
        <v>77058635.718640193</v>
      </c>
    </row>
    <row r="8924" spans="1:4" hidden="1" x14ac:dyDescent="0.3">
      <c r="A8924">
        <v>8922</v>
      </c>
      <c r="B8924" t="s">
        <v>11668</v>
      </c>
      <c r="C8924" t="s">
        <v>65</v>
      </c>
      <c r="D8924">
        <v>38829442.482724197</v>
      </c>
    </row>
    <row r="8925" spans="1:4" hidden="1" x14ac:dyDescent="0.3">
      <c r="A8925">
        <v>8923</v>
      </c>
      <c r="B8925" s="1" t="s">
        <v>11669</v>
      </c>
      <c r="C8925" t="s">
        <v>67</v>
      </c>
      <c r="D8925" s="1" t="s">
        <v>11670</v>
      </c>
    </row>
    <row r="8926" spans="1:4" hidden="1" x14ac:dyDescent="0.3">
      <c r="A8926">
        <v>8924</v>
      </c>
      <c r="B8926" s="1" t="s">
        <v>11671</v>
      </c>
      <c r="C8926" t="s">
        <v>70</v>
      </c>
      <c r="D8926" s="1" t="s">
        <v>11672</v>
      </c>
    </row>
    <row r="8927" spans="1:4" hidden="1" x14ac:dyDescent="0.3">
      <c r="A8927">
        <v>8925</v>
      </c>
      <c r="B8927" t="s">
        <v>11673</v>
      </c>
      <c r="C8927" t="s">
        <v>73</v>
      </c>
      <c r="D8927">
        <v>1.0001924527488</v>
      </c>
    </row>
    <row r="8928" spans="1:4" hidden="1" x14ac:dyDescent="0.3">
      <c r="A8928">
        <v>8926</v>
      </c>
      <c r="B8928" t="s">
        <v>74</v>
      </c>
      <c r="C8928" t="s">
        <v>75</v>
      </c>
      <c r="D8928">
        <v>2.7397260273972599E-3</v>
      </c>
    </row>
    <row r="8929" spans="1:4" hidden="1" x14ac:dyDescent="0.3">
      <c r="A8929">
        <v>8927</v>
      </c>
      <c r="B8929" t="s">
        <v>76</v>
      </c>
      <c r="C8929" t="s">
        <v>77</v>
      </c>
      <c r="D8929">
        <v>0</v>
      </c>
    </row>
    <row r="8930" spans="1:4" hidden="1" x14ac:dyDescent="0.3">
      <c r="A8930">
        <v>8928</v>
      </c>
      <c r="B8930" t="s">
        <v>78</v>
      </c>
      <c r="C8930" t="s">
        <v>79</v>
      </c>
      <c r="D8930">
        <v>0</v>
      </c>
    </row>
    <row r="8931" spans="1:4" hidden="1" x14ac:dyDescent="0.3">
      <c r="A8931">
        <v>8929</v>
      </c>
      <c r="B8931" s="1" t="s">
        <v>11674</v>
      </c>
      <c r="C8931" t="s">
        <v>81</v>
      </c>
      <c r="D8931" s="1" t="s">
        <v>11675</v>
      </c>
    </row>
    <row r="8932" spans="1:4" hidden="1" x14ac:dyDescent="0.3">
      <c r="A8932">
        <v>8930</v>
      </c>
      <c r="B8932" t="s">
        <v>11676</v>
      </c>
      <c r="C8932" t="s">
        <v>84</v>
      </c>
      <c r="D8932">
        <v>1.00017371738342</v>
      </c>
    </row>
    <row r="8933" spans="1:4" hidden="1" x14ac:dyDescent="0.3">
      <c r="A8933">
        <v>8931</v>
      </c>
      <c r="B8933" s="1" t="s">
        <v>11677</v>
      </c>
      <c r="C8933" t="s">
        <v>86</v>
      </c>
      <c r="D8933" s="1" t="s">
        <v>11678</v>
      </c>
    </row>
    <row r="8934" spans="1:4" hidden="1" x14ac:dyDescent="0.3">
      <c r="A8934">
        <v>8932</v>
      </c>
      <c r="B8934" t="s">
        <v>11679</v>
      </c>
      <c r="C8934" t="s">
        <v>89</v>
      </c>
      <c r="D8934">
        <v>101172204.11287899</v>
      </c>
    </row>
    <row r="8935" spans="1:4" hidden="1" x14ac:dyDescent="0.3">
      <c r="A8935">
        <v>8933</v>
      </c>
      <c r="B8935" s="1" t="s">
        <v>11680</v>
      </c>
      <c r="C8935" t="s">
        <v>91</v>
      </c>
      <c r="D8935" s="1" t="s">
        <v>11614</v>
      </c>
    </row>
    <row r="8936" spans="1:4" hidden="1" x14ac:dyDescent="0.3">
      <c r="A8936">
        <v>8934</v>
      </c>
      <c r="B8936" t="s">
        <v>11681</v>
      </c>
      <c r="C8936" t="s">
        <v>94</v>
      </c>
      <c r="D8936">
        <v>77058635.718640193</v>
      </c>
    </row>
    <row r="8937" spans="1:4" hidden="1" x14ac:dyDescent="0.3">
      <c r="A8937">
        <v>8935</v>
      </c>
      <c r="B8937" t="s">
        <v>11682</v>
      </c>
      <c r="C8937" t="s">
        <v>96</v>
      </c>
      <c r="D8937">
        <v>38829442.482724197</v>
      </c>
    </row>
    <row r="8938" spans="1:4" hidden="1" x14ac:dyDescent="0.3">
      <c r="A8938">
        <v>8936</v>
      </c>
      <c r="B8938" t="s">
        <v>11683</v>
      </c>
      <c r="C8938" t="s">
        <v>98</v>
      </c>
      <c r="D8938">
        <v>27823606.288848002</v>
      </c>
    </row>
    <row r="8939" spans="1:4" hidden="1" x14ac:dyDescent="0.3">
      <c r="A8939">
        <v>8937</v>
      </c>
      <c r="B8939" s="1" t="s">
        <v>11684</v>
      </c>
      <c r="C8939" t="s">
        <v>100</v>
      </c>
      <c r="D8939" s="1" t="s">
        <v>11685</v>
      </c>
    </row>
    <row r="8940" spans="1:4" hidden="1" x14ac:dyDescent="0.3">
      <c r="A8940">
        <v>8938</v>
      </c>
      <c r="B8940" t="s">
        <v>11686</v>
      </c>
      <c r="C8940" t="s">
        <v>103</v>
      </c>
      <c r="D8940">
        <v>7.9774533457328701E-3</v>
      </c>
    </row>
    <row r="8941" spans="1:4" hidden="1" x14ac:dyDescent="0.3">
      <c r="A8941">
        <v>8939</v>
      </c>
      <c r="B8941" t="s">
        <v>11687</v>
      </c>
      <c r="C8941" t="s">
        <v>105</v>
      </c>
      <c r="D8941">
        <v>1.4845839995972501E-3</v>
      </c>
    </row>
    <row r="8942" spans="1:4" hidden="1" x14ac:dyDescent="0.3">
      <c r="A8942">
        <v>8940</v>
      </c>
      <c r="B8942" t="s">
        <v>11688</v>
      </c>
      <c r="C8942" t="s">
        <v>107</v>
      </c>
      <c r="D8942">
        <v>1.0037406635866801E-2</v>
      </c>
    </row>
    <row r="8943" spans="1:4" hidden="1" x14ac:dyDescent="0.3">
      <c r="A8943">
        <v>8941</v>
      </c>
      <c r="B8943" s="1" t="s">
        <v>11689</v>
      </c>
      <c r="C8943" t="s">
        <v>109</v>
      </c>
      <c r="D8943" s="1" t="s">
        <v>11690</v>
      </c>
    </row>
    <row r="8944" spans="1:4" x14ac:dyDescent="0.3">
      <c r="A8944">
        <v>8942</v>
      </c>
      <c r="B8944" t="s">
        <v>11691</v>
      </c>
      <c r="C8944" t="s">
        <v>207</v>
      </c>
      <c r="D8944">
        <v>143711024.858731</v>
      </c>
    </row>
    <row r="8945" spans="1:4" hidden="1" x14ac:dyDescent="0.3">
      <c r="A8945">
        <v>8943</v>
      </c>
      <c r="B8945" t="s">
        <v>11692</v>
      </c>
      <c r="C8945" t="s">
        <v>209</v>
      </c>
      <c r="D8945">
        <v>1443.43542072991</v>
      </c>
    </row>
    <row r="8946" spans="1:4" hidden="1" x14ac:dyDescent="0.3">
      <c r="A8946">
        <v>8944</v>
      </c>
      <c r="B8946" t="s">
        <v>11693</v>
      </c>
      <c r="C8946" t="s">
        <v>211</v>
      </c>
      <c r="D8946">
        <v>727.34128484367602</v>
      </c>
    </row>
    <row r="8947" spans="1:4" hidden="1" x14ac:dyDescent="0.3">
      <c r="A8947">
        <v>8945</v>
      </c>
      <c r="B8947" s="1" t="s">
        <v>11694</v>
      </c>
      <c r="C8947" t="s">
        <v>213</v>
      </c>
      <c r="D8947" s="1" t="s">
        <v>11695</v>
      </c>
    </row>
    <row r="8948" spans="1:4" hidden="1" x14ac:dyDescent="0.3">
      <c r="A8948">
        <v>8946</v>
      </c>
      <c r="B8948" t="s">
        <v>11696</v>
      </c>
      <c r="C8948" t="s">
        <v>216</v>
      </c>
      <c r="D8948">
        <v>77056739.573287696</v>
      </c>
    </row>
    <row r="8949" spans="1:4" hidden="1" x14ac:dyDescent="0.3">
      <c r="A8949">
        <v>8947</v>
      </c>
      <c r="B8949" t="s">
        <v>11697</v>
      </c>
      <c r="C8949" t="s">
        <v>218</v>
      </c>
      <c r="D8949">
        <v>38828580.179055199</v>
      </c>
    </row>
    <row r="8950" spans="1:4" hidden="1" x14ac:dyDescent="0.3">
      <c r="A8950">
        <v>8948</v>
      </c>
      <c r="B8950" t="s">
        <v>11698</v>
      </c>
      <c r="C8950" t="s">
        <v>220</v>
      </c>
      <c r="D8950">
        <v>27823013.1459045</v>
      </c>
    </row>
    <row r="8951" spans="1:4" hidden="1" x14ac:dyDescent="0.3">
      <c r="A8951">
        <v>8949</v>
      </c>
      <c r="B8951" s="1" t="s">
        <v>11699</v>
      </c>
      <c r="C8951" t="s">
        <v>222</v>
      </c>
      <c r="D8951" s="1" t="s">
        <v>11700</v>
      </c>
    </row>
    <row r="8952" spans="1:4" hidden="1" x14ac:dyDescent="0.3">
      <c r="A8952">
        <v>8950</v>
      </c>
      <c r="B8952" t="s">
        <v>11701</v>
      </c>
      <c r="C8952" t="s">
        <v>225</v>
      </c>
      <c r="D8952">
        <v>101170308.97939301</v>
      </c>
    </row>
    <row r="8953" spans="1:4" hidden="1" x14ac:dyDescent="0.3">
      <c r="A8953">
        <v>8951</v>
      </c>
      <c r="B8953" t="s">
        <v>11702</v>
      </c>
      <c r="C8953" t="s">
        <v>227</v>
      </c>
      <c r="D8953">
        <v>1895.133486256</v>
      </c>
    </row>
    <row r="8954" spans="1:4" hidden="1" x14ac:dyDescent="0.3">
      <c r="A8954">
        <v>8952</v>
      </c>
      <c r="B8954" s="1" t="s">
        <v>11703</v>
      </c>
      <c r="C8954" t="s">
        <v>229</v>
      </c>
      <c r="D8954" s="1" t="s">
        <v>11704</v>
      </c>
    </row>
    <row r="8955" spans="1:4" hidden="1" x14ac:dyDescent="0.3">
      <c r="A8955">
        <v>8953</v>
      </c>
      <c r="B8955" t="s">
        <v>11705</v>
      </c>
      <c r="C8955" t="s">
        <v>112</v>
      </c>
      <c r="D8955">
        <v>-452.70993182078303</v>
      </c>
    </row>
    <row r="8956" spans="1:4" hidden="1" x14ac:dyDescent="0.3">
      <c r="A8956">
        <v>8954</v>
      </c>
      <c r="B8956" t="s">
        <v>11706</v>
      </c>
      <c r="C8956" t="s">
        <v>114</v>
      </c>
      <c r="D8956">
        <v>-134.962384178885</v>
      </c>
    </row>
    <row r="8957" spans="1:4" hidden="1" x14ac:dyDescent="0.3">
      <c r="A8957">
        <v>8955</v>
      </c>
      <c r="B8957" s="1" t="s">
        <v>11707</v>
      </c>
      <c r="C8957" t="s">
        <v>116</v>
      </c>
      <c r="D8957" s="1" t="s">
        <v>11708</v>
      </c>
    </row>
    <row r="8958" spans="1:4" hidden="1" x14ac:dyDescent="0.3">
      <c r="A8958">
        <v>8956</v>
      </c>
      <c r="B8958" t="s">
        <v>11709</v>
      </c>
      <c r="C8958" t="s">
        <v>119</v>
      </c>
      <c r="D8958">
        <v>77056739.573287696</v>
      </c>
    </row>
    <row r="8959" spans="1:4" hidden="1" x14ac:dyDescent="0.3">
      <c r="A8959">
        <v>8957</v>
      </c>
      <c r="B8959" t="s">
        <v>11710</v>
      </c>
      <c r="C8959" t="s">
        <v>121</v>
      </c>
      <c r="D8959">
        <v>38828580.179055199</v>
      </c>
    </row>
    <row r="8960" spans="1:4" hidden="1" x14ac:dyDescent="0.3">
      <c r="A8960">
        <v>8958</v>
      </c>
      <c r="B8960" s="1" t="s">
        <v>11711</v>
      </c>
      <c r="C8960" t="s">
        <v>123</v>
      </c>
      <c r="D8960" s="1" t="s">
        <v>11712</v>
      </c>
    </row>
    <row r="8961" spans="1:4" hidden="1" x14ac:dyDescent="0.3">
      <c r="A8961">
        <v>8959</v>
      </c>
      <c r="B8961" t="s">
        <v>11713</v>
      </c>
      <c r="C8961" t="s">
        <v>126</v>
      </c>
      <c r="D8961">
        <v>0.76152140465242302</v>
      </c>
    </row>
    <row r="8962" spans="1:4" hidden="1" x14ac:dyDescent="0.3">
      <c r="A8962">
        <v>8960</v>
      </c>
      <c r="B8962" t="s">
        <v>11714</v>
      </c>
      <c r="C8962" t="s">
        <v>128</v>
      </c>
      <c r="D8962">
        <v>0.38372756338192598</v>
      </c>
    </row>
    <row r="8963" spans="1:4" hidden="1" x14ac:dyDescent="0.3">
      <c r="A8963">
        <v>8961</v>
      </c>
      <c r="B8963" s="1" t="s">
        <v>11715</v>
      </c>
      <c r="C8963" t="s">
        <v>130</v>
      </c>
      <c r="D8963" s="1" t="s">
        <v>11716</v>
      </c>
    </row>
    <row r="8964" spans="1:4" hidden="1" x14ac:dyDescent="0.3">
      <c r="A8964">
        <v>8962</v>
      </c>
      <c r="B8964" s="1" t="s">
        <v>11717</v>
      </c>
      <c r="C8964" t="s">
        <v>4</v>
      </c>
      <c r="D8964" t="s">
        <v>11718</v>
      </c>
    </row>
    <row r="8965" spans="1:4" hidden="1" x14ac:dyDescent="0.3">
      <c r="A8965">
        <v>8963</v>
      </c>
      <c r="B8965" t="s">
        <v>11719</v>
      </c>
      <c r="C8965" t="s">
        <v>7</v>
      </c>
      <c r="D8965">
        <v>1788.61</v>
      </c>
    </row>
    <row r="8966" spans="1:4" hidden="1" x14ac:dyDescent="0.3">
      <c r="A8966">
        <v>8964</v>
      </c>
      <c r="B8966" s="1" t="s">
        <v>11720</v>
      </c>
      <c r="C8966" t="s">
        <v>9</v>
      </c>
      <c r="D8966" s="1" t="s">
        <v>11721</v>
      </c>
    </row>
    <row r="8967" spans="1:4" hidden="1" x14ac:dyDescent="0.3">
      <c r="A8967">
        <v>8965</v>
      </c>
      <c r="B8967" t="s">
        <v>11722</v>
      </c>
      <c r="C8967" t="s">
        <v>14</v>
      </c>
      <c r="D8967">
        <v>96.55078125</v>
      </c>
    </row>
    <row r="8968" spans="1:4" hidden="1" x14ac:dyDescent="0.3">
      <c r="A8968">
        <v>8966</v>
      </c>
      <c r="B8968" t="s">
        <v>11723</v>
      </c>
      <c r="C8968" t="s">
        <v>16</v>
      </c>
      <c r="D8968">
        <v>4.3723615757271999</v>
      </c>
    </row>
    <row r="8969" spans="1:4" hidden="1" x14ac:dyDescent="0.3">
      <c r="A8969">
        <v>8967</v>
      </c>
      <c r="B8969" s="1" t="s">
        <v>11724</v>
      </c>
      <c r="C8969" t="s">
        <v>140</v>
      </c>
      <c r="D8969" s="1" t="s">
        <v>11725</v>
      </c>
    </row>
    <row r="8970" spans="1:4" hidden="1" x14ac:dyDescent="0.3">
      <c r="A8970">
        <v>8968</v>
      </c>
      <c r="B8970" t="s">
        <v>11726</v>
      </c>
      <c r="C8970" t="s">
        <v>22</v>
      </c>
      <c r="D8970">
        <v>70.75</v>
      </c>
    </row>
    <row r="8971" spans="1:4" hidden="1" x14ac:dyDescent="0.3">
      <c r="A8971">
        <v>8969</v>
      </c>
      <c r="B8971" t="s">
        <v>11727</v>
      </c>
      <c r="C8971" t="s">
        <v>24</v>
      </c>
      <c r="D8971">
        <v>6.3914176518207402</v>
      </c>
    </row>
    <row r="8972" spans="1:4" hidden="1" x14ac:dyDescent="0.3">
      <c r="A8972">
        <v>8970</v>
      </c>
      <c r="B8972" s="1" t="s">
        <v>11728</v>
      </c>
      <c r="C8972" t="s">
        <v>145</v>
      </c>
      <c r="D8972" s="1" t="s">
        <v>11729</v>
      </c>
    </row>
    <row r="8973" spans="1:4" hidden="1" x14ac:dyDescent="0.3">
      <c r="A8973">
        <v>8971</v>
      </c>
      <c r="B8973" t="s">
        <v>11730</v>
      </c>
      <c r="C8973" t="s">
        <v>35</v>
      </c>
      <c r="D8973">
        <v>0.20433408180926799</v>
      </c>
    </row>
    <row r="8974" spans="1:4" hidden="1" x14ac:dyDescent="0.3">
      <c r="A8974">
        <v>8972</v>
      </c>
      <c r="B8974" t="s">
        <v>11731</v>
      </c>
      <c r="C8974" t="s">
        <v>149</v>
      </c>
      <c r="D8974">
        <v>0.71328161619463804</v>
      </c>
    </row>
    <row r="8975" spans="1:4" hidden="1" x14ac:dyDescent="0.3">
      <c r="A8975">
        <v>8973</v>
      </c>
      <c r="B8975" s="1" t="s">
        <v>11732</v>
      </c>
      <c r="C8975" t="s">
        <v>151</v>
      </c>
      <c r="D8975" s="1" t="s">
        <v>11733</v>
      </c>
    </row>
    <row r="8976" spans="1:4" hidden="1" x14ac:dyDescent="0.3">
      <c r="A8976">
        <v>8974</v>
      </c>
      <c r="B8976" t="s">
        <v>11734</v>
      </c>
      <c r="C8976" t="s">
        <v>30</v>
      </c>
      <c r="D8976">
        <v>0.31187413980686002</v>
      </c>
    </row>
    <row r="8977" spans="1:4" hidden="1" x14ac:dyDescent="0.3">
      <c r="A8977">
        <v>8975</v>
      </c>
      <c r="B8977" t="s">
        <v>11735</v>
      </c>
      <c r="C8977" t="s">
        <v>32</v>
      </c>
      <c r="D8977">
        <v>0.20776994129037701</v>
      </c>
    </row>
    <row r="8978" spans="1:4" hidden="1" x14ac:dyDescent="0.3">
      <c r="A8978">
        <v>8976</v>
      </c>
      <c r="B8978" s="1" t="s">
        <v>11736</v>
      </c>
      <c r="C8978" t="s">
        <v>155</v>
      </c>
      <c r="D8978" s="1" t="s">
        <v>11737</v>
      </c>
    </row>
    <row r="8979" spans="1:4" hidden="1" x14ac:dyDescent="0.3">
      <c r="A8979">
        <v>8977</v>
      </c>
      <c r="B8979" t="s">
        <v>11738</v>
      </c>
      <c r="C8979" t="s">
        <v>40</v>
      </c>
      <c r="D8979">
        <v>0.483791778383871</v>
      </c>
    </row>
    <row r="8980" spans="1:4" hidden="1" x14ac:dyDescent="0.3">
      <c r="A8980">
        <v>8978</v>
      </c>
      <c r="B8980" t="s">
        <v>11739</v>
      </c>
      <c r="C8980" t="s">
        <v>42</v>
      </c>
      <c r="D8980">
        <v>0.194200861399037</v>
      </c>
    </row>
    <row r="8981" spans="1:4" hidden="1" x14ac:dyDescent="0.3">
      <c r="A8981">
        <v>8979</v>
      </c>
      <c r="B8981" s="1" t="s">
        <v>11740</v>
      </c>
      <c r="C8981" t="s">
        <v>159</v>
      </c>
      <c r="D8981" s="1" t="s">
        <v>11741</v>
      </c>
    </row>
    <row r="8982" spans="1:4" hidden="1" x14ac:dyDescent="0.3">
      <c r="A8982">
        <v>8980</v>
      </c>
      <c r="B8982" t="s">
        <v>11742</v>
      </c>
      <c r="C8982" t="s">
        <v>161</v>
      </c>
      <c r="D8982">
        <v>0.99969259317221404</v>
      </c>
    </row>
    <row r="8983" spans="1:4" hidden="1" x14ac:dyDescent="0.3">
      <c r="A8983">
        <v>8981</v>
      </c>
      <c r="B8983" t="s">
        <v>11743</v>
      </c>
      <c r="C8983" t="s">
        <v>163</v>
      </c>
      <c r="D8983">
        <v>0.99959812702970297</v>
      </c>
    </row>
    <row r="8984" spans="1:4" hidden="1" x14ac:dyDescent="0.3">
      <c r="A8984">
        <v>8982</v>
      </c>
      <c r="B8984" s="1" t="s">
        <v>11744</v>
      </c>
      <c r="C8984" t="s">
        <v>165</v>
      </c>
      <c r="D8984" s="1" t="s">
        <v>11745</v>
      </c>
    </row>
    <row r="8985" spans="1:4" hidden="1" x14ac:dyDescent="0.3">
      <c r="A8985">
        <v>8983</v>
      </c>
      <c r="B8985" t="s">
        <v>11746</v>
      </c>
      <c r="C8985" t="s">
        <v>168</v>
      </c>
      <c r="D8985">
        <v>0.99920276754376103</v>
      </c>
    </row>
    <row r="8986" spans="1:4" hidden="1" x14ac:dyDescent="0.3">
      <c r="A8986">
        <v>8984</v>
      </c>
      <c r="B8986" t="s">
        <v>11747</v>
      </c>
      <c r="C8986" t="s">
        <v>170</v>
      </c>
      <c r="D8986">
        <v>1.0002912126485699</v>
      </c>
    </row>
    <row r="8987" spans="1:4" hidden="1" x14ac:dyDescent="0.3">
      <c r="A8987">
        <v>8985</v>
      </c>
      <c r="B8987" s="1" t="s">
        <v>11748</v>
      </c>
      <c r="C8987" t="s">
        <v>172</v>
      </c>
      <c r="D8987" s="1" t="s">
        <v>11749</v>
      </c>
    </row>
    <row r="8988" spans="1:4" hidden="1" x14ac:dyDescent="0.3">
      <c r="A8988">
        <v>8986</v>
      </c>
      <c r="B8988" s="1" t="s">
        <v>11750</v>
      </c>
      <c r="C8988" t="s">
        <v>55</v>
      </c>
      <c r="D8988" s="1" t="s">
        <v>11751</v>
      </c>
    </row>
    <row r="8989" spans="1:4" hidden="1" x14ac:dyDescent="0.3">
      <c r="A8989">
        <v>8987</v>
      </c>
      <c r="B8989" s="1" t="s">
        <v>11752</v>
      </c>
      <c r="C8989" t="s">
        <v>52</v>
      </c>
      <c r="D8989" s="1" t="s">
        <v>11753</v>
      </c>
    </row>
    <row r="8990" spans="1:4" hidden="1" x14ac:dyDescent="0.3">
      <c r="A8990">
        <v>8988</v>
      </c>
      <c r="B8990" s="1" t="s">
        <v>11754</v>
      </c>
      <c r="C8990" t="s">
        <v>58</v>
      </c>
      <c r="D8990" s="1" t="s">
        <v>11755</v>
      </c>
    </row>
    <row r="8991" spans="1:4" hidden="1" x14ac:dyDescent="0.3">
      <c r="A8991">
        <v>8989</v>
      </c>
      <c r="B8991" t="s">
        <v>11756</v>
      </c>
      <c r="C8991" t="s">
        <v>61</v>
      </c>
      <c r="D8991">
        <v>143988332.67872399</v>
      </c>
    </row>
    <row r="8992" spans="1:4" hidden="1" x14ac:dyDescent="0.3">
      <c r="A8992">
        <v>8990</v>
      </c>
      <c r="B8992" t="s">
        <v>11757</v>
      </c>
      <c r="C8992" t="s">
        <v>63</v>
      </c>
      <c r="D8992">
        <v>77033051.805416003</v>
      </c>
    </row>
    <row r="8993" spans="1:4" hidden="1" x14ac:dyDescent="0.3">
      <c r="A8993">
        <v>8991</v>
      </c>
      <c r="B8993" t="s">
        <v>11758</v>
      </c>
      <c r="C8993" t="s">
        <v>65</v>
      </c>
      <c r="D8993">
        <v>38812976.022206202</v>
      </c>
    </row>
    <row r="8994" spans="1:4" hidden="1" x14ac:dyDescent="0.3">
      <c r="A8994">
        <v>8992</v>
      </c>
      <c r="B8994" s="1" t="s">
        <v>11759</v>
      </c>
      <c r="C8994" t="s">
        <v>67</v>
      </c>
      <c r="D8994" s="1" t="s">
        <v>11760</v>
      </c>
    </row>
    <row r="8995" spans="1:4" hidden="1" x14ac:dyDescent="0.3">
      <c r="A8995">
        <v>8993</v>
      </c>
      <c r="B8995" s="1" t="s">
        <v>11761</v>
      </c>
      <c r="C8995" t="s">
        <v>70</v>
      </c>
      <c r="D8995" s="1" t="s">
        <v>11762</v>
      </c>
    </row>
    <row r="8996" spans="1:4" hidden="1" x14ac:dyDescent="0.3">
      <c r="A8996">
        <v>8994</v>
      </c>
      <c r="B8996" t="s">
        <v>11763</v>
      </c>
      <c r="C8996" t="s">
        <v>73</v>
      </c>
      <c r="D8996">
        <v>1.00017371738342</v>
      </c>
    </row>
    <row r="8997" spans="1:4" hidden="1" x14ac:dyDescent="0.3">
      <c r="A8997">
        <v>8995</v>
      </c>
      <c r="B8997" t="s">
        <v>74</v>
      </c>
      <c r="C8997" t="s">
        <v>75</v>
      </c>
      <c r="D8997">
        <v>2.7397260273972599E-3</v>
      </c>
    </row>
    <row r="8998" spans="1:4" hidden="1" x14ac:dyDescent="0.3">
      <c r="A8998">
        <v>8996</v>
      </c>
      <c r="B8998" t="s">
        <v>76</v>
      </c>
      <c r="C8998" t="s">
        <v>77</v>
      </c>
      <c r="D8998">
        <v>0</v>
      </c>
    </row>
    <row r="8999" spans="1:4" hidden="1" x14ac:dyDescent="0.3">
      <c r="A8999">
        <v>8997</v>
      </c>
      <c r="B8999" t="s">
        <v>78</v>
      </c>
      <c r="C8999" t="s">
        <v>79</v>
      </c>
      <c r="D8999">
        <v>0</v>
      </c>
    </row>
    <row r="9000" spans="1:4" hidden="1" x14ac:dyDescent="0.3">
      <c r="A9000">
        <v>8998</v>
      </c>
      <c r="B9000" s="1" t="s">
        <v>11764</v>
      </c>
      <c r="C9000" t="s">
        <v>81</v>
      </c>
      <c r="D9000" s="1" t="s">
        <v>11765</v>
      </c>
    </row>
    <row r="9001" spans="1:4" hidden="1" x14ac:dyDescent="0.3">
      <c r="A9001">
        <v>8999</v>
      </c>
      <c r="B9001" t="s">
        <v>11766</v>
      </c>
      <c r="C9001" t="s">
        <v>84</v>
      </c>
      <c r="D9001">
        <v>1.0001874126736701</v>
      </c>
    </row>
    <row r="9002" spans="1:4" hidden="1" x14ac:dyDescent="0.3">
      <c r="A9002">
        <v>9000</v>
      </c>
      <c r="B9002" s="1" t="s">
        <v>11767</v>
      </c>
      <c r="C9002" t="s">
        <v>86</v>
      </c>
      <c r="D9002" s="1" t="s">
        <v>11768</v>
      </c>
    </row>
    <row r="9003" spans="1:4" hidden="1" x14ac:dyDescent="0.3">
      <c r="A9003">
        <v>9001</v>
      </c>
      <c r="B9003" t="s">
        <v>11769</v>
      </c>
      <c r="C9003" t="s">
        <v>89</v>
      </c>
      <c r="D9003">
        <v>101170818.78980599</v>
      </c>
    </row>
    <row r="9004" spans="1:4" hidden="1" x14ac:dyDescent="0.3">
      <c r="A9004">
        <v>9002</v>
      </c>
      <c r="B9004" s="1" t="s">
        <v>11770</v>
      </c>
      <c r="C9004" t="s">
        <v>91</v>
      </c>
      <c r="D9004" s="1" t="s">
        <v>11704</v>
      </c>
    </row>
    <row r="9005" spans="1:4" hidden="1" x14ac:dyDescent="0.3">
      <c r="A9005">
        <v>9003</v>
      </c>
      <c r="B9005" t="s">
        <v>11771</v>
      </c>
      <c r="C9005" t="s">
        <v>94</v>
      </c>
      <c r="D9005">
        <v>77033051.805416003</v>
      </c>
    </row>
    <row r="9006" spans="1:4" hidden="1" x14ac:dyDescent="0.3">
      <c r="A9006">
        <v>9004</v>
      </c>
      <c r="B9006" t="s">
        <v>11772</v>
      </c>
      <c r="C9006" t="s">
        <v>96</v>
      </c>
      <c r="D9006">
        <v>38812976.022206202</v>
      </c>
    </row>
    <row r="9007" spans="1:4" hidden="1" x14ac:dyDescent="0.3">
      <c r="A9007">
        <v>9005</v>
      </c>
      <c r="B9007" t="s">
        <v>11773</v>
      </c>
      <c r="C9007" t="s">
        <v>98</v>
      </c>
      <c r="D9007">
        <v>28142304.8511023</v>
      </c>
    </row>
    <row r="9008" spans="1:4" hidden="1" x14ac:dyDescent="0.3">
      <c r="A9008">
        <v>9006</v>
      </c>
      <c r="B9008" s="1" t="s">
        <v>11774</v>
      </c>
      <c r="C9008" t="s">
        <v>100</v>
      </c>
      <c r="D9008" s="1" t="s">
        <v>11775</v>
      </c>
    </row>
    <row r="9009" spans="1:4" hidden="1" x14ac:dyDescent="0.3">
      <c r="A9009">
        <v>9007</v>
      </c>
      <c r="B9009" t="s">
        <v>11776</v>
      </c>
      <c r="C9009" t="s">
        <v>103</v>
      </c>
      <c r="D9009">
        <v>8.0186289378870197E-3</v>
      </c>
    </row>
    <row r="9010" spans="1:4" hidden="1" x14ac:dyDescent="0.3">
      <c r="A9010">
        <v>9008</v>
      </c>
      <c r="B9010" t="s">
        <v>11777</v>
      </c>
      <c r="C9010" t="s">
        <v>105</v>
      </c>
      <c r="D9010">
        <v>1.48473381284102E-3</v>
      </c>
    </row>
    <row r="9011" spans="1:4" hidden="1" x14ac:dyDescent="0.3">
      <c r="A9011">
        <v>9009</v>
      </c>
      <c r="B9011" t="s">
        <v>11778</v>
      </c>
      <c r="C9011" t="s">
        <v>107</v>
      </c>
      <c r="D9011">
        <v>1.01317822219501E-2</v>
      </c>
    </row>
    <row r="9012" spans="1:4" hidden="1" x14ac:dyDescent="0.3">
      <c r="A9012">
        <v>9010</v>
      </c>
      <c r="B9012" s="1" t="s">
        <v>11779</v>
      </c>
      <c r="C9012" t="s">
        <v>109</v>
      </c>
      <c r="D9012" s="1" t="s">
        <v>11780</v>
      </c>
    </row>
    <row r="9013" spans="1:4" x14ac:dyDescent="0.3">
      <c r="A9013">
        <v>9011</v>
      </c>
      <c r="B9013" t="s">
        <v>11781</v>
      </c>
      <c r="C9013" t="s">
        <v>207</v>
      </c>
      <c r="D9013">
        <v>143988812.94263399</v>
      </c>
    </row>
    <row r="9014" spans="1:4" hidden="1" x14ac:dyDescent="0.3">
      <c r="A9014">
        <v>9012</v>
      </c>
      <c r="B9014" t="s">
        <v>11782</v>
      </c>
      <c r="C9014" t="s">
        <v>209</v>
      </c>
      <c r="D9014">
        <v>-1054.81147098972</v>
      </c>
    </row>
    <row r="9015" spans="1:4" hidden="1" x14ac:dyDescent="0.3">
      <c r="A9015">
        <v>9013</v>
      </c>
      <c r="B9015" t="s">
        <v>11783</v>
      </c>
      <c r="C9015" t="s">
        <v>211</v>
      </c>
      <c r="D9015">
        <v>-531.46402600384295</v>
      </c>
    </row>
    <row r="9016" spans="1:4" hidden="1" x14ac:dyDescent="0.3">
      <c r="A9016">
        <v>9014</v>
      </c>
      <c r="B9016" s="1" t="s">
        <v>11784</v>
      </c>
      <c r="C9016" t="s">
        <v>213</v>
      </c>
      <c r="D9016" s="1" t="s">
        <v>11785</v>
      </c>
    </row>
    <row r="9017" spans="1:4" hidden="1" x14ac:dyDescent="0.3">
      <c r="A9017">
        <v>9015</v>
      </c>
      <c r="B9017" t="s">
        <v>11786</v>
      </c>
      <c r="C9017" t="s">
        <v>216</v>
      </c>
      <c r="D9017">
        <v>77034450.323733807</v>
      </c>
    </row>
    <row r="9018" spans="1:4" hidden="1" x14ac:dyDescent="0.3">
      <c r="A9018">
        <v>9016</v>
      </c>
      <c r="B9018" t="s">
        <v>11787</v>
      </c>
      <c r="C9018" t="s">
        <v>218</v>
      </c>
      <c r="D9018">
        <v>38813608.1527723</v>
      </c>
    </row>
    <row r="9019" spans="1:4" hidden="1" x14ac:dyDescent="0.3">
      <c r="A9019">
        <v>9017</v>
      </c>
      <c r="B9019" t="s">
        <v>11788</v>
      </c>
      <c r="C9019" t="s">
        <v>220</v>
      </c>
      <c r="D9019">
        <v>28142726.092208099</v>
      </c>
    </row>
    <row r="9020" spans="1:4" hidden="1" x14ac:dyDescent="0.3">
      <c r="A9020">
        <v>9018</v>
      </c>
      <c r="B9020" s="1" t="s">
        <v>11789</v>
      </c>
      <c r="C9020" t="s">
        <v>222</v>
      </c>
      <c r="D9020" s="1" t="s">
        <v>11790</v>
      </c>
    </row>
    <row r="9021" spans="1:4" hidden="1" x14ac:dyDescent="0.3">
      <c r="A9021">
        <v>9019</v>
      </c>
      <c r="B9021" t="s">
        <v>11791</v>
      </c>
      <c r="C9021" t="s">
        <v>225</v>
      </c>
      <c r="D9021">
        <v>101172204.11287899</v>
      </c>
    </row>
    <row r="9022" spans="1:4" hidden="1" x14ac:dyDescent="0.3">
      <c r="A9022">
        <v>9020</v>
      </c>
      <c r="B9022" t="s">
        <v>11792</v>
      </c>
      <c r="C9022" t="s">
        <v>227</v>
      </c>
      <c r="D9022">
        <v>-1385.32307292521</v>
      </c>
    </row>
    <row r="9023" spans="1:4" hidden="1" x14ac:dyDescent="0.3">
      <c r="A9023">
        <v>9021</v>
      </c>
      <c r="B9023" s="1" t="s">
        <v>11793</v>
      </c>
      <c r="C9023" t="s">
        <v>229</v>
      </c>
      <c r="D9023" s="1" t="s">
        <v>11794</v>
      </c>
    </row>
    <row r="9024" spans="1:4" hidden="1" x14ac:dyDescent="0.3">
      <c r="A9024">
        <v>9022</v>
      </c>
      <c r="B9024" t="s">
        <v>11795</v>
      </c>
      <c r="C9024" t="s">
        <v>112</v>
      </c>
      <c r="D9024">
        <v>343.70684682854898</v>
      </c>
    </row>
    <row r="9025" spans="1:4" hidden="1" x14ac:dyDescent="0.3">
      <c r="A9025">
        <v>9023</v>
      </c>
      <c r="B9025" t="s">
        <v>11796</v>
      </c>
      <c r="C9025" t="s">
        <v>114</v>
      </c>
      <c r="D9025">
        <v>100.666540114171</v>
      </c>
    </row>
    <row r="9026" spans="1:4" hidden="1" x14ac:dyDescent="0.3">
      <c r="A9026">
        <v>9024</v>
      </c>
      <c r="B9026" s="1" t="s">
        <v>11797</v>
      </c>
      <c r="C9026" t="s">
        <v>116</v>
      </c>
      <c r="D9026" s="1" t="s">
        <v>11798</v>
      </c>
    </row>
    <row r="9027" spans="1:4" hidden="1" x14ac:dyDescent="0.3">
      <c r="A9027">
        <v>9025</v>
      </c>
      <c r="B9027" t="s">
        <v>11799</v>
      </c>
      <c r="C9027" t="s">
        <v>119</v>
      </c>
      <c r="D9027">
        <v>77034450.323733807</v>
      </c>
    </row>
    <row r="9028" spans="1:4" hidden="1" x14ac:dyDescent="0.3">
      <c r="A9028">
        <v>9026</v>
      </c>
      <c r="B9028" t="s">
        <v>11800</v>
      </c>
      <c r="C9028" t="s">
        <v>121</v>
      </c>
      <c r="D9028">
        <v>38813608.1527723</v>
      </c>
    </row>
    <row r="9029" spans="1:4" hidden="1" x14ac:dyDescent="0.3">
      <c r="A9029">
        <v>9027</v>
      </c>
      <c r="B9029" s="1" t="s">
        <v>11801</v>
      </c>
      <c r="C9029" t="s">
        <v>123</v>
      </c>
      <c r="D9029" s="1" t="s">
        <v>11802</v>
      </c>
    </row>
    <row r="9030" spans="1:4" hidden="1" x14ac:dyDescent="0.3">
      <c r="A9030">
        <v>9028</v>
      </c>
      <c r="B9030" t="s">
        <v>11803</v>
      </c>
      <c r="C9030" t="s">
        <v>126</v>
      </c>
      <c r="D9030">
        <v>0.761276444177441</v>
      </c>
    </row>
    <row r="9031" spans="1:4" hidden="1" x14ac:dyDescent="0.3">
      <c r="A9031">
        <v>9029</v>
      </c>
      <c r="B9031" t="s">
        <v>11804</v>
      </c>
      <c r="C9031" t="s">
        <v>128</v>
      </c>
      <c r="D9031">
        <v>0.383567163471218</v>
      </c>
    </row>
    <row r="9032" spans="1:4" hidden="1" x14ac:dyDescent="0.3">
      <c r="A9032">
        <v>9030</v>
      </c>
      <c r="B9032" s="1" t="s">
        <v>11805</v>
      </c>
      <c r="C9032" t="s">
        <v>130</v>
      </c>
      <c r="D9032" s="1" t="s">
        <v>11806</v>
      </c>
    </row>
    <row r="9033" spans="1:4" hidden="1" x14ac:dyDescent="0.3">
      <c r="A9033">
        <v>9031</v>
      </c>
      <c r="B9033" s="1" t="s">
        <v>11807</v>
      </c>
      <c r="C9033" t="s">
        <v>4</v>
      </c>
      <c r="D9033" t="s">
        <v>11808</v>
      </c>
    </row>
    <row r="9034" spans="1:4" hidden="1" x14ac:dyDescent="0.3">
      <c r="A9034">
        <v>9032</v>
      </c>
      <c r="B9034" t="s">
        <v>11809</v>
      </c>
      <c r="C9034" t="s">
        <v>7</v>
      </c>
      <c r="D9034">
        <v>1802.59</v>
      </c>
    </row>
    <row r="9035" spans="1:4" hidden="1" x14ac:dyDescent="0.3">
      <c r="A9035">
        <v>9033</v>
      </c>
      <c r="B9035" s="1" t="s">
        <v>11810</v>
      </c>
      <c r="C9035" t="s">
        <v>9</v>
      </c>
      <c r="D9035" s="1" t="s">
        <v>11811</v>
      </c>
    </row>
    <row r="9036" spans="1:4" hidden="1" x14ac:dyDescent="0.3">
      <c r="A9036">
        <v>9034</v>
      </c>
      <c r="B9036" t="s">
        <v>11812</v>
      </c>
      <c r="C9036" t="s">
        <v>14</v>
      </c>
      <c r="D9036">
        <v>97.22265625</v>
      </c>
    </row>
    <row r="9037" spans="1:4" hidden="1" x14ac:dyDescent="0.3">
      <c r="A9037">
        <v>9035</v>
      </c>
      <c r="B9037" t="s">
        <v>11813</v>
      </c>
      <c r="C9037" t="s">
        <v>16</v>
      </c>
      <c r="D9037">
        <v>4.3840213530819003</v>
      </c>
    </row>
    <row r="9038" spans="1:4" hidden="1" x14ac:dyDescent="0.3">
      <c r="A9038">
        <v>9036</v>
      </c>
      <c r="B9038" s="1" t="s">
        <v>11814</v>
      </c>
      <c r="C9038" t="s">
        <v>140</v>
      </c>
      <c r="D9038" s="1" t="s">
        <v>11815</v>
      </c>
    </row>
    <row r="9039" spans="1:4" hidden="1" x14ac:dyDescent="0.3">
      <c r="A9039">
        <v>9037</v>
      </c>
      <c r="B9039" t="s">
        <v>7601</v>
      </c>
      <c r="C9039" t="s">
        <v>22</v>
      </c>
      <c r="D9039">
        <v>69.3</v>
      </c>
    </row>
    <row r="9040" spans="1:4" hidden="1" x14ac:dyDescent="0.3">
      <c r="A9040">
        <v>9038</v>
      </c>
      <c r="B9040" t="s">
        <v>11816</v>
      </c>
      <c r="C9040" t="s">
        <v>24</v>
      </c>
      <c r="D9040">
        <v>6.5336234349126503</v>
      </c>
    </row>
    <row r="9041" spans="1:4" hidden="1" x14ac:dyDescent="0.3">
      <c r="A9041">
        <v>9039</v>
      </c>
      <c r="B9041" s="1" t="s">
        <v>11817</v>
      </c>
      <c r="C9041" t="s">
        <v>145</v>
      </c>
      <c r="D9041" s="1" t="s">
        <v>11818</v>
      </c>
    </row>
    <row r="9042" spans="1:4" hidden="1" x14ac:dyDescent="0.3">
      <c r="A9042">
        <v>9040</v>
      </c>
      <c r="B9042" t="s">
        <v>11819</v>
      </c>
      <c r="C9042" t="s">
        <v>35</v>
      </c>
      <c r="D9042">
        <v>-2.57287794122227</v>
      </c>
    </row>
    <row r="9043" spans="1:4" hidden="1" x14ac:dyDescent="0.3">
      <c r="A9043">
        <v>9041</v>
      </c>
      <c r="B9043" t="s">
        <v>11820</v>
      </c>
      <c r="C9043" t="s">
        <v>149</v>
      </c>
      <c r="D9043">
        <v>0.69537274240713098</v>
      </c>
    </row>
    <row r="9044" spans="1:4" hidden="1" x14ac:dyDescent="0.3">
      <c r="A9044">
        <v>9042</v>
      </c>
      <c r="B9044" s="1" t="s">
        <v>11821</v>
      </c>
      <c r="C9044" t="s">
        <v>151</v>
      </c>
      <c r="D9044" s="1" t="s">
        <v>11822</v>
      </c>
    </row>
    <row r="9045" spans="1:4" hidden="1" x14ac:dyDescent="0.3">
      <c r="A9045">
        <v>9043</v>
      </c>
      <c r="B9045" t="s">
        <v>11823</v>
      </c>
      <c r="C9045" t="s">
        <v>30</v>
      </c>
      <c r="D9045">
        <v>1.4083763886016301</v>
      </c>
    </row>
    <row r="9046" spans="1:4" hidden="1" x14ac:dyDescent="0.3">
      <c r="A9046">
        <v>9044</v>
      </c>
      <c r="B9046" t="s">
        <v>11824</v>
      </c>
      <c r="C9046" t="s">
        <v>32</v>
      </c>
      <c r="D9046">
        <v>0.22947479782555599</v>
      </c>
    </row>
    <row r="9047" spans="1:4" hidden="1" x14ac:dyDescent="0.3">
      <c r="A9047">
        <v>9045</v>
      </c>
      <c r="B9047" s="1" t="s">
        <v>11825</v>
      </c>
      <c r="C9047" t="s">
        <v>155</v>
      </c>
      <c r="D9047" s="1" t="s">
        <v>11826</v>
      </c>
    </row>
    <row r="9048" spans="1:4" hidden="1" x14ac:dyDescent="0.3">
      <c r="A9048">
        <v>9046</v>
      </c>
      <c r="B9048" t="s">
        <v>11827</v>
      </c>
      <c r="C9048" t="s">
        <v>40</v>
      </c>
      <c r="D9048">
        <v>2.1645015526206399</v>
      </c>
    </row>
    <row r="9049" spans="1:4" hidden="1" x14ac:dyDescent="0.3">
      <c r="A9049">
        <v>9047</v>
      </c>
      <c r="B9049" t="s">
        <v>11828</v>
      </c>
      <c r="C9049" t="s">
        <v>42</v>
      </c>
      <c r="D9049">
        <v>0.20860285321718999</v>
      </c>
    </row>
    <row r="9050" spans="1:4" hidden="1" x14ac:dyDescent="0.3">
      <c r="A9050">
        <v>9048</v>
      </c>
      <c r="B9050" s="1" t="s">
        <v>11829</v>
      </c>
      <c r="C9050" t="s">
        <v>159</v>
      </c>
      <c r="D9050" s="1" t="s">
        <v>11830</v>
      </c>
    </row>
    <row r="9051" spans="1:4" hidden="1" x14ac:dyDescent="0.3">
      <c r="A9051">
        <v>9049</v>
      </c>
      <c r="B9051" t="s">
        <v>11831</v>
      </c>
      <c r="C9051" t="s">
        <v>161</v>
      </c>
      <c r="D9051">
        <v>1.00781612537109</v>
      </c>
    </row>
    <row r="9052" spans="1:4" hidden="1" x14ac:dyDescent="0.3">
      <c r="A9052">
        <v>9050</v>
      </c>
      <c r="B9052" t="s">
        <v>11832</v>
      </c>
      <c r="C9052" t="s">
        <v>163</v>
      </c>
      <c r="D9052">
        <v>1.0067728249261401</v>
      </c>
    </row>
    <row r="9053" spans="1:4" hidden="1" x14ac:dyDescent="0.3">
      <c r="A9053">
        <v>9051</v>
      </c>
      <c r="B9053" s="1" t="s">
        <v>11833</v>
      </c>
      <c r="C9053" t="s">
        <v>165</v>
      </c>
      <c r="D9053" s="1" t="s">
        <v>11834</v>
      </c>
    </row>
    <row r="9054" spans="1:4" hidden="1" x14ac:dyDescent="0.3">
      <c r="A9054">
        <v>9052</v>
      </c>
      <c r="B9054" t="s">
        <v>11835</v>
      </c>
      <c r="C9054" t="s">
        <v>168</v>
      </c>
      <c r="D9054">
        <v>0.98954703440565395</v>
      </c>
    </row>
    <row r="9055" spans="1:4" hidden="1" x14ac:dyDescent="0.3">
      <c r="A9055">
        <v>9053</v>
      </c>
      <c r="B9055" t="s">
        <v>11836</v>
      </c>
      <c r="C9055" t="s">
        <v>170</v>
      </c>
      <c r="D9055">
        <v>1.0179710189773301</v>
      </c>
    </row>
    <row r="9056" spans="1:4" hidden="1" x14ac:dyDescent="0.3">
      <c r="A9056">
        <v>9054</v>
      </c>
      <c r="B9056" s="1" t="s">
        <v>11837</v>
      </c>
      <c r="C9056" t="s">
        <v>172</v>
      </c>
      <c r="D9056" s="1" t="s">
        <v>11838</v>
      </c>
    </row>
    <row r="9057" spans="1:4" hidden="1" x14ac:dyDescent="0.3">
      <c r="A9057">
        <v>9055</v>
      </c>
      <c r="B9057" s="1" t="s">
        <v>11839</v>
      </c>
      <c r="C9057" t="s">
        <v>55</v>
      </c>
      <c r="D9057" s="1" t="s">
        <v>11840</v>
      </c>
    </row>
    <row r="9058" spans="1:4" hidden="1" x14ac:dyDescent="0.3">
      <c r="A9058">
        <v>9056</v>
      </c>
      <c r="B9058" s="1" t="s">
        <v>11841</v>
      </c>
      <c r="C9058" t="s">
        <v>52</v>
      </c>
      <c r="D9058" s="1" t="s">
        <v>11842</v>
      </c>
    </row>
    <row r="9059" spans="1:4" hidden="1" x14ac:dyDescent="0.3">
      <c r="A9059">
        <v>9057</v>
      </c>
      <c r="B9059" s="1" t="s">
        <v>11843</v>
      </c>
      <c r="C9059" t="s">
        <v>58</v>
      </c>
      <c r="D9059" s="1" t="s">
        <v>11844</v>
      </c>
    </row>
    <row r="9060" spans="1:4" hidden="1" x14ac:dyDescent="0.3">
      <c r="A9060">
        <v>9058</v>
      </c>
      <c r="B9060" t="s">
        <v>11845</v>
      </c>
      <c r="C9060" t="s">
        <v>61</v>
      </c>
      <c r="D9060">
        <v>144378663.87684399</v>
      </c>
    </row>
    <row r="9061" spans="1:4" hidden="1" x14ac:dyDescent="0.3">
      <c r="A9061">
        <v>9059</v>
      </c>
      <c r="B9061" t="s">
        <v>11846</v>
      </c>
      <c r="C9061" t="s">
        <v>63</v>
      </c>
      <c r="D9061">
        <v>77636561.245357797</v>
      </c>
    </row>
    <row r="9062" spans="1:4" hidden="1" x14ac:dyDescent="0.3">
      <c r="A9062">
        <v>9060</v>
      </c>
      <c r="B9062" t="s">
        <v>11847</v>
      </c>
      <c r="C9062" t="s">
        <v>65</v>
      </c>
      <c r="D9062">
        <v>39076485.925542898</v>
      </c>
    </row>
    <row r="9063" spans="1:4" hidden="1" x14ac:dyDescent="0.3">
      <c r="A9063">
        <v>9061</v>
      </c>
      <c r="B9063" s="1" t="s">
        <v>11848</v>
      </c>
      <c r="C9063" t="s">
        <v>67</v>
      </c>
      <c r="D9063" s="1" t="s">
        <v>11849</v>
      </c>
    </row>
    <row r="9064" spans="1:4" hidden="1" x14ac:dyDescent="0.3">
      <c r="A9064">
        <v>9062</v>
      </c>
      <c r="B9064" s="1" t="s">
        <v>11850</v>
      </c>
      <c r="C9064" t="s">
        <v>70</v>
      </c>
      <c r="D9064" s="1" t="s">
        <v>11851</v>
      </c>
    </row>
    <row r="9065" spans="1:4" hidden="1" x14ac:dyDescent="0.3">
      <c r="A9065">
        <v>9063</v>
      </c>
      <c r="B9065" t="s">
        <v>11852</v>
      </c>
      <c r="C9065" t="s">
        <v>73</v>
      </c>
      <c r="D9065">
        <v>1.0001874126736701</v>
      </c>
    </row>
    <row r="9066" spans="1:4" hidden="1" x14ac:dyDescent="0.3">
      <c r="A9066">
        <v>9064</v>
      </c>
      <c r="B9066" t="s">
        <v>74</v>
      </c>
      <c r="C9066" t="s">
        <v>75</v>
      </c>
      <c r="D9066">
        <v>2.7397260273972599E-3</v>
      </c>
    </row>
    <row r="9067" spans="1:4" hidden="1" x14ac:dyDescent="0.3">
      <c r="A9067">
        <v>9065</v>
      </c>
      <c r="B9067" t="s">
        <v>76</v>
      </c>
      <c r="C9067" t="s">
        <v>77</v>
      </c>
      <c r="D9067">
        <v>0</v>
      </c>
    </row>
    <row r="9068" spans="1:4" hidden="1" x14ac:dyDescent="0.3">
      <c r="A9068">
        <v>9066</v>
      </c>
      <c r="B9068" t="s">
        <v>78</v>
      </c>
      <c r="C9068" t="s">
        <v>79</v>
      </c>
      <c r="D9068">
        <v>0</v>
      </c>
    </row>
    <row r="9069" spans="1:4" hidden="1" x14ac:dyDescent="0.3">
      <c r="A9069">
        <v>9067</v>
      </c>
      <c r="B9069" s="1" t="s">
        <v>11853</v>
      </c>
      <c r="C9069" t="s">
        <v>81</v>
      </c>
      <c r="D9069" s="1" t="s">
        <v>11854</v>
      </c>
    </row>
    <row r="9070" spans="1:4" hidden="1" x14ac:dyDescent="0.3">
      <c r="A9070">
        <v>9068</v>
      </c>
      <c r="B9070" t="s">
        <v>11855</v>
      </c>
      <c r="C9070" t="s">
        <v>84</v>
      </c>
      <c r="D9070">
        <v>1.0002165781813901</v>
      </c>
    </row>
    <row r="9071" spans="1:4" hidden="1" x14ac:dyDescent="0.3">
      <c r="A9071">
        <v>9069</v>
      </c>
      <c r="B9071" s="1" t="s">
        <v>11856</v>
      </c>
      <c r="C9071" t="s">
        <v>86</v>
      </c>
      <c r="D9071" s="1" t="s">
        <v>11857</v>
      </c>
    </row>
    <row r="9072" spans="1:4" hidden="1" x14ac:dyDescent="0.3">
      <c r="A9072">
        <v>9070</v>
      </c>
      <c r="B9072" t="s">
        <v>11858</v>
      </c>
      <c r="C9072" t="s">
        <v>89</v>
      </c>
      <c r="D9072">
        <v>101167868.730428</v>
      </c>
    </row>
    <row r="9073" spans="1:4" hidden="1" x14ac:dyDescent="0.3">
      <c r="A9073">
        <v>9071</v>
      </c>
      <c r="B9073" s="1" t="s">
        <v>11859</v>
      </c>
      <c r="C9073" t="s">
        <v>91</v>
      </c>
      <c r="D9073" s="1" t="s">
        <v>11794</v>
      </c>
    </row>
    <row r="9074" spans="1:4" hidden="1" x14ac:dyDescent="0.3">
      <c r="A9074">
        <v>9072</v>
      </c>
      <c r="B9074" t="s">
        <v>11860</v>
      </c>
      <c r="C9074" t="s">
        <v>94</v>
      </c>
      <c r="D9074">
        <v>77636561.245357797</v>
      </c>
    </row>
    <row r="9075" spans="1:4" hidden="1" x14ac:dyDescent="0.3">
      <c r="A9075">
        <v>9073</v>
      </c>
      <c r="B9075" t="s">
        <v>11861</v>
      </c>
      <c r="C9075" t="s">
        <v>96</v>
      </c>
      <c r="D9075">
        <v>39076485.925542898</v>
      </c>
    </row>
    <row r="9076" spans="1:4" hidden="1" x14ac:dyDescent="0.3">
      <c r="A9076">
        <v>9074</v>
      </c>
      <c r="B9076" t="s">
        <v>11862</v>
      </c>
      <c r="C9076" t="s">
        <v>98</v>
      </c>
      <c r="D9076">
        <v>27665616.705943801</v>
      </c>
    </row>
    <row r="9077" spans="1:4" hidden="1" x14ac:dyDescent="0.3">
      <c r="A9077">
        <v>9075</v>
      </c>
      <c r="B9077" s="1" t="s">
        <v>11863</v>
      </c>
      <c r="C9077" t="s">
        <v>100</v>
      </c>
      <c r="D9077" s="1" t="s">
        <v>11864</v>
      </c>
    </row>
    <row r="9078" spans="1:4" hidden="1" x14ac:dyDescent="0.3">
      <c r="A9078">
        <v>9076</v>
      </c>
      <c r="B9078" t="s">
        <v>11865</v>
      </c>
      <c r="C9078" t="s">
        <v>103</v>
      </c>
      <c r="D9078">
        <v>8.0167886818126102E-3</v>
      </c>
    </row>
    <row r="9079" spans="1:4" hidden="1" x14ac:dyDescent="0.3">
      <c r="A9079">
        <v>9077</v>
      </c>
      <c r="B9079" t="s">
        <v>11866</v>
      </c>
      <c r="C9079" t="s">
        <v>105</v>
      </c>
      <c r="D9079">
        <v>1.6426857789925101E-3</v>
      </c>
    </row>
    <row r="9080" spans="1:4" hidden="1" x14ac:dyDescent="0.3">
      <c r="A9080">
        <v>9078</v>
      </c>
      <c r="B9080" t="s">
        <v>11867</v>
      </c>
      <c r="C9080" t="s">
        <v>107</v>
      </c>
      <c r="D9080">
        <v>1.0318573309767E-2</v>
      </c>
    </row>
    <row r="9081" spans="1:4" hidden="1" x14ac:dyDescent="0.3">
      <c r="A9081">
        <v>9079</v>
      </c>
      <c r="B9081" s="1" t="s">
        <v>11868</v>
      </c>
      <c r="C9081" t="s">
        <v>109</v>
      </c>
      <c r="D9081" s="1" t="s">
        <v>11869</v>
      </c>
    </row>
    <row r="9082" spans="1:4" x14ac:dyDescent="0.3">
      <c r="A9082">
        <v>9080</v>
      </c>
      <c r="B9082" t="s">
        <v>11870</v>
      </c>
      <c r="C9082" t="s">
        <v>207</v>
      </c>
      <c r="D9082">
        <v>144379684.429654</v>
      </c>
    </row>
    <row r="9083" spans="1:4" hidden="1" x14ac:dyDescent="0.3">
      <c r="A9083">
        <v>9081</v>
      </c>
      <c r="B9083" t="s">
        <v>11871</v>
      </c>
      <c r="C9083" t="s">
        <v>209</v>
      </c>
      <c r="D9083">
        <v>-2263.9061421497199</v>
      </c>
    </row>
    <row r="9084" spans="1:4" hidden="1" x14ac:dyDescent="0.3">
      <c r="A9084">
        <v>9082</v>
      </c>
      <c r="B9084" t="s">
        <v>11872</v>
      </c>
      <c r="C9084" t="s">
        <v>211</v>
      </c>
      <c r="D9084">
        <v>-1139.4779509387799</v>
      </c>
    </row>
    <row r="9085" spans="1:4" hidden="1" x14ac:dyDescent="0.3">
      <c r="A9085">
        <v>9083</v>
      </c>
      <c r="B9085" s="1" t="s">
        <v>11873</v>
      </c>
      <c r="C9085" t="s">
        <v>213</v>
      </c>
      <c r="D9085" s="1" t="s">
        <v>11874</v>
      </c>
    </row>
    <row r="9086" spans="1:4" hidden="1" x14ac:dyDescent="0.3">
      <c r="A9086">
        <v>9084</v>
      </c>
      <c r="B9086" t="s">
        <v>11875</v>
      </c>
      <c r="C9086" t="s">
        <v>216</v>
      </c>
      <c r="D9086">
        <v>77639534.902515605</v>
      </c>
    </row>
    <row r="9087" spans="1:4" hidden="1" x14ac:dyDescent="0.3">
      <c r="A9087">
        <v>9085</v>
      </c>
      <c r="B9087" t="s">
        <v>11876</v>
      </c>
      <c r="C9087" t="s">
        <v>218</v>
      </c>
      <c r="D9087">
        <v>39077829.462732203</v>
      </c>
    </row>
    <row r="9088" spans="1:4" hidden="1" x14ac:dyDescent="0.3">
      <c r="A9088">
        <v>9086</v>
      </c>
      <c r="B9088" t="s">
        <v>11877</v>
      </c>
      <c r="C9088" t="s">
        <v>220</v>
      </c>
      <c r="D9088">
        <v>27666530.182178199</v>
      </c>
    </row>
    <row r="9089" spans="1:4" hidden="1" x14ac:dyDescent="0.3">
      <c r="A9089">
        <v>9087</v>
      </c>
      <c r="B9089" s="1" t="s">
        <v>11878</v>
      </c>
      <c r="C9089" t="s">
        <v>222</v>
      </c>
      <c r="D9089" s="1" t="s">
        <v>11879</v>
      </c>
    </row>
    <row r="9090" spans="1:4" hidden="1" x14ac:dyDescent="0.3">
      <c r="A9090">
        <v>9088</v>
      </c>
      <c r="B9090" t="s">
        <v>11880</v>
      </c>
      <c r="C9090" t="s">
        <v>225</v>
      </c>
      <c r="D9090">
        <v>101170818.78980599</v>
      </c>
    </row>
    <row r="9091" spans="1:4" hidden="1" x14ac:dyDescent="0.3">
      <c r="A9091">
        <v>9089</v>
      </c>
      <c r="B9091" t="s">
        <v>11881</v>
      </c>
      <c r="C9091" t="s">
        <v>227</v>
      </c>
      <c r="D9091">
        <v>-2950.0593782812298</v>
      </c>
    </row>
    <row r="9092" spans="1:4" hidden="1" x14ac:dyDescent="0.3">
      <c r="A9092">
        <v>9090</v>
      </c>
      <c r="B9092" s="1" t="s">
        <v>11882</v>
      </c>
      <c r="C9092" t="s">
        <v>229</v>
      </c>
      <c r="D9092" s="1" t="s">
        <v>11883</v>
      </c>
    </row>
    <row r="9093" spans="1:4" hidden="1" x14ac:dyDescent="0.3">
      <c r="A9093">
        <v>9091</v>
      </c>
      <c r="B9093" t="s">
        <v>11884</v>
      </c>
      <c r="C9093" t="s">
        <v>112</v>
      </c>
      <c r="D9093">
        <v>709.75101572994902</v>
      </c>
    </row>
    <row r="9094" spans="1:4" hidden="1" x14ac:dyDescent="0.3">
      <c r="A9094">
        <v>9092</v>
      </c>
      <c r="B9094" t="s">
        <v>11885</v>
      </c>
      <c r="C9094" t="s">
        <v>114</v>
      </c>
      <c r="D9094">
        <v>204.05923833027001</v>
      </c>
    </row>
    <row r="9095" spans="1:4" hidden="1" x14ac:dyDescent="0.3">
      <c r="A9095">
        <v>9093</v>
      </c>
      <c r="B9095" s="1" t="s">
        <v>11886</v>
      </c>
      <c r="C9095" t="s">
        <v>116</v>
      </c>
      <c r="D9095" s="1" t="s">
        <v>11887</v>
      </c>
    </row>
    <row r="9096" spans="1:4" hidden="1" x14ac:dyDescent="0.3">
      <c r="A9096">
        <v>9094</v>
      </c>
      <c r="B9096" t="s">
        <v>11888</v>
      </c>
      <c r="C9096" t="s">
        <v>119</v>
      </c>
      <c r="D9096">
        <v>77639534.902515605</v>
      </c>
    </row>
    <row r="9097" spans="1:4" hidden="1" x14ac:dyDescent="0.3">
      <c r="A9097">
        <v>9095</v>
      </c>
      <c r="B9097" t="s">
        <v>11889</v>
      </c>
      <c r="C9097" t="s">
        <v>121</v>
      </c>
      <c r="D9097">
        <v>39077829.462732203</v>
      </c>
    </row>
    <row r="9098" spans="1:4" hidden="1" x14ac:dyDescent="0.3">
      <c r="A9098">
        <v>9096</v>
      </c>
      <c r="B9098" s="1" t="s">
        <v>11890</v>
      </c>
      <c r="C9098" t="s">
        <v>123</v>
      </c>
      <c r="D9098" s="1" t="s">
        <v>11891</v>
      </c>
    </row>
    <row r="9099" spans="1:4" hidden="1" x14ac:dyDescent="0.3">
      <c r="A9099">
        <v>9097</v>
      </c>
      <c r="B9099" t="s">
        <v>11892</v>
      </c>
      <c r="C9099" t="s">
        <v>126</v>
      </c>
      <c r="D9099">
        <v>0.76724419593254101</v>
      </c>
    </row>
    <row r="9100" spans="1:4" hidden="1" x14ac:dyDescent="0.3">
      <c r="A9100">
        <v>9098</v>
      </c>
      <c r="B9100" t="s">
        <v>11893</v>
      </c>
      <c r="C9100" t="s">
        <v>128</v>
      </c>
      <c r="D9100">
        <v>0.38617230103926697</v>
      </c>
    </row>
    <row r="9101" spans="1:4" hidden="1" x14ac:dyDescent="0.3">
      <c r="A9101">
        <v>9099</v>
      </c>
      <c r="B9101" s="1" t="s">
        <v>11894</v>
      </c>
      <c r="C9101" t="s">
        <v>130</v>
      </c>
      <c r="D9101" s="1" t="s">
        <v>11895</v>
      </c>
    </row>
    <row r="9102" spans="1:4" hidden="1" x14ac:dyDescent="0.3">
      <c r="A9102">
        <v>9100</v>
      </c>
      <c r="B9102" s="1" t="s">
        <v>11896</v>
      </c>
      <c r="C9102" t="s">
        <v>4</v>
      </c>
      <c r="D9102" t="s">
        <v>11897</v>
      </c>
    </row>
    <row r="9103" spans="1:4" hidden="1" x14ac:dyDescent="0.3">
      <c r="A9103">
        <v>9101</v>
      </c>
      <c r="B9103" t="s">
        <v>11898</v>
      </c>
      <c r="C9103" t="s">
        <v>7</v>
      </c>
      <c r="D9103">
        <v>1784.6</v>
      </c>
    </row>
    <row r="9104" spans="1:4" hidden="1" x14ac:dyDescent="0.3">
      <c r="A9104">
        <v>9102</v>
      </c>
      <c r="B9104" s="1" t="s">
        <v>11899</v>
      </c>
      <c r="C9104" t="s">
        <v>9</v>
      </c>
      <c r="D9104" s="1" t="s">
        <v>11900</v>
      </c>
    </row>
    <row r="9105" spans="1:4" hidden="1" x14ac:dyDescent="0.3">
      <c r="A9105">
        <v>9103</v>
      </c>
      <c r="B9105" t="s">
        <v>9482</v>
      </c>
      <c r="C9105" t="s">
        <v>14</v>
      </c>
      <c r="D9105">
        <v>97.30859375</v>
      </c>
    </row>
    <row r="9106" spans="1:4" hidden="1" x14ac:dyDescent="0.3">
      <c r="A9106">
        <v>9104</v>
      </c>
      <c r="B9106" t="s">
        <v>11901</v>
      </c>
      <c r="C9106" t="s">
        <v>16</v>
      </c>
      <c r="D9106">
        <v>4.3807797695273702</v>
      </c>
    </row>
    <row r="9107" spans="1:4" hidden="1" x14ac:dyDescent="0.3">
      <c r="A9107">
        <v>9105</v>
      </c>
      <c r="B9107" s="1" t="s">
        <v>11902</v>
      </c>
      <c r="C9107" t="s">
        <v>140</v>
      </c>
      <c r="D9107" s="1" t="s">
        <v>11903</v>
      </c>
    </row>
    <row r="9108" spans="1:4" hidden="1" x14ac:dyDescent="0.3">
      <c r="A9108">
        <v>9106</v>
      </c>
      <c r="B9108" t="s">
        <v>10652</v>
      </c>
      <c r="C9108" t="s">
        <v>22</v>
      </c>
      <c r="D9108">
        <v>68.7</v>
      </c>
    </row>
    <row r="9109" spans="1:4" hidden="1" x14ac:dyDescent="0.3">
      <c r="A9109">
        <v>9107</v>
      </c>
      <c r="B9109" t="s">
        <v>11904</v>
      </c>
      <c r="C9109" t="s">
        <v>24</v>
      </c>
      <c r="D9109">
        <v>6.5600371648111402</v>
      </c>
    </row>
    <row r="9110" spans="1:4" hidden="1" x14ac:dyDescent="0.3">
      <c r="A9110">
        <v>9108</v>
      </c>
      <c r="B9110" s="1" t="s">
        <v>11905</v>
      </c>
      <c r="C9110" t="s">
        <v>145</v>
      </c>
      <c r="D9110" s="1" t="s">
        <v>11906</v>
      </c>
    </row>
    <row r="9111" spans="1:4" hidden="1" x14ac:dyDescent="0.3">
      <c r="A9111">
        <v>9109</v>
      </c>
      <c r="B9111" t="s">
        <v>11907</v>
      </c>
      <c r="C9111" t="s">
        <v>35</v>
      </c>
      <c r="D9111">
        <v>0.35764335404021802</v>
      </c>
    </row>
    <row r="9112" spans="1:4" hidden="1" x14ac:dyDescent="0.3">
      <c r="A9112">
        <v>9110</v>
      </c>
      <c r="B9112" t="s">
        <v>11908</v>
      </c>
      <c r="C9112" t="s">
        <v>149</v>
      </c>
      <c r="D9112">
        <v>0.69668231932167701</v>
      </c>
    </row>
    <row r="9113" spans="1:4" hidden="1" x14ac:dyDescent="0.3">
      <c r="A9113">
        <v>9111</v>
      </c>
      <c r="B9113" s="1" t="s">
        <v>11909</v>
      </c>
      <c r="C9113" t="s">
        <v>151</v>
      </c>
      <c r="D9113" s="1" t="s">
        <v>11910</v>
      </c>
    </row>
    <row r="9114" spans="1:4" hidden="1" x14ac:dyDescent="0.3">
      <c r="A9114">
        <v>9112</v>
      </c>
      <c r="B9114" t="s">
        <v>11911</v>
      </c>
      <c r="C9114" t="s">
        <v>30</v>
      </c>
      <c r="D9114">
        <v>0.25205761353315298</v>
      </c>
    </row>
    <row r="9115" spans="1:4" hidden="1" x14ac:dyDescent="0.3">
      <c r="A9115">
        <v>9113</v>
      </c>
      <c r="B9115" t="s">
        <v>11912</v>
      </c>
      <c r="C9115" t="s">
        <v>32</v>
      </c>
      <c r="D9115">
        <v>0.229374755745203</v>
      </c>
    </row>
    <row r="9116" spans="1:4" hidden="1" x14ac:dyDescent="0.3">
      <c r="A9116">
        <v>9114</v>
      </c>
      <c r="B9116" s="1" t="s">
        <v>11913</v>
      </c>
      <c r="C9116" t="s">
        <v>155</v>
      </c>
      <c r="D9116" s="1" t="s">
        <v>11914</v>
      </c>
    </row>
    <row r="9117" spans="1:4" hidden="1" x14ac:dyDescent="0.3">
      <c r="A9117">
        <v>9115</v>
      </c>
      <c r="B9117" t="s">
        <v>11915</v>
      </c>
      <c r="C9117" t="s">
        <v>40</v>
      </c>
      <c r="D9117">
        <v>0.390299032426627</v>
      </c>
    </row>
    <row r="9118" spans="1:4" hidden="1" x14ac:dyDescent="0.3">
      <c r="A9118">
        <v>9116</v>
      </c>
      <c r="B9118" t="s">
        <v>11916</v>
      </c>
      <c r="C9118" t="s">
        <v>42</v>
      </c>
      <c r="D9118">
        <v>0.20599969293270501</v>
      </c>
    </row>
    <row r="9119" spans="1:4" hidden="1" x14ac:dyDescent="0.3">
      <c r="A9119">
        <v>9117</v>
      </c>
      <c r="B9119" s="1" t="s">
        <v>11917</v>
      </c>
      <c r="C9119" t="s">
        <v>159</v>
      </c>
      <c r="D9119" s="1" t="s">
        <v>11918</v>
      </c>
    </row>
    <row r="9120" spans="1:4" hidden="1" x14ac:dyDescent="0.3">
      <c r="A9120">
        <v>9118</v>
      </c>
      <c r="B9120" t="s">
        <v>11919</v>
      </c>
      <c r="C9120" t="s">
        <v>161</v>
      </c>
      <c r="D9120">
        <v>0.99001991578783799</v>
      </c>
    </row>
    <row r="9121" spans="1:4" hidden="1" x14ac:dyDescent="0.3">
      <c r="A9121">
        <v>9119</v>
      </c>
      <c r="B9121" t="s">
        <v>11920</v>
      </c>
      <c r="C9121" t="s">
        <v>163</v>
      </c>
      <c r="D9121">
        <v>1.0008138826935</v>
      </c>
    </row>
    <row r="9122" spans="1:4" hidden="1" x14ac:dyDescent="0.3">
      <c r="A9122">
        <v>9120</v>
      </c>
      <c r="B9122" s="1" t="s">
        <v>11921</v>
      </c>
      <c r="C9122" t="s">
        <v>165</v>
      </c>
      <c r="D9122" s="1" t="s">
        <v>11922</v>
      </c>
    </row>
    <row r="9123" spans="1:4" hidden="1" x14ac:dyDescent="0.3">
      <c r="A9123">
        <v>9121</v>
      </c>
      <c r="B9123" t="s">
        <v>11923</v>
      </c>
      <c r="C9123" t="s">
        <v>168</v>
      </c>
      <c r="D9123">
        <v>1.0007724418835899</v>
      </c>
    </row>
    <row r="9124" spans="1:4" hidden="1" x14ac:dyDescent="0.3">
      <c r="A9124">
        <v>9122</v>
      </c>
      <c r="B9124" t="s">
        <v>11924</v>
      </c>
      <c r="C9124" t="s">
        <v>170</v>
      </c>
      <c r="D9124">
        <v>0.99991863023094896</v>
      </c>
    </row>
    <row r="9125" spans="1:4" hidden="1" x14ac:dyDescent="0.3">
      <c r="A9125">
        <v>9123</v>
      </c>
      <c r="B9125" s="1" t="s">
        <v>11925</v>
      </c>
      <c r="C9125" t="s">
        <v>172</v>
      </c>
      <c r="D9125" s="1" t="s">
        <v>11926</v>
      </c>
    </row>
    <row r="9126" spans="1:4" hidden="1" x14ac:dyDescent="0.3">
      <c r="A9126">
        <v>9124</v>
      </c>
      <c r="B9126" s="1" t="s">
        <v>11927</v>
      </c>
      <c r="C9126" t="s">
        <v>55</v>
      </c>
      <c r="D9126" s="1" t="s">
        <v>11928</v>
      </c>
    </row>
    <row r="9127" spans="1:4" hidden="1" x14ac:dyDescent="0.3">
      <c r="A9127">
        <v>9125</v>
      </c>
      <c r="B9127" s="1" t="s">
        <v>11929</v>
      </c>
      <c r="C9127" t="s">
        <v>52</v>
      </c>
      <c r="D9127" s="1" t="s">
        <v>11930</v>
      </c>
    </row>
    <row r="9128" spans="1:4" hidden="1" x14ac:dyDescent="0.3">
      <c r="A9128">
        <v>9126</v>
      </c>
      <c r="B9128" s="1" t="s">
        <v>11931</v>
      </c>
      <c r="C9128" t="s">
        <v>58</v>
      </c>
      <c r="D9128" s="1" t="s">
        <v>11932</v>
      </c>
    </row>
    <row r="9129" spans="1:4" hidden="1" x14ac:dyDescent="0.3">
      <c r="A9129">
        <v>9127</v>
      </c>
      <c r="B9129" t="s">
        <v>11933</v>
      </c>
      <c r="C9129" t="s">
        <v>61</v>
      </c>
      <c r="D9129">
        <v>143431587.61148101</v>
      </c>
    </row>
    <row r="9130" spans="1:4" hidden="1" x14ac:dyDescent="0.3">
      <c r="A9130">
        <v>9128</v>
      </c>
      <c r="B9130" t="s">
        <v>11934</v>
      </c>
      <c r="C9130" t="s">
        <v>63</v>
      </c>
      <c r="D9130">
        <v>76864685.805995494</v>
      </c>
    </row>
    <row r="9131" spans="1:4" hidden="1" x14ac:dyDescent="0.3">
      <c r="A9131">
        <v>9129</v>
      </c>
      <c r="B9131" t="s">
        <v>11935</v>
      </c>
      <c r="C9131" t="s">
        <v>65</v>
      </c>
      <c r="D9131">
        <v>39109634.231831603</v>
      </c>
    </row>
    <row r="9132" spans="1:4" hidden="1" x14ac:dyDescent="0.3">
      <c r="A9132">
        <v>9130</v>
      </c>
      <c r="B9132" s="1" t="s">
        <v>11936</v>
      </c>
      <c r="C9132" t="s">
        <v>67</v>
      </c>
      <c r="D9132" s="1" t="s">
        <v>11937</v>
      </c>
    </row>
    <row r="9133" spans="1:4" hidden="1" x14ac:dyDescent="0.3">
      <c r="A9133">
        <v>9131</v>
      </c>
      <c r="B9133" s="1" t="s">
        <v>11938</v>
      </c>
      <c r="C9133" t="s">
        <v>70</v>
      </c>
      <c r="D9133" s="1" t="s">
        <v>11939</v>
      </c>
    </row>
    <row r="9134" spans="1:4" hidden="1" x14ac:dyDescent="0.3">
      <c r="A9134">
        <v>9132</v>
      </c>
      <c r="B9134" t="s">
        <v>11940</v>
      </c>
      <c r="C9134" t="s">
        <v>73</v>
      </c>
      <c r="D9134">
        <v>1.0002165781813901</v>
      </c>
    </row>
    <row r="9135" spans="1:4" hidden="1" x14ac:dyDescent="0.3">
      <c r="A9135">
        <v>9133</v>
      </c>
      <c r="B9135" t="s">
        <v>74</v>
      </c>
      <c r="C9135" t="s">
        <v>75</v>
      </c>
      <c r="D9135">
        <v>2.7397260273972599E-3</v>
      </c>
    </row>
    <row r="9136" spans="1:4" hidden="1" x14ac:dyDescent="0.3">
      <c r="A9136">
        <v>9134</v>
      </c>
      <c r="B9136" t="s">
        <v>76</v>
      </c>
      <c r="C9136" t="s">
        <v>77</v>
      </c>
      <c r="D9136">
        <v>0</v>
      </c>
    </row>
    <row r="9137" spans="1:4" hidden="1" x14ac:dyDescent="0.3">
      <c r="A9137">
        <v>9135</v>
      </c>
      <c r="B9137" t="s">
        <v>78</v>
      </c>
      <c r="C9137" t="s">
        <v>79</v>
      </c>
      <c r="D9137">
        <v>0</v>
      </c>
    </row>
    <row r="9138" spans="1:4" hidden="1" x14ac:dyDescent="0.3">
      <c r="A9138">
        <v>9136</v>
      </c>
      <c r="B9138" s="1" t="s">
        <v>11941</v>
      </c>
      <c r="C9138" t="s">
        <v>81</v>
      </c>
      <c r="D9138" s="1" t="s">
        <v>11942</v>
      </c>
    </row>
    <row r="9139" spans="1:4" hidden="1" x14ac:dyDescent="0.3">
      <c r="A9139">
        <v>9137</v>
      </c>
      <c r="B9139" t="s">
        <v>11943</v>
      </c>
      <c r="C9139" t="s">
        <v>84</v>
      </c>
      <c r="D9139">
        <v>1.00024703350865</v>
      </c>
    </row>
    <row r="9140" spans="1:4" hidden="1" x14ac:dyDescent="0.3">
      <c r="A9140">
        <v>9138</v>
      </c>
      <c r="B9140" s="1" t="s">
        <v>11944</v>
      </c>
      <c r="C9140" t="s">
        <v>86</v>
      </c>
      <c r="D9140" s="1" t="s">
        <v>11945</v>
      </c>
    </row>
    <row r="9141" spans="1:4" hidden="1" x14ac:dyDescent="0.3">
      <c r="A9141">
        <v>9139</v>
      </c>
      <c r="B9141" t="s">
        <v>11946</v>
      </c>
      <c r="C9141" t="s">
        <v>89</v>
      </c>
      <c r="D9141">
        <v>101164788.390825</v>
      </c>
    </row>
    <row r="9142" spans="1:4" hidden="1" x14ac:dyDescent="0.3">
      <c r="A9142">
        <v>9140</v>
      </c>
      <c r="B9142" s="1" t="s">
        <v>11947</v>
      </c>
      <c r="C9142" t="s">
        <v>91</v>
      </c>
      <c r="D9142" s="1" t="s">
        <v>11883</v>
      </c>
    </row>
    <row r="9143" spans="1:4" hidden="1" x14ac:dyDescent="0.3">
      <c r="A9143">
        <v>9141</v>
      </c>
      <c r="B9143" t="s">
        <v>11948</v>
      </c>
      <c r="C9143" t="s">
        <v>94</v>
      </c>
      <c r="D9143">
        <v>76864685.805995494</v>
      </c>
    </row>
    <row r="9144" spans="1:4" hidden="1" x14ac:dyDescent="0.3">
      <c r="A9144">
        <v>9142</v>
      </c>
      <c r="B9144" t="s">
        <v>11949</v>
      </c>
      <c r="C9144" t="s">
        <v>96</v>
      </c>
      <c r="D9144">
        <v>39109634.231831603</v>
      </c>
    </row>
    <row r="9145" spans="1:4" hidden="1" x14ac:dyDescent="0.3">
      <c r="A9145">
        <v>9143</v>
      </c>
      <c r="B9145" t="s">
        <v>11950</v>
      </c>
      <c r="C9145" t="s">
        <v>98</v>
      </c>
      <c r="D9145">
        <v>27457267.573653799</v>
      </c>
    </row>
    <row r="9146" spans="1:4" hidden="1" x14ac:dyDescent="0.3">
      <c r="A9146">
        <v>9144</v>
      </c>
      <c r="B9146" s="1" t="s">
        <v>11951</v>
      </c>
      <c r="C9146" t="s">
        <v>100</v>
      </c>
      <c r="D9146" s="1" t="s">
        <v>11952</v>
      </c>
    </row>
    <row r="9147" spans="1:4" hidden="1" x14ac:dyDescent="0.3">
      <c r="A9147">
        <v>9145</v>
      </c>
      <c r="B9147" t="s">
        <v>11953</v>
      </c>
      <c r="C9147" t="s">
        <v>103</v>
      </c>
      <c r="D9147">
        <v>7.9918259961986593E-3</v>
      </c>
    </row>
    <row r="9148" spans="1:4" hidden="1" x14ac:dyDescent="0.3">
      <c r="A9148">
        <v>9146</v>
      </c>
      <c r="B9148" t="s">
        <v>11954</v>
      </c>
      <c r="C9148" t="s">
        <v>105</v>
      </c>
      <c r="D9148">
        <v>1.64515545883487E-3</v>
      </c>
    </row>
    <row r="9149" spans="1:4" hidden="1" x14ac:dyDescent="0.3">
      <c r="A9149">
        <v>9147</v>
      </c>
      <c r="B9149" t="s">
        <v>11955</v>
      </c>
      <c r="C9149" t="s">
        <v>107</v>
      </c>
      <c r="D9149">
        <v>1.00769476073905E-2</v>
      </c>
    </row>
    <row r="9150" spans="1:4" hidden="1" x14ac:dyDescent="0.3">
      <c r="A9150">
        <v>9148</v>
      </c>
      <c r="B9150" s="1" t="s">
        <v>11956</v>
      </c>
      <c r="C9150" t="s">
        <v>109</v>
      </c>
      <c r="D9150" s="1" t="s">
        <v>11957</v>
      </c>
    </row>
    <row r="9151" spans="1:4" x14ac:dyDescent="0.3">
      <c r="A9151">
        <v>9149</v>
      </c>
      <c r="B9151" t="s">
        <v>11958</v>
      </c>
      <c r="C9151" t="s">
        <v>207</v>
      </c>
      <c r="D9151">
        <v>143432658.81648901</v>
      </c>
    </row>
    <row r="9152" spans="1:4" hidden="1" x14ac:dyDescent="0.3">
      <c r="A9152">
        <v>9150</v>
      </c>
      <c r="B9152" t="s">
        <v>11959</v>
      </c>
      <c r="C9152" t="s">
        <v>209</v>
      </c>
      <c r="D9152">
        <v>-2340.4574112570999</v>
      </c>
    </row>
    <row r="9153" spans="1:4" hidden="1" x14ac:dyDescent="0.3">
      <c r="A9153">
        <v>9151</v>
      </c>
      <c r="B9153" t="s">
        <v>11960</v>
      </c>
      <c r="C9153" t="s">
        <v>211</v>
      </c>
      <c r="D9153">
        <v>-1190.8437439622901</v>
      </c>
    </row>
    <row r="9154" spans="1:4" hidden="1" x14ac:dyDescent="0.3">
      <c r="A9154">
        <v>9152</v>
      </c>
      <c r="B9154" s="1" t="s">
        <v>11961</v>
      </c>
      <c r="C9154" t="s">
        <v>213</v>
      </c>
      <c r="D9154" s="1" t="s">
        <v>11962</v>
      </c>
    </row>
    <row r="9155" spans="1:4" hidden="1" x14ac:dyDescent="0.3">
      <c r="A9155">
        <v>9153</v>
      </c>
      <c r="B9155" t="s">
        <v>11963</v>
      </c>
      <c r="C9155" t="s">
        <v>216</v>
      </c>
      <c r="D9155">
        <v>76867851.815918505</v>
      </c>
    </row>
    <row r="9156" spans="1:4" hidden="1" x14ac:dyDescent="0.3">
      <c r="A9156">
        <v>9154</v>
      </c>
      <c r="B9156" t="s">
        <v>11964</v>
      </c>
      <c r="C9156" t="s">
        <v>218</v>
      </c>
      <c r="D9156">
        <v>39110987.453363098</v>
      </c>
    </row>
    <row r="9157" spans="1:4" hidden="1" x14ac:dyDescent="0.3">
      <c r="A9157">
        <v>9155</v>
      </c>
      <c r="B9157" t="s">
        <v>11965</v>
      </c>
      <c r="C9157" t="s">
        <v>220</v>
      </c>
      <c r="D9157">
        <v>27458186.889900401</v>
      </c>
    </row>
    <row r="9158" spans="1:4" hidden="1" x14ac:dyDescent="0.3">
      <c r="A9158">
        <v>9156</v>
      </c>
      <c r="B9158" s="1" t="s">
        <v>11966</v>
      </c>
      <c r="C9158" t="s">
        <v>222</v>
      </c>
      <c r="D9158" s="1" t="s">
        <v>11967</v>
      </c>
    </row>
    <row r="9159" spans="1:4" hidden="1" x14ac:dyDescent="0.3">
      <c r="A9159">
        <v>9157</v>
      </c>
      <c r="B9159" t="s">
        <v>11968</v>
      </c>
      <c r="C9159" t="s">
        <v>225</v>
      </c>
      <c r="D9159">
        <v>101167868.730428</v>
      </c>
    </row>
    <row r="9160" spans="1:4" hidden="1" x14ac:dyDescent="0.3">
      <c r="A9160">
        <v>9158</v>
      </c>
      <c r="B9160" t="s">
        <v>11969</v>
      </c>
      <c r="C9160" t="s">
        <v>227</v>
      </c>
      <c r="D9160">
        <v>-3080.3396030664398</v>
      </c>
    </row>
    <row r="9161" spans="1:4" hidden="1" x14ac:dyDescent="0.3">
      <c r="A9161">
        <v>9159</v>
      </c>
      <c r="B9161" s="1" t="s">
        <v>11970</v>
      </c>
      <c r="C9161" t="s">
        <v>229</v>
      </c>
      <c r="D9161" s="1" t="s">
        <v>11971</v>
      </c>
    </row>
    <row r="9162" spans="1:4" hidden="1" x14ac:dyDescent="0.3">
      <c r="A9162">
        <v>9160</v>
      </c>
      <c r="B9162" t="s">
        <v>11972</v>
      </c>
      <c r="C9162" t="s">
        <v>112</v>
      </c>
      <c r="D9162">
        <v>825.55251176303</v>
      </c>
    </row>
    <row r="9163" spans="1:4" hidden="1" x14ac:dyDescent="0.3">
      <c r="A9163">
        <v>9161</v>
      </c>
      <c r="B9163" t="s">
        <v>11973</v>
      </c>
      <c r="C9163" t="s">
        <v>114</v>
      </c>
      <c r="D9163">
        <v>162.377787523526</v>
      </c>
    </row>
    <row r="9164" spans="1:4" hidden="1" x14ac:dyDescent="0.3">
      <c r="A9164">
        <v>9162</v>
      </c>
      <c r="B9164" s="1" t="s">
        <v>11974</v>
      </c>
      <c r="C9164" t="s">
        <v>116</v>
      </c>
      <c r="D9164" s="1" t="s">
        <v>11975</v>
      </c>
    </row>
    <row r="9165" spans="1:4" hidden="1" x14ac:dyDescent="0.3">
      <c r="A9165">
        <v>9163</v>
      </c>
      <c r="B9165" t="s">
        <v>11976</v>
      </c>
      <c r="C9165" t="s">
        <v>119</v>
      </c>
      <c r="D9165">
        <v>76867851.815918505</v>
      </c>
    </row>
    <row r="9166" spans="1:4" hidden="1" x14ac:dyDescent="0.3">
      <c r="A9166">
        <v>9164</v>
      </c>
      <c r="B9166" t="s">
        <v>11977</v>
      </c>
      <c r="C9166" t="s">
        <v>121</v>
      </c>
      <c r="D9166">
        <v>39110987.453363098</v>
      </c>
    </row>
    <row r="9167" spans="1:4" hidden="1" x14ac:dyDescent="0.3">
      <c r="A9167">
        <v>9165</v>
      </c>
      <c r="B9167" s="1" t="s">
        <v>11978</v>
      </c>
      <c r="C9167" t="s">
        <v>123</v>
      </c>
      <c r="D9167" s="1" t="s">
        <v>11979</v>
      </c>
    </row>
    <row r="9168" spans="1:4" hidden="1" x14ac:dyDescent="0.3">
      <c r="A9168">
        <v>9166</v>
      </c>
      <c r="B9168" t="s">
        <v>11980</v>
      </c>
      <c r="C9168" t="s">
        <v>126</v>
      </c>
      <c r="D9168">
        <v>0.75961734229370703</v>
      </c>
    </row>
    <row r="9169" spans="1:4" hidden="1" x14ac:dyDescent="0.3">
      <c r="A9169">
        <v>9167</v>
      </c>
      <c r="B9169" t="s">
        <v>11981</v>
      </c>
      <c r="C9169" t="s">
        <v>128</v>
      </c>
      <c r="D9169">
        <v>0.38649947464322998</v>
      </c>
    </row>
    <row r="9170" spans="1:4" hidden="1" x14ac:dyDescent="0.3">
      <c r="A9170">
        <v>9168</v>
      </c>
      <c r="B9170" s="1" t="s">
        <v>11982</v>
      </c>
      <c r="C9170" t="s">
        <v>130</v>
      </c>
      <c r="D9170" s="1" t="s">
        <v>11983</v>
      </c>
    </row>
    <row r="9171" spans="1:4" hidden="1" x14ac:dyDescent="0.3">
      <c r="A9171">
        <v>9169</v>
      </c>
      <c r="B9171" s="1" t="s">
        <v>11984</v>
      </c>
      <c r="C9171" t="s">
        <v>4</v>
      </c>
      <c r="D9171" t="s">
        <v>11985</v>
      </c>
    </row>
    <row r="9172" spans="1:4" hidden="1" x14ac:dyDescent="0.3">
      <c r="A9172">
        <v>9170</v>
      </c>
      <c r="B9172" t="s">
        <v>11986</v>
      </c>
      <c r="C9172" t="s">
        <v>7</v>
      </c>
      <c r="D9172">
        <v>1774.52</v>
      </c>
    </row>
    <row r="9173" spans="1:4" hidden="1" x14ac:dyDescent="0.3">
      <c r="A9173">
        <v>9171</v>
      </c>
      <c r="B9173" s="1" t="s">
        <v>11987</v>
      </c>
      <c r="C9173" t="s">
        <v>9</v>
      </c>
      <c r="D9173" s="1" t="s">
        <v>11988</v>
      </c>
    </row>
    <row r="9174" spans="1:4" hidden="1" x14ac:dyDescent="0.3">
      <c r="A9174">
        <v>9172</v>
      </c>
      <c r="B9174" t="s">
        <v>11989</v>
      </c>
      <c r="C9174" t="s">
        <v>14</v>
      </c>
      <c r="D9174">
        <v>97.18359375</v>
      </c>
    </row>
    <row r="9175" spans="1:4" hidden="1" x14ac:dyDescent="0.3">
      <c r="A9175">
        <v>9173</v>
      </c>
      <c r="B9175" t="s">
        <v>11990</v>
      </c>
      <c r="C9175" t="s">
        <v>16</v>
      </c>
      <c r="D9175">
        <v>4.3879867479503201</v>
      </c>
    </row>
    <row r="9176" spans="1:4" hidden="1" x14ac:dyDescent="0.3">
      <c r="A9176">
        <v>9174</v>
      </c>
      <c r="B9176" s="1" t="s">
        <v>11991</v>
      </c>
      <c r="C9176" t="s">
        <v>140</v>
      </c>
      <c r="D9176" s="1" t="s">
        <v>11992</v>
      </c>
    </row>
    <row r="9177" spans="1:4" hidden="1" x14ac:dyDescent="0.3">
      <c r="A9177">
        <v>9175</v>
      </c>
      <c r="B9177" t="s">
        <v>11993</v>
      </c>
      <c r="C9177" t="s">
        <v>22</v>
      </c>
      <c r="D9177">
        <v>67.599999999999994</v>
      </c>
    </row>
    <row r="9178" spans="1:4" hidden="1" x14ac:dyDescent="0.3">
      <c r="A9178">
        <v>9176</v>
      </c>
      <c r="B9178" t="s">
        <v>11994</v>
      </c>
      <c r="C9178" t="s">
        <v>24</v>
      </c>
      <c r="D9178">
        <v>6.6513274476948903</v>
      </c>
    </row>
    <row r="9179" spans="1:4" hidden="1" x14ac:dyDescent="0.3">
      <c r="A9179">
        <v>9177</v>
      </c>
      <c r="B9179" s="1" t="s">
        <v>11995</v>
      </c>
      <c r="C9179" t="s">
        <v>145</v>
      </c>
      <c r="D9179" s="1" t="s">
        <v>11996</v>
      </c>
    </row>
    <row r="9180" spans="1:4" hidden="1" x14ac:dyDescent="0.3">
      <c r="A9180">
        <v>9178</v>
      </c>
      <c r="B9180" t="s">
        <v>11997</v>
      </c>
      <c r="C9180" t="s">
        <v>35</v>
      </c>
      <c r="D9180">
        <v>-0.63334214135435296</v>
      </c>
    </row>
    <row r="9181" spans="1:4" hidden="1" x14ac:dyDescent="0.3">
      <c r="A9181">
        <v>9179</v>
      </c>
      <c r="B9181" t="s">
        <v>11998</v>
      </c>
      <c r="C9181" t="s">
        <v>149</v>
      </c>
      <c r="D9181">
        <v>0.69819374252774302</v>
      </c>
    </row>
    <row r="9182" spans="1:4" hidden="1" x14ac:dyDescent="0.3">
      <c r="A9182">
        <v>9180</v>
      </c>
      <c r="B9182" s="1" t="s">
        <v>11999</v>
      </c>
      <c r="C9182" t="s">
        <v>151</v>
      </c>
      <c r="D9182" s="1" t="s">
        <v>12000</v>
      </c>
    </row>
    <row r="9183" spans="1:4" hidden="1" x14ac:dyDescent="0.3">
      <c r="A9183">
        <v>9181</v>
      </c>
      <c r="B9183" t="s">
        <v>12001</v>
      </c>
      <c r="C9183" t="s">
        <v>30</v>
      </c>
      <c r="D9183">
        <v>0.63150699198326898</v>
      </c>
    </row>
    <row r="9184" spans="1:4" hidden="1" x14ac:dyDescent="0.3">
      <c r="A9184">
        <v>9182</v>
      </c>
      <c r="B9184" t="s">
        <v>12002</v>
      </c>
      <c r="C9184" t="s">
        <v>32</v>
      </c>
      <c r="D9184">
        <v>0.22996125839464801</v>
      </c>
    </row>
    <row r="9185" spans="1:4" hidden="1" x14ac:dyDescent="0.3">
      <c r="A9185">
        <v>9183</v>
      </c>
      <c r="B9185" s="1" t="s">
        <v>12003</v>
      </c>
      <c r="C9185" t="s">
        <v>155</v>
      </c>
      <c r="D9185" s="1" t="s">
        <v>12004</v>
      </c>
    </row>
    <row r="9186" spans="1:4" hidden="1" x14ac:dyDescent="0.3">
      <c r="A9186">
        <v>9184</v>
      </c>
      <c r="B9186" t="s">
        <v>12005</v>
      </c>
      <c r="C9186" t="s">
        <v>40</v>
      </c>
      <c r="D9186">
        <v>1.00183514937108</v>
      </c>
    </row>
    <row r="9187" spans="1:4" hidden="1" x14ac:dyDescent="0.3">
      <c r="A9187">
        <v>9185</v>
      </c>
      <c r="B9187" t="s">
        <v>12006</v>
      </c>
      <c r="C9187" t="s">
        <v>42</v>
      </c>
      <c r="D9187">
        <v>0.202305946378049</v>
      </c>
    </row>
    <row r="9188" spans="1:4" hidden="1" x14ac:dyDescent="0.3">
      <c r="A9188">
        <v>9186</v>
      </c>
      <c r="B9188" s="1" t="s">
        <v>12007</v>
      </c>
      <c r="C9188" t="s">
        <v>159</v>
      </c>
      <c r="D9188" s="1" t="s">
        <v>12008</v>
      </c>
    </row>
    <row r="9189" spans="1:4" hidden="1" x14ac:dyDescent="0.3">
      <c r="A9189">
        <v>9187</v>
      </c>
      <c r="B9189" t="s">
        <v>12009</v>
      </c>
      <c r="C9189" t="s">
        <v>161</v>
      </c>
      <c r="D9189">
        <v>0.99435167544547798</v>
      </c>
    </row>
    <row r="9190" spans="1:4" hidden="1" x14ac:dyDescent="0.3">
      <c r="A9190">
        <v>9188</v>
      </c>
      <c r="B9190" t="s">
        <v>12010</v>
      </c>
      <c r="C9190" t="s">
        <v>163</v>
      </c>
      <c r="D9190">
        <v>0.99884163883107702</v>
      </c>
    </row>
    <row r="9191" spans="1:4" hidden="1" x14ac:dyDescent="0.3">
      <c r="A9191">
        <v>9189</v>
      </c>
      <c r="B9191" s="1" t="s">
        <v>12011</v>
      </c>
      <c r="C9191" t="s">
        <v>165</v>
      </c>
      <c r="D9191" s="1" t="s">
        <v>12012</v>
      </c>
    </row>
    <row r="9192" spans="1:4" hidden="1" x14ac:dyDescent="0.3">
      <c r="A9192">
        <v>9190</v>
      </c>
      <c r="B9192" t="s">
        <v>12013</v>
      </c>
      <c r="C9192" t="s">
        <v>168</v>
      </c>
      <c r="D9192">
        <v>1.0008908109602199</v>
      </c>
    </row>
    <row r="9193" spans="1:4" hidden="1" x14ac:dyDescent="0.3">
      <c r="A9193">
        <v>9191</v>
      </c>
      <c r="B9193" t="s">
        <v>12014</v>
      </c>
      <c r="C9193" t="s">
        <v>170</v>
      </c>
      <c r="D9193">
        <v>1.0004770739326601</v>
      </c>
    </row>
    <row r="9194" spans="1:4" hidden="1" x14ac:dyDescent="0.3">
      <c r="A9194">
        <v>9192</v>
      </c>
      <c r="B9194" s="1" t="s">
        <v>12015</v>
      </c>
      <c r="C9194" t="s">
        <v>172</v>
      </c>
      <c r="D9194" s="1" t="s">
        <v>12016</v>
      </c>
    </row>
    <row r="9195" spans="1:4" hidden="1" x14ac:dyDescent="0.3">
      <c r="A9195">
        <v>9193</v>
      </c>
      <c r="B9195" s="1" t="s">
        <v>12017</v>
      </c>
      <c r="C9195" t="s">
        <v>55</v>
      </c>
      <c r="D9195" s="1" t="s">
        <v>12018</v>
      </c>
    </row>
    <row r="9196" spans="1:4" hidden="1" x14ac:dyDescent="0.3">
      <c r="A9196">
        <v>9194</v>
      </c>
      <c r="B9196" s="1" t="s">
        <v>12019</v>
      </c>
      <c r="C9196" t="s">
        <v>52</v>
      </c>
      <c r="D9196" s="1" t="s">
        <v>12020</v>
      </c>
    </row>
    <row r="9197" spans="1:4" hidden="1" x14ac:dyDescent="0.3">
      <c r="A9197">
        <v>9195</v>
      </c>
      <c r="B9197" s="1" t="s">
        <v>12021</v>
      </c>
      <c r="C9197" t="s">
        <v>58</v>
      </c>
      <c r="D9197" s="1" t="s">
        <v>12022</v>
      </c>
    </row>
    <row r="9198" spans="1:4" hidden="1" x14ac:dyDescent="0.3">
      <c r="A9198">
        <v>9196</v>
      </c>
      <c r="B9198" t="s">
        <v>12023</v>
      </c>
      <c r="C9198" t="s">
        <v>61</v>
      </c>
      <c r="D9198">
        <v>142589525.06096601</v>
      </c>
    </row>
    <row r="9199" spans="1:4" hidden="1" x14ac:dyDescent="0.3">
      <c r="A9199">
        <v>9197</v>
      </c>
      <c r="B9199" t="s">
        <v>12024</v>
      </c>
      <c r="C9199" t="s">
        <v>63</v>
      </c>
      <c r="D9199">
        <v>76433677.241053298</v>
      </c>
    </row>
    <row r="9200" spans="1:4" hidden="1" x14ac:dyDescent="0.3">
      <c r="A9200">
        <v>9198</v>
      </c>
      <c r="B9200" t="s">
        <v>12025</v>
      </c>
      <c r="C9200" t="s">
        <v>65</v>
      </c>
      <c r="D9200">
        <v>39065682.804218903</v>
      </c>
    </row>
    <row r="9201" spans="1:4" hidden="1" x14ac:dyDescent="0.3">
      <c r="A9201">
        <v>9199</v>
      </c>
      <c r="B9201" s="1" t="s">
        <v>12026</v>
      </c>
      <c r="C9201" t="s">
        <v>67</v>
      </c>
      <c r="D9201" s="1" t="s">
        <v>12027</v>
      </c>
    </row>
    <row r="9202" spans="1:4" hidden="1" x14ac:dyDescent="0.3">
      <c r="A9202">
        <v>9200</v>
      </c>
      <c r="B9202" s="1" t="s">
        <v>12028</v>
      </c>
      <c r="C9202" t="s">
        <v>70</v>
      </c>
      <c r="D9202" s="1" t="s">
        <v>12029</v>
      </c>
    </row>
    <row r="9203" spans="1:4" hidden="1" x14ac:dyDescent="0.3">
      <c r="A9203">
        <v>9201</v>
      </c>
      <c r="B9203" t="s">
        <v>12030</v>
      </c>
      <c r="C9203" t="s">
        <v>73</v>
      </c>
      <c r="D9203">
        <v>1.00024703350865</v>
      </c>
    </row>
    <row r="9204" spans="1:4" hidden="1" x14ac:dyDescent="0.3">
      <c r="A9204">
        <v>9202</v>
      </c>
      <c r="B9204" t="s">
        <v>74</v>
      </c>
      <c r="C9204" t="s">
        <v>75</v>
      </c>
      <c r="D9204">
        <v>2.7397260273972599E-3</v>
      </c>
    </row>
    <row r="9205" spans="1:4" hidden="1" x14ac:dyDescent="0.3">
      <c r="A9205">
        <v>9203</v>
      </c>
      <c r="B9205" t="s">
        <v>76</v>
      </c>
      <c r="C9205" t="s">
        <v>77</v>
      </c>
      <c r="D9205">
        <v>0</v>
      </c>
    </row>
    <row r="9206" spans="1:4" hidden="1" x14ac:dyDescent="0.3">
      <c r="A9206">
        <v>9204</v>
      </c>
      <c r="B9206" t="s">
        <v>1459</v>
      </c>
      <c r="C9206" t="s">
        <v>79</v>
      </c>
      <c r="D9206" s="2">
        <v>-2.2204460492503101E-16</v>
      </c>
    </row>
    <row r="9207" spans="1:4" hidden="1" x14ac:dyDescent="0.3">
      <c r="A9207">
        <v>9205</v>
      </c>
      <c r="B9207" s="1" t="s">
        <v>12031</v>
      </c>
      <c r="C9207" t="s">
        <v>81</v>
      </c>
      <c r="D9207" s="1" t="s">
        <v>12032</v>
      </c>
    </row>
    <row r="9208" spans="1:4" hidden="1" x14ac:dyDescent="0.3">
      <c r="A9208">
        <v>9206</v>
      </c>
      <c r="B9208" t="s">
        <v>12033</v>
      </c>
      <c r="C9208" t="s">
        <v>84</v>
      </c>
      <c r="D9208">
        <v>1.00023824273565</v>
      </c>
    </row>
    <row r="9209" spans="1:4" hidden="1" x14ac:dyDescent="0.3">
      <c r="A9209">
        <v>9207</v>
      </c>
      <c r="B9209" s="1" t="s">
        <v>12034</v>
      </c>
      <c r="C9209" t="s">
        <v>86</v>
      </c>
      <c r="D9209" s="1" t="s">
        <v>12035</v>
      </c>
    </row>
    <row r="9210" spans="1:4" hidden="1" x14ac:dyDescent="0.3">
      <c r="A9210">
        <v>9208</v>
      </c>
      <c r="B9210" t="s">
        <v>12036</v>
      </c>
      <c r="C9210" t="s">
        <v>89</v>
      </c>
      <c r="D9210">
        <v>101165677.495692</v>
      </c>
    </row>
    <row r="9211" spans="1:4" hidden="1" x14ac:dyDescent="0.3">
      <c r="A9211">
        <v>9209</v>
      </c>
      <c r="B9211" s="1" t="s">
        <v>12037</v>
      </c>
      <c r="C9211" t="s">
        <v>91</v>
      </c>
      <c r="D9211" s="1" t="s">
        <v>11971</v>
      </c>
    </row>
    <row r="9212" spans="1:4" hidden="1" x14ac:dyDescent="0.3">
      <c r="A9212">
        <v>9210</v>
      </c>
      <c r="B9212" t="s">
        <v>12038</v>
      </c>
      <c r="C9212" t="s">
        <v>94</v>
      </c>
      <c r="D9212">
        <v>76433677.241053298</v>
      </c>
    </row>
    <row r="9213" spans="1:4" hidden="1" x14ac:dyDescent="0.3">
      <c r="A9213">
        <v>9211</v>
      </c>
      <c r="B9213" t="s">
        <v>12039</v>
      </c>
      <c r="C9213" t="s">
        <v>96</v>
      </c>
      <c r="D9213">
        <v>39065682.804218903</v>
      </c>
    </row>
    <row r="9214" spans="1:4" hidden="1" x14ac:dyDescent="0.3">
      <c r="A9214">
        <v>9212</v>
      </c>
      <c r="B9214" t="s">
        <v>12040</v>
      </c>
      <c r="C9214" t="s">
        <v>98</v>
      </c>
      <c r="D9214">
        <v>27090165.015694</v>
      </c>
    </row>
    <row r="9215" spans="1:4" hidden="1" x14ac:dyDescent="0.3">
      <c r="A9215">
        <v>9213</v>
      </c>
      <c r="B9215" s="1" t="s">
        <v>12041</v>
      </c>
      <c r="C9215" t="s">
        <v>100</v>
      </c>
      <c r="D9215" s="1" t="s">
        <v>12042</v>
      </c>
    </row>
    <row r="9216" spans="1:4" hidden="1" x14ac:dyDescent="0.3">
      <c r="A9216">
        <v>9214</v>
      </c>
      <c r="B9216" t="s">
        <v>12043</v>
      </c>
      <c r="C9216" t="s">
        <v>103</v>
      </c>
      <c r="D9216">
        <v>8.04274429577727E-3</v>
      </c>
    </row>
    <row r="9217" spans="1:4" hidden="1" x14ac:dyDescent="0.3">
      <c r="A9217">
        <v>9215</v>
      </c>
      <c r="B9217" t="s">
        <v>12044</v>
      </c>
      <c r="C9217" t="s">
        <v>105</v>
      </c>
      <c r="D9217">
        <v>1.6495584381469399E-3</v>
      </c>
    </row>
    <row r="9218" spans="1:4" hidden="1" x14ac:dyDescent="0.3">
      <c r="A9218">
        <v>9216</v>
      </c>
      <c r="B9218" t="s">
        <v>12045</v>
      </c>
      <c r="C9218" t="s">
        <v>107</v>
      </c>
      <c r="D9218">
        <v>1.0155770728820001E-2</v>
      </c>
    </row>
    <row r="9219" spans="1:4" hidden="1" x14ac:dyDescent="0.3">
      <c r="A9219">
        <v>9217</v>
      </c>
      <c r="B9219" s="1" t="s">
        <v>12046</v>
      </c>
      <c r="C9219" t="s">
        <v>109</v>
      </c>
      <c r="D9219" s="1" t="s">
        <v>12047</v>
      </c>
    </row>
    <row r="9220" spans="1:4" x14ac:dyDescent="0.3">
      <c r="A9220">
        <v>9218</v>
      </c>
      <c r="B9220" t="s">
        <v>12048</v>
      </c>
      <c r="C9220" t="s">
        <v>207</v>
      </c>
      <c r="D9220">
        <v>142589215.85383901</v>
      </c>
    </row>
    <row r="9221" spans="1:4" hidden="1" x14ac:dyDescent="0.3">
      <c r="A9221">
        <v>9219</v>
      </c>
      <c r="B9221" t="s">
        <v>12049</v>
      </c>
      <c r="C9221" t="s">
        <v>209</v>
      </c>
      <c r="D9221">
        <v>671.74322486742005</v>
      </c>
    </row>
    <row r="9222" spans="1:4" hidden="1" x14ac:dyDescent="0.3">
      <c r="A9222">
        <v>9220</v>
      </c>
      <c r="B9222" t="s">
        <v>12050</v>
      </c>
      <c r="C9222" t="s">
        <v>211</v>
      </c>
      <c r="D9222">
        <v>343.33214645292298</v>
      </c>
    </row>
    <row r="9223" spans="1:4" hidden="1" x14ac:dyDescent="0.3">
      <c r="A9223">
        <v>9221</v>
      </c>
      <c r="B9223" s="1" t="s">
        <v>12051</v>
      </c>
      <c r="C9223" t="s">
        <v>213</v>
      </c>
      <c r="D9223" s="1" t="s">
        <v>12052</v>
      </c>
    </row>
    <row r="9224" spans="1:4" hidden="1" x14ac:dyDescent="0.3">
      <c r="A9224">
        <v>9222</v>
      </c>
      <c r="B9224" t="s">
        <v>12053</v>
      </c>
      <c r="C9224" t="s">
        <v>216</v>
      </c>
      <c r="D9224">
        <v>76432785.078617603</v>
      </c>
    </row>
    <row r="9225" spans="1:4" hidden="1" x14ac:dyDescent="0.3">
      <c r="A9225">
        <v>9223</v>
      </c>
      <c r="B9225" t="s">
        <v>12054</v>
      </c>
      <c r="C9225" t="s">
        <v>218</v>
      </c>
      <c r="D9225">
        <v>39065272.546062499</v>
      </c>
    </row>
    <row r="9226" spans="1:4" hidden="1" x14ac:dyDescent="0.3">
      <c r="A9226">
        <v>9224</v>
      </c>
      <c r="B9226" t="s">
        <v>12055</v>
      </c>
      <c r="C9226" t="s">
        <v>220</v>
      </c>
      <c r="D9226">
        <v>27089905.069303799</v>
      </c>
    </row>
    <row r="9227" spans="1:4" hidden="1" x14ac:dyDescent="0.3">
      <c r="A9227">
        <v>9225</v>
      </c>
      <c r="B9227" s="1" t="s">
        <v>12056</v>
      </c>
      <c r="C9227" t="s">
        <v>222</v>
      </c>
      <c r="D9227" s="1" t="s">
        <v>12057</v>
      </c>
    </row>
    <row r="9228" spans="1:4" hidden="1" x14ac:dyDescent="0.3">
      <c r="A9228">
        <v>9226</v>
      </c>
      <c r="B9228" t="s">
        <v>12058</v>
      </c>
      <c r="C9228" t="s">
        <v>225</v>
      </c>
      <c r="D9228">
        <v>101164788.390825</v>
      </c>
    </row>
    <row r="9229" spans="1:4" hidden="1" x14ac:dyDescent="0.3">
      <c r="A9229">
        <v>9227</v>
      </c>
      <c r="B9229" t="s">
        <v>12059</v>
      </c>
      <c r="C9229" t="s">
        <v>227</v>
      </c>
      <c r="D9229">
        <v>889.10486680269196</v>
      </c>
    </row>
    <row r="9230" spans="1:4" hidden="1" x14ac:dyDescent="0.3">
      <c r="A9230">
        <v>9228</v>
      </c>
      <c r="B9230" s="1" t="s">
        <v>12060</v>
      </c>
      <c r="C9230" t="s">
        <v>229</v>
      </c>
      <c r="D9230" s="1" t="s">
        <v>12061</v>
      </c>
    </row>
    <row r="9231" spans="1:4" hidden="1" x14ac:dyDescent="0.3">
      <c r="A9231">
        <v>9229</v>
      </c>
      <c r="B9231" t="s">
        <v>12062</v>
      </c>
      <c r="C9231" t="s">
        <v>112</v>
      </c>
      <c r="D9231">
        <v>-220.419210833471</v>
      </c>
    </row>
    <row r="9232" spans="1:4" hidden="1" x14ac:dyDescent="0.3">
      <c r="A9232">
        <v>9230</v>
      </c>
      <c r="B9232" t="s">
        <v>12063</v>
      </c>
      <c r="C9232" t="s">
        <v>114</v>
      </c>
      <c r="D9232">
        <v>-66.9260099398454</v>
      </c>
    </row>
    <row r="9233" spans="1:4" hidden="1" x14ac:dyDescent="0.3">
      <c r="A9233">
        <v>9231</v>
      </c>
      <c r="B9233" s="1" t="s">
        <v>12064</v>
      </c>
      <c r="C9233" t="s">
        <v>116</v>
      </c>
      <c r="D9233" s="1" t="s">
        <v>12065</v>
      </c>
    </row>
    <row r="9234" spans="1:4" hidden="1" x14ac:dyDescent="0.3">
      <c r="A9234">
        <v>9232</v>
      </c>
      <c r="B9234" t="s">
        <v>12066</v>
      </c>
      <c r="C9234" t="s">
        <v>119</v>
      </c>
      <c r="D9234">
        <v>76432785.078617603</v>
      </c>
    </row>
    <row r="9235" spans="1:4" hidden="1" x14ac:dyDescent="0.3">
      <c r="A9235">
        <v>9233</v>
      </c>
      <c r="B9235" t="s">
        <v>12067</v>
      </c>
      <c r="C9235" t="s">
        <v>121</v>
      </c>
      <c r="D9235">
        <v>39065272.546062499</v>
      </c>
    </row>
    <row r="9236" spans="1:4" hidden="1" x14ac:dyDescent="0.3">
      <c r="A9236">
        <v>9234</v>
      </c>
      <c r="B9236" s="1" t="s">
        <v>12068</v>
      </c>
      <c r="C9236" t="s">
        <v>123</v>
      </c>
      <c r="D9236" s="1" t="s">
        <v>12069</v>
      </c>
    </row>
    <row r="9237" spans="1:4" hidden="1" x14ac:dyDescent="0.3">
      <c r="A9237">
        <v>9235</v>
      </c>
      <c r="B9237" t="s">
        <v>12070</v>
      </c>
      <c r="C9237" t="s">
        <v>126</v>
      </c>
      <c r="D9237">
        <v>0.75534759747490898</v>
      </c>
    </row>
    <row r="9238" spans="1:4" hidden="1" x14ac:dyDescent="0.3">
      <c r="A9238">
        <v>9236</v>
      </c>
      <c r="B9238" t="s">
        <v>12071</v>
      </c>
      <c r="C9238" t="s">
        <v>128</v>
      </c>
      <c r="D9238">
        <v>0.38606286205611201</v>
      </c>
    </row>
    <row r="9239" spans="1:4" hidden="1" x14ac:dyDescent="0.3">
      <c r="A9239">
        <v>9237</v>
      </c>
      <c r="B9239" s="1" t="s">
        <v>12072</v>
      </c>
      <c r="C9239" t="s">
        <v>130</v>
      </c>
      <c r="D9239" s="1" t="s">
        <v>12073</v>
      </c>
    </row>
    <row r="9240" spans="1:4" hidden="1" x14ac:dyDescent="0.3">
      <c r="A9240">
        <v>9238</v>
      </c>
      <c r="B9240" s="1" t="s">
        <v>12074</v>
      </c>
      <c r="C9240" t="s">
        <v>4</v>
      </c>
      <c r="D9240" t="s">
        <v>12075</v>
      </c>
    </row>
    <row r="9241" spans="1:4" hidden="1" x14ac:dyDescent="0.3">
      <c r="A9241">
        <v>9239</v>
      </c>
      <c r="B9241" t="s">
        <v>12076</v>
      </c>
      <c r="C9241" t="s">
        <v>7</v>
      </c>
      <c r="D9241">
        <v>1781.73</v>
      </c>
    </row>
    <row r="9242" spans="1:4" hidden="1" x14ac:dyDescent="0.3">
      <c r="A9242">
        <v>9240</v>
      </c>
      <c r="B9242" s="1" t="s">
        <v>12077</v>
      </c>
      <c r="C9242" t="s">
        <v>9</v>
      </c>
      <c r="D9242" s="1" t="s">
        <v>12078</v>
      </c>
    </row>
    <row r="9243" spans="1:4" hidden="1" x14ac:dyDescent="0.3">
      <c r="A9243">
        <v>9241</v>
      </c>
      <c r="B9243" t="s">
        <v>10020</v>
      </c>
      <c r="C9243" t="s">
        <v>14</v>
      </c>
      <c r="D9243">
        <v>97.28125</v>
      </c>
    </row>
    <row r="9244" spans="1:4" hidden="1" x14ac:dyDescent="0.3">
      <c r="A9244">
        <v>9242</v>
      </c>
      <c r="B9244" t="s">
        <v>12079</v>
      </c>
      <c r="C9244" t="s">
        <v>16</v>
      </c>
      <c r="D9244">
        <v>4.3878743783090099</v>
      </c>
    </row>
    <row r="9245" spans="1:4" hidden="1" x14ac:dyDescent="0.3">
      <c r="A9245">
        <v>9243</v>
      </c>
      <c r="B9245" s="1" t="s">
        <v>12080</v>
      </c>
      <c r="C9245" t="s">
        <v>140</v>
      </c>
      <c r="D9245" s="1" t="s">
        <v>12081</v>
      </c>
    </row>
    <row r="9246" spans="1:4" hidden="1" x14ac:dyDescent="0.3">
      <c r="A9246">
        <v>9244</v>
      </c>
      <c r="B9246" t="s">
        <v>9127</v>
      </c>
      <c r="C9246" t="s">
        <v>22</v>
      </c>
      <c r="D9246">
        <v>66.5</v>
      </c>
    </row>
    <row r="9247" spans="1:4" hidden="1" x14ac:dyDescent="0.3">
      <c r="A9247">
        <v>9245</v>
      </c>
      <c r="B9247" t="s">
        <v>12082</v>
      </c>
      <c r="C9247" t="s">
        <v>24</v>
      </c>
      <c r="D9247">
        <v>6.6773617869653901</v>
      </c>
    </row>
    <row r="9248" spans="1:4" hidden="1" x14ac:dyDescent="0.3">
      <c r="A9248">
        <v>9246</v>
      </c>
      <c r="B9248" s="1" t="s">
        <v>12083</v>
      </c>
      <c r="C9248" t="s">
        <v>145</v>
      </c>
      <c r="D9248" s="1" t="s">
        <v>12084</v>
      </c>
    </row>
    <row r="9249" spans="1:4" hidden="1" x14ac:dyDescent="0.3">
      <c r="A9249">
        <v>9247</v>
      </c>
      <c r="B9249" t="s">
        <v>12085</v>
      </c>
      <c r="C9249" t="s">
        <v>35</v>
      </c>
      <c r="D9249">
        <v>0.32444881851489998</v>
      </c>
    </row>
    <row r="9250" spans="1:4" hidden="1" x14ac:dyDescent="0.3">
      <c r="A9250">
        <v>9248</v>
      </c>
      <c r="B9250" t="s">
        <v>12086</v>
      </c>
      <c r="C9250" t="s">
        <v>149</v>
      </c>
      <c r="D9250">
        <v>0.69745689402049404</v>
      </c>
    </row>
    <row r="9251" spans="1:4" hidden="1" x14ac:dyDescent="0.3">
      <c r="A9251">
        <v>9249</v>
      </c>
      <c r="B9251" s="1" t="s">
        <v>12087</v>
      </c>
      <c r="C9251" t="s">
        <v>151</v>
      </c>
      <c r="D9251" s="1" t="s">
        <v>12088</v>
      </c>
    </row>
    <row r="9252" spans="1:4" hidden="1" x14ac:dyDescent="0.3">
      <c r="A9252">
        <v>9250</v>
      </c>
      <c r="B9252" t="s">
        <v>12089</v>
      </c>
      <c r="C9252" t="s">
        <v>30</v>
      </c>
      <c r="D9252">
        <v>0.26118191275501002</v>
      </c>
    </row>
    <row r="9253" spans="1:4" hidden="1" x14ac:dyDescent="0.3">
      <c r="A9253">
        <v>9251</v>
      </c>
      <c r="B9253" t="s">
        <v>12090</v>
      </c>
      <c r="C9253" t="s">
        <v>32</v>
      </c>
      <c r="D9253">
        <v>0.23127809109146999</v>
      </c>
    </row>
    <row r="9254" spans="1:4" hidden="1" x14ac:dyDescent="0.3">
      <c r="A9254">
        <v>9252</v>
      </c>
      <c r="B9254" s="1" t="s">
        <v>12091</v>
      </c>
      <c r="C9254" t="s">
        <v>155</v>
      </c>
      <c r="D9254" s="1" t="s">
        <v>12092</v>
      </c>
    </row>
    <row r="9255" spans="1:4" hidden="1" x14ac:dyDescent="0.3">
      <c r="A9255">
        <v>9253</v>
      </c>
      <c r="B9255" t="s">
        <v>12093</v>
      </c>
      <c r="C9255" t="s">
        <v>40</v>
      </c>
      <c r="D9255">
        <v>0.414369268730088</v>
      </c>
    </row>
    <row r="9256" spans="1:4" hidden="1" x14ac:dyDescent="0.3">
      <c r="A9256">
        <v>9254</v>
      </c>
      <c r="B9256" t="s">
        <v>12094</v>
      </c>
      <c r="C9256" t="s">
        <v>42</v>
      </c>
      <c r="D9256">
        <v>0.202502273793153</v>
      </c>
    </row>
    <row r="9257" spans="1:4" hidden="1" x14ac:dyDescent="0.3">
      <c r="A9257">
        <v>9255</v>
      </c>
      <c r="B9257" s="1" t="s">
        <v>12095</v>
      </c>
      <c r="C9257" t="s">
        <v>159</v>
      </c>
      <c r="D9257" s="1" t="s">
        <v>12096</v>
      </c>
    </row>
    <row r="9258" spans="1:4" hidden="1" x14ac:dyDescent="0.3">
      <c r="A9258">
        <v>9256</v>
      </c>
      <c r="B9258" t="s">
        <v>12097</v>
      </c>
      <c r="C9258" t="s">
        <v>161</v>
      </c>
      <c r="D9258">
        <v>1.0040630705768301</v>
      </c>
    </row>
    <row r="9259" spans="1:4" hidden="1" x14ac:dyDescent="0.3">
      <c r="A9259">
        <v>9257</v>
      </c>
      <c r="B9259" t="s">
        <v>12098</v>
      </c>
      <c r="C9259" t="s">
        <v>163</v>
      </c>
      <c r="D9259">
        <v>1.00096034619014</v>
      </c>
    </row>
    <row r="9260" spans="1:4" hidden="1" x14ac:dyDescent="0.3">
      <c r="A9260">
        <v>9258</v>
      </c>
      <c r="B9260" s="1" t="s">
        <v>12099</v>
      </c>
      <c r="C9260" t="s">
        <v>165</v>
      </c>
      <c r="D9260" s="1" t="s">
        <v>12100</v>
      </c>
    </row>
    <row r="9261" spans="1:4" hidden="1" x14ac:dyDescent="0.3">
      <c r="A9261">
        <v>9259</v>
      </c>
      <c r="B9261" t="s">
        <v>12101</v>
      </c>
      <c r="C9261" t="s">
        <v>168</v>
      </c>
      <c r="D9261">
        <v>0.99956609867955704</v>
      </c>
    </row>
    <row r="9262" spans="1:4" hidden="1" x14ac:dyDescent="0.3">
      <c r="A9262">
        <v>9260</v>
      </c>
      <c r="B9262" t="s">
        <v>12102</v>
      </c>
      <c r="C9262" t="s">
        <v>170</v>
      </c>
      <c r="D9262">
        <v>1.00107062941034</v>
      </c>
    </row>
    <row r="9263" spans="1:4" hidden="1" x14ac:dyDescent="0.3">
      <c r="A9263">
        <v>9261</v>
      </c>
      <c r="B9263" s="1" t="s">
        <v>12103</v>
      </c>
      <c r="C9263" t="s">
        <v>172</v>
      </c>
      <c r="D9263" s="1" t="s">
        <v>12104</v>
      </c>
    </row>
    <row r="9264" spans="1:4" hidden="1" x14ac:dyDescent="0.3">
      <c r="A9264">
        <v>9262</v>
      </c>
      <c r="B9264" s="1" t="s">
        <v>12105</v>
      </c>
      <c r="C9264" t="s">
        <v>55</v>
      </c>
      <c r="D9264" s="1" t="s">
        <v>12106</v>
      </c>
    </row>
    <row r="9265" spans="1:4" hidden="1" x14ac:dyDescent="0.3">
      <c r="A9265">
        <v>9263</v>
      </c>
      <c r="B9265" s="1" t="s">
        <v>12107</v>
      </c>
      <c r="C9265" t="s">
        <v>52</v>
      </c>
      <c r="D9265" s="1" t="s">
        <v>12108</v>
      </c>
    </row>
    <row r="9266" spans="1:4" hidden="1" x14ac:dyDescent="0.3">
      <c r="A9266">
        <v>9264</v>
      </c>
      <c r="B9266" s="1" t="s">
        <v>12109</v>
      </c>
      <c r="C9266" t="s">
        <v>58</v>
      </c>
      <c r="D9266" s="1" t="s">
        <v>12110</v>
      </c>
    </row>
    <row r="9267" spans="1:4" hidden="1" x14ac:dyDescent="0.3">
      <c r="A9267">
        <v>9265</v>
      </c>
      <c r="B9267" t="s">
        <v>12111</v>
      </c>
      <c r="C9267" t="s">
        <v>61</v>
      </c>
      <c r="D9267">
        <v>142544204.31390199</v>
      </c>
    </row>
    <row r="9268" spans="1:4" hidden="1" x14ac:dyDescent="0.3">
      <c r="A9268">
        <v>9266</v>
      </c>
      <c r="B9268" t="s">
        <v>12112</v>
      </c>
      <c r="C9268" t="s">
        <v>63</v>
      </c>
      <c r="D9268">
        <v>76743336.878775895</v>
      </c>
    </row>
    <row r="9269" spans="1:4" hidden="1" x14ac:dyDescent="0.3">
      <c r="A9269">
        <v>9267</v>
      </c>
      <c r="B9269" t="s">
        <v>12113</v>
      </c>
      <c r="C9269" t="s">
        <v>65</v>
      </c>
      <c r="D9269">
        <v>39102788.7317193</v>
      </c>
    </row>
    <row r="9270" spans="1:4" hidden="1" x14ac:dyDescent="0.3">
      <c r="A9270">
        <v>9268</v>
      </c>
      <c r="B9270" s="1" t="s">
        <v>12114</v>
      </c>
      <c r="C9270" t="s">
        <v>67</v>
      </c>
      <c r="D9270" s="1" t="s">
        <v>12115</v>
      </c>
    </row>
    <row r="9271" spans="1:4" hidden="1" x14ac:dyDescent="0.3">
      <c r="A9271">
        <v>9269</v>
      </c>
      <c r="B9271" s="1" t="s">
        <v>12116</v>
      </c>
      <c r="C9271" t="s">
        <v>70</v>
      </c>
      <c r="D9271" s="1" t="s">
        <v>12117</v>
      </c>
    </row>
    <row r="9272" spans="1:4" hidden="1" x14ac:dyDescent="0.3">
      <c r="A9272">
        <v>9270</v>
      </c>
      <c r="B9272" t="s">
        <v>12118</v>
      </c>
      <c r="C9272" t="s">
        <v>73</v>
      </c>
      <c r="D9272">
        <v>1.00023824273565</v>
      </c>
    </row>
    <row r="9273" spans="1:4" hidden="1" x14ac:dyDescent="0.3">
      <c r="A9273">
        <v>9271</v>
      </c>
      <c r="B9273" t="s">
        <v>74</v>
      </c>
      <c r="C9273" t="s">
        <v>75</v>
      </c>
      <c r="D9273">
        <v>2.7397260273972599E-3</v>
      </c>
    </row>
    <row r="9274" spans="1:4" hidden="1" x14ac:dyDescent="0.3">
      <c r="A9274">
        <v>9272</v>
      </c>
      <c r="B9274" t="s">
        <v>76</v>
      </c>
      <c r="C9274" t="s">
        <v>77</v>
      </c>
      <c r="D9274">
        <v>0</v>
      </c>
    </row>
    <row r="9275" spans="1:4" hidden="1" x14ac:dyDescent="0.3">
      <c r="A9275">
        <v>9273</v>
      </c>
      <c r="B9275" t="s">
        <v>78</v>
      </c>
      <c r="C9275" t="s">
        <v>79</v>
      </c>
      <c r="D9275">
        <v>0</v>
      </c>
    </row>
    <row r="9276" spans="1:4" hidden="1" x14ac:dyDescent="0.3">
      <c r="A9276">
        <v>9274</v>
      </c>
      <c r="B9276" s="1" t="s">
        <v>12119</v>
      </c>
      <c r="C9276" t="s">
        <v>81</v>
      </c>
      <c r="D9276" s="1" t="s">
        <v>12120</v>
      </c>
    </row>
    <row r="9277" spans="1:4" hidden="1" x14ac:dyDescent="0.3">
      <c r="A9277">
        <v>9275</v>
      </c>
      <c r="B9277" t="s">
        <v>12121</v>
      </c>
      <c r="C9277" t="s">
        <v>84</v>
      </c>
      <c r="D9277">
        <v>1.00025993958474</v>
      </c>
    </row>
    <row r="9278" spans="1:4" hidden="1" x14ac:dyDescent="0.3">
      <c r="A9278">
        <v>9276</v>
      </c>
      <c r="B9278" s="1" t="s">
        <v>12122</v>
      </c>
      <c r="C9278" t="s">
        <v>86</v>
      </c>
      <c r="D9278" s="1" t="s">
        <v>12123</v>
      </c>
    </row>
    <row r="9279" spans="1:4" hidden="1" x14ac:dyDescent="0.3">
      <c r="A9279">
        <v>9277</v>
      </c>
      <c r="B9279" t="s">
        <v>12124</v>
      </c>
      <c r="C9279" t="s">
        <v>89</v>
      </c>
      <c r="D9279">
        <v>101163483.08966701</v>
      </c>
    </row>
    <row r="9280" spans="1:4" hidden="1" x14ac:dyDescent="0.3">
      <c r="A9280">
        <v>9278</v>
      </c>
      <c r="B9280" s="1" t="s">
        <v>12125</v>
      </c>
      <c r="C9280" t="s">
        <v>91</v>
      </c>
      <c r="D9280" s="1" t="s">
        <v>12061</v>
      </c>
    </row>
    <row r="9281" spans="1:4" hidden="1" x14ac:dyDescent="0.3">
      <c r="A9281">
        <v>9279</v>
      </c>
      <c r="B9281" t="s">
        <v>12126</v>
      </c>
      <c r="C9281" t="s">
        <v>94</v>
      </c>
      <c r="D9281">
        <v>76743336.878775895</v>
      </c>
    </row>
    <row r="9282" spans="1:4" hidden="1" x14ac:dyDescent="0.3">
      <c r="A9282">
        <v>9280</v>
      </c>
      <c r="B9282" t="s">
        <v>12127</v>
      </c>
      <c r="C9282" t="s">
        <v>96</v>
      </c>
      <c r="D9282">
        <v>39102788.7317193</v>
      </c>
    </row>
    <row r="9283" spans="1:4" hidden="1" x14ac:dyDescent="0.3">
      <c r="A9283">
        <v>9281</v>
      </c>
      <c r="B9283" t="s">
        <v>12128</v>
      </c>
      <c r="C9283" t="s">
        <v>98</v>
      </c>
      <c r="D9283">
        <v>26698078.7034069</v>
      </c>
    </row>
    <row r="9284" spans="1:4" hidden="1" x14ac:dyDescent="0.3">
      <c r="A9284">
        <v>9282</v>
      </c>
      <c r="B9284" s="1" t="s">
        <v>12129</v>
      </c>
      <c r="C9284" t="s">
        <v>100</v>
      </c>
      <c r="D9284" s="1" t="s">
        <v>12130</v>
      </c>
    </row>
    <row r="9285" spans="1:4" hidden="1" x14ac:dyDescent="0.3">
      <c r="A9285">
        <v>9283</v>
      </c>
      <c r="B9285" t="s">
        <v>12131</v>
      </c>
      <c r="C9285" t="s">
        <v>103</v>
      </c>
      <c r="D9285">
        <v>8.00378872732126E-3</v>
      </c>
    </row>
    <row r="9286" spans="1:4" hidden="1" x14ac:dyDescent="0.3">
      <c r="A9286">
        <v>9284</v>
      </c>
      <c r="B9286" t="s">
        <v>12132</v>
      </c>
      <c r="C9286" t="s">
        <v>105</v>
      </c>
      <c r="D9286">
        <v>1.6464752586358899E-3</v>
      </c>
    </row>
    <row r="9287" spans="1:4" hidden="1" x14ac:dyDescent="0.3">
      <c r="A9287">
        <v>9285</v>
      </c>
      <c r="B9287" t="s">
        <v>12133</v>
      </c>
      <c r="C9287" t="s">
        <v>107</v>
      </c>
      <c r="D9287">
        <v>1.0246572998811401E-2</v>
      </c>
    </row>
    <row r="9288" spans="1:4" hidden="1" x14ac:dyDescent="0.3">
      <c r="A9288">
        <v>9286</v>
      </c>
      <c r="B9288" s="1" t="s">
        <v>12134</v>
      </c>
      <c r="C9288" t="s">
        <v>109</v>
      </c>
      <c r="D9288" s="1" t="s">
        <v>12135</v>
      </c>
    </row>
    <row r="9289" spans="1:4" x14ac:dyDescent="0.3">
      <c r="A9289">
        <v>9287</v>
      </c>
      <c r="B9289" t="s">
        <v>12136</v>
      </c>
      <c r="C9289" t="s">
        <v>207</v>
      </c>
      <c r="D9289">
        <v>142544967.42991599</v>
      </c>
    </row>
    <row r="9290" spans="1:4" hidden="1" x14ac:dyDescent="0.3">
      <c r="A9290">
        <v>9288</v>
      </c>
      <c r="B9290" t="s">
        <v>12137</v>
      </c>
      <c r="C9290" t="s">
        <v>209</v>
      </c>
      <c r="D9290">
        <v>-1664.7034384692799</v>
      </c>
    </row>
    <row r="9291" spans="1:4" hidden="1" x14ac:dyDescent="0.3">
      <c r="A9291">
        <v>9289</v>
      </c>
      <c r="B9291" t="s">
        <v>12138</v>
      </c>
      <c r="C9291" t="s">
        <v>211</v>
      </c>
      <c r="D9291">
        <v>-848.20867392370303</v>
      </c>
    </row>
    <row r="9292" spans="1:4" hidden="1" x14ac:dyDescent="0.3">
      <c r="A9292">
        <v>9290</v>
      </c>
      <c r="B9292" s="1" t="s">
        <v>12139</v>
      </c>
      <c r="C9292" t="s">
        <v>213</v>
      </c>
      <c r="D9292" s="1" t="s">
        <v>12140</v>
      </c>
    </row>
    <row r="9293" spans="1:4" hidden="1" x14ac:dyDescent="0.3">
      <c r="A9293">
        <v>9291</v>
      </c>
      <c r="B9293" t="s">
        <v>12141</v>
      </c>
      <c r="C9293" t="s">
        <v>216</v>
      </c>
      <c r="D9293">
        <v>76745528.986544296</v>
      </c>
    </row>
    <row r="9294" spans="1:4" hidden="1" x14ac:dyDescent="0.3">
      <c r="A9294">
        <v>9292</v>
      </c>
      <c r="B9294" t="s">
        <v>12142</v>
      </c>
      <c r="C9294" t="s">
        <v>218</v>
      </c>
      <c r="D9294">
        <v>39103795.827505998</v>
      </c>
    </row>
    <row r="9295" spans="1:4" hidden="1" x14ac:dyDescent="0.3">
      <c r="A9295">
        <v>9293</v>
      </c>
      <c r="B9295" t="s">
        <v>12143</v>
      </c>
      <c r="C9295" t="s">
        <v>220</v>
      </c>
      <c r="D9295">
        <v>26698734.655856799</v>
      </c>
    </row>
    <row r="9296" spans="1:4" hidden="1" x14ac:dyDescent="0.3">
      <c r="A9296">
        <v>9294</v>
      </c>
      <c r="B9296" s="1" t="s">
        <v>12144</v>
      </c>
      <c r="C9296" t="s">
        <v>222</v>
      </c>
      <c r="D9296" s="1" t="s">
        <v>12145</v>
      </c>
    </row>
    <row r="9297" spans="1:4" hidden="1" x14ac:dyDescent="0.3">
      <c r="A9297">
        <v>9295</v>
      </c>
      <c r="B9297" t="s">
        <v>12146</v>
      </c>
      <c r="C9297" t="s">
        <v>225</v>
      </c>
      <c r="D9297">
        <v>101165677.495692</v>
      </c>
    </row>
    <row r="9298" spans="1:4" hidden="1" x14ac:dyDescent="0.3">
      <c r="A9298">
        <v>9296</v>
      </c>
      <c r="B9298" t="s">
        <v>12147</v>
      </c>
      <c r="C9298" t="s">
        <v>227</v>
      </c>
      <c r="D9298">
        <v>-2194.4060247689399</v>
      </c>
    </row>
    <row r="9299" spans="1:4" hidden="1" x14ac:dyDescent="0.3">
      <c r="A9299">
        <v>9297</v>
      </c>
      <c r="B9299" s="1" t="s">
        <v>12148</v>
      </c>
      <c r="C9299" t="s">
        <v>229</v>
      </c>
      <c r="D9299" s="1" t="s">
        <v>12149</v>
      </c>
    </row>
    <row r="9300" spans="1:4" hidden="1" x14ac:dyDescent="0.3">
      <c r="A9300">
        <v>9298</v>
      </c>
      <c r="B9300" t="s">
        <v>12150</v>
      </c>
      <c r="C9300" t="s">
        <v>112</v>
      </c>
      <c r="D9300">
        <v>527.40432996841696</v>
      </c>
    </row>
    <row r="9301" spans="1:4" hidden="1" x14ac:dyDescent="0.3">
      <c r="A9301">
        <v>9299</v>
      </c>
      <c r="B9301" t="s">
        <v>12151</v>
      </c>
      <c r="C9301" t="s">
        <v>114</v>
      </c>
      <c r="D9301">
        <v>158.88711277653201</v>
      </c>
    </row>
    <row r="9302" spans="1:4" hidden="1" x14ac:dyDescent="0.3">
      <c r="A9302">
        <v>9300</v>
      </c>
      <c r="B9302" s="1" t="s">
        <v>12152</v>
      </c>
      <c r="C9302" t="s">
        <v>116</v>
      </c>
      <c r="D9302" s="1" t="s">
        <v>12153</v>
      </c>
    </row>
    <row r="9303" spans="1:4" hidden="1" x14ac:dyDescent="0.3">
      <c r="A9303">
        <v>9301</v>
      </c>
      <c r="B9303" t="s">
        <v>12154</v>
      </c>
      <c r="C9303" t="s">
        <v>119</v>
      </c>
      <c r="D9303">
        <v>76745528.986544296</v>
      </c>
    </row>
    <row r="9304" spans="1:4" hidden="1" x14ac:dyDescent="0.3">
      <c r="A9304">
        <v>9302</v>
      </c>
      <c r="B9304" t="s">
        <v>12155</v>
      </c>
      <c r="C9304" t="s">
        <v>121</v>
      </c>
      <c r="D9304">
        <v>39103795.827505998</v>
      </c>
    </row>
    <row r="9305" spans="1:4" hidden="1" x14ac:dyDescent="0.3">
      <c r="A9305">
        <v>9303</v>
      </c>
      <c r="B9305" s="1" t="s">
        <v>12156</v>
      </c>
      <c r="C9305" t="s">
        <v>123</v>
      </c>
      <c r="D9305" s="1" t="s">
        <v>12157</v>
      </c>
    </row>
    <row r="9306" spans="1:4" hidden="1" x14ac:dyDescent="0.3">
      <c r="A9306">
        <v>9304</v>
      </c>
      <c r="B9306" t="s">
        <v>12158</v>
      </c>
      <c r="C9306" t="s">
        <v>126</v>
      </c>
      <c r="D9306">
        <v>0.75841517468327901</v>
      </c>
    </row>
    <row r="9307" spans="1:4" hidden="1" x14ac:dyDescent="0.3">
      <c r="A9307">
        <v>9305</v>
      </c>
      <c r="B9307" t="s">
        <v>12159</v>
      </c>
      <c r="C9307" t="s">
        <v>128</v>
      </c>
      <c r="D9307">
        <v>0.38643179003296602</v>
      </c>
    </row>
    <row r="9308" spans="1:4" hidden="1" x14ac:dyDescent="0.3">
      <c r="A9308">
        <v>9306</v>
      </c>
      <c r="B9308" s="1" t="s">
        <v>12160</v>
      </c>
      <c r="C9308" t="s">
        <v>130</v>
      </c>
      <c r="D9308" s="1" t="s">
        <v>12161</v>
      </c>
    </row>
    <row r="9309" spans="1:4" hidden="1" x14ac:dyDescent="0.3">
      <c r="A9309">
        <v>9307</v>
      </c>
      <c r="B9309" s="1" t="s">
        <v>12162</v>
      </c>
      <c r="C9309" t="s">
        <v>4</v>
      </c>
      <c r="D9309" t="s">
        <v>12163</v>
      </c>
    </row>
    <row r="9310" spans="1:4" hidden="1" x14ac:dyDescent="0.3">
      <c r="A9310">
        <v>9308</v>
      </c>
      <c r="B9310" t="s">
        <v>12164</v>
      </c>
      <c r="C9310" t="s">
        <v>7</v>
      </c>
      <c r="D9310">
        <v>1768.74</v>
      </c>
    </row>
    <row r="9311" spans="1:4" hidden="1" x14ac:dyDescent="0.3">
      <c r="A9311">
        <v>9309</v>
      </c>
      <c r="B9311" s="1" t="s">
        <v>12165</v>
      </c>
      <c r="C9311" t="s">
        <v>9</v>
      </c>
      <c r="D9311" s="1" t="s">
        <v>12166</v>
      </c>
    </row>
    <row r="9312" spans="1:4" hidden="1" x14ac:dyDescent="0.3">
      <c r="A9312">
        <v>9310</v>
      </c>
      <c r="B9312" t="s">
        <v>12167</v>
      </c>
      <c r="C9312" t="s">
        <v>14</v>
      </c>
      <c r="D9312">
        <v>96.9921875</v>
      </c>
    </row>
    <row r="9313" spans="1:4" hidden="1" x14ac:dyDescent="0.3">
      <c r="A9313">
        <v>9311</v>
      </c>
      <c r="B9313" t="s">
        <v>12168</v>
      </c>
      <c r="C9313" t="s">
        <v>16</v>
      </c>
      <c r="D9313">
        <v>4.3874247712002603</v>
      </c>
    </row>
    <row r="9314" spans="1:4" hidden="1" x14ac:dyDescent="0.3">
      <c r="A9314">
        <v>9312</v>
      </c>
      <c r="B9314" s="1" t="s">
        <v>12169</v>
      </c>
      <c r="C9314" t="s">
        <v>140</v>
      </c>
      <c r="D9314" s="1" t="s">
        <v>12170</v>
      </c>
    </row>
    <row r="9315" spans="1:4" hidden="1" x14ac:dyDescent="0.3">
      <c r="A9315">
        <v>9313</v>
      </c>
      <c r="B9315" t="s">
        <v>12171</v>
      </c>
      <c r="C9315" t="s">
        <v>22</v>
      </c>
      <c r="D9315">
        <v>67</v>
      </c>
    </row>
    <row r="9316" spans="1:4" hidden="1" x14ac:dyDescent="0.3">
      <c r="A9316">
        <v>9314</v>
      </c>
      <c r="B9316" t="s">
        <v>12172</v>
      </c>
      <c r="C9316" t="s">
        <v>24</v>
      </c>
      <c r="D9316">
        <v>6.6823160307949703</v>
      </c>
    </row>
    <row r="9317" spans="1:4" hidden="1" x14ac:dyDescent="0.3">
      <c r="A9317">
        <v>9315</v>
      </c>
      <c r="B9317" s="1" t="s">
        <v>12173</v>
      </c>
      <c r="C9317" t="s">
        <v>145</v>
      </c>
      <c r="D9317" s="1" t="s">
        <v>12174</v>
      </c>
    </row>
    <row r="9318" spans="1:4" hidden="1" x14ac:dyDescent="0.3">
      <c r="A9318">
        <v>9316</v>
      </c>
      <c r="B9318" t="s">
        <v>12175</v>
      </c>
      <c r="C9318" t="s">
        <v>35</v>
      </c>
      <c r="D9318">
        <v>0.397025460564493</v>
      </c>
    </row>
    <row r="9319" spans="1:4" hidden="1" x14ac:dyDescent="0.3">
      <c r="A9319">
        <v>9317</v>
      </c>
      <c r="B9319" t="s">
        <v>12176</v>
      </c>
      <c r="C9319" t="s">
        <v>149</v>
      </c>
      <c r="D9319">
        <v>0.69628067320016196</v>
      </c>
    </row>
    <row r="9320" spans="1:4" hidden="1" x14ac:dyDescent="0.3">
      <c r="A9320">
        <v>9318</v>
      </c>
      <c r="B9320" s="1" t="s">
        <v>12177</v>
      </c>
      <c r="C9320" t="s">
        <v>151</v>
      </c>
      <c r="D9320" s="1" t="s">
        <v>12178</v>
      </c>
    </row>
    <row r="9321" spans="1:4" hidden="1" x14ac:dyDescent="0.3">
      <c r="A9321">
        <v>9319</v>
      </c>
      <c r="B9321" t="s">
        <v>12179</v>
      </c>
      <c r="C9321" t="s">
        <v>30</v>
      </c>
      <c r="D9321">
        <v>0.234323632801442</v>
      </c>
    </row>
    <row r="9322" spans="1:4" hidden="1" x14ac:dyDescent="0.3">
      <c r="A9322">
        <v>9320</v>
      </c>
      <c r="B9322" t="s">
        <v>12180</v>
      </c>
      <c r="C9322" t="s">
        <v>32</v>
      </c>
      <c r="D9322">
        <v>0.231751850954734</v>
      </c>
    </row>
    <row r="9323" spans="1:4" hidden="1" x14ac:dyDescent="0.3">
      <c r="A9323">
        <v>9321</v>
      </c>
      <c r="B9323" s="1" t="s">
        <v>12181</v>
      </c>
      <c r="C9323" t="s">
        <v>155</v>
      </c>
      <c r="D9323" s="1" t="s">
        <v>12182</v>
      </c>
    </row>
    <row r="9324" spans="1:4" hidden="1" x14ac:dyDescent="0.3">
      <c r="A9324">
        <v>9322</v>
      </c>
      <c r="B9324" t="s">
        <v>12183</v>
      </c>
      <c r="C9324" t="s">
        <v>40</v>
      </c>
      <c r="D9324">
        <v>0.36865090663406402</v>
      </c>
    </row>
    <row r="9325" spans="1:4" hidden="1" x14ac:dyDescent="0.3">
      <c r="A9325">
        <v>9323</v>
      </c>
      <c r="B9325" t="s">
        <v>12184</v>
      </c>
      <c r="C9325" t="s">
        <v>42</v>
      </c>
      <c r="D9325">
        <v>0.20445058649612699</v>
      </c>
    </row>
    <row r="9326" spans="1:4" hidden="1" x14ac:dyDescent="0.3">
      <c r="A9326">
        <v>9324</v>
      </c>
      <c r="B9326" s="1" t="s">
        <v>12185</v>
      </c>
      <c r="C9326" t="s">
        <v>159</v>
      </c>
      <c r="D9326" s="1" t="s">
        <v>12186</v>
      </c>
    </row>
    <row r="9327" spans="1:4" hidden="1" x14ac:dyDescent="0.3">
      <c r="A9327">
        <v>9325</v>
      </c>
      <c r="B9327" t="s">
        <v>12187</v>
      </c>
      <c r="C9327" t="s">
        <v>161</v>
      </c>
      <c r="D9327">
        <v>0.99270933306393205</v>
      </c>
    </row>
    <row r="9328" spans="1:4" hidden="1" x14ac:dyDescent="0.3">
      <c r="A9328">
        <v>9326</v>
      </c>
      <c r="B9328" t="s">
        <v>12188</v>
      </c>
      <c r="C9328" t="s">
        <v>163</v>
      </c>
      <c r="D9328">
        <v>0.99715240876835398</v>
      </c>
    </row>
    <row r="9329" spans="1:4" hidden="1" x14ac:dyDescent="0.3">
      <c r="A9329">
        <v>9327</v>
      </c>
      <c r="B9329" s="1" t="s">
        <v>12189</v>
      </c>
      <c r="C9329" t="s">
        <v>165</v>
      </c>
      <c r="D9329" s="1" t="s">
        <v>12190</v>
      </c>
    </row>
    <row r="9330" spans="1:4" hidden="1" x14ac:dyDescent="0.3">
      <c r="A9330">
        <v>9328</v>
      </c>
      <c r="B9330" t="s">
        <v>12191</v>
      </c>
      <c r="C9330" t="s">
        <v>168</v>
      </c>
      <c r="D9330">
        <v>0.99930706881307196</v>
      </c>
    </row>
    <row r="9331" spans="1:4" hidden="1" x14ac:dyDescent="0.3">
      <c r="A9331">
        <v>9329</v>
      </c>
      <c r="B9331" t="s">
        <v>12192</v>
      </c>
      <c r="C9331" t="s">
        <v>170</v>
      </c>
      <c r="D9331">
        <v>1.00038477080579</v>
      </c>
    </row>
    <row r="9332" spans="1:4" hidden="1" x14ac:dyDescent="0.3">
      <c r="A9332">
        <v>9330</v>
      </c>
      <c r="B9332" s="1" t="s">
        <v>12193</v>
      </c>
      <c r="C9332" t="s">
        <v>172</v>
      </c>
      <c r="D9332" s="1" t="s">
        <v>12194</v>
      </c>
    </row>
    <row r="9333" spans="1:4" hidden="1" x14ac:dyDescent="0.3">
      <c r="A9333">
        <v>9331</v>
      </c>
      <c r="B9333" s="1" t="s">
        <v>12195</v>
      </c>
      <c r="C9333" t="s">
        <v>55</v>
      </c>
      <c r="D9333" s="1" t="s">
        <v>12196</v>
      </c>
    </row>
    <row r="9334" spans="1:4" hidden="1" x14ac:dyDescent="0.3">
      <c r="A9334">
        <v>9332</v>
      </c>
      <c r="B9334" s="1" t="s">
        <v>12197</v>
      </c>
      <c r="C9334" t="s">
        <v>52</v>
      </c>
      <c r="D9334" s="1" t="s">
        <v>12198</v>
      </c>
    </row>
    <row r="9335" spans="1:4" hidden="1" x14ac:dyDescent="0.3">
      <c r="A9335">
        <v>9333</v>
      </c>
      <c r="B9335" s="1" t="s">
        <v>12199</v>
      </c>
      <c r="C9335" t="s">
        <v>58</v>
      </c>
      <c r="D9335" s="1" t="s">
        <v>12200</v>
      </c>
    </row>
    <row r="9336" spans="1:4" hidden="1" x14ac:dyDescent="0.3">
      <c r="A9336">
        <v>9334</v>
      </c>
      <c r="B9336" t="s">
        <v>12201</v>
      </c>
      <c r="C9336" t="s">
        <v>61</v>
      </c>
      <c r="D9336">
        <v>142061414.13099599</v>
      </c>
    </row>
    <row r="9337" spans="1:4" hidden="1" x14ac:dyDescent="0.3">
      <c r="A9337">
        <v>9335</v>
      </c>
      <c r="B9337" t="s">
        <v>12202</v>
      </c>
      <c r="C9337" t="s">
        <v>63</v>
      </c>
      <c r="D9337">
        <v>76186002.895871103</v>
      </c>
    </row>
    <row r="9338" spans="1:4" hidden="1" x14ac:dyDescent="0.3">
      <c r="A9338">
        <v>9336</v>
      </c>
      <c r="B9338" t="s">
        <v>12203</v>
      </c>
      <c r="C9338" t="s">
        <v>65</v>
      </c>
      <c r="D9338">
        <v>38992444.201383501</v>
      </c>
    </row>
    <row r="9339" spans="1:4" hidden="1" x14ac:dyDescent="0.3">
      <c r="A9339">
        <v>9337</v>
      </c>
      <c r="B9339" s="1" t="s">
        <v>12204</v>
      </c>
      <c r="C9339" t="s">
        <v>67</v>
      </c>
      <c r="D9339" s="1" t="s">
        <v>12205</v>
      </c>
    </row>
    <row r="9340" spans="1:4" hidden="1" x14ac:dyDescent="0.3">
      <c r="A9340">
        <v>9338</v>
      </c>
      <c r="B9340" s="1" t="s">
        <v>12206</v>
      </c>
      <c r="C9340" t="s">
        <v>70</v>
      </c>
      <c r="D9340" s="1" t="s">
        <v>12207</v>
      </c>
    </row>
    <row r="9341" spans="1:4" hidden="1" x14ac:dyDescent="0.3">
      <c r="A9341">
        <v>9339</v>
      </c>
      <c r="B9341" t="s">
        <v>12208</v>
      </c>
      <c r="C9341" t="s">
        <v>73</v>
      </c>
      <c r="D9341">
        <v>1.00025993958474</v>
      </c>
    </row>
    <row r="9342" spans="1:4" hidden="1" x14ac:dyDescent="0.3">
      <c r="A9342">
        <v>9340</v>
      </c>
      <c r="B9342" t="s">
        <v>74</v>
      </c>
      <c r="C9342" t="s">
        <v>75</v>
      </c>
      <c r="D9342">
        <v>2.7397260273972599E-3</v>
      </c>
    </row>
    <row r="9343" spans="1:4" hidden="1" x14ac:dyDescent="0.3">
      <c r="A9343">
        <v>9341</v>
      </c>
      <c r="B9343" t="s">
        <v>76</v>
      </c>
      <c r="C9343" t="s">
        <v>77</v>
      </c>
      <c r="D9343">
        <v>0</v>
      </c>
    </row>
    <row r="9344" spans="1:4" hidden="1" x14ac:dyDescent="0.3">
      <c r="A9344">
        <v>9342</v>
      </c>
      <c r="B9344" t="s">
        <v>78</v>
      </c>
      <c r="C9344" t="s">
        <v>79</v>
      </c>
      <c r="D9344">
        <v>0</v>
      </c>
    </row>
    <row r="9345" spans="1:4" hidden="1" x14ac:dyDescent="0.3">
      <c r="A9345">
        <v>9343</v>
      </c>
      <c r="B9345" s="1" t="s">
        <v>12209</v>
      </c>
      <c r="C9345" t="s">
        <v>81</v>
      </c>
      <c r="D9345" s="1" t="s">
        <v>12210</v>
      </c>
    </row>
    <row r="9346" spans="1:4" hidden="1" x14ac:dyDescent="0.3">
      <c r="A9346">
        <v>9344</v>
      </c>
      <c r="B9346" t="s">
        <v>12211</v>
      </c>
      <c r="C9346" t="s">
        <v>84</v>
      </c>
      <c r="D9346">
        <v>1.00028070532479</v>
      </c>
    </row>
    <row r="9347" spans="1:4" hidden="1" x14ac:dyDescent="0.3">
      <c r="A9347">
        <v>9345</v>
      </c>
      <c r="B9347" s="1" t="s">
        <v>12212</v>
      </c>
      <c r="C9347" t="s">
        <v>86</v>
      </c>
      <c r="D9347" s="1" t="s">
        <v>12213</v>
      </c>
    </row>
    <row r="9348" spans="1:4" hidden="1" x14ac:dyDescent="0.3">
      <c r="A9348">
        <v>9346</v>
      </c>
      <c r="B9348" t="s">
        <v>12214</v>
      </c>
      <c r="C9348" t="s">
        <v>89</v>
      </c>
      <c r="D9348">
        <v>101161382.94459701</v>
      </c>
    </row>
    <row r="9349" spans="1:4" hidden="1" x14ac:dyDescent="0.3">
      <c r="A9349">
        <v>9347</v>
      </c>
      <c r="B9349" s="1" t="s">
        <v>12215</v>
      </c>
      <c r="C9349" t="s">
        <v>91</v>
      </c>
      <c r="D9349" s="1" t="s">
        <v>12149</v>
      </c>
    </row>
    <row r="9350" spans="1:4" hidden="1" x14ac:dyDescent="0.3">
      <c r="A9350">
        <v>9348</v>
      </c>
      <c r="B9350" t="s">
        <v>12216</v>
      </c>
      <c r="C9350" t="s">
        <v>94</v>
      </c>
      <c r="D9350">
        <v>76186002.895871103</v>
      </c>
    </row>
    <row r="9351" spans="1:4" hidden="1" x14ac:dyDescent="0.3">
      <c r="A9351">
        <v>9349</v>
      </c>
      <c r="B9351" t="s">
        <v>12217</v>
      </c>
      <c r="C9351" t="s">
        <v>96</v>
      </c>
      <c r="D9351">
        <v>38992444.201383501</v>
      </c>
    </row>
    <row r="9352" spans="1:4" hidden="1" x14ac:dyDescent="0.3">
      <c r="A9352">
        <v>9350</v>
      </c>
      <c r="B9352" t="s">
        <v>12218</v>
      </c>
      <c r="C9352" t="s">
        <v>98</v>
      </c>
      <c r="D9352">
        <v>26882967.033741701</v>
      </c>
    </row>
    <row r="9353" spans="1:4" hidden="1" x14ac:dyDescent="0.3">
      <c r="A9353">
        <v>9351</v>
      </c>
      <c r="B9353" s="1" t="s">
        <v>12219</v>
      </c>
      <c r="C9353" t="s">
        <v>100</v>
      </c>
      <c r="D9353" s="1" t="s">
        <v>12220</v>
      </c>
    </row>
    <row r="9354" spans="1:4" hidden="1" x14ac:dyDescent="0.3">
      <c r="A9354">
        <v>9352</v>
      </c>
      <c r="B9354" t="s">
        <v>12221</v>
      </c>
      <c r="C9354" t="s">
        <v>103</v>
      </c>
      <c r="D9354">
        <v>7.9951340423742006E-3</v>
      </c>
    </row>
    <row r="9355" spans="1:4" hidden="1" x14ac:dyDescent="0.3">
      <c r="A9355">
        <v>9353</v>
      </c>
      <c r="B9355" t="s">
        <v>12222</v>
      </c>
      <c r="C9355" t="s">
        <v>105</v>
      </c>
      <c r="D9355">
        <v>1.64884509884707E-3</v>
      </c>
    </row>
    <row r="9356" spans="1:4" hidden="1" x14ac:dyDescent="0.3">
      <c r="A9356">
        <v>9354</v>
      </c>
      <c r="B9356" t="s">
        <v>12223</v>
      </c>
      <c r="C9356" t="s">
        <v>107</v>
      </c>
      <c r="D9356">
        <v>1.00294536495373E-2</v>
      </c>
    </row>
    <row r="9357" spans="1:4" hidden="1" x14ac:dyDescent="0.3">
      <c r="A9357">
        <v>9355</v>
      </c>
      <c r="B9357" s="1" t="s">
        <v>12224</v>
      </c>
      <c r="C9357" t="s">
        <v>109</v>
      </c>
      <c r="D9357" s="1" t="s">
        <v>12225</v>
      </c>
    </row>
    <row r="9358" spans="1:4" x14ac:dyDescent="0.3">
      <c r="A9358">
        <v>9356</v>
      </c>
      <c r="B9358" t="s">
        <v>12226</v>
      </c>
      <c r="C9358" t="s">
        <v>207</v>
      </c>
      <c r="D9358">
        <v>142062144.66907799</v>
      </c>
    </row>
    <row r="9359" spans="1:4" hidden="1" x14ac:dyDescent="0.3">
      <c r="A9359">
        <v>9357</v>
      </c>
      <c r="B9359" t="s">
        <v>12227</v>
      </c>
      <c r="C9359" t="s">
        <v>209</v>
      </c>
      <c r="D9359">
        <v>-1581.65929211039</v>
      </c>
    </row>
    <row r="9360" spans="1:4" hidden="1" x14ac:dyDescent="0.3">
      <c r="A9360">
        <v>9358</v>
      </c>
      <c r="B9360" t="s">
        <v>12228</v>
      </c>
      <c r="C9360" t="s">
        <v>211</v>
      </c>
      <c r="D9360">
        <v>-809.49895277945302</v>
      </c>
    </row>
    <row r="9361" spans="1:4" hidden="1" x14ac:dyDescent="0.3">
      <c r="A9361">
        <v>9359</v>
      </c>
      <c r="B9361" s="1" t="s">
        <v>12229</v>
      </c>
      <c r="C9361" t="s">
        <v>213</v>
      </c>
      <c r="D9361" s="1" t="s">
        <v>12230</v>
      </c>
    </row>
    <row r="9362" spans="1:4" hidden="1" x14ac:dyDescent="0.3">
      <c r="A9362">
        <v>9360</v>
      </c>
      <c r="B9362" t="s">
        <v>12231</v>
      </c>
      <c r="C9362" t="s">
        <v>216</v>
      </c>
      <c r="D9362">
        <v>76188147.844111502</v>
      </c>
    </row>
    <row r="9363" spans="1:4" hidden="1" x14ac:dyDescent="0.3">
      <c r="A9363">
        <v>9361</v>
      </c>
      <c r="B9363" t="s">
        <v>12232</v>
      </c>
      <c r="C9363" t="s">
        <v>218</v>
      </c>
      <c r="D9363">
        <v>38993369.938555397</v>
      </c>
    </row>
    <row r="9364" spans="1:4" hidden="1" x14ac:dyDescent="0.3">
      <c r="A9364">
        <v>9362</v>
      </c>
      <c r="B9364" t="s">
        <v>12233</v>
      </c>
      <c r="C9364" t="s">
        <v>220</v>
      </c>
      <c r="D9364">
        <v>26883576.1453478</v>
      </c>
    </row>
    <row r="9365" spans="1:4" hidden="1" x14ac:dyDescent="0.3">
      <c r="A9365">
        <v>9363</v>
      </c>
      <c r="B9365" s="1" t="s">
        <v>12234</v>
      </c>
      <c r="C9365" t="s">
        <v>222</v>
      </c>
      <c r="D9365" s="1" t="s">
        <v>12235</v>
      </c>
    </row>
    <row r="9366" spans="1:4" hidden="1" x14ac:dyDescent="0.3">
      <c r="A9366">
        <v>9364</v>
      </c>
      <c r="B9366" t="s">
        <v>12236</v>
      </c>
      <c r="C9366" t="s">
        <v>225</v>
      </c>
      <c r="D9366">
        <v>101163483.08966701</v>
      </c>
    </row>
    <row r="9367" spans="1:4" hidden="1" x14ac:dyDescent="0.3">
      <c r="A9367">
        <v>9365</v>
      </c>
      <c r="B9367" t="s">
        <v>12237</v>
      </c>
      <c r="C9367" t="s">
        <v>227</v>
      </c>
      <c r="D9367">
        <v>-2100.1450695246399</v>
      </c>
    </row>
    <row r="9368" spans="1:4" hidden="1" x14ac:dyDescent="0.3">
      <c r="A9368">
        <v>9366</v>
      </c>
      <c r="B9368" s="1" t="s">
        <v>12238</v>
      </c>
      <c r="C9368" t="s">
        <v>229</v>
      </c>
      <c r="D9368" s="1" t="s">
        <v>12239</v>
      </c>
    </row>
    <row r="9369" spans="1:4" hidden="1" x14ac:dyDescent="0.3">
      <c r="A9369">
        <v>9367</v>
      </c>
      <c r="B9369" t="s">
        <v>12240</v>
      </c>
      <c r="C9369" t="s">
        <v>112</v>
      </c>
      <c r="D9369">
        <v>563.28894827499698</v>
      </c>
    </row>
    <row r="9370" spans="1:4" hidden="1" x14ac:dyDescent="0.3">
      <c r="A9370">
        <v>9368</v>
      </c>
      <c r="B9370" t="s">
        <v>12241</v>
      </c>
      <c r="C9370" t="s">
        <v>114</v>
      </c>
      <c r="D9370">
        <v>116.238219086931</v>
      </c>
    </row>
    <row r="9371" spans="1:4" hidden="1" x14ac:dyDescent="0.3">
      <c r="A9371">
        <v>9369</v>
      </c>
      <c r="B9371" s="1" t="s">
        <v>12242</v>
      </c>
      <c r="C9371" t="s">
        <v>116</v>
      </c>
      <c r="D9371" s="1" t="s">
        <v>12243</v>
      </c>
    </row>
    <row r="9372" spans="1:4" hidden="1" x14ac:dyDescent="0.3">
      <c r="A9372">
        <v>9370</v>
      </c>
      <c r="B9372" t="s">
        <v>12244</v>
      </c>
      <c r="C9372" t="s">
        <v>119</v>
      </c>
      <c r="D9372">
        <v>76188147.844111502</v>
      </c>
    </row>
    <row r="9373" spans="1:4" hidden="1" x14ac:dyDescent="0.3">
      <c r="A9373">
        <v>9371</v>
      </c>
      <c r="B9373" t="s">
        <v>12245</v>
      </c>
      <c r="C9373" t="s">
        <v>121</v>
      </c>
      <c r="D9373">
        <v>38993369.938555397</v>
      </c>
    </row>
    <row r="9374" spans="1:4" hidden="1" x14ac:dyDescent="0.3">
      <c r="A9374">
        <v>9372</v>
      </c>
      <c r="B9374" s="1" t="s">
        <v>12246</v>
      </c>
      <c r="C9374" t="s">
        <v>123</v>
      </c>
      <c r="D9374" s="1" t="s">
        <v>12247</v>
      </c>
    </row>
    <row r="9375" spans="1:4" hidden="1" x14ac:dyDescent="0.3">
      <c r="A9375">
        <v>9373</v>
      </c>
      <c r="B9375" t="s">
        <v>12248</v>
      </c>
      <c r="C9375" t="s">
        <v>126</v>
      </c>
      <c r="D9375">
        <v>0.75290772026316499</v>
      </c>
    </row>
    <row r="9376" spans="1:4" hidden="1" x14ac:dyDescent="0.3">
      <c r="A9376">
        <v>9374</v>
      </c>
      <c r="B9376" t="s">
        <v>12249</v>
      </c>
      <c r="C9376" t="s">
        <v>128</v>
      </c>
      <c r="D9376">
        <v>0.38534089745673</v>
      </c>
    </row>
    <row r="9377" spans="1:4" hidden="1" x14ac:dyDescent="0.3">
      <c r="A9377">
        <v>9375</v>
      </c>
      <c r="B9377" s="1" t="s">
        <v>12250</v>
      </c>
      <c r="C9377" t="s">
        <v>130</v>
      </c>
      <c r="D9377" s="1" t="s">
        <v>12251</v>
      </c>
    </row>
    <row r="9378" spans="1:4" hidden="1" x14ac:dyDescent="0.3">
      <c r="A9378">
        <v>9376</v>
      </c>
      <c r="B9378" s="1" t="s">
        <v>12252</v>
      </c>
      <c r="C9378" t="s">
        <v>4</v>
      </c>
      <c r="D9378" t="s">
        <v>12253</v>
      </c>
    </row>
    <row r="9379" spans="1:4" hidden="1" x14ac:dyDescent="0.3">
      <c r="A9379">
        <v>9377</v>
      </c>
      <c r="B9379" t="s">
        <v>12254</v>
      </c>
      <c r="C9379" t="s">
        <v>7</v>
      </c>
      <c r="D9379">
        <v>1783.29</v>
      </c>
    </row>
    <row r="9380" spans="1:4" hidden="1" x14ac:dyDescent="0.3">
      <c r="A9380">
        <v>9378</v>
      </c>
      <c r="B9380" s="1" t="s">
        <v>12255</v>
      </c>
      <c r="C9380" t="s">
        <v>9</v>
      </c>
      <c r="D9380" s="1" t="s">
        <v>12256</v>
      </c>
    </row>
    <row r="9381" spans="1:4" hidden="1" x14ac:dyDescent="0.3">
      <c r="A9381">
        <v>9379</v>
      </c>
      <c r="B9381" t="s">
        <v>9840</v>
      </c>
      <c r="C9381" t="s">
        <v>14</v>
      </c>
      <c r="D9381">
        <v>97.24609375</v>
      </c>
    </row>
    <row r="9382" spans="1:4" hidden="1" x14ac:dyDescent="0.3">
      <c r="A9382">
        <v>9380</v>
      </c>
      <c r="B9382" t="s">
        <v>12257</v>
      </c>
      <c r="C9382" t="s">
        <v>16</v>
      </c>
      <c r="D9382">
        <v>4.3941887288416099</v>
      </c>
    </row>
    <row r="9383" spans="1:4" hidden="1" x14ac:dyDescent="0.3">
      <c r="A9383">
        <v>9381</v>
      </c>
      <c r="B9383" s="1" t="s">
        <v>12258</v>
      </c>
      <c r="C9383" t="s">
        <v>140</v>
      </c>
      <c r="D9383" s="1" t="s">
        <v>12259</v>
      </c>
    </row>
    <row r="9384" spans="1:4" hidden="1" x14ac:dyDescent="0.3">
      <c r="A9384">
        <v>9382</v>
      </c>
      <c r="B9384" t="s">
        <v>12260</v>
      </c>
      <c r="C9384" t="s">
        <v>22</v>
      </c>
      <c r="D9384">
        <v>66.599999999999994</v>
      </c>
    </row>
    <row r="9385" spans="1:4" hidden="1" x14ac:dyDescent="0.3">
      <c r="A9385">
        <v>9383</v>
      </c>
      <c r="B9385" t="s">
        <v>12261</v>
      </c>
      <c r="C9385" t="s">
        <v>24</v>
      </c>
      <c r="D9385">
        <v>6.7608913071052799</v>
      </c>
    </row>
    <row r="9386" spans="1:4" hidden="1" x14ac:dyDescent="0.3">
      <c r="A9386">
        <v>9384</v>
      </c>
      <c r="B9386" s="1" t="s">
        <v>12262</v>
      </c>
      <c r="C9386" t="s">
        <v>145</v>
      </c>
      <c r="D9386" s="1" t="s">
        <v>12263</v>
      </c>
    </row>
    <row r="9387" spans="1:4" hidden="1" x14ac:dyDescent="0.3">
      <c r="A9387">
        <v>9385</v>
      </c>
      <c r="B9387" t="s">
        <v>12264</v>
      </c>
      <c r="C9387" t="s">
        <v>35</v>
      </c>
      <c r="D9387">
        <v>-6.6217476975339003E-3</v>
      </c>
    </row>
    <row r="9388" spans="1:4" hidden="1" x14ac:dyDescent="0.3">
      <c r="A9388">
        <v>9386</v>
      </c>
      <c r="B9388" t="s">
        <v>12265</v>
      </c>
      <c r="C9388" t="s">
        <v>149</v>
      </c>
      <c r="D9388">
        <v>0.69432784316926099</v>
      </c>
    </row>
    <row r="9389" spans="1:4" hidden="1" x14ac:dyDescent="0.3">
      <c r="A9389">
        <v>9387</v>
      </c>
      <c r="B9389" s="1" t="s">
        <v>12266</v>
      </c>
      <c r="C9389" t="s">
        <v>151</v>
      </c>
      <c r="D9389" s="1" t="s">
        <v>12267</v>
      </c>
    </row>
    <row r="9390" spans="1:4" hidden="1" x14ac:dyDescent="0.3">
      <c r="A9390">
        <v>9388</v>
      </c>
      <c r="B9390" t="s">
        <v>12268</v>
      </c>
      <c r="C9390" t="s">
        <v>30</v>
      </c>
      <c r="D9390">
        <v>0.38955944061576903</v>
      </c>
    </row>
    <row r="9391" spans="1:4" hidden="1" x14ac:dyDescent="0.3">
      <c r="A9391">
        <v>9389</v>
      </c>
      <c r="B9391" t="s">
        <v>12269</v>
      </c>
      <c r="C9391" t="s">
        <v>32</v>
      </c>
      <c r="D9391">
        <v>0.235486796618851</v>
      </c>
    </row>
    <row r="9392" spans="1:4" hidden="1" x14ac:dyDescent="0.3">
      <c r="A9392">
        <v>9390</v>
      </c>
      <c r="B9392" s="1" t="s">
        <v>12270</v>
      </c>
      <c r="C9392" t="s">
        <v>155</v>
      </c>
      <c r="D9392" s="1" t="s">
        <v>12271</v>
      </c>
    </row>
    <row r="9393" spans="1:4" hidden="1" x14ac:dyDescent="0.3">
      <c r="A9393">
        <v>9391</v>
      </c>
      <c r="B9393" t="s">
        <v>12272</v>
      </c>
      <c r="C9393" t="s">
        <v>40</v>
      </c>
      <c r="D9393">
        <v>0.61706230708176402</v>
      </c>
    </row>
    <row r="9394" spans="1:4" hidden="1" x14ac:dyDescent="0.3">
      <c r="A9394">
        <v>9392</v>
      </c>
      <c r="B9394" t="s">
        <v>12273</v>
      </c>
      <c r="C9394" t="s">
        <v>42</v>
      </c>
      <c r="D9394">
        <v>0.20475502838919701</v>
      </c>
    </row>
    <row r="9395" spans="1:4" hidden="1" x14ac:dyDescent="0.3">
      <c r="A9395">
        <v>9393</v>
      </c>
      <c r="B9395" s="1" t="s">
        <v>12274</v>
      </c>
      <c r="C9395" t="s">
        <v>159</v>
      </c>
      <c r="D9395" s="1" t="s">
        <v>12275</v>
      </c>
    </row>
    <row r="9396" spans="1:4" hidden="1" x14ac:dyDescent="0.3">
      <c r="A9396">
        <v>9394</v>
      </c>
      <c r="B9396" t="s">
        <v>12276</v>
      </c>
      <c r="C9396" t="s">
        <v>161</v>
      </c>
      <c r="D9396">
        <v>1.0082261949184099</v>
      </c>
    </row>
    <row r="9397" spans="1:4" hidden="1" x14ac:dyDescent="0.3">
      <c r="A9397">
        <v>9395</v>
      </c>
      <c r="B9397" t="s">
        <v>12277</v>
      </c>
      <c r="C9397" t="s">
        <v>163</v>
      </c>
      <c r="D9397">
        <v>1.00257122908444</v>
      </c>
    </row>
    <row r="9398" spans="1:4" hidden="1" x14ac:dyDescent="0.3">
      <c r="A9398">
        <v>9396</v>
      </c>
      <c r="B9398" s="1" t="s">
        <v>12278</v>
      </c>
      <c r="C9398" t="s">
        <v>165</v>
      </c>
      <c r="D9398" s="1" t="s">
        <v>12279</v>
      </c>
    </row>
    <row r="9399" spans="1:4" hidden="1" x14ac:dyDescent="0.3">
      <c r="A9399">
        <v>9397</v>
      </c>
      <c r="B9399" t="s">
        <v>12280</v>
      </c>
      <c r="C9399" t="s">
        <v>168</v>
      </c>
      <c r="D9399">
        <v>0.99884875771931203</v>
      </c>
    </row>
    <row r="9400" spans="1:4" hidden="1" x14ac:dyDescent="0.3">
      <c r="A9400">
        <v>9398</v>
      </c>
      <c r="B9400" t="s">
        <v>12281</v>
      </c>
      <c r="C9400" t="s">
        <v>170</v>
      </c>
      <c r="D9400">
        <v>1.00303222248963</v>
      </c>
    </row>
    <row r="9401" spans="1:4" hidden="1" x14ac:dyDescent="0.3">
      <c r="A9401">
        <v>9399</v>
      </c>
      <c r="B9401" s="1" t="s">
        <v>12282</v>
      </c>
      <c r="C9401" t="s">
        <v>172</v>
      </c>
      <c r="D9401" s="1" t="s">
        <v>12283</v>
      </c>
    </row>
    <row r="9402" spans="1:4" hidden="1" x14ac:dyDescent="0.3">
      <c r="A9402">
        <v>9400</v>
      </c>
      <c r="B9402" s="1" t="s">
        <v>12284</v>
      </c>
      <c r="C9402" t="s">
        <v>55</v>
      </c>
      <c r="D9402" s="1" t="s">
        <v>12285</v>
      </c>
    </row>
    <row r="9403" spans="1:4" hidden="1" x14ac:dyDescent="0.3">
      <c r="A9403">
        <v>9401</v>
      </c>
      <c r="B9403" s="1" t="s">
        <v>12286</v>
      </c>
      <c r="C9403" t="s">
        <v>52</v>
      </c>
      <c r="D9403" s="1" t="s">
        <v>12287</v>
      </c>
    </row>
    <row r="9404" spans="1:4" hidden="1" x14ac:dyDescent="0.3">
      <c r="A9404">
        <v>9402</v>
      </c>
      <c r="B9404" s="1" t="s">
        <v>12288</v>
      </c>
      <c r="C9404" t="s">
        <v>58</v>
      </c>
      <c r="D9404" s="1" t="s">
        <v>12289</v>
      </c>
    </row>
    <row r="9405" spans="1:4" hidden="1" x14ac:dyDescent="0.3">
      <c r="A9405">
        <v>9403</v>
      </c>
      <c r="B9405" t="s">
        <v>12290</v>
      </c>
      <c r="C9405" t="s">
        <v>61</v>
      </c>
      <c r="D9405">
        <v>142674819.01526001</v>
      </c>
    </row>
    <row r="9406" spans="1:4" hidden="1" x14ac:dyDescent="0.3">
      <c r="A9406">
        <v>9404</v>
      </c>
      <c r="B9406" t="s">
        <v>12291</v>
      </c>
      <c r="C9406" t="s">
        <v>63</v>
      </c>
      <c r="D9406">
        <v>76814886.398750305</v>
      </c>
    </row>
    <row r="9407" spans="1:4" hidden="1" x14ac:dyDescent="0.3">
      <c r="A9407">
        <v>9405</v>
      </c>
      <c r="B9407" t="s">
        <v>12292</v>
      </c>
      <c r="C9407" t="s">
        <v>65</v>
      </c>
      <c r="D9407">
        <v>39093630.825441897</v>
      </c>
    </row>
    <row r="9408" spans="1:4" hidden="1" x14ac:dyDescent="0.3">
      <c r="A9408">
        <v>9406</v>
      </c>
      <c r="B9408" s="1" t="s">
        <v>12293</v>
      </c>
      <c r="C9408" t="s">
        <v>67</v>
      </c>
      <c r="D9408" s="1" t="s">
        <v>12294</v>
      </c>
    </row>
    <row r="9409" spans="1:4" hidden="1" x14ac:dyDescent="0.3">
      <c r="A9409">
        <v>9407</v>
      </c>
      <c r="B9409" s="1" t="s">
        <v>12295</v>
      </c>
      <c r="C9409" t="s">
        <v>70</v>
      </c>
      <c r="D9409" s="1" t="s">
        <v>12296</v>
      </c>
    </row>
    <row r="9410" spans="1:4" hidden="1" x14ac:dyDescent="0.3">
      <c r="A9410">
        <v>9408</v>
      </c>
      <c r="B9410" t="s">
        <v>12297</v>
      </c>
      <c r="C9410" t="s">
        <v>73</v>
      </c>
      <c r="D9410">
        <v>1.00028070532479</v>
      </c>
    </row>
    <row r="9411" spans="1:4" hidden="1" x14ac:dyDescent="0.3">
      <c r="A9411">
        <v>9409</v>
      </c>
      <c r="B9411" t="s">
        <v>74</v>
      </c>
      <c r="C9411" t="s">
        <v>75</v>
      </c>
      <c r="D9411">
        <v>2.7397260273972599E-3</v>
      </c>
    </row>
    <row r="9412" spans="1:4" hidden="1" x14ac:dyDescent="0.3">
      <c r="A9412">
        <v>9410</v>
      </c>
      <c r="B9412" t="s">
        <v>76</v>
      </c>
      <c r="C9412" t="s">
        <v>77</v>
      </c>
      <c r="D9412">
        <v>0</v>
      </c>
    </row>
    <row r="9413" spans="1:4" hidden="1" x14ac:dyDescent="0.3">
      <c r="A9413">
        <v>9411</v>
      </c>
      <c r="B9413" t="s">
        <v>78</v>
      </c>
      <c r="C9413" t="s">
        <v>79</v>
      </c>
      <c r="D9413">
        <v>0</v>
      </c>
    </row>
    <row r="9414" spans="1:4" hidden="1" x14ac:dyDescent="0.3">
      <c r="A9414">
        <v>9412</v>
      </c>
      <c r="B9414" s="1" t="s">
        <v>12298</v>
      </c>
      <c r="C9414" t="s">
        <v>81</v>
      </c>
      <c r="D9414" s="1" t="s">
        <v>12299</v>
      </c>
    </row>
    <row r="9415" spans="1:4" hidden="1" x14ac:dyDescent="0.3">
      <c r="A9415">
        <v>9413</v>
      </c>
      <c r="B9415" t="s">
        <v>12300</v>
      </c>
      <c r="C9415" t="s">
        <v>84</v>
      </c>
      <c r="D9415">
        <v>1.0003316732697201</v>
      </c>
    </row>
    <row r="9416" spans="1:4" hidden="1" x14ac:dyDescent="0.3">
      <c r="A9416">
        <v>9414</v>
      </c>
      <c r="B9416" s="1" t="s">
        <v>12301</v>
      </c>
      <c r="C9416" t="s">
        <v>86</v>
      </c>
      <c r="D9416" s="1" t="s">
        <v>12302</v>
      </c>
    </row>
    <row r="9417" spans="1:4" hidden="1" x14ac:dyDescent="0.3">
      <c r="A9417">
        <v>9415</v>
      </c>
      <c r="B9417" t="s">
        <v>12303</v>
      </c>
      <c r="C9417" t="s">
        <v>89</v>
      </c>
      <c r="D9417">
        <v>101156228.666338</v>
      </c>
    </row>
    <row r="9418" spans="1:4" hidden="1" x14ac:dyDescent="0.3">
      <c r="A9418">
        <v>9416</v>
      </c>
      <c r="B9418" s="1" t="s">
        <v>12304</v>
      </c>
      <c r="C9418" t="s">
        <v>91</v>
      </c>
      <c r="D9418" s="1" t="s">
        <v>12239</v>
      </c>
    </row>
    <row r="9419" spans="1:4" hidden="1" x14ac:dyDescent="0.3">
      <c r="A9419">
        <v>9417</v>
      </c>
      <c r="B9419" t="s">
        <v>12305</v>
      </c>
      <c r="C9419" t="s">
        <v>94</v>
      </c>
      <c r="D9419">
        <v>76814886.398750305</v>
      </c>
    </row>
    <row r="9420" spans="1:4" hidden="1" x14ac:dyDescent="0.3">
      <c r="A9420">
        <v>9418</v>
      </c>
      <c r="B9420" t="s">
        <v>12306</v>
      </c>
      <c r="C9420" t="s">
        <v>96</v>
      </c>
      <c r="D9420">
        <v>39093630.825441897</v>
      </c>
    </row>
    <row r="9421" spans="1:4" hidden="1" x14ac:dyDescent="0.3">
      <c r="A9421">
        <v>9419</v>
      </c>
      <c r="B9421" t="s">
        <v>12307</v>
      </c>
      <c r="C9421" t="s">
        <v>98</v>
      </c>
      <c r="D9421">
        <v>26766301.791068599</v>
      </c>
    </row>
    <row r="9422" spans="1:4" hidden="1" x14ac:dyDescent="0.3">
      <c r="A9422">
        <v>9420</v>
      </c>
      <c r="B9422" s="1" t="s">
        <v>12308</v>
      </c>
      <c r="C9422" t="s">
        <v>100</v>
      </c>
      <c r="D9422" s="1" t="s">
        <v>12309</v>
      </c>
    </row>
    <row r="9423" spans="1:4" hidden="1" x14ac:dyDescent="0.3">
      <c r="A9423">
        <v>9421</v>
      </c>
      <c r="B9423" t="s">
        <v>12310</v>
      </c>
      <c r="C9423" t="s">
        <v>103</v>
      </c>
      <c r="D9423">
        <v>8.0189879121310998E-3</v>
      </c>
    </row>
    <row r="9424" spans="1:4" hidden="1" x14ac:dyDescent="0.3">
      <c r="A9424">
        <v>9422</v>
      </c>
      <c r="B9424" t="s">
        <v>12311</v>
      </c>
      <c r="C9424" t="s">
        <v>105</v>
      </c>
      <c r="D9424">
        <v>1.6703634953909401E-3</v>
      </c>
    </row>
    <row r="9425" spans="1:4" hidden="1" x14ac:dyDescent="0.3">
      <c r="A9425">
        <v>9423</v>
      </c>
      <c r="B9425" t="s">
        <v>12312</v>
      </c>
      <c r="C9425" t="s">
        <v>107</v>
      </c>
      <c r="D9425">
        <v>1.0008946787533E-2</v>
      </c>
    </row>
    <row r="9426" spans="1:4" hidden="1" x14ac:dyDescent="0.3">
      <c r="A9426">
        <v>9424</v>
      </c>
      <c r="B9426" s="1" t="s">
        <v>12313</v>
      </c>
      <c r="C9426" t="s">
        <v>109</v>
      </c>
      <c r="D9426" s="1" t="s">
        <v>12314</v>
      </c>
    </row>
    <row r="9427" spans="1:4" x14ac:dyDescent="0.3">
      <c r="A9427">
        <v>9425</v>
      </c>
      <c r="B9427" t="s">
        <v>12315</v>
      </c>
      <c r="C9427" t="s">
        <v>207</v>
      </c>
      <c r="D9427">
        <v>142676609.95187199</v>
      </c>
    </row>
    <row r="9428" spans="1:4" hidden="1" x14ac:dyDescent="0.3">
      <c r="A9428">
        <v>9426</v>
      </c>
      <c r="B9428" t="s">
        <v>12316</v>
      </c>
      <c r="C9428" t="s">
        <v>209</v>
      </c>
      <c r="D9428">
        <v>-3914.0613739861301</v>
      </c>
    </row>
    <row r="9429" spans="1:4" hidden="1" x14ac:dyDescent="0.3">
      <c r="A9429">
        <v>9427</v>
      </c>
      <c r="B9429" t="s">
        <v>12317</v>
      </c>
      <c r="C9429" t="s">
        <v>211</v>
      </c>
      <c r="D9429">
        <v>-1991.9817645103999</v>
      </c>
    </row>
    <row r="9430" spans="1:4" hidden="1" x14ac:dyDescent="0.3">
      <c r="A9430">
        <v>9428</v>
      </c>
      <c r="B9430" s="1" t="s">
        <v>12318</v>
      </c>
      <c r="C9430" t="s">
        <v>213</v>
      </c>
      <c r="D9430" s="1" t="s">
        <v>12319</v>
      </c>
    </row>
    <row r="9431" spans="1:4" hidden="1" x14ac:dyDescent="0.3">
      <c r="A9431">
        <v>9429</v>
      </c>
      <c r="B9431" t="s">
        <v>12320</v>
      </c>
      <c r="C9431" t="s">
        <v>216</v>
      </c>
      <c r="D9431">
        <v>76820039.897881597</v>
      </c>
    </row>
    <row r="9432" spans="1:4" hidden="1" x14ac:dyDescent="0.3">
      <c r="A9432">
        <v>9430</v>
      </c>
      <c r="B9432" t="s">
        <v>12321</v>
      </c>
      <c r="C9432" t="s">
        <v>218</v>
      </c>
      <c r="D9432">
        <v>39095993.650631003</v>
      </c>
    </row>
    <row r="9433" spans="1:4" hidden="1" x14ac:dyDescent="0.3">
      <c r="A9433">
        <v>9431</v>
      </c>
      <c r="B9433" t="s">
        <v>12322</v>
      </c>
      <c r="C9433" t="s">
        <v>220</v>
      </c>
      <c r="D9433">
        <v>26767846.2962621</v>
      </c>
    </row>
    <row r="9434" spans="1:4" hidden="1" x14ac:dyDescent="0.3">
      <c r="A9434">
        <v>9432</v>
      </c>
      <c r="B9434" s="1" t="s">
        <v>12323</v>
      </c>
      <c r="C9434" t="s">
        <v>222</v>
      </c>
      <c r="D9434" s="1" t="s">
        <v>12324</v>
      </c>
    </row>
    <row r="9435" spans="1:4" hidden="1" x14ac:dyDescent="0.3">
      <c r="A9435">
        <v>9433</v>
      </c>
      <c r="B9435" t="s">
        <v>12325</v>
      </c>
      <c r="C9435" t="s">
        <v>225</v>
      </c>
      <c r="D9435">
        <v>101161382.94459701</v>
      </c>
    </row>
    <row r="9436" spans="1:4" hidden="1" x14ac:dyDescent="0.3">
      <c r="A9436">
        <v>9434</v>
      </c>
      <c r="B9436" t="s">
        <v>12326</v>
      </c>
      <c r="C9436" t="s">
        <v>227</v>
      </c>
      <c r="D9436">
        <v>-5154.2782592773401</v>
      </c>
    </row>
    <row r="9437" spans="1:4" hidden="1" x14ac:dyDescent="0.3">
      <c r="A9437">
        <v>9435</v>
      </c>
      <c r="B9437" s="1" t="s">
        <v>12327</v>
      </c>
      <c r="C9437" t="s">
        <v>229</v>
      </c>
      <c r="D9437" s="1" t="s">
        <v>12328</v>
      </c>
    </row>
    <row r="9438" spans="1:4" hidden="1" x14ac:dyDescent="0.3">
      <c r="A9438">
        <v>9436</v>
      </c>
      <c r="B9438" t="s">
        <v>12329</v>
      </c>
      <c r="C9438" t="s">
        <v>112</v>
      </c>
      <c r="D9438">
        <v>1239.4377573935201</v>
      </c>
    </row>
    <row r="9439" spans="1:4" hidden="1" x14ac:dyDescent="0.3">
      <c r="A9439">
        <v>9437</v>
      </c>
      <c r="B9439" t="s">
        <v>12330</v>
      </c>
      <c r="C9439" t="s">
        <v>114</v>
      </c>
      <c r="D9439">
        <v>370.84342459640698</v>
      </c>
    </row>
    <row r="9440" spans="1:4" hidden="1" x14ac:dyDescent="0.3">
      <c r="A9440">
        <v>9438</v>
      </c>
      <c r="B9440" s="1" t="s">
        <v>12331</v>
      </c>
      <c r="C9440" t="s">
        <v>116</v>
      </c>
      <c r="D9440" s="1" t="s">
        <v>12332</v>
      </c>
    </row>
    <row r="9441" spans="1:4" hidden="1" x14ac:dyDescent="0.3">
      <c r="A9441">
        <v>9439</v>
      </c>
      <c r="B9441" t="s">
        <v>12333</v>
      </c>
      <c r="C9441" t="s">
        <v>119</v>
      </c>
      <c r="D9441">
        <v>76820039.897881597</v>
      </c>
    </row>
    <row r="9442" spans="1:4" hidden="1" x14ac:dyDescent="0.3">
      <c r="A9442">
        <v>9440</v>
      </c>
      <c r="B9442" t="s">
        <v>12334</v>
      </c>
      <c r="C9442" t="s">
        <v>121</v>
      </c>
      <c r="D9442">
        <v>39095993.650631003</v>
      </c>
    </row>
    <row r="9443" spans="1:4" hidden="1" x14ac:dyDescent="0.3">
      <c r="A9443">
        <v>9441</v>
      </c>
      <c r="B9443" s="1" t="s">
        <v>12335</v>
      </c>
      <c r="C9443" t="s">
        <v>123</v>
      </c>
      <c r="D9443" s="1" t="s">
        <v>12336</v>
      </c>
    </row>
    <row r="9444" spans="1:4" hidden="1" x14ac:dyDescent="0.3">
      <c r="A9444">
        <v>9442</v>
      </c>
      <c r="B9444" t="s">
        <v>12337</v>
      </c>
      <c r="C9444" t="s">
        <v>126</v>
      </c>
      <c r="D9444">
        <v>0.75912929377485805</v>
      </c>
    </row>
    <row r="9445" spans="1:4" hidden="1" x14ac:dyDescent="0.3">
      <c r="A9445">
        <v>9443</v>
      </c>
      <c r="B9445" t="s">
        <v>12338</v>
      </c>
      <c r="C9445" t="s">
        <v>128</v>
      </c>
      <c r="D9445">
        <v>0.38634338238931598</v>
      </c>
    </row>
    <row r="9446" spans="1:4" hidden="1" x14ac:dyDescent="0.3">
      <c r="A9446">
        <v>9444</v>
      </c>
      <c r="B9446" s="1" t="s">
        <v>12339</v>
      </c>
      <c r="C9446" t="s">
        <v>130</v>
      </c>
      <c r="D9446" s="1" t="s">
        <v>12340</v>
      </c>
    </row>
    <row r="9447" spans="1:4" hidden="1" x14ac:dyDescent="0.3">
      <c r="A9447">
        <v>9445</v>
      </c>
      <c r="B9447" s="1" t="s">
        <v>12341</v>
      </c>
      <c r="C9447" t="s">
        <v>4</v>
      </c>
      <c r="D9447" t="s">
        <v>12342</v>
      </c>
    </row>
    <row r="9448" spans="1:4" hidden="1" x14ac:dyDescent="0.3">
      <c r="A9448">
        <v>9446</v>
      </c>
      <c r="B9448" t="s">
        <v>12343</v>
      </c>
      <c r="C9448" t="s">
        <v>7</v>
      </c>
      <c r="D9448">
        <v>1778.67</v>
      </c>
    </row>
    <row r="9449" spans="1:4" hidden="1" x14ac:dyDescent="0.3">
      <c r="A9449">
        <v>9447</v>
      </c>
      <c r="B9449" s="1" t="s">
        <v>12344</v>
      </c>
      <c r="C9449" t="s">
        <v>9</v>
      </c>
      <c r="D9449" s="1" t="s">
        <v>12345</v>
      </c>
    </row>
    <row r="9450" spans="1:4" hidden="1" x14ac:dyDescent="0.3">
      <c r="A9450">
        <v>9448</v>
      </c>
      <c r="B9450" t="s">
        <v>12346</v>
      </c>
      <c r="C9450" t="s">
        <v>14</v>
      </c>
      <c r="D9450">
        <v>96.99609375</v>
      </c>
    </row>
    <row r="9451" spans="1:4" hidden="1" x14ac:dyDescent="0.3">
      <c r="A9451">
        <v>9449</v>
      </c>
      <c r="B9451" t="s">
        <v>12347</v>
      </c>
      <c r="C9451" t="s">
        <v>16</v>
      </c>
      <c r="D9451">
        <v>4.3882024976616298</v>
      </c>
    </row>
    <row r="9452" spans="1:4" hidden="1" x14ac:dyDescent="0.3">
      <c r="A9452">
        <v>9450</v>
      </c>
      <c r="B9452" s="1" t="s">
        <v>12348</v>
      </c>
      <c r="C9452" t="s">
        <v>140</v>
      </c>
      <c r="D9452" s="1" t="s">
        <v>12349</v>
      </c>
    </row>
    <row r="9453" spans="1:4" hidden="1" x14ac:dyDescent="0.3">
      <c r="A9453">
        <v>9451</v>
      </c>
      <c r="B9453" t="s">
        <v>12350</v>
      </c>
      <c r="C9453" t="s">
        <v>22</v>
      </c>
      <c r="D9453">
        <v>67.150000000000006</v>
      </c>
    </row>
    <row r="9454" spans="1:4" hidden="1" x14ac:dyDescent="0.3">
      <c r="A9454">
        <v>9452</v>
      </c>
      <c r="B9454" t="s">
        <v>12351</v>
      </c>
      <c r="C9454" t="s">
        <v>24</v>
      </c>
      <c r="D9454">
        <v>6.6869494636478599</v>
      </c>
    </row>
    <row r="9455" spans="1:4" hidden="1" x14ac:dyDescent="0.3">
      <c r="A9455">
        <v>9453</v>
      </c>
      <c r="B9455" s="1" t="s">
        <v>12352</v>
      </c>
      <c r="C9455" t="s">
        <v>145</v>
      </c>
      <c r="D9455" s="1" t="s">
        <v>12353</v>
      </c>
    </row>
    <row r="9456" spans="1:4" hidden="1" x14ac:dyDescent="0.3">
      <c r="A9456">
        <v>9454</v>
      </c>
      <c r="B9456" t="s">
        <v>12354</v>
      </c>
      <c r="C9456" t="s">
        <v>35</v>
      </c>
      <c r="D9456">
        <v>-0.54085625226786704</v>
      </c>
    </row>
    <row r="9457" spans="1:4" hidden="1" x14ac:dyDescent="0.3">
      <c r="A9457">
        <v>9455</v>
      </c>
      <c r="B9457" t="s">
        <v>12355</v>
      </c>
      <c r="C9457" t="s">
        <v>149</v>
      </c>
      <c r="D9457">
        <v>0.69289929205833301</v>
      </c>
    </row>
    <row r="9458" spans="1:4" hidden="1" x14ac:dyDescent="0.3">
      <c r="A9458">
        <v>9456</v>
      </c>
      <c r="B9458" s="1" t="s">
        <v>12356</v>
      </c>
      <c r="C9458" t="s">
        <v>151</v>
      </c>
      <c r="D9458" s="1" t="s">
        <v>12357</v>
      </c>
    </row>
    <row r="9459" spans="1:4" hidden="1" x14ac:dyDescent="0.3">
      <c r="A9459">
        <v>9457</v>
      </c>
      <c r="B9459" t="s">
        <v>12358</v>
      </c>
      <c r="C9459" t="s">
        <v>30</v>
      </c>
      <c r="D9459">
        <v>0.59396516633569496</v>
      </c>
    </row>
    <row r="9460" spans="1:4" hidden="1" x14ac:dyDescent="0.3">
      <c r="A9460">
        <v>9458</v>
      </c>
      <c r="B9460" t="s">
        <v>12359</v>
      </c>
      <c r="C9460" t="s">
        <v>32</v>
      </c>
      <c r="D9460">
        <v>0.235664305768465</v>
      </c>
    </row>
    <row r="9461" spans="1:4" hidden="1" x14ac:dyDescent="0.3">
      <c r="A9461">
        <v>9459</v>
      </c>
      <c r="B9461" s="1" t="s">
        <v>12360</v>
      </c>
      <c r="C9461" t="s">
        <v>155</v>
      </c>
      <c r="D9461" s="1" t="s">
        <v>12361</v>
      </c>
    </row>
    <row r="9462" spans="1:4" hidden="1" x14ac:dyDescent="0.3">
      <c r="A9462">
        <v>9460</v>
      </c>
      <c r="B9462" t="s">
        <v>12362</v>
      </c>
      <c r="C9462" t="s">
        <v>40</v>
      </c>
      <c r="D9462">
        <v>0.94689108593217097</v>
      </c>
    </row>
    <row r="9463" spans="1:4" hidden="1" x14ac:dyDescent="0.3">
      <c r="A9463">
        <v>9461</v>
      </c>
      <c r="B9463" t="s">
        <v>12363</v>
      </c>
      <c r="C9463" t="s">
        <v>42</v>
      </c>
      <c r="D9463">
        <v>0.20754686714150999</v>
      </c>
    </row>
    <row r="9464" spans="1:4" hidden="1" x14ac:dyDescent="0.3">
      <c r="A9464">
        <v>9462</v>
      </c>
      <c r="B9464" s="1" t="s">
        <v>12364</v>
      </c>
      <c r="C9464" t="s">
        <v>159</v>
      </c>
      <c r="D9464" s="1" t="s">
        <v>12365</v>
      </c>
    </row>
    <row r="9465" spans="1:4" hidden="1" x14ac:dyDescent="0.3">
      <c r="A9465">
        <v>9463</v>
      </c>
      <c r="B9465" t="s">
        <v>12366</v>
      </c>
      <c r="C9465" t="s">
        <v>161</v>
      </c>
      <c r="D9465">
        <v>0.99740928284238595</v>
      </c>
    </row>
    <row r="9466" spans="1:4" hidden="1" x14ac:dyDescent="0.3">
      <c r="A9466">
        <v>9464</v>
      </c>
      <c r="B9466" t="s">
        <v>12367</v>
      </c>
      <c r="C9466" t="s">
        <v>163</v>
      </c>
      <c r="D9466">
        <v>0.99748144903834501</v>
      </c>
    </row>
    <row r="9467" spans="1:4" hidden="1" x14ac:dyDescent="0.3">
      <c r="A9467">
        <v>9465</v>
      </c>
      <c r="B9467" s="1" t="s">
        <v>12368</v>
      </c>
      <c r="C9467" t="s">
        <v>165</v>
      </c>
      <c r="D9467" s="1" t="s">
        <v>12369</v>
      </c>
    </row>
    <row r="9468" spans="1:4" hidden="1" x14ac:dyDescent="0.3">
      <c r="A9468">
        <v>9466</v>
      </c>
      <c r="B9468" t="s">
        <v>12370</v>
      </c>
      <c r="C9468" t="s">
        <v>168</v>
      </c>
      <c r="D9468">
        <v>0.99915686263630299</v>
      </c>
    </row>
    <row r="9469" spans="1:4" hidden="1" x14ac:dyDescent="0.3">
      <c r="A9469">
        <v>9467</v>
      </c>
      <c r="B9469" t="s">
        <v>12371</v>
      </c>
      <c r="C9469" t="s">
        <v>170</v>
      </c>
      <c r="D9469">
        <v>1.0001436754727699</v>
      </c>
    </row>
    <row r="9470" spans="1:4" hidden="1" x14ac:dyDescent="0.3">
      <c r="A9470">
        <v>9468</v>
      </c>
      <c r="B9470" s="1" t="s">
        <v>12372</v>
      </c>
      <c r="C9470" t="s">
        <v>172</v>
      </c>
      <c r="D9470" s="1" t="s">
        <v>12373</v>
      </c>
    </row>
    <row r="9471" spans="1:4" hidden="1" x14ac:dyDescent="0.3">
      <c r="A9471">
        <v>9469</v>
      </c>
      <c r="B9471" s="1" t="s">
        <v>12374</v>
      </c>
      <c r="C9471" t="s">
        <v>55</v>
      </c>
      <c r="D9471" s="1" t="s">
        <v>12375</v>
      </c>
    </row>
    <row r="9472" spans="1:4" hidden="1" x14ac:dyDescent="0.3">
      <c r="A9472">
        <v>9470</v>
      </c>
      <c r="B9472" s="1" t="s">
        <v>12376</v>
      </c>
      <c r="C9472" t="s">
        <v>52</v>
      </c>
      <c r="D9472" s="1" t="s">
        <v>12377</v>
      </c>
    </row>
    <row r="9473" spans="1:4" hidden="1" x14ac:dyDescent="0.3">
      <c r="A9473">
        <v>9471</v>
      </c>
      <c r="B9473" s="1" t="s">
        <v>12378</v>
      </c>
      <c r="C9473" t="s">
        <v>58</v>
      </c>
      <c r="D9473" s="1" t="s">
        <v>12379</v>
      </c>
    </row>
    <row r="9474" spans="1:4" hidden="1" x14ac:dyDescent="0.3">
      <c r="A9474">
        <v>9472</v>
      </c>
      <c r="B9474" t="s">
        <v>12380</v>
      </c>
      <c r="C9474" t="s">
        <v>61</v>
      </c>
      <c r="D9474">
        <v>142560099.205724</v>
      </c>
    </row>
    <row r="9475" spans="1:4" hidden="1" x14ac:dyDescent="0.3">
      <c r="A9475">
        <v>9473</v>
      </c>
      <c r="B9475" t="s">
        <v>12381</v>
      </c>
      <c r="C9475" t="s">
        <v>63</v>
      </c>
      <c r="D9475">
        <v>76621020.902469695</v>
      </c>
    </row>
    <row r="9476" spans="1:4" hidden="1" x14ac:dyDescent="0.3">
      <c r="A9476">
        <v>9474</v>
      </c>
      <c r="B9476" t="s">
        <v>12382</v>
      </c>
      <c r="C9476" t="s">
        <v>65</v>
      </c>
      <c r="D9476">
        <v>38997528.3982253</v>
      </c>
    </row>
    <row r="9477" spans="1:4" hidden="1" x14ac:dyDescent="0.3">
      <c r="A9477">
        <v>9475</v>
      </c>
      <c r="B9477" s="1" t="s">
        <v>12383</v>
      </c>
      <c r="C9477" t="s">
        <v>67</v>
      </c>
      <c r="D9477" s="1" t="s">
        <v>12384</v>
      </c>
    </row>
    <row r="9478" spans="1:4" hidden="1" x14ac:dyDescent="0.3">
      <c r="A9478">
        <v>9476</v>
      </c>
      <c r="B9478" s="1" t="s">
        <v>12385</v>
      </c>
      <c r="C9478" t="s">
        <v>70</v>
      </c>
      <c r="D9478" s="1" t="s">
        <v>12386</v>
      </c>
    </row>
    <row r="9479" spans="1:4" hidden="1" x14ac:dyDescent="0.3">
      <c r="A9479">
        <v>9477</v>
      </c>
      <c r="B9479" t="s">
        <v>12387</v>
      </c>
      <c r="C9479" t="s">
        <v>73</v>
      </c>
      <c r="D9479">
        <v>1.0003316732697201</v>
      </c>
    </row>
    <row r="9480" spans="1:4" hidden="1" x14ac:dyDescent="0.3">
      <c r="A9480">
        <v>9478</v>
      </c>
      <c r="B9480" t="s">
        <v>74</v>
      </c>
      <c r="C9480" t="s">
        <v>75</v>
      </c>
      <c r="D9480">
        <v>2.7397260273972599E-3</v>
      </c>
    </row>
    <row r="9481" spans="1:4" hidden="1" x14ac:dyDescent="0.3">
      <c r="A9481">
        <v>9479</v>
      </c>
      <c r="B9481" t="s">
        <v>76</v>
      </c>
      <c r="C9481" t="s">
        <v>77</v>
      </c>
      <c r="D9481">
        <v>0</v>
      </c>
    </row>
    <row r="9482" spans="1:4" hidden="1" x14ac:dyDescent="0.3">
      <c r="A9482">
        <v>9480</v>
      </c>
      <c r="B9482" t="s">
        <v>78</v>
      </c>
      <c r="C9482" t="s">
        <v>79</v>
      </c>
      <c r="D9482">
        <v>0</v>
      </c>
    </row>
    <row r="9483" spans="1:4" hidden="1" x14ac:dyDescent="0.3">
      <c r="A9483">
        <v>9481</v>
      </c>
      <c r="B9483" s="1" t="s">
        <v>12388</v>
      </c>
      <c r="C9483" t="s">
        <v>81</v>
      </c>
      <c r="D9483" s="1" t="s">
        <v>12389</v>
      </c>
    </row>
    <row r="9484" spans="1:4" hidden="1" x14ac:dyDescent="0.3">
      <c r="A9484">
        <v>9482</v>
      </c>
      <c r="B9484" t="s">
        <v>12390</v>
      </c>
      <c r="C9484" t="s">
        <v>84</v>
      </c>
      <c r="D9484">
        <v>1.00034112997117</v>
      </c>
    </row>
    <row r="9485" spans="1:4" hidden="1" x14ac:dyDescent="0.3">
      <c r="A9485">
        <v>9483</v>
      </c>
      <c r="B9485" s="1" t="s">
        <v>12391</v>
      </c>
      <c r="C9485" t="s">
        <v>86</v>
      </c>
      <c r="D9485" s="1" t="s">
        <v>12392</v>
      </c>
    </row>
    <row r="9486" spans="1:4" hidden="1" x14ac:dyDescent="0.3">
      <c r="A9486">
        <v>9484</v>
      </c>
      <c r="B9486" t="s">
        <v>12393</v>
      </c>
      <c r="C9486" t="s">
        <v>89</v>
      </c>
      <c r="D9486">
        <v>101155272.388299</v>
      </c>
    </row>
    <row r="9487" spans="1:4" hidden="1" x14ac:dyDescent="0.3">
      <c r="A9487">
        <v>9485</v>
      </c>
      <c r="B9487" s="1" t="s">
        <v>12394</v>
      </c>
      <c r="C9487" t="s">
        <v>91</v>
      </c>
      <c r="D9487" s="1" t="s">
        <v>12328</v>
      </c>
    </row>
    <row r="9488" spans="1:4" hidden="1" x14ac:dyDescent="0.3">
      <c r="A9488">
        <v>9486</v>
      </c>
      <c r="B9488" t="s">
        <v>12395</v>
      </c>
      <c r="C9488" t="s">
        <v>94</v>
      </c>
      <c r="D9488">
        <v>76621020.902469695</v>
      </c>
    </row>
    <row r="9489" spans="1:4" hidden="1" x14ac:dyDescent="0.3">
      <c r="A9489">
        <v>9487</v>
      </c>
      <c r="B9489" t="s">
        <v>12396</v>
      </c>
      <c r="C9489" t="s">
        <v>96</v>
      </c>
      <c r="D9489">
        <v>38997528.3982253</v>
      </c>
    </row>
    <row r="9490" spans="1:4" hidden="1" x14ac:dyDescent="0.3">
      <c r="A9490">
        <v>9488</v>
      </c>
      <c r="B9490" t="s">
        <v>12397</v>
      </c>
      <c r="C9490" t="s">
        <v>98</v>
      </c>
      <c r="D9490">
        <v>26941549.9050292</v>
      </c>
    </row>
    <row r="9491" spans="1:4" hidden="1" x14ac:dyDescent="0.3">
      <c r="A9491">
        <v>9489</v>
      </c>
      <c r="B9491" s="1" t="s">
        <v>12398</v>
      </c>
      <c r="C9491" t="s">
        <v>100</v>
      </c>
      <c r="D9491" s="1" t="s">
        <v>12399</v>
      </c>
    </row>
    <row r="9492" spans="1:4" hidden="1" x14ac:dyDescent="0.3">
      <c r="A9492">
        <v>9490</v>
      </c>
      <c r="B9492" t="s">
        <v>12400</v>
      </c>
      <c r="C9492" t="s">
        <v>103</v>
      </c>
      <c r="D9492">
        <v>8.0631509782673194E-3</v>
      </c>
    </row>
    <row r="9493" spans="1:4" hidden="1" x14ac:dyDescent="0.3">
      <c r="A9493">
        <v>9491</v>
      </c>
      <c r="B9493" t="s">
        <v>12401</v>
      </c>
      <c r="C9493" t="s">
        <v>105</v>
      </c>
      <c r="D9493">
        <v>1.67713978284389E-3</v>
      </c>
    </row>
    <row r="9494" spans="1:4" hidden="1" x14ac:dyDescent="0.3">
      <c r="A9494">
        <v>9492</v>
      </c>
      <c r="B9494" t="s">
        <v>12402</v>
      </c>
      <c r="C9494" t="s">
        <v>107</v>
      </c>
      <c r="D9494">
        <v>1.0008226308728E-2</v>
      </c>
    </row>
    <row r="9495" spans="1:4" hidden="1" x14ac:dyDescent="0.3">
      <c r="A9495">
        <v>9493</v>
      </c>
      <c r="B9495" s="1" t="s">
        <v>12403</v>
      </c>
      <c r="C9495" t="s">
        <v>109</v>
      </c>
      <c r="D9495" s="1" t="s">
        <v>12404</v>
      </c>
    </row>
    <row r="9496" spans="1:4" x14ac:dyDescent="0.3">
      <c r="A9496">
        <v>9494</v>
      </c>
      <c r="B9496" t="s">
        <v>12405</v>
      </c>
      <c r="C9496" t="s">
        <v>207</v>
      </c>
      <c r="D9496">
        <v>142560431.777309</v>
      </c>
    </row>
    <row r="9497" spans="1:4" hidden="1" x14ac:dyDescent="0.3">
      <c r="A9497">
        <v>9495</v>
      </c>
      <c r="B9497" t="s">
        <v>12406</v>
      </c>
      <c r="C9497" t="s">
        <v>209</v>
      </c>
      <c r="D9497">
        <v>-724.34430473674695</v>
      </c>
    </row>
    <row r="9498" spans="1:4" hidden="1" x14ac:dyDescent="0.3">
      <c r="A9498">
        <v>9496</v>
      </c>
      <c r="B9498" t="s">
        <v>12407</v>
      </c>
      <c r="C9498" t="s">
        <v>211</v>
      </c>
      <c r="D9498">
        <v>-368.66620222264299</v>
      </c>
    </row>
    <row r="9499" spans="1:4" hidden="1" x14ac:dyDescent="0.3">
      <c r="A9499">
        <v>9497</v>
      </c>
      <c r="B9499" s="1" t="s">
        <v>12408</v>
      </c>
      <c r="C9499" t="s">
        <v>213</v>
      </c>
      <c r="D9499" s="1" t="s">
        <v>12409</v>
      </c>
    </row>
    <row r="9500" spans="1:4" hidden="1" x14ac:dyDescent="0.3">
      <c r="A9500">
        <v>9498</v>
      </c>
      <c r="B9500" t="s">
        <v>12410</v>
      </c>
      <c r="C9500" t="s">
        <v>216</v>
      </c>
      <c r="D9500">
        <v>76622002.314853296</v>
      </c>
    </row>
    <row r="9501" spans="1:4" hidden="1" x14ac:dyDescent="0.3">
      <c r="A9501">
        <v>9499</v>
      </c>
      <c r="B9501" t="s">
        <v>12411</v>
      </c>
      <c r="C9501" t="s">
        <v>218</v>
      </c>
      <c r="D9501">
        <v>38997949.477048501</v>
      </c>
    </row>
    <row r="9502" spans="1:4" hidden="1" x14ac:dyDescent="0.3">
      <c r="A9502">
        <v>9500</v>
      </c>
      <c r="B9502" t="s">
        <v>12412</v>
      </c>
      <c r="C9502" t="s">
        <v>220</v>
      </c>
      <c r="D9502">
        <v>26941827.689851701</v>
      </c>
    </row>
    <row r="9503" spans="1:4" hidden="1" x14ac:dyDescent="0.3">
      <c r="A9503">
        <v>9501</v>
      </c>
      <c r="B9503" s="1" t="s">
        <v>12413</v>
      </c>
      <c r="C9503" t="s">
        <v>222</v>
      </c>
      <c r="D9503" s="1" t="s">
        <v>12414</v>
      </c>
    </row>
    <row r="9504" spans="1:4" hidden="1" x14ac:dyDescent="0.3">
      <c r="A9504">
        <v>9502</v>
      </c>
      <c r="B9504" t="s">
        <v>12415</v>
      </c>
      <c r="C9504" t="s">
        <v>225</v>
      </c>
      <c r="D9504">
        <v>101156228.666338</v>
      </c>
    </row>
    <row r="9505" spans="1:4" hidden="1" x14ac:dyDescent="0.3">
      <c r="A9505">
        <v>9503</v>
      </c>
      <c r="B9505" t="s">
        <v>12416</v>
      </c>
      <c r="C9505" t="s">
        <v>227</v>
      </c>
      <c r="D9505">
        <v>-956.27803906798295</v>
      </c>
    </row>
    <row r="9506" spans="1:4" hidden="1" x14ac:dyDescent="0.3">
      <c r="A9506">
        <v>9504</v>
      </c>
      <c r="B9506" s="1" t="s">
        <v>12417</v>
      </c>
      <c r="C9506" t="s">
        <v>229</v>
      </c>
      <c r="D9506" s="1" t="s">
        <v>12418</v>
      </c>
    </row>
    <row r="9507" spans="1:4" hidden="1" x14ac:dyDescent="0.3">
      <c r="A9507">
        <v>9505</v>
      </c>
      <c r="B9507" t="s">
        <v>12419</v>
      </c>
      <c r="C9507" t="s">
        <v>112</v>
      </c>
      <c r="D9507">
        <v>257.06807886624898</v>
      </c>
    </row>
    <row r="9508" spans="1:4" hidden="1" x14ac:dyDescent="0.3">
      <c r="A9508">
        <v>9506</v>
      </c>
      <c r="B9508" t="s">
        <v>12420</v>
      </c>
      <c r="C9508" t="s">
        <v>114</v>
      </c>
      <c r="D9508">
        <v>52.412621003598197</v>
      </c>
    </row>
    <row r="9509" spans="1:4" hidden="1" x14ac:dyDescent="0.3">
      <c r="A9509">
        <v>9507</v>
      </c>
      <c r="B9509" s="1" t="s">
        <v>12421</v>
      </c>
      <c r="C9509" t="s">
        <v>116</v>
      </c>
      <c r="D9509" s="1" t="s">
        <v>12422</v>
      </c>
    </row>
    <row r="9510" spans="1:4" hidden="1" x14ac:dyDescent="0.3">
      <c r="A9510">
        <v>9508</v>
      </c>
      <c r="B9510" t="s">
        <v>12423</v>
      </c>
      <c r="C9510" t="s">
        <v>119</v>
      </c>
      <c r="D9510">
        <v>76622002.314853296</v>
      </c>
    </row>
    <row r="9511" spans="1:4" hidden="1" x14ac:dyDescent="0.3">
      <c r="A9511">
        <v>9509</v>
      </c>
      <c r="B9511" t="s">
        <v>12424</v>
      </c>
      <c r="C9511" t="s">
        <v>121</v>
      </c>
      <c r="D9511">
        <v>38997949.477048501</v>
      </c>
    </row>
    <row r="9512" spans="1:4" hidden="1" x14ac:dyDescent="0.3">
      <c r="A9512">
        <v>9510</v>
      </c>
      <c r="B9512" s="1" t="s">
        <v>12425</v>
      </c>
      <c r="C9512" t="s">
        <v>123</v>
      </c>
      <c r="D9512" s="1" t="s">
        <v>12426</v>
      </c>
    </row>
    <row r="9513" spans="1:4" hidden="1" x14ac:dyDescent="0.3">
      <c r="A9513">
        <v>9511</v>
      </c>
      <c r="B9513" t="s">
        <v>12427</v>
      </c>
      <c r="C9513" t="s">
        <v>126</v>
      </c>
      <c r="D9513">
        <v>0.75720372513587297</v>
      </c>
    </row>
    <row r="9514" spans="1:4" hidden="1" x14ac:dyDescent="0.3">
      <c r="A9514">
        <v>9512</v>
      </c>
      <c r="B9514" t="s">
        <v>12428</v>
      </c>
      <c r="C9514" t="s">
        <v>128</v>
      </c>
      <c r="D9514">
        <v>0.38539051087885001</v>
      </c>
    </row>
    <row r="9515" spans="1:4" hidden="1" x14ac:dyDescent="0.3">
      <c r="A9515">
        <v>9513</v>
      </c>
      <c r="B9515" s="1" t="s">
        <v>12429</v>
      </c>
      <c r="C9515" t="s">
        <v>130</v>
      </c>
      <c r="D9515" s="1" t="s">
        <v>12430</v>
      </c>
    </row>
    <row r="9516" spans="1:4" hidden="1" x14ac:dyDescent="0.3">
      <c r="A9516">
        <v>9514</v>
      </c>
      <c r="B9516" s="1" t="s">
        <v>12431</v>
      </c>
      <c r="C9516" t="s">
        <v>4</v>
      </c>
      <c r="D9516" t="s">
        <v>12432</v>
      </c>
    </row>
    <row r="9517" spans="1:4" hidden="1" x14ac:dyDescent="0.3">
      <c r="A9517">
        <v>9515</v>
      </c>
      <c r="B9517" t="s">
        <v>12433</v>
      </c>
      <c r="C9517" t="s">
        <v>7</v>
      </c>
      <c r="D9517">
        <v>1784.13</v>
      </c>
    </row>
    <row r="9518" spans="1:4" hidden="1" x14ac:dyDescent="0.3">
      <c r="A9518">
        <v>9516</v>
      </c>
      <c r="B9518" s="1" t="s">
        <v>12434</v>
      </c>
      <c r="C9518" t="s">
        <v>9</v>
      </c>
      <c r="D9518" s="1" t="s">
        <v>12435</v>
      </c>
    </row>
    <row r="9519" spans="1:4" hidden="1" x14ac:dyDescent="0.3">
      <c r="A9519">
        <v>9517</v>
      </c>
      <c r="B9519" t="s">
        <v>12436</v>
      </c>
      <c r="C9519" t="s">
        <v>14</v>
      </c>
      <c r="D9519">
        <v>96.80078125</v>
      </c>
    </row>
    <row r="9520" spans="1:4" hidden="1" x14ac:dyDescent="0.3">
      <c r="A9520">
        <v>9518</v>
      </c>
      <c r="B9520" t="s">
        <v>12437</v>
      </c>
      <c r="C9520" t="s">
        <v>16</v>
      </c>
      <c r="D9520">
        <v>4.3845237733518001</v>
      </c>
    </row>
    <row r="9521" spans="1:4" hidden="1" x14ac:dyDescent="0.3">
      <c r="A9521">
        <v>9519</v>
      </c>
      <c r="B9521" s="1" t="s">
        <v>12438</v>
      </c>
      <c r="C9521" t="s">
        <v>140</v>
      </c>
      <c r="D9521" s="1" t="s">
        <v>12439</v>
      </c>
    </row>
    <row r="9522" spans="1:4" hidden="1" x14ac:dyDescent="0.3">
      <c r="A9522">
        <v>9520</v>
      </c>
      <c r="B9522" t="s">
        <v>12440</v>
      </c>
      <c r="C9522" t="s">
        <v>22</v>
      </c>
      <c r="D9522">
        <v>66.900000000000006</v>
      </c>
    </row>
    <row r="9523" spans="1:4" hidden="1" x14ac:dyDescent="0.3">
      <c r="A9523">
        <v>9521</v>
      </c>
      <c r="B9523" t="s">
        <v>12441</v>
      </c>
      <c r="C9523" t="s">
        <v>24</v>
      </c>
      <c r="D9523">
        <v>6.6638057931522701</v>
      </c>
    </row>
    <row r="9524" spans="1:4" hidden="1" x14ac:dyDescent="0.3">
      <c r="A9524">
        <v>9522</v>
      </c>
      <c r="B9524" s="1" t="s">
        <v>12442</v>
      </c>
      <c r="C9524" t="s">
        <v>145</v>
      </c>
      <c r="D9524" s="1" t="s">
        <v>12443</v>
      </c>
    </row>
    <row r="9525" spans="1:4" hidden="1" x14ac:dyDescent="0.3">
      <c r="A9525">
        <v>9523</v>
      </c>
      <c r="B9525" t="s">
        <v>12444</v>
      </c>
      <c r="C9525" t="s">
        <v>35</v>
      </c>
      <c r="D9525">
        <v>-2.0787780794324199E-2</v>
      </c>
    </row>
    <row r="9526" spans="1:4" hidden="1" x14ac:dyDescent="0.3">
      <c r="A9526">
        <v>9524</v>
      </c>
      <c r="B9526" t="s">
        <v>12445</v>
      </c>
      <c r="C9526" t="s">
        <v>149</v>
      </c>
      <c r="D9526">
        <v>0.69190811259997698</v>
      </c>
    </row>
    <row r="9527" spans="1:4" hidden="1" x14ac:dyDescent="0.3">
      <c r="A9527">
        <v>9525</v>
      </c>
      <c r="B9527" s="1" t="s">
        <v>12446</v>
      </c>
      <c r="C9527" t="s">
        <v>151</v>
      </c>
      <c r="D9527" s="1" t="s">
        <v>12447</v>
      </c>
    </row>
    <row r="9528" spans="1:4" hidden="1" x14ac:dyDescent="0.3">
      <c r="A9528">
        <v>9526</v>
      </c>
      <c r="B9528" t="s">
        <v>12448</v>
      </c>
      <c r="C9528" t="s">
        <v>30</v>
      </c>
      <c r="D9528">
        <v>0.39111679452751902</v>
      </c>
    </row>
    <row r="9529" spans="1:4" hidden="1" x14ac:dyDescent="0.3">
      <c r="A9529">
        <v>9527</v>
      </c>
      <c r="B9529" t="s">
        <v>12449</v>
      </c>
      <c r="C9529" t="s">
        <v>32</v>
      </c>
      <c r="D9529">
        <v>0.236814297455546</v>
      </c>
    </row>
    <row r="9530" spans="1:4" hidden="1" x14ac:dyDescent="0.3">
      <c r="A9530">
        <v>9528</v>
      </c>
      <c r="B9530" s="1" t="s">
        <v>12450</v>
      </c>
      <c r="C9530" t="s">
        <v>155</v>
      </c>
      <c r="D9530" s="1" t="s">
        <v>12451</v>
      </c>
    </row>
    <row r="9531" spans="1:4" hidden="1" x14ac:dyDescent="0.3">
      <c r="A9531">
        <v>9529</v>
      </c>
      <c r="B9531" t="s">
        <v>12452</v>
      </c>
      <c r="C9531" t="s">
        <v>40</v>
      </c>
      <c r="D9531">
        <v>0.62967098626680496</v>
      </c>
    </row>
    <row r="9532" spans="1:4" hidden="1" x14ac:dyDescent="0.3">
      <c r="A9532">
        <v>9530</v>
      </c>
      <c r="B9532" t="s">
        <v>12453</v>
      </c>
      <c r="C9532" t="s">
        <v>42</v>
      </c>
      <c r="D9532">
        <v>0.20846431944389701</v>
      </c>
    </row>
    <row r="9533" spans="1:4" hidden="1" x14ac:dyDescent="0.3">
      <c r="A9533">
        <v>9531</v>
      </c>
      <c r="B9533" s="1" t="s">
        <v>12454</v>
      </c>
      <c r="C9533" t="s">
        <v>159</v>
      </c>
      <c r="D9533" s="1" t="s">
        <v>12455</v>
      </c>
    </row>
    <row r="9534" spans="1:4" hidden="1" x14ac:dyDescent="0.3">
      <c r="A9534">
        <v>9532</v>
      </c>
      <c r="B9534" t="s">
        <v>12456</v>
      </c>
      <c r="C9534" t="s">
        <v>161</v>
      </c>
      <c r="D9534">
        <v>1.0030697093895999</v>
      </c>
    </row>
    <row r="9535" spans="1:4" hidden="1" x14ac:dyDescent="0.3">
      <c r="A9535">
        <v>9533</v>
      </c>
      <c r="B9535" t="s">
        <v>12457</v>
      </c>
      <c r="C9535" t="s">
        <v>163</v>
      </c>
      <c r="D9535">
        <v>0.99803725792184095</v>
      </c>
    </row>
    <row r="9536" spans="1:4" hidden="1" x14ac:dyDescent="0.3">
      <c r="A9536">
        <v>9534</v>
      </c>
      <c r="B9536" s="1" t="s">
        <v>12458</v>
      </c>
      <c r="C9536" t="s">
        <v>165</v>
      </c>
      <c r="D9536" s="1" t="s">
        <v>12459</v>
      </c>
    </row>
    <row r="9537" spans="1:4" hidden="1" x14ac:dyDescent="0.3">
      <c r="A9537">
        <v>9535</v>
      </c>
      <c r="B9537" t="s">
        <v>12460</v>
      </c>
      <c r="C9537" t="s">
        <v>168</v>
      </c>
      <c r="D9537">
        <v>0.99941450772470197</v>
      </c>
    </row>
    <row r="9538" spans="1:4" hidden="1" x14ac:dyDescent="0.3">
      <c r="A9538">
        <v>9536</v>
      </c>
      <c r="B9538" t="s">
        <v>12461</v>
      </c>
      <c r="C9538" t="s">
        <v>170</v>
      </c>
      <c r="D9538">
        <v>1.0009306667528599</v>
      </c>
    </row>
    <row r="9539" spans="1:4" hidden="1" x14ac:dyDescent="0.3">
      <c r="A9539">
        <v>9537</v>
      </c>
      <c r="B9539" s="1" t="s">
        <v>12462</v>
      </c>
      <c r="C9539" t="s">
        <v>172</v>
      </c>
      <c r="D9539" s="1" t="s">
        <v>12463</v>
      </c>
    </row>
    <row r="9540" spans="1:4" hidden="1" x14ac:dyDescent="0.3">
      <c r="A9540">
        <v>9538</v>
      </c>
      <c r="B9540" s="1" t="s">
        <v>12464</v>
      </c>
      <c r="C9540" t="s">
        <v>55</v>
      </c>
      <c r="D9540" s="1" t="s">
        <v>12465</v>
      </c>
    </row>
    <row r="9541" spans="1:4" hidden="1" x14ac:dyDescent="0.3">
      <c r="A9541">
        <v>9539</v>
      </c>
      <c r="B9541" s="1" t="s">
        <v>12466</v>
      </c>
      <c r="C9541" t="s">
        <v>52</v>
      </c>
      <c r="D9541" s="1" t="s">
        <v>12467</v>
      </c>
    </row>
    <row r="9542" spans="1:4" hidden="1" x14ac:dyDescent="0.3">
      <c r="A9542">
        <v>9540</v>
      </c>
      <c r="B9542" s="1" t="s">
        <v>12468</v>
      </c>
      <c r="C9542" t="s">
        <v>58</v>
      </c>
      <c r="D9542" s="1" t="s">
        <v>12469</v>
      </c>
    </row>
    <row r="9543" spans="1:4" hidden="1" x14ac:dyDescent="0.3">
      <c r="A9543">
        <v>9541</v>
      </c>
      <c r="B9543" t="s">
        <v>12470</v>
      </c>
      <c r="C9543" t="s">
        <v>61</v>
      </c>
      <c r="D9543">
        <v>142620778.43715599</v>
      </c>
    </row>
    <row r="9544" spans="1:4" hidden="1" x14ac:dyDescent="0.3">
      <c r="A9544">
        <v>9542</v>
      </c>
      <c r="B9544" t="s">
        <v>12471</v>
      </c>
      <c r="C9544" t="s">
        <v>63</v>
      </c>
      <c r="D9544">
        <v>76857209.5948091</v>
      </c>
    </row>
    <row r="9545" spans="1:4" hidden="1" x14ac:dyDescent="0.3">
      <c r="A9545">
        <v>9543</v>
      </c>
      <c r="B9545" t="s">
        <v>12472</v>
      </c>
      <c r="C9545" t="s">
        <v>65</v>
      </c>
      <c r="D9545">
        <v>38921406.560648002</v>
      </c>
    </row>
    <row r="9546" spans="1:4" hidden="1" x14ac:dyDescent="0.3">
      <c r="A9546">
        <v>9544</v>
      </c>
      <c r="B9546" s="1" t="s">
        <v>12473</v>
      </c>
      <c r="C9546" t="s">
        <v>67</v>
      </c>
      <c r="D9546" s="1" t="s">
        <v>12474</v>
      </c>
    </row>
    <row r="9547" spans="1:4" hidden="1" x14ac:dyDescent="0.3">
      <c r="A9547">
        <v>9545</v>
      </c>
      <c r="B9547" s="1" t="s">
        <v>12475</v>
      </c>
      <c r="C9547" t="s">
        <v>70</v>
      </c>
      <c r="D9547" s="1" t="s">
        <v>12476</v>
      </c>
    </row>
    <row r="9548" spans="1:4" hidden="1" x14ac:dyDescent="0.3">
      <c r="A9548">
        <v>9546</v>
      </c>
      <c r="B9548" t="s">
        <v>12477</v>
      </c>
      <c r="C9548" t="s">
        <v>73</v>
      </c>
      <c r="D9548">
        <v>1.00034112997117</v>
      </c>
    </row>
    <row r="9549" spans="1:4" hidden="1" x14ac:dyDescent="0.3">
      <c r="A9549">
        <v>9547</v>
      </c>
      <c r="B9549" t="s">
        <v>74</v>
      </c>
      <c r="C9549" t="s">
        <v>75</v>
      </c>
      <c r="D9549">
        <v>2.7397260273972599E-3</v>
      </c>
    </row>
    <row r="9550" spans="1:4" hidden="1" x14ac:dyDescent="0.3">
      <c r="A9550">
        <v>9548</v>
      </c>
      <c r="B9550" t="s">
        <v>76</v>
      </c>
      <c r="C9550" t="s">
        <v>77</v>
      </c>
      <c r="D9550">
        <v>0</v>
      </c>
    </row>
    <row r="9551" spans="1:4" hidden="1" x14ac:dyDescent="0.3">
      <c r="A9551">
        <v>9549</v>
      </c>
      <c r="B9551" t="s">
        <v>1459</v>
      </c>
      <c r="C9551" t="s">
        <v>79</v>
      </c>
      <c r="D9551" s="2">
        <v>-2.2204460492503101E-16</v>
      </c>
    </row>
    <row r="9552" spans="1:4" hidden="1" x14ac:dyDescent="0.3">
      <c r="A9552">
        <v>9550</v>
      </c>
      <c r="B9552" s="1" t="s">
        <v>12478</v>
      </c>
      <c r="C9552" t="s">
        <v>81</v>
      </c>
      <c r="D9552" s="1" t="s">
        <v>12479</v>
      </c>
    </row>
    <row r="9553" spans="1:4" hidden="1" x14ac:dyDescent="0.3">
      <c r="A9553">
        <v>9551</v>
      </c>
      <c r="B9553" t="s">
        <v>12480</v>
      </c>
      <c r="C9553" t="s">
        <v>84</v>
      </c>
      <c r="D9553">
        <v>1.0003118222798799</v>
      </c>
    </row>
    <row r="9554" spans="1:4" hidden="1" x14ac:dyDescent="0.3">
      <c r="A9554">
        <v>9552</v>
      </c>
      <c r="B9554" s="1" t="s">
        <v>12481</v>
      </c>
      <c r="C9554" t="s">
        <v>86</v>
      </c>
      <c r="D9554" s="1" t="s">
        <v>12482</v>
      </c>
    </row>
    <row r="9555" spans="1:4" hidden="1" x14ac:dyDescent="0.3">
      <c r="A9555">
        <v>9553</v>
      </c>
      <c r="B9555" t="s">
        <v>12483</v>
      </c>
      <c r="C9555" t="s">
        <v>89</v>
      </c>
      <c r="D9555">
        <v>101158236.091646</v>
      </c>
    </row>
    <row r="9556" spans="1:4" hidden="1" x14ac:dyDescent="0.3">
      <c r="A9556">
        <v>9554</v>
      </c>
      <c r="B9556" s="1" t="s">
        <v>12484</v>
      </c>
      <c r="C9556" t="s">
        <v>91</v>
      </c>
      <c r="D9556" s="1" t="s">
        <v>12418</v>
      </c>
    </row>
    <row r="9557" spans="1:4" hidden="1" x14ac:dyDescent="0.3">
      <c r="A9557">
        <v>9555</v>
      </c>
      <c r="B9557" t="s">
        <v>12485</v>
      </c>
      <c r="C9557" t="s">
        <v>94</v>
      </c>
      <c r="D9557">
        <v>76857209.5948091</v>
      </c>
    </row>
    <row r="9558" spans="1:4" hidden="1" x14ac:dyDescent="0.3">
      <c r="A9558">
        <v>9556</v>
      </c>
      <c r="B9558" t="s">
        <v>12486</v>
      </c>
      <c r="C9558" t="s">
        <v>96</v>
      </c>
      <c r="D9558">
        <v>38921406.560648002</v>
      </c>
    </row>
    <row r="9559" spans="1:4" hidden="1" x14ac:dyDescent="0.3">
      <c r="A9559">
        <v>9557</v>
      </c>
      <c r="B9559" t="s">
        <v>12487</v>
      </c>
      <c r="C9559" t="s">
        <v>98</v>
      </c>
      <c r="D9559">
        <v>26842162.2816987</v>
      </c>
    </row>
    <row r="9560" spans="1:4" hidden="1" x14ac:dyDescent="0.3">
      <c r="A9560">
        <v>9558</v>
      </c>
      <c r="B9560" s="1" t="s">
        <v>12488</v>
      </c>
      <c r="C9560" t="s">
        <v>100</v>
      </c>
      <c r="D9560" s="1" t="s">
        <v>12489</v>
      </c>
    </row>
    <row r="9561" spans="1:4" hidden="1" x14ac:dyDescent="0.3">
      <c r="A9561">
        <v>9559</v>
      </c>
      <c r="B9561" t="s">
        <v>12490</v>
      </c>
      <c r="C9561" t="s">
        <v>103</v>
      </c>
      <c r="D9561">
        <v>8.0607642084136195E-3</v>
      </c>
    </row>
    <row r="9562" spans="1:4" hidden="1" x14ac:dyDescent="0.3">
      <c r="A9562">
        <v>9560</v>
      </c>
      <c r="B9562" t="s">
        <v>12491</v>
      </c>
      <c r="C9562" t="s">
        <v>105</v>
      </c>
      <c r="D9562">
        <v>1.6802946973794399E-3</v>
      </c>
    </row>
    <row r="9563" spans="1:4" hidden="1" x14ac:dyDescent="0.3">
      <c r="A9563">
        <v>9561</v>
      </c>
      <c r="B9563" t="s">
        <v>12492</v>
      </c>
      <c r="C9563" t="s">
        <v>107</v>
      </c>
      <c r="D9563">
        <v>9.9870751321288406E-3</v>
      </c>
    </row>
    <row r="9564" spans="1:4" hidden="1" x14ac:dyDescent="0.3">
      <c r="A9564">
        <v>9562</v>
      </c>
      <c r="B9564" s="1" t="s">
        <v>12493</v>
      </c>
      <c r="C9564" t="s">
        <v>109</v>
      </c>
      <c r="D9564" s="1" t="s">
        <v>12494</v>
      </c>
    </row>
    <row r="9565" spans="1:4" x14ac:dyDescent="0.3">
      <c r="A9565">
        <v>9563</v>
      </c>
      <c r="B9565" t="s">
        <v>12495</v>
      </c>
      <c r="C9565" t="s">
        <v>207</v>
      </c>
      <c r="D9565">
        <v>142619747.850912</v>
      </c>
    </row>
    <row r="9566" spans="1:4" hidden="1" x14ac:dyDescent="0.3">
      <c r="A9566">
        <v>9564</v>
      </c>
      <c r="B9566" t="s">
        <v>12496</v>
      </c>
      <c r="C9566" t="s">
        <v>209</v>
      </c>
      <c r="D9566">
        <v>2251.7158326328099</v>
      </c>
    </row>
    <row r="9567" spans="1:4" hidden="1" x14ac:dyDescent="0.3">
      <c r="A9567">
        <v>9565</v>
      </c>
      <c r="B9567" t="s">
        <v>12497</v>
      </c>
      <c r="C9567" t="s">
        <v>211</v>
      </c>
      <c r="D9567">
        <v>1140.3028609528401</v>
      </c>
    </row>
    <row r="9568" spans="1:4" hidden="1" x14ac:dyDescent="0.3">
      <c r="A9568">
        <v>9566</v>
      </c>
      <c r="B9568" s="1" t="s">
        <v>12498</v>
      </c>
      <c r="C9568" t="s">
        <v>213</v>
      </c>
      <c r="D9568" s="1" t="s">
        <v>12499</v>
      </c>
    </row>
    <row r="9569" spans="1:4" hidden="1" x14ac:dyDescent="0.3">
      <c r="A9569">
        <v>9567</v>
      </c>
      <c r="B9569" t="s">
        <v>12500</v>
      </c>
      <c r="C9569" t="s">
        <v>216</v>
      </c>
      <c r="D9569">
        <v>76854159.0484166</v>
      </c>
    </row>
    <row r="9570" spans="1:4" hidden="1" x14ac:dyDescent="0.3">
      <c r="A9570">
        <v>9568</v>
      </c>
      <c r="B9570" t="s">
        <v>12501</v>
      </c>
      <c r="C9570" t="s">
        <v>218</v>
      </c>
      <c r="D9570">
        <v>38920105.356529303</v>
      </c>
    </row>
    <row r="9571" spans="1:4" hidden="1" x14ac:dyDescent="0.3">
      <c r="A9571">
        <v>9569</v>
      </c>
      <c r="B9571" t="s">
        <v>12502</v>
      </c>
      <c r="C9571" t="s">
        <v>220</v>
      </c>
      <c r="D9571">
        <v>26841305.015812401</v>
      </c>
    </row>
    <row r="9572" spans="1:4" hidden="1" x14ac:dyDescent="0.3">
      <c r="A9572">
        <v>9570</v>
      </c>
      <c r="B9572" s="1" t="s">
        <v>12503</v>
      </c>
      <c r="C9572" t="s">
        <v>222</v>
      </c>
      <c r="D9572" s="1" t="s">
        <v>12504</v>
      </c>
    </row>
    <row r="9573" spans="1:4" hidden="1" x14ac:dyDescent="0.3">
      <c r="A9573">
        <v>9571</v>
      </c>
      <c r="B9573" t="s">
        <v>12505</v>
      </c>
      <c r="C9573" t="s">
        <v>225</v>
      </c>
      <c r="D9573">
        <v>101155272.388299</v>
      </c>
    </row>
    <row r="9574" spans="1:4" hidden="1" x14ac:dyDescent="0.3">
      <c r="A9574">
        <v>9572</v>
      </c>
      <c r="B9574" t="s">
        <v>12506</v>
      </c>
      <c r="C9574" t="s">
        <v>227</v>
      </c>
      <c r="D9574">
        <v>2963.7033468484801</v>
      </c>
    </row>
    <row r="9575" spans="1:4" hidden="1" x14ac:dyDescent="0.3">
      <c r="A9575">
        <v>9573</v>
      </c>
      <c r="B9575" s="1" t="s">
        <v>12507</v>
      </c>
      <c r="C9575" t="s">
        <v>229</v>
      </c>
      <c r="D9575" s="1" t="s">
        <v>12508</v>
      </c>
    </row>
    <row r="9576" spans="1:4" hidden="1" x14ac:dyDescent="0.3">
      <c r="A9576">
        <v>9574</v>
      </c>
      <c r="B9576" t="s">
        <v>12509</v>
      </c>
      <c r="C9576" t="s">
        <v>112</v>
      </c>
      <c r="D9576">
        <v>-798.83055982798896</v>
      </c>
    </row>
    <row r="9577" spans="1:4" hidden="1" x14ac:dyDescent="0.3">
      <c r="A9577">
        <v>9575</v>
      </c>
      <c r="B9577" t="s">
        <v>12510</v>
      </c>
      <c r="C9577" t="s">
        <v>114</v>
      </c>
      <c r="D9577">
        <v>-160.90125777994001</v>
      </c>
    </row>
    <row r="9578" spans="1:4" hidden="1" x14ac:dyDescent="0.3">
      <c r="A9578">
        <v>9576</v>
      </c>
      <c r="B9578" s="1" t="s">
        <v>12511</v>
      </c>
      <c r="C9578" t="s">
        <v>116</v>
      </c>
      <c r="D9578" s="1" t="s">
        <v>12512</v>
      </c>
    </row>
    <row r="9579" spans="1:4" hidden="1" x14ac:dyDescent="0.3">
      <c r="A9579">
        <v>9577</v>
      </c>
      <c r="B9579" t="s">
        <v>12513</v>
      </c>
      <c r="C9579" t="s">
        <v>119</v>
      </c>
      <c r="D9579">
        <v>76854159.0484166</v>
      </c>
    </row>
    <row r="9580" spans="1:4" hidden="1" x14ac:dyDescent="0.3">
      <c r="A9580">
        <v>9578</v>
      </c>
      <c r="B9580" t="s">
        <v>12514</v>
      </c>
      <c r="C9580" t="s">
        <v>121</v>
      </c>
      <c r="D9580">
        <v>38920105.356529303</v>
      </c>
    </row>
    <row r="9581" spans="1:4" hidden="1" x14ac:dyDescent="0.3">
      <c r="A9581">
        <v>9579</v>
      </c>
      <c r="B9581" s="1" t="s">
        <v>12515</v>
      </c>
      <c r="C9581" t="s">
        <v>123</v>
      </c>
      <c r="D9581" s="1" t="s">
        <v>12516</v>
      </c>
    </row>
    <row r="9582" spans="1:4" hidden="1" x14ac:dyDescent="0.3">
      <c r="A9582">
        <v>9580</v>
      </c>
      <c r="B9582" t="s">
        <v>12517</v>
      </c>
      <c r="C9582" t="s">
        <v>126</v>
      </c>
      <c r="D9582">
        <v>0.759527406390058</v>
      </c>
    </row>
    <row r="9583" spans="1:4" hidden="1" x14ac:dyDescent="0.3">
      <c r="A9583">
        <v>9581</v>
      </c>
      <c r="B9583" t="s">
        <v>12518</v>
      </c>
      <c r="C9583" t="s">
        <v>128</v>
      </c>
      <c r="D9583">
        <v>0.38463613477638497</v>
      </c>
    </row>
    <row r="9584" spans="1:4" hidden="1" x14ac:dyDescent="0.3">
      <c r="A9584">
        <v>9582</v>
      </c>
      <c r="B9584" s="1" t="s">
        <v>12519</v>
      </c>
      <c r="C9584" t="s">
        <v>130</v>
      </c>
      <c r="D9584" s="1" t="s">
        <v>12520</v>
      </c>
    </row>
    <row r="9585" spans="1:4" hidden="1" x14ac:dyDescent="0.3">
      <c r="A9585">
        <v>9583</v>
      </c>
      <c r="B9585" s="1" t="s">
        <v>12521</v>
      </c>
      <c r="C9585" t="s">
        <v>4</v>
      </c>
      <c r="D9585" t="s">
        <v>12522</v>
      </c>
    </row>
    <row r="9586" spans="1:4" hidden="1" x14ac:dyDescent="0.3">
      <c r="A9586">
        <v>9584</v>
      </c>
      <c r="B9586" t="s">
        <v>12523</v>
      </c>
      <c r="C9586" t="s">
        <v>7</v>
      </c>
      <c r="D9586">
        <v>1782.99</v>
      </c>
    </row>
    <row r="9587" spans="1:4" hidden="1" x14ac:dyDescent="0.3">
      <c r="A9587">
        <v>9585</v>
      </c>
      <c r="B9587" s="1" t="s">
        <v>12524</v>
      </c>
      <c r="C9587" t="s">
        <v>9</v>
      </c>
      <c r="D9587" s="1" t="s">
        <v>12525</v>
      </c>
    </row>
    <row r="9588" spans="1:4" hidden="1" x14ac:dyDescent="0.3">
      <c r="A9588">
        <v>9586</v>
      </c>
      <c r="B9588" t="s">
        <v>12526</v>
      </c>
      <c r="C9588" t="s">
        <v>14</v>
      </c>
      <c r="D9588">
        <v>96.73828125</v>
      </c>
    </row>
    <row r="9589" spans="1:4" hidden="1" x14ac:dyDescent="0.3">
      <c r="A9589">
        <v>9587</v>
      </c>
      <c r="B9589" t="s">
        <v>12527</v>
      </c>
      <c r="C9589" t="s">
        <v>16</v>
      </c>
      <c r="D9589">
        <v>4.3814773352179701</v>
      </c>
    </row>
    <row r="9590" spans="1:4" hidden="1" x14ac:dyDescent="0.3">
      <c r="A9590">
        <v>9588</v>
      </c>
      <c r="B9590" s="1" t="s">
        <v>12528</v>
      </c>
      <c r="C9590" t="s">
        <v>140</v>
      </c>
      <c r="D9590" s="1" t="s">
        <v>12529</v>
      </c>
    </row>
    <row r="9591" spans="1:4" hidden="1" x14ac:dyDescent="0.3">
      <c r="A9591">
        <v>9589</v>
      </c>
      <c r="B9591" t="s">
        <v>12350</v>
      </c>
      <c r="C9591" t="s">
        <v>22</v>
      </c>
      <c r="D9591">
        <v>67.150000000000006</v>
      </c>
    </row>
    <row r="9592" spans="1:4" hidden="1" x14ac:dyDescent="0.3">
      <c r="A9592">
        <v>9590</v>
      </c>
      <c r="B9592" t="s">
        <v>12530</v>
      </c>
      <c r="C9592" t="s">
        <v>24</v>
      </c>
      <c r="D9592">
        <v>6.6364432407468996</v>
      </c>
    </row>
    <row r="9593" spans="1:4" hidden="1" x14ac:dyDescent="0.3">
      <c r="A9593">
        <v>9591</v>
      </c>
      <c r="B9593" s="1" t="s">
        <v>12531</v>
      </c>
      <c r="C9593" t="s">
        <v>145</v>
      </c>
      <c r="D9593" s="1" t="s">
        <v>12532</v>
      </c>
    </row>
    <row r="9594" spans="1:4" hidden="1" x14ac:dyDescent="0.3">
      <c r="A9594">
        <v>9592</v>
      </c>
      <c r="B9594" t="s">
        <v>12533</v>
      </c>
      <c r="C9594" t="s">
        <v>35</v>
      </c>
      <c r="D9594">
        <v>-0.31013248312969399</v>
      </c>
    </row>
    <row r="9595" spans="1:4" hidden="1" x14ac:dyDescent="0.3">
      <c r="A9595">
        <v>9593</v>
      </c>
      <c r="B9595" t="s">
        <v>12534</v>
      </c>
      <c r="C9595" t="s">
        <v>149</v>
      </c>
      <c r="D9595">
        <v>0.69115005374969296</v>
      </c>
    </row>
    <row r="9596" spans="1:4" hidden="1" x14ac:dyDescent="0.3">
      <c r="A9596">
        <v>9594</v>
      </c>
      <c r="B9596" s="1" t="s">
        <v>12535</v>
      </c>
      <c r="C9596" t="s">
        <v>151</v>
      </c>
      <c r="D9596" s="1" t="s">
        <v>12536</v>
      </c>
    </row>
    <row r="9597" spans="1:4" hidden="1" x14ac:dyDescent="0.3">
      <c r="A9597">
        <v>9595</v>
      </c>
      <c r="B9597" t="s">
        <v>12537</v>
      </c>
      <c r="C9597" t="s">
        <v>30</v>
      </c>
      <c r="D9597">
        <v>0.510728093160976</v>
      </c>
    </row>
    <row r="9598" spans="1:4" hidden="1" x14ac:dyDescent="0.3">
      <c r="A9598">
        <v>9596</v>
      </c>
      <c r="B9598" t="s">
        <v>12538</v>
      </c>
      <c r="C9598" t="s">
        <v>32</v>
      </c>
      <c r="D9598">
        <v>0.23652898443617301</v>
      </c>
    </row>
    <row r="9599" spans="1:4" hidden="1" x14ac:dyDescent="0.3">
      <c r="A9599">
        <v>9597</v>
      </c>
      <c r="B9599" s="1" t="s">
        <v>12539</v>
      </c>
      <c r="C9599" t="s">
        <v>155</v>
      </c>
      <c r="D9599" s="1" t="s">
        <v>12540</v>
      </c>
    </row>
    <row r="9600" spans="1:4" hidden="1" x14ac:dyDescent="0.3">
      <c r="A9600">
        <v>9598</v>
      </c>
      <c r="B9600" t="s">
        <v>12541</v>
      </c>
      <c r="C9600" t="s">
        <v>40</v>
      </c>
      <c r="D9600">
        <v>0.79940438996871799</v>
      </c>
    </row>
    <row r="9601" spans="1:4" hidden="1" x14ac:dyDescent="0.3">
      <c r="A9601">
        <v>9599</v>
      </c>
      <c r="B9601" t="s">
        <v>12542</v>
      </c>
      <c r="C9601" t="s">
        <v>42</v>
      </c>
      <c r="D9601">
        <v>0.21033482549150301</v>
      </c>
    </row>
    <row r="9602" spans="1:4" hidden="1" x14ac:dyDescent="0.3">
      <c r="A9602">
        <v>9600</v>
      </c>
      <c r="B9602" s="1" t="s">
        <v>12543</v>
      </c>
      <c r="C9602" t="s">
        <v>159</v>
      </c>
      <c r="D9602" s="1" t="s">
        <v>12544</v>
      </c>
    </row>
    <row r="9603" spans="1:4" hidden="1" x14ac:dyDescent="0.3">
      <c r="A9603">
        <v>9601</v>
      </c>
      <c r="B9603" t="s">
        <v>12545</v>
      </c>
      <c r="C9603" t="s">
        <v>161</v>
      </c>
      <c r="D9603">
        <v>0.99936103310857305</v>
      </c>
    </row>
    <row r="9604" spans="1:4" hidden="1" x14ac:dyDescent="0.3">
      <c r="A9604">
        <v>9602</v>
      </c>
      <c r="B9604" t="s">
        <v>12546</v>
      </c>
      <c r="C9604" t="s">
        <v>163</v>
      </c>
      <c r="D9604">
        <v>0.99935221386031503</v>
      </c>
    </row>
    <row r="9605" spans="1:4" hidden="1" x14ac:dyDescent="0.3">
      <c r="A9605">
        <v>9603</v>
      </c>
      <c r="B9605" s="1" t="s">
        <v>12547</v>
      </c>
      <c r="C9605" t="s">
        <v>165</v>
      </c>
      <c r="D9605" s="1" t="s">
        <v>12548</v>
      </c>
    </row>
    <row r="9606" spans="1:4" hidden="1" x14ac:dyDescent="0.3">
      <c r="A9606">
        <v>9604</v>
      </c>
      <c r="B9606" t="s">
        <v>12549</v>
      </c>
      <c r="C9606" t="s">
        <v>168</v>
      </c>
      <c r="D9606">
        <v>0.99955195034255195</v>
      </c>
    </row>
    <row r="9607" spans="1:4" hidden="1" x14ac:dyDescent="0.3">
      <c r="A9607">
        <v>9605</v>
      </c>
      <c r="B9607" t="s">
        <v>12550</v>
      </c>
      <c r="C9607" t="s">
        <v>170</v>
      </c>
      <c r="D9607">
        <v>0.99976931620214804</v>
      </c>
    </row>
    <row r="9608" spans="1:4" hidden="1" x14ac:dyDescent="0.3">
      <c r="A9608">
        <v>9606</v>
      </c>
      <c r="B9608" s="1" t="s">
        <v>12551</v>
      </c>
      <c r="C9608" t="s">
        <v>172</v>
      </c>
      <c r="D9608" s="1" t="s">
        <v>12552</v>
      </c>
    </row>
    <row r="9609" spans="1:4" hidden="1" x14ac:dyDescent="0.3">
      <c r="A9609">
        <v>9607</v>
      </c>
      <c r="B9609" s="1" t="s">
        <v>12553</v>
      </c>
      <c r="C9609" t="s">
        <v>55</v>
      </c>
      <c r="D9609" s="1" t="s">
        <v>12554</v>
      </c>
    </row>
    <row r="9610" spans="1:4" hidden="1" x14ac:dyDescent="0.3">
      <c r="A9610">
        <v>9608</v>
      </c>
      <c r="B9610" s="1" t="s">
        <v>12555</v>
      </c>
      <c r="C9610" t="s">
        <v>52</v>
      </c>
      <c r="D9610" s="1" t="s">
        <v>12556</v>
      </c>
    </row>
    <row r="9611" spans="1:4" hidden="1" x14ac:dyDescent="0.3">
      <c r="A9611">
        <v>9609</v>
      </c>
      <c r="B9611" s="1" t="s">
        <v>12557</v>
      </c>
      <c r="C9611" t="s">
        <v>58</v>
      </c>
      <c r="D9611" s="1" t="s">
        <v>12558</v>
      </c>
    </row>
    <row r="9612" spans="1:4" hidden="1" x14ac:dyDescent="0.3">
      <c r="A9612">
        <v>9610</v>
      </c>
      <c r="B9612" t="s">
        <v>12559</v>
      </c>
      <c r="C9612" t="s">
        <v>61</v>
      </c>
      <c r="D9612">
        <v>142622484.21803999</v>
      </c>
    </row>
    <row r="9613" spans="1:4" hidden="1" x14ac:dyDescent="0.3">
      <c r="A9613">
        <v>9611</v>
      </c>
      <c r="B9613" t="s">
        <v>12560</v>
      </c>
      <c r="C9613" t="s">
        <v>63</v>
      </c>
      <c r="D9613">
        <v>76805051.785316303</v>
      </c>
    </row>
    <row r="9614" spans="1:4" hidden="1" x14ac:dyDescent="0.3">
      <c r="A9614">
        <v>9612</v>
      </c>
      <c r="B9614" t="s">
        <v>12561</v>
      </c>
      <c r="C9614" t="s">
        <v>65</v>
      </c>
      <c r="D9614">
        <v>38894893.451724298</v>
      </c>
    </row>
    <row r="9615" spans="1:4" hidden="1" x14ac:dyDescent="0.3">
      <c r="A9615">
        <v>9613</v>
      </c>
      <c r="B9615" s="1" t="s">
        <v>12562</v>
      </c>
      <c r="C9615" t="s">
        <v>67</v>
      </c>
      <c r="D9615" s="1" t="s">
        <v>12563</v>
      </c>
    </row>
    <row r="9616" spans="1:4" hidden="1" x14ac:dyDescent="0.3">
      <c r="A9616">
        <v>9614</v>
      </c>
      <c r="B9616" s="1" t="s">
        <v>12564</v>
      </c>
      <c r="C9616" t="s">
        <v>70</v>
      </c>
      <c r="D9616" s="1" t="s">
        <v>12565</v>
      </c>
    </row>
    <row r="9617" spans="1:4" hidden="1" x14ac:dyDescent="0.3">
      <c r="A9617">
        <v>9615</v>
      </c>
      <c r="B9617" t="s">
        <v>12566</v>
      </c>
      <c r="C9617" t="s">
        <v>73</v>
      </c>
      <c r="D9617">
        <v>1.0003118222798799</v>
      </c>
    </row>
    <row r="9618" spans="1:4" hidden="1" x14ac:dyDescent="0.3">
      <c r="A9618">
        <v>9616</v>
      </c>
      <c r="B9618" t="s">
        <v>74</v>
      </c>
      <c r="C9618" t="s">
        <v>75</v>
      </c>
      <c r="D9618">
        <v>2.7397260273972599E-3</v>
      </c>
    </row>
    <row r="9619" spans="1:4" hidden="1" x14ac:dyDescent="0.3">
      <c r="A9619">
        <v>9617</v>
      </c>
      <c r="B9619" t="s">
        <v>76</v>
      </c>
      <c r="C9619" t="s">
        <v>77</v>
      </c>
      <c r="D9619">
        <v>0</v>
      </c>
    </row>
    <row r="9620" spans="1:4" hidden="1" x14ac:dyDescent="0.3">
      <c r="A9620">
        <v>9618</v>
      </c>
      <c r="B9620" t="s">
        <v>78</v>
      </c>
      <c r="C9620" t="s">
        <v>79</v>
      </c>
      <c r="D9620">
        <v>0</v>
      </c>
    </row>
    <row r="9621" spans="1:4" hidden="1" x14ac:dyDescent="0.3">
      <c r="A9621">
        <v>9619</v>
      </c>
      <c r="B9621" s="1" t="s">
        <v>12567</v>
      </c>
      <c r="C9621" t="s">
        <v>81</v>
      </c>
      <c r="D9621" s="1" t="s">
        <v>12568</v>
      </c>
    </row>
    <row r="9622" spans="1:4" hidden="1" x14ac:dyDescent="0.3">
      <c r="A9622">
        <v>9620</v>
      </c>
      <c r="B9622" t="s">
        <v>12569</v>
      </c>
      <c r="C9622" t="s">
        <v>84</v>
      </c>
      <c r="D9622">
        <v>1.00034858159072</v>
      </c>
    </row>
    <row r="9623" spans="1:4" hidden="1" x14ac:dyDescent="0.3">
      <c r="A9623">
        <v>9621</v>
      </c>
      <c r="B9623" s="1" t="s">
        <v>12570</v>
      </c>
      <c r="C9623" t="s">
        <v>86</v>
      </c>
      <c r="D9623" s="1" t="s">
        <v>12571</v>
      </c>
    </row>
    <row r="9624" spans="1:4" hidden="1" x14ac:dyDescent="0.3">
      <c r="A9624">
        <v>9622</v>
      </c>
      <c r="B9624" t="s">
        <v>12572</v>
      </c>
      <c r="C9624" t="s">
        <v>89</v>
      </c>
      <c r="D9624">
        <v>101154518.880353</v>
      </c>
    </row>
    <row r="9625" spans="1:4" hidden="1" x14ac:dyDescent="0.3">
      <c r="A9625">
        <v>9623</v>
      </c>
      <c r="B9625" s="1" t="s">
        <v>12573</v>
      </c>
      <c r="C9625" t="s">
        <v>91</v>
      </c>
      <c r="D9625" s="1" t="s">
        <v>12508</v>
      </c>
    </row>
    <row r="9626" spans="1:4" hidden="1" x14ac:dyDescent="0.3">
      <c r="A9626">
        <v>9624</v>
      </c>
      <c r="B9626" t="s">
        <v>12574</v>
      </c>
      <c r="C9626" t="s">
        <v>94</v>
      </c>
      <c r="D9626">
        <v>76805051.785316303</v>
      </c>
    </row>
    <row r="9627" spans="1:4" hidden="1" x14ac:dyDescent="0.3">
      <c r="A9627">
        <v>9625</v>
      </c>
      <c r="B9627" t="s">
        <v>12575</v>
      </c>
      <c r="C9627" t="s">
        <v>96</v>
      </c>
      <c r="D9627">
        <v>38894893.451724298</v>
      </c>
    </row>
    <row r="9628" spans="1:4" hidden="1" x14ac:dyDescent="0.3">
      <c r="A9628">
        <v>9626</v>
      </c>
      <c r="B9628" t="s">
        <v>12576</v>
      </c>
      <c r="C9628" t="s">
        <v>98</v>
      </c>
      <c r="D9628">
        <v>26922538.980999399</v>
      </c>
    </row>
    <row r="9629" spans="1:4" hidden="1" x14ac:dyDescent="0.3">
      <c r="A9629">
        <v>9627</v>
      </c>
      <c r="B9629" s="1" t="s">
        <v>12577</v>
      </c>
      <c r="C9629" t="s">
        <v>100</v>
      </c>
      <c r="D9629" s="1" t="s">
        <v>12578</v>
      </c>
    </row>
    <row r="9630" spans="1:4" hidden="1" x14ac:dyDescent="0.3">
      <c r="A9630">
        <v>9628</v>
      </c>
      <c r="B9630" t="s">
        <v>12579</v>
      </c>
      <c r="C9630" t="s">
        <v>103</v>
      </c>
      <c r="D9630">
        <v>8.0665303652626193E-3</v>
      </c>
    </row>
    <row r="9631" spans="1:4" hidden="1" x14ac:dyDescent="0.3">
      <c r="A9631">
        <v>9629</v>
      </c>
      <c r="B9631" t="s">
        <v>12580</v>
      </c>
      <c r="C9631" t="s">
        <v>105</v>
      </c>
      <c r="D9631">
        <v>1.68075053417027E-3</v>
      </c>
    </row>
    <row r="9632" spans="1:4" hidden="1" x14ac:dyDescent="0.3">
      <c r="A9632">
        <v>9630</v>
      </c>
      <c r="B9632" t="s">
        <v>12581</v>
      </c>
      <c r="C9632" t="s">
        <v>107</v>
      </c>
      <c r="D9632">
        <v>9.9194231333610498E-3</v>
      </c>
    </row>
    <row r="9633" spans="1:4" hidden="1" x14ac:dyDescent="0.3">
      <c r="A9633">
        <v>9631</v>
      </c>
      <c r="B9633" s="1" t="s">
        <v>12582</v>
      </c>
      <c r="C9633" t="s">
        <v>109</v>
      </c>
      <c r="D9633" s="1" t="s">
        <v>12583</v>
      </c>
    </row>
    <row r="9634" spans="1:4" x14ac:dyDescent="0.3">
      <c r="A9634">
        <v>9632</v>
      </c>
      <c r="B9634" t="s">
        <v>12584</v>
      </c>
      <c r="C9634" t="s">
        <v>207</v>
      </c>
      <c r="D9634">
        <v>142623777.12846899</v>
      </c>
    </row>
    <row r="9635" spans="1:4" hidden="1" x14ac:dyDescent="0.3">
      <c r="A9635">
        <v>9633</v>
      </c>
      <c r="B9635" t="s">
        <v>12585</v>
      </c>
      <c r="C9635" t="s">
        <v>209</v>
      </c>
      <c r="D9635">
        <v>-2822.4547332362799</v>
      </c>
    </row>
    <row r="9636" spans="1:4" hidden="1" x14ac:dyDescent="0.3">
      <c r="A9636">
        <v>9634</v>
      </c>
      <c r="B9636" t="s">
        <v>12586</v>
      </c>
      <c r="C9636" t="s">
        <v>211</v>
      </c>
      <c r="D9636">
        <v>-1429.3139576844101</v>
      </c>
    </row>
    <row r="9637" spans="1:4" hidden="1" x14ac:dyDescent="0.3">
      <c r="A9637">
        <v>9635</v>
      </c>
      <c r="B9637" s="1" t="s">
        <v>12587</v>
      </c>
      <c r="C9637" t="s">
        <v>213</v>
      </c>
      <c r="D9637" s="1" t="s">
        <v>12588</v>
      </c>
    </row>
    <row r="9638" spans="1:4" hidden="1" x14ac:dyDescent="0.3">
      <c r="A9638">
        <v>9636</v>
      </c>
      <c r="B9638" t="s">
        <v>12589</v>
      </c>
      <c r="C9638" t="s">
        <v>216</v>
      </c>
      <c r="D9638">
        <v>76808800.944647297</v>
      </c>
    </row>
    <row r="9639" spans="1:4" hidden="1" x14ac:dyDescent="0.3">
      <c r="A9639">
        <v>9637</v>
      </c>
      <c r="B9639" t="s">
        <v>12590</v>
      </c>
      <c r="C9639" t="s">
        <v>218</v>
      </c>
      <c r="D9639">
        <v>38896599.4637255</v>
      </c>
    </row>
    <row r="9640" spans="1:4" hidden="1" x14ac:dyDescent="0.3">
      <c r="A9640">
        <v>9638</v>
      </c>
      <c r="B9640" t="s">
        <v>12591</v>
      </c>
      <c r="C9640" t="s">
        <v>220</v>
      </c>
      <c r="D9640">
        <v>26923617.837555502</v>
      </c>
    </row>
    <row r="9641" spans="1:4" hidden="1" x14ac:dyDescent="0.3">
      <c r="A9641">
        <v>9639</v>
      </c>
      <c r="B9641" s="1" t="s">
        <v>12592</v>
      </c>
      <c r="C9641" t="s">
        <v>222</v>
      </c>
      <c r="D9641" s="1" t="s">
        <v>12593</v>
      </c>
    </row>
    <row r="9642" spans="1:4" hidden="1" x14ac:dyDescent="0.3">
      <c r="A9642">
        <v>9640</v>
      </c>
      <c r="B9642" t="s">
        <v>12594</v>
      </c>
      <c r="C9642" t="s">
        <v>225</v>
      </c>
      <c r="D9642">
        <v>101158236.091646</v>
      </c>
    </row>
    <row r="9643" spans="1:4" hidden="1" x14ac:dyDescent="0.3">
      <c r="A9643">
        <v>9641</v>
      </c>
      <c r="B9643" t="s">
        <v>12595</v>
      </c>
      <c r="C9643" t="s">
        <v>227</v>
      </c>
      <c r="D9643">
        <v>-3717.2112928628899</v>
      </c>
    </row>
    <row r="9644" spans="1:4" hidden="1" x14ac:dyDescent="0.3">
      <c r="A9644">
        <v>9642</v>
      </c>
      <c r="B9644" s="1" t="s">
        <v>12596</v>
      </c>
      <c r="C9644" t="s">
        <v>229</v>
      </c>
      <c r="D9644" s="1" t="s">
        <v>12597</v>
      </c>
    </row>
    <row r="9645" spans="1:4" hidden="1" x14ac:dyDescent="0.3">
      <c r="A9645">
        <v>9643</v>
      </c>
      <c r="B9645" t="s">
        <v>12598</v>
      </c>
      <c r="C9645" t="s">
        <v>112</v>
      </c>
      <c r="D9645">
        <v>926.70459775265499</v>
      </c>
    </row>
    <row r="9646" spans="1:4" hidden="1" x14ac:dyDescent="0.3">
      <c r="A9646">
        <v>9644</v>
      </c>
      <c r="B9646" t="s">
        <v>12599</v>
      </c>
      <c r="C9646" t="s">
        <v>114</v>
      </c>
      <c r="D9646">
        <v>276.69804349230498</v>
      </c>
    </row>
    <row r="9647" spans="1:4" hidden="1" x14ac:dyDescent="0.3">
      <c r="A9647">
        <v>9645</v>
      </c>
      <c r="B9647" s="1" t="s">
        <v>12600</v>
      </c>
      <c r="C9647" t="s">
        <v>116</v>
      </c>
      <c r="D9647" s="1" t="s">
        <v>12601</v>
      </c>
    </row>
    <row r="9648" spans="1:4" hidden="1" x14ac:dyDescent="0.3">
      <c r="A9648">
        <v>9646</v>
      </c>
      <c r="B9648" t="s">
        <v>12602</v>
      </c>
      <c r="C9648" t="s">
        <v>119</v>
      </c>
      <c r="D9648">
        <v>76808800.944647297</v>
      </c>
    </row>
    <row r="9649" spans="1:4" hidden="1" x14ac:dyDescent="0.3">
      <c r="A9649">
        <v>9647</v>
      </c>
      <c r="B9649" t="s">
        <v>12603</v>
      </c>
      <c r="C9649" t="s">
        <v>121</v>
      </c>
      <c r="D9649">
        <v>38896599.4637255</v>
      </c>
    </row>
    <row r="9650" spans="1:4" hidden="1" x14ac:dyDescent="0.3">
      <c r="A9650">
        <v>9648</v>
      </c>
      <c r="B9650" s="1" t="s">
        <v>12604</v>
      </c>
      <c r="C9650" t="s">
        <v>123</v>
      </c>
      <c r="D9650" s="1" t="s">
        <v>12605</v>
      </c>
    </row>
    <row r="9651" spans="1:4" hidden="1" x14ac:dyDescent="0.3">
      <c r="A9651">
        <v>9649</v>
      </c>
      <c r="B9651" t="s">
        <v>12606</v>
      </c>
      <c r="C9651" t="s">
        <v>126</v>
      </c>
      <c r="D9651">
        <v>0.75902901342396301</v>
      </c>
    </row>
    <row r="9652" spans="1:4" hidden="1" x14ac:dyDescent="0.3">
      <c r="A9652">
        <v>9650</v>
      </c>
      <c r="B9652" t="s">
        <v>12607</v>
      </c>
      <c r="C9652" t="s">
        <v>128</v>
      </c>
      <c r="D9652">
        <v>0.38437844561295798</v>
      </c>
    </row>
    <row r="9653" spans="1:4" hidden="1" x14ac:dyDescent="0.3">
      <c r="A9653">
        <v>9651</v>
      </c>
      <c r="B9653" s="1" t="s">
        <v>12608</v>
      </c>
      <c r="C9653" t="s">
        <v>130</v>
      </c>
      <c r="D9653" s="1" t="s">
        <v>12609</v>
      </c>
    </row>
    <row r="9654" spans="1:4" hidden="1" x14ac:dyDescent="0.3">
      <c r="A9654">
        <v>9652</v>
      </c>
      <c r="B9654" s="1" t="s">
        <v>12610</v>
      </c>
      <c r="C9654" t="s">
        <v>4</v>
      </c>
      <c r="D9654" t="s">
        <v>12611</v>
      </c>
    </row>
    <row r="9655" spans="1:4" hidden="1" x14ac:dyDescent="0.3">
      <c r="A9655">
        <v>9653</v>
      </c>
      <c r="B9655" t="s">
        <v>12612</v>
      </c>
      <c r="C9655" t="s">
        <v>7</v>
      </c>
      <c r="D9655">
        <v>1775.33</v>
      </c>
    </row>
    <row r="9656" spans="1:4" hidden="1" x14ac:dyDescent="0.3">
      <c r="A9656">
        <v>9654</v>
      </c>
      <c r="B9656" s="1" t="s">
        <v>12613</v>
      </c>
      <c r="C9656" t="s">
        <v>9</v>
      </c>
      <c r="D9656" s="1" t="s">
        <v>12614</v>
      </c>
    </row>
    <row r="9657" spans="1:4" hidden="1" x14ac:dyDescent="0.3">
      <c r="A9657">
        <v>9655</v>
      </c>
      <c r="B9657" t="s">
        <v>12526</v>
      </c>
      <c r="C9657" t="s">
        <v>14</v>
      </c>
      <c r="D9657">
        <v>96.73828125</v>
      </c>
    </row>
    <row r="9658" spans="1:4" hidden="1" x14ac:dyDescent="0.3">
      <c r="A9658">
        <v>9656</v>
      </c>
      <c r="B9658" t="s">
        <v>12615</v>
      </c>
      <c r="C9658" t="s">
        <v>16</v>
      </c>
      <c r="D9658">
        <v>4.3838179976880998</v>
      </c>
    </row>
    <row r="9659" spans="1:4" hidden="1" x14ac:dyDescent="0.3">
      <c r="A9659">
        <v>9657</v>
      </c>
      <c r="B9659" s="1" t="s">
        <v>12616</v>
      </c>
      <c r="C9659" t="s">
        <v>140</v>
      </c>
      <c r="D9659" s="1" t="s">
        <v>12617</v>
      </c>
    </row>
    <row r="9660" spans="1:4" hidden="1" x14ac:dyDescent="0.3">
      <c r="A9660">
        <v>9658</v>
      </c>
      <c r="B9660" t="s">
        <v>12618</v>
      </c>
      <c r="C9660" t="s">
        <v>22</v>
      </c>
      <c r="D9660">
        <v>68.05</v>
      </c>
    </row>
    <row r="9661" spans="1:4" hidden="1" x14ac:dyDescent="0.3">
      <c r="A9661">
        <v>9659</v>
      </c>
      <c r="B9661" t="s">
        <v>12619</v>
      </c>
      <c r="C9661" t="s">
        <v>24</v>
      </c>
      <c r="D9661">
        <v>6.6136619341962302</v>
      </c>
    </row>
    <row r="9662" spans="1:4" hidden="1" x14ac:dyDescent="0.3">
      <c r="A9662">
        <v>9660</v>
      </c>
      <c r="B9662" s="1" t="s">
        <v>12620</v>
      </c>
      <c r="C9662" t="s">
        <v>145</v>
      </c>
      <c r="D9662" s="1" t="s">
        <v>12621</v>
      </c>
    </row>
    <row r="9663" spans="1:4" hidden="1" x14ac:dyDescent="0.3">
      <c r="A9663">
        <v>9661</v>
      </c>
      <c r="B9663" t="s">
        <v>12622</v>
      </c>
      <c r="C9663" t="s">
        <v>35</v>
      </c>
      <c r="D9663">
        <v>0.20617536202415199</v>
      </c>
    </row>
    <row r="9664" spans="1:4" hidden="1" x14ac:dyDescent="0.3">
      <c r="A9664">
        <v>9662</v>
      </c>
      <c r="B9664" t="s">
        <v>12623</v>
      </c>
      <c r="C9664" t="s">
        <v>149</v>
      </c>
      <c r="D9664">
        <v>0.692051092197562</v>
      </c>
    </row>
    <row r="9665" spans="1:4" hidden="1" x14ac:dyDescent="0.3">
      <c r="A9665">
        <v>9663</v>
      </c>
      <c r="B9665" s="1" t="s">
        <v>12624</v>
      </c>
      <c r="C9665" t="s">
        <v>151</v>
      </c>
      <c r="D9665" s="1" t="s">
        <v>12625</v>
      </c>
    </row>
    <row r="9666" spans="1:4" hidden="1" x14ac:dyDescent="0.3">
      <c r="A9666">
        <v>9664</v>
      </c>
      <c r="B9666" t="s">
        <v>12626</v>
      </c>
      <c r="C9666" t="s">
        <v>30</v>
      </c>
      <c r="D9666">
        <v>0.30573637804868498</v>
      </c>
    </row>
    <row r="9667" spans="1:4" hidden="1" x14ac:dyDescent="0.3">
      <c r="A9667">
        <v>9665</v>
      </c>
      <c r="B9667" t="s">
        <v>12627</v>
      </c>
      <c r="C9667" t="s">
        <v>32</v>
      </c>
      <c r="D9667">
        <v>0.23470846780102</v>
      </c>
    </row>
    <row r="9668" spans="1:4" hidden="1" x14ac:dyDescent="0.3">
      <c r="A9668">
        <v>9666</v>
      </c>
      <c r="B9668" s="1" t="s">
        <v>12628</v>
      </c>
      <c r="C9668" t="s">
        <v>155</v>
      </c>
      <c r="D9668" s="1" t="s">
        <v>12629</v>
      </c>
    </row>
    <row r="9669" spans="1:4" hidden="1" x14ac:dyDescent="0.3">
      <c r="A9669">
        <v>9667</v>
      </c>
      <c r="B9669" t="s">
        <v>12630</v>
      </c>
      <c r="C9669" t="s">
        <v>40</v>
      </c>
      <c r="D9669">
        <v>0.48808825992716198</v>
      </c>
    </row>
    <row r="9670" spans="1:4" hidden="1" x14ac:dyDescent="0.3">
      <c r="A9670">
        <v>9668</v>
      </c>
      <c r="B9670" t="s">
        <v>12631</v>
      </c>
      <c r="C9670" t="s">
        <v>42</v>
      </c>
      <c r="D9670">
        <v>0.21027155068947201</v>
      </c>
    </row>
    <row r="9671" spans="1:4" hidden="1" x14ac:dyDescent="0.3">
      <c r="A9671">
        <v>9669</v>
      </c>
      <c r="B9671" s="1" t="s">
        <v>12632</v>
      </c>
      <c r="C9671" t="s">
        <v>159</v>
      </c>
      <c r="D9671" s="1" t="s">
        <v>12633</v>
      </c>
    </row>
    <row r="9672" spans="1:4" hidden="1" x14ac:dyDescent="0.3">
      <c r="A9672">
        <v>9670</v>
      </c>
      <c r="B9672" t="s">
        <v>12634</v>
      </c>
      <c r="C9672" t="s">
        <v>161</v>
      </c>
      <c r="D9672">
        <v>0.995703845787132</v>
      </c>
    </row>
    <row r="9673" spans="1:4" hidden="1" x14ac:dyDescent="0.3">
      <c r="A9673">
        <v>9671</v>
      </c>
      <c r="B9673" t="s">
        <v>12635</v>
      </c>
      <c r="C9673" t="s">
        <v>163</v>
      </c>
      <c r="D9673">
        <v>1.0000231474293699</v>
      </c>
    </row>
    <row r="9674" spans="1:4" hidden="1" x14ac:dyDescent="0.3">
      <c r="A9674">
        <v>9672</v>
      </c>
      <c r="B9674" s="1" t="s">
        <v>12636</v>
      </c>
      <c r="C9674" t="s">
        <v>165</v>
      </c>
      <c r="D9674" s="1" t="s">
        <v>12637</v>
      </c>
    </row>
    <row r="9675" spans="1:4" hidden="1" x14ac:dyDescent="0.3">
      <c r="A9675">
        <v>9673</v>
      </c>
      <c r="B9675" t="s">
        <v>12638</v>
      </c>
      <c r="C9675" t="s">
        <v>168</v>
      </c>
      <c r="D9675">
        <v>1.0005327962742601</v>
      </c>
    </row>
    <row r="9676" spans="1:4" hidden="1" x14ac:dyDescent="0.3">
      <c r="A9676">
        <v>9674</v>
      </c>
      <c r="B9676" t="s">
        <v>12639</v>
      </c>
      <c r="C9676" t="s">
        <v>170</v>
      </c>
      <c r="D9676">
        <v>0.99852772020869096</v>
      </c>
    </row>
    <row r="9677" spans="1:4" hidden="1" x14ac:dyDescent="0.3">
      <c r="A9677">
        <v>9675</v>
      </c>
      <c r="B9677" s="1" t="s">
        <v>12640</v>
      </c>
      <c r="C9677" t="s">
        <v>172</v>
      </c>
      <c r="D9677" s="1" t="s">
        <v>12641</v>
      </c>
    </row>
    <row r="9678" spans="1:4" hidden="1" x14ac:dyDescent="0.3">
      <c r="A9678">
        <v>9676</v>
      </c>
      <c r="B9678" s="1" t="s">
        <v>12642</v>
      </c>
      <c r="C9678" t="s">
        <v>55</v>
      </c>
      <c r="D9678" s="1" t="s">
        <v>12643</v>
      </c>
    </row>
    <row r="9679" spans="1:4" hidden="1" x14ac:dyDescent="0.3">
      <c r="A9679">
        <v>9677</v>
      </c>
      <c r="B9679" s="1" t="s">
        <v>12644</v>
      </c>
      <c r="C9679" t="s">
        <v>52</v>
      </c>
      <c r="D9679" s="1" t="s">
        <v>12645</v>
      </c>
    </row>
    <row r="9680" spans="1:4" hidden="1" x14ac:dyDescent="0.3">
      <c r="A9680">
        <v>9678</v>
      </c>
      <c r="B9680" s="1" t="s">
        <v>12646</v>
      </c>
      <c r="C9680" t="s">
        <v>58</v>
      </c>
      <c r="D9680" s="1" t="s">
        <v>12647</v>
      </c>
    </row>
    <row r="9681" spans="1:4" hidden="1" x14ac:dyDescent="0.3">
      <c r="A9681">
        <v>9679</v>
      </c>
      <c r="B9681" t="s">
        <v>12648</v>
      </c>
      <c r="C9681" t="s">
        <v>61</v>
      </c>
      <c r="D9681">
        <v>142620020.70362499</v>
      </c>
    </row>
    <row r="9682" spans="1:4" hidden="1" x14ac:dyDescent="0.3">
      <c r="A9682">
        <v>9680</v>
      </c>
      <c r="B9682" t="s">
        <v>12649</v>
      </c>
      <c r="C9682" t="s">
        <v>63</v>
      </c>
      <c r="D9682">
        <v>76478818.490883693</v>
      </c>
    </row>
    <row r="9683" spans="1:4" hidden="1" x14ac:dyDescent="0.3">
      <c r="A9683">
        <v>9681</v>
      </c>
      <c r="B9683" t="s">
        <v>12650</v>
      </c>
      <c r="C9683" t="s">
        <v>65</v>
      </c>
      <c r="D9683">
        <v>38897499.820014402</v>
      </c>
    </row>
    <row r="9684" spans="1:4" hidden="1" x14ac:dyDescent="0.3">
      <c r="A9684">
        <v>9682</v>
      </c>
      <c r="B9684" s="1" t="s">
        <v>12651</v>
      </c>
      <c r="C9684" t="s">
        <v>67</v>
      </c>
      <c r="D9684" s="1" t="s">
        <v>12652</v>
      </c>
    </row>
    <row r="9685" spans="1:4" hidden="1" x14ac:dyDescent="0.3">
      <c r="A9685">
        <v>9683</v>
      </c>
      <c r="B9685" s="1" t="s">
        <v>12653</v>
      </c>
      <c r="C9685" t="s">
        <v>70</v>
      </c>
      <c r="D9685" s="1" t="s">
        <v>12654</v>
      </c>
    </row>
    <row r="9686" spans="1:4" hidden="1" x14ac:dyDescent="0.3">
      <c r="A9686">
        <v>9684</v>
      </c>
      <c r="B9686" t="s">
        <v>12655</v>
      </c>
      <c r="C9686" t="s">
        <v>73</v>
      </c>
      <c r="D9686">
        <v>1.00034858159072</v>
      </c>
    </row>
    <row r="9687" spans="1:4" hidden="1" x14ac:dyDescent="0.3">
      <c r="A9687">
        <v>9685</v>
      </c>
      <c r="B9687" t="s">
        <v>74</v>
      </c>
      <c r="C9687" t="s">
        <v>75</v>
      </c>
      <c r="D9687">
        <v>2.7397260273972599E-3</v>
      </c>
    </row>
    <row r="9688" spans="1:4" hidden="1" x14ac:dyDescent="0.3">
      <c r="A9688">
        <v>9686</v>
      </c>
      <c r="B9688" t="s">
        <v>76</v>
      </c>
      <c r="C9688" t="s">
        <v>77</v>
      </c>
      <c r="D9688">
        <v>0</v>
      </c>
    </row>
    <row r="9689" spans="1:4" hidden="1" x14ac:dyDescent="0.3">
      <c r="A9689">
        <v>9687</v>
      </c>
      <c r="B9689" t="s">
        <v>1459</v>
      </c>
      <c r="C9689" t="s">
        <v>79</v>
      </c>
      <c r="D9689" s="2">
        <v>-2.2204460492503101E-16</v>
      </c>
    </row>
    <row r="9690" spans="1:4" hidden="1" x14ac:dyDescent="0.3">
      <c r="A9690">
        <v>9688</v>
      </c>
      <c r="B9690" s="1" t="s">
        <v>12656</v>
      </c>
      <c r="C9690" t="s">
        <v>81</v>
      </c>
      <c r="D9690" s="1" t="s">
        <v>12657</v>
      </c>
    </row>
    <row r="9691" spans="1:4" hidden="1" x14ac:dyDescent="0.3">
      <c r="A9691">
        <v>9689</v>
      </c>
      <c r="B9691" t="s">
        <v>12658</v>
      </c>
      <c r="C9691" t="s">
        <v>84</v>
      </c>
      <c r="D9691">
        <v>1.0003412475562801</v>
      </c>
    </row>
    <row r="9692" spans="1:4" hidden="1" x14ac:dyDescent="0.3">
      <c r="A9692">
        <v>9690</v>
      </c>
      <c r="B9692" s="1" t="s">
        <v>12659</v>
      </c>
      <c r="C9692" t="s">
        <v>86</v>
      </c>
      <c r="D9692" s="1" t="s">
        <v>12660</v>
      </c>
    </row>
    <row r="9693" spans="1:4" hidden="1" x14ac:dyDescent="0.3">
      <c r="A9693">
        <v>9691</v>
      </c>
      <c r="B9693" t="s">
        <v>12661</v>
      </c>
      <c r="C9693" t="s">
        <v>89</v>
      </c>
      <c r="D9693">
        <v>101155260.49800301</v>
      </c>
    </row>
    <row r="9694" spans="1:4" hidden="1" x14ac:dyDescent="0.3">
      <c r="A9694">
        <v>9692</v>
      </c>
      <c r="B9694" s="1" t="s">
        <v>12662</v>
      </c>
      <c r="C9694" t="s">
        <v>91</v>
      </c>
      <c r="D9694" s="1" t="s">
        <v>12597</v>
      </c>
    </row>
    <row r="9695" spans="1:4" hidden="1" x14ac:dyDescent="0.3">
      <c r="A9695">
        <v>9693</v>
      </c>
      <c r="B9695" t="s">
        <v>12663</v>
      </c>
      <c r="C9695" t="s">
        <v>94</v>
      </c>
      <c r="D9695">
        <v>76478818.490883693</v>
      </c>
    </row>
    <row r="9696" spans="1:4" hidden="1" x14ac:dyDescent="0.3">
      <c r="A9696">
        <v>9694</v>
      </c>
      <c r="B9696" t="s">
        <v>12664</v>
      </c>
      <c r="C9696" t="s">
        <v>96</v>
      </c>
      <c r="D9696">
        <v>38897499.820014402</v>
      </c>
    </row>
    <row r="9697" spans="1:4" hidden="1" x14ac:dyDescent="0.3">
      <c r="A9697">
        <v>9695</v>
      </c>
      <c r="B9697" t="s">
        <v>12665</v>
      </c>
      <c r="C9697" t="s">
        <v>98</v>
      </c>
      <c r="D9697">
        <v>27243702.392726898</v>
      </c>
    </row>
    <row r="9698" spans="1:4" hidden="1" x14ac:dyDescent="0.3">
      <c r="A9698">
        <v>9696</v>
      </c>
      <c r="B9698" s="1" t="s">
        <v>12666</v>
      </c>
      <c r="C9698" t="s">
        <v>100</v>
      </c>
      <c r="D9698" s="1" t="s">
        <v>12667</v>
      </c>
    </row>
    <row r="9699" spans="1:4" hidden="1" x14ac:dyDescent="0.3">
      <c r="A9699">
        <v>9697</v>
      </c>
      <c r="B9699" t="s">
        <v>12668</v>
      </c>
      <c r="C9699" t="s">
        <v>103</v>
      </c>
      <c r="D9699">
        <v>8.0661781903747908E-3</v>
      </c>
    </row>
    <row r="9700" spans="1:4" hidden="1" x14ac:dyDescent="0.3">
      <c r="A9700">
        <v>9698</v>
      </c>
      <c r="B9700" t="s">
        <v>12669</v>
      </c>
      <c r="C9700" t="s">
        <v>105</v>
      </c>
      <c r="D9700">
        <v>1.66712375136839E-3</v>
      </c>
    </row>
    <row r="9701" spans="1:4" hidden="1" x14ac:dyDescent="0.3">
      <c r="A9701">
        <v>9699</v>
      </c>
      <c r="B9701" t="s">
        <v>12670</v>
      </c>
      <c r="C9701" t="s">
        <v>107</v>
      </c>
      <c r="D9701">
        <v>1.0008495714027401E-2</v>
      </c>
    </row>
    <row r="9702" spans="1:4" hidden="1" x14ac:dyDescent="0.3">
      <c r="A9702">
        <v>9700</v>
      </c>
      <c r="B9702" s="1" t="s">
        <v>12671</v>
      </c>
      <c r="C9702" t="s">
        <v>109</v>
      </c>
      <c r="D9702" s="1" t="s">
        <v>12672</v>
      </c>
    </row>
    <row r="9703" spans="1:4" x14ac:dyDescent="0.3">
      <c r="A9703">
        <v>9701</v>
      </c>
      <c r="B9703" t="s">
        <v>12673</v>
      </c>
      <c r="C9703" t="s">
        <v>207</v>
      </c>
      <c r="D9703">
        <v>142619762.88086301</v>
      </c>
    </row>
    <row r="9704" spans="1:4" hidden="1" x14ac:dyDescent="0.3">
      <c r="A9704">
        <v>9702</v>
      </c>
      <c r="B9704" t="s">
        <v>12674</v>
      </c>
      <c r="C9704" t="s">
        <v>209</v>
      </c>
      <c r="D9704">
        <v>560.70153793289001</v>
      </c>
    </row>
    <row r="9705" spans="1:4" hidden="1" x14ac:dyDescent="0.3">
      <c r="A9705">
        <v>9703</v>
      </c>
      <c r="B9705" t="s">
        <v>12675</v>
      </c>
      <c r="C9705" t="s">
        <v>211</v>
      </c>
      <c r="D9705">
        <v>285.17580491461399</v>
      </c>
    </row>
    <row r="9706" spans="1:4" hidden="1" x14ac:dyDescent="0.3">
      <c r="A9706">
        <v>9704</v>
      </c>
      <c r="B9706" s="1" t="s">
        <v>12676</v>
      </c>
      <c r="C9706" t="s">
        <v>213</v>
      </c>
      <c r="D9706" s="1" t="s">
        <v>12677</v>
      </c>
    </row>
    <row r="9707" spans="1:4" hidden="1" x14ac:dyDescent="0.3">
      <c r="A9707">
        <v>9705</v>
      </c>
      <c r="B9707" t="s">
        <v>12678</v>
      </c>
      <c r="C9707" t="s">
        <v>216</v>
      </c>
      <c r="D9707">
        <v>76478080.4583655</v>
      </c>
    </row>
    <row r="9708" spans="1:4" hidden="1" x14ac:dyDescent="0.3">
      <c r="A9708">
        <v>9706</v>
      </c>
      <c r="B9708" t="s">
        <v>12679</v>
      </c>
      <c r="C9708" t="s">
        <v>218</v>
      </c>
      <c r="D9708">
        <v>38897161.2837798</v>
      </c>
    </row>
    <row r="9709" spans="1:4" hidden="1" x14ac:dyDescent="0.3">
      <c r="A9709">
        <v>9707</v>
      </c>
      <c r="B9709" t="s">
        <v>12680</v>
      </c>
      <c r="C9709" t="s">
        <v>220</v>
      </c>
      <c r="D9709">
        <v>27243475.524946701</v>
      </c>
    </row>
    <row r="9710" spans="1:4" hidden="1" x14ac:dyDescent="0.3">
      <c r="A9710">
        <v>9708</v>
      </c>
      <c r="B9710" s="1" t="s">
        <v>12681</v>
      </c>
      <c r="C9710" t="s">
        <v>222</v>
      </c>
      <c r="D9710" s="1" t="s">
        <v>12682</v>
      </c>
    </row>
    <row r="9711" spans="1:4" hidden="1" x14ac:dyDescent="0.3">
      <c r="A9711">
        <v>9709</v>
      </c>
      <c r="B9711" t="s">
        <v>12683</v>
      </c>
      <c r="C9711" t="s">
        <v>225</v>
      </c>
      <c r="D9711">
        <v>101154518.880353</v>
      </c>
    </row>
    <row r="9712" spans="1:4" hidden="1" x14ac:dyDescent="0.3">
      <c r="A9712">
        <v>9710</v>
      </c>
      <c r="B9712" t="s">
        <v>12684</v>
      </c>
      <c r="C9712" t="s">
        <v>227</v>
      </c>
      <c r="D9712">
        <v>741.61764998733997</v>
      </c>
    </row>
    <row r="9713" spans="1:4" hidden="1" x14ac:dyDescent="0.3">
      <c r="A9713">
        <v>9711</v>
      </c>
      <c r="B9713" s="1" t="s">
        <v>12685</v>
      </c>
      <c r="C9713" t="s">
        <v>229</v>
      </c>
      <c r="D9713" s="1" t="s">
        <v>12686</v>
      </c>
    </row>
    <row r="9714" spans="1:4" hidden="1" x14ac:dyDescent="0.3">
      <c r="A9714">
        <v>9712</v>
      </c>
      <c r="B9714" t="s">
        <v>12687</v>
      </c>
      <c r="C9714" t="s">
        <v>112</v>
      </c>
      <c r="D9714">
        <v>-177.33098024779099</v>
      </c>
    </row>
    <row r="9715" spans="1:4" hidden="1" x14ac:dyDescent="0.3">
      <c r="A9715">
        <v>9713</v>
      </c>
      <c r="B9715" t="s">
        <v>12688</v>
      </c>
      <c r="C9715" t="s">
        <v>114</v>
      </c>
      <c r="D9715">
        <v>-53.360429731280902</v>
      </c>
    </row>
    <row r="9716" spans="1:4" hidden="1" x14ac:dyDescent="0.3">
      <c r="A9716">
        <v>9714</v>
      </c>
      <c r="B9716" s="1" t="s">
        <v>12689</v>
      </c>
      <c r="C9716" t="s">
        <v>116</v>
      </c>
      <c r="D9716" s="1" t="s">
        <v>12690</v>
      </c>
    </row>
    <row r="9717" spans="1:4" hidden="1" x14ac:dyDescent="0.3">
      <c r="A9717">
        <v>9715</v>
      </c>
      <c r="B9717" t="s">
        <v>12691</v>
      </c>
      <c r="C9717" t="s">
        <v>119</v>
      </c>
      <c r="D9717">
        <v>76478080.4583655</v>
      </c>
    </row>
    <row r="9718" spans="1:4" hidden="1" x14ac:dyDescent="0.3">
      <c r="A9718">
        <v>9716</v>
      </c>
      <c r="B9718" t="s">
        <v>12692</v>
      </c>
      <c r="C9718" t="s">
        <v>121</v>
      </c>
      <c r="D9718">
        <v>38897161.2837798</v>
      </c>
    </row>
    <row r="9719" spans="1:4" hidden="1" x14ac:dyDescent="0.3">
      <c r="A9719">
        <v>9717</v>
      </c>
      <c r="B9719" s="1" t="s">
        <v>12693</v>
      </c>
      <c r="C9719" t="s">
        <v>123</v>
      </c>
      <c r="D9719" s="1" t="s">
        <v>12694</v>
      </c>
    </row>
    <row r="9720" spans="1:4" hidden="1" x14ac:dyDescent="0.3">
      <c r="A9720">
        <v>9718</v>
      </c>
      <c r="B9720" t="s">
        <v>12695</v>
      </c>
      <c r="C9720" t="s">
        <v>126</v>
      </c>
      <c r="D9720">
        <v>0.75579412812545199</v>
      </c>
    </row>
    <row r="9721" spans="1:4" hidden="1" x14ac:dyDescent="0.3">
      <c r="A9721">
        <v>9719</v>
      </c>
      <c r="B9721" t="s">
        <v>12696</v>
      </c>
      <c r="C9721" t="s">
        <v>128</v>
      </c>
      <c r="D9721">
        <v>0.38440094106485501</v>
      </c>
    </row>
    <row r="9722" spans="1:4" hidden="1" x14ac:dyDescent="0.3">
      <c r="A9722">
        <v>9720</v>
      </c>
      <c r="B9722" s="1" t="s">
        <v>12697</v>
      </c>
      <c r="C9722" t="s">
        <v>130</v>
      </c>
      <c r="D9722" s="1" t="s">
        <v>12698</v>
      </c>
    </row>
    <row r="9723" spans="1:4" hidden="1" x14ac:dyDescent="0.3">
      <c r="A9723">
        <v>9721</v>
      </c>
      <c r="B9723" s="1" t="s">
        <v>12699</v>
      </c>
      <c r="C9723" t="s">
        <v>4</v>
      </c>
      <c r="D9723" t="s">
        <v>12700</v>
      </c>
    </row>
    <row r="9724" spans="1:4" hidden="1" x14ac:dyDescent="0.3">
      <c r="A9724">
        <v>9722</v>
      </c>
      <c r="B9724" t="s">
        <v>12701</v>
      </c>
      <c r="C9724" t="s">
        <v>7</v>
      </c>
      <c r="D9724">
        <v>1782.84</v>
      </c>
    </row>
    <row r="9725" spans="1:4" hidden="1" x14ac:dyDescent="0.3">
      <c r="A9725">
        <v>9723</v>
      </c>
      <c r="B9725" s="1" t="s">
        <v>12702</v>
      </c>
      <c r="C9725" t="s">
        <v>9</v>
      </c>
      <c r="D9725" s="1" t="s">
        <v>12703</v>
      </c>
    </row>
    <row r="9726" spans="1:4" hidden="1" x14ac:dyDescent="0.3">
      <c r="A9726">
        <v>9724</v>
      </c>
      <c r="B9726" t="s">
        <v>12704</v>
      </c>
      <c r="C9726" t="s">
        <v>14</v>
      </c>
      <c r="D9726">
        <v>96.82421875</v>
      </c>
    </row>
    <row r="9727" spans="1:4" hidden="1" x14ac:dyDescent="0.3">
      <c r="A9727">
        <v>9725</v>
      </c>
      <c r="B9727" t="s">
        <v>12705</v>
      </c>
      <c r="C9727" t="s">
        <v>16</v>
      </c>
      <c r="D9727">
        <v>4.3844958611145799</v>
      </c>
    </row>
    <row r="9728" spans="1:4" hidden="1" x14ac:dyDescent="0.3">
      <c r="A9728">
        <v>9726</v>
      </c>
      <c r="B9728" s="1" t="s">
        <v>12706</v>
      </c>
      <c r="C9728" t="s">
        <v>140</v>
      </c>
      <c r="D9728" s="1" t="s">
        <v>12707</v>
      </c>
    </row>
    <row r="9729" spans="1:4" hidden="1" x14ac:dyDescent="0.3">
      <c r="A9729">
        <v>9727</v>
      </c>
      <c r="B9729" t="s">
        <v>12708</v>
      </c>
      <c r="C9729" t="s">
        <v>22</v>
      </c>
      <c r="D9729">
        <v>67.650000000000006</v>
      </c>
    </row>
    <row r="9730" spans="1:4" hidden="1" x14ac:dyDescent="0.3">
      <c r="A9730">
        <v>9728</v>
      </c>
      <c r="B9730" t="s">
        <v>12709</v>
      </c>
      <c r="C9730" t="s">
        <v>24</v>
      </c>
      <c r="D9730">
        <v>6.6424073187390098</v>
      </c>
    </row>
    <row r="9731" spans="1:4" hidden="1" x14ac:dyDescent="0.3">
      <c r="A9731">
        <v>9729</v>
      </c>
      <c r="B9731" s="1" t="s">
        <v>12710</v>
      </c>
      <c r="C9731" t="s">
        <v>145</v>
      </c>
      <c r="D9731" s="1" t="s">
        <v>12711</v>
      </c>
    </row>
    <row r="9732" spans="1:4" hidden="1" x14ac:dyDescent="0.3">
      <c r="A9732">
        <v>9730</v>
      </c>
      <c r="B9732" t="s">
        <v>12712</v>
      </c>
      <c r="C9732" t="s">
        <v>35</v>
      </c>
      <c r="D9732">
        <v>0.12938123154352499</v>
      </c>
    </row>
    <row r="9733" spans="1:4" hidden="1" x14ac:dyDescent="0.3">
      <c r="A9733">
        <v>9731</v>
      </c>
      <c r="B9733" t="s">
        <v>12713</v>
      </c>
      <c r="C9733" t="s">
        <v>149</v>
      </c>
      <c r="D9733">
        <v>0.69237963284810999</v>
      </c>
    </row>
    <row r="9734" spans="1:4" hidden="1" x14ac:dyDescent="0.3">
      <c r="A9734">
        <v>9732</v>
      </c>
      <c r="B9734" s="1" t="s">
        <v>12714</v>
      </c>
      <c r="C9734" t="s">
        <v>151</v>
      </c>
      <c r="D9734" s="1" t="s">
        <v>12715</v>
      </c>
    </row>
    <row r="9735" spans="1:4" hidden="1" x14ac:dyDescent="0.3">
      <c r="A9735">
        <v>9733</v>
      </c>
      <c r="B9735" t="s">
        <v>12716</v>
      </c>
      <c r="C9735" t="s">
        <v>30</v>
      </c>
      <c r="D9735">
        <v>0.33873281094039898</v>
      </c>
    </row>
    <row r="9736" spans="1:4" hidden="1" x14ac:dyDescent="0.3">
      <c r="A9736">
        <v>9734</v>
      </c>
      <c r="B9736" t="s">
        <v>12717</v>
      </c>
      <c r="C9736" t="s">
        <v>32</v>
      </c>
      <c r="D9736">
        <v>0.23481070545129501</v>
      </c>
    </row>
    <row r="9737" spans="1:4" hidden="1" x14ac:dyDescent="0.3">
      <c r="A9737">
        <v>9735</v>
      </c>
      <c r="B9737" s="1" t="s">
        <v>12718</v>
      </c>
      <c r="C9737" t="s">
        <v>155</v>
      </c>
      <c r="D9737" s="1" t="s">
        <v>12719</v>
      </c>
    </row>
    <row r="9738" spans="1:4" hidden="1" x14ac:dyDescent="0.3">
      <c r="A9738">
        <v>9736</v>
      </c>
      <c r="B9738" t="s">
        <v>12720</v>
      </c>
      <c r="C9738" t="s">
        <v>40</v>
      </c>
      <c r="D9738">
        <v>0.53188595751607404</v>
      </c>
    </row>
    <row r="9739" spans="1:4" hidden="1" x14ac:dyDescent="0.3">
      <c r="A9739">
        <v>9737</v>
      </c>
      <c r="B9739" t="s">
        <v>12721</v>
      </c>
      <c r="C9739" t="s">
        <v>42</v>
      </c>
      <c r="D9739">
        <v>0.20948365642427</v>
      </c>
    </row>
    <row r="9740" spans="1:4" hidden="1" x14ac:dyDescent="0.3">
      <c r="A9740">
        <v>9738</v>
      </c>
      <c r="B9740" s="1" t="s">
        <v>12722</v>
      </c>
      <c r="C9740" t="s">
        <v>159</v>
      </c>
      <c r="D9740" s="1" t="s">
        <v>12723</v>
      </c>
    </row>
    <row r="9741" spans="1:4" hidden="1" x14ac:dyDescent="0.3">
      <c r="A9741">
        <v>9739</v>
      </c>
      <c r="B9741" t="s">
        <v>12724</v>
      </c>
      <c r="C9741" t="s">
        <v>161</v>
      </c>
      <c r="D9741">
        <v>1.00423019945587</v>
      </c>
    </row>
    <row r="9742" spans="1:4" hidden="1" x14ac:dyDescent="0.3">
      <c r="A9742">
        <v>9740</v>
      </c>
      <c r="B9742" t="s">
        <v>12725</v>
      </c>
      <c r="C9742" t="s">
        <v>163</v>
      </c>
      <c r="D9742">
        <v>1.0008565423786699</v>
      </c>
    </row>
    <row r="9743" spans="1:4" hidden="1" x14ac:dyDescent="0.3">
      <c r="A9743">
        <v>9741</v>
      </c>
      <c r="B9743" s="1" t="s">
        <v>12726</v>
      </c>
      <c r="C9743" t="s">
        <v>165</v>
      </c>
      <c r="D9743" s="1" t="s">
        <v>12727</v>
      </c>
    </row>
    <row r="9744" spans="1:4" hidden="1" x14ac:dyDescent="0.3">
      <c r="A9744">
        <v>9742</v>
      </c>
      <c r="B9744" t="s">
        <v>12728</v>
      </c>
      <c r="C9744" t="s">
        <v>168</v>
      </c>
      <c r="D9744">
        <v>1.00019416709818</v>
      </c>
    </row>
    <row r="9745" spans="1:4" hidden="1" x14ac:dyDescent="0.3">
      <c r="A9745">
        <v>9743</v>
      </c>
      <c r="B9745" t="s">
        <v>12729</v>
      </c>
      <c r="C9745" t="s">
        <v>170</v>
      </c>
      <c r="D9745">
        <v>1.00008280306885</v>
      </c>
    </row>
    <row r="9746" spans="1:4" hidden="1" x14ac:dyDescent="0.3">
      <c r="A9746">
        <v>9744</v>
      </c>
      <c r="B9746" s="1" t="s">
        <v>12730</v>
      </c>
      <c r="C9746" t="s">
        <v>172</v>
      </c>
      <c r="D9746" s="1" t="s">
        <v>12731</v>
      </c>
    </row>
    <row r="9747" spans="1:4" hidden="1" x14ac:dyDescent="0.3">
      <c r="A9747">
        <v>9745</v>
      </c>
      <c r="B9747" s="1" t="s">
        <v>12732</v>
      </c>
      <c r="C9747" t="s">
        <v>55</v>
      </c>
      <c r="D9747" s="1" t="s">
        <v>12733</v>
      </c>
    </row>
    <row r="9748" spans="1:4" hidden="1" x14ac:dyDescent="0.3">
      <c r="A9748">
        <v>9746</v>
      </c>
      <c r="B9748" s="1" t="s">
        <v>12734</v>
      </c>
      <c r="C9748" t="s">
        <v>52</v>
      </c>
      <c r="D9748" s="1" t="s">
        <v>12735</v>
      </c>
    </row>
    <row r="9749" spans="1:4" hidden="1" x14ac:dyDescent="0.3">
      <c r="A9749">
        <v>9747</v>
      </c>
      <c r="B9749" s="1" t="s">
        <v>12736</v>
      </c>
      <c r="C9749" t="s">
        <v>58</v>
      </c>
      <c r="D9749" s="1" t="s">
        <v>12737</v>
      </c>
    </row>
    <row r="9750" spans="1:4" hidden="1" x14ac:dyDescent="0.3">
      <c r="A9750">
        <v>9748</v>
      </c>
      <c r="B9750" t="s">
        <v>12738</v>
      </c>
      <c r="C9750" t="s">
        <v>61</v>
      </c>
      <c r="D9750">
        <v>142840087.497091</v>
      </c>
    </row>
    <row r="9751" spans="1:4" hidden="1" x14ac:dyDescent="0.3">
      <c r="A9751">
        <v>9749</v>
      </c>
      <c r="B9751" t="s">
        <v>12739</v>
      </c>
      <c r="C9751" t="s">
        <v>63</v>
      </c>
      <c r="D9751">
        <v>76801597.992706895</v>
      </c>
    </row>
    <row r="9752" spans="1:4" hidden="1" x14ac:dyDescent="0.3">
      <c r="A9752">
        <v>9750</v>
      </c>
      <c r="B9752" t="s">
        <v>12740</v>
      </c>
      <c r="C9752" t="s">
        <v>65</v>
      </c>
      <c r="D9752">
        <v>38930478.350829601</v>
      </c>
    </row>
    <row r="9753" spans="1:4" hidden="1" x14ac:dyDescent="0.3">
      <c r="A9753">
        <v>9751</v>
      </c>
      <c r="B9753" s="1" t="s">
        <v>12741</v>
      </c>
      <c r="C9753" t="s">
        <v>67</v>
      </c>
      <c r="D9753" s="1" t="s">
        <v>12742</v>
      </c>
    </row>
    <row r="9754" spans="1:4" hidden="1" x14ac:dyDescent="0.3">
      <c r="A9754">
        <v>9752</v>
      </c>
      <c r="B9754" s="1" t="s">
        <v>12743</v>
      </c>
      <c r="C9754" t="s">
        <v>70</v>
      </c>
      <c r="D9754" s="1" t="s">
        <v>12744</v>
      </c>
    </row>
    <row r="9755" spans="1:4" hidden="1" x14ac:dyDescent="0.3">
      <c r="A9755">
        <v>9753</v>
      </c>
      <c r="B9755" t="s">
        <v>12745</v>
      </c>
      <c r="C9755" t="s">
        <v>73</v>
      </c>
      <c r="D9755">
        <v>1.0003412475562801</v>
      </c>
    </row>
    <row r="9756" spans="1:4" hidden="1" x14ac:dyDescent="0.3">
      <c r="A9756">
        <v>9754</v>
      </c>
      <c r="B9756" t="s">
        <v>74</v>
      </c>
      <c r="C9756" t="s">
        <v>75</v>
      </c>
      <c r="D9756">
        <v>2.7397260273972599E-3</v>
      </c>
    </row>
    <row r="9757" spans="1:4" hidden="1" x14ac:dyDescent="0.3">
      <c r="A9757">
        <v>9755</v>
      </c>
      <c r="B9757" t="s">
        <v>76</v>
      </c>
      <c r="C9757" t="s">
        <v>77</v>
      </c>
      <c r="D9757">
        <v>0</v>
      </c>
    </row>
    <row r="9758" spans="1:4" hidden="1" x14ac:dyDescent="0.3">
      <c r="A9758">
        <v>9756</v>
      </c>
      <c r="B9758" t="s">
        <v>78</v>
      </c>
      <c r="C9758" t="s">
        <v>79</v>
      </c>
      <c r="D9758">
        <v>0</v>
      </c>
    </row>
    <row r="9759" spans="1:4" hidden="1" x14ac:dyDescent="0.3">
      <c r="A9759">
        <v>9757</v>
      </c>
      <c r="B9759" s="1" t="s">
        <v>12746</v>
      </c>
      <c r="C9759" t="s">
        <v>81</v>
      </c>
      <c r="D9759" s="1" t="s">
        <v>12747</v>
      </c>
    </row>
    <row r="9760" spans="1:4" hidden="1" x14ac:dyDescent="0.3">
      <c r="A9760">
        <v>9758</v>
      </c>
      <c r="B9760" t="s">
        <v>12748</v>
      </c>
      <c r="C9760" t="s">
        <v>84</v>
      </c>
      <c r="D9760">
        <v>1.0003542733444299</v>
      </c>
    </row>
    <row r="9761" spans="1:4" hidden="1" x14ac:dyDescent="0.3">
      <c r="A9761">
        <v>9759</v>
      </c>
      <c r="B9761" s="1" t="s">
        <v>12749</v>
      </c>
      <c r="C9761" t="s">
        <v>86</v>
      </c>
      <c r="D9761" s="1" t="s">
        <v>12750</v>
      </c>
    </row>
    <row r="9762" spans="1:4" hidden="1" x14ac:dyDescent="0.3">
      <c r="A9762">
        <v>9760</v>
      </c>
      <c r="B9762" t="s">
        <v>12751</v>
      </c>
      <c r="C9762" t="s">
        <v>89</v>
      </c>
      <c r="D9762">
        <v>101153943.337644</v>
      </c>
    </row>
    <row r="9763" spans="1:4" hidden="1" x14ac:dyDescent="0.3">
      <c r="A9763">
        <v>9761</v>
      </c>
      <c r="B9763" s="1" t="s">
        <v>12752</v>
      </c>
      <c r="C9763" t="s">
        <v>91</v>
      </c>
      <c r="D9763" s="1" t="s">
        <v>12686</v>
      </c>
    </row>
    <row r="9764" spans="1:4" hidden="1" x14ac:dyDescent="0.3">
      <c r="A9764">
        <v>9762</v>
      </c>
      <c r="B9764" t="s">
        <v>12753</v>
      </c>
      <c r="C9764" t="s">
        <v>94</v>
      </c>
      <c r="D9764">
        <v>76801597.992706895</v>
      </c>
    </row>
    <row r="9765" spans="1:4" hidden="1" x14ac:dyDescent="0.3">
      <c r="A9765">
        <v>9763</v>
      </c>
      <c r="B9765" t="s">
        <v>12754</v>
      </c>
      <c r="C9765" t="s">
        <v>96</v>
      </c>
      <c r="D9765">
        <v>38930478.350829601</v>
      </c>
    </row>
    <row r="9766" spans="1:4" hidden="1" x14ac:dyDescent="0.3">
      <c r="A9766">
        <v>9764</v>
      </c>
      <c r="B9766" t="s">
        <v>12755</v>
      </c>
      <c r="C9766" t="s">
        <v>98</v>
      </c>
      <c r="D9766">
        <v>27108011.153554801</v>
      </c>
    </row>
    <row r="9767" spans="1:4" hidden="1" x14ac:dyDescent="0.3">
      <c r="A9767">
        <v>9765</v>
      </c>
      <c r="B9767" s="1" t="s">
        <v>12756</v>
      </c>
      <c r="C9767" t="s">
        <v>100</v>
      </c>
      <c r="D9767" s="1" t="s">
        <v>12757</v>
      </c>
    </row>
    <row r="9768" spans="1:4" hidden="1" x14ac:dyDescent="0.3">
      <c r="A9768">
        <v>9766</v>
      </c>
      <c r="B9768" t="s">
        <v>12758</v>
      </c>
      <c r="C9768" t="s">
        <v>103</v>
      </c>
      <c r="D9768">
        <v>7.9983360915993305E-3</v>
      </c>
    </row>
    <row r="9769" spans="1:4" hidden="1" x14ac:dyDescent="0.3">
      <c r="A9769">
        <v>9767</v>
      </c>
      <c r="B9769" t="s">
        <v>12759</v>
      </c>
      <c r="C9769" t="s">
        <v>105</v>
      </c>
      <c r="D9769">
        <v>1.6531169911415001E-3</v>
      </c>
    </row>
    <row r="9770" spans="1:4" hidden="1" x14ac:dyDescent="0.3">
      <c r="A9770">
        <v>9768</v>
      </c>
      <c r="B9770" t="s">
        <v>12760</v>
      </c>
      <c r="C9770" t="s">
        <v>107</v>
      </c>
      <c r="D9770">
        <v>9.9519741430020899E-3</v>
      </c>
    </row>
    <row r="9771" spans="1:4" hidden="1" x14ac:dyDescent="0.3">
      <c r="A9771">
        <v>9769</v>
      </c>
      <c r="B9771" s="1" t="s">
        <v>12761</v>
      </c>
      <c r="C9771" t="s">
        <v>109</v>
      </c>
      <c r="D9771" s="1" t="s">
        <v>12762</v>
      </c>
    </row>
    <row r="9772" spans="1:4" x14ac:dyDescent="0.3">
      <c r="A9772">
        <v>9770</v>
      </c>
      <c r="B9772" t="s">
        <v>12763</v>
      </c>
      <c r="C9772" t="s">
        <v>207</v>
      </c>
      <c r="D9772">
        <v>142840545.18790299</v>
      </c>
    </row>
    <row r="9773" spans="1:4" hidden="1" x14ac:dyDescent="0.3">
      <c r="A9773">
        <v>9771</v>
      </c>
      <c r="B9773" t="s">
        <v>12764</v>
      </c>
      <c r="C9773" t="s">
        <v>209</v>
      </c>
      <c r="D9773">
        <v>-1000.06419452326</v>
      </c>
    </row>
    <row r="9774" spans="1:4" hidden="1" x14ac:dyDescent="0.3">
      <c r="A9774">
        <v>9772</v>
      </c>
      <c r="B9774" t="s">
        <v>12765</v>
      </c>
      <c r="C9774" t="s">
        <v>211</v>
      </c>
      <c r="D9774">
        <v>-506.92840188637598</v>
      </c>
    </row>
    <row r="9775" spans="1:4" hidden="1" x14ac:dyDescent="0.3">
      <c r="A9775">
        <v>9773</v>
      </c>
      <c r="B9775" s="1" t="s">
        <v>12766</v>
      </c>
      <c r="C9775" t="s">
        <v>213</v>
      </c>
      <c r="D9775" s="1" t="s">
        <v>12767</v>
      </c>
    </row>
    <row r="9776" spans="1:4" hidden="1" x14ac:dyDescent="0.3">
      <c r="A9776">
        <v>9774</v>
      </c>
      <c r="B9776" t="s">
        <v>12768</v>
      </c>
      <c r="C9776" t="s">
        <v>216</v>
      </c>
      <c r="D9776">
        <v>76802914.236551106</v>
      </c>
    </row>
    <row r="9777" spans="1:4" hidden="1" x14ac:dyDescent="0.3">
      <c r="A9777">
        <v>9775</v>
      </c>
      <c r="B9777" t="s">
        <v>12769</v>
      </c>
      <c r="C9777" t="s">
        <v>218</v>
      </c>
      <c r="D9777">
        <v>38931079.4120683</v>
      </c>
    </row>
    <row r="9778" spans="1:4" hidden="1" x14ac:dyDescent="0.3">
      <c r="A9778">
        <v>9776</v>
      </c>
      <c r="B9778" t="s">
        <v>12770</v>
      </c>
      <c r="C9778" t="s">
        <v>220</v>
      </c>
      <c r="D9778">
        <v>27108411.515253</v>
      </c>
    </row>
    <row r="9779" spans="1:4" hidden="1" x14ac:dyDescent="0.3">
      <c r="A9779">
        <v>9777</v>
      </c>
      <c r="B9779" s="1" t="s">
        <v>12771</v>
      </c>
      <c r="C9779" t="s">
        <v>222</v>
      </c>
      <c r="D9779" s="1" t="s">
        <v>12772</v>
      </c>
    </row>
    <row r="9780" spans="1:4" hidden="1" x14ac:dyDescent="0.3">
      <c r="A9780">
        <v>9778</v>
      </c>
      <c r="B9780" t="s">
        <v>12773</v>
      </c>
      <c r="C9780" t="s">
        <v>225</v>
      </c>
      <c r="D9780">
        <v>101155260.49800301</v>
      </c>
    </row>
    <row r="9781" spans="1:4" hidden="1" x14ac:dyDescent="0.3">
      <c r="A9781">
        <v>9779</v>
      </c>
      <c r="B9781" t="s">
        <v>12774</v>
      </c>
      <c r="C9781" t="s">
        <v>227</v>
      </c>
      <c r="D9781">
        <v>-1317.16035930812</v>
      </c>
    </row>
    <row r="9782" spans="1:4" hidden="1" x14ac:dyDescent="0.3">
      <c r="A9782">
        <v>9780</v>
      </c>
      <c r="B9782" s="1" t="s">
        <v>12775</v>
      </c>
      <c r="C9782" t="s">
        <v>229</v>
      </c>
      <c r="D9782" s="1" t="s">
        <v>12776</v>
      </c>
    </row>
    <row r="9783" spans="1:4" hidden="1" x14ac:dyDescent="0.3">
      <c r="A9783">
        <v>9781</v>
      </c>
      <c r="B9783" t="s">
        <v>12777</v>
      </c>
      <c r="C9783" t="s">
        <v>112</v>
      </c>
      <c r="D9783">
        <v>316.17964968019697</v>
      </c>
    </row>
    <row r="9784" spans="1:4" hidden="1" x14ac:dyDescent="0.3">
      <c r="A9784">
        <v>9782</v>
      </c>
      <c r="B9784" t="s">
        <v>12778</v>
      </c>
      <c r="C9784" t="s">
        <v>114</v>
      </c>
      <c r="D9784">
        <v>94.132836777846506</v>
      </c>
    </row>
    <row r="9785" spans="1:4" hidden="1" x14ac:dyDescent="0.3">
      <c r="A9785">
        <v>9783</v>
      </c>
      <c r="B9785" s="1" t="s">
        <v>12779</v>
      </c>
      <c r="C9785" t="s">
        <v>116</v>
      </c>
      <c r="D9785" s="1" t="s">
        <v>12780</v>
      </c>
    </row>
    <row r="9786" spans="1:4" hidden="1" x14ac:dyDescent="0.3">
      <c r="A9786">
        <v>9784</v>
      </c>
      <c r="B9786" t="s">
        <v>12781</v>
      </c>
      <c r="C9786" t="s">
        <v>119</v>
      </c>
      <c r="D9786">
        <v>76802914.236551106</v>
      </c>
    </row>
    <row r="9787" spans="1:4" hidden="1" x14ac:dyDescent="0.3">
      <c r="A9787">
        <v>9785</v>
      </c>
      <c r="B9787" t="s">
        <v>12782</v>
      </c>
      <c r="C9787" t="s">
        <v>121</v>
      </c>
      <c r="D9787">
        <v>38931079.4120683</v>
      </c>
    </row>
    <row r="9788" spans="1:4" hidden="1" x14ac:dyDescent="0.3">
      <c r="A9788">
        <v>9786</v>
      </c>
      <c r="B9788" s="1" t="s">
        <v>12783</v>
      </c>
      <c r="C9788" t="s">
        <v>123</v>
      </c>
      <c r="D9788" s="1" t="s">
        <v>12784</v>
      </c>
    </row>
    <row r="9789" spans="1:4" hidden="1" x14ac:dyDescent="0.3">
      <c r="A9789">
        <v>9787</v>
      </c>
      <c r="B9789" t="s">
        <v>12785</v>
      </c>
      <c r="C9789" t="s">
        <v>126</v>
      </c>
      <c r="D9789">
        <v>0.75898884812685297</v>
      </c>
    </row>
    <row r="9790" spans="1:4" hidden="1" x14ac:dyDescent="0.3">
      <c r="A9790">
        <v>9788</v>
      </c>
      <c r="B9790" t="s">
        <v>12786</v>
      </c>
      <c r="C9790" t="s">
        <v>128</v>
      </c>
      <c r="D9790">
        <v>0.38472830638031302</v>
      </c>
    </row>
    <row r="9791" spans="1:4" hidden="1" x14ac:dyDescent="0.3">
      <c r="A9791">
        <v>9789</v>
      </c>
      <c r="B9791" s="1" t="s">
        <v>12787</v>
      </c>
      <c r="C9791" t="s">
        <v>130</v>
      </c>
      <c r="D9791" s="1" t="s">
        <v>12788</v>
      </c>
    </row>
    <row r="9792" spans="1:4" hidden="1" x14ac:dyDescent="0.3">
      <c r="A9792">
        <v>9790</v>
      </c>
      <c r="B9792" s="1" t="s">
        <v>12789</v>
      </c>
      <c r="C9792" t="s">
        <v>4</v>
      </c>
      <c r="D9792" t="s">
        <v>12790</v>
      </c>
    </row>
    <row r="9793" spans="1:4" hidden="1" x14ac:dyDescent="0.3">
      <c r="A9793">
        <v>9791</v>
      </c>
      <c r="B9793" t="s">
        <v>12791</v>
      </c>
      <c r="C9793" t="s">
        <v>7</v>
      </c>
      <c r="D9793">
        <v>1786.67</v>
      </c>
    </row>
    <row r="9794" spans="1:4" hidden="1" x14ac:dyDescent="0.3">
      <c r="A9794">
        <v>9792</v>
      </c>
      <c r="B9794" s="1" t="s">
        <v>12792</v>
      </c>
      <c r="C9794" t="s">
        <v>9</v>
      </c>
      <c r="D9794" s="1" t="s">
        <v>12793</v>
      </c>
    </row>
    <row r="9795" spans="1:4" hidden="1" x14ac:dyDescent="0.3">
      <c r="A9795">
        <v>9793</v>
      </c>
      <c r="B9795" t="s">
        <v>12794</v>
      </c>
      <c r="C9795" t="s">
        <v>14</v>
      </c>
      <c r="D9795">
        <v>96.98828125</v>
      </c>
    </row>
    <row r="9796" spans="1:4" hidden="1" x14ac:dyDescent="0.3">
      <c r="A9796">
        <v>9794</v>
      </c>
      <c r="B9796" t="s">
        <v>12795</v>
      </c>
      <c r="C9796" t="s">
        <v>16</v>
      </c>
      <c r="D9796">
        <v>4.3889936707502697</v>
      </c>
    </row>
    <row r="9797" spans="1:4" hidden="1" x14ac:dyDescent="0.3">
      <c r="A9797">
        <v>9795</v>
      </c>
      <c r="B9797" s="1" t="s">
        <v>12796</v>
      </c>
      <c r="C9797" t="s">
        <v>140</v>
      </c>
      <c r="D9797" s="1" t="s">
        <v>12797</v>
      </c>
    </row>
    <row r="9798" spans="1:4" hidden="1" x14ac:dyDescent="0.3">
      <c r="A9798">
        <v>9796</v>
      </c>
      <c r="B9798" t="s">
        <v>12798</v>
      </c>
      <c r="C9798" t="s">
        <v>22</v>
      </c>
      <c r="D9798">
        <v>67.349999999999994</v>
      </c>
    </row>
    <row r="9799" spans="1:4" hidden="1" x14ac:dyDescent="0.3">
      <c r="A9799">
        <v>9797</v>
      </c>
      <c r="B9799" t="s">
        <v>12799</v>
      </c>
      <c r="C9799" t="s">
        <v>24</v>
      </c>
      <c r="D9799">
        <v>6.70130193312536</v>
      </c>
    </row>
    <row r="9800" spans="1:4" hidden="1" x14ac:dyDescent="0.3">
      <c r="A9800">
        <v>9798</v>
      </c>
      <c r="B9800" s="1" t="s">
        <v>12800</v>
      </c>
      <c r="C9800" t="s">
        <v>145</v>
      </c>
      <c r="D9800" s="1" t="s">
        <v>12801</v>
      </c>
    </row>
    <row r="9801" spans="1:4" hidden="1" x14ac:dyDescent="0.3">
      <c r="A9801">
        <v>9799</v>
      </c>
      <c r="B9801" t="s">
        <v>12802</v>
      </c>
      <c r="C9801" t="s">
        <v>35</v>
      </c>
      <c r="D9801">
        <v>-0.63227488306210999</v>
      </c>
    </row>
    <row r="9802" spans="1:4" hidden="1" x14ac:dyDescent="0.3">
      <c r="A9802">
        <v>9800</v>
      </c>
      <c r="B9802" t="s">
        <v>12803</v>
      </c>
      <c r="C9802" t="s">
        <v>149</v>
      </c>
      <c r="D9802">
        <v>0.69245518444897103</v>
      </c>
    </row>
    <row r="9803" spans="1:4" hidden="1" x14ac:dyDescent="0.3">
      <c r="A9803">
        <v>9801</v>
      </c>
      <c r="B9803" s="1" t="s">
        <v>12804</v>
      </c>
      <c r="C9803" t="s">
        <v>151</v>
      </c>
      <c r="D9803" s="1" t="s">
        <v>12805</v>
      </c>
    </row>
    <row r="9804" spans="1:4" hidden="1" x14ac:dyDescent="0.3">
      <c r="A9804">
        <v>9802</v>
      </c>
      <c r="B9804" t="s">
        <v>12806</v>
      </c>
      <c r="C9804" t="s">
        <v>30</v>
      </c>
      <c r="D9804">
        <v>0.63456885652669104</v>
      </c>
    </row>
    <row r="9805" spans="1:4" hidden="1" x14ac:dyDescent="0.3">
      <c r="A9805">
        <v>9803</v>
      </c>
      <c r="B9805" t="s">
        <v>12807</v>
      </c>
      <c r="C9805" t="s">
        <v>32</v>
      </c>
      <c r="D9805">
        <v>0.23583471069290801</v>
      </c>
    </row>
    <row r="9806" spans="1:4" hidden="1" x14ac:dyDescent="0.3">
      <c r="A9806">
        <v>9804</v>
      </c>
      <c r="B9806" s="1" t="s">
        <v>12808</v>
      </c>
      <c r="C9806" t="s">
        <v>155</v>
      </c>
      <c r="D9806" s="1" t="s">
        <v>12809</v>
      </c>
    </row>
    <row r="9807" spans="1:4" hidden="1" x14ac:dyDescent="0.3">
      <c r="A9807">
        <v>9805</v>
      </c>
      <c r="B9807" t="s">
        <v>12810</v>
      </c>
      <c r="C9807" t="s">
        <v>40</v>
      </c>
      <c r="D9807">
        <v>0.99770602653541796</v>
      </c>
    </row>
    <row r="9808" spans="1:4" hidden="1" x14ac:dyDescent="0.3">
      <c r="A9808">
        <v>9806</v>
      </c>
      <c r="B9808" t="s">
        <v>12811</v>
      </c>
      <c r="C9808" t="s">
        <v>42</v>
      </c>
      <c r="D9808">
        <v>0.208302068780784</v>
      </c>
    </row>
    <row r="9809" spans="1:4" hidden="1" x14ac:dyDescent="0.3">
      <c r="A9809">
        <v>9807</v>
      </c>
      <c r="B9809" s="1" t="s">
        <v>12812</v>
      </c>
      <c r="C9809" t="s">
        <v>159</v>
      </c>
      <c r="D9809" s="1" t="s">
        <v>12813</v>
      </c>
    </row>
    <row r="9810" spans="1:4" hidden="1" x14ac:dyDescent="0.3">
      <c r="A9810">
        <v>9808</v>
      </c>
      <c r="B9810" t="s">
        <v>12814</v>
      </c>
      <c r="C9810" t="s">
        <v>161</v>
      </c>
      <c r="D9810">
        <v>1.0021482578358101</v>
      </c>
    </row>
    <row r="9811" spans="1:4" hidden="1" x14ac:dyDescent="0.3">
      <c r="A9811">
        <v>9809</v>
      </c>
      <c r="B9811" t="s">
        <v>12815</v>
      </c>
      <c r="C9811" t="s">
        <v>163</v>
      </c>
      <c r="D9811">
        <v>1.00166547228945</v>
      </c>
    </row>
    <row r="9812" spans="1:4" hidden="1" x14ac:dyDescent="0.3">
      <c r="A9812">
        <v>9810</v>
      </c>
      <c r="B9812" s="1" t="s">
        <v>12816</v>
      </c>
      <c r="C9812" t="s">
        <v>165</v>
      </c>
      <c r="D9812" s="1" t="s">
        <v>12817</v>
      </c>
    </row>
    <row r="9813" spans="1:4" hidden="1" x14ac:dyDescent="0.3">
      <c r="A9813">
        <v>9811</v>
      </c>
      <c r="B9813" t="s">
        <v>12818</v>
      </c>
      <c r="C9813" t="s">
        <v>168</v>
      </c>
      <c r="D9813">
        <v>1.00004464223002</v>
      </c>
    </row>
    <row r="9814" spans="1:4" hidden="1" x14ac:dyDescent="0.3">
      <c r="A9814">
        <v>9812</v>
      </c>
      <c r="B9814" t="s">
        <v>12819</v>
      </c>
      <c r="C9814" t="s">
        <v>170</v>
      </c>
      <c r="D9814">
        <v>1.0008292811498001</v>
      </c>
    </row>
    <row r="9815" spans="1:4" hidden="1" x14ac:dyDescent="0.3">
      <c r="A9815">
        <v>9813</v>
      </c>
      <c r="B9815" s="1" t="s">
        <v>12820</v>
      </c>
      <c r="C9815" t="s">
        <v>172</v>
      </c>
      <c r="D9815" s="1" t="s">
        <v>12821</v>
      </c>
    </row>
    <row r="9816" spans="1:4" hidden="1" x14ac:dyDescent="0.3">
      <c r="A9816">
        <v>9814</v>
      </c>
      <c r="B9816" s="1" t="s">
        <v>12822</v>
      </c>
      <c r="C9816" t="s">
        <v>55</v>
      </c>
      <c r="D9816" s="1" t="s">
        <v>12823</v>
      </c>
    </row>
    <row r="9817" spans="1:4" hidden="1" x14ac:dyDescent="0.3">
      <c r="A9817">
        <v>9815</v>
      </c>
      <c r="B9817" s="1" t="s">
        <v>12824</v>
      </c>
      <c r="C9817" t="s">
        <v>52</v>
      </c>
      <c r="D9817" s="1" t="s">
        <v>12825</v>
      </c>
    </row>
    <row r="9818" spans="1:4" hidden="1" x14ac:dyDescent="0.3">
      <c r="A9818">
        <v>9816</v>
      </c>
      <c r="B9818" s="1" t="s">
        <v>12826</v>
      </c>
      <c r="C9818" t="s">
        <v>58</v>
      </c>
      <c r="D9818" s="1" t="s">
        <v>12827</v>
      </c>
    </row>
    <row r="9819" spans="1:4" hidden="1" x14ac:dyDescent="0.3">
      <c r="A9819">
        <v>9817</v>
      </c>
      <c r="B9819" t="s">
        <v>12828</v>
      </c>
      <c r="C9819" t="s">
        <v>61</v>
      </c>
      <c r="D9819">
        <v>142984259.78654501</v>
      </c>
    </row>
    <row r="9820" spans="1:4" hidden="1" x14ac:dyDescent="0.3">
      <c r="A9820">
        <v>9818</v>
      </c>
      <c r="B9820" t="s">
        <v>12829</v>
      </c>
      <c r="C9820" t="s">
        <v>63</v>
      </c>
      <c r="D9820">
        <v>76967906.698872998</v>
      </c>
    </row>
    <row r="9821" spans="1:4" hidden="1" x14ac:dyDescent="0.3">
      <c r="A9821">
        <v>9819</v>
      </c>
      <c r="B9821" t="s">
        <v>12830</v>
      </c>
      <c r="C9821" t="s">
        <v>65</v>
      </c>
      <c r="D9821">
        <v>38995918.0460274</v>
      </c>
    </row>
    <row r="9822" spans="1:4" hidden="1" x14ac:dyDescent="0.3">
      <c r="A9822">
        <v>9820</v>
      </c>
      <c r="B9822" s="1" t="s">
        <v>12831</v>
      </c>
      <c r="C9822" t="s">
        <v>67</v>
      </c>
      <c r="D9822" s="1" t="s">
        <v>12832</v>
      </c>
    </row>
    <row r="9823" spans="1:4" hidden="1" x14ac:dyDescent="0.3">
      <c r="A9823">
        <v>9821</v>
      </c>
      <c r="B9823" s="1" t="s">
        <v>12833</v>
      </c>
      <c r="C9823" t="s">
        <v>70</v>
      </c>
      <c r="D9823" s="1" t="s">
        <v>12834</v>
      </c>
    </row>
    <row r="9824" spans="1:4" hidden="1" x14ac:dyDescent="0.3">
      <c r="A9824">
        <v>9822</v>
      </c>
      <c r="B9824" t="s">
        <v>12835</v>
      </c>
      <c r="C9824" t="s">
        <v>73</v>
      </c>
      <c r="D9824">
        <v>1.0003542733444299</v>
      </c>
    </row>
    <row r="9825" spans="1:4" hidden="1" x14ac:dyDescent="0.3">
      <c r="A9825">
        <v>9823</v>
      </c>
      <c r="B9825" t="s">
        <v>74</v>
      </c>
      <c r="C9825" t="s">
        <v>75</v>
      </c>
      <c r="D9825">
        <v>2.7397260273972599E-3</v>
      </c>
    </row>
    <row r="9826" spans="1:4" hidden="1" x14ac:dyDescent="0.3">
      <c r="A9826">
        <v>9824</v>
      </c>
      <c r="B9826" t="s">
        <v>76</v>
      </c>
      <c r="C9826" t="s">
        <v>77</v>
      </c>
      <c r="D9826">
        <v>0</v>
      </c>
    </row>
    <row r="9827" spans="1:4" hidden="1" x14ac:dyDescent="0.3">
      <c r="A9827">
        <v>9825</v>
      </c>
      <c r="B9827" t="s">
        <v>650</v>
      </c>
      <c r="C9827" t="s">
        <v>79</v>
      </c>
      <c r="D9827" s="2">
        <v>2.2204460492503101E-16</v>
      </c>
    </row>
    <row r="9828" spans="1:4" hidden="1" x14ac:dyDescent="0.3">
      <c r="A9828">
        <v>9826</v>
      </c>
      <c r="B9828" s="1" t="s">
        <v>12836</v>
      </c>
      <c r="C9828" t="s">
        <v>81</v>
      </c>
      <c r="D9828" s="1" t="s">
        <v>12837</v>
      </c>
    </row>
    <row r="9829" spans="1:4" hidden="1" x14ac:dyDescent="0.3">
      <c r="A9829">
        <v>9827</v>
      </c>
      <c r="B9829" t="s">
        <v>12838</v>
      </c>
      <c r="C9829" t="s">
        <v>84</v>
      </c>
      <c r="D9829">
        <v>1.0003625578486299</v>
      </c>
    </row>
    <row r="9830" spans="1:4" hidden="1" x14ac:dyDescent="0.3">
      <c r="A9830">
        <v>9828</v>
      </c>
      <c r="B9830" s="1" t="s">
        <v>12839</v>
      </c>
      <c r="C9830" t="s">
        <v>86</v>
      </c>
      <c r="D9830" s="1" t="s">
        <v>12840</v>
      </c>
    </row>
    <row r="9831" spans="1:4" hidden="1" x14ac:dyDescent="0.3">
      <c r="A9831">
        <v>9829</v>
      </c>
      <c r="B9831" t="s">
        <v>12841</v>
      </c>
      <c r="C9831" t="s">
        <v>89</v>
      </c>
      <c r="D9831">
        <v>101153105.631093</v>
      </c>
    </row>
    <row r="9832" spans="1:4" hidden="1" x14ac:dyDescent="0.3">
      <c r="A9832">
        <v>9830</v>
      </c>
      <c r="B9832" s="1" t="s">
        <v>12842</v>
      </c>
      <c r="C9832" t="s">
        <v>91</v>
      </c>
      <c r="D9832" s="1" t="s">
        <v>12776</v>
      </c>
    </row>
    <row r="9833" spans="1:4" hidden="1" x14ac:dyDescent="0.3">
      <c r="A9833">
        <v>9831</v>
      </c>
      <c r="B9833" t="s">
        <v>12843</v>
      </c>
      <c r="C9833" t="s">
        <v>94</v>
      </c>
      <c r="D9833">
        <v>76967906.698872998</v>
      </c>
    </row>
    <row r="9834" spans="1:4" hidden="1" x14ac:dyDescent="0.3">
      <c r="A9834">
        <v>9832</v>
      </c>
      <c r="B9834" t="s">
        <v>12844</v>
      </c>
      <c r="C9834" t="s">
        <v>96</v>
      </c>
      <c r="D9834">
        <v>38995918.0460274</v>
      </c>
    </row>
    <row r="9835" spans="1:4" hidden="1" x14ac:dyDescent="0.3">
      <c r="A9835">
        <v>9833</v>
      </c>
      <c r="B9835" t="s">
        <v>12845</v>
      </c>
      <c r="C9835" t="s">
        <v>98</v>
      </c>
      <c r="D9835">
        <v>27020435.041644901</v>
      </c>
    </row>
    <row r="9836" spans="1:4" hidden="1" x14ac:dyDescent="0.3">
      <c r="A9836">
        <v>9834</v>
      </c>
      <c r="B9836" s="1" t="s">
        <v>12846</v>
      </c>
      <c r="C9836" t="s">
        <v>100</v>
      </c>
      <c r="D9836" s="1" t="s">
        <v>12847</v>
      </c>
    </row>
    <row r="9837" spans="1:4" hidden="1" x14ac:dyDescent="0.3">
      <c r="A9837">
        <v>9835</v>
      </c>
      <c r="B9837" t="s">
        <v>12848</v>
      </c>
      <c r="C9837" t="s">
        <v>103</v>
      </c>
      <c r="D9837">
        <v>8.0100236171417195E-3</v>
      </c>
    </row>
    <row r="9838" spans="1:4" hidden="1" x14ac:dyDescent="0.3">
      <c r="A9838">
        <v>9836</v>
      </c>
      <c r="B9838" t="s">
        <v>12849</v>
      </c>
      <c r="C9838" t="s">
        <v>105</v>
      </c>
      <c r="D9838">
        <v>1.6617043665576601E-3</v>
      </c>
    </row>
    <row r="9839" spans="1:4" hidden="1" x14ac:dyDescent="0.3">
      <c r="A9839">
        <v>9837</v>
      </c>
      <c r="B9839" t="s">
        <v>12850</v>
      </c>
      <c r="C9839" t="s">
        <v>107</v>
      </c>
      <c r="D9839">
        <v>9.9031330149523498E-3</v>
      </c>
    </row>
    <row r="9840" spans="1:4" hidden="1" x14ac:dyDescent="0.3">
      <c r="A9840">
        <v>9838</v>
      </c>
      <c r="B9840" s="1" t="s">
        <v>12851</v>
      </c>
      <c r="C9840" t="s">
        <v>109</v>
      </c>
      <c r="D9840" s="1" t="s">
        <v>12852</v>
      </c>
    </row>
    <row r="9841" spans="1:4" x14ac:dyDescent="0.3">
      <c r="A9841">
        <v>9839</v>
      </c>
      <c r="B9841" t="s">
        <v>12853</v>
      </c>
      <c r="C9841" t="s">
        <v>207</v>
      </c>
      <c r="D9841">
        <v>142984551.04707399</v>
      </c>
    </row>
    <row r="9842" spans="1:4" hidden="1" x14ac:dyDescent="0.3">
      <c r="A9842">
        <v>9840</v>
      </c>
      <c r="B9842" t="s">
        <v>12854</v>
      </c>
      <c r="C9842" t="s">
        <v>209</v>
      </c>
      <c r="D9842">
        <v>-637.416793969683</v>
      </c>
    </row>
    <row r="9843" spans="1:4" hidden="1" x14ac:dyDescent="0.3">
      <c r="A9843">
        <v>9841</v>
      </c>
      <c r="B9843" t="s">
        <v>12855</v>
      </c>
      <c r="C9843" t="s">
        <v>211</v>
      </c>
      <c r="D9843">
        <v>-322.94793166751703</v>
      </c>
    </row>
    <row r="9844" spans="1:4" hidden="1" x14ac:dyDescent="0.3">
      <c r="A9844">
        <v>9842</v>
      </c>
      <c r="B9844" s="1" t="s">
        <v>12856</v>
      </c>
      <c r="C9844" t="s">
        <v>213</v>
      </c>
      <c r="D9844" s="1" t="s">
        <v>12857</v>
      </c>
    </row>
    <row r="9845" spans="1:4" hidden="1" x14ac:dyDescent="0.3">
      <c r="A9845">
        <v>9843</v>
      </c>
      <c r="B9845" t="s">
        <v>12858</v>
      </c>
      <c r="C9845" t="s">
        <v>216</v>
      </c>
      <c r="D9845">
        <v>76968745.462678105</v>
      </c>
    </row>
    <row r="9846" spans="1:4" hidden="1" x14ac:dyDescent="0.3">
      <c r="A9846">
        <v>9844</v>
      </c>
      <c r="B9846" t="s">
        <v>12859</v>
      </c>
      <c r="C9846" t="s">
        <v>218</v>
      </c>
      <c r="D9846">
        <v>38996300.984498002</v>
      </c>
    </row>
    <row r="9847" spans="1:4" hidden="1" x14ac:dyDescent="0.3">
      <c r="A9847">
        <v>9845</v>
      </c>
      <c r="B9847" t="s">
        <v>12860</v>
      </c>
      <c r="C9847" t="s">
        <v>220</v>
      </c>
      <c r="D9847">
        <v>27020688.736502498</v>
      </c>
    </row>
    <row r="9848" spans="1:4" hidden="1" x14ac:dyDescent="0.3">
      <c r="A9848">
        <v>9846</v>
      </c>
      <c r="B9848" s="1" t="s">
        <v>12861</v>
      </c>
      <c r="C9848" t="s">
        <v>222</v>
      </c>
      <c r="D9848" s="1" t="s">
        <v>12862</v>
      </c>
    </row>
    <row r="9849" spans="1:4" hidden="1" x14ac:dyDescent="0.3">
      <c r="A9849">
        <v>9847</v>
      </c>
      <c r="B9849" t="s">
        <v>12863</v>
      </c>
      <c r="C9849" t="s">
        <v>225</v>
      </c>
      <c r="D9849">
        <v>101153943.337644</v>
      </c>
    </row>
    <row r="9850" spans="1:4" hidden="1" x14ac:dyDescent="0.3">
      <c r="A9850">
        <v>9848</v>
      </c>
      <c r="B9850" t="s">
        <v>12864</v>
      </c>
      <c r="C9850" t="s">
        <v>227</v>
      </c>
      <c r="D9850">
        <v>-837.70655052363804</v>
      </c>
    </row>
    <row r="9851" spans="1:4" hidden="1" x14ac:dyDescent="0.3">
      <c r="A9851">
        <v>9849</v>
      </c>
      <c r="B9851" s="1" t="s">
        <v>12865</v>
      </c>
      <c r="C9851" t="s">
        <v>229</v>
      </c>
      <c r="D9851" s="1" t="s">
        <v>12866</v>
      </c>
    </row>
    <row r="9852" spans="1:4" hidden="1" x14ac:dyDescent="0.3">
      <c r="A9852">
        <v>9850</v>
      </c>
      <c r="B9852" t="s">
        <v>12867</v>
      </c>
      <c r="C9852" t="s">
        <v>112</v>
      </c>
      <c r="D9852">
        <v>201.347011148527</v>
      </c>
    </row>
    <row r="9853" spans="1:4" hidden="1" x14ac:dyDescent="0.3">
      <c r="A9853">
        <v>9851</v>
      </c>
      <c r="B9853" t="s">
        <v>12868</v>
      </c>
      <c r="C9853" t="s">
        <v>114</v>
      </c>
      <c r="D9853">
        <v>59.9905388440094</v>
      </c>
    </row>
    <row r="9854" spans="1:4" hidden="1" x14ac:dyDescent="0.3">
      <c r="A9854">
        <v>9852</v>
      </c>
      <c r="B9854" s="1" t="s">
        <v>12869</v>
      </c>
      <c r="C9854" t="s">
        <v>116</v>
      </c>
      <c r="D9854" s="1" t="s">
        <v>12870</v>
      </c>
    </row>
    <row r="9855" spans="1:4" hidden="1" x14ac:dyDescent="0.3">
      <c r="A9855">
        <v>9853</v>
      </c>
      <c r="B9855" t="s">
        <v>12871</v>
      </c>
      <c r="C9855" t="s">
        <v>119</v>
      </c>
      <c r="D9855">
        <v>76968745.462678105</v>
      </c>
    </row>
    <row r="9856" spans="1:4" hidden="1" x14ac:dyDescent="0.3">
      <c r="A9856">
        <v>9854</v>
      </c>
      <c r="B9856" t="s">
        <v>12872</v>
      </c>
      <c r="C9856" t="s">
        <v>121</v>
      </c>
      <c r="D9856">
        <v>38996300.984498002</v>
      </c>
    </row>
    <row r="9857" spans="1:4" hidden="1" x14ac:dyDescent="0.3">
      <c r="A9857">
        <v>9855</v>
      </c>
      <c r="B9857" s="1" t="s">
        <v>12873</v>
      </c>
      <c r="C9857" t="s">
        <v>123</v>
      </c>
      <c r="D9857" s="1" t="s">
        <v>12874</v>
      </c>
    </row>
    <row r="9858" spans="1:4" hidden="1" x14ac:dyDescent="0.3">
      <c r="A9858">
        <v>9856</v>
      </c>
      <c r="B9858" t="s">
        <v>12875</v>
      </c>
      <c r="C9858" t="s">
        <v>126</v>
      </c>
      <c r="D9858">
        <v>0.76063124594979503</v>
      </c>
    </row>
    <row r="9859" spans="1:4" hidden="1" x14ac:dyDescent="0.3">
      <c r="A9859">
        <v>9857</v>
      </c>
      <c r="B9859" t="s">
        <v>12876</v>
      </c>
      <c r="C9859" t="s">
        <v>128</v>
      </c>
      <c r="D9859">
        <v>0.385374671588675</v>
      </c>
    </row>
    <row r="9860" spans="1:4" hidden="1" x14ac:dyDescent="0.3">
      <c r="A9860">
        <v>9858</v>
      </c>
      <c r="B9860" s="1" t="s">
        <v>12877</v>
      </c>
      <c r="C9860" t="s">
        <v>130</v>
      </c>
      <c r="D9860" s="1" t="s">
        <v>12878</v>
      </c>
    </row>
    <row r="9861" spans="1:4" hidden="1" x14ac:dyDescent="0.3">
      <c r="A9861">
        <v>9859</v>
      </c>
      <c r="B9861" s="1" t="s">
        <v>12879</v>
      </c>
      <c r="C9861" t="s">
        <v>4</v>
      </c>
      <c r="D9861" t="s">
        <v>12880</v>
      </c>
    </row>
    <row r="9862" spans="1:4" hidden="1" x14ac:dyDescent="0.3">
      <c r="A9862">
        <v>9860</v>
      </c>
      <c r="B9862" t="s">
        <v>12881</v>
      </c>
      <c r="C9862" t="s">
        <v>7</v>
      </c>
      <c r="D9862">
        <v>1770.85</v>
      </c>
    </row>
    <row r="9863" spans="1:4" hidden="1" x14ac:dyDescent="0.3">
      <c r="A9863">
        <v>9861</v>
      </c>
      <c r="B9863" s="1" t="s">
        <v>12882</v>
      </c>
      <c r="C9863" t="s">
        <v>9</v>
      </c>
      <c r="D9863" s="1" t="s">
        <v>12883</v>
      </c>
    </row>
    <row r="9864" spans="1:4" hidden="1" x14ac:dyDescent="0.3">
      <c r="A9864">
        <v>9862</v>
      </c>
      <c r="B9864" t="s">
        <v>12884</v>
      </c>
      <c r="C9864" t="s">
        <v>14</v>
      </c>
      <c r="D9864">
        <v>96.875</v>
      </c>
    </row>
    <row r="9865" spans="1:4" hidden="1" x14ac:dyDescent="0.3">
      <c r="A9865">
        <v>9863</v>
      </c>
      <c r="B9865" t="s">
        <v>12885</v>
      </c>
      <c r="C9865" t="s">
        <v>16</v>
      </c>
      <c r="D9865">
        <v>4.38756055827794</v>
      </c>
    </row>
    <row r="9866" spans="1:4" hidden="1" x14ac:dyDescent="0.3">
      <c r="A9866">
        <v>9864</v>
      </c>
      <c r="B9866" s="1" t="s">
        <v>12886</v>
      </c>
      <c r="C9866" t="s">
        <v>140</v>
      </c>
      <c r="D9866" s="1" t="s">
        <v>12887</v>
      </c>
    </row>
    <row r="9867" spans="1:4" hidden="1" x14ac:dyDescent="0.3">
      <c r="A9867">
        <v>9865</v>
      </c>
      <c r="B9867" t="s">
        <v>12888</v>
      </c>
      <c r="C9867" t="s">
        <v>22</v>
      </c>
      <c r="D9867">
        <v>67.3</v>
      </c>
    </row>
    <row r="9868" spans="1:4" hidden="1" x14ac:dyDescent="0.3">
      <c r="A9868">
        <v>9866</v>
      </c>
      <c r="B9868" t="s">
        <v>12889</v>
      </c>
      <c r="C9868" t="s">
        <v>24</v>
      </c>
      <c r="D9868">
        <v>6.6932392111597201</v>
      </c>
    </row>
    <row r="9869" spans="1:4" hidden="1" x14ac:dyDescent="0.3">
      <c r="A9869">
        <v>9867</v>
      </c>
      <c r="B9869" s="1" t="s">
        <v>12890</v>
      </c>
      <c r="C9869" t="s">
        <v>145</v>
      </c>
      <c r="D9869" s="1" t="s">
        <v>12891</v>
      </c>
    </row>
    <row r="9870" spans="1:4" hidden="1" x14ac:dyDescent="0.3">
      <c r="A9870">
        <v>9868</v>
      </c>
      <c r="B9870" t="s">
        <v>12892</v>
      </c>
      <c r="C9870" t="s">
        <v>35</v>
      </c>
      <c r="D9870">
        <v>0.19328139604215899</v>
      </c>
    </row>
    <row r="9871" spans="1:4" hidden="1" x14ac:dyDescent="0.3">
      <c r="A9871">
        <v>9869</v>
      </c>
      <c r="B9871" t="s">
        <v>12893</v>
      </c>
      <c r="C9871" t="s">
        <v>149</v>
      </c>
      <c r="D9871">
        <v>0.69223514349814097</v>
      </c>
    </row>
    <row r="9872" spans="1:4" hidden="1" x14ac:dyDescent="0.3">
      <c r="A9872">
        <v>9870</v>
      </c>
      <c r="B9872" s="1" t="s">
        <v>12894</v>
      </c>
      <c r="C9872" t="s">
        <v>151</v>
      </c>
      <c r="D9872" s="1" t="s">
        <v>12895</v>
      </c>
    </row>
    <row r="9873" spans="1:4" hidden="1" x14ac:dyDescent="0.3">
      <c r="A9873">
        <v>9871</v>
      </c>
      <c r="B9873" t="s">
        <v>12896</v>
      </c>
      <c r="C9873" t="s">
        <v>30</v>
      </c>
      <c r="D9873">
        <v>0.31046873162864602</v>
      </c>
    </row>
    <row r="9874" spans="1:4" hidden="1" x14ac:dyDescent="0.3">
      <c r="A9874">
        <v>9872</v>
      </c>
      <c r="B9874" t="s">
        <v>12897</v>
      </c>
      <c r="C9874" t="s">
        <v>32</v>
      </c>
      <c r="D9874">
        <v>0.23631111101682101</v>
      </c>
    </row>
    <row r="9875" spans="1:4" hidden="1" x14ac:dyDescent="0.3">
      <c r="A9875">
        <v>9873</v>
      </c>
      <c r="B9875" s="1" t="s">
        <v>12898</v>
      </c>
      <c r="C9875" t="s">
        <v>155</v>
      </c>
      <c r="D9875" s="1" t="s">
        <v>12899</v>
      </c>
    </row>
    <row r="9876" spans="1:4" hidden="1" x14ac:dyDescent="0.3">
      <c r="A9876">
        <v>9874</v>
      </c>
      <c r="B9876" t="s">
        <v>12900</v>
      </c>
      <c r="C9876" t="s">
        <v>40</v>
      </c>
      <c r="D9876">
        <v>0.49624987232919399</v>
      </c>
    </row>
    <row r="9877" spans="1:4" hidden="1" x14ac:dyDescent="0.3">
      <c r="A9877">
        <v>9875</v>
      </c>
      <c r="B9877" t="s">
        <v>12901</v>
      </c>
      <c r="C9877" t="s">
        <v>42</v>
      </c>
      <c r="D9877">
        <v>0.20828471656078401</v>
      </c>
    </row>
    <row r="9878" spans="1:4" hidden="1" x14ac:dyDescent="0.3">
      <c r="A9878">
        <v>9876</v>
      </c>
      <c r="B9878" s="1" t="s">
        <v>12902</v>
      </c>
      <c r="C9878" t="s">
        <v>159</v>
      </c>
      <c r="D9878" s="1" t="s">
        <v>12903</v>
      </c>
    </row>
    <row r="9879" spans="1:4" hidden="1" x14ac:dyDescent="0.3">
      <c r="A9879">
        <v>9877</v>
      </c>
      <c r="B9879" t="s">
        <v>12904</v>
      </c>
      <c r="C9879" t="s">
        <v>161</v>
      </c>
      <c r="D9879">
        <v>0.99114553890757595</v>
      </c>
    </row>
    <row r="9880" spans="1:4" hidden="1" x14ac:dyDescent="0.3">
      <c r="A9880">
        <v>9878</v>
      </c>
      <c r="B9880" t="s">
        <v>12905</v>
      </c>
      <c r="C9880" t="s">
        <v>163</v>
      </c>
      <c r="D9880">
        <v>0.99886844105286898</v>
      </c>
    </row>
    <row r="9881" spans="1:4" hidden="1" x14ac:dyDescent="0.3">
      <c r="A9881">
        <v>9879</v>
      </c>
      <c r="B9881" s="1" t="s">
        <v>12906</v>
      </c>
      <c r="C9881" t="s">
        <v>165</v>
      </c>
      <c r="D9881" s="1" t="s">
        <v>12907</v>
      </c>
    </row>
    <row r="9882" spans="1:4" hidden="1" x14ac:dyDescent="0.3">
      <c r="A9882">
        <v>9880</v>
      </c>
      <c r="B9882" t="s">
        <v>12908</v>
      </c>
      <c r="C9882" t="s">
        <v>168</v>
      </c>
      <c r="D9882">
        <v>0.99986998713298103</v>
      </c>
    </row>
    <row r="9883" spans="1:4" hidden="1" x14ac:dyDescent="0.3">
      <c r="A9883">
        <v>9881</v>
      </c>
      <c r="B9883" t="s">
        <v>12909</v>
      </c>
      <c r="C9883" t="s">
        <v>170</v>
      </c>
      <c r="D9883">
        <v>1.0003854887063699</v>
      </c>
    </row>
    <row r="9884" spans="1:4" hidden="1" x14ac:dyDescent="0.3">
      <c r="A9884">
        <v>9882</v>
      </c>
      <c r="B9884" s="1" t="s">
        <v>12910</v>
      </c>
      <c r="C9884" t="s">
        <v>172</v>
      </c>
      <c r="D9884" s="1" t="s">
        <v>12911</v>
      </c>
    </row>
    <row r="9885" spans="1:4" hidden="1" x14ac:dyDescent="0.3">
      <c r="A9885">
        <v>9883</v>
      </c>
      <c r="B9885" s="1" t="s">
        <v>12912</v>
      </c>
      <c r="C9885" t="s">
        <v>55</v>
      </c>
      <c r="D9885" s="1" t="s">
        <v>12913</v>
      </c>
    </row>
    <row r="9886" spans="1:4" hidden="1" x14ac:dyDescent="0.3">
      <c r="A9886">
        <v>9884</v>
      </c>
      <c r="B9886" s="1" t="s">
        <v>12914</v>
      </c>
      <c r="C9886" t="s">
        <v>52</v>
      </c>
      <c r="D9886" s="1" t="s">
        <v>12915</v>
      </c>
    </row>
    <row r="9887" spans="1:4" hidden="1" x14ac:dyDescent="0.3">
      <c r="A9887">
        <v>9885</v>
      </c>
      <c r="B9887" s="1" t="s">
        <v>12916</v>
      </c>
      <c r="C9887" t="s">
        <v>58</v>
      </c>
      <c r="D9887" s="1" t="s">
        <v>12917</v>
      </c>
    </row>
    <row r="9888" spans="1:4" hidden="1" x14ac:dyDescent="0.3">
      <c r="A9888">
        <v>9886</v>
      </c>
      <c r="B9888" t="s">
        <v>12918</v>
      </c>
      <c r="C9888" t="s">
        <v>61</v>
      </c>
      <c r="D9888">
        <v>142238905.216142</v>
      </c>
    </row>
    <row r="9889" spans="1:4" hidden="1" x14ac:dyDescent="0.3">
      <c r="A9889">
        <v>9887</v>
      </c>
      <c r="B9889" t="s">
        <v>12919</v>
      </c>
      <c r="C9889" t="s">
        <v>63</v>
      </c>
      <c r="D9889">
        <v>76287228.700646207</v>
      </c>
    </row>
    <row r="9890" spans="1:4" hidden="1" x14ac:dyDescent="0.3">
      <c r="A9890">
        <v>9888</v>
      </c>
      <c r="B9890" t="s">
        <v>12920</v>
      </c>
      <c r="C9890" t="s">
        <v>65</v>
      </c>
      <c r="D9890">
        <v>38952174.371213898</v>
      </c>
    </row>
    <row r="9891" spans="1:4" hidden="1" x14ac:dyDescent="0.3">
      <c r="A9891">
        <v>9889</v>
      </c>
      <c r="B9891" s="1" t="s">
        <v>12921</v>
      </c>
      <c r="C9891" t="s">
        <v>67</v>
      </c>
      <c r="D9891" s="1" t="s">
        <v>12922</v>
      </c>
    </row>
    <row r="9892" spans="1:4" hidden="1" x14ac:dyDescent="0.3">
      <c r="A9892">
        <v>9890</v>
      </c>
      <c r="B9892" s="1" t="s">
        <v>12923</v>
      </c>
      <c r="C9892" t="s">
        <v>70</v>
      </c>
      <c r="D9892" s="1" t="s">
        <v>12924</v>
      </c>
    </row>
    <row r="9893" spans="1:4" hidden="1" x14ac:dyDescent="0.3">
      <c r="A9893">
        <v>9891</v>
      </c>
      <c r="B9893" t="s">
        <v>12925</v>
      </c>
      <c r="C9893" t="s">
        <v>73</v>
      </c>
      <c r="D9893">
        <v>1.0003625578486299</v>
      </c>
    </row>
    <row r="9894" spans="1:4" hidden="1" x14ac:dyDescent="0.3">
      <c r="A9894">
        <v>9892</v>
      </c>
      <c r="B9894" t="s">
        <v>74</v>
      </c>
      <c r="C9894" t="s">
        <v>75</v>
      </c>
      <c r="D9894">
        <v>2.7397260273972599E-3</v>
      </c>
    </row>
    <row r="9895" spans="1:4" hidden="1" x14ac:dyDescent="0.3">
      <c r="A9895">
        <v>9893</v>
      </c>
      <c r="B9895" t="s">
        <v>76</v>
      </c>
      <c r="C9895" t="s">
        <v>77</v>
      </c>
      <c r="D9895">
        <v>0</v>
      </c>
    </row>
    <row r="9896" spans="1:4" hidden="1" x14ac:dyDescent="0.3">
      <c r="A9896">
        <v>9894</v>
      </c>
      <c r="B9896" t="s">
        <v>78</v>
      </c>
      <c r="C9896" t="s">
        <v>79</v>
      </c>
      <c r="D9896">
        <v>0</v>
      </c>
    </row>
    <row r="9897" spans="1:4" hidden="1" x14ac:dyDescent="0.3">
      <c r="A9897">
        <v>9895</v>
      </c>
      <c r="B9897" s="1" t="s">
        <v>12926</v>
      </c>
      <c r="C9897" t="s">
        <v>81</v>
      </c>
      <c r="D9897" s="1" t="s">
        <v>12927</v>
      </c>
    </row>
    <row r="9898" spans="1:4" hidden="1" x14ac:dyDescent="0.3">
      <c r="A9898">
        <v>9896</v>
      </c>
      <c r="B9898" t="s">
        <v>12928</v>
      </c>
      <c r="C9898" t="s">
        <v>84</v>
      </c>
      <c r="D9898">
        <v>1.00037428006188</v>
      </c>
    </row>
    <row r="9899" spans="1:4" hidden="1" x14ac:dyDescent="0.3">
      <c r="A9899">
        <v>9897</v>
      </c>
      <c r="B9899" s="1" t="s">
        <v>12929</v>
      </c>
      <c r="C9899" t="s">
        <v>86</v>
      </c>
      <c r="D9899" s="1" t="s">
        <v>12930</v>
      </c>
    </row>
    <row r="9900" spans="1:4" hidden="1" x14ac:dyDescent="0.3">
      <c r="A9900">
        <v>9898</v>
      </c>
      <c r="B9900" t="s">
        <v>12931</v>
      </c>
      <c r="C9900" t="s">
        <v>89</v>
      </c>
      <c r="D9900">
        <v>101151920.336449</v>
      </c>
    </row>
    <row r="9901" spans="1:4" hidden="1" x14ac:dyDescent="0.3">
      <c r="A9901">
        <v>9899</v>
      </c>
      <c r="B9901" s="1" t="s">
        <v>12932</v>
      </c>
      <c r="C9901" t="s">
        <v>91</v>
      </c>
      <c r="D9901" s="1" t="s">
        <v>12866</v>
      </c>
    </row>
    <row r="9902" spans="1:4" hidden="1" x14ac:dyDescent="0.3">
      <c r="A9902">
        <v>9900</v>
      </c>
      <c r="B9902" t="s">
        <v>12933</v>
      </c>
      <c r="C9902" t="s">
        <v>94</v>
      </c>
      <c r="D9902">
        <v>76287228.700646207</v>
      </c>
    </row>
    <row r="9903" spans="1:4" hidden="1" x14ac:dyDescent="0.3">
      <c r="A9903">
        <v>9901</v>
      </c>
      <c r="B9903" t="s">
        <v>12934</v>
      </c>
      <c r="C9903" t="s">
        <v>96</v>
      </c>
      <c r="D9903">
        <v>38952174.371213898</v>
      </c>
    </row>
    <row r="9904" spans="1:4" hidden="1" x14ac:dyDescent="0.3">
      <c r="A9904">
        <v>9902</v>
      </c>
      <c r="B9904" t="s">
        <v>12935</v>
      </c>
      <c r="C9904" t="s">
        <v>98</v>
      </c>
      <c r="D9904">
        <v>26999502.144282401</v>
      </c>
    </row>
    <row r="9905" spans="1:4" hidden="1" x14ac:dyDescent="0.3">
      <c r="A9905">
        <v>9903</v>
      </c>
      <c r="B9905" s="1" t="s">
        <v>12936</v>
      </c>
      <c r="C9905" t="s">
        <v>100</v>
      </c>
      <c r="D9905" s="1" t="s">
        <v>12937</v>
      </c>
    </row>
    <row r="9906" spans="1:4" hidden="1" x14ac:dyDescent="0.3">
      <c r="A9906">
        <v>9904</v>
      </c>
      <c r="B9906" t="s">
        <v>12938</v>
      </c>
      <c r="C9906" t="s">
        <v>103</v>
      </c>
      <c r="D9906">
        <v>7.9575936893327495E-3</v>
      </c>
    </row>
    <row r="9907" spans="1:4" hidden="1" x14ac:dyDescent="0.3">
      <c r="A9907">
        <v>9905</v>
      </c>
      <c r="B9907" t="s">
        <v>12939</v>
      </c>
      <c r="C9907" t="s">
        <v>105</v>
      </c>
      <c r="D9907">
        <v>1.6645709709253501E-3</v>
      </c>
    </row>
    <row r="9908" spans="1:4" hidden="1" x14ac:dyDescent="0.3">
      <c r="A9908">
        <v>9906</v>
      </c>
      <c r="B9908" t="s">
        <v>12940</v>
      </c>
      <c r="C9908" t="s">
        <v>107</v>
      </c>
      <c r="D9908">
        <v>9.8725496741592297E-3</v>
      </c>
    </row>
    <row r="9909" spans="1:4" hidden="1" x14ac:dyDescent="0.3">
      <c r="A9909">
        <v>9907</v>
      </c>
      <c r="B9909" s="1" t="s">
        <v>12941</v>
      </c>
      <c r="C9909" t="s">
        <v>109</v>
      </c>
      <c r="D9909" s="1" t="s">
        <v>12942</v>
      </c>
    </row>
    <row r="9910" spans="1:4" x14ac:dyDescent="0.3">
      <c r="A9910">
        <v>9908</v>
      </c>
      <c r="B9910" t="s">
        <v>12943</v>
      </c>
      <c r="C9910" t="s">
        <v>207</v>
      </c>
      <c r="D9910">
        <v>142239317.60091799</v>
      </c>
    </row>
    <row r="9911" spans="1:4" hidden="1" x14ac:dyDescent="0.3">
      <c r="A9911">
        <v>9909</v>
      </c>
      <c r="B9911" t="s">
        <v>12944</v>
      </c>
      <c r="C9911" t="s">
        <v>209</v>
      </c>
      <c r="D9911">
        <v>-893.93478808121802</v>
      </c>
    </row>
    <row r="9912" spans="1:4" hidden="1" x14ac:dyDescent="0.3">
      <c r="A9912">
        <v>9910</v>
      </c>
      <c r="B9912" t="s">
        <v>12945</v>
      </c>
      <c r="C9912" t="s">
        <v>211</v>
      </c>
      <c r="D9912">
        <v>-456.44097486637799</v>
      </c>
    </row>
    <row r="9913" spans="1:4" hidden="1" x14ac:dyDescent="0.3">
      <c r="A9913">
        <v>9911</v>
      </c>
      <c r="B9913" s="1" t="s">
        <v>12946</v>
      </c>
      <c r="C9913" t="s">
        <v>213</v>
      </c>
      <c r="D9913" s="1" t="s">
        <v>12947</v>
      </c>
    </row>
    <row r="9914" spans="1:4" hidden="1" x14ac:dyDescent="0.3">
      <c r="A9914">
        <v>9912</v>
      </c>
      <c r="B9914" t="s">
        <v>12948</v>
      </c>
      <c r="C9914" t="s">
        <v>216</v>
      </c>
      <c r="D9914">
        <v>76288440.606199607</v>
      </c>
    </row>
    <row r="9915" spans="1:4" hidden="1" x14ac:dyDescent="0.3">
      <c r="A9915">
        <v>9913</v>
      </c>
      <c r="B9915" t="s">
        <v>12949</v>
      </c>
      <c r="C9915" t="s">
        <v>218</v>
      </c>
      <c r="D9915">
        <v>38952696.176050201</v>
      </c>
    </row>
    <row r="9916" spans="1:4" hidden="1" x14ac:dyDescent="0.3">
      <c r="A9916">
        <v>9914</v>
      </c>
      <c r="B9916" t="s">
        <v>12950</v>
      </c>
      <c r="C9916" t="s">
        <v>220</v>
      </c>
      <c r="D9916">
        <v>26999847.573988099</v>
      </c>
    </row>
    <row r="9917" spans="1:4" hidden="1" x14ac:dyDescent="0.3">
      <c r="A9917">
        <v>9915</v>
      </c>
      <c r="B9917" s="1" t="s">
        <v>12951</v>
      </c>
      <c r="C9917" t="s">
        <v>222</v>
      </c>
      <c r="D9917" s="1" t="s">
        <v>12952</v>
      </c>
    </row>
    <row r="9918" spans="1:4" hidden="1" x14ac:dyDescent="0.3">
      <c r="A9918">
        <v>9916</v>
      </c>
      <c r="B9918" t="s">
        <v>12953</v>
      </c>
      <c r="C9918" t="s">
        <v>225</v>
      </c>
      <c r="D9918">
        <v>101153105.631093</v>
      </c>
    </row>
    <row r="9919" spans="1:4" hidden="1" x14ac:dyDescent="0.3">
      <c r="A9919">
        <v>9917</v>
      </c>
      <c r="B9919" t="s">
        <v>12954</v>
      </c>
      <c r="C9919" t="s">
        <v>227</v>
      </c>
      <c r="D9919">
        <v>-1185.2946439534401</v>
      </c>
    </row>
    <row r="9920" spans="1:4" hidden="1" x14ac:dyDescent="0.3">
      <c r="A9920">
        <v>9918</v>
      </c>
      <c r="B9920" s="1" t="s">
        <v>12955</v>
      </c>
      <c r="C9920" t="s">
        <v>229</v>
      </c>
      <c r="D9920" s="1" t="s">
        <v>12956</v>
      </c>
    </row>
    <row r="9921" spans="1:4" hidden="1" x14ac:dyDescent="0.3">
      <c r="A9921">
        <v>9919</v>
      </c>
      <c r="B9921" t="s">
        <v>12957</v>
      </c>
      <c r="C9921" t="s">
        <v>112</v>
      </c>
      <c r="D9921">
        <v>317.97076529413903</v>
      </c>
    </row>
    <row r="9922" spans="1:4" hidden="1" x14ac:dyDescent="0.3">
      <c r="A9922">
        <v>9920</v>
      </c>
      <c r="B9922" t="s">
        <v>12958</v>
      </c>
      <c r="C9922" t="s">
        <v>114</v>
      </c>
      <c r="D9922">
        <v>65.363861414532593</v>
      </c>
    </row>
    <row r="9923" spans="1:4" hidden="1" x14ac:dyDescent="0.3">
      <c r="A9923">
        <v>9921</v>
      </c>
      <c r="B9923" s="1" t="s">
        <v>12959</v>
      </c>
      <c r="C9923" t="s">
        <v>116</v>
      </c>
      <c r="D9923" s="1" t="s">
        <v>12960</v>
      </c>
    </row>
    <row r="9924" spans="1:4" hidden="1" x14ac:dyDescent="0.3">
      <c r="A9924">
        <v>9922</v>
      </c>
      <c r="B9924" t="s">
        <v>12961</v>
      </c>
      <c r="C9924" t="s">
        <v>119</v>
      </c>
      <c r="D9924">
        <v>76288440.606199607</v>
      </c>
    </row>
    <row r="9925" spans="1:4" hidden="1" x14ac:dyDescent="0.3">
      <c r="A9925">
        <v>9923</v>
      </c>
      <c r="B9925" t="s">
        <v>12962</v>
      </c>
      <c r="C9925" t="s">
        <v>121</v>
      </c>
      <c r="D9925">
        <v>38952696.176050201</v>
      </c>
    </row>
    <row r="9926" spans="1:4" hidden="1" x14ac:dyDescent="0.3">
      <c r="A9926">
        <v>9924</v>
      </c>
      <c r="B9926" s="1" t="s">
        <v>12963</v>
      </c>
      <c r="C9926" t="s">
        <v>123</v>
      </c>
      <c r="D9926" s="1" t="s">
        <v>12964</v>
      </c>
    </row>
    <row r="9927" spans="1:4" hidden="1" x14ac:dyDescent="0.3">
      <c r="A9927">
        <v>9925</v>
      </c>
      <c r="B9927" t="s">
        <v>12965</v>
      </c>
      <c r="C9927" t="s">
        <v>126</v>
      </c>
      <c r="D9927">
        <v>0.75390565194270498</v>
      </c>
    </row>
    <row r="9928" spans="1:4" hidden="1" x14ac:dyDescent="0.3">
      <c r="A9928">
        <v>9926</v>
      </c>
      <c r="B9928" t="s">
        <v>12966</v>
      </c>
      <c r="C9928" t="s">
        <v>128</v>
      </c>
      <c r="D9928">
        <v>0.384942431280274</v>
      </c>
    </row>
    <row r="9929" spans="1:4" hidden="1" x14ac:dyDescent="0.3">
      <c r="A9929">
        <v>9927</v>
      </c>
      <c r="B9929" s="1" t="s">
        <v>12967</v>
      </c>
      <c r="C9929" t="s">
        <v>130</v>
      </c>
      <c r="D9929" s="1" t="s">
        <v>12968</v>
      </c>
    </row>
    <row r="9930" spans="1:4" hidden="1" x14ac:dyDescent="0.3">
      <c r="A9930">
        <v>9928</v>
      </c>
      <c r="B9930" s="1" t="s">
        <v>12969</v>
      </c>
      <c r="C9930" t="s">
        <v>4</v>
      </c>
      <c r="D9930" t="s">
        <v>12970</v>
      </c>
    </row>
    <row r="9931" spans="1:4" hidden="1" x14ac:dyDescent="0.3">
      <c r="A9931">
        <v>9929</v>
      </c>
      <c r="B9931" t="s">
        <v>12971</v>
      </c>
      <c r="C9931" t="s">
        <v>7</v>
      </c>
      <c r="D9931">
        <v>1776.92</v>
      </c>
    </row>
    <row r="9932" spans="1:4" hidden="1" x14ac:dyDescent="0.3">
      <c r="A9932">
        <v>9930</v>
      </c>
      <c r="B9932" s="1" t="s">
        <v>12972</v>
      </c>
      <c r="C9932" t="s">
        <v>9</v>
      </c>
      <c r="D9932" s="1" t="s">
        <v>12973</v>
      </c>
    </row>
    <row r="9933" spans="1:4" hidden="1" x14ac:dyDescent="0.3">
      <c r="A9933">
        <v>9931</v>
      </c>
      <c r="B9933" t="s">
        <v>12974</v>
      </c>
      <c r="C9933" t="s">
        <v>14</v>
      </c>
      <c r="D9933">
        <v>96.84375</v>
      </c>
    </row>
    <row r="9934" spans="1:4" hidden="1" x14ac:dyDescent="0.3">
      <c r="A9934">
        <v>9932</v>
      </c>
      <c r="B9934" t="s">
        <v>12975</v>
      </c>
      <c r="C9934" t="s">
        <v>16</v>
      </c>
      <c r="D9934">
        <v>4.3852536521343497</v>
      </c>
    </row>
    <row r="9935" spans="1:4" hidden="1" x14ac:dyDescent="0.3">
      <c r="A9935">
        <v>9933</v>
      </c>
      <c r="B9935" s="1" t="s">
        <v>12976</v>
      </c>
      <c r="C9935" t="s">
        <v>140</v>
      </c>
      <c r="D9935" s="1" t="s">
        <v>12977</v>
      </c>
    </row>
    <row r="9936" spans="1:4" hidden="1" x14ac:dyDescent="0.3">
      <c r="A9936">
        <v>9934</v>
      </c>
      <c r="B9936" t="s">
        <v>12798</v>
      </c>
      <c r="C9936" t="s">
        <v>22</v>
      </c>
      <c r="D9936">
        <v>67.349999999999994</v>
      </c>
    </row>
    <row r="9937" spans="1:4" hidden="1" x14ac:dyDescent="0.3">
      <c r="A9937">
        <v>9935</v>
      </c>
      <c r="B9937" t="s">
        <v>12978</v>
      </c>
      <c r="C9937" t="s">
        <v>24</v>
      </c>
      <c r="D9937">
        <v>6.6819037928052802</v>
      </c>
    </row>
    <row r="9938" spans="1:4" hidden="1" x14ac:dyDescent="0.3">
      <c r="A9938">
        <v>9936</v>
      </c>
      <c r="B9938" s="1" t="s">
        <v>12979</v>
      </c>
      <c r="C9938" t="s">
        <v>145</v>
      </c>
      <c r="D9938" s="1" t="s">
        <v>12980</v>
      </c>
    </row>
    <row r="9939" spans="1:4" hidden="1" x14ac:dyDescent="0.3">
      <c r="A9939">
        <v>9937</v>
      </c>
      <c r="B9939" t="s">
        <v>12981</v>
      </c>
      <c r="C9939" t="s">
        <v>35</v>
      </c>
      <c r="D9939">
        <v>0.28290881604574902</v>
      </c>
    </row>
    <row r="9940" spans="1:4" hidden="1" x14ac:dyDescent="0.3">
      <c r="A9940">
        <v>9938</v>
      </c>
      <c r="B9940" t="s">
        <v>12982</v>
      </c>
      <c r="C9940" t="s">
        <v>149</v>
      </c>
      <c r="D9940">
        <v>0.69540721717754606</v>
      </c>
    </row>
    <row r="9941" spans="1:4" hidden="1" x14ac:dyDescent="0.3">
      <c r="A9941">
        <v>9939</v>
      </c>
      <c r="B9941" s="1" t="s">
        <v>12983</v>
      </c>
      <c r="C9941" t="s">
        <v>151</v>
      </c>
      <c r="D9941" s="1" t="s">
        <v>12984</v>
      </c>
    </row>
    <row r="9942" spans="1:4" hidden="1" x14ac:dyDescent="0.3">
      <c r="A9942">
        <v>9940</v>
      </c>
      <c r="B9942" t="s">
        <v>12985</v>
      </c>
      <c r="C9942" t="s">
        <v>30</v>
      </c>
      <c r="D9942">
        <v>0.27638522837188201</v>
      </c>
    </row>
    <row r="9943" spans="1:4" hidden="1" x14ac:dyDescent="0.3">
      <c r="A9943">
        <v>9941</v>
      </c>
      <c r="B9943" t="s">
        <v>12986</v>
      </c>
      <c r="C9943" t="s">
        <v>32</v>
      </c>
      <c r="D9943">
        <v>0.23261728576256899</v>
      </c>
    </row>
    <row r="9944" spans="1:4" hidden="1" x14ac:dyDescent="0.3">
      <c r="A9944">
        <v>9942</v>
      </c>
      <c r="B9944" s="1" t="s">
        <v>12987</v>
      </c>
      <c r="C9944" t="s">
        <v>155</v>
      </c>
      <c r="D9944" s="1" t="s">
        <v>12988</v>
      </c>
    </row>
    <row r="9945" spans="1:4" hidden="1" x14ac:dyDescent="0.3">
      <c r="A9945">
        <v>9943</v>
      </c>
      <c r="B9945" t="s">
        <v>12989</v>
      </c>
      <c r="C9945" t="s">
        <v>40</v>
      </c>
      <c r="D9945">
        <v>0.44070595558236703</v>
      </c>
    </row>
    <row r="9946" spans="1:4" hidden="1" x14ac:dyDescent="0.3">
      <c r="A9946">
        <v>9944</v>
      </c>
      <c r="B9946" t="s">
        <v>12990</v>
      </c>
      <c r="C9946" t="s">
        <v>42</v>
      </c>
      <c r="D9946">
        <v>0.20538907266825801</v>
      </c>
    </row>
    <row r="9947" spans="1:4" hidden="1" x14ac:dyDescent="0.3">
      <c r="A9947">
        <v>9945</v>
      </c>
      <c r="B9947" s="1" t="s">
        <v>12991</v>
      </c>
      <c r="C9947" t="s">
        <v>159</v>
      </c>
      <c r="D9947" s="1" t="s">
        <v>12992</v>
      </c>
    </row>
    <row r="9948" spans="1:4" hidden="1" x14ac:dyDescent="0.3">
      <c r="A9948">
        <v>9946</v>
      </c>
      <c r="B9948" t="s">
        <v>12993</v>
      </c>
      <c r="C9948" t="s">
        <v>161</v>
      </c>
      <c r="D9948">
        <v>1.0034277324448699</v>
      </c>
    </row>
    <row r="9949" spans="1:4" hidden="1" x14ac:dyDescent="0.3">
      <c r="A9949">
        <v>9947</v>
      </c>
      <c r="B9949" t="s">
        <v>12994</v>
      </c>
      <c r="C9949" t="s">
        <v>163</v>
      </c>
      <c r="D9949">
        <v>0.99966861487643</v>
      </c>
    </row>
    <row r="9950" spans="1:4" hidden="1" x14ac:dyDescent="0.3">
      <c r="A9950">
        <v>9948</v>
      </c>
      <c r="B9950" s="1" t="s">
        <v>12995</v>
      </c>
      <c r="C9950" t="s">
        <v>165</v>
      </c>
      <c r="D9950" s="1" t="s">
        <v>12996</v>
      </c>
    </row>
    <row r="9951" spans="1:4" hidden="1" x14ac:dyDescent="0.3">
      <c r="A9951">
        <v>9949</v>
      </c>
      <c r="B9951" t="s">
        <v>12997</v>
      </c>
      <c r="C9951" t="s">
        <v>168</v>
      </c>
      <c r="D9951">
        <v>1.0018744875329999</v>
      </c>
    </row>
    <row r="9952" spans="1:4" hidden="1" x14ac:dyDescent="0.3">
      <c r="A9952">
        <v>9950</v>
      </c>
      <c r="B9952" t="s">
        <v>12998</v>
      </c>
      <c r="C9952" t="s">
        <v>170</v>
      </c>
      <c r="D9952">
        <v>0.99701222028878</v>
      </c>
    </row>
    <row r="9953" spans="1:4" hidden="1" x14ac:dyDescent="0.3">
      <c r="A9953">
        <v>9951</v>
      </c>
      <c r="B9953" s="1" t="s">
        <v>12999</v>
      </c>
      <c r="C9953" t="s">
        <v>172</v>
      </c>
      <c r="D9953" s="1" t="s">
        <v>13000</v>
      </c>
    </row>
    <row r="9954" spans="1:4" hidden="1" x14ac:dyDescent="0.3">
      <c r="A9954">
        <v>9952</v>
      </c>
      <c r="B9954" s="1" t="s">
        <v>13001</v>
      </c>
      <c r="C9954" t="s">
        <v>55</v>
      </c>
      <c r="D9954" s="1" t="s">
        <v>13002</v>
      </c>
    </row>
    <row r="9955" spans="1:4" hidden="1" x14ac:dyDescent="0.3">
      <c r="A9955">
        <v>9953</v>
      </c>
      <c r="B9955" s="1" t="s">
        <v>13003</v>
      </c>
      <c r="C9955" t="s">
        <v>52</v>
      </c>
      <c r="D9955" s="1" t="s">
        <v>13004</v>
      </c>
    </row>
    <row r="9956" spans="1:4" hidden="1" x14ac:dyDescent="0.3">
      <c r="A9956">
        <v>9954</v>
      </c>
      <c r="B9956" s="1" t="s">
        <v>13005</v>
      </c>
      <c r="C9956" t="s">
        <v>58</v>
      </c>
      <c r="D9956" s="1" t="s">
        <v>13006</v>
      </c>
    </row>
    <row r="9957" spans="1:4" hidden="1" x14ac:dyDescent="0.3">
      <c r="A9957">
        <v>9955</v>
      </c>
      <c r="B9957" t="s">
        <v>13007</v>
      </c>
      <c r="C9957" t="s">
        <v>61</v>
      </c>
      <c r="D9957">
        <v>142503680.93193799</v>
      </c>
    </row>
    <row r="9958" spans="1:4" hidden="1" x14ac:dyDescent="0.3">
      <c r="A9958">
        <v>9956</v>
      </c>
      <c r="B9958" t="s">
        <v>13008</v>
      </c>
      <c r="C9958" t="s">
        <v>63</v>
      </c>
      <c r="D9958">
        <v>76549936.969234094</v>
      </c>
    </row>
    <row r="9959" spans="1:4" hidden="1" x14ac:dyDescent="0.3">
      <c r="A9959">
        <v>9957</v>
      </c>
      <c r="B9959" t="s">
        <v>13009</v>
      </c>
      <c r="C9959" t="s">
        <v>65</v>
      </c>
      <c r="D9959">
        <v>38939787.832014501</v>
      </c>
    </row>
    <row r="9960" spans="1:4" hidden="1" x14ac:dyDescent="0.3">
      <c r="A9960">
        <v>9958</v>
      </c>
      <c r="B9960" s="1" t="s">
        <v>13010</v>
      </c>
      <c r="C9960" t="s">
        <v>67</v>
      </c>
      <c r="D9960" s="1" t="s">
        <v>13011</v>
      </c>
    </row>
    <row r="9961" spans="1:4" hidden="1" x14ac:dyDescent="0.3">
      <c r="A9961">
        <v>9959</v>
      </c>
      <c r="B9961" s="1" t="s">
        <v>13012</v>
      </c>
      <c r="C9961" t="s">
        <v>70</v>
      </c>
      <c r="D9961" s="1" t="s">
        <v>13013</v>
      </c>
    </row>
    <row r="9962" spans="1:4" hidden="1" x14ac:dyDescent="0.3">
      <c r="A9962">
        <v>9960</v>
      </c>
      <c r="B9962" t="s">
        <v>13014</v>
      </c>
      <c r="C9962" t="s">
        <v>73</v>
      </c>
      <c r="D9962">
        <v>1.00037428006188</v>
      </c>
    </row>
    <row r="9963" spans="1:4" hidden="1" x14ac:dyDescent="0.3">
      <c r="A9963">
        <v>9961</v>
      </c>
      <c r="B9963" t="s">
        <v>74</v>
      </c>
      <c r="C9963" t="s">
        <v>75</v>
      </c>
      <c r="D9963">
        <v>2.7397260273972599E-3</v>
      </c>
    </row>
    <row r="9964" spans="1:4" hidden="1" x14ac:dyDescent="0.3">
      <c r="A9964">
        <v>9962</v>
      </c>
      <c r="B9964" t="s">
        <v>76</v>
      </c>
      <c r="C9964" t="s">
        <v>77</v>
      </c>
      <c r="D9964">
        <v>0</v>
      </c>
    </row>
    <row r="9965" spans="1:4" hidden="1" x14ac:dyDescent="0.3">
      <c r="A9965">
        <v>9963</v>
      </c>
      <c r="B9965" t="s">
        <v>1459</v>
      </c>
      <c r="C9965" t="s">
        <v>79</v>
      </c>
      <c r="D9965" s="2">
        <v>-2.2204460492503101E-16</v>
      </c>
    </row>
    <row r="9966" spans="1:4" hidden="1" x14ac:dyDescent="0.3">
      <c r="A9966">
        <v>9964</v>
      </c>
      <c r="B9966" s="1" t="s">
        <v>13015</v>
      </c>
      <c r="C9966" t="s">
        <v>81</v>
      </c>
      <c r="D9966" s="1" t="s">
        <v>13016</v>
      </c>
    </row>
    <row r="9967" spans="1:4" hidden="1" x14ac:dyDescent="0.3">
      <c r="A9967">
        <v>9965</v>
      </c>
      <c r="B9967" t="s">
        <v>13017</v>
      </c>
      <c r="C9967" t="s">
        <v>84</v>
      </c>
      <c r="D9967">
        <v>1.0003787385771401</v>
      </c>
    </row>
    <row r="9968" spans="1:4" hidden="1" x14ac:dyDescent="0.3">
      <c r="A9968">
        <v>9966</v>
      </c>
      <c r="B9968" s="1" t="s">
        <v>13018</v>
      </c>
      <c r="C9968" t="s">
        <v>86</v>
      </c>
      <c r="D9968" s="1" t="s">
        <v>13019</v>
      </c>
    </row>
    <row r="9969" spans="1:4" hidden="1" x14ac:dyDescent="0.3">
      <c r="A9969">
        <v>9967</v>
      </c>
      <c r="B9969" t="s">
        <v>13020</v>
      </c>
      <c r="C9969" t="s">
        <v>89</v>
      </c>
      <c r="D9969">
        <v>101151469.519811</v>
      </c>
    </row>
    <row r="9970" spans="1:4" hidden="1" x14ac:dyDescent="0.3">
      <c r="A9970">
        <v>9968</v>
      </c>
      <c r="B9970" s="1" t="s">
        <v>13021</v>
      </c>
      <c r="C9970" t="s">
        <v>91</v>
      </c>
      <c r="D9970" s="1" t="s">
        <v>12956</v>
      </c>
    </row>
    <row r="9971" spans="1:4" hidden="1" x14ac:dyDescent="0.3">
      <c r="A9971">
        <v>9969</v>
      </c>
      <c r="B9971" t="s">
        <v>13022</v>
      </c>
      <c r="C9971" t="s">
        <v>94</v>
      </c>
      <c r="D9971">
        <v>76549936.969234094</v>
      </c>
    </row>
    <row r="9972" spans="1:4" hidden="1" x14ac:dyDescent="0.3">
      <c r="A9972">
        <v>9970</v>
      </c>
      <c r="B9972" t="s">
        <v>13023</v>
      </c>
      <c r="C9972" t="s">
        <v>96</v>
      </c>
      <c r="D9972">
        <v>38939787.832014501</v>
      </c>
    </row>
    <row r="9973" spans="1:4" hidden="1" x14ac:dyDescent="0.3">
      <c r="A9973">
        <v>9971</v>
      </c>
      <c r="B9973" t="s">
        <v>13024</v>
      </c>
      <c r="C9973" t="s">
        <v>98</v>
      </c>
      <c r="D9973">
        <v>27013956.130689599</v>
      </c>
    </row>
    <row r="9974" spans="1:4" hidden="1" x14ac:dyDescent="0.3">
      <c r="A9974">
        <v>9972</v>
      </c>
      <c r="B9974" s="1" t="s">
        <v>13025</v>
      </c>
      <c r="C9974" t="s">
        <v>100</v>
      </c>
      <c r="D9974" s="1" t="s">
        <v>13026</v>
      </c>
    </row>
    <row r="9975" spans="1:4" hidden="1" x14ac:dyDescent="0.3">
      <c r="A9975">
        <v>9973</v>
      </c>
      <c r="B9975" t="s">
        <v>13027</v>
      </c>
      <c r="C9975" t="s">
        <v>103</v>
      </c>
      <c r="D9975">
        <v>8.0057756196686199E-3</v>
      </c>
    </row>
    <row r="9976" spans="1:4" hidden="1" x14ac:dyDescent="0.3">
      <c r="A9976">
        <v>9974</v>
      </c>
      <c r="B9976" t="s">
        <v>13028</v>
      </c>
      <c r="C9976" t="s">
        <v>105</v>
      </c>
      <c r="D9976">
        <v>1.63778447510741E-3</v>
      </c>
    </row>
    <row r="9977" spans="1:4" hidden="1" x14ac:dyDescent="0.3">
      <c r="A9977">
        <v>9975</v>
      </c>
      <c r="B9977" t="s">
        <v>13029</v>
      </c>
      <c r="C9977" t="s">
        <v>107</v>
      </c>
      <c r="D9977">
        <v>9.7895395369760104E-3</v>
      </c>
    </row>
    <row r="9978" spans="1:4" hidden="1" x14ac:dyDescent="0.3">
      <c r="A9978">
        <v>9976</v>
      </c>
      <c r="B9978" s="1" t="s">
        <v>13030</v>
      </c>
      <c r="C9978" t="s">
        <v>109</v>
      </c>
      <c r="D9978" s="1" t="s">
        <v>13031</v>
      </c>
    </row>
    <row r="9979" spans="1:4" x14ac:dyDescent="0.3">
      <c r="A9979">
        <v>9977</v>
      </c>
      <c r="B9979" t="s">
        <v>13032</v>
      </c>
      <c r="C9979" t="s">
        <v>207</v>
      </c>
      <c r="D9979">
        <v>142503837.68424299</v>
      </c>
    </row>
    <row r="9980" spans="1:4" hidden="1" x14ac:dyDescent="0.3">
      <c r="A9980">
        <v>9978</v>
      </c>
      <c r="B9980" t="s">
        <v>13033</v>
      </c>
      <c r="C9980" t="s">
        <v>209</v>
      </c>
      <c r="D9980">
        <v>-341.17184969986198</v>
      </c>
    </row>
    <row r="9981" spans="1:4" hidden="1" x14ac:dyDescent="0.3">
      <c r="A9981">
        <v>9979</v>
      </c>
      <c r="B9981" t="s">
        <v>13034</v>
      </c>
      <c r="C9981" t="s">
        <v>211</v>
      </c>
      <c r="D9981">
        <v>-173.54883249742201</v>
      </c>
    </row>
    <row r="9982" spans="1:4" hidden="1" x14ac:dyDescent="0.3">
      <c r="A9982">
        <v>9980</v>
      </c>
      <c r="B9982" s="1" t="s">
        <v>13035</v>
      </c>
      <c r="C9982" t="s">
        <v>213</v>
      </c>
      <c r="D9982" s="1" t="s">
        <v>13036</v>
      </c>
    </row>
    <row r="9983" spans="1:4" hidden="1" x14ac:dyDescent="0.3">
      <c r="A9983">
        <v>9981</v>
      </c>
      <c r="B9983" t="s">
        <v>13037</v>
      </c>
      <c r="C9983" t="s">
        <v>216</v>
      </c>
      <c r="D9983">
        <v>76550386.189634204</v>
      </c>
    </row>
    <row r="9984" spans="1:4" hidden="1" x14ac:dyDescent="0.3">
      <c r="A9984">
        <v>9982</v>
      </c>
      <c r="B9984" t="s">
        <v>13038</v>
      </c>
      <c r="C9984" t="s">
        <v>218</v>
      </c>
      <c r="D9984">
        <v>38939995.084955499</v>
      </c>
    </row>
    <row r="9985" spans="1:4" hidden="1" x14ac:dyDescent="0.3">
      <c r="A9985">
        <v>9983</v>
      </c>
      <c r="B9985" t="s">
        <v>13039</v>
      </c>
      <c r="C9985" t="s">
        <v>220</v>
      </c>
      <c r="D9985">
        <v>27014091.527475599</v>
      </c>
    </row>
    <row r="9986" spans="1:4" hidden="1" x14ac:dyDescent="0.3">
      <c r="A9986">
        <v>9984</v>
      </c>
      <c r="B9986" s="1" t="s">
        <v>13040</v>
      </c>
      <c r="C9986" t="s">
        <v>222</v>
      </c>
      <c r="D9986" s="1" t="s">
        <v>13041</v>
      </c>
    </row>
    <row r="9987" spans="1:4" hidden="1" x14ac:dyDescent="0.3">
      <c r="A9987">
        <v>9985</v>
      </c>
      <c r="B9987" t="s">
        <v>13042</v>
      </c>
      <c r="C9987" t="s">
        <v>225</v>
      </c>
      <c r="D9987">
        <v>101151920.336449</v>
      </c>
    </row>
    <row r="9988" spans="1:4" hidden="1" x14ac:dyDescent="0.3">
      <c r="A9988">
        <v>9986</v>
      </c>
      <c r="B9988" t="s">
        <v>13043</v>
      </c>
      <c r="C9988" t="s">
        <v>227</v>
      </c>
      <c r="D9988">
        <v>-450.816638290882</v>
      </c>
    </row>
    <row r="9989" spans="1:4" hidden="1" x14ac:dyDescent="0.3">
      <c r="A9989">
        <v>9987</v>
      </c>
      <c r="B9989" s="1" t="s">
        <v>13044</v>
      </c>
      <c r="C9989" t="s">
        <v>229</v>
      </c>
      <c r="D9989" s="1" t="s">
        <v>13045</v>
      </c>
    </row>
    <row r="9990" spans="1:4" hidden="1" x14ac:dyDescent="0.3">
      <c r="A9990">
        <v>9988</v>
      </c>
      <c r="B9990" t="s">
        <v>13046</v>
      </c>
      <c r="C9990" t="s">
        <v>112</v>
      </c>
      <c r="D9990">
        <v>108.048550453988</v>
      </c>
    </row>
    <row r="9991" spans="1:4" hidden="1" x14ac:dyDescent="0.3">
      <c r="A9991">
        <v>9989</v>
      </c>
      <c r="B9991" t="s">
        <v>13047</v>
      </c>
      <c r="C9991" t="s">
        <v>114</v>
      </c>
      <c r="D9991">
        <v>33.704108501360999</v>
      </c>
    </row>
    <row r="9992" spans="1:4" hidden="1" x14ac:dyDescent="0.3">
      <c r="A9992">
        <v>9990</v>
      </c>
      <c r="B9992" s="1" t="s">
        <v>13048</v>
      </c>
      <c r="C9992" t="s">
        <v>116</v>
      </c>
      <c r="D9992" s="1" t="s">
        <v>13049</v>
      </c>
    </row>
    <row r="9993" spans="1:4" hidden="1" x14ac:dyDescent="0.3">
      <c r="A9993">
        <v>9991</v>
      </c>
      <c r="B9993" t="s">
        <v>13050</v>
      </c>
      <c r="C9993" t="s">
        <v>119</v>
      </c>
      <c r="D9993">
        <v>76550386.189634204</v>
      </c>
    </row>
    <row r="9994" spans="1:4" hidden="1" x14ac:dyDescent="0.3">
      <c r="A9994">
        <v>9992</v>
      </c>
      <c r="B9994" t="s">
        <v>13051</v>
      </c>
      <c r="C9994" t="s">
        <v>121</v>
      </c>
      <c r="D9994">
        <v>38939995.084955499</v>
      </c>
    </row>
    <row r="9995" spans="1:4" hidden="1" x14ac:dyDescent="0.3">
      <c r="A9995">
        <v>9993</v>
      </c>
      <c r="B9995" s="1" t="s">
        <v>13052</v>
      </c>
      <c r="C9995" t="s">
        <v>123</v>
      </c>
      <c r="D9995" s="1" t="s">
        <v>13053</v>
      </c>
    </row>
    <row r="9996" spans="1:4" hidden="1" x14ac:dyDescent="0.3">
      <c r="A9996">
        <v>9994</v>
      </c>
      <c r="B9996" t="s">
        <v>13054</v>
      </c>
      <c r="C9996" t="s">
        <v>126</v>
      </c>
      <c r="D9996">
        <v>0.75649977110882005</v>
      </c>
    </row>
    <row r="9997" spans="1:4" hidden="1" x14ac:dyDescent="0.3">
      <c r="A9997">
        <v>9995</v>
      </c>
      <c r="B9997" t="s">
        <v>13055</v>
      </c>
      <c r="C9997" t="s">
        <v>128</v>
      </c>
      <c r="D9997">
        <v>0.38481970941038102</v>
      </c>
    </row>
    <row r="9998" spans="1:4" hidden="1" x14ac:dyDescent="0.3">
      <c r="A9998">
        <v>9996</v>
      </c>
      <c r="B9998" s="1" t="s">
        <v>13056</v>
      </c>
      <c r="C9998" t="s">
        <v>130</v>
      </c>
      <c r="D9998" s="1" t="s">
        <v>13057</v>
      </c>
    </row>
    <row r="9999" spans="1:4" hidden="1" x14ac:dyDescent="0.3">
      <c r="A9999">
        <v>9997</v>
      </c>
      <c r="B9999" s="1" t="s">
        <v>13058</v>
      </c>
      <c r="C9999" t="s">
        <v>4</v>
      </c>
      <c r="D9999" t="s">
        <v>13059</v>
      </c>
    </row>
    <row r="10000" spans="1:4" hidden="1" x14ac:dyDescent="0.3">
      <c r="A10000">
        <v>9998</v>
      </c>
      <c r="B10000" t="s">
        <v>13060</v>
      </c>
      <c r="C10000" t="s">
        <v>7</v>
      </c>
      <c r="D10000">
        <v>1799.35</v>
      </c>
    </row>
    <row r="10001" spans="1:4" hidden="1" x14ac:dyDescent="0.3">
      <c r="A10001">
        <v>9999</v>
      </c>
      <c r="B10001" s="1" t="s">
        <v>13061</v>
      </c>
      <c r="C10001" t="s">
        <v>9</v>
      </c>
      <c r="D10001" s="1" t="s">
        <v>13062</v>
      </c>
    </row>
    <row r="10002" spans="1:4" hidden="1" x14ac:dyDescent="0.3">
      <c r="A10002">
        <v>10000</v>
      </c>
      <c r="B10002" t="s">
        <v>10199</v>
      </c>
      <c r="C10002" t="s">
        <v>14</v>
      </c>
      <c r="D10002">
        <v>97.171875</v>
      </c>
    </row>
    <row r="10003" spans="1:4" hidden="1" x14ac:dyDescent="0.3">
      <c r="A10003">
        <v>10001</v>
      </c>
      <c r="B10003" t="s">
        <v>13063</v>
      </c>
      <c r="C10003" t="s">
        <v>16</v>
      </c>
      <c r="D10003">
        <v>4.3872165643477903</v>
      </c>
    </row>
    <row r="10004" spans="1:4" hidden="1" x14ac:dyDescent="0.3">
      <c r="A10004">
        <v>10002</v>
      </c>
      <c r="B10004" s="1" t="s">
        <v>13064</v>
      </c>
      <c r="C10004" t="s">
        <v>140</v>
      </c>
      <c r="D10004" s="1" t="s">
        <v>13065</v>
      </c>
    </row>
    <row r="10005" spans="1:4" hidden="1" x14ac:dyDescent="0.3">
      <c r="A10005">
        <v>10003</v>
      </c>
      <c r="B10005" t="s">
        <v>12708</v>
      </c>
      <c r="C10005" t="s">
        <v>22</v>
      </c>
      <c r="D10005">
        <v>67.650000000000006</v>
      </c>
    </row>
    <row r="10006" spans="1:4" hidden="1" x14ac:dyDescent="0.3">
      <c r="A10006">
        <v>10004</v>
      </c>
      <c r="B10006" t="s">
        <v>13066</v>
      </c>
      <c r="C10006" t="s">
        <v>24</v>
      </c>
      <c r="D10006">
        <v>6.6906945446211799</v>
      </c>
    </row>
    <row r="10007" spans="1:4" hidden="1" x14ac:dyDescent="0.3">
      <c r="A10007">
        <v>10005</v>
      </c>
      <c r="B10007" s="1" t="s">
        <v>13067</v>
      </c>
      <c r="C10007" t="s">
        <v>145</v>
      </c>
      <c r="D10007" s="1" t="s">
        <v>13068</v>
      </c>
    </row>
    <row r="10008" spans="1:4" hidden="1" x14ac:dyDescent="0.3">
      <c r="A10008">
        <v>10006</v>
      </c>
      <c r="B10008" t="s">
        <v>13069</v>
      </c>
      <c r="C10008" t="s">
        <v>35</v>
      </c>
      <c r="D10008">
        <v>-3.9850687858685698</v>
      </c>
    </row>
    <row r="10009" spans="1:4" hidden="1" x14ac:dyDescent="0.3">
      <c r="A10009">
        <v>10007</v>
      </c>
      <c r="B10009" t="s">
        <v>13070</v>
      </c>
      <c r="C10009" t="s">
        <v>149</v>
      </c>
      <c r="D10009">
        <v>0.69159949739035198</v>
      </c>
    </row>
    <row r="10010" spans="1:4" hidden="1" x14ac:dyDescent="0.3">
      <c r="A10010">
        <v>10008</v>
      </c>
      <c r="B10010" s="1" t="s">
        <v>13071</v>
      </c>
      <c r="C10010" t="s">
        <v>151</v>
      </c>
      <c r="D10010" s="1" t="s">
        <v>13072</v>
      </c>
    </row>
    <row r="10011" spans="1:4" hidden="1" x14ac:dyDescent="0.3">
      <c r="A10011">
        <v>10009</v>
      </c>
      <c r="B10011" t="s">
        <v>13073</v>
      </c>
      <c r="C10011" t="s">
        <v>30</v>
      </c>
      <c r="D10011">
        <v>1.9101074707146599</v>
      </c>
    </row>
    <row r="10012" spans="1:4" hidden="1" x14ac:dyDescent="0.3">
      <c r="A10012">
        <v>10010</v>
      </c>
      <c r="B10012" t="s">
        <v>13074</v>
      </c>
      <c r="C10012" t="s">
        <v>32</v>
      </c>
      <c r="D10012">
        <v>0.23710207654229201</v>
      </c>
    </row>
    <row r="10013" spans="1:4" hidden="1" x14ac:dyDescent="0.3">
      <c r="A10013">
        <v>10011</v>
      </c>
      <c r="B10013" s="1" t="s">
        <v>13075</v>
      </c>
      <c r="C10013" t="s">
        <v>155</v>
      </c>
      <c r="D10013" s="1" t="s">
        <v>13076</v>
      </c>
    </row>
    <row r="10014" spans="1:4" hidden="1" x14ac:dyDescent="0.3">
      <c r="A10014">
        <v>10012</v>
      </c>
      <c r="B10014" t="s">
        <v>13077</v>
      </c>
      <c r="C10014" t="s">
        <v>40</v>
      </c>
      <c r="D10014">
        <v>3.0749613151539101</v>
      </c>
    </row>
    <row r="10015" spans="1:4" hidden="1" x14ac:dyDescent="0.3">
      <c r="A10015">
        <v>10013</v>
      </c>
      <c r="B10015" t="s">
        <v>13078</v>
      </c>
      <c r="C10015" t="s">
        <v>42</v>
      </c>
      <c r="D10015">
        <v>0.20882147281445301</v>
      </c>
    </row>
    <row r="10016" spans="1:4" hidden="1" x14ac:dyDescent="0.3">
      <c r="A10016">
        <v>10014</v>
      </c>
      <c r="B10016" s="1" t="s">
        <v>13079</v>
      </c>
      <c r="C10016" t="s">
        <v>159</v>
      </c>
      <c r="D10016" s="1" t="s">
        <v>13080</v>
      </c>
    </row>
    <row r="10017" spans="1:4" hidden="1" x14ac:dyDescent="0.3">
      <c r="A10017">
        <v>10015</v>
      </c>
      <c r="B10017" t="s">
        <v>13081</v>
      </c>
      <c r="C10017" t="s">
        <v>161</v>
      </c>
      <c r="D10017">
        <v>1.01262296558089</v>
      </c>
    </row>
    <row r="10018" spans="1:4" hidden="1" x14ac:dyDescent="0.3">
      <c r="A10018">
        <v>10016</v>
      </c>
      <c r="B10018" t="s">
        <v>13082</v>
      </c>
      <c r="C10018" t="s">
        <v>163</v>
      </c>
      <c r="D10018">
        <v>1.0032608037252599</v>
      </c>
    </row>
    <row r="10019" spans="1:4" hidden="1" x14ac:dyDescent="0.3">
      <c r="A10019">
        <v>10017</v>
      </c>
      <c r="B10019" s="1" t="s">
        <v>13083</v>
      </c>
      <c r="C10019" t="s">
        <v>165</v>
      </c>
      <c r="D10019" s="1" t="s">
        <v>13084</v>
      </c>
    </row>
    <row r="10020" spans="1:4" hidden="1" x14ac:dyDescent="0.3">
      <c r="A10020">
        <v>10018</v>
      </c>
      <c r="B10020" t="s">
        <v>13085</v>
      </c>
      <c r="C10020" t="s">
        <v>168</v>
      </c>
      <c r="D10020">
        <v>0.99775409721710795</v>
      </c>
    </row>
    <row r="10021" spans="1:4" hidden="1" x14ac:dyDescent="0.3">
      <c r="A10021">
        <v>10019</v>
      </c>
      <c r="B10021" t="s">
        <v>13086</v>
      </c>
      <c r="C10021" t="s">
        <v>170</v>
      </c>
      <c r="D10021">
        <v>1.00363842924444</v>
      </c>
    </row>
    <row r="10022" spans="1:4" hidden="1" x14ac:dyDescent="0.3">
      <c r="A10022">
        <v>10020</v>
      </c>
      <c r="B10022" s="1" t="s">
        <v>13087</v>
      </c>
      <c r="C10022" t="s">
        <v>172</v>
      </c>
      <c r="D10022" s="1" t="s">
        <v>13088</v>
      </c>
    </row>
    <row r="10023" spans="1:4" hidden="1" x14ac:dyDescent="0.3">
      <c r="A10023">
        <v>10021</v>
      </c>
      <c r="B10023" s="1" t="s">
        <v>13089</v>
      </c>
      <c r="C10023" t="s">
        <v>55</v>
      </c>
      <c r="D10023" s="1" t="s">
        <v>13090</v>
      </c>
    </row>
    <row r="10024" spans="1:4" hidden="1" x14ac:dyDescent="0.3">
      <c r="A10024">
        <v>10022</v>
      </c>
      <c r="B10024" s="1" t="s">
        <v>13091</v>
      </c>
      <c r="C10024" t="s">
        <v>52</v>
      </c>
      <c r="D10024" s="1" t="s">
        <v>13092</v>
      </c>
    </row>
    <row r="10025" spans="1:4" hidden="1" x14ac:dyDescent="0.3">
      <c r="A10025">
        <v>10023</v>
      </c>
      <c r="B10025" s="1" t="s">
        <v>13093</v>
      </c>
      <c r="C10025" t="s">
        <v>58</v>
      </c>
      <c r="D10025" s="1" t="s">
        <v>13094</v>
      </c>
    </row>
    <row r="10026" spans="1:4" hidden="1" x14ac:dyDescent="0.3">
      <c r="A10026">
        <v>10024</v>
      </c>
      <c r="B10026" t="s">
        <v>13095</v>
      </c>
      <c r="C10026" t="s">
        <v>61</v>
      </c>
      <c r="D10026">
        <v>143710418.49216101</v>
      </c>
    </row>
    <row r="10027" spans="1:4" hidden="1" x14ac:dyDescent="0.3">
      <c r="A10027">
        <v>10025</v>
      </c>
      <c r="B10027" t="s">
        <v>13096</v>
      </c>
      <c r="C10027" t="s">
        <v>63</v>
      </c>
      <c r="D10027">
        <v>77516679.079710007</v>
      </c>
    </row>
    <row r="10028" spans="1:4" hidden="1" x14ac:dyDescent="0.3">
      <c r="A10028">
        <v>10026</v>
      </c>
      <c r="B10028" t="s">
        <v>13097</v>
      </c>
      <c r="C10028" t="s">
        <v>65</v>
      </c>
      <c r="D10028">
        <v>39066970.765990198</v>
      </c>
    </row>
    <row r="10029" spans="1:4" hidden="1" x14ac:dyDescent="0.3">
      <c r="A10029">
        <v>10027</v>
      </c>
      <c r="B10029" s="1" t="s">
        <v>13098</v>
      </c>
      <c r="C10029" t="s">
        <v>67</v>
      </c>
      <c r="D10029" s="1" t="s">
        <v>13099</v>
      </c>
    </row>
    <row r="10030" spans="1:4" hidden="1" x14ac:dyDescent="0.3">
      <c r="A10030">
        <v>10028</v>
      </c>
      <c r="B10030" s="1" t="s">
        <v>13100</v>
      </c>
      <c r="C10030" t="s">
        <v>70</v>
      </c>
      <c r="D10030" s="1" t="s">
        <v>13101</v>
      </c>
    </row>
    <row r="10031" spans="1:4" hidden="1" x14ac:dyDescent="0.3">
      <c r="A10031">
        <v>10029</v>
      </c>
      <c r="B10031" t="s">
        <v>13102</v>
      </c>
      <c r="C10031" t="s">
        <v>73</v>
      </c>
      <c r="D10031">
        <v>1.0003787385771401</v>
      </c>
    </row>
    <row r="10032" spans="1:4" hidden="1" x14ac:dyDescent="0.3">
      <c r="A10032">
        <v>10030</v>
      </c>
      <c r="B10032" t="s">
        <v>74</v>
      </c>
      <c r="C10032" t="s">
        <v>75</v>
      </c>
      <c r="D10032">
        <v>2.7397260273972599E-3</v>
      </c>
    </row>
    <row r="10033" spans="1:4" hidden="1" x14ac:dyDescent="0.3">
      <c r="A10033">
        <v>10031</v>
      </c>
      <c r="B10033" t="s">
        <v>76</v>
      </c>
      <c r="C10033" t="s">
        <v>77</v>
      </c>
      <c r="D10033">
        <v>0</v>
      </c>
    </row>
    <row r="10034" spans="1:4" hidden="1" x14ac:dyDescent="0.3">
      <c r="A10034">
        <v>10032</v>
      </c>
      <c r="B10034" t="s">
        <v>1459</v>
      </c>
      <c r="C10034" t="s">
        <v>79</v>
      </c>
      <c r="D10034" s="2">
        <v>-2.2204460492503101E-16</v>
      </c>
    </row>
    <row r="10035" spans="1:4" hidden="1" x14ac:dyDescent="0.3">
      <c r="A10035">
        <v>10033</v>
      </c>
      <c r="B10035" s="1" t="s">
        <v>13103</v>
      </c>
      <c r="C10035" t="s">
        <v>81</v>
      </c>
      <c r="D10035" s="1" t="s">
        <v>13104</v>
      </c>
    </row>
    <row r="10036" spans="1:4" hidden="1" x14ac:dyDescent="0.3">
      <c r="A10036">
        <v>10034</v>
      </c>
      <c r="B10036" t="s">
        <v>13105</v>
      </c>
      <c r="C10036" t="s">
        <v>84</v>
      </c>
      <c r="D10036">
        <v>1.0003867524398</v>
      </c>
    </row>
    <row r="10037" spans="1:4" hidden="1" x14ac:dyDescent="0.3">
      <c r="A10037">
        <v>10035</v>
      </c>
      <c r="B10037" s="1" t="s">
        <v>13106</v>
      </c>
      <c r="C10037" t="s">
        <v>86</v>
      </c>
      <c r="D10037" s="1" t="s">
        <v>13107</v>
      </c>
    </row>
    <row r="10038" spans="1:4" hidden="1" x14ac:dyDescent="0.3">
      <c r="A10038">
        <v>10036</v>
      </c>
      <c r="B10038" t="s">
        <v>13108</v>
      </c>
      <c r="C10038" t="s">
        <v>89</v>
      </c>
      <c r="D10038">
        <v>101150659.219212</v>
      </c>
    </row>
    <row r="10039" spans="1:4" hidden="1" x14ac:dyDescent="0.3">
      <c r="A10039">
        <v>10037</v>
      </c>
      <c r="B10039" s="1" t="s">
        <v>13109</v>
      </c>
      <c r="C10039" t="s">
        <v>91</v>
      </c>
      <c r="D10039" s="1" t="s">
        <v>13045</v>
      </c>
    </row>
    <row r="10040" spans="1:4" hidden="1" x14ac:dyDescent="0.3">
      <c r="A10040">
        <v>10038</v>
      </c>
      <c r="B10040" t="s">
        <v>13110</v>
      </c>
      <c r="C10040" t="s">
        <v>94</v>
      </c>
      <c r="D10040">
        <v>77516679.079710007</v>
      </c>
    </row>
    <row r="10041" spans="1:4" hidden="1" x14ac:dyDescent="0.3">
      <c r="A10041">
        <v>10039</v>
      </c>
      <c r="B10041" t="s">
        <v>13111</v>
      </c>
      <c r="C10041" t="s">
        <v>96</v>
      </c>
      <c r="D10041">
        <v>39066970.765990198</v>
      </c>
    </row>
    <row r="10042" spans="1:4" hidden="1" x14ac:dyDescent="0.3">
      <c r="A10042">
        <v>10040</v>
      </c>
      <c r="B10042" t="s">
        <v>13112</v>
      </c>
      <c r="C10042" t="s">
        <v>98</v>
      </c>
      <c r="D10042">
        <v>27126768.646461301</v>
      </c>
    </row>
    <row r="10043" spans="1:4" hidden="1" x14ac:dyDescent="0.3">
      <c r="A10043">
        <v>10041</v>
      </c>
      <c r="B10043" s="1" t="s">
        <v>13113</v>
      </c>
      <c r="C10043" t="s">
        <v>100</v>
      </c>
      <c r="D10043" s="1" t="s">
        <v>13114</v>
      </c>
    </row>
    <row r="10044" spans="1:4" hidden="1" x14ac:dyDescent="0.3">
      <c r="A10044">
        <v>10042</v>
      </c>
      <c r="B10044" t="s">
        <v>13115</v>
      </c>
      <c r="C10044" t="s">
        <v>103</v>
      </c>
      <c r="D10044">
        <v>8.0133380496572697E-3</v>
      </c>
    </row>
    <row r="10045" spans="1:4" hidden="1" x14ac:dyDescent="0.3">
      <c r="A10045">
        <v>10043</v>
      </c>
      <c r="B10045" t="s">
        <v>13116</v>
      </c>
      <c r="C10045" t="s">
        <v>105</v>
      </c>
      <c r="D10045">
        <v>1.6723531313792E-3</v>
      </c>
    </row>
    <row r="10046" spans="1:4" hidden="1" x14ac:dyDescent="0.3">
      <c r="A10046">
        <v>10044</v>
      </c>
      <c r="B10046" t="s">
        <v>13117</v>
      </c>
      <c r="C10046" t="s">
        <v>107</v>
      </c>
      <c r="D10046">
        <v>9.8032754336363093E-3</v>
      </c>
    </row>
    <row r="10047" spans="1:4" hidden="1" x14ac:dyDescent="0.3">
      <c r="A10047">
        <v>10045</v>
      </c>
      <c r="B10047" s="1" t="s">
        <v>13118</v>
      </c>
      <c r="C10047" t="s">
        <v>109</v>
      </c>
      <c r="D10047" s="1" t="s">
        <v>13119</v>
      </c>
    </row>
    <row r="10048" spans="1:4" x14ac:dyDescent="0.3">
      <c r="A10048">
        <v>10046</v>
      </c>
      <c r="B10048" t="s">
        <v>13120</v>
      </c>
      <c r="C10048" t="s">
        <v>207</v>
      </c>
      <c r="D10048">
        <v>143710699.78593901</v>
      </c>
    </row>
    <row r="10049" spans="1:4" hidden="1" x14ac:dyDescent="0.3">
      <c r="A10049">
        <v>10047</v>
      </c>
      <c r="B10049" t="s">
        <v>13121</v>
      </c>
      <c r="C10049" t="s">
        <v>209</v>
      </c>
      <c r="D10049">
        <v>-620.97439956532105</v>
      </c>
    </row>
    <row r="10050" spans="1:4" hidden="1" x14ac:dyDescent="0.3">
      <c r="A10050">
        <v>10048</v>
      </c>
      <c r="B10050" t="s">
        <v>13122</v>
      </c>
      <c r="C10050" t="s">
        <v>211</v>
      </c>
      <c r="D10050">
        <v>-312.95928374297802</v>
      </c>
    </row>
    <row r="10051" spans="1:4" hidden="1" x14ac:dyDescent="0.3">
      <c r="A10051">
        <v>10049</v>
      </c>
      <c r="B10051" s="1" t="s">
        <v>13123</v>
      </c>
      <c r="C10051" t="s">
        <v>213</v>
      </c>
      <c r="D10051" s="1" t="s">
        <v>13124</v>
      </c>
    </row>
    <row r="10052" spans="1:4" hidden="1" x14ac:dyDescent="0.3">
      <c r="A10052">
        <v>10050</v>
      </c>
      <c r="B10052" t="s">
        <v>13125</v>
      </c>
      <c r="C10052" t="s">
        <v>216</v>
      </c>
      <c r="D10052">
        <v>77517495.527327701</v>
      </c>
    </row>
    <row r="10053" spans="1:4" hidden="1" x14ac:dyDescent="0.3">
      <c r="A10053">
        <v>10051</v>
      </c>
      <c r="B10053" t="s">
        <v>13126</v>
      </c>
      <c r="C10053" t="s">
        <v>218</v>
      </c>
      <c r="D10053">
        <v>39067343.025354601</v>
      </c>
    </row>
    <row r="10054" spans="1:4" hidden="1" x14ac:dyDescent="0.3">
      <c r="A10054">
        <v>10052</v>
      </c>
      <c r="B10054" t="s">
        <v>13127</v>
      </c>
      <c r="C10054" t="s">
        <v>220</v>
      </c>
      <c r="D10054">
        <v>27127012.475048002</v>
      </c>
    </row>
    <row r="10055" spans="1:4" hidden="1" x14ac:dyDescent="0.3">
      <c r="A10055">
        <v>10053</v>
      </c>
      <c r="B10055" s="1" t="s">
        <v>13128</v>
      </c>
      <c r="C10055" t="s">
        <v>222</v>
      </c>
      <c r="D10055" s="1" t="s">
        <v>13129</v>
      </c>
    </row>
    <row r="10056" spans="1:4" hidden="1" x14ac:dyDescent="0.3">
      <c r="A10056">
        <v>10054</v>
      </c>
      <c r="B10056" t="s">
        <v>13130</v>
      </c>
      <c r="C10056" t="s">
        <v>225</v>
      </c>
      <c r="D10056">
        <v>101151469.519811</v>
      </c>
    </row>
    <row r="10057" spans="1:4" hidden="1" x14ac:dyDescent="0.3">
      <c r="A10057">
        <v>10055</v>
      </c>
      <c r="B10057" t="s">
        <v>13131</v>
      </c>
      <c r="C10057" t="s">
        <v>227</v>
      </c>
      <c r="D10057">
        <v>-810.30059888958897</v>
      </c>
    </row>
    <row r="10058" spans="1:4" hidden="1" x14ac:dyDescent="0.3">
      <c r="A10058">
        <v>10056</v>
      </c>
      <c r="B10058" s="1" t="s">
        <v>13132</v>
      </c>
      <c r="C10058" t="s">
        <v>229</v>
      </c>
      <c r="D10058" s="1" t="s">
        <v>13133</v>
      </c>
    </row>
    <row r="10059" spans="1:4" hidden="1" x14ac:dyDescent="0.3">
      <c r="A10059">
        <v>10057</v>
      </c>
      <c r="B10059" t="s">
        <v>13134</v>
      </c>
      <c r="C10059" t="s">
        <v>112</v>
      </c>
      <c r="D10059">
        <v>195.473218143624</v>
      </c>
    </row>
    <row r="10060" spans="1:4" hidden="1" x14ac:dyDescent="0.3">
      <c r="A10060">
        <v>10058</v>
      </c>
      <c r="B10060" t="s">
        <v>13135</v>
      </c>
      <c r="C10060" t="s">
        <v>114</v>
      </c>
      <c r="D10060">
        <v>59.300080642812198</v>
      </c>
    </row>
    <row r="10061" spans="1:4" hidden="1" x14ac:dyDescent="0.3">
      <c r="A10061">
        <v>10059</v>
      </c>
      <c r="B10061" s="1" t="s">
        <v>13136</v>
      </c>
      <c r="C10061" t="s">
        <v>116</v>
      </c>
      <c r="D10061" s="1" t="s">
        <v>13137</v>
      </c>
    </row>
    <row r="10062" spans="1:4" hidden="1" x14ac:dyDescent="0.3">
      <c r="A10062">
        <v>10060</v>
      </c>
      <c r="B10062" t="s">
        <v>13138</v>
      </c>
      <c r="C10062" t="s">
        <v>119</v>
      </c>
      <c r="D10062">
        <v>77517495.527327701</v>
      </c>
    </row>
    <row r="10063" spans="1:4" hidden="1" x14ac:dyDescent="0.3">
      <c r="A10063">
        <v>10061</v>
      </c>
      <c r="B10063" t="s">
        <v>13139</v>
      </c>
      <c r="C10063" t="s">
        <v>121</v>
      </c>
      <c r="D10063">
        <v>39067343.025354601</v>
      </c>
    </row>
    <row r="10064" spans="1:4" hidden="1" x14ac:dyDescent="0.3">
      <c r="A10064">
        <v>10062</v>
      </c>
      <c r="B10064" s="1" t="s">
        <v>13140</v>
      </c>
      <c r="C10064" t="s">
        <v>123</v>
      </c>
      <c r="D10064" s="1" t="s">
        <v>13141</v>
      </c>
    </row>
    <row r="10065" spans="1:4" hidden="1" x14ac:dyDescent="0.3">
      <c r="A10065">
        <v>10063</v>
      </c>
      <c r="B10065" t="s">
        <v>13142</v>
      </c>
      <c r="C10065" t="s">
        <v>126</v>
      </c>
      <c r="D10065">
        <v>0.76605438759359901</v>
      </c>
    </row>
    <row r="10066" spans="1:4" hidden="1" x14ac:dyDescent="0.3">
      <c r="A10066">
        <v>10064</v>
      </c>
      <c r="B10066" t="s">
        <v>13143</v>
      </c>
      <c r="C10066" t="s">
        <v>128</v>
      </c>
      <c r="D10066">
        <v>0.386076837655913</v>
      </c>
    </row>
    <row r="10067" spans="1:4" hidden="1" x14ac:dyDescent="0.3">
      <c r="A10067">
        <v>10065</v>
      </c>
      <c r="B10067" s="1" t="s">
        <v>13144</v>
      </c>
      <c r="C10067" t="s">
        <v>130</v>
      </c>
      <c r="D10067" s="1" t="s">
        <v>13145</v>
      </c>
    </row>
    <row r="10068" spans="1:4" hidden="1" x14ac:dyDescent="0.3">
      <c r="A10068">
        <v>10066</v>
      </c>
      <c r="B10068" s="1" t="s">
        <v>13146</v>
      </c>
      <c r="C10068" t="s">
        <v>4</v>
      </c>
      <c r="D10068" t="s">
        <v>13147</v>
      </c>
    </row>
    <row r="10069" spans="1:4" hidden="1" x14ac:dyDescent="0.3">
      <c r="A10069">
        <v>10067</v>
      </c>
      <c r="B10069" t="s">
        <v>13148</v>
      </c>
      <c r="C10069" t="s">
        <v>7</v>
      </c>
      <c r="D10069">
        <v>1798.11</v>
      </c>
    </row>
    <row r="10070" spans="1:4" hidden="1" x14ac:dyDescent="0.3">
      <c r="A10070">
        <v>10068</v>
      </c>
      <c r="B10070" s="1" t="s">
        <v>13149</v>
      </c>
      <c r="C10070" t="s">
        <v>9</v>
      </c>
      <c r="D10070" s="1" t="s">
        <v>13150</v>
      </c>
    </row>
    <row r="10071" spans="1:4" hidden="1" x14ac:dyDescent="0.3">
      <c r="A10071">
        <v>10069</v>
      </c>
      <c r="B10071" t="s">
        <v>13151</v>
      </c>
      <c r="C10071" t="s">
        <v>14</v>
      </c>
      <c r="D10071">
        <v>97.12890625</v>
      </c>
    </row>
    <row r="10072" spans="1:4" hidden="1" x14ac:dyDescent="0.3">
      <c r="A10072">
        <v>10070</v>
      </c>
      <c r="B10072" t="s">
        <v>13152</v>
      </c>
      <c r="C10072" t="s">
        <v>16</v>
      </c>
      <c r="D10072">
        <v>4.3896163000969697</v>
      </c>
    </row>
    <row r="10073" spans="1:4" hidden="1" x14ac:dyDescent="0.3">
      <c r="A10073">
        <v>10071</v>
      </c>
      <c r="B10073" s="1" t="s">
        <v>13153</v>
      </c>
      <c r="C10073" t="s">
        <v>140</v>
      </c>
      <c r="D10073" s="1" t="s">
        <v>13154</v>
      </c>
    </row>
    <row r="10074" spans="1:4" hidden="1" x14ac:dyDescent="0.3">
      <c r="A10074">
        <v>10072</v>
      </c>
      <c r="B10074" t="s">
        <v>8678</v>
      </c>
      <c r="C10074" t="s">
        <v>22</v>
      </c>
      <c r="D10074">
        <v>66.75</v>
      </c>
    </row>
    <row r="10075" spans="1:4" hidden="1" x14ac:dyDescent="0.3">
      <c r="A10075">
        <v>10073</v>
      </c>
      <c r="B10075" t="s">
        <v>13155</v>
      </c>
      <c r="C10075" t="s">
        <v>24</v>
      </c>
      <c r="D10075">
        <v>6.7339726694753699</v>
      </c>
    </row>
    <row r="10076" spans="1:4" hidden="1" x14ac:dyDescent="0.3">
      <c r="A10076">
        <v>10074</v>
      </c>
      <c r="B10076" s="1" t="s">
        <v>13156</v>
      </c>
      <c r="C10076" t="s">
        <v>145</v>
      </c>
      <c r="D10076" s="1" t="s">
        <v>13157</v>
      </c>
    </row>
    <row r="10077" spans="1:4" hidden="1" x14ac:dyDescent="0.3">
      <c r="A10077">
        <v>10075</v>
      </c>
      <c r="B10077" t="s">
        <v>13158</v>
      </c>
      <c r="C10077" t="s">
        <v>35</v>
      </c>
      <c r="D10077">
        <v>-1.7424393232908999</v>
      </c>
    </row>
    <row r="10078" spans="1:4" hidden="1" x14ac:dyDescent="0.3">
      <c r="A10078">
        <v>10076</v>
      </c>
      <c r="B10078" t="s">
        <v>13159</v>
      </c>
      <c r="C10078" t="s">
        <v>149</v>
      </c>
      <c r="D10078">
        <v>0.69630340934242696</v>
      </c>
    </row>
    <row r="10079" spans="1:4" hidden="1" x14ac:dyDescent="0.3">
      <c r="A10079">
        <v>10077</v>
      </c>
      <c r="B10079" s="1" t="s">
        <v>13160</v>
      </c>
      <c r="C10079" t="s">
        <v>151</v>
      </c>
      <c r="D10079" s="1" t="s">
        <v>13161</v>
      </c>
    </row>
    <row r="10080" spans="1:4" hidden="1" x14ac:dyDescent="0.3">
      <c r="A10080">
        <v>10078</v>
      </c>
      <c r="B10080" t="s">
        <v>13162</v>
      </c>
      <c r="C10080" t="s">
        <v>30</v>
      </c>
      <c r="D10080">
        <v>1.0526191775402101</v>
      </c>
    </row>
    <row r="10081" spans="1:4" hidden="1" x14ac:dyDescent="0.3">
      <c r="A10081">
        <v>10079</v>
      </c>
      <c r="B10081" t="s">
        <v>13163</v>
      </c>
      <c r="C10081" t="s">
        <v>32</v>
      </c>
      <c r="D10081">
        <v>0.233126946073199</v>
      </c>
    </row>
    <row r="10082" spans="1:4" hidden="1" x14ac:dyDescent="0.3">
      <c r="A10082">
        <v>10080</v>
      </c>
      <c r="B10082" s="1" t="s">
        <v>13164</v>
      </c>
      <c r="C10082" t="s">
        <v>155</v>
      </c>
      <c r="D10082" s="1" t="s">
        <v>13165</v>
      </c>
    </row>
    <row r="10083" spans="1:4" hidden="1" x14ac:dyDescent="0.3">
      <c r="A10083">
        <v>10081</v>
      </c>
      <c r="B10083" t="s">
        <v>13166</v>
      </c>
      <c r="C10083" t="s">
        <v>40</v>
      </c>
      <c r="D10083">
        <v>1.6898201457506801</v>
      </c>
    </row>
    <row r="10084" spans="1:4" hidden="1" x14ac:dyDescent="0.3">
      <c r="A10084">
        <v>10082</v>
      </c>
      <c r="B10084" t="s">
        <v>13167</v>
      </c>
      <c r="C10084" t="s">
        <v>42</v>
      </c>
      <c r="D10084">
        <v>0.20302859558122999</v>
      </c>
    </row>
    <row r="10085" spans="1:4" hidden="1" x14ac:dyDescent="0.3">
      <c r="A10085">
        <v>10083</v>
      </c>
      <c r="B10085" s="1" t="s">
        <v>13168</v>
      </c>
      <c r="C10085" t="s">
        <v>159</v>
      </c>
      <c r="D10085" s="1" t="s">
        <v>13169</v>
      </c>
    </row>
    <row r="10086" spans="1:4" hidden="1" x14ac:dyDescent="0.3">
      <c r="A10086">
        <v>10084</v>
      </c>
      <c r="B10086" t="s">
        <v>13170</v>
      </c>
      <c r="C10086" t="s">
        <v>161</v>
      </c>
      <c r="D10086">
        <v>0.999310862255814</v>
      </c>
    </row>
    <row r="10087" spans="1:4" hidden="1" x14ac:dyDescent="0.3">
      <c r="A10087">
        <v>10085</v>
      </c>
      <c r="B10087" t="s">
        <v>13171</v>
      </c>
      <c r="C10087" t="s">
        <v>163</v>
      </c>
      <c r="D10087">
        <v>0.99960053783835601</v>
      </c>
    </row>
    <row r="10088" spans="1:4" hidden="1" x14ac:dyDescent="0.3">
      <c r="A10088">
        <v>10086</v>
      </c>
      <c r="B10088" s="1" t="s">
        <v>13172</v>
      </c>
      <c r="C10088" t="s">
        <v>165</v>
      </c>
      <c r="D10088" s="1" t="s">
        <v>13173</v>
      </c>
    </row>
    <row r="10089" spans="1:4" hidden="1" x14ac:dyDescent="0.3">
      <c r="A10089">
        <v>10087</v>
      </c>
      <c r="B10089" t="s">
        <v>13174</v>
      </c>
      <c r="C10089" t="s">
        <v>168</v>
      </c>
      <c r="D10089">
        <v>1.0027807480194499</v>
      </c>
    </row>
    <row r="10090" spans="1:4" hidden="1" x14ac:dyDescent="0.3">
      <c r="A10090">
        <v>10088</v>
      </c>
      <c r="B10090" t="s">
        <v>13175</v>
      </c>
      <c r="C10090" t="s">
        <v>170</v>
      </c>
      <c r="D10090">
        <v>0.99678674012074697</v>
      </c>
    </row>
    <row r="10091" spans="1:4" hidden="1" x14ac:dyDescent="0.3">
      <c r="A10091">
        <v>10089</v>
      </c>
      <c r="B10091" s="1" t="s">
        <v>13176</v>
      </c>
      <c r="C10091" t="s">
        <v>172</v>
      </c>
      <c r="D10091" s="1" t="s">
        <v>13177</v>
      </c>
    </row>
    <row r="10092" spans="1:4" hidden="1" x14ac:dyDescent="0.3">
      <c r="A10092">
        <v>10090</v>
      </c>
      <c r="B10092" s="1" t="s">
        <v>13178</v>
      </c>
      <c r="C10092" t="s">
        <v>55</v>
      </c>
      <c r="D10092" s="1" t="s">
        <v>13179</v>
      </c>
    </row>
    <row r="10093" spans="1:4" hidden="1" x14ac:dyDescent="0.3">
      <c r="A10093">
        <v>10091</v>
      </c>
      <c r="B10093" s="1" t="s">
        <v>13180</v>
      </c>
      <c r="C10093" t="s">
        <v>52</v>
      </c>
      <c r="D10093" s="1" t="s">
        <v>13181</v>
      </c>
    </row>
    <row r="10094" spans="1:4" hidden="1" x14ac:dyDescent="0.3">
      <c r="A10094">
        <v>10092</v>
      </c>
      <c r="B10094" s="1" t="s">
        <v>13182</v>
      </c>
      <c r="C10094" t="s">
        <v>58</v>
      </c>
      <c r="D10094" s="1" t="s">
        <v>13183</v>
      </c>
    </row>
    <row r="10095" spans="1:4" hidden="1" x14ac:dyDescent="0.3">
      <c r="A10095">
        <v>10093</v>
      </c>
      <c r="B10095" t="s">
        <v>13184</v>
      </c>
      <c r="C10095" t="s">
        <v>61</v>
      </c>
      <c r="D10095">
        <v>143330205.98602399</v>
      </c>
    </row>
    <row r="10096" spans="1:4" hidden="1" x14ac:dyDescent="0.3">
      <c r="A10096">
        <v>10094</v>
      </c>
      <c r="B10096" t="s">
        <v>13185</v>
      </c>
      <c r="C10096" t="s">
        <v>63</v>
      </c>
      <c r="D10096">
        <v>77464075.2953251</v>
      </c>
    </row>
    <row r="10097" spans="1:4" hidden="1" x14ac:dyDescent="0.3">
      <c r="A10097">
        <v>10095</v>
      </c>
      <c r="B10097" t="s">
        <v>13186</v>
      </c>
      <c r="C10097" t="s">
        <v>65</v>
      </c>
      <c r="D10097">
        <v>39051737.100060098</v>
      </c>
    </row>
    <row r="10098" spans="1:4" hidden="1" x14ac:dyDescent="0.3">
      <c r="A10098">
        <v>10096</v>
      </c>
      <c r="B10098" s="1" t="s">
        <v>13187</v>
      </c>
      <c r="C10098" t="s">
        <v>67</v>
      </c>
      <c r="D10098" s="1" t="s">
        <v>13188</v>
      </c>
    </row>
    <row r="10099" spans="1:4" hidden="1" x14ac:dyDescent="0.3">
      <c r="A10099">
        <v>10097</v>
      </c>
      <c r="B10099" s="1" t="s">
        <v>13189</v>
      </c>
      <c r="C10099" t="s">
        <v>70</v>
      </c>
      <c r="D10099" s="1" t="s">
        <v>13190</v>
      </c>
    </row>
    <row r="10100" spans="1:4" hidden="1" x14ac:dyDescent="0.3">
      <c r="A10100">
        <v>10098</v>
      </c>
      <c r="B10100" t="s">
        <v>13191</v>
      </c>
      <c r="C10100" t="s">
        <v>73</v>
      </c>
      <c r="D10100">
        <v>1.0003867524398</v>
      </c>
    </row>
    <row r="10101" spans="1:4" hidden="1" x14ac:dyDescent="0.3">
      <c r="A10101">
        <v>10099</v>
      </c>
      <c r="B10101" t="s">
        <v>74</v>
      </c>
      <c r="C10101" t="s">
        <v>75</v>
      </c>
      <c r="D10101">
        <v>2.7397260273972599E-3</v>
      </c>
    </row>
    <row r="10102" spans="1:4" hidden="1" x14ac:dyDescent="0.3">
      <c r="A10102">
        <v>10100</v>
      </c>
      <c r="B10102" t="s">
        <v>76</v>
      </c>
      <c r="C10102" t="s">
        <v>77</v>
      </c>
      <c r="D10102">
        <v>0</v>
      </c>
    </row>
    <row r="10103" spans="1:4" hidden="1" x14ac:dyDescent="0.3">
      <c r="A10103">
        <v>10101</v>
      </c>
      <c r="B10103" t="s">
        <v>1459</v>
      </c>
      <c r="C10103" t="s">
        <v>79</v>
      </c>
      <c r="D10103" s="2">
        <v>-2.2204460492503101E-16</v>
      </c>
    </row>
    <row r="10104" spans="1:4" hidden="1" x14ac:dyDescent="0.3">
      <c r="A10104">
        <v>10102</v>
      </c>
      <c r="B10104" s="1" t="s">
        <v>13192</v>
      </c>
      <c r="C10104" t="s">
        <v>81</v>
      </c>
      <c r="D10104" s="1" t="s">
        <v>13193</v>
      </c>
    </row>
    <row r="10105" spans="1:4" hidden="1" x14ac:dyDescent="0.3">
      <c r="A10105">
        <v>10103</v>
      </c>
      <c r="B10105" t="s">
        <v>13194</v>
      </c>
      <c r="C10105" t="s">
        <v>84</v>
      </c>
      <c r="D10105">
        <v>1.0003614269163601</v>
      </c>
    </row>
    <row r="10106" spans="1:4" hidden="1" x14ac:dyDescent="0.3">
      <c r="A10106">
        <v>10104</v>
      </c>
      <c r="B10106" s="1" t="s">
        <v>13195</v>
      </c>
      <c r="C10106" t="s">
        <v>86</v>
      </c>
      <c r="D10106" s="1" t="s">
        <v>13196</v>
      </c>
    </row>
    <row r="10107" spans="1:4" hidden="1" x14ac:dyDescent="0.3">
      <c r="A10107">
        <v>10105</v>
      </c>
      <c r="B10107" t="s">
        <v>13197</v>
      </c>
      <c r="C10107" t="s">
        <v>89</v>
      </c>
      <c r="D10107">
        <v>101153219.987073</v>
      </c>
    </row>
    <row r="10108" spans="1:4" hidden="1" x14ac:dyDescent="0.3">
      <c r="A10108">
        <v>10106</v>
      </c>
      <c r="B10108" s="1" t="s">
        <v>13198</v>
      </c>
      <c r="C10108" t="s">
        <v>91</v>
      </c>
      <c r="D10108" s="1" t="s">
        <v>13133</v>
      </c>
    </row>
    <row r="10109" spans="1:4" hidden="1" x14ac:dyDescent="0.3">
      <c r="A10109">
        <v>10107</v>
      </c>
      <c r="B10109" t="s">
        <v>13199</v>
      </c>
      <c r="C10109" t="s">
        <v>94</v>
      </c>
      <c r="D10109">
        <v>77464075.2953251</v>
      </c>
    </row>
    <row r="10110" spans="1:4" hidden="1" x14ac:dyDescent="0.3">
      <c r="A10110">
        <v>10108</v>
      </c>
      <c r="B10110" t="s">
        <v>13200</v>
      </c>
      <c r="C10110" t="s">
        <v>96</v>
      </c>
      <c r="D10110">
        <v>39051737.100060098</v>
      </c>
    </row>
    <row r="10111" spans="1:4" hidden="1" x14ac:dyDescent="0.3">
      <c r="A10111">
        <v>10109</v>
      </c>
      <c r="B10111" t="s">
        <v>13201</v>
      </c>
      <c r="C10111" t="s">
        <v>98</v>
      </c>
      <c r="D10111">
        <v>26814393.590639099</v>
      </c>
    </row>
    <row r="10112" spans="1:4" hidden="1" x14ac:dyDescent="0.3">
      <c r="A10112">
        <v>10110</v>
      </c>
      <c r="B10112" s="1" t="s">
        <v>13202</v>
      </c>
      <c r="C10112" t="s">
        <v>100</v>
      </c>
      <c r="D10112" s="1" t="s">
        <v>13203</v>
      </c>
    </row>
    <row r="10113" spans="1:4" hidden="1" x14ac:dyDescent="0.3">
      <c r="A10113">
        <v>10111</v>
      </c>
      <c r="B10113" t="s">
        <v>13204</v>
      </c>
      <c r="C10113" t="s">
        <v>103</v>
      </c>
      <c r="D10113">
        <v>8.1070729159224506E-3</v>
      </c>
    </row>
    <row r="10114" spans="1:4" hidden="1" x14ac:dyDescent="0.3">
      <c r="A10114">
        <v>10112</v>
      </c>
      <c r="B10114" t="s">
        <v>13205</v>
      </c>
      <c r="C10114" t="s">
        <v>105</v>
      </c>
      <c r="D10114">
        <v>1.6613899267272901E-3</v>
      </c>
    </row>
    <row r="10115" spans="1:4" hidden="1" x14ac:dyDescent="0.3">
      <c r="A10115">
        <v>10113</v>
      </c>
      <c r="B10115" t="s">
        <v>13206</v>
      </c>
      <c r="C10115" t="s">
        <v>107</v>
      </c>
      <c r="D10115">
        <v>9.86383065006112E-3</v>
      </c>
    </row>
    <row r="10116" spans="1:4" hidden="1" x14ac:dyDescent="0.3">
      <c r="A10116">
        <v>10114</v>
      </c>
      <c r="B10116" s="1" t="s">
        <v>13207</v>
      </c>
      <c r="C10116" t="s">
        <v>109</v>
      </c>
      <c r="D10116" s="1" t="s">
        <v>13208</v>
      </c>
    </row>
    <row r="10117" spans="1:4" x14ac:dyDescent="0.3">
      <c r="A10117">
        <v>10115</v>
      </c>
      <c r="B10117" t="s">
        <v>13209</v>
      </c>
      <c r="C10117" t="s">
        <v>207</v>
      </c>
      <c r="D10117">
        <v>143329313.62762201</v>
      </c>
    </row>
    <row r="10118" spans="1:4" hidden="1" x14ac:dyDescent="0.3">
      <c r="A10118">
        <v>10116</v>
      </c>
      <c r="B10118" t="s">
        <v>13210</v>
      </c>
      <c r="C10118" t="s">
        <v>209</v>
      </c>
      <c r="D10118">
        <v>1961.0435904035201</v>
      </c>
    </row>
    <row r="10119" spans="1:4" hidden="1" x14ac:dyDescent="0.3">
      <c r="A10119">
        <v>10117</v>
      </c>
      <c r="B10119" t="s">
        <v>13211</v>
      </c>
      <c r="C10119" t="s">
        <v>211</v>
      </c>
      <c r="D10119">
        <v>988.618500683923</v>
      </c>
    </row>
    <row r="10120" spans="1:4" hidden="1" x14ac:dyDescent="0.3">
      <c r="A10120">
        <v>10118</v>
      </c>
      <c r="B10120" s="1" t="s">
        <v>13212</v>
      </c>
      <c r="C10120" t="s">
        <v>213</v>
      </c>
      <c r="D10120" s="1" t="s">
        <v>13213</v>
      </c>
    </row>
    <row r="10121" spans="1:4" hidden="1" x14ac:dyDescent="0.3">
      <c r="A10121">
        <v>10119</v>
      </c>
      <c r="B10121" t="s">
        <v>13214</v>
      </c>
      <c r="C10121" t="s">
        <v>216</v>
      </c>
      <c r="D10121">
        <v>77461473.549349397</v>
      </c>
    </row>
    <row r="10122" spans="1:4" hidden="1" x14ac:dyDescent="0.3">
      <c r="A10122">
        <v>10120</v>
      </c>
      <c r="B10122" t="s">
        <v>13215</v>
      </c>
      <c r="C10122" t="s">
        <v>218</v>
      </c>
      <c r="D10122">
        <v>39050557.680549599</v>
      </c>
    </row>
    <row r="10123" spans="1:4" hidden="1" x14ac:dyDescent="0.3">
      <c r="A10123">
        <v>10121</v>
      </c>
      <c r="B10123" t="s">
        <v>13216</v>
      </c>
      <c r="C10123" t="s">
        <v>220</v>
      </c>
      <c r="D10123">
        <v>26813653.911157101</v>
      </c>
    </row>
    <row r="10124" spans="1:4" hidden="1" x14ac:dyDescent="0.3">
      <c r="A10124">
        <v>10122</v>
      </c>
      <c r="B10124" s="1" t="s">
        <v>13217</v>
      </c>
      <c r="C10124" t="s">
        <v>222</v>
      </c>
      <c r="D10124" s="1" t="s">
        <v>13218</v>
      </c>
    </row>
    <row r="10125" spans="1:4" hidden="1" x14ac:dyDescent="0.3">
      <c r="A10125">
        <v>10123</v>
      </c>
      <c r="B10125" t="s">
        <v>13219</v>
      </c>
      <c r="C10125" t="s">
        <v>225</v>
      </c>
      <c r="D10125">
        <v>101150659.219212</v>
      </c>
    </row>
    <row r="10126" spans="1:4" hidden="1" x14ac:dyDescent="0.3">
      <c r="A10126">
        <v>10124</v>
      </c>
      <c r="B10126" t="s">
        <v>13220</v>
      </c>
      <c r="C10126" t="s">
        <v>227</v>
      </c>
      <c r="D10126">
        <v>2560.7678609490299</v>
      </c>
    </row>
    <row r="10127" spans="1:4" hidden="1" x14ac:dyDescent="0.3">
      <c r="A10127">
        <v>10125</v>
      </c>
      <c r="B10127" s="1" t="s">
        <v>13221</v>
      </c>
      <c r="C10127" t="s">
        <v>229</v>
      </c>
      <c r="D10127" s="1" t="s">
        <v>13222</v>
      </c>
    </row>
    <row r="10128" spans="1:4" hidden="1" x14ac:dyDescent="0.3">
      <c r="A10128">
        <v>10126</v>
      </c>
      <c r="B10128" t="s">
        <v>13223</v>
      </c>
      <c r="C10128" t="s">
        <v>112</v>
      </c>
      <c r="D10128">
        <v>-640.70238533229497</v>
      </c>
    </row>
    <row r="10129" spans="1:4" hidden="1" x14ac:dyDescent="0.3">
      <c r="A10129">
        <v>10127</v>
      </c>
      <c r="B10129" t="s">
        <v>13224</v>
      </c>
      <c r="C10129" t="s">
        <v>114</v>
      </c>
      <c r="D10129">
        <v>-190.801009745898</v>
      </c>
    </row>
    <row r="10130" spans="1:4" hidden="1" x14ac:dyDescent="0.3">
      <c r="A10130">
        <v>10128</v>
      </c>
      <c r="B10130" s="1" t="s">
        <v>13225</v>
      </c>
      <c r="C10130" t="s">
        <v>116</v>
      </c>
      <c r="D10130" s="1" t="s">
        <v>13226</v>
      </c>
    </row>
    <row r="10131" spans="1:4" hidden="1" x14ac:dyDescent="0.3">
      <c r="A10131">
        <v>10129</v>
      </c>
      <c r="B10131" t="s">
        <v>13227</v>
      </c>
      <c r="C10131" t="s">
        <v>119</v>
      </c>
      <c r="D10131">
        <v>77461473.549349397</v>
      </c>
    </row>
    <row r="10132" spans="1:4" hidden="1" x14ac:dyDescent="0.3">
      <c r="A10132">
        <v>10130</v>
      </c>
      <c r="B10132" t="s">
        <v>13228</v>
      </c>
      <c r="C10132" t="s">
        <v>121</v>
      </c>
      <c r="D10132">
        <v>39050557.680549599</v>
      </c>
    </row>
    <row r="10133" spans="1:4" hidden="1" x14ac:dyDescent="0.3">
      <c r="A10133">
        <v>10131</v>
      </c>
      <c r="B10133" s="1" t="s">
        <v>13229</v>
      </c>
      <c r="C10133" t="s">
        <v>123</v>
      </c>
      <c r="D10133" s="1" t="s">
        <v>13230</v>
      </c>
    </row>
    <row r="10134" spans="1:4" hidden="1" x14ac:dyDescent="0.3">
      <c r="A10134">
        <v>10132</v>
      </c>
      <c r="B10134" t="s">
        <v>13231</v>
      </c>
      <c r="C10134" t="s">
        <v>126</v>
      </c>
      <c r="D10134">
        <v>0.76552627141169605</v>
      </c>
    </row>
    <row r="10135" spans="1:4" hidden="1" x14ac:dyDescent="0.3">
      <c r="A10135">
        <v>10133</v>
      </c>
      <c r="B10135" t="s">
        <v>13232</v>
      </c>
      <c r="C10135" t="s">
        <v>128</v>
      </c>
      <c r="D10135">
        <v>0.38592382055181801</v>
      </c>
    </row>
    <row r="10136" spans="1:4" hidden="1" x14ac:dyDescent="0.3">
      <c r="A10136">
        <v>10134</v>
      </c>
      <c r="B10136" s="1" t="s">
        <v>13233</v>
      </c>
      <c r="C10136" t="s">
        <v>130</v>
      </c>
      <c r="D10136" s="1" t="s">
        <v>13234</v>
      </c>
    </row>
    <row r="10137" spans="1:4" hidden="1" x14ac:dyDescent="0.3">
      <c r="A10137">
        <v>10135</v>
      </c>
      <c r="B10137" s="1" t="s">
        <v>13235</v>
      </c>
      <c r="C10137" t="s">
        <v>4</v>
      </c>
      <c r="D10137" t="s">
        <v>13236</v>
      </c>
    </row>
    <row r="10138" spans="1:4" hidden="1" x14ac:dyDescent="0.3">
      <c r="A10138">
        <v>10136</v>
      </c>
      <c r="B10138" t="s">
        <v>13237</v>
      </c>
      <c r="C10138" t="s">
        <v>7</v>
      </c>
      <c r="D10138">
        <v>1790.93</v>
      </c>
    </row>
    <row r="10139" spans="1:4" hidden="1" x14ac:dyDescent="0.3">
      <c r="A10139">
        <v>10137</v>
      </c>
      <c r="B10139" s="1" t="s">
        <v>13238</v>
      </c>
      <c r="C10139" t="s">
        <v>9</v>
      </c>
      <c r="D10139" s="1" t="s">
        <v>13239</v>
      </c>
    </row>
    <row r="10140" spans="1:4" hidden="1" x14ac:dyDescent="0.3">
      <c r="A10140">
        <v>10138</v>
      </c>
      <c r="B10140" t="s">
        <v>13240</v>
      </c>
      <c r="C10140" t="s">
        <v>14</v>
      </c>
      <c r="D10140">
        <v>97.1640625</v>
      </c>
    </row>
    <row r="10141" spans="1:4" hidden="1" x14ac:dyDescent="0.3">
      <c r="A10141">
        <v>10139</v>
      </c>
      <c r="B10141" t="s">
        <v>13241</v>
      </c>
      <c r="C10141" t="s">
        <v>16</v>
      </c>
      <c r="D10141">
        <v>4.3880092218785798</v>
      </c>
    </row>
    <row r="10142" spans="1:4" hidden="1" x14ac:dyDescent="0.3">
      <c r="A10142">
        <v>10140</v>
      </c>
      <c r="B10142" s="1" t="s">
        <v>13242</v>
      </c>
      <c r="C10142" t="s">
        <v>140</v>
      </c>
      <c r="D10142" s="1" t="s">
        <v>13243</v>
      </c>
    </row>
    <row r="10143" spans="1:4" hidden="1" x14ac:dyDescent="0.3">
      <c r="A10143">
        <v>10141</v>
      </c>
      <c r="B10143" t="s">
        <v>13244</v>
      </c>
      <c r="C10143" t="s">
        <v>22</v>
      </c>
      <c r="D10143">
        <v>66</v>
      </c>
    </row>
    <row r="10144" spans="1:4" hidden="1" x14ac:dyDescent="0.3">
      <c r="A10144">
        <v>10142</v>
      </c>
      <c r="B10144" t="s">
        <v>13245</v>
      </c>
      <c r="C10144" t="s">
        <v>24</v>
      </c>
      <c r="D10144">
        <v>6.7497521496894803</v>
      </c>
    </row>
    <row r="10145" spans="1:4" hidden="1" x14ac:dyDescent="0.3">
      <c r="A10145">
        <v>10143</v>
      </c>
      <c r="B10145" s="1" t="s">
        <v>13246</v>
      </c>
      <c r="C10145" t="s">
        <v>145</v>
      </c>
      <c r="D10145" s="1" t="s">
        <v>13247</v>
      </c>
    </row>
    <row r="10146" spans="1:4" hidden="1" x14ac:dyDescent="0.3">
      <c r="A10146">
        <v>10144</v>
      </c>
      <c r="B10146" t="s">
        <v>13248</v>
      </c>
      <c r="C10146" t="s">
        <v>35</v>
      </c>
      <c r="D10146">
        <v>0.27504384738770699</v>
      </c>
    </row>
    <row r="10147" spans="1:4" hidden="1" x14ac:dyDescent="0.3">
      <c r="A10147">
        <v>10145</v>
      </c>
      <c r="B10147" t="s">
        <v>13249</v>
      </c>
      <c r="C10147" t="s">
        <v>149</v>
      </c>
      <c r="D10147">
        <v>0.69731979749073003</v>
      </c>
    </row>
    <row r="10148" spans="1:4" hidden="1" x14ac:dyDescent="0.3">
      <c r="A10148">
        <v>10146</v>
      </c>
      <c r="B10148" s="1" t="s">
        <v>13250</v>
      </c>
      <c r="C10148" t="s">
        <v>151</v>
      </c>
      <c r="D10148" s="1" t="s">
        <v>13251</v>
      </c>
    </row>
    <row r="10149" spans="1:4" hidden="1" x14ac:dyDescent="0.3">
      <c r="A10149">
        <v>10147</v>
      </c>
      <c r="B10149" t="s">
        <v>13252</v>
      </c>
      <c r="C10149" t="s">
        <v>30</v>
      </c>
      <c r="D10149">
        <v>0.27772306616263198</v>
      </c>
    </row>
    <row r="10150" spans="1:4" hidden="1" x14ac:dyDescent="0.3">
      <c r="A10150">
        <v>10148</v>
      </c>
      <c r="B10150" t="s">
        <v>13253</v>
      </c>
      <c r="C10150" t="s">
        <v>32</v>
      </c>
      <c r="D10150">
        <v>0.23302833596095299</v>
      </c>
    </row>
    <row r="10151" spans="1:4" hidden="1" x14ac:dyDescent="0.3">
      <c r="A10151">
        <v>10149</v>
      </c>
      <c r="B10151" s="1" t="s">
        <v>13254</v>
      </c>
      <c r="C10151" t="s">
        <v>155</v>
      </c>
      <c r="D10151" s="1" t="s">
        <v>13255</v>
      </c>
    </row>
    <row r="10152" spans="1:4" hidden="1" x14ac:dyDescent="0.3">
      <c r="A10152">
        <v>10150</v>
      </c>
      <c r="B10152" t="s">
        <v>13256</v>
      </c>
      <c r="C10152" t="s">
        <v>40</v>
      </c>
      <c r="D10152">
        <v>0.44723308644965998</v>
      </c>
    </row>
    <row r="10153" spans="1:4" hidden="1" x14ac:dyDescent="0.3">
      <c r="A10153">
        <v>10151</v>
      </c>
      <c r="B10153" t="s">
        <v>13257</v>
      </c>
      <c r="C10153" t="s">
        <v>42</v>
      </c>
      <c r="D10153">
        <v>0.201033917252634</v>
      </c>
    </row>
    <row r="10154" spans="1:4" hidden="1" x14ac:dyDescent="0.3">
      <c r="A10154">
        <v>10152</v>
      </c>
      <c r="B10154" s="1" t="s">
        <v>13258</v>
      </c>
      <c r="C10154" t="s">
        <v>159</v>
      </c>
      <c r="D10154" s="1" t="s">
        <v>13259</v>
      </c>
    </row>
    <row r="10155" spans="1:4" hidden="1" x14ac:dyDescent="0.3">
      <c r="A10155">
        <v>10153</v>
      </c>
      <c r="B10155" t="s">
        <v>13260</v>
      </c>
      <c r="C10155" t="s">
        <v>161</v>
      </c>
      <c r="D10155">
        <v>0.996006918375405</v>
      </c>
    </row>
    <row r="10156" spans="1:4" hidden="1" x14ac:dyDescent="0.3">
      <c r="A10156">
        <v>10154</v>
      </c>
      <c r="B10156" t="s">
        <v>13261</v>
      </c>
      <c r="C10156" t="s">
        <v>163</v>
      </c>
      <c r="D10156">
        <v>1.0003304734046401</v>
      </c>
    </row>
    <row r="10157" spans="1:4" hidden="1" x14ac:dyDescent="0.3">
      <c r="A10157">
        <v>10155</v>
      </c>
      <c r="B10157" s="1" t="s">
        <v>13262</v>
      </c>
      <c r="C10157" t="s">
        <v>165</v>
      </c>
      <c r="D10157" s="1" t="s">
        <v>13263</v>
      </c>
    </row>
    <row r="10158" spans="1:4" hidden="1" x14ac:dyDescent="0.3">
      <c r="A10158">
        <v>10156</v>
      </c>
      <c r="B10158" t="s">
        <v>13264</v>
      </c>
      <c r="C10158" t="s">
        <v>168</v>
      </c>
      <c r="D10158">
        <v>1.0005991782735899</v>
      </c>
    </row>
    <row r="10159" spans="1:4" hidden="1" x14ac:dyDescent="0.3">
      <c r="A10159">
        <v>10157</v>
      </c>
      <c r="B10159" t="s">
        <v>13265</v>
      </c>
      <c r="C10159" t="s">
        <v>170</v>
      </c>
      <c r="D10159">
        <v>0.99992003247308803</v>
      </c>
    </row>
    <row r="10160" spans="1:4" hidden="1" x14ac:dyDescent="0.3">
      <c r="A10160">
        <v>10158</v>
      </c>
      <c r="B10160" s="1" t="s">
        <v>13266</v>
      </c>
      <c r="C10160" t="s">
        <v>172</v>
      </c>
      <c r="D10160" s="1" t="s">
        <v>13267</v>
      </c>
    </row>
    <row r="10161" spans="1:4" hidden="1" x14ac:dyDescent="0.3">
      <c r="A10161">
        <v>10159</v>
      </c>
      <c r="B10161" s="1" t="s">
        <v>13268</v>
      </c>
      <c r="C10161" t="s">
        <v>55</v>
      </c>
      <c r="D10161" s="1" t="s">
        <v>13269</v>
      </c>
    </row>
    <row r="10162" spans="1:4" hidden="1" x14ac:dyDescent="0.3">
      <c r="A10162">
        <v>10160</v>
      </c>
      <c r="B10162" s="1" t="s">
        <v>13270</v>
      </c>
      <c r="C10162" t="s">
        <v>52</v>
      </c>
      <c r="D10162" s="1" t="s">
        <v>13271</v>
      </c>
    </row>
    <row r="10163" spans="1:4" hidden="1" x14ac:dyDescent="0.3">
      <c r="A10163">
        <v>10161</v>
      </c>
      <c r="B10163" s="1" t="s">
        <v>13272</v>
      </c>
      <c r="C10163" t="s">
        <v>58</v>
      </c>
      <c r="D10163" s="1" t="s">
        <v>13273</v>
      </c>
    </row>
    <row r="10164" spans="1:4" hidden="1" x14ac:dyDescent="0.3">
      <c r="A10164">
        <v>10162</v>
      </c>
      <c r="B10164" t="s">
        <v>13274</v>
      </c>
      <c r="C10164" t="s">
        <v>61</v>
      </c>
      <c r="D10164">
        <v>142761369.729193</v>
      </c>
    </row>
    <row r="10165" spans="1:4" hidden="1" x14ac:dyDescent="0.3">
      <c r="A10165">
        <v>10163</v>
      </c>
      <c r="B10165" t="s">
        <v>13275</v>
      </c>
      <c r="C10165" t="s">
        <v>63</v>
      </c>
      <c r="D10165">
        <v>77152163.562705502</v>
      </c>
    </row>
    <row r="10166" spans="1:4" hidden="1" x14ac:dyDescent="0.3">
      <c r="A10166">
        <v>10164</v>
      </c>
      <c r="B10166" t="s">
        <v>13276</v>
      </c>
      <c r="C10166" t="s">
        <v>65</v>
      </c>
      <c r="D10166">
        <v>39063462.851299599</v>
      </c>
    </row>
    <row r="10167" spans="1:4" hidden="1" x14ac:dyDescent="0.3">
      <c r="A10167">
        <v>10165</v>
      </c>
      <c r="B10167" s="1" t="s">
        <v>13277</v>
      </c>
      <c r="C10167" t="s">
        <v>67</v>
      </c>
      <c r="D10167" s="1" t="s">
        <v>13278</v>
      </c>
    </row>
    <row r="10168" spans="1:4" hidden="1" x14ac:dyDescent="0.3">
      <c r="A10168">
        <v>10166</v>
      </c>
      <c r="B10168" s="1" t="s">
        <v>13279</v>
      </c>
      <c r="C10168" t="s">
        <v>70</v>
      </c>
      <c r="D10168" s="1" t="s">
        <v>13280</v>
      </c>
    </row>
    <row r="10169" spans="1:4" hidden="1" x14ac:dyDescent="0.3">
      <c r="A10169">
        <v>10167</v>
      </c>
      <c r="B10169" t="s">
        <v>13281</v>
      </c>
      <c r="C10169" t="s">
        <v>73</v>
      </c>
      <c r="D10169">
        <v>1.0003614269163601</v>
      </c>
    </row>
    <row r="10170" spans="1:4" hidden="1" x14ac:dyDescent="0.3">
      <c r="A10170">
        <v>10168</v>
      </c>
      <c r="B10170" t="s">
        <v>74</v>
      </c>
      <c r="C10170" t="s">
        <v>75</v>
      </c>
      <c r="D10170">
        <v>2.7397260273972599E-3</v>
      </c>
    </row>
    <row r="10171" spans="1:4" hidden="1" x14ac:dyDescent="0.3">
      <c r="A10171">
        <v>10169</v>
      </c>
      <c r="B10171" t="s">
        <v>76</v>
      </c>
      <c r="C10171" t="s">
        <v>77</v>
      </c>
      <c r="D10171">
        <v>0</v>
      </c>
    </row>
    <row r="10172" spans="1:4" hidden="1" x14ac:dyDescent="0.3">
      <c r="A10172">
        <v>10170</v>
      </c>
      <c r="B10172" t="s">
        <v>78</v>
      </c>
      <c r="C10172" t="s">
        <v>79</v>
      </c>
      <c r="D10172">
        <v>0</v>
      </c>
    </row>
    <row r="10173" spans="1:4" hidden="1" x14ac:dyDescent="0.3">
      <c r="A10173">
        <v>10171</v>
      </c>
      <c r="B10173" s="1" t="s">
        <v>13282</v>
      </c>
      <c r="C10173" t="s">
        <v>81</v>
      </c>
      <c r="D10173" s="1" t="s">
        <v>13283</v>
      </c>
    </row>
    <row r="10174" spans="1:4" hidden="1" x14ac:dyDescent="0.3">
      <c r="A10174">
        <v>10172</v>
      </c>
      <c r="B10174" t="s">
        <v>13284</v>
      </c>
      <c r="C10174" t="s">
        <v>84</v>
      </c>
      <c r="D10174">
        <v>1.0003732384310899</v>
      </c>
    </row>
    <row r="10175" spans="1:4" hidden="1" x14ac:dyDescent="0.3">
      <c r="A10175">
        <v>10173</v>
      </c>
      <c r="B10175" s="1" t="s">
        <v>13285</v>
      </c>
      <c r="C10175" t="s">
        <v>86</v>
      </c>
      <c r="D10175" s="1" t="s">
        <v>13286</v>
      </c>
    </row>
    <row r="10176" spans="1:4" hidden="1" x14ac:dyDescent="0.3">
      <c r="A10176">
        <v>10174</v>
      </c>
      <c r="B10176" t="s">
        <v>13287</v>
      </c>
      <c r="C10176" t="s">
        <v>89</v>
      </c>
      <c r="D10176">
        <v>101152025.66009299</v>
      </c>
    </row>
    <row r="10177" spans="1:4" hidden="1" x14ac:dyDescent="0.3">
      <c r="A10177">
        <v>10175</v>
      </c>
      <c r="B10177" s="1" t="s">
        <v>13288</v>
      </c>
      <c r="C10177" t="s">
        <v>91</v>
      </c>
      <c r="D10177" s="1" t="s">
        <v>13222</v>
      </c>
    </row>
    <row r="10178" spans="1:4" hidden="1" x14ac:dyDescent="0.3">
      <c r="A10178">
        <v>10176</v>
      </c>
      <c r="B10178" t="s">
        <v>13289</v>
      </c>
      <c r="C10178" t="s">
        <v>94</v>
      </c>
      <c r="D10178">
        <v>77152163.562705502</v>
      </c>
    </row>
    <row r="10179" spans="1:4" hidden="1" x14ac:dyDescent="0.3">
      <c r="A10179">
        <v>10177</v>
      </c>
      <c r="B10179" t="s">
        <v>13290</v>
      </c>
      <c r="C10179" t="s">
        <v>96</v>
      </c>
      <c r="D10179">
        <v>39063462.851299599</v>
      </c>
    </row>
    <row r="10180" spans="1:4" hidden="1" x14ac:dyDescent="0.3">
      <c r="A10180">
        <v>10178</v>
      </c>
      <c r="B10180" t="s">
        <v>13291</v>
      </c>
      <c r="C10180" t="s">
        <v>98</v>
      </c>
      <c r="D10180">
        <v>26545743.315188602</v>
      </c>
    </row>
    <row r="10181" spans="1:4" hidden="1" x14ac:dyDescent="0.3">
      <c r="A10181">
        <v>10179</v>
      </c>
      <c r="B10181" s="1" t="s">
        <v>13292</v>
      </c>
      <c r="C10181" t="s">
        <v>100</v>
      </c>
      <c r="D10181" s="1" t="s">
        <v>13293</v>
      </c>
    </row>
    <row r="10182" spans="1:4" hidden="1" x14ac:dyDescent="0.3">
      <c r="A10182">
        <v>10180</v>
      </c>
      <c r="B10182" t="s">
        <v>13294</v>
      </c>
      <c r="C10182" t="s">
        <v>103</v>
      </c>
      <c r="D10182">
        <v>8.10530252359031E-3</v>
      </c>
    </row>
    <row r="10183" spans="1:4" hidden="1" x14ac:dyDescent="0.3">
      <c r="A10183">
        <v>10181</v>
      </c>
      <c r="B10183" t="s">
        <v>13295</v>
      </c>
      <c r="C10183" t="s">
        <v>105</v>
      </c>
      <c r="D10183">
        <v>1.65967816389284E-3</v>
      </c>
    </row>
    <row r="10184" spans="1:4" hidden="1" x14ac:dyDescent="0.3">
      <c r="A10184">
        <v>10182</v>
      </c>
      <c r="B10184" t="s">
        <v>13296</v>
      </c>
      <c r="C10184" t="s">
        <v>107</v>
      </c>
      <c r="D10184">
        <v>9.8340191350023299E-3</v>
      </c>
    </row>
    <row r="10185" spans="1:4" hidden="1" x14ac:dyDescent="0.3">
      <c r="A10185">
        <v>10183</v>
      </c>
      <c r="B10185" s="1" t="s">
        <v>13297</v>
      </c>
      <c r="C10185" t="s">
        <v>109</v>
      </c>
      <c r="D10185" s="1" t="s">
        <v>13298</v>
      </c>
    </row>
    <row r="10186" spans="1:4" x14ac:dyDescent="0.3">
      <c r="A10186">
        <v>10184</v>
      </c>
      <c r="B10186" t="s">
        <v>13299</v>
      </c>
      <c r="C10186" t="s">
        <v>207</v>
      </c>
      <c r="D10186">
        <v>142761785.988895</v>
      </c>
    </row>
    <row r="10187" spans="1:4" hidden="1" x14ac:dyDescent="0.3">
      <c r="A10187">
        <v>10185</v>
      </c>
      <c r="B10187" t="s">
        <v>13300</v>
      </c>
      <c r="C10187" t="s">
        <v>209</v>
      </c>
      <c r="D10187">
        <v>-910.95835283799204</v>
      </c>
    </row>
    <row r="10188" spans="1:4" hidden="1" x14ac:dyDescent="0.3">
      <c r="A10188">
        <v>10186</v>
      </c>
      <c r="B10188" t="s">
        <v>13301</v>
      </c>
      <c r="C10188" t="s">
        <v>211</v>
      </c>
      <c r="D10188">
        <v>-461.23271116883097</v>
      </c>
    </row>
    <row r="10189" spans="1:4" hidden="1" x14ac:dyDescent="0.3">
      <c r="A10189">
        <v>10187</v>
      </c>
      <c r="B10189" s="1" t="s">
        <v>13302</v>
      </c>
      <c r="C10189" t="s">
        <v>213</v>
      </c>
      <c r="D10189" s="1" t="s">
        <v>13303</v>
      </c>
    </row>
    <row r="10190" spans="1:4" hidden="1" x14ac:dyDescent="0.3">
      <c r="A10190">
        <v>10188</v>
      </c>
      <c r="B10190" t="s">
        <v>13304</v>
      </c>
      <c r="C10190" t="s">
        <v>216</v>
      </c>
      <c r="D10190">
        <v>77153386.156260803</v>
      </c>
    </row>
    <row r="10191" spans="1:4" hidden="1" x14ac:dyDescent="0.3">
      <c r="A10191">
        <v>10189</v>
      </c>
      <c r="B10191" t="s">
        <v>13305</v>
      </c>
      <c r="C10191" t="s">
        <v>218</v>
      </c>
      <c r="D10191">
        <v>39063987.241397597</v>
      </c>
    </row>
    <row r="10192" spans="1:4" hidden="1" x14ac:dyDescent="0.3">
      <c r="A10192">
        <v>10190</v>
      </c>
      <c r="B10192" t="s">
        <v>13306</v>
      </c>
      <c r="C10192" t="s">
        <v>220</v>
      </c>
      <c r="D10192">
        <v>26546098.214945901</v>
      </c>
    </row>
    <row r="10193" spans="1:4" hidden="1" x14ac:dyDescent="0.3">
      <c r="A10193">
        <v>10191</v>
      </c>
      <c r="B10193" s="1" t="s">
        <v>13307</v>
      </c>
      <c r="C10193" t="s">
        <v>222</v>
      </c>
      <c r="D10193" s="1" t="s">
        <v>13308</v>
      </c>
    </row>
    <row r="10194" spans="1:4" hidden="1" x14ac:dyDescent="0.3">
      <c r="A10194">
        <v>10192</v>
      </c>
      <c r="B10194" t="s">
        <v>13309</v>
      </c>
      <c r="C10194" t="s">
        <v>225</v>
      </c>
      <c r="D10194">
        <v>101153219.987073</v>
      </c>
    </row>
    <row r="10195" spans="1:4" hidden="1" x14ac:dyDescent="0.3">
      <c r="A10195">
        <v>10193</v>
      </c>
      <c r="B10195" t="s">
        <v>13310</v>
      </c>
      <c r="C10195" t="s">
        <v>227</v>
      </c>
      <c r="D10195">
        <v>-1194.32697972655</v>
      </c>
    </row>
    <row r="10196" spans="1:4" hidden="1" x14ac:dyDescent="0.3">
      <c r="A10196">
        <v>10194</v>
      </c>
      <c r="B10196" s="1" t="s">
        <v>13311</v>
      </c>
      <c r="C10196" t="s">
        <v>229</v>
      </c>
      <c r="D10196" s="1" t="s">
        <v>13312</v>
      </c>
    </row>
    <row r="10197" spans="1:4" hidden="1" x14ac:dyDescent="0.3">
      <c r="A10197">
        <v>10195</v>
      </c>
      <c r="B10197" t="s">
        <v>13313</v>
      </c>
      <c r="C10197" t="s">
        <v>112</v>
      </c>
      <c r="D10197">
        <v>311.63520247993699</v>
      </c>
    </row>
    <row r="10198" spans="1:4" hidden="1" x14ac:dyDescent="0.3">
      <c r="A10198">
        <v>10196</v>
      </c>
      <c r="B10198" t="s">
        <v>13314</v>
      </c>
      <c r="C10198" t="s">
        <v>114</v>
      </c>
      <c r="D10198">
        <v>63.157386871827399</v>
      </c>
    </row>
    <row r="10199" spans="1:4" hidden="1" x14ac:dyDescent="0.3">
      <c r="A10199">
        <v>10197</v>
      </c>
      <c r="B10199" s="1" t="s">
        <v>13315</v>
      </c>
      <c r="C10199" t="s">
        <v>116</v>
      </c>
      <c r="D10199" s="1" t="s">
        <v>13316</v>
      </c>
    </row>
    <row r="10200" spans="1:4" hidden="1" x14ac:dyDescent="0.3">
      <c r="A10200">
        <v>10198</v>
      </c>
      <c r="B10200" t="s">
        <v>13317</v>
      </c>
      <c r="C10200" t="s">
        <v>119</v>
      </c>
      <c r="D10200">
        <v>77153386.156260803</v>
      </c>
    </row>
    <row r="10201" spans="1:4" hidden="1" x14ac:dyDescent="0.3">
      <c r="A10201">
        <v>10199</v>
      </c>
      <c r="B10201" t="s">
        <v>13318</v>
      </c>
      <c r="C10201" t="s">
        <v>121</v>
      </c>
      <c r="D10201">
        <v>39063987.241397597</v>
      </c>
    </row>
    <row r="10202" spans="1:4" hidden="1" x14ac:dyDescent="0.3">
      <c r="A10202">
        <v>10200</v>
      </c>
      <c r="B10202" s="1" t="s">
        <v>13319</v>
      </c>
      <c r="C10202" t="s">
        <v>123</v>
      </c>
      <c r="D10202" s="1" t="s">
        <v>13320</v>
      </c>
    </row>
    <row r="10203" spans="1:4" hidden="1" x14ac:dyDescent="0.3">
      <c r="A10203">
        <v>10201</v>
      </c>
      <c r="B10203" t="s">
        <v>13321</v>
      </c>
      <c r="C10203" t="s">
        <v>126</v>
      </c>
      <c r="D10203">
        <v>0.76245323976147195</v>
      </c>
    </row>
    <row r="10204" spans="1:4" hidden="1" x14ac:dyDescent="0.3">
      <c r="A10204">
        <v>10202</v>
      </c>
      <c r="B10204" t="s">
        <v>13322</v>
      </c>
      <c r="C10204" t="s">
        <v>128</v>
      </c>
      <c r="D10204">
        <v>0.38604220908569298</v>
      </c>
    </row>
    <row r="10205" spans="1:4" hidden="1" x14ac:dyDescent="0.3">
      <c r="A10205">
        <v>10203</v>
      </c>
      <c r="B10205" s="1" t="s">
        <v>13323</v>
      </c>
      <c r="C10205" t="s">
        <v>130</v>
      </c>
      <c r="D10205" s="1" t="s">
        <v>13324</v>
      </c>
    </row>
    <row r="10206" spans="1:4" hidden="1" x14ac:dyDescent="0.3">
      <c r="A10206">
        <v>10204</v>
      </c>
      <c r="B10206" s="1" t="s">
        <v>13325</v>
      </c>
      <c r="C10206" t="s">
        <v>4</v>
      </c>
      <c r="D10206" t="s">
        <v>13326</v>
      </c>
    </row>
    <row r="10207" spans="1:4" hidden="1" x14ac:dyDescent="0.3">
      <c r="A10207">
        <v>10205</v>
      </c>
      <c r="B10207" t="s">
        <v>13327</v>
      </c>
      <c r="C10207" t="s">
        <v>7</v>
      </c>
      <c r="D10207">
        <v>1789.27</v>
      </c>
    </row>
    <row r="10208" spans="1:4" hidden="1" x14ac:dyDescent="0.3">
      <c r="A10208">
        <v>10206</v>
      </c>
      <c r="B10208" s="1" t="s">
        <v>13328</v>
      </c>
      <c r="C10208" t="s">
        <v>9</v>
      </c>
      <c r="D10208" s="1" t="s">
        <v>13329</v>
      </c>
    </row>
    <row r="10209" spans="1:4" hidden="1" x14ac:dyDescent="0.3">
      <c r="A10209">
        <v>10207</v>
      </c>
      <c r="B10209" t="s">
        <v>11453</v>
      </c>
      <c r="C10209" t="s">
        <v>14</v>
      </c>
      <c r="D10209">
        <v>96.984375</v>
      </c>
    </row>
    <row r="10210" spans="1:4" hidden="1" x14ac:dyDescent="0.3">
      <c r="A10210">
        <v>10208</v>
      </c>
      <c r="B10210" t="s">
        <v>13330</v>
      </c>
      <c r="C10210" t="s">
        <v>16</v>
      </c>
      <c r="D10210">
        <v>4.3843051274936098</v>
      </c>
    </row>
    <row r="10211" spans="1:4" hidden="1" x14ac:dyDescent="0.3">
      <c r="A10211">
        <v>10209</v>
      </c>
      <c r="B10211" s="1" t="s">
        <v>13331</v>
      </c>
      <c r="C10211" t="s">
        <v>140</v>
      </c>
      <c r="D10211" s="1" t="s">
        <v>13332</v>
      </c>
    </row>
    <row r="10212" spans="1:4" hidden="1" x14ac:dyDescent="0.3">
      <c r="A10212">
        <v>10210</v>
      </c>
      <c r="B10212" t="s">
        <v>13333</v>
      </c>
      <c r="C10212" t="s">
        <v>22</v>
      </c>
      <c r="D10212">
        <v>66.2</v>
      </c>
    </row>
    <row r="10213" spans="1:4" hidden="1" x14ac:dyDescent="0.3">
      <c r="A10213">
        <v>10211</v>
      </c>
      <c r="B10213" t="s">
        <v>13334</v>
      </c>
      <c r="C10213" t="s">
        <v>24</v>
      </c>
      <c r="D10213">
        <v>6.7093336262445202</v>
      </c>
    </row>
    <row r="10214" spans="1:4" hidden="1" x14ac:dyDescent="0.3">
      <c r="A10214">
        <v>10212</v>
      </c>
      <c r="B10214" s="1" t="s">
        <v>13335</v>
      </c>
      <c r="C10214" t="s">
        <v>145</v>
      </c>
      <c r="D10214" s="1" t="s">
        <v>13336</v>
      </c>
    </row>
    <row r="10215" spans="1:4" hidden="1" x14ac:dyDescent="0.3">
      <c r="A10215">
        <v>10213</v>
      </c>
      <c r="B10215" t="s">
        <v>13337</v>
      </c>
      <c r="C10215" t="s">
        <v>35</v>
      </c>
      <c r="D10215">
        <v>8.3458304281412002E-2</v>
      </c>
    </row>
    <row r="10216" spans="1:4" hidden="1" x14ac:dyDescent="0.3">
      <c r="A10216">
        <v>10214</v>
      </c>
      <c r="B10216" t="s">
        <v>13338</v>
      </c>
      <c r="C10216" t="s">
        <v>149</v>
      </c>
      <c r="D10216">
        <v>0.69541386174752196</v>
      </c>
    </row>
    <row r="10217" spans="1:4" hidden="1" x14ac:dyDescent="0.3">
      <c r="A10217">
        <v>10215</v>
      </c>
      <c r="B10217" s="1" t="s">
        <v>13339</v>
      </c>
      <c r="C10217" t="s">
        <v>151</v>
      </c>
      <c r="D10217" s="1" t="s">
        <v>13340</v>
      </c>
    </row>
    <row r="10218" spans="1:4" hidden="1" x14ac:dyDescent="0.3">
      <c r="A10218">
        <v>10216</v>
      </c>
      <c r="B10218" t="s">
        <v>13341</v>
      </c>
      <c r="C10218" t="s">
        <v>30</v>
      </c>
      <c r="D10218">
        <v>0.352652463865752</v>
      </c>
    </row>
    <row r="10219" spans="1:4" hidden="1" x14ac:dyDescent="0.3">
      <c r="A10219">
        <v>10217</v>
      </c>
      <c r="B10219" t="s">
        <v>13342</v>
      </c>
      <c r="C10219" t="s">
        <v>32</v>
      </c>
      <c r="D10219">
        <v>0.23423431238342199</v>
      </c>
    </row>
    <row r="10220" spans="1:4" hidden="1" x14ac:dyDescent="0.3">
      <c r="A10220">
        <v>10218</v>
      </c>
      <c r="B10220" s="1" t="s">
        <v>13343</v>
      </c>
      <c r="C10220" t="s">
        <v>155</v>
      </c>
      <c r="D10220" s="1" t="s">
        <v>13344</v>
      </c>
    </row>
    <row r="10221" spans="1:4" hidden="1" x14ac:dyDescent="0.3">
      <c r="A10221">
        <v>10219</v>
      </c>
      <c r="B10221" t="s">
        <v>13345</v>
      </c>
      <c r="C10221" t="s">
        <v>40</v>
      </c>
      <c r="D10221">
        <v>0.56388923185283502</v>
      </c>
    </row>
    <row r="10222" spans="1:4" hidden="1" x14ac:dyDescent="0.3">
      <c r="A10222">
        <v>10220</v>
      </c>
      <c r="B10222" t="s">
        <v>13346</v>
      </c>
      <c r="C10222" t="s">
        <v>42</v>
      </c>
      <c r="D10222">
        <v>0.20375830612302301</v>
      </c>
    </row>
    <row r="10223" spans="1:4" hidden="1" x14ac:dyDescent="0.3">
      <c r="A10223">
        <v>10221</v>
      </c>
      <c r="B10223" s="1" t="s">
        <v>13347</v>
      </c>
      <c r="C10223" t="s">
        <v>159</v>
      </c>
      <c r="D10223" s="1" t="s">
        <v>13348</v>
      </c>
    </row>
    <row r="10224" spans="1:4" hidden="1" x14ac:dyDescent="0.3">
      <c r="A10224">
        <v>10222</v>
      </c>
      <c r="B10224" t="s">
        <v>13349</v>
      </c>
      <c r="C10224" t="s">
        <v>161</v>
      </c>
      <c r="D10224">
        <v>0.99907310726829002</v>
      </c>
    </row>
    <row r="10225" spans="1:4" hidden="1" x14ac:dyDescent="0.3">
      <c r="A10225">
        <v>10223</v>
      </c>
      <c r="B10225" t="s">
        <v>13350</v>
      </c>
      <c r="C10225" t="s">
        <v>163</v>
      </c>
      <c r="D10225">
        <v>0.99819411272192204</v>
      </c>
    </row>
    <row r="10226" spans="1:4" hidden="1" x14ac:dyDescent="0.3">
      <c r="A10226">
        <v>10224</v>
      </c>
      <c r="B10226" s="1" t="s">
        <v>13351</v>
      </c>
      <c r="C10226" t="s">
        <v>165</v>
      </c>
      <c r="D10226" s="1" t="s">
        <v>13352</v>
      </c>
    </row>
    <row r="10227" spans="1:4" hidden="1" x14ac:dyDescent="0.3">
      <c r="A10227">
        <v>10225</v>
      </c>
      <c r="B10227" t="s">
        <v>13353</v>
      </c>
      <c r="C10227" t="s">
        <v>168</v>
      </c>
      <c r="D10227">
        <v>0.998877090960687</v>
      </c>
    </row>
    <row r="10228" spans="1:4" hidden="1" x14ac:dyDescent="0.3">
      <c r="A10228">
        <v>10226</v>
      </c>
      <c r="B10228" t="s">
        <v>13354</v>
      </c>
      <c r="C10228" t="s">
        <v>170</v>
      </c>
      <c r="D10228">
        <v>1.00097806059057</v>
      </c>
    </row>
    <row r="10229" spans="1:4" hidden="1" x14ac:dyDescent="0.3">
      <c r="A10229">
        <v>10227</v>
      </c>
      <c r="B10229" s="1" t="s">
        <v>13355</v>
      </c>
      <c r="C10229" t="s">
        <v>172</v>
      </c>
      <c r="D10229" s="1" t="s">
        <v>13356</v>
      </c>
    </row>
    <row r="10230" spans="1:4" hidden="1" x14ac:dyDescent="0.3">
      <c r="A10230">
        <v>10228</v>
      </c>
      <c r="B10230" s="1" t="s">
        <v>13357</v>
      </c>
      <c r="C10230" t="s">
        <v>55</v>
      </c>
      <c r="D10230" s="1" t="s">
        <v>13358</v>
      </c>
    </row>
    <row r="10231" spans="1:4" hidden="1" x14ac:dyDescent="0.3">
      <c r="A10231">
        <v>10229</v>
      </c>
      <c r="B10231" s="1" t="s">
        <v>13359</v>
      </c>
      <c r="C10231" t="s">
        <v>52</v>
      </c>
      <c r="D10231" s="1" t="s">
        <v>13360</v>
      </c>
    </row>
    <row r="10232" spans="1:4" hidden="1" x14ac:dyDescent="0.3">
      <c r="A10232">
        <v>10230</v>
      </c>
      <c r="B10232" s="1" t="s">
        <v>13361</v>
      </c>
      <c r="C10232" t="s">
        <v>58</v>
      </c>
      <c r="D10232" s="1" t="s">
        <v>13362</v>
      </c>
    </row>
    <row r="10233" spans="1:4" hidden="1" x14ac:dyDescent="0.3">
      <c r="A10233">
        <v>10231</v>
      </c>
      <c r="B10233" t="s">
        <v>13363</v>
      </c>
      <c r="C10233" t="s">
        <v>61</v>
      </c>
      <c r="D10233">
        <v>142679644.19483799</v>
      </c>
    </row>
    <row r="10234" spans="1:4" hidden="1" x14ac:dyDescent="0.3">
      <c r="A10234">
        <v>10232</v>
      </c>
      <c r="B10234" t="s">
        <v>13364</v>
      </c>
      <c r="C10234" t="s">
        <v>63</v>
      </c>
      <c r="D10234">
        <v>77081873.243405804</v>
      </c>
    </row>
    <row r="10235" spans="1:4" hidden="1" x14ac:dyDescent="0.3">
      <c r="A10235">
        <v>10233</v>
      </c>
      <c r="B10235" t="s">
        <v>13365</v>
      </c>
      <c r="C10235" t="s">
        <v>65</v>
      </c>
      <c r="D10235">
        <v>38993442.083807401</v>
      </c>
    </row>
    <row r="10236" spans="1:4" hidden="1" x14ac:dyDescent="0.3">
      <c r="A10236">
        <v>10234</v>
      </c>
      <c r="B10236" s="1" t="s">
        <v>13366</v>
      </c>
      <c r="C10236" t="s">
        <v>67</v>
      </c>
      <c r="D10236" s="1" t="s">
        <v>13367</v>
      </c>
    </row>
    <row r="10237" spans="1:4" hidden="1" x14ac:dyDescent="0.3">
      <c r="A10237">
        <v>10235</v>
      </c>
      <c r="B10237" s="1" t="s">
        <v>13368</v>
      </c>
      <c r="C10237" t="s">
        <v>70</v>
      </c>
      <c r="D10237" s="1" t="s">
        <v>13369</v>
      </c>
    </row>
    <row r="10238" spans="1:4" hidden="1" x14ac:dyDescent="0.3">
      <c r="A10238">
        <v>10236</v>
      </c>
      <c r="B10238" t="s">
        <v>13370</v>
      </c>
      <c r="C10238" t="s">
        <v>73</v>
      </c>
      <c r="D10238">
        <v>1.0003732384310899</v>
      </c>
    </row>
    <row r="10239" spans="1:4" hidden="1" x14ac:dyDescent="0.3">
      <c r="A10239">
        <v>10237</v>
      </c>
      <c r="B10239" t="s">
        <v>74</v>
      </c>
      <c r="C10239" t="s">
        <v>75</v>
      </c>
      <c r="D10239">
        <v>2.7397260273972599E-3</v>
      </c>
    </row>
    <row r="10240" spans="1:4" hidden="1" x14ac:dyDescent="0.3">
      <c r="A10240">
        <v>10238</v>
      </c>
      <c r="B10240" t="s">
        <v>76</v>
      </c>
      <c r="C10240" t="s">
        <v>77</v>
      </c>
      <c r="D10240">
        <v>0</v>
      </c>
    </row>
    <row r="10241" spans="1:4" hidden="1" x14ac:dyDescent="0.3">
      <c r="A10241">
        <v>10239</v>
      </c>
      <c r="B10241" t="s">
        <v>78</v>
      </c>
      <c r="C10241" t="s">
        <v>79</v>
      </c>
      <c r="D10241">
        <v>0</v>
      </c>
    </row>
    <row r="10242" spans="1:4" hidden="1" x14ac:dyDescent="0.3">
      <c r="A10242">
        <v>10240</v>
      </c>
      <c r="B10242" s="1" t="s">
        <v>13371</v>
      </c>
      <c r="C10242" t="s">
        <v>81</v>
      </c>
      <c r="D10242" s="1" t="s">
        <v>13372</v>
      </c>
    </row>
    <row r="10243" spans="1:4" hidden="1" x14ac:dyDescent="0.3">
      <c r="A10243">
        <v>10241</v>
      </c>
      <c r="B10243" t="s">
        <v>13373</v>
      </c>
      <c r="C10243" t="s">
        <v>84</v>
      </c>
      <c r="D10243">
        <v>1.0003986351207601</v>
      </c>
    </row>
    <row r="10244" spans="1:4" hidden="1" x14ac:dyDescent="0.3">
      <c r="A10244">
        <v>10242</v>
      </c>
      <c r="B10244" s="1" t="s">
        <v>13374</v>
      </c>
      <c r="C10244" t="s">
        <v>86</v>
      </c>
      <c r="D10244" s="1" t="s">
        <v>13375</v>
      </c>
    </row>
    <row r="10245" spans="1:4" hidden="1" x14ac:dyDescent="0.3">
      <c r="A10245">
        <v>10243</v>
      </c>
      <c r="B10245" t="s">
        <v>13376</v>
      </c>
      <c r="C10245" t="s">
        <v>89</v>
      </c>
      <c r="D10245">
        <v>101149457.757145</v>
      </c>
    </row>
    <row r="10246" spans="1:4" hidden="1" x14ac:dyDescent="0.3">
      <c r="A10246">
        <v>10244</v>
      </c>
      <c r="B10246" s="1" t="s">
        <v>13377</v>
      </c>
      <c r="C10246" t="s">
        <v>91</v>
      </c>
      <c r="D10246" s="1" t="s">
        <v>13312</v>
      </c>
    </row>
    <row r="10247" spans="1:4" hidden="1" x14ac:dyDescent="0.3">
      <c r="A10247">
        <v>10245</v>
      </c>
      <c r="B10247" t="s">
        <v>13378</v>
      </c>
      <c r="C10247" t="s">
        <v>94</v>
      </c>
      <c r="D10247">
        <v>77081873.243405804</v>
      </c>
    </row>
    <row r="10248" spans="1:4" hidden="1" x14ac:dyDescent="0.3">
      <c r="A10248">
        <v>10246</v>
      </c>
      <c r="B10248" t="s">
        <v>13379</v>
      </c>
      <c r="C10248" t="s">
        <v>96</v>
      </c>
      <c r="D10248">
        <v>38993442.083807401</v>
      </c>
    </row>
    <row r="10249" spans="1:4" hidden="1" x14ac:dyDescent="0.3">
      <c r="A10249">
        <v>10247</v>
      </c>
      <c r="B10249" t="s">
        <v>13380</v>
      </c>
      <c r="C10249" t="s">
        <v>98</v>
      </c>
      <c r="D10249">
        <v>26604328.867624901</v>
      </c>
    </row>
    <row r="10250" spans="1:4" hidden="1" x14ac:dyDescent="0.3">
      <c r="A10250">
        <v>10248</v>
      </c>
      <c r="B10250" s="1" t="s">
        <v>13381</v>
      </c>
      <c r="C10250" t="s">
        <v>100</v>
      </c>
      <c r="D10250" s="1" t="s">
        <v>13382</v>
      </c>
    </row>
    <row r="10251" spans="1:4" hidden="1" x14ac:dyDescent="0.3">
      <c r="A10251">
        <v>10249</v>
      </c>
      <c r="B10251" t="s">
        <v>13383</v>
      </c>
      <c r="C10251" t="s">
        <v>103</v>
      </c>
      <c r="D10251">
        <v>8.1109100343946302E-3</v>
      </c>
    </row>
    <row r="10252" spans="1:4" hidden="1" x14ac:dyDescent="0.3">
      <c r="A10252">
        <v>10250</v>
      </c>
      <c r="B10252" t="s">
        <v>13384</v>
      </c>
      <c r="C10252" t="s">
        <v>105</v>
      </c>
      <c r="D10252">
        <v>1.66715726015706E-3</v>
      </c>
    </row>
    <row r="10253" spans="1:4" hidden="1" x14ac:dyDescent="0.3">
      <c r="A10253">
        <v>10251</v>
      </c>
      <c r="B10253" t="s">
        <v>13385</v>
      </c>
      <c r="C10253" t="s">
        <v>107</v>
      </c>
      <c r="D10253">
        <v>9.8292463088812797E-3</v>
      </c>
    </row>
    <row r="10254" spans="1:4" hidden="1" x14ac:dyDescent="0.3">
      <c r="A10254">
        <v>10252</v>
      </c>
      <c r="B10254" s="1" t="s">
        <v>13386</v>
      </c>
      <c r="C10254" t="s">
        <v>109</v>
      </c>
      <c r="D10254" s="1" t="s">
        <v>13387</v>
      </c>
    </row>
    <row r="10255" spans="1:4" x14ac:dyDescent="0.3">
      <c r="A10255">
        <v>10253</v>
      </c>
      <c r="B10255" t="s">
        <v>13388</v>
      </c>
      <c r="C10255" t="s">
        <v>207</v>
      </c>
      <c r="D10255">
        <v>142680538.30554101</v>
      </c>
    </row>
    <row r="10256" spans="1:4" hidden="1" x14ac:dyDescent="0.3">
      <c r="A10256">
        <v>10254</v>
      </c>
      <c r="B10256" t="s">
        <v>13389</v>
      </c>
      <c r="C10256" t="s">
        <v>209</v>
      </c>
      <c r="D10256">
        <v>-1956.91032666876</v>
      </c>
    </row>
    <row r="10257" spans="1:4" hidden="1" x14ac:dyDescent="0.3">
      <c r="A10257">
        <v>10255</v>
      </c>
      <c r="B10257" t="s">
        <v>13390</v>
      </c>
      <c r="C10257" t="s">
        <v>211</v>
      </c>
      <c r="D10257">
        <v>-989.93973490399799</v>
      </c>
    </row>
    <row r="10258" spans="1:4" hidden="1" x14ac:dyDescent="0.3">
      <c r="A10258">
        <v>10256</v>
      </c>
      <c r="B10258" s="1" t="s">
        <v>13391</v>
      </c>
      <c r="C10258" t="s">
        <v>213</v>
      </c>
      <c r="D10258" s="1" t="s">
        <v>13392</v>
      </c>
    </row>
    <row r="10259" spans="1:4" hidden="1" x14ac:dyDescent="0.3">
      <c r="A10259">
        <v>10257</v>
      </c>
      <c r="B10259" t="s">
        <v>13393</v>
      </c>
      <c r="C10259" t="s">
        <v>216</v>
      </c>
      <c r="D10259">
        <v>77084472.253135905</v>
      </c>
    </row>
    <row r="10260" spans="1:4" hidden="1" x14ac:dyDescent="0.3">
      <c r="A10260">
        <v>10258</v>
      </c>
      <c r="B10260" t="s">
        <v>13394</v>
      </c>
      <c r="C10260" t="s">
        <v>218</v>
      </c>
      <c r="D10260">
        <v>38994623.8146661</v>
      </c>
    </row>
    <row r="10261" spans="1:4" hidden="1" x14ac:dyDescent="0.3">
      <c r="A10261">
        <v>10259</v>
      </c>
      <c r="B10261" t="s">
        <v>13395</v>
      </c>
      <c r="C10261" t="s">
        <v>220</v>
      </c>
      <c r="D10261">
        <v>26605064.499124799</v>
      </c>
    </row>
    <row r="10262" spans="1:4" hidden="1" x14ac:dyDescent="0.3">
      <c r="A10262">
        <v>10260</v>
      </c>
      <c r="B10262" s="1" t="s">
        <v>13396</v>
      </c>
      <c r="C10262" t="s">
        <v>222</v>
      </c>
      <c r="D10262" s="1" t="s">
        <v>13397</v>
      </c>
    </row>
    <row r="10263" spans="1:4" hidden="1" x14ac:dyDescent="0.3">
      <c r="A10263">
        <v>10261</v>
      </c>
      <c r="B10263" t="s">
        <v>13398</v>
      </c>
      <c r="C10263" t="s">
        <v>225</v>
      </c>
      <c r="D10263">
        <v>101152025.66009299</v>
      </c>
    </row>
    <row r="10264" spans="1:4" hidden="1" x14ac:dyDescent="0.3">
      <c r="A10264">
        <v>10262</v>
      </c>
      <c r="B10264" t="s">
        <v>13399</v>
      </c>
      <c r="C10264" t="s">
        <v>227</v>
      </c>
      <c r="D10264">
        <v>-2567.9029484391199</v>
      </c>
    </row>
    <row r="10265" spans="1:4" hidden="1" x14ac:dyDescent="0.3">
      <c r="A10265">
        <v>10263</v>
      </c>
      <c r="B10265" s="1" t="s">
        <v>13400</v>
      </c>
      <c r="C10265" t="s">
        <v>229</v>
      </c>
      <c r="D10265" s="1" t="s">
        <v>13401</v>
      </c>
    </row>
    <row r="10266" spans="1:4" hidden="1" x14ac:dyDescent="0.3">
      <c r="A10266">
        <v>10264</v>
      </c>
      <c r="B10266" t="s">
        <v>13402</v>
      </c>
      <c r="C10266" t="s">
        <v>112</v>
      </c>
      <c r="D10266">
        <v>642.09940341941103</v>
      </c>
    </row>
    <row r="10267" spans="1:4" hidden="1" x14ac:dyDescent="0.3">
      <c r="A10267">
        <v>10265</v>
      </c>
      <c r="B10267" t="s">
        <v>13403</v>
      </c>
      <c r="C10267" t="s">
        <v>114</v>
      </c>
      <c r="D10267">
        <v>191.79112380250999</v>
      </c>
    </row>
    <row r="10268" spans="1:4" hidden="1" x14ac:dyDescent="0.3">
      <c r="A10268">
        <v>10266</v>
      </c>
      <c r="B10268" s="1" t="s">
        <v>13404</v>
      </c>
      <c r="C10268" t="s">
        <v>116</v>
      </c>
      <c r="D10268" s="1" t="s">
        <v>13405</v>
      </c>
    </row>
    <row r="10269" spans="1:4" hidden="1" x14ac:dyDescent="0.3">
      <c r="A10269">
        <v>10267</v>
      </c>
      <c r="B10269" t="s">
        <v>13406</v>
      </c>
      <c r="C10269" t="s">
        <v>119</v>
      </c>
      <c r="D10269">
        <v>77084472.253135905</v>
      </c>
    </row>
    <row r="10270" spans="1:4" hidden="1" x14ac:dyDescent="0.3">
      <c r="A10270">
        <v>10268</v>
      </c>
      <c r="B10270" t="s">
        <v>13407</v>
      </c>
      <c r="C10270" t="s">
        <v>121</v>
      </c>
      <c r="D10270">
        <v>38994623.8146661</v>
      </c>
    </row>
    <row r="10271" spans="1:4" hidden="1" x14ac:dyDescent="0.3">
      <c r="A10271">
        <v>10269</v>
      </c>
      <c r="B10271" s="1" t="s">
        <v>13408</v>
      </c>
      <c r="C10271" t="s">
        <v>123</v>
      </c>
      <c r="D10271" s="1" t="s">
        <v>13409</v>
      </c>
    </row>
    <row r="10272" spans="1:4" hidden="1" x14ac:dyDescent="0.3">
      <c r="A10272">
        <v>10270</v>
      </c>
      <c r="B10272" t="s">
        <v>13410</v>
      </c>
      <c r="C10272" t="s">
        <v>126</v>
      </c>
      <c r="D10272">
        <v>0.76176186702149895</v>
      </c>
    </row>
    <row r="10273" spans="1:4" hidden="1" x14ac:dyDescent="0.3">
      <c r="A10273">
        <v>10271</v>
      </c>
      <c r="B10273" t="s">
        <v>13411</v>
      </c>
      <c r="C10273" t="s">
        <v>128</v>
      </c>
      <c r="D10273">
        <v>0.38535150559654502</v>
      </c>
    </row>
    <row r="10274" spans="1:4" hidden="1" x14ac:dyDescent="0.3">
      <c r="A10274">
        <v>10272</v>
      </c>
      <c r="B10274" s="1" t="s">
        <v>13412</v>
      </c>
      <c r="C10274" t="s">
        <v>130</v>
      </c>
      <c r="D10274" s="1" t="s">
        <v>13413</v>
      </c>
    </row>
    <row r="10275" spans="1:4" hidden="1" x14ac:dyDescent="0.3">
      <c r="A10275">
        <v>10273</v>
      </c>
      <c r="B10275" s="1" t="s">
        <v>13414</v>
      </c>
      <c r="C10275" t="s">
        <v>4</v>
      </c>
      <c r="D10275" t="s">
        <v>13415</v>
      </c>
    </row>
    <row r="10276" spans="1:4" hidden="1" x14ac:dyDescent="0.3">
      <c r="A10276">
        <v>10274</v>
      </c>
      <c r="B10276" t="s">
        <v>13416</v>
      </c>
      <c r="C10276" t="s">
        <v>7</v>
      </c>
      <c r="D10276">
        <v>1803.67</v>
      </c>
    </row>
    <row r="10277" spans="1:4" hidden="1" x14ac:dyDescent="0.3">
      <c r="A10277">
        <v>10275</v>
      </c>
      <c r="B10277" s="1" t="s">
        <v>13417</v>
      </c>
      <c r="C10277" t="s">
        <v>9</v>
      </c>
      <c r="D10277" s="1" t="s">
        <v>13418</v>
      </c>
    </row>
    <row r="10278" spans="1:4" hidden="1" x14ac:dyDescent="0.3">
      <c r="A10278">
        <v>10276</v>
      </c>
      <c r="B10278" t="s">
        <v>11453</v>
      </c>
      <c r="C10278" t="s">
        <v>14</v>
      </c>
      <c r="D10278">
        <v>96.984375</v>
      </c>
    </row>
    <row r="10279" spans="1:4" hidden="1" x14ac:dyDescent="0.3">
      <c r="A10279">
        <v>10277</v>
      </c>
      <c r="B10279" t="s">
        <v>13419</v>
      </c>
      <c r="C10279" t="s">
        <v>16</v>
      </c>
      <c r="D10279">
        <v>4.3858694881414397</v>
      </c>
    </row>
    <row r="10280" spans="1:4" hidden="1" x14ac:dyDescent="0.3">
      <c r="A10280">
        <v>10278</v>
      </c>
      <c r="B10280" s="1" t="s">
        <v>13420</v>
      </c>
      <c r="C10280" t="s">
        <v>140</v>
      </c>
      <c r="D10280" s="1" t="s">
        <v>13421</v>
      </c>
    </row>
    <row r="10281" spans="1:4" hidden="1" x14ac:dyDescent="0.3">
      <c r="A10281">
        <v>10279</v>
      </c>
      <c r="B10281" t="s">
        <v>13422</v>
      </c>
      <c r="C10281" t="s">
        <v>22</v>
      </c>
      <c r="D10281">
        <v>66.45</v>
      </c>
    </row>
    <row r="10282" spans="1:4" hidden="1" x14ac:dyDescent="0.3">
      <c r="A10282">
        <v>10280</v>
      </c>
      <c r="B10282" t="s">
        <v>13423</v>
      </c>
      <c r="C10282" t="s">
        <v>24</v>
      </c>
      <c r="D10282">
        <v>6.7130205583083198</v>
      </c>
    </row>
    <row r="10283" spans="1:4" hidden="1" x14ac:dyDescent="0.3">
      <c r="A10283">
        <v>10281</v>
      </c>
      <c r="B10283" s="1" t="s">
        <v>13424</v>
      </c>
      <c r="C10283" t="s">
        <v>145</v>
      </c>
      <c r="D10283" s="1" t="s">
        <v>13425</v>
      </c>
    </row>
    <row r="10284" spans="1:4" hidden="1" x14ac:dyDescent="0.3">
      <c r="A10284">
        <v>10282</v>
      </c>
      <c r="B10284" t="s">
        <v>13426</v>
      </c>
      <c r="C10284" t="s">
        <v>35</v>
      </c>
      <c r="D10284">
        <v>0.113187216330356</v>
      </c>
    </row>
    <row r="10285" spans="1:4" hidden="1" x14ac:dyDescent="0.3">
      <c r="A10285">
        <v>10283</v>
      </c>
      <c r="B10285" t="s">
        <v>13427</v>
      </c>
      <c r="C10285" t="s">
        <v>149</v>
      </c>
      <c r="D10285">
        <v>0.69578465052761895</v>
      </c>
    </row>
    <row r="10286" spans="1:4" hidden="1" x14ac:dyDescent="0.3">
      <c r="A10286">
        <v>10284</v>
      </c>
      <c r="B10286" s="1" t="s">
        <v>13428</v>
      </c>
      <c r="C10286" t="s">
        <v>151</v>
      </c>
      <c r="D10286" s="1" t="s">
        <v>13429</v>
      </c>
    </row>
    <row r="10287" spans="1:4" hidden="1" x14ac:dyDescent="0.3">
      <c r="A10287">
        <v>10285</v>
      </c>
      <c r="B10287" t="s">
        <v>13430</v>
      </c>
      <c r="C10287" t="s">
        <v>30</v>
      </c>
      <c r="D10287">
        <v>0.33824213592618102</v>
      </c>
    </row>
    <row r="10288" spans="1:4" hidden="1" x14ac:dyDescent="0.3">
      <c r="A10288">
        <v>10286</v>
      </c>
      <c r="B10288" t="s">
        <v>13431</v>
      </c>
      <c r="C10288" t="s">
        <v>32</v>
      </c>
      <c r="D10288">
        <v>0.23383337121626999</v>
      </c>
    </row>
    <row r="10289" spans="1:4" hidden="1" x14ac:dyDescent="0.3">
      <c r="A10289">
        <v>10287</v>
      </c>
      <c r="B10289" s="1" t="s">
        <v>13432</v>
      </c>
      <c r="C10289" t="s">
        <v>155</v>
      </c>
      <c r="D10289" s="1" t="s">
        <v>13433</v>
      </c>
    </row>
    <row r="10290" spans="1:4" hidden="1" x14ac:dyDescent="0.3">
      <c r="A10290">
        <v>10288</v>
      </c>
      <c r="B10290" t="s">
        <v>13434</v>
      </c>
      <c r="C10290" t="s">
        <v>40</v>
      </c>
      <c r="D10290">
        <v>0.54857064774346198</v>
      </c>
    </row>
    <row r="10291" spans="1:4" hidden="1" x14ac:dyDescent="0.3">
      <c r="A10291">
        <v>10289</v>
      </c>
      <c r="B10291" t="s">
        <v>13435</v>
      </c>
      <c r="C10291" t="s">
        <v>42</v>
      </c>
      <c r="D10291">
        <v>0.20339293040117901</v>
      </c>
    </row>
    <row r="10292" spans="1:4" hidden="1" x14ac:dyDescent="0.3">
      <c r="A10292">
        <v>10290</v>
      </c>
      <c r="B10292" s="1" t="s">
        <v>13436</v>
      </c>
      <c r="C10292" t="s">
        <v>159</v>
      </c>
      <c r="D10292" s="1" t="s">
        <v>13437</v>
      </c>
    </row>
    <row r="10293" spans="1:4" hidden="1" x14ac:dyDescent="0.3">
      <c r="A10293">
        <v>10291</v>
      </c>
      <c r="B10293" t="s">
        <v>13438</v>
      </c>
      <c r="C10293" t="s">
        <v>161</v>
      </c>
      <c r="D10293">
        <v>1.00804797487243</v>
      </c>
    </row>
    <row r="10294" spans="1:4" hidden="1" x14ac:dyDescent="0.3">
      <c r="A10294">
        <v>10292</v>
      </c>
      <c r="B10294" t="s">
        <v>13439</v>
      </c>
      <c r="C10294" t="s">
        <v>163</v>
      </c>
      <c r="D10294">
        <v>1.0000154323864701</v>
      </c>
    </row>
    <row r="10295" spans="1:4" hidden="1" x14ac:dyDescent="0.3">
      <c r="A10295">
        <v>10293</v>
      </c>
      <c r="B10295" s="1" t="s">
        <v>13440</v>
      </c>
      <c r="C10295" t="s">
        <v>165</v>
      </c>
      <c r="D10295" s="1" t="s">
        <v>13441</v>
      </c>
    </row>
    <row r="10296" spans="1:4" hidden="1" x14ac:dyDescent="0.3">
      <c r="A10296">
        <v>10294</v>
      </c>
      <c r="B10296" t="s">
        <v>13442</v>
      </c>
      <c r="C10296" t="s">
        <v>168</v>
      </c>
      <c r="D10296">
        <v>1.0002187010431201</v>
      </c>
    </row>
    <row r="10297" spans="1:4" hidden="1" x14ac:dyDescent="0.3">
      <c r="A10297">
        <v>10295</v>
      </c>
      <c r="B10297" t="s">
        <v>13443</v>
      </c>
      <c r="C10297" t="s">
        <v>170</v>
      </c>
      <c r="D10297">
        <v>0.99967514987783901</v>
      </c>
    </row>
    <row r="10298" spans="1:4" hidden="1" x14ac:dyDescent="0.3">
      <c r="A10298">
        <v>10296</v>
      </c>
      <c r="B10298" s="1" t="s">
        <v>13444</v>
      </c>
      <c r="C10298" t="s">
        <v>172</v>
      </c>
      <c r="D10298" s="1" t="s">
        <v>13445</v>
      </c>
    </row>
    <row r="10299" spans="1:4" hidden="1" x14ac:dyDescent="0.3">
      <c r="A10299">
        <v>10297</v>
      </c>
      <c r="B10299" s="1" t="s">
        <v>13446</v>
      </c>
      <c r="C10299" t="s">
        <v>55</v>
      </c>
      <c r="D10299" s="1" t="s">
        <v>13447</v>
      </c>
    </row>
    <row r="10300" spans="1:4" hidden="1" x14ac:dyDescent="0.3">
      <c r="A10300">
        <v>10298</v>
      </c>
      <c r="B10300" s="1" t="s">
        <v>13448</v>
      </c>
      <c r="C10300" t="s">
        <v>52</v>
      </c>
      <c r="D10300" s="1" t="s">
        <v>13449</v>
      </c>
    </row>
    <row r="10301" spans="1:4" hidden="1" x14ac:dyDescent="0.3">
      <c r="A10301">
        <v>10299</v>
      </c>
      <c r="B10301" s="1" t="s">
        <v>13450</v>
      </c>
      <c r="C10301" t="s">
        <v>58</v>
      </c>
      <c r="D10301" s="1" t="s">
        <v>13451</v>
      </c>
    </row>
    <row r="10302" spans="1:4" hidden="1" x14ac:dyDescent="0.3">
      <c r="A10302">
        <v>10300</v>
      </c>
      <c r="B10302" t="s">
        <v>13452</v>
      </c>
      <c r="C10302" t="s">
        <v>61</v>
      </c>
      <c r="D10302">
        <v>143397708.16539201</v>
      </c>
    </row>
    <row r="10303" spans="1:4" hidden="1" x14ac:dyDescent="0.3">
      <c r="A10303">
        <v>10301</v>
      </c>
      <c r="B10303" t="s">
        <v>13453</v>
      </c>
      <c r="C10303" t="s">
        <v>63</v>
      </c>
      <c r="D10303">
        <v>77704846.148883998</v>
      </c>
    </row>
    <row r="10304" spans="1:4" hidden="1" x14ac:dyDescent="0.3">
      <c r="A10304">
        <v>10302</v>
      </c>
      <c r="B10304" t="s">
        <v>13454</v>
      </c>
      <c r="C10304" t="s">
        <v>65</v>
      </c>
      <c r="D10304">
        <v>38995225.594771102</v>
      </c>
    </row>
    <row r="10305" spans="1:4" hidden="1" x14ac:dyDescent="0.3">
      <c r="A10305">
        <v>10303</v>
      </c>
      <c r="B10305" s="1" t="s">
        <v>13455</v>
      </c>
      <c r="C10305" t="s">
        <v>67</v>
      </c>
      <c r="D10305" s="1" t="s">
        <v>13456</v>
      </c>
    </row>
    <row r="10306" spans="1:4" hidden="1" x14ac:dyDescent="0.3">
      <c r="A10306">
        <v>10304</v>
      </c>
      <c r="B10306" s="1" t="s">
        <v>13457</v>
      </c>
      <c r="C10306" t="s">
        <v>70</v>
      </c>
      <c r="D10306" s="1" t="s">
        <v>13458</v>
      </c>
    </row>
    <row r="10307" spans="1:4" hidden="1" x14ac:dyDescent="0.3">
      <c r="A10307">
        <v>10305</v>
      </c>
      <c r="B10307" t="s">
        <v>13459</v>
      </c>
      <c r="C10307" t="s">
        <v>73</v>
      </c>
      <c r="D10307">
        <v>1.0003986351207601</v>
      </c>
    </row>
    <row r="10308" spans="1:4" hidden="1" x14ac:dyDescent="0.3">
      <c r="A10308">
        <v>10306</v>
      </c>
      <c r="B10308" t="s">
        <v>74</v>
      </c>
      <c r="C10308" t="s">
        <v>75</v>
      </c>
      <c r="D10308">
        <v>2.7397260273972599E-3</v>
      </c>
    </row>
    <row r="10309" spans="1:4" hidden="1" x14ac:dyDescent="0.3">
      <c r="A10309">
        <v>10307</v>
      </c>
      <c r="B10309" t="s">
        <v>76</v>
      </c>
      <c r="C10309" t="s">
        <v>77</v>
      </c>
      <c r="D10309">
        <v>0</v>
      </c>
    </row>
    <row r="10310" spans="1:4" hidden="1" x14ac:dyDescent="0.3">
      <c r="A10310">
        <v>10308</v>
      </c>
      <c r="B10310" t="s">
        <v>78</v>
      </c>
      <c r="C10310" t="s">
        <v>79</v>
      </c>
      <c r="D10310">
        <v>0</v>
      </c>
    </row>
    <row r="10311" spans="1:4" hidden="1" x14ac:dyDescent="0.3">
      <c r="A10311">
        <v>10309</v>
      </c>
      <c r="B10311" s="1" t="s">
        <v>13460</v>
      </c>
      <c r="C10311" t="s">
        <v>81</v>
      </c>
      <c r="D10311" s="1" t="s">
        <v>13461</v>
      </c>
    </row>
    <row r="10312" spans="1:4" hidden="1" x14ac:dyDescent="0.3">
      <c r="A10312">
        <v>10310</v>
      </c>
      <c r="B10312" t="s">
        <v>13462</v>
      </c>
      <c r="C10312" t="s">
        <v>84</v>
      </c>
      <c r="D10312">
        <v>1.0004300212400099</v>
      </c>
    </row>
    <row r="10313" spans="1:4" hidden="1" x14ac:dyDescent="0.3">
      <c r="A10313">
        <v>10311</v>
      </c>
      <c r="B10313" s="1" t="s">
        <v>13463</v>
      </c>
      <c r="C10313" t="s">
        <v>86</v>
      </c>
      <c r="D10313" s="1" t="s">
        <v>13464</v>
      </c>
    </row>
    <row r="10314" spans="1:4" hidden="1" x14ac:dyDescent="0.3">
      <c r="A10314">
        <v>10312</v>
      </c>
      <c r="B10314" t="s">
        <v>13465</v>
      </c>
      <c r="C10314" t="s">
        <v>89</v>
      </c>
      <c r="D10314">
        <v>101146284.432798</v>
      </c>
    </row>
    <row r="10315" spans="1:4" hidden="1" x14ac:dyDescent="0.3">
      <c r="A10315">
        <v>10313</v>
      </c>
      <c r="B10315" s="1" t="s">
        <v>13466</v>
      </c>
      <c r="C10315" t="s">
        <v>91</v>
      </c>
      <c r="D10315" s="1" t="s">
        <v>13401</v>
      </c>
    </row>
    <row r="10316" spans="1:4" hidden="1" x14ac:dyDescent="0.3">
      <c r="A10316">
        <v>10314</v>
      </c>
      <c r="B10316" t="s">
        <v>13467</v>
      </c>
      <c r="C10316" t="s">
        <v>94</v>
      </c>
      <c r="D10316">
        <v>77704846.148883998</v>
      </c>
    </row>
    <row r="10317" spans="1:4" hidden="1" x14ac:dyDescent="0.3">
      <c r="A10317">
        <v>10315</v>
      </c>
      <c r="B10317" t="s">
        <v>13468</v>
      </c>
      <c r="C10317" t="s">
        <v>96</v>
      </c>
      <c r="D10317">
        <v>38995225.594771102</v>
      </c>
    </row>
    <row r="10318" spans="1:4" hidden="1" x14ac:dyDescent="0.3">
      <c r="A10318">
        <v>10316</v>
      </c>
      <c r="B10318" t="s">
        <v>13469</v>
      </c>
      <c r="C10318" t="s">
        <v>98</v>
      </c>
      <c r="D10318">
        <v>26697636.4217369</v>
      </c>
    </row>
    <row r="10319" spans="1:4" hidden="1" x14ac:dyDescent="0.3">
      <c r="A10319">
        <v>10317</v>
      </c>
      <c r="B10319" s="1" t="s">
        <v>13470</v>
      </c>
      <c r="C10319" t="s">
        <v>100</v>
      </c>
      <c r="D10319" s="1" t="s">
        <v>13471</v>
      </c>
    </row>
    <row r="10320" spans="1:4" hidden="1" x14ac:dyDescent="0.3">
      <c r="A10320">
        <v>10318</v>
      </c>
      <c r="B10320" t="s">
        <v>13472</v>
      </c>
      <c r="C10320" t="s">
        <v>103</v>
      </c>
      <c r="D10320">
        <v>8.1075378148210107E-3</v>
      </c>
    </row>
    <row r="10321" spans="1:4" hidden="1" x14ac:dyDescent="0.3">
      <c r="A10321">
        <v>10319</v>
      </c>
      <c r="B10321" t="s">
        <v>13473</v>
      </c>
      <c r="C10321" t="s">
        <v>105</v>
      </c>
      <c r="D10321">
        <v>1.6670138242269399E-3</v>
      </c>
    </row>
    <row r="10322" spans="1:4" hidden="1" x14ac:dyDescent="0.3">
      <c r="A10322">
        <v>10320</v>
      </c>
      <c r="B10322" t="s">
        <v>13474</v>
      </c>
      <c r="C10322" t="s">
        <v>107</v>
      </c>
      <c r="D10322">
        <v>9.8397724863000108E-3</v>
      </c>
    </row>
    <row r="10323" spans="1:4" hidden="1" x14ac:dyDescent="0.3">
      <c r="A10323">
        <v>10321</v>
      </c>
      <c r="B10323" s="1" t="s">
        <v>13475</v>
      </c>
      <c r="C10323" t="s">
        <v>109</v>
      </c>
      <c r="D10323" s="1" t="s">
        <v>13476</v>
      </c>
    </row>
    <row r="10324" spans="1:4" x14ac:dyDescent="0.3">
      <c r="A10324">
        <v>10322</v>
      </c>
      <c r="B10324" t="s">
        <v>13477</v>
      </c>
      <c r="C10324" t="s">
        <v>207</v>
      </c>
      <c r="D10324">
        <v>143398812.77093601</v>
      </c>
    </row>
    <row r="10325" spans="1:4" hidden="1" x14ac:dyDescent="0.3">
      <c r="A10325">
        <v>10323</v>
      </c>
      <c r="B10325" t="s">
        <v>13478</v>
      </c>
      <c r="C10325" t="s">
        <v>209</v>
      </c>
      <c r="D10325">
        <v>-2437.9058770562601</v>
      </c>
    </row>
    <row r="10326" spans="1:4" hidden="1" x14ac:dyDescent="0.3">
      <c r="A10326">
        <v>10324</v>
      </c>
      <c r="B10326" t="s">
        <v>13479</v>
      </c>
      <c r="C10326" t="s">
        <v>211</v>
      </c>
      <c r="D10326">
        <v>-1223.4284375607299</v>
      </c>
    </row>
    <row r="10327" spans="1:4" hidden="1" x14ac:dyDescent="0.3">
      <c r="A10327">
        <v>10325</v>
      </c>
      <c r="B10327" s="1" t="s">
        <v>13480</v>
      </c>
      <c r="C10327" t="s">
        <v>213</v>
      </c>
      <c r="D10327" s="1" t="s">
        <v>13481</v>
      </c>
    </row>
    <row r="10328" spans="1:4" hidden="1" x14ac:dyDescent="0.3">
      <c r="A10328">
        <v>10326</v>
      </c>
      <c r="B10328" t="s">
        <v>13482</v>
      </c>
      <c r="C10328" t="s">
        <v>216</v>
      </c>
      <c r="D10328">
        <v>77708053.3279645</v>
      </c>
    </row>
    <row r="10329" spans="1:4" hidden="1" x14ac:dyDescent="0.3">
      <c r="A10329">
        <v>10327</v>
      </c>
      <c r="B10329" t="s">
        <v>13483</v>
      </c>
      <c r="C10329" t="s">
        <v>218</v>
      </c>
      <c r="D10329">
        <v>38996682.834906399</v>
      </c>
    </row>
    <row r="10330" spans="1:4" hidden="1" x14ac:dyDescent="0.3">
      <c r="A10330">
        <v>10328</v>
      </c>
      <c r="B10330" t="s">
        <v>13484</v>
      </c>
      <c r="C10330" t="s">
        <v>220</v>
      </c>
      <c r="D10330">
        <v>26698575.546868499</v>
      </c>
    </row>
    <row r="10331" spans="1:4" hidden="1" x14ac:dyDescent="0.3">
      <c r="A10331">
        <v>10329</v>
      </c>
      <c r="B10331" s="1" t="s">
        <v>13485</v>
      </c>
      <c r="C10331" t="s">
        <v>222</v>
      </c>
      <c r="D10331" s="1" t="s">
        <v>13486</v>
      </c>
    </row>
    <row r="10332" spans="1:4" hidden="1" x14ac:dyDescent="0.3">
      <c r="A10332">
        <v>10330</v>
      </c>
      <c r="B10332" t="s">
        <v>13487</v>
      </c>
      <c r="C10332" t="s">
        <v>225</v>
      </c>
      <c r="D10332">
        <v>101149457.757145</v>
      </c>
    </row>
    <row r="10333" spans="1:4" hidden="1" x14ac:dyDescent="0.3">
      <c r="A10333">
        <v>10331</v>
      </c>
      <c r="B10333" t="s">
        <v>13488</v>
      </c>
      <c r="C10333" t="s">
        <v>227</v>
      </c>
      <c r="D10333">
        <v>-3173.3243462741302</v>
      </c>
    </row>
    <row r="10334" spans="1:4" hidden="1" x14ac:dyDescent="0.3">
      <c r="A10334">
        <v>10332</v>
      </c>
      <c r="B10334" s="1" t="s">
        <v>13489</v>
      </c>
      <c r="C10334" t="s">
        <v>229</v>
      </c>
      <c r="D10334" s="1" t="s">
        <v>13490</v>
      </c>
    </row>
    <row r="10335" spans="1:4" hidden="1" x14ac:dyDescent="0.3">
      <c r="A10335">
        <v>10333</v>
      </c>
      <c r="B10335" t="s">
        <v>13491</v>
      </c>
      <c r="C10335" t="s">
        <v>112</v>
      </c>
      <c r="D10335">
        <v>769.27320343319798</v>
      </c>
    </row>
    <row r="10336" spans="1:4" hidden="1" x14ac:dyDescent="0.3">
      <c r="A10336">
        <v>10334</v>
      </c>
      <c r="B10336" t="s">
        <v>13492</v>
      </c>
      <c r="C10336" t="s">
        <v>114</v>
      </c>
      <c r="D10336">
        <v>233.81169767478301</v>
      </c>
    </row>
    <row r="10337" spans="1:4" hidden="1" x14ac:dyDescent="0.3">
      <c r="A10337">
        <v>10335</v>
      </c>
      <c r="B10337" s="1" t="s">
        <v>13493</v>
      </c>
      <c r="C10337" t="s">
        <v>116</v>
      </c>
      <c r="D10337" s="1" t="s">
        <v>13494</v>
      </c>
    </row>
    <row r="10338" spans="1:4" hidden="1" x14ac:dyDescent="0.3">
      <c r="A10338">
        <v>10336</v>
      </c>
      <c r="B10338" t="s">
        <v>13495</v>
      </c>
      <c r="C10338" t="s">
        <v>119</v>
      </c>
      <c r="D10338">
        <v>77708053.3279645</v>
      </c>
    </row>
    <row r="10339" spans="1:4" hidden="1" x14ac:dyDescent="0.3">
      <c r="A10339">
        <v>10337</v>
      </c>
      <c r="B10339" t="s">
        <v>13496</v>
      </c>
      <c r="C10339" t="s">
        <v>121</v>
      </c>
      <c r="D10339">
        <v>38996682.834906399</v>
      </c>
    </row>
    <row r="10340" spans="1:4" hidden="1" x14ac:dyDescent="0.3">
      <c r="A10340">
        <v>10338</v>
      </c>
      <c r="B10340" s="1" t="s">
        <v>13497</v>
      </c>
      <c r="C10340" t="s">
        <v>123</v>
      </c>
      <c r="D10340" s="1" t="s">
        <v>13498</v>
      </c>
    </row>
    <row r="10341" spans="1:4" hidden="1" x14ac:dyDescent="0.3">
      <c r="A10341">
        <v>10339</v>
      </c>
      <c r="B10341" t="s">
        <v>13499</v>
      </c>
      <c r="C10341" t="s">
        <v>126</v>
      </c>
      <c r="D10341">
        <v>0.76791960431926698</v>
      </c>
    </row>
    <row r="10342" spans="1:4" hidden="1" x14ac:dyDescent="0.3">
      <c r="A10342">
        <v>10340</v>
      </c>
      <c r="B10342" t="s">
        <v>13500</v>
      </c>
      <c r="C10342" t="s">
        <v>128</v>
      </c>
      <c r="D10342">
        <v>0.38536954626771702</v>
      </c>
    </row>
    <row r="10343" spans="1:4" hidden="1" x14ac:dyDescent="0.3">
      <c r="A10343">
        <v>10341</v>
      </c>
      <c r="B10343" s="1" t="s">
        <v>13501</v>
      </c>
      <c r="C10343" t="s">
        <v>130</v>
      </c>
      <c r="D10343" s="1" t="s">
        <v>13502</v>
      </c>
    </row>
    <row r="10344" spans="1:4" hidden="1" x14ac:dyDescent="0.3">
      <c r="A10344">
        <v>10342</v>
      </c>
      <c r="B10344" s="1" t="s">
        <v>13503</v>
      </c>
      <c r="C10344" t="s">
        <v>4</v>
      </c>
      <c r="D10344" t="s">
        <v>13504</v>
      </c>
    </row>
    <row r="10345" spans="1:4" hidden="1" x14ac:dyDescent="0.3">
      <c r="A10345">
        <v>10343</v>
      </c>
      <c r="B10345" t="s">
        <v>13505</v>
      </c>
      <c r="C10345" t="s">
        <v>7</v>
      </c>
      <c r="D10345">
        <v>1808.81</v>
      </c>
    </row>
    <row r="10346" spans="1:4" hidden="1" x14ac:dyDescent="0.3">
      <c r="A10346">
        <v>10344</v>
      </c>
      <c r="B10346" s="1" t="s">
        <v>13506</v>
      </c>
      <c r="C10346" t="s">
        <v>9</v>
      </c>
      <c r="D10346" s="1" t="s">
        <v>13507</v>
      </c>
    </row>
    <row r="10347" spans="1:4" hidden="1" x14ac:dyDescent="0.3">
      <c r="A10347">
        <v>10345</v>
      </c>
      <c r="B10347" t="s">
        <v>13508</v>
      </c>
      <c r="C10347" t="s">
        <v>14</v>
      </c>
      <c r="D10347">
        <v>96.8984375</v>
      </c>
    </row>
    <row r="10348" spans="1:4" hidden="1" x14ac:dyDescent="0.3">
      <c r="A10348">
        <v>10346</v>
      </c>
      <c r="B10348" t="s">
        <v>13509</v>
      </c>
      <c r="C10348" t="s">
        <v>16</v>
      </c>
      <c r="D10348">
        <v>4.3828444704710501</v>
      </c>
    </row>
    <row r="10349" spans="1:4" hidden="1" x14ac:dyDescent="0.3">
      <c r="A10349">
        <v>10347</v>
      </c>
      <c r="B10349" s="1" t="s">
        <v>13510</v>
      </c>
      <c r="C10349" t="s">
        <v>140</v>
      </c>
      <c r="D10349" s="1" t="s">
        <v>13511</v>
      </c>
    </row>
    <row r="10350" spans="1:4" hidden="1" x14ac:dyDescent="0.3">
      <c r="A10350">
        <v>10348</v>
      </c>
      <c r="B10350" t="s">
        <v>8678</v>
      </c>
      <c r="C10350" t="s">
        <v>22</v>
      </c>
      <c r="D10350">
        <v>66.75</v>
      </c>
    </row>
    <row r="10351" spans="1:4" hidden="1" x14ac:dyDescent="0.3">
      <c r="A10351">
        <v>10349</v>
      </c>
      <c r="B10351" t="s">
        <v>13512</v>
      </c>
      <c r="C10351" t="s">
        <v>24</v>
      </c>
      <c r="D10351">
        <v>6.6751899482465902</v>
      </c>
    </row>
    <row r="10352" spans="1:4" hidden="1" x14ac:dyDescent="0.3">
      <c r="A10352">
        <v>10350</v>
      </c>
      <c r="B10352" s="1" t="s">
        <v>13513</v>
      </c>
      <c r="C10352" t="s">
        <v>145</v>
      </c>
      <c r="D10352" s="1" t="s">
        <v>13514</v>
      </c>
    </row>
    <row r="10353" spans="1:4" hidden="1" x14ac:dyDescent="0.3">
      <c r="A10353">
        <v>10351</v>
      </c>
      <c r="B10353" t="s">
        <v>13515</v>
      </c>
      <c r="C10353" t="s">
        <v>35</v>
      </c>
      <c r="D10353">
        <v>-1.1055955891467599</v>
      </c>
    </row>
    <row r="10354" spans="1:4" hidden="1" x14ac:dyDescent="0.3">
      <c r="A10354">
        <v>10352</v>
      </c>
      <c r="B10354" t="s">
        <v>13516</v>
      </c>
      <c r="C10354" t="s">
        <v>149</v>
      </c>
      <c r="D10354">
        <v>0.69574357760136196</v>
      </c>
    </row>
    <row r="10355" spans="1:4" hidden="1" x14ac:dyDescent="0.3">
      <c r="A10355">
        <v>10353</v>
      </c>
      <c r="B10355" s="1" t="s">
        <v>13517</v>
      </c>
      <c r="C10355" t="s">
        <v>151</v>
      </c>
      <c r="D10355" s="1" t="s">
        <v>13518</v>
      </c>
    </row>
    <row r="10356" spans="1:4" hidden="1" x14ac:dyDescent="0.3">
      <c r="A10356">
        <v>10354</v>
      </c>
      <c r="B10356" t="s">
        <v>13519</v>
      </c>
      <c r="C10356" t="s">
        <v>30</v>
      </c>
      <c r="D10356">
        <v>0.81281882769289604</v>
      </c>
    </row>
    <row r="10357" spans="1:4" hidden="1" x14ac:dyDescent="0.3">
      <c r="A10357">
        <v>10355</v>
      </c>
      <c r="B10357" t="s">
        <v>13520</v>
      </c>
      <c r="C10357" t="s">
        <v>32</v>
      </c>
      <c r="D10357">
        <v>0.23278810315857901</v>
      </c>
    </row>
    <row r="10358" spans="1:4" hidden="1" x14ac:dyDescent="0.3">
      <c r="A10358">
        <v>10356</v>
      </c>
      <c r="B10358" s="1" t="s">
        <v>13521</v>
      </c>
      <c r="C10358" t="s">
        <v>155</v>
      </c>
      <c r="D10358" s="1" t="s">
        <v>13522</v>
      </c>
    </row>
    <row r="10359" spans="1:4" hidden="1" x14ac:dyDescent="0.3">
      <c r="A10359">
        <v>10357</v>
      </c>
      <c r="B10359" t="s">
        <v>13523</v>
      </c>
      <c r="C10359" t="s">
        <v>40</v>
      </c>
      <c r="D10359">
        <v>1.2927767614538701</v>
      </c>
    </row>
    <row r="10360" spans="1:4" hidden="1" x14ac:dyDescent="0.3">
      <c r="A10360">
        <v>10358</v>
      </c>
      <c r="B10360" t="s">
        <v>13524</v>
      </c>
      <c r="C10360" t="s">
        <v>42</v>
      </c>
      <c r="D10360">
        <v>0.20452304450244299</v>
      </c>
    </row>
    <row r="10361" spans="1:4" hidden="1" x14ac:dyDescent="0.3">
      <c r="A10361">
        <v>10359</v>
      </c>
      <c r="B10361" s="1" t="s">
        <v>13525</v>
      </c>
      <c r="C10361" t="s">
        <v>159</v>
      </c>
      <c r="D10361" s="1" t="s">
        <v>13526</v>
      </c>
    </row>
    <row r="10362" spans="1:4" hidden="1" x14ac:dyDescent="0.3">
      <c r="A10362">
        <v>10360</v>
      </c>
      <c r="B10362" t="s">
        <v>13527</v>
      </c>
      <c r="C10362" t="s">
        <v>161</v>
      </c>
      <c r="D10362">
        <v>1.0028497452416401</v>
      </c>
    </row>
    <row r="10363" spans="1:4" hidden="1" x14ac:dyDescent="0.3">
      <c r="A10363">
        <v>10361</v>
      </c>
      <c r="B10363" t="s">
        <v>13528</v>
      </c>
      <c r="C10363" t="s">
        <v>163</v>
      </c>
      <c r="D10363">
        <v>0.99912240008772202</v>
      </c>
    </row>
    <row r="10364" spans="1:4" hidden="1" x14ac:dyDescent="0.3">
      <c r="A10364">
        <v>10362</v>
      </c>
      <c r="B10364" s="1" t="s">
        <v>13529</v>
      </c>
      <c r="C10364" t="s">
        <v>165</v>
      </c>
      <c r="D10364" s="1" t="s">
        <v>13530</v>
      </c>
    </row>
    <row r="10365" spans="1:4" hidden="1" x14ac:dyDescent="0.3">
      <c r="A10365">
        <v>10363</v>
      </c>
      <c r="B10365" t="s">
        <v>13531</v>
      </c>
      <c r="C10365" t="s">
        <v>168</v>
      </c>
      <c r="D10365">
        <v>0.99997577939731597</v>
      </c>
    </row>
    <row r="10366" spans="1:4" hidden="1" x14ac:dyDescent="0.3">
      <c r="A10366">
        <v>10364</v>
      </c>
      <c r="B10366" t="s">
        <v>13532</v>
      </c>
      <c r="C10366" t="s">
        <v>170</v>
      </c>
      <c r="D10366">
        <v>0.99915282883242096</v>
      </c>
    </row>
    <row r="10367" spans="1:4" hidden="1" x14ac:dyDescent="0.3">
      <c r="A10367">
        <v>10365</v>
      </c>
      <c r="B10367" s="1" t="s">
        <v>13533</v>
      </c>
      <c r="C10367" t="s">
        <v>172</v>
      </c>
      <c r="D10367" s="1" t="s">
        <v>13534</v>
      </c>
    </row>
    <row r="10368" spans="1:4" hidden="1" x14ac:dyDescent="0.3">
      <c r="A10368">
        <v>10366</v>
      </c>
      <c r="B10368" s="1" t="s">
        <v>13535</v>
      </c>
      <c r="C10368" t="s">
        <v>55</v>
      </c>
      <c r="D10368" s="1" t="s">
        <v>13536</v>
      </c>
    </row>
    <row r="10369" spans="1:4" hidden="1" x14ac:dyDescent="0.3">
      <c r="A10369">
        <v>10367</v>
      </c>
      <c r="B10369" s="1" t="s">
        <v>13537</v>
      </c>
      <c r="C10369" t="s">
        <v>52</v>
      </c>
      <c r="D10369" s="1" t="s">
        <v>13538</v>
      </c>
    </row>
    <row r="10370" spans="1:4" hidden="1" x14ac:dyDescent="0.3">
      <c r="A10370">
        <v>10368</v>
      </c>
      <c r="B10370" s="1" t="s">
        <v>13539</v>
      </c>
      <c r="C10370" t="s">
        <v>58</v>
      </c>
      <c r="D10370" s="1" t="s">
        <v>13540</v>
      </c>
    </row>
    <row r="10371" spans="1:4" hidden="1" x14ac:dyDescent="0.3">
      <c r="A10371">
        <v>10369</v>
      </c>
      <c r="B10371" t="s">
        <v>13541</v>
      </c>
      <c r="C10371" t="s">
        <v>61</v>
      </c>
      <c r="D10371">
        <v>143686206.96842399</v>
      </c>
    </row>
    <row r="10372" spans="1:4" hidden="1" x14ac:dyDescent="0.3">
      <c r="A10372">
        <v>10370</v>
      </c>
      <c r="B10372" t="s">
        <v>13542</v>
      </c>
      <c r="C10372" t="s">
        <v>63</v>
      </c>
      <c r="D10372">
        <v>77929501.4831734</v>
      </c>
    </row>
    <row r="10373" spans="1:4" hidden="1" x14ac:dyDescent="0.3">
      <c r="A10373">
        <v>10371</v>
      </c>
      <c r="B10373" t="s">
        <v>13543</v>
      </c>
      <c r="C10373" t="s">
        <v>65</v>
      </c>
      <c r="D10373">
        <v>38962459.349471301</v>
      </c>
    </row>
    <row r="10374" spans="1:4" hidden="1" x14ac:dyDescent="0.3">
      <c r="A10374">
        <v>10372</v>
      </c>
      <c r="B10374" s="1" t="s">
        <v>13544</v>
      </c>
      <c r="C10374" t="s">
        <v>67</v>
      </c>
      <c r="D10374" s="1" t="s">
        <v>13545</v>
      </c>
    </row>
    <row r="10375" spans="1:4" hidden="1" x14ac:dyDescent="0.3">
      <c r="A10375">
        <v>10373</v>
      </c>
      <c r="B10375" s="1" t="s">
        <v>13546</v>
      </c>
      <c r="C10375" t="s">
        <v>70</v>
      </c>
      <c r="D10375" s="1" t="s">
        <v>13547</v>
      </c>
    </row>
    <row r="10376" spans="1:4" hidden="1" x14ac:dyDescent="0.3">
      <c r="A10376">
        <v>10374</v>
      </c>
      <c r="B10376" t="s">
        <v>13548</v>
      </c>
      <c r="C10376" t="s">
        <v>73</v>
      </c>
      <c r="D10376">
        <v>1.0004300212400099</v>
      </c>
    </row>
    <row r="10377" spans="1:4" hidden="1" x14ac:dyDescent="0.3">
      <c r="A10377">
        <v>10375</v>
      </c>
      <c r="B10377" t="s">
        <v>74</v>
      </c>
      <c r="C10377" t="s">
        <v>75</v>
      </c>
      <c r="D10377">
        <v>2.7397260273972599E-3</v>
      </c>
    </row>
    <row r="10378" spans="1:4" hidden="1" x14ac:dyDescent="0.3">
      <c r="A10378">
        <v>10376</v>
      </c>
      <c r="B10378" t="s">
        <v>76</v>
      </c>
      <c r="C10378" t="s">
        <v>77</v>
      </c>
      <c r="D10378">
        <v>0</v>
      </c>
    </row>
    <row r="10379" spans="1:4" hidden="1" x14ac:dyDescent="0.3">
      <c r="A10379">
        <v>10377</v>
      </c>
      <c r="B10379" t="s">
        <v>78</v>
      </c>
      <c r="C10379" t="s">
        <v>79</v>
      </c>
      <c r="D10379">
        <v>0</v>
      </c>
    </row>
    <row r="10380" spans="1:4" hidden="1" x14ac:dyDescent="0.3">
      <c r="A10380">
        <v>10378</v>
      </c>
      <c r="B10380" s="1" t="s">
        <v>13549</v>
      </c>
      <c r="C10380" t="s">
        <v>81</v>
      </c>
      <c r="D10380" s="1" t="s">
        <v>13550</v>
      </c>
    </row>
    <row r="10381" spans="1:4" hidden="1" x14ac:dyDescent="0.3">
      <c r="A10381">
        <v>10379</v>
      </c>
      <c r="B10381" t="s">
        <v>13551</v>
      </c>
      <c r="C10381" t="s">
        <v>84</v>
      </c>
      <c r="D10381">
        <v>1.00043767166506</v>
      </c>
    </row>
    <row r="10382" spans="1:4" hidden="1" x14ac:dyDescent="0.3">
      <c r="A10382">
        <v>10380</v>
      </c>
      <c r="B10382" s="1" t="s">
        <v>13552</v>
      </c>
      <c r="C10382" t="s">
        <v>86</v>
      </c>
      <c r="D10382" s="1" t="s">
        <v>13553</v>
      </c>
    </row>
    <row r="10383" spans="1:4" hidden="1" x14ac:dyDescent="0.3">
      <c r="A10383">
        <v>10381</v>
      </c>
      <c r="B10383" t="s">
        <v>13554</v>
      </c>
      <c r="C10383" t="s">
        <v>89</v>
      </c>
      <c r="D10383">
        <v>101145510.95925801</v>
      </c>
    </row>
    <row r="10384" spans="1:4" hidden="1" x14ac:dyDescent="0.3">
      <c r="A10384">
        <v>10382</v>
      </c>
      <c r="B10384" s="1" t="s">
        <v>13555</v>
      </c>
      <c r="C10384" t="s">
        <v>91</v>
      </c>
      <c r="D10384" s="1" t="s">
        <v>13490</v>
      </c>
    </row>
    <row r="10385" spans="1:4" hidden="1" x14ac:dyDescent="0.3">
      <c r="A10385">
        <v>10383</v>
      </c>
      <c r="B10385" t="s">
        <v>13556</v>
      </c>
      <c r="C10385" t="s">
        <v>94</v>
      </c>
      <c r="D10385">
        <v>77929501.4831734</v>
      </c>
    </row>
    <row r="10386" spans="1:4" hidden="1" x14ac:dyDescent="0.3">
      <c r="A10386">
        <v>10384</v>
      </c>
      <c r="B10386" t="s">
        <v>13557</v>
      </c>
      <c r="C10386" t="s">
        <v>96</v>
      </c>
      <c r="D10386">
        <v>38962459.349471301</v>
      </c>
    </row>
    <row r="10387" spans="1:4" hidden="1" x14ac:dyDescent="0.3">
      <c r="A10387">
        <v>10385</v>
      </c>
      <c r="B10387" t="s">
        <v>13558</v>
      </c>
      <c r="C10387" t="s">
        <v>98</v>
      </c>
      <c r="D10387">
        <v>26794246.135779802</v>
      </c>
    </row>
    <row r="10388" spans="1:4" hidden="1" x14ac:dyDescent="0.3">
      <c r="A10388">
        <v>10386</v>
      </c>
      <c r="B10388" s="1" t="s">
        <v>13559</v>
      </c>
      <c r="C10388" t="s">
        <v>100</v>
      </c>
      <c r="D10388" s="1" t="s">
        <v>13560</v>
      </c>
    </row>
    <row r="10389" spans="1:4" hidden="1" x14ac:dyDescent="0.3">
      <c r="A10389">
        <v>10387</v>
      </c>
      <c r="B10389" t="s">
        <v>13561</v>
      </c>
      <c r="C10389" t="s">
        <v>103</v>
      </c>
      <c r="D10389">
        <v>8.1475800067367602E-3</v>
      </c>
    </row>
    <row r="10390" spans="1:4" hidden="1" x14ac:dyDescent="0.3">
      <c r="A10390">
        <v>10388</v>
      </c>
      <c r="B10390" t="s">
        <v>13562</v>
      </c>
      <c r="C10390" t="s">
        <v>105</v>
      </c>
      <c r="D10390">
        <v>1.66422271092056E-3</v>
      </c>
    </row>
    <row r="10391" spans="1:4" hidden="1" x14ac:dyDescent="0.3">
      <c r="A10391">
        <v>10389</v>
      </c>
      <c r="B10391" t="s">
        <v>13563</v>
      </c>
      <c r="C10391" t="s">
        <v>107</v>
      </c>
      <c r="D10391">
        <v>9.8388905740150398E-3</v>
      </c>
    </row>
    <row r="10392" spans="1:4" hidden="1" x14ac:dyDescent="0.3">
      <c r="A10392">
        <v>10390</v>
      </c>
      <c r="B10392" s="1" t="s">
        <v>13564</v>
      </c>
      <c r="C10392" t="s">
        <v>109</v>
      </c>
      <c r="D10392" s="1" t="s">
        <v>13565</v>
      </c>
    </row>
    <row r="10393" spans="1:4" x14ac:dyDescent="0.3">
      <c r="A10393">
        <v>10391</v>
      </c>
      <c r="B10393" t="s">
        <v>13566</v>
      </c>
      <c r="C10393" t="s">
        <v>207</v>
      </c>
      <c r="D10393">
        <v>143686476.36934701</v>
      </c>
    </row>
    <row r="10394" spans="1:4" hidden="1" x14ac:dyDescent="0.3">
      <c r="A10394">
        <v>10392</v>
      </c>
      <c r="B10394" t="s">
        <v>13567</v>
      </c>
      <c r="C10394" t="s">
        <v>209</v>
      </c>
      <c r="D10394">
        <v>-595.93903123796201</v>
      </c>
    </row>
    <row r="10395" spans="1:4" hidden="1" x14ac:dyDescent="0.3">
      <c r="A10395">
        <v>10393</v>
      </c>
      <c r="B10395" t="s">
        <v>13568</v>
      </c>
      <c r="C10395" t="s">
        <v>211</v>
      </c>
      <c r="D10395">
        <v>-297.95168441395703</v>
      </c>
    </row>
    <row r="10396" spans="1:4" hidden="1" x14ac:dyDescent="0.3">
      <c r="A10396">
        <v>10394</v>
      </c>
      <c r="B10396" s="1" t="s">
        <v>13569</v>
      </c>
      <c r="C10396" t="s">
        <v>213</v>
      </c>
      <c r="D10396" s="1" t="s">
        <v>13570</v>
      </c>
    </row>
    <row r="10397" spans="1:4" hidden="1" x14ac:dyDescent="0.3">
      <c r="A10397">
        <v>10395</v>
      </c>
      <c r="B10397" t="s">
        <v>13571</v>
      </c>
      <c r="C10397" t="s">
        <v>216</v>
      </c>
      <c r="D10397">
        <v>77930291.844861001</v>
      </c>
    </row>
    <row r="10398" spans="1:4" hidden="1" x14ac:dyDescent="0.3">
      <c r="A10398">
        <v>10396</v>
      </c>
      <c r="B10398" t="s">
        <v>13572</v>
      </c>
      <c r="C10398" t="s">
        <v>218</v>
      </c>
      <c r="D10398">
        <v>38962814.155355997</v>
      </c>
    </row>
    <row r="10399" spans="1:4" hidden="1" x14ac:dyDescent="0.3">
      <c r="A10399">
        <v>10397</v>
      </c>
      <c r="B10399" t="s">
        <v>13573</v>
      </c>
      <c r="C10399" t="s">
        <v>220</v>
      </c>
      <c r="D10399">
        <v>26794469.159245599</v>
      </c>
    </row>
    <row r="10400" spans="1:4" hidden="1" x14ac:dyDescent="0.3">
      <c r="A10400">
        <v>10398</v>
      </c>
      <c r="B10400" s="1" t="s">
        <v>13574</v>
      </c>
      <c r="C10400" t="s">
        <v>222</v>
      </c>
      <c r="D10400" s="1" t="s">
        <v>13575</v>
      </c>
    </row>
    <row r="10401" spans="1:4" hidden="1" x14ac:dyDescent="0.3">
      <c r="A10401">
        <v>10399</v>
      </c>
      <c r="B10401" t="s">
        <v>13576</v>
      </c>
      <c r="C10401" t="s">
        <v>225</v>
      </c>
      <c r="D10401">
        <v>101146284.432798</v>
      </c>
    </row>
    <row r="10402" spans="1:4" hidden="1" x14ac:dyDescent="0.3">
      <c r="A10402">
        <v>10400</v>
      </c>
      <c r="B10402" t="s">
        <v>13577</v>
      </c>
      <c r="C10402" t="s">
        <v>227</v>
      </c>
      <c r="D10402">
        <v>-773.47354066371895</v>
      </c>
    </row>
    <row r="10403" spans="1:4" hidden="1" x14ac:dyDescent="0.3">
      <c r="A10403">
        <v>10401</v>
      </c>
      <c r="B10403" s="1" t="s">
        <v>13578</v>
      </c>
      <c r="C10403" t="s">
        <v>229</v>
      </c>
      <c r="D10403" s="1" t="s">
        <v>13579</v>
      </c>
    </row>
    <row r="10404" spans="1:4" hidden="1" x14ac:dyDescent="0.3">
      <c r="A10404">
        <v>10402</v>
      </c>
      <c r="B10404" t="s">
        <v>13580</v>
      </c>
      <c r="C10404" t="s">
        <v>112</v>
      </c>
      <c r="D10404">
        <v>194.42265637380899</v>
      </c>
    </row>
    <row r="10405" spans="1:4" hidden="1" x14ac:dyDescent="0.3">
      <c r="A10405">
        <v>10403</v>
      </c>
      <c r="B10405" t="s">
        <v>13581</v>
      </c>
      <c r="C10405" t="s">
        <v>114</v>
      </c>
      <c r="D10405">
        <v>56.854200253634801</v>
      </c>
    </row>
    <row r="10406" spans="1:4" hidden="1" x14ac:dyDescent="0.3">
      <c r="A10406">
        <v>10404</v>
      </c>
      <c r="B10406" s="1" t="s">
        <v>13582</v>
      </c>
      <c r="C10406" t="s">
        <v>116</v>
      </c>
      <c r="D10406" s="1" t="s">
        <v>13583</v>
      </c>
    </row>
    <row r="10407" spans="1:4" hidden="1" x14ac:dyDescent="0.3">
      <c r="A10407">
        <v>10405</v>
      </c>
      <c r="B10407" t="s">
        <v>13584</v>
      </c>
      <c r="C10407" t="s">
        <v>119</v>
      </c>
      <c r="D10407">
        <v>77930291.844861001</v>
      </c>
    </row>
    <row r="10408" spans="1:4" hidden="1" x14ac:dyDescent="0.3">
      <c r="A10408">
        <v>10406</v>
      </c>
      <c r="B10408" t="s">
        <v>13585</v>
      </c>
      <c r="C10408" t="s">
        <v>121</v>
      </c>
      <c r="D10408">
        <v>38962814.155355997</v>
      </c>
    </row>
    <row r="10409" spans="1:4" hidden="1" x14ac:dyDescent="0.3">
      <c r="A10409">
        <v>10407</v>
      </c>
      <c r="B10409" s="1" t="s">
        <v>13586</v>
      </c>
      <c r="C10409" t="s">
        <v>123</v>
      </c>
      <c r="D10409" s="1" t="s">
        <v>13587</v>
      </c>
    </row>
    <row r="10410" spans="1:4" hidden="1" x14ac:dyDescent="0.3">
      <c r="A10410">
        <v>10408</v>
      </c>
      <c r="B10410" t="s">
        <v>13588</v>
      </c>
      <c r="C10410" t="s">
        <v>126</v>
      </c>
      <c r="D10410">
        <v>0.77013406199361101</v>
      </c>
    </row>
    <row r="10411" spans="1:4" hidden="1" x14ac:dyDescent="0.3">
      <c r="A10411">
        <v>10409</v>
      </c>
      <c r="B10411" t="s">
        <v>13589</v>
      </c>
      <c r="C10411" t="s">
        <v>128</v>
      </c>
      <c r="D10411">
        <v>0.38504398766915698</v>
      </c>
    </row>
    <row r="10412" spans="1:4" hidden="1" x14ac:dyDescent="0.3">
      <c r="A10412">
        <v>10410</v>
      </c>
      <c r="B10412" s="1" t="s">
        <v>13590</v>
      </c>
      <c r="C10412" t="s">
        <v>130</v>
      </c>
      <c r="D10412" s="1" t="s">
        <v>13591</v>
      </c>
    </row>
    <row r="10413" spans="1:4" hidden="1" x14ac:dyDescent="0.3">
      <c r="A10413">
        <v>10411</v>
      </c>
      <c r="B10413" s="1" t="s">
        <v>13592</v>
      </c>
      <c r="C10413" t="s">
        <v>4</v>
      </c>
      <c r="D10413" t="s">
        <v>13593</v>
      </c>
    </row>
    <row r="10414" spans="1:4" hidden="1" x14ac:dyDescent="0.3">
      <c r="A10414">
        <v>10412</v>
      </c>
      <c r="B10414" t="s">
        <v>13594</v>
      </c>
      <c r="C10414" t="s">
        <v>7</v>
      </c>
      <c r="D10414">
        <v>1806.18</v>
      </c>
    </row>
    <row r="10415" spans="1:4" hidden="1" x14ac:dyDescent="0.3">
      <c r="A10415">
        <v>10413</v>
      </c>
      <c r="B10415" s="1" t="s">
        <v>13595</v>
      </c>
      <c r="C10415" t="s">
        <v>9</v>
      </c>
      <c r="D10415" s="1" t="s">
        <v>13596</v>
      </c>
    </row>
    <row r="10416" spans="1:4" hidden="1" x14ac:dyDescent="0.3">
      <c r="A10416">
        <v>10414</v>
      </c>
      <c r="B10416" t="s">
        <v>13597</v>
      </c>
      <c r="C10416" t="s">
        <v>14</v>
      </c>
      <c r="D10416">
        <v>96.88671875</v>
      </c>
    </row>
    <row r="10417" spans="1:4" hidden="1" x14ac:dyDescent="0.3">
      <c r="A10417">
        <v>10415</v>
      </c>
      <c r="B10417" t="s">
        <v>13598</v>
      </c>
      <c r="C10417" t="s">
        <v>16</v>
      </c>
      <c r="D10417">
        <v>4.3836400250273799</v>
      </c>
    </row>
    <row r="10418" spans="1:4" hidden="1" x14ac:dyDescent="0.3">
      <c r="A10418">
        <v>10416</v>
      </c>
      <c r="B10418" s="1" t="s">
        <v>13599</v>
      </c>
      <c r="C10418" t="s">
        <v>140</v>
      </c>
      <c r="D10418" s="1" t="s">
        <v>13600</v>
      </c>
    </row>
    <row r="10419" spans="1:4" hidden="1" x14ac:dyDescent="0.3">
      <c r="A10419">
        <v>10417</v>
      </c>
      <c r="B10419" t="s">
        <v>9665</v>
      </c>
      <c r="C10419" t="s">
        <v>22</v>
      </c>
      <c r="D10419">
        <v>67.900000000000006</v>
      </c>
    </row>
    <row r="10420" spans="1:4" hidden="1" x14ac:dyDescent="0.3">
      <c r="A10420">
        <v>10418</v>
      </c>
      <c r="B10420" t="s">
        <v>13601</v>
      </c>
      <c r="C10420" t="s">
        <v>24</v>
      </c>
      <c r="D10420">
        <v>6.6215412096317099</v>
      </c>
    </row>
    <row r="10421" spans="1:4" hidden="1" x14ac:dyDescent="0.3">
      <c r="A10421">
        <v>10419</v>
      </c>
      <c r="B10421" s="1" t="s">
        <v>13602</v>
      </c>
      <c r="C10421" t="s">
        <v>145</v>
      </c>
      <c r="D10421" s="1" t="s">
        <v>13603</v>
      </c>
    </row>
    <row r="10422" spans="1:4" hidden="1" x14ac:dyDescent="0.3">
      <c r="A10422">
        <v>10420</v>
      </c>
      <c r="B10422" t="s">
        <v>13604</v>
      </c>
      <c r="C10422" t="s">
        <v>35</v>
      </c>
      <c r="D10422">
        <v>0.26536309585930901</v>
      </c>
    </row>
    <row r="10423" spans="1:4" hidden="1" x14ac:dyDescent="0.3">
      <c r="A10423">
        <v>10421</v>
      </c>
      <c r="B10423" t="s">
        <v>13605</v>
      </c>
      <c r="C10423" t="s">
        <v>149</v>
      </c>
      <c r="D10423">
        <v>0.69428170375918996</v>
      </c>
    </row>
    <row r="10424" spans="1:4" hidden="1" x14ac:dyDescent="0.3">
      <c r="A10424">
        <v>10422</v>
      </c>
      <c r="B10424" s="1" t="s">
        <v>13606</v>
      </c>
      <c r="C10424" t="s">
        <v>151</v>
      </c>
      <c r="D10424" s="1" t="s">
        <v>13607</v>
      </c>
    </row>
    <row r="10425" spans="1:4" hidden="1" x14ac:dyDescent="0.3">
      <c r="A10425">
        <v>10423</v>
      </c>
      <c r="B10425" t="s">
        <v>13608</v>
      </c>
      <c r="C10425" t="s">
        <v>30</v>
      </c>
      <c r="D10425">
        <v>0.28137307343363599</v>
      </c>
    </row>
    <row r="10426" spans="1:4" hidden="1" x14ac:dyDescent="0.3">
      <c r="A10426">
        <v>10424</v>
      </c>
      <c r="B10426" t="s">
        <v>13609</v>
      </c>
      <c r="C10426" t="s">
        <v>32</v>
      </c>
      <c r="D10426">
        <v>0.232840428521536</v>
      </c>
    </row>
    <row r="10427" spans="1:4" hidden="1" x14ac:dyDescent="0.3">
      <c r="A10427">
        <v>10425</v>
      </c>
      <c r="B10427" s="1" t="s">
        <v>13610</v>
      </c>
      <c r="C10427" t="s">
        <v>155</v>
      </c>
      <c r="D10427" s="1" t="s">
        <v>13611</v>
      </c>
    </row>
    <row r="10428" spans="1:4" hidden="1" x14ac:dyDescent="0.3">
      <c r="A10428">
        <v>10426</v>
      </c>
      <c r="B10428" t="s">
        <v>13612</v>
      </c>
      <c r="C10428" t="s">
        <v>40</v>
      </c>
      <c r="D10428">
        <v>0.45326383070705401</v>
      </c>
    </row>
    <row r="10429" spans="1:4" hidden="1" x14ac:dyDescent="0.3">
      <c r="A10429">
        <v>10427</v>
      </c>
      <c r="B10429" t="s">
        <v>13613</v>
      </c>
      <c r="C10429" t="s">
        <v>42</v>
      </c>
      <c r="D10429">
        <v>0.207497109664327</v>
      </c>
    </row>
    <row r="10430" spans="1:4" hidden="1" x14ac:dyDescent="0.3">
      <c r="A10430">
        <v>10428</v>
      </c>
      <c r="B10430" s="1" t="s">
        <v>13614</v>
      </c>
      <c r="C10430" t="s">
        <v>159</v>
      </c>
      <c r="D10430" s="1" t="s">
        <v>13615</v>
      </c>
    </row>
    <row r="10431" spans="1:4" hidden="1" x14ac:dyDescent="0.3">
      <c r="A10431">
        <v>10429</v>
      </c>
      <c r="B10431" t="s">
        <v>13616</v>
      </c>
      <c r="C10431" t="s">
        <v>161</v>
      </c>
      <c r="D10431">
        <v>0.99854600538475502</v>
      </c>
    </row>
    <row r="10432" spans="1:4" hidden="1" x14ac:dyDescent="0.3">
      <c r="A10432">
        <v>10430</v>
      </c>
      <c r="B10432" t="s">
        <v>13617</v>
      </c>
      <c r="C10432" t="s">
        <v>163</v>
      </c>
      <c r="D10432">
        <v>0.99989214990932995</v>
      </c>
    </row>
    <row r="10433" spans="1:4" hidden="1" x14ac:dyDescent="0.3">
      <c r="A10433">
        <v>10431</v>
      </c>
      <c r="B10433" s="1" t="s">
        <v>13618</v>
      </c>
      <c r="C10433" t="s">
        <v>165</v>
      </c>
      <c r="D10433" s="1" t="s">
        <v>13619</v>
      </c>
    </row>
    <row r="10434" spans="1:4" hidden="1" x14ac:dyDescent="0.3">
      <c r="A10434">
        <v>10432</v>
      </c>
      <c r="B10434" t="s">
        <v>13620</v>
      </c>
      <c r="C10434" t="s">
        <v>168</v>
      </c>
      <c r="D10434">
        <v>0.99913791574299204</v>
      </c>
    </row>
    <row r="10435" spans="1:4" hidden="1" x14ac:dyDescent="0.3">
      <c r="A10435">
        <v>10433</v>
      </c>
      <c r="B10435" t="s">
        <v>13621</v>
      </c>
      <c r="C10435" t="s">
        <v>170</v>
      </c>
      <c r="D10435">
        <v>1.0000424447338601</v>
      </c>
    </row>
    <row r="10436" spans="1:4" hidden="1" x14ac:dyDescent="0.3">
      <c r="A10436">
        <v>10434</v>
      </c>
      <c r="B10436" s="1" t="s">
        <v>13622</v>
      </c>
      <c r="C10436" t="s">
        <v>172</v>
      </c>
      <c r="D10436" s="1" t="s">
        <v>13623</v>
      </c>
    </row>
    <row r="10437" spans="1:4" hidden="1" x14ac:dyDescent="0.3">
      <c r="A10437">
        <v>10435</v>
      </c>
      <c r="B10437" s="1" t="s">
        <v>13624</v>
      </c>
      <c r="C10437" t="s">
        <v>55</v>
      </c>
      <c r="D10437" s="1" t="s">
        <v>13625</v>
      </c>
    </row>
    <row r="10438" spans="1:4" hidden="1" x14ac:dyDescent="0.3">
      <c r="A10438">
        <v>10436</v>
      </c>
      <c r="B10438" s="1" t="s">
        <v>13626</v>
      </c>
      <c r="C10438" t="s">
        <v>52</v>
      </c>
      <c r="D10438" s="1" t="s">
        <v>13627</v>
      </c>
    </row>
    <row r="10439" spans="1:4" hidden="1" x14ac:dyDescent="0.3">
      <c r="A10439">
        <v>10437</v>
      </c>
      <c r="B10439" s="1" t="s">
        <v>13628</v>
      </c>
      <c r="C10439" t="s">
        <v>58</v>
      </c>
      <c r="D10439" s="1" t="s">
        <v>13629</v>
      </c>
    </row>
    <row r="10440" spans="1:4" hidden="1" x14ac:dyDescent="0.3">
      <c r="A10440">
        <v>10438</v>
      </c>
      <c r="B10440" t="s">
        <v>13630</v>
      </c>
      <c r="C10440" t="s">
        <v>61</v>
      </c>
      <c r="D10440">
        <v>143970145.51648101</v>
      </c>
    </row>
    <row r="10441" spans="1:4" hidden="1" x14ac:dyDescent="0.3">
      <c r="A10441">
        <v>10439</v>
      </c>
      <c r="B10441" t="s">
        <v>13631</v>
      </c>
      <c r="C10441" t="s">
        <v>63</v>
      </c>
      <c r="D10441">
        <v>77816981.620154202</v>
      </c>
    </row>
    <row r="10442" spans="1:4" hidden="1" x14ac:dyDescent="0.3">
      <c r="A10442">
        <v>10440</v>
      </c>
      <c r="B10442" t="s">
        <v>13632</v>
      </c>
      <c r="C10442" t="s">
        <v>65</v>
      </c>
      <c r="D10442">
        <v>38958612.012316599</v>
      </c>
    </row>
    <row r="10443" spans="1:4" hidden="1" x14ac:dyDescent="0.3">
      <c r="A10443">
        <v>10441</v>
      </c>
      <c r="B10443" s="1" t="s">
        <v>13633</v>
      </c>
      <c r="C10443" t="s">
        <v>67</v>
      </c>
      <c r="D10443" s="1" t="s">
        <v>13634</v>
      </c>
    </row>
    <row r="10444" spans="1:4" hidden="1" x14ac:dyDescent="0.3">
      <c r="A10444">
        <v>10442</v>
      </c>
      <c r="B10444" s="1" t="s">
        <v>13635</v>
      </c>
      <c r="C10444" t="s">
        <v>70</v>
      </c>
      <c r="D10444" s="1" t="s">
        <v>13636</v>
      </c>
    </row>
    <row r="10445" spans="1:4" hidden="1" x14ac:dyDescent="0.3">
      <c r="A10445">
        <v>10443</v>
      </c>
      <c r="B10445" t="s">
        <v>13637</v>
      </c>
      <c r="C10445" t="s">
        <v>73</v>
      </c>
      <c r="D10445">
        <v>1.00043767166506</v>
      </c>
    </row>
    <row r="10446" spans="1:4" hidden="1" x14ac:dyDescent="0.3">
      <c r="A10446">
        <v>10444</v>
      </c>
      <c r="B10446" t="s">
        <v>74</v>
      </c>
      <c r="C10446" t="s">
        <v>75</v>
      </c>
      <c r="D10446">
        <v>2.7397260273972599E-3</v>
      </c>
    </row>
    <row r="10447" spans="1:4" hidden="1" x14ac:dyDescent="0.3">
      <c r="A10447">
        <v>10445</v>
      </c>
      <c r="B10447" t="s">
        <v>76</v>
      </c>
      <c r="C10447" t="s">
        <v>77</v>
      </c>
      <c r="D10447">
        <v>0</v>
      </c>
    </row>
    <row r="10448" spans="1:4" hidden="1" x14ac:dyDescent="0.3">
      <c r="A10448">
        <v>10446</v>
      </c>
      <c r="B10448" t="s">
        <v>78</v>
      </c>
      <c r="C10448" t="s">
        <v>79</v>
      </c>
      <c r="D10448">
        <v>0</v>
      </c>
    </row>
    <row r="10449" spans="1:4" hidden="1" x14ac:dyDescent="0.3">
      <c r="A10449">
        <v>10447</v>
      </c>
      <c r="B10449" s="1" t="s">
        <v>13638</v>
      </c>
      <c r="C10449" t="s">
        <v>81</v>
      </c>
      <c r="D10449" s="1" t="s">
        <v>13639</v>
      </c>
    </row>
    <row r="10450" spans="1:4" hidden="1" x14ac:dyDescent="0.3">
      <c r="A10450">
        <v>10448</v>
      </c>
      <c r="B10450" t="s">
        <v>13640</v>
      </c>
      <c r="C10450" t="s">
        <v>84</v>
      </c>
      <c r="D10450">
        <v>1.00041308227412</v>
      </c>
    </row>
    <row r="10451" spans="1:4" hidden="1" x14ac:dyDescent="0.3">
      <c r="A10451">
        <v>10449</v>
      </c>
      <c r="B10451" s="1" t="s">
        <v>13641</v>
      </c>
      <c r="C10451" t="s">
        <v>86</v>
      </c>
      <c r="D10451" s="1" t="s">
        <v>13642</v>
      </c>
    </row>
    <row r="10452" spans="1:4" hidden="1" x14ac:dyDescent="0.3">
      <c r="A10452">
        <v>10450</v>
      </c>
      <c r="B10452" t="s">
        <v>13643</v>
      </c>
      <c r="C10452" t="s">
        <v>89</v>
      </c>
      <c r="D10452">
        <v>101147997.03881299</v>
      </c>
    </row>
    <row r="10453" spans="1:4" hidden="1" x14ac:dyDescent="0.3">
      <c r="A10453">
        <v>10451</v>
      </c>
      <c r="B10453" s="1" t="s">
        <v>13644</v>
      </c>
      <c r="C10453" t="s">
        <v>91</v>
      </c>
      <c r="D10453" s="1" t="s">
        <v>13579</v>
      </c>
    </row>
    <row r="10454" spans="1:4" hidden="1" x14ac:dyDescent="0.3">
      <c r="A10454">
        <v>10452</v>
      </c>
      <c r="B10454" t="s">
        <v>13645</v>
      </c>
      <c r="C10454" t="s">
        <v>94</v>
      </c>
      <c r="D10454">
        <v>77816981.620154202</v>
      </c>
    </row>
    <row r="10455" spans="1:4" hidden="1" x14ac:dyDescent="0.3">
      <c r="A10455">
        <v>10453</v>
      </c>
      <c r="B10455" t="s">
        <v>13646</v>
      </c>
      <c r="C10455" t="s">
        <v>96</v>
      </c>
      <c r="D10455">
        <v>38958612.012316599</v>
      </c>
    </row>
    <row r="10456" spans="1:4" hidden="1" x14ac:dyDescent="0.3">
      <c r="A10456">
        <v>10454</v>
      </c>
      <c r="B10456" t="s">
        <v>13647</v>
      </c>
      <c r="C10456" t="s">
        <v>98</v>
      </c>
      <c r="D10456">
        <v>27194551.884010602</v>
      </c>
    </row>
    <row r="10457" spans="1:4" hidden="1" x14ac:dyDescent="0.3">
      <c r="A10457">
        <v>10455</v>
      </c>
      <c r="B10457" s="1" t="s">
        <v>13648</v>
      </c>
      <c r="C10457" t="s">
        <v>100</v>
      </c>
      <c r="D10457" s="1" t="s">
        <v>13649</v>
      </c>
    </row>
    <row r="10458" spans="1:4" hidden="1" x14ac:dyDescent="0.3">
      <c r="A10458">
        <v>10456</v>
      </c>
      <c r="B10458" t="s">
        <v>13650</v>
      </c>
      <c r="C10458" t="s">
        <v>103</v>
      </c>
      <c r="D10458">
        <v>8.1403210249240705E-3</v>
      </c>
    </row>
    <row r="10459" spans="1:4" hidden="1" x14ac:dyDescent="0.3">
      <c r="A10459">
        <v>10457</v>
      </c>
      <c r="B10459" t="s">
        <v>13651</v>
      </c>
      <c r="C10459" t="s">
        <v>105</v>
      </c>
      <c r="D10459">
        <v>1.6637516973441199E-3</v>
      </c>
    </row>
    <row r="10460" spans="1:4" hidden="1" x14ac:dyDescent="0.3">
      <c r="A10460">
        <v>10458</v>
      </c>
      <c r="B10460" t="s">
        <v>13652</v>
      </c>
      <c r="C10460" t="s">
        <v>107</v>
      </c>
      <c r="D10460">
        <v>9.9893841066328402E-3</v>
      </c>
    </row>
    <row r="10461" spans="1:4" hidden="1" x14ac:dyDescent="0.3">
      <c r="A10461">
        <v>10459</v>
      </c>
      <c r="B10461" s="1" t="s">
        <v>13653</v>
      </c>
      <c r="C10461" t="s">
        <v>109</v>
      </c>
      <c r="D10461" s="1" t="s">
        <v>13654</v>
      </c>
    </row>
    <row r="10462" spans="1:4" x14ac:dyDescent="0.3">
      <c r="A10462">
        <v>10460</v>
      </c>
      <c r="B10462" t="s">
        <v>13655</v>
      </c>
      <c r="C10462" t="s">
        <v>207</v>
      </c>
      <c r="D10462">
        <v>143969280.43240499</v>
      </c>
    </row>
    <row r="10463" spans="1:4" hidden="1" x14ac:dyDescent="0.3">
      <c r="A10463">
        <v>10461</v>
      </c>
      <c r="B10463" t="s">
        <v>13656</v>
      </c>
      <c r="C10463" t="s">
        <v>209</v>
      </c>
      <c r="D10463">
        <v>1912.6203114434099</v>
      </c>
    </row>
    <row r="10464" spans="1:4" hidden="1" x14ac:dyDescent="0.3">
      <c r="A10464">
        <v>10462</v>
      </c>
      <c r="B10464" t="s">
        <v>13657</v>
      </c>
      <c r="C10464" t="s">
        <v>211</v>
      </c>
      <c r="D10464">
        <v>957.54512867541496</v>
      </c>
    </row>
    <row r="10465" spans="1:4" hidden="1" x14ac:dyDescent="0.3">
      <c r="A10465">
        <v>10463</v>
      </c>
      <c r="B10465" s="1" t="s">
        <v>13658</v>
      </c>
      <c r="C10465" t="s">
        <v>213</v>
      </c>
      <c r="D10465" s="1" t="s">
        <v>13659</v>
      </c>
    </row>
    <row r="10466" spans="1:4" hidden="1" x14ac:dyDescent="0.3">
      <c r="A10466">
        <v>10464</v>
      </c>
      <c r="B10466" t="s">
        <v>13660</v>
      </c>
      <c r="C10466" t="s">
        <v>216</v>
      </c>
      <c r="D10466">
        <v>77814468.2780696</v>
      </c>
    </row>
    <row r="10467" spans="1:4" hidden="1" x14ac:dyDescent="0.3">
      <c r="A10467">
        <v>10465</v>
      </c>
      <c r="B10467" t="s">
        <v>13661</v>
      </c>
      <c r="C10467" t="s">
        <v>218</v>
      </c>
      <c r="D10467">
        <v>38957478.697850503</v>
      </c>
    </row>
    <row r="10468" spans="1:4" hidden="1" x14ac:dyDescent="0.3">
      <c r="A10468">
        <v>10466</v>
      </c>
      <c r="B10468" t="s">
        <v>13662</v>
      </c>
      <c r="C10468" t="s">
        <v>220</v>
      </c>
      <c r="D10468">
        <v>27193794.888296999</v>
      </c>
    </row>
    <row r="10469" spans="1:4" hidden="1" x14ac:dyDescent="0.3">
      <c r="A10469">
        <v>10467</v>
      </c>
      <c r="B10469" s="1" t="s">
        <v>13663</v>
      </c>
      <c r="C10469" t="s">
        <v>222</v>
      </c>
      <c r="D10469" s="1" t="s">
        <v>13664</v>
      </c>
    </row>
    <row r="10470" spans="1:4" hidden="1" x14ac:dyDescent="0.3">
      <c r="A10470">
        <v>10468</v>
      </c>
      <c r="B10470" t="s">
        <v>13665</v>
      </c>
      <c r="C10470" t="s">
        <v>225</v>
      </c>
      <c r="D10470">
        <v>101145510.95925801</v>
      </c>
    </row>
    <row r="10471" spans="1:4" hidden="1" x14ac:dyDescent="0.3">
      <c r="A10471">
        <v>10469</v>
      </c>
      <c r="B10471" t="s">
        <v>13666</v>
      </c>
      <c r="C10471" t="s">
        <v>227</v>
      </c>
      <c r="D10471">
        <v>2486.0795550346302</v>
      </c>
    </row>
    <row r="10472" spans="1:4" hidden="1" x14ac:dyDescent="0.3">
      <c r="A10472">
        <v>10470</v>
      </c>
      <c r="B10472" s="1" t="s">
        <v>13667</v>
      </c>
      <c r="C10472" t="s">
        <v>229</v>
      </c>
      <c r="D10472" s="1" t="s">
        <v>13668</v>
      </c>
    </row>
    <row r="10473" spans="1:4" hidden="1" x14ac:dyDescent="0.3">
      <c r="A10473">
        <v>10471</v>
      </c>
      <c r="B10473" t="s">
        <v>13669</v>
      </c>
      <c r="C10473" t="s">
        <v>112</v>
      </c>
      <c r="D10473">
        <v>-600.72177315706995</v>
      </c>
    </row>
    <row r="10474" spans="1:4" hidden="1" x14ac:dyDescent="0.3">
      <c r="A10474">
        <v>10472</v>
      </c>
      <c r="B10474" t="s">
        <v>13670</v>
      </c>
      <c r="C10474" t="s">
        <v>114</v>
      </c>
      <c r="D10474">
        <v>-175.769337408301</v>
      </c>
    </row>
    <row r="10475" spans="1:4" hidden="1" x14ac:dyDescent="0.3">
      <c r="A10475">
        <v>10473</v>
      </c>
      <c r="B10475" s="1" t="s">
        <v>13671</v>
      </c>
      <c r="C10475" t="s">
        <v>116</v>
      </c>
      <c r="D10475" s="1" t="s">
        <v>13672</v>
      </c>
    </row>
    <row r="10476" spans="1:4" hidden="1" x14ac:dyDescent="0.3">
      <c r="A10476">
        <v>10474</v>
      </c>
      <c r="B10476" t="s">
        <v>13673</v>
      </c>
      <c r="C10476" t="s">
        <v>119</v>
      </c>
      <c r="D10476">
        <v>77814468.2780696</v>
      </c>
    </row>
    <row r="10477" spans="1:4" hidden="1" x14ac:dyDescent="0.3">
      <c r="A10477">
        <v>10475</v>
      </c>
      <c r="B10477" t="s">
        <v>13674</v>
      </c>
      <c r="C10477" t="s">
        <v>121</v>
      </c>
      <c r="D10477">
        <v>38957478.697850503</v>
      </c>
    </row>
    <row r="10478" spans="1:4" hidden="1" x14ac:dyDescent="0.3">
      <c r="A10478">
        <v>10476</v>
      </c>
      <c r="B10478" s="1" t="s">
        <v>13675</v>
      </c>
      <c r="C10478" t="s">
        <v>123</v>
      </c>
      <c r="D10478" s="1" t="s">
        <v>13676</v>
      </c>
    </row>
    <row r="10479" spans="1:4" hidden="1" x14ac:dyDescent="0.3">
      <c r="A10479">
        <v>10477</v>
      </c>
      <c r="B10479" t="s">
        <v>13677</v>
      </c>
      <c r="C10479" t="s">
        <v>126</v>
      </c>
      <c r="D10479">
        <v>0.76901423538634694</v>
      </c>
    </row>
    <row r="10480" spans="1:4" hidden="1" x14ac:dyDescent="0.3">
      <c r="A10480">
        <v>10478</v>
      </c>
      <c r="B10480" t="s">
        <v>13678</v>
      </c>
      <c r="C10480" t="s">
        <v>128</v>
      </c>
      <c r="D10480">
        <v>0.385003667780002</v>
      </c>
    </row>
    <row r="10481" spans="1:4" hidden="1" x14ac:dyDescent="0.3">
      <c r="A10481">
        <v>10479</v>
      </c>
      <c r="B10481" s="1" t="s">
        <v>13679</v>
      </c>
      <c r="C10481" t="s">
        <v>130</v>
      </c>
      <c r="D10481" s="1" t="s">
        <v>13680</v>
      </c>
    </row>
    <row r="10482" spans="1:4" hidden="1" x14ac:dyDescent="0.3">
      <c r="A10482">
        <v>10480</v>
      </c>
      <c r="B10482" s="1" t="s">
        <v>13681</v>
      </c>
      <c r="C10482" t="s">
        <v>4</v>
      </c>
      <c r="D10482" t="s">
        <v>13682</v>
      </c>
    </row>
    <row r="10483" spans="1:4" hidden="1" x14ac:dyDescent="0.3">
      <c r="A10483">
        <v>10481</v>
      </c>
      <c r="B10483" t="s">
        <v>13683</v>
      </c>
      <c r="C10483" t="s">
        <v>7</v>
      </c>
      <c r="D10483">
        <v>1804.71</v>
      </c>
    </row>
    <row r="10484" spans="1:4" hidden="1" x14ac:dyDescent="0.3">
      <c r="A10484">
        <v>10482</v>
      </c>
      <c r="B10484" s="1" t="s">
        <v>13684</v>
      </c>
      <c r="C10484" t="s">
        <v>9</v>
      </c>
      <c r="D10484" s="1" t="s">
        <v>13685</v>
      </c>
    </row>
    <row r="10485" spans="1:4" hidden="1" x14ac:dyDescent="0.3">
      <c r="A10485">
        <v>10483</v>
      </c>
      <c r="B10485" t="s">
        <v>13686</v>
      </c>
      <c r="C10485" t="s">
        <v>14</v>
      </c>
      <c r="D10485">
        <v>96.80859375</v>
      </c>
    </row>
    <row r="10486" spans="1:4" hidden="1" x14ac:dyDescent="0.3">
      <c r="A10486">
        <v>10484</v>
      </c>
      <c r="B10486" t="s">
        <v>13687</v>
      </c>
      <c r="C10486" t="s">
        <v>16</v>
      </c>
      <c r="D10486">
        <v>4.3790489166740096</v>
      </c>
    </row>
    <row r="10487" spans="1:4" hidden="1" x14ac:dyDescent="0.3">
      <c r="A10487">
        <v>10485</v>
      </c>
      <c r="B10487" s="1" t="s">
        <v>13688</v>
      </c>
      <c r="C10487" t="s">
        <v>140</v>
      </c>
      <c r="D10487" s="1" t="s">
        <v>13689</v>
      </c>
    </row>
    <row r="10488" spans="1:4" hidden="1" x14ac:dyDescent="0.3">
      <c r="A10488">
        <v>10486</v>
      </c>
      <c r="B10488" t="s">
        <v>13690</v>
      </c>
      <c r="C10488" t="s">
        <v>22</v>
      </c>
      <c r="D10488">
        <v>67.95</v>
      </c>
    </row>
    <row r="10489" spans="1:4" hidden="1" x14ac:dyDescent="0.3">
      <c r="A10489">
        <v>10487</v>
      </c>
      <c r="B10489" t="s">
        <v>13691</v>
      </c>
      <c r="C10489" t="s">
        <v>24</v>
      </c>
      <c r="D10489">
        <v>6.5837098467821704</v>
      </c>
    </row>
    <row r="10490" spans="1:4" hidden="1" x14ac:dyDescent="0.3">
      <c r="A10490">
        <v>10488</v>
      </c>
      <c r="B10490" s="1" t="s">
        <v>13692</v>
      </c>
      <c r="C10490" t="s">
        <v>145</v>
      </c>
      <c r="D10490" s="1" t="s">
        <v>13693</v>
      </c>
    </row>
    <row r="10491" spans="1:4" hidden="1" x14ac:dyDescent="0.3">
      <c r="A10491">
        <v>10489</v>
      </c>
      <c r="B10491" t="s">
        <v>13694</v>
      </c>
      <c r="C10491" t="s">
        <v>35</v>
      </c>
      <c r="D10491">
        <v>1.21021018091953E-2</v>
      </c>
    </row>
    <row r="10492" spans="1:4" hidden="1" x14ac:dyDescent="0.3">
      <c r="A10492">
        <v>10490</v>
      </c>
      <c r="B10492" t="s">
        <v>13695</v>
      </c>
      <c r="C10492" t="s">
        <v>149</v>
      </c>
      <c r="D10492">
        <v>0.69187342780134198</v>
      </c>
    </row>
    <row r="10493" spans="1:4" hidden="1" x14ac:dyDescent="0.3">
      <c r="A10493">
        <v>10491</v>
      </c>
      <c r="B10493" s="1" t="s">
        <v>13696</v>
      </c>
      <c r="C10493" t="s">
        <v>151</v>
      </c>
      <c r="D10493" s="1" t="s">
        <v>13697</v>
      </c>
    </row>
    <row r="10494" spans="1:4" hidden="1" x14ac:dyDescent="0.3">
      <c r="A10494">
        <v>10492</v>
      </c>
      <c r="B10494" t="s">
        <v>13698</v>
      </c>
      <c r="C10494" t="s">
        <v>30</v>
      </c>
      <c r="D10494">
        <v>0.38421756548855202</v>
      </c>
    </row>
    <row r="10495" spans="1:4" hidden="1" x14ac:dyDescent="0.3">
      <c r="A10495">
        <v>10493</v>
      </c>
      <c r="B10495" t="s">
        <v>13699</v>
      </c>
      <c r="C10495" t="s">
        <v>32</v>
      </c>
      <c r="D10495">
        <v>0.23450646723399099</v>
      </c>
    </row>
    <row r="10496" spans="1:4" hidden="1" x14ac:dyDescent="0.3">
      <c r="A10496">
        <v>10494</v>
      </c>
      <c r="B10496" s="1" t="s">
        <v>13700</v>
      </c>
      <c r="C10496" t="s">
        <v>155</v>
      </c>
      <c r="D10496" s="1" t="s">
        <v>13701</v>
      </c>
    </row>
    <row r="10497" spans="1:4" hidden="1" x14ac:dyDescent="0.3">
      <c r="A10497">
        <v>10495</v>
      </c>
      <c r="B10497" t="s">
        <v>13702</v>
      </c>
      <c r="C10497" t="s">
        <v>40</v>
      </c>
      <c r="D10497">
        <v>0.60368033270225196</v>
      </c>
    </row>
    <row r="10498" spans="1:4" hidden="1" x14ac:dyDescent="0.3">
      <c r="A10498">
        <v>10496</v>
      </c>
      <c r="B10498" t="s">
        <v>13703</v>
      </c>
      <c r="C10498" t="s">
        <v>42</v>
      </c>
      <c r="D10498">
        <v>0.210844603955187</v>
      </c>
    </row>
    <row r="10499" spans="1:4" hidden="1" x14ac:dyDescent="0.3">
      <c r="A10499">
        <v>10497</v>
      </c>
      <c r="B10499" s="1" t="s">
        <v>13704</v>
      </c>
      <c r="C10499" t="s">
        <v>159</v>
      </c>
      <c r="D10499" s="1" t="s">
        <v>13705</v>
      </c>
    </row>
    <row r="10500" spans="1:4" hidden="1" x14ac:dyDescent="0.3">
      <c r="A10500">
        <v>10498</v>
      </c>
      <c r="B10500" t="s">
        <v>13706</v>
      </c>
      <c r="C10500" t="s">
        <v>161</v>
      </c>
      <c r="D10500">
        <v>0.99918612762847503</v>
      </c>
    </row>
    <row r="10501" spans="1:4" hidden="1" x14ac:dyDescent="0.3">
      <c r="A10501">
        <v>10499</v>
      </c>
      <c r="B10501" t="s">
        <v>13707</v>
      </c>
      <c r="C10501" t="s">
        <v>163</v>
      </c>
      <c r="D10501">
        <v>0.99918321501618101</v>
      </c>
    </row>
    <row r="10502" spans="1:4" hidden="1" x14ac:dyDescent="0.3">
      <c r="A10502">
        <v>10500</v>
      </c>
      <c r="B10502" s="1" t="s">
        <v>13708</v>
      </c>
      <c r="C10502" t="s">
        <v>165</v>
      </c>
      <c r="D10502" s="1" t="s">
        <v>13709</v>
      </c>
    </row>
    <row r="10503" spans="1:4" hidden="1" x14ac:dyDescent="0.3">
      <c r="A10503">
        <v>10501</v>
      </c>
      <c r="B10503" t="s">
        <v>13710</v>
      </c>
      <c r="C10503" t="s">
        <v>168</v>
      </c>
      <c r="D10503">
        <v>0.998578585867683</v>
      </c>
    </row>
    <row r="10504" spans="1:4" hidden="1" x14ac:dyDescent="0.3">
      <c r="A10504">
        <v>10502</v>
      </c>
      <c r="B10504" t="s">
        <v>13711</v>
      </c>
      <c r="C10504" t="s">
        <v>170</v>
      </c>
      <c r="D10504">
        <v>1.0013513822826601</v>
      </c>
    </row>
    <row r="10505" spans="1:4" hidden="1" x14ac:dyDescent="0.3">
      <c r="A10505">
        <v>10503</v>
      </c>
      <c r="B10505" s="1" t="s">
        <v>13712</v>
      </c>
      <c r="C10505" t="s">
        <v>172</v>
      </c>
      <c r="D10505" s="1" t="s">
        <v>13713</v>
      </c>
    </row>
    <row r="10506" spans="1:4" hidden="1" x14ac:dyDescent="0.3">
      <c r="A10506">
        <v>10504</v>
      </c>
      <c r="B10506" s="1" t="s">
        <v>13714</v>
      </c>
      <c r="C10506" t="s">
        <v>55</v>
      </c>
      <c r="D10506" s="1" t="s">
        <v>13715</v>
      </c>
    </row>
    <row r="10507" spans="1:4" hidden="1" x14ac:dyDescent="0.3">
      <c r="A10507">
        <v>10505</v>
      </c>
      <c r="B10507" s="1" t="s">
        <v>13716</v>
      </c>
      <c r="C10507" t="s">
        <v>52</v>
      </c>
      <c r="D10507" s="1" t="s">
        <v>13717</v>
      </c>
    </row>
    <row r="10508" spans="1:4" hidden="1" x14ac:dyDescent="0.3">
      <c r="A10508">
        <v>10506</v>
      </c>
      <c r="B10508" s="1" t="s">
        <v>13718</v>
      </c>
      <c r="C10508" t="s">
        <v>58</v>
      </c>
      <c r="D10508" s="1" t="s">
        <v>13719</v>
      </c>
    </row>
    <row r="10509" spans="1:4" hidden="1" x14ac:dyDescent="0.3">
      <c r="A10509">
        <v>10507</v>
      </c>
      <c r="B10509" t="s">
        <v>13720</v>
      </c>
      <c r="C10509" t="s">
        <v>61</v>
      </c>
      <c r="D10509">
        <v>143875031.41489899</v>
      </c>
    </row>
    <row r="10510" spans="1:4" hidden="1" x14ac:dyDescent="0.3">
      <c r="A10510">
        <v>10508</v>
      </c>
      <c r="B10510" t="s">
        <v>13721</v>
      </c>
      <c r="C10510" t="s">
        <v>63</v>
      </c>
      <c r="D10510">
        <v>77751137.232233196</v>
      </c>
    </row>
    <row r="10511" spans="1:4" hidden="1" x14ac:dyDescent="0.3">
      <c r="A10511">
        <v>10509</v>
      </c>
      <c r="B10511" t="s">
        <v>13722</v>
      </c>
      <c r="C10511" t="s">
        <v>65</v>
      </c>
      <c r="D10511">
        <v>38925658.814242698</v>
      </c>
    </row>
    <row r="10512" spans="1:4" hidden="1" x14ac:dyDescent="0.3">
      <c r="A10512">
        <v>10510</v>
      </c>
      <c r="B10512" s="1" t="s">
        <v>13723</v>
      </c>
      <c r="C10512" t="s">
        <v>67</v>
      </c>
      <c r="D10512" s="1" t="s">
        <v>13724</v>
      </c>
    </row>
    <row r="10513" spans="1:4" hidden="1" x14ac:dyDescent="0.3">
      <c r="A10513">
        <v>10511</v>
      </c>
      <c r="B10513" s="1" t="s">
        <v>13725</v>
      </c>
      <c r="C10513" t="s">
        <v>70</v>
      </c>
      <c r="D10513" s="1" t="s">
        <v>13726</v>
      </c>
    </row>
    <row r="10514" spans="1:4" hidden="1" x14ac:dyDescent="0.3">
      <c r="A10514">
        <v>10512</v>
      </c>
      <c r="B10514" t="s">
        <v>13727</v>
      </c>
      <c r="C10514" t="s">
        <v>73</v>
      </c>
      <c r="D10514">
        <v>1.00041308227412</v>
      </c>
    </row>
    <row r="10515" spans="1:4" hidden="1" x14ac:dyDescent="0.3">
      <c r="A10515">
        <v>10513</v>
      </c>
      <c r="B10515" t="s">
        <v>74</v>
      </c>
      <c r="C10515" t="s">
        <v>75</v>
      </c>
      <c r="D10515">
        <v>2.7397260273972599E-3</v>
      </c>
    </row>
    <row r="10516" spans="1:4" hidden="1" x14ac:dyDescent="0.3">
      <c r="A10516">
        <v>10514</v>
      </c>
      <c r="B10516" t="s">
        <v>76</v>
      </c>
      <c r="C10516" t="s">
        <v>77</v>
      </c>
      <c r="D10516">
        <v>0</v>
      </c>
    </row>
    <row r="10517" spans="1:4" hidden="1" x14ac:dyDescent="0.3">
      <c r="A10517">
        <v>10515</v>
      </c>
      <c r="B10517" t="s">
        <v>78</v>
      </c>
      <c r="C10517" t="s">
        <v>79</v>
      </c>
      <c r="D10517">
        <v>0</v>
      </c>
    </row>
    <row r="10518" spans="1:4" hidden="1" x14ac:dyDescent="0.3">
      <c r="A10518">
        <v>10516</v>
      </c>
      <c r="B10518" s="1" t="s">
        <v>13728</v>
      </c>
      <c r="C10518" t="s">
        <v>81</v>
      </c>
      <c r="D10518" s="1" t="s">
        <v>13729</v>
      </c>
    </row>
    <row r="10519" spans="1:4" hidden="1" x14ac:dyDescent="0.3">
      <c r="A10519">
        <v>10517</v>
      </c>
      <c r="B10519" t="s">
        <v>13730</v>
      </c>
      <c r="C10519" t="s">
        <v>84</v>
      </c>
      <c r="D10519">
        <v>1.0003921686798201</v>
      </c>
    </row>
    <row r="10520" spans="1:4" hidden="1" x14ac:dyDescent="0.3">
      <c r="A10520">
        <v>10518</v>
      </c>
      <c r="B10520" s="1" t="s">
        <v>13731</v>
      </c>
      <c r="C10520" t="s">
        <v>86</v>
      </c>
      <c r="D10520" s="1" t="s">
        <v>13732</v>
      </c>
    </row>
    <row r="10521" spans="1:4" hidden="1" x14ac:dyDescent="0.3">
      <c r="A10521">
        <v>10519</v>
      </c>
      <c r="B10521" t="s">
        <v>13733</v>
      </c>
      <c r="C10521" t="s">
        <v>89</v>
      </c>
      <c r="D10521">
        <v>101150111.577731</v>
      </c>
    </row>
    <row r="10522" spans="1:4" hidden="1" x14ac:dyDescent="0.3">
      <c r="A10522">
        <v>10520</v>
      </c>
      <c r="B10522" s="1" t="s">
        <v>13734</v>
      </c>
      <c r="C10522" t="s">
        <v>91</v>
      </c>
      <c r="D10522" s="1" t="s">
        <v>13668</v>
      </c>
    </row>
    <row r="10523" spans="1:4" hidden="1" x14ac:dyDescent="0.3">
      <c r="A10523">
        <v>10521</v>
      </c>
      <c r="B10523" t="s">
        <v>13735</v>
      </c>
      <c r="C10523" t="s">
        <v>94</v>
      </c>
      <c r="D10523">
        <v>77751137.232233196</v>
      </c>
    </row>
    <row r="10524" spans="1:4" hidden="1" x14ac:dyDescent="0.3">
      <c r="A10524">
        <v>10522</v>
      </c>
      <c r="B10524" t="s">
        <v>13736</v>
      </c>
      <c r="C10524" t="s">
        <v>96</v>
      </c>
      <c r="D10524">
        <v>38925658.814242698</v>
      </c>
    </row>
    <row r="10525" spans="1:4" hidden="1" x14ac:dyDescent="0.3">
      <c r="A10525">
        <v>10523</v>
      </c>
      <c r="B10525" t="s">
        <v>13737</v>
      </c>
      <c r="C10525" t="s">
        <v>98</v>
      </c>
      <c r="D10525">
        <v>27198235.368423499</v>
      </c>
    </row>
    <row r="10526" spans="1:4" hidden="1" x14ac:dyDescent="0.3">
      <c r="A10526">
        <v>10524</v>
      </c>
      <c r="B10526" s="1" t="s">
        <v>13738</v>
      </c>
      <c r="C10526" t="s">
        <v>100</v>
      </c>
      <c r="D10526" s="1" t="s">
        <v>13739</v>
      </c>
    </row>
    <row r="10527" spans="1:4" hidden="1" x14ac:dyDescent="0.3">
      <c r="A10527">
        <v>10525</v>
      </c>
      <c r="B10527" t="s">
        <v>13740</v>
      </c>
      <c r="C10527" t="s">
        <v>103</v>
      </c>
      <c r="D10527">
        <v>8.0556873366918694E-3</v>
      </c>
    </row>
    <row r="10528" spans="1:4" hidden="1" x14ac:dyDescent="0.3">
      <c r="A10528">
        <v>10526</v>
      </c>
      <c r="B10528" t="s">
        <v>13741</v>
      </c>
      <c r="C10528" t="s">
        <v>105</v>
      </c>
      <c r="D10528">
        <v>1.66299238409049E-3</v>
      </c>
    </row>
    <row r="10529" spans="1:4" hidden="1" x14ac:dyDescent="0.3">
      <c r="A10529">
        <v>10527</v>
      </c>
      <c r="B10529" t="s">
        <v>13742</v>
      </c>
      <c r="C10529" t="s">
        <v>107</v>
      </c>
      <c r="D10529">
        <v>9.9447058295021405E-3</v>
      </c>
    </row>
    <row r="10530" spans="1:4" hidden="1" x14ac:dyDescent="0.3">
      <c r="A10530">
        <v>10528</v>
      </c>
      <c r="B10530" s="1" t="s">
        <v>13743</v>
      </c>
      <c r="C10530" t="s">
        <v>109</v>
      </c>
      <c r="D10530" s="1" t="s">
        <v>13744</v>
      </c>
    </row>
    <row r="10531" spans="1:4" x14ac:dyDescent="0.3">
      <c r="A10531">
        <v>10529</v>
      </c>
      <c r="B10531" t="s">
        <v>13745</v>
      </c>
      <c r="C10531" t="s">
        <v>207</v>
      </c>
      <c r="D10531">
        <v>143874295.88446301</v>
      </c>
    </row>
    <row r="10532" spans="1:4" hidden="1" x14ac:dyDescent="0.3">
      <c r="A10532">
        <v>10530</v>
      </c>
      <c r="B10532" t="s">
        <v>13746</v>
      </c>
      <c r="C10532" t="s">
        <v>209</v>
      </c>
      <c r="D10532">
        <v>1625.3727996960499</v>
      </c>
    </row>
    <row r="10533" spans="1:4" hidden="1" x14ac:dyDescent="0.3">
      <c r="A10533">
        <v>10531</v>
      </c>
      <c r="B10533" t="s">
        <v>13747</v>
      </c>
      <c r="C10533" t="s">
        <v>211</v>
      </c>
      <c r="D10533">
        <v>813.73701856915</v>
      </c>
    </row>
    <row r="10534" spans="1:4" hidden="1" x14ac:dyDescent="0.3">
      <c r="A10534">
        <v>10532</v>
      </c>
      <c r="B10534" s="1" t="s">
        <v>13748</v>
      </c>
      <c r="C10534" t="s">
        <v>213</v>
      </c>
      <c r="D10534" s="1" t="s">
        <v>13749</v>
      </c>
    </row>
    <row r="10535" spans="1:4" hidden="1" x14ac:dyDescent="0.3">
      <c r="A10535">
        <v>10533</v>
      </c>
      <c r="B10535" t="s">
        <v>13750</v>
      </c>
      <c r="C10535" t="s">
        <v>216</v>
      </c>
      <c r="D10535">
        <v>77748960.648698196</v>
      </c>
    </row>
    <row r="10536" spans="1:4" hidden="1" x14ac:dyDescent="0.3">
      <c r="A10536">
        <v>10534</v>
      </c>
      <c r="B10536" t="s">
        <v>13751</v>
      </c>
      <c r="C10536" t="s">
        <v>218</v>
      </c>
      <c r="D10536">
        <v>38924736.187877998</v>
      </c>
    </row>
    <row r="10537" spans="1:4" hidden="1" x14ac:dyDescent="0.3">
      <c r="A10537">
        <v>10535</v>
      </c>
      <c r="B10537" t="s">
        <v>13752</v>
      </c>
      <c r="C10537" t="s">
        <v>220</v>
      </c>
      <c r="D10537">
        <v>27197591.3616555</v>
      </c>
    </row>
    <row r="10538" spans="1:4" hidden="1" x14ac:dyDescent="0.3">
      <c r="A10538">
        <v>10536</v>
      </c>
      <c r="B10538" s="1" t="s">
        <v>13753</v>
      </c>
      <c r="C10538" t="s">
        <v>222</v>
      </c>
      <c r="D10538" s="1" t="s">
        <v>13754</v>
      </c>
    </row>
    <row r="10539" spans="1:4" hidden="1" x14ac:dyDescent="0.3">
      <c r="A10539">
        <v>10537</v>
      </c>
      <c r="B10539" t="s">
        <v>13755</v>
      </c>
      <c r="C10539" t="s">
        <v>225</v>
      </c>
      <c r="D10539">
        <v>101147997.03881299</v>
      </c>
    </row>
    <row r="10540" spans="1:4" hidden="1" x14ac:dyDescent="0.3">
      <c r="A10540">
        <v>10538</v>
      </c>
      <c r="B10540" t="s">
        <v>13756</v>
      </c>
      <c r="C10540" t="s">
        <v>227</v>
      </c>
      <c r="D10540">
        <v>2114.53891806304</v>
      </c>
    </row>
    <row r="10541" spans="1:4" hidden="1" x14ac:dyDescent="0.3">
      <c r="A10541">
        <v>10539</v>
      </c>
      <c r="B10541" s="1" t="s">
        <v>13757</v>
      </c>
      <c r="C10541" t="s">
        <v>229</v>
      </c>
      <c r="D10541" s="1" t="s">
        <v>13758</v>
      </c>
    </row>
    <row r="10542" spans="1:4" hidden="1" x14ac:dyDescent="0.3">
      <c r="A10542">
        <v>10540</v>
      </c>
      <c r="B10542" t="s">
        <v>13759</v>
      </c>
      <c r="C10542" t="s">
        <v>112</v>
      </c>
      <c r="D10542">
        <v>-551.21073533450397</v>
      </c>
    </row>
    <row r="10543" spans="1:4" hidden="1" x14ac:dyDescent="0.3">
      <c r="A10543">
        <v>10541</v>
      </c>
      <c r="B10543" t="s">
        <v>13760</v>
      </c>
      <c r="C10543" t="s">
        <v>114</v>
      </c>
      <c r="D10543">
        <v>-108.889346043304</v>
      </c>
    </row>
    <row r="10544" spans="1:4" hidden="1" x14ac:dyDescent="0.3">
      <c r="A10544">
        <v>10542</v>
      </c>
      <c r="B10544" s="1" t="s">
        <v>13761</v>
      </c>
      <c r="C10544" t="s">
        <v>116</v>
      </c>
      <c r="D10544" s="1" t="s">
        <v>13762</v>
      </c>
    </row>
    <row r="10545" spans="1:4" hidden="1" x14ac:dyDescent="0.3">
      <c r="A10545">
        <v>10543</v>
      </c>
      <c r="B10545" t="s">
        <v>13763</v>
      </c>
      <c r="C10545" t="s">
        <v>119</v>
      </c>
      <c r="D10545">
        <v>77748960.648698196</v>
      </c>
    </row>
    <row r="10546" spans="1:4" hidden="1" x14ac:dyDescent="0.3">
      <c r="A10546">
        <v>10544</v>
      </c>
      <c r="B10546" t="s">
        <v>13764</v>
      </c>
      <c r="C10546" t="s">
        <v>121</v>
      </c>
      <c r="D10546">
        <v>38924736.187877998</v>
      </c>
    </row>
    <row r="10547" spans="1:4" hidden="1" x14ac:dyDescent="0.3">
      <c r="A10547">
        <v>10545</v>
      </c>
      <c r="B10547" s="1" t="s">
        <v>13765</v>
      </c>
      <c r="C10547" t="s">
        <v>123</v>
      </c>
      <c r="D10547" s="1" t="s">
        <v>13766</v>
      </c>
    </row>
    <row r="10548" spans="1:4" hidden="1" x14ac:dyDescent="0.3">
      <c r="A10548">
        <v>10546</v>
      </c>
      <c r="B10548" t="s">
        <v>13767</v>
      </c>
      <c r="C10548" t="s">
        <v>126</v>
      </c>
      <c r="D10548">
        <v>0.76836402271448401</v>
      </c>
    </row>
    <row r="10549" spans="1:4" hidden="1" x14ac:dyDescent="0.3">
      <c r="A10549">
        <v>10547</v>
      </c>
      <c r="B10549" t="s">
        <v>13768</v>
      </c>
      <c r="C10549" t="s">
        <v>128</v>
      </c>
      <c r="D10549">
        <v>0.38467867134014</v>
      </c>
    </row>
    <row r="10550" spans="1:4" hidden="1" x14ac:dyDescent="0.3">
      <c r="A10550">
        <v>10548</v>
      </c>
      <c r="B10550" s="1" t="s">
        <v>13769</v>
      </c>
      <c r="C10550" t="s">
        <v>130</v>
      </c>
      <c r="D10550" s="1" t="s">
        <v>13770</v>
      </c>
    </row>
    <row r="10551" spans="1:4" hidden="1" x14ac:dyDescent="0.3">
      <c r="A10551">
        <v>10549</v>
      </c>
      <c r="B10551" s="1" t="s">
        <v>13771</v>
      </c>
      <c r="C10551" t="s">
        <v>4</v>
      </c>
      <c r="D10551" t="s">
        <v>13772</v>
      </c>
    </row>
    <row r="10552" spans="1:4" hidden="1" x14ac:dyDescent="0.3">
      <c r="A10552">
        <v>10550</v>
      </c>
      <c r="B10552" t="s">
        <v>13773</v>
      </c>
      <c r="C10552" t="s">
        <v>7</v>
      </c>
      <c r="D10552">
        <v>1814.67</v>
      </c>
    </row>
    <row r="10553" spans="1:4" hidden="1" x14ac:dyDescent="0.3">
      <c r="A10553">
        <v>10551</v>
      </c>
      <c r="B10553" s="1" t="s">
        <v>13774</v>
      </c>
      <c r="C10553" t="s">
        <v>9</v>
      </c>
      <c r="D10553" s="1" t="s">
        <v>13775</v>
      </c>
    </row>
    <row r="10554" spans="1:4" hidden="1" x14ac:dyDescent="0.3">
      <c r="A10554">
        <v>10552</v>
      </c>
      <c r="B10554" t="s">
        <v>13776</v>
      </c>
      <c r="C10554" t="s">
        <v>14</v>
      </c>
      <c r="D10554">
        <v>96.94921875</v>
      </c>
    </row>
    <row r="10555" spans="1:4" hidden="1" x14ac:dyDescent="0.3">
      <c r="A10555">
        <v>10553</v>
      </c>
      <c r="B10555" t="s">
        <v>13777</v>
      </c>
      <c r="C10555" t="s">
        <v>16</v>
      </c>
      <c r="D10555">
        <v>4.3812193314693904</v>
      </c>
    </row>
    <row r="10556" spans="1:4" hidden="1" x14ac:dyDescent="0.3">
      <c r="A10556">
        <v>10554</v>
      </c>
      <c r="B10556" s="1" t="s">
        <v>13778</v>
      </c>
      <c r="C10556" t="s">
        <v>140</v>
      </c>
      <c r="D10556" s="1" t="s">
        <v>13779</v>
      </c>
    </row>
    <row r="10557" spans="1:4" hidden="1" x14ac:dyDescent="0.3">
      <c r="A10557">
        <v>10555</v>
      </c>
      <c r="B10557" t="s">
        <v>10383</v>
      </c>
      <c r="C10557" t="s">
        <v>22</v>
      </c>
      <c r="D10557">
        <v>68.599999999999994</v>
      </c>
    </row>
    <row r="10558" spans="1:4" hidden="1" x14ac:dyDescent="0.3">
      <c r="A10558">
        <v>10556</v>
      </c>
      <c r="B10558" t="s">
        <v>13780</v>
      </c>
      <c r="C10558" t="s">
        <v>24</v>
      </c>
      <c r="D10558">
        <v>6.5793336583646296</v>
      </c>
    </row>
    <row r="10559" spans="1:4" hidden="1" x14ac:dyDescent="0.3">
      <c r="A10559">
        <v>10557</v>
      </c>
      <c r="B10559" s="1" t="s">
        <v>13781</v>
      </c>
      <c r="C10559" t="s">
        <v>145</v>
      </c>
      <c r="D10559" s="1" t="s">
        <v>13782</v>
      </c>
    </row>
    <row r="10560" spans="1:4" hidden="1" x14ac:dyDescent="0.3">
      <c r="A10560">
        <v>10558</v>
      </c>
      <c r="B10560" t="s">
        <v>13783</v>
      </c>
      <c r="C10560" t="s">
        <v>35</v>
      </c>
      <c r="D10560">
        <v>-0.37554250107508902</v>
      </c>
    </row>
    <row r="10561" spans="1:4" hidden="1" x14ac:dyDescent="0.3">
      <c r="A10561">
        <v>10559</v>
      </c>
      <c r="B10561" t="s">
        <v>13784</v>
      </c>
      <c r="C10561" t="s">
        <v>149</v>
      </c>
      <c r="D10561">
        <v>0.69223445152934904</v>
      </c>
    </row>
    <row r="10562" spans="1:4" hidden="1" x14ac:dyDescent="0.3">
      <c r="A10562">
        <v>10560</v>
      </c>
      <c r="B10562" s="1" t="s">
        <v>13785</v>
      </c>
      <c r="C10562" t="s">
        <v>151</v>
      </c>
      <c r="D10562" s="1" t="s">
        <v>13786</v>
      </c>
    </row>
    <row r="10563" spans="1:4" hidden="1" x14ac:dyDescent="0.3">
      <c r="A10563">
        <v>10561</v>
      </c>
      <c r="B10563" t="s">
        <v>13787</v>
      </c>
      <c r="C10563" t="s">
        <v>30</v>
      </c>
      <c r="D10563">
        <v>0.53254898420375796</v>
      </c>
    </row>
    <row r="10564" spans="1:4" hidden="1" x14ac:dyDescent="0.3">
      <c r="A10564">
        <v>10562</v>
      </c>
      <c r="B10564" t="s">
        <v>13788</v>
      </c>
      <c r="C10564" t="s">
        <v>32</v>
      </c>
      <c r="D10564">
        <v>0.23366409327653401</v>
      </c>
    </row>
    <row r="10565" spans="1:4" hidden="1" x14ac:dyDescent="0.3">
      <c r="A10565">
        <v>10563</v>
      </c>
      <c r="B10565" s="1" t="s">
        <v>13789</v>
      </c>
      <c r="C10565" t="s">
        <v>155</v>
      </c>
      <c r="D10565" s="1" t="s">
        <v>13790</v>
      </c>
    </row>
    <row r="10566" spans="1:4" hidden="1" x14ac:dyDescent="0.3">
      <c r="A10566">
        <v>10564</v>
      </c>
      <c r="B10566" t="s">
        <v>13791</v>
      </c>
      <c r="C10566" t="s">
        <v>40</v>
      </c>
      <c r="D10566">
        <v>0.84299351687132995</v>
      </c>
    </row>
    <row r="10567" spans="1:4" hidden="1" x14ac:dyDescent="0.3">
      <c r="A10567">
        <v>10565</v>
      </c>
      <c r="B10567" t="s">
        <v>13792</v>
      </c>
      <c r="C10567" t="s">
        <v>42</v>
      </c>
      <c r="D10567">
        <v>0.210933178342504</v>
      </c>
    </row>
    <row r="10568" spans="1:4" hidden="1" x14ac:dyDescent="0.3">
      <c r="A10568">
        <v>10566</v>
      </c>
      <c r="B10568" s="1" t="s">
        <v>13793</v>
      </c>
      <c r="C10568" t="s">
        <v>159</v>
      </c>
      <c r="D10568" s="1" t="s">
        <v>13794</v>
      </c>
    </row>
    <row r="10569" spans="1:4" hidden="1" x14ac:dyDescent="0.3">
      <c r="A10569">
        <v>10567</v>
      </c>
      <c r="B10569" t="s">
        <v>13795</v>
      </c>
      <c r="C10569" t="s">
        <v>161</v>
      </c>
      <c r="D10569">
        <v>1.00551889223199</v>
      </c>
    </row>
    <row r="10570" spans="1:4" hidden="1" x14ac:dyDescent="0.3">
      <c r="A10570">
        <v>10568</v>
      </c>
      <c r="B10570" t="s">
        <v>13796</v>
      </c>
      <c r="C10570" t="s">
        <v>163</v>
      </c>
      <c r="D10570">
        <v>1.00141119420348</v>
      </c>
    </row>
    <row r="10571" spans="1:4" hidden="1" x14ac:dyDescent="0.3">
      <c r="A10571">
        <v>10569</v>
      </c>
      <c r="B10571" s="1" t="s">
        <v>13797</v>
      </c>
      <c r="C10571" t="s">
        <v>165</v>
      </c>
      <c r="D10571" s="1" t="s">
        <v>13798</v>
      </c>
    </row>
    <row r="10572" spans="1:4" hidden="1" x14ac:dyDescent="0.3">
      <c r="A10572">
        <v>10570</v>
      </c>
      <c r="B10572" t="s">
        <v>13799</v>
      </c>
      <c r="C10572" t="s">
        <v>168</v>
      </c>
      <c r="D10572">
        <v>1.00021338696032</v>
      </c>
    </row>
    <row r="10573" spans="1:4" hidden="1" x14ac:dyDescent="0.3">
      <c r="A10573">
        <v>10571</v>
      </c>
      <c r="B10573" t="s">
        <v>13800</v>
      </c>
      <c r="C10573" t="s">
        <v>170</v>
      </c>
      <c r="D10573">
        <v>0.99931764313933102</v>
      </c>
    </row>
    <row r="10574" spans="1:4" hidden="1" x14ac:dyDescent="0.3">
      <c r="A10574">
        <v>10572</v>
      </c>
      <c r="B10574" s="1" t="s">
        <v>13801</v>
      </c>
      <c r="C10574" t="s">
        <v>172</v>
      </c>
      <c r="D10574" s="1" t="s">
        <v>13802</v>
      </c>
    </row>
    <row r="10575" spans="1:4" hidden="1" x14ac:dyDescent="0.3">
      <c r="A10575">
        <v>10573</v>
      </c>
      <c r="B10575" s="1" t="s">
        <v>13803</v>
      </c>
      <c r="C10575" t="s">
        <v>55</v>
      </c>
      <c r="D10575" s="1" t="s">
        <v>13804</v>
      </c>
    </row>
    <row r="10576" spans="1:4" hidden="1" x14ac:dyDescent="0.3">
      <c r="A10576">
        <v>10574</v>
      </c>
      <c r="B10576" s="1" t="s">
        <v>13805</v>
      </c>
      <c r="C10576" t="s">
        <v>52</v>
      </c>
      <c r="D10576" s="1" t="s">
        <v>13806</v>
      </c>
    </row>
    <row r="10577" spans="1:4" hidden="1" x14ac:dyDescent="0.3">
      <c r="A10577">
        <v>10575</v>
      </c>
      <c r="B10577" s="1" t="s">
        <v>13807</v>
      </c>
      <c r="C10577" t="s">
        <v>58</v>
      </c>
      <c r="D10577" s="1" t="s">
        <v>13808</v>
      </c>
    </row>
    <row r="10578" spans="1:4" hidden="1" x14ac:dyDescent="0.3">
      <c r="A10578">
        <v>10576</v>
      </c>
      <c r="B10578" t="s">
        <v>13809</v>
      </c>
      <c r="C10578" t="s">
        <v>61</v>
      </c>
      <c r="D10578">
        <v>144590896.90858099</v>
      </c>
    </row>
    <row r="10579" spans="1:4" hidden="1" x14ac:dyDescent="0.3">
      <c r="A10579">
        <v>10577</v>
      </c>
      <c r="B10579" t="s">
        <v>13810</v>
      </c>
      <c r="C10579" t="s">
        <v>63</v>
      </c>
      <c r="D10579">
        <v>78178048.783667803</v>
      </c>
    </row>
    <row r="10580" spans="1:4" hidden="1" x14ac:dyDescent="0.3">
      <c r="A10580">
        <v>10578</v>
      </c>
      <c r="B10580" t="s">
        <v>13811</v>
      </c>
      <c r="C10580" t="s">
        <v>65</v>
      </c>
      <c r="D10580">
        <v>38979666.549958497</v>
      </c>
    </row>
    <row r="10581" spans="1:4" hidden="1" x14ac:dyDescent="0.3">
      <c r="A10581">
        <v>10579</v>
      </c>
      <c r="B10581" s="1" t="s">
        <v>13812</v>
      </c>
      <c r="C10581" t="s">
        <v>67</v>
      </c>
      <c r="D10581" s="1" t="s">
        <v>13813</v>
      </c>
    </row>
    <row r="10582" spans="1:4" hidden="1" x14ac:dyDescent="0.3">
      <c r="A10582">
        <v>10580</v>
      </c>
      <c r="B10582" s="1" t="s">
        <v>13814</v>
      </c>
      <c r="C10582" t="s">
        <v>70</v>
      </c>
      <c r="D10582" s="1" t="s">
        <v>13815</v>
      </c>
    </row>
    <row r="10583" spans="1:4" hidden="1" x14ac:dyDescent="0.3">
      <c r="A10583">
        <v>10581</v>
      </c>
      <c r="B10583" t="s">
        <v>13816</v>
      </c>
      <c r="C10583" t="s">
        <v>73</v>
      </c>
      <c r="D10583">
        <v>1.0003921686798201</v>
      </c>
    </row>
    <row r="10584" spans="1:4" hidden="1" x14ac:dyDescent="0.3">
      <c r="A10584">
        <v>10582</v>
      </c>
      <c r="B10584" t="s">
        <v>74</v>
      </c>
      <c r="C10584" t="s">
        <v>75</v>
      </c>
      <c r="D10584">
        <v>2.7397260273972599E-3</v>
      </c>
    </row>
    <row r="10585" spans="1:4" hidden="1" x14ac:dyDescent="0.3">
      <c r="A10585">
        <v>10583</v>
      </c>
      <c r="B10585" t="s">
        <v>76</v>
      </c>
      <c r="C10585" t="s">
        <v>77</v>
      </c>
      <c r="D10585">
        <v>0</v>
      </c>
    </row>
    <row r="10586" spans="1:4" hidden="1" x14ac:dyDescent="0.3">
      <c r="A10586">
        <v>10584</v>
      </c>
      <c r="B10586" t="s">
        <v>78</v>
      </c>
      <c r="C10586" t="s">
        <v>79</v>
      </c>
      <c r="D10586">
        <v>0</v>
      </c>
    </row>
    <row r="10587" spans="1:4" hidden="1" x14ac:dyDescent="0.3">
      <c r="A10587">
        <v>10585</v>
      </c>
      <c r="B10587" s="1" t="s">
        <v>13817</v>
      </c>
      <c r="C10587" t="s">
        <v>81</v>
      </c>
      <c r="D10587" s="1" t="s">
        <v>13818</v>
      </c>
    </row>
    <row r="10588" spans="1:4" hidden="1" x14ac:dyDescent="0.3">
      <c r="A10588">
        <v>10586</v>
      </c>
      <c r="B10588" t="s">
        <v>13819</v>
      </c>
      <c r="C10588" t="s">
        <v>84</v>
      </c>
      <c r="D10588">
        <v>1.0004054905839099</v>
      </c>
    </row>
    <row r="10589" spans="1:4" hidden="1" x14ac:dyDescent="0.3">
      <c r="A10589">
        <v>10587</v>
      </c>
      <c r="B10589" s="1" t="s">
        <v>13820</v>
      </c>
      <c r="C10589" t="s">
        <v>86</v>
      </c>
      <c r="D10589" s="1" t="s">
        <v>13821</v>
      </c>
    </row>
    <row r="10590" spans="1:4" hidden="1" x14ac:dyDescent="0.3">
      <c r="A10590">
        <v>10588</v>
      </c>
      <c r="B10590" t="s">
        <v>13822</v>
      </c>
      <c r="C10590" t="s">
        <v>89</v>
      </c>
      <c r="D10590">
        <v>101148764.611828</v>
      </c>
    </row>
    <row r="10591" spans="1:4" hidden="1" x14ac:dyDescent="0.3">
      <c r="A10591">
        <v>10589</v>
      </c>
      <c r="B10591" s="1" t="s">
        <v>13823</v>
      </c>
      <c r="C10591" t="s">
        <v>91</v>
      </c>
      <c r="D10591" s="1" t="s">
        <v>13758</v>
      </c>
    </row>
    <row r="10592" spans="1:4" hidden="1" x14ac:dyDescent="0.3">
      <c r="A10592">
        <v>10590</v>
      </c>
      <c r="B10592" t="s">
        <v>13824</v>
      </c>
      <c r="C10592" t="s">
        <v>94</v>
      </c>
      <c r="D10592">
        <v>78178048.783667803</v>
      </c>
    </row>
    <row r="10593" spans="1:4" hidden="1" x14ac:dyDescent="0.3">
      <c r="A10593">
        <v>10591</v>
      </c>
      <c r="B10593" t="s">
        <v>13825</v>
      </c>
      <c r="C10593" t="s">
        <v>96</v>
      </c>
      <c r="D10593">
        <v>38979666.549958497</v>
      </c>
    </row>
    <row r="10594" spans="1:4" hidden="1" x14ac:dyDescent="0.3">
      <c r="A10594">
        <v>10592</v>
      </c>
      <c r="B10594" t="s">
        <v>13826</v>
      </c>
      <c r="C10594" t="s">
        <v>98</v>
      </c>
      <c r="D10594">
        <v>27433181.574954599</v>
      </c>
    </row>
    <row r="10595" spans="1:4" hidden="1" x14ac:dyDescent="0.3">
      <c r="A10595">
        <v>10593</v>
      </c>
      <c r="B10595" s="1" t="s">
        <v>13827</v>
      </c>
      <c r="C10595" t="s">
        <v>100</v>
      </c>
      <c r="D10595" s="1" t="s">
        <v>13828</v>
      </c>
    </row>
    <row r="10596" spans="1:4" hidden="1" x14ac:dyDescent="0.3">
      <c r="A10596">
        <v>10594</v>
      </c>
      <c r="B10596" t="s">
        <v>13829</v>
      </c>
      <c r="C10596" t="s">
        <v>103</v>
      </c>
      <c r="D10596">
        <v>8.0194748632158898E-3</v>
      </c>
    </row>
    <row r="10597" spans="1:4" hidden="1" x14ac:dyDescent="0.3">
      <c r="A10597">
        <v>10595</v>
      </c>
      <c r="B10597" t="s">
        <v>13830</v>
      </c>
      <c r="C10597" t="s">
        <v>105</v>
      </c>
      <c r="D10597">
        <v>1.65839897936253E-3</v>
      </c>
    </row>
    <row r="10598" spans="1:4" hidden="1" x14ac:dyDescent="0.3">
      <c r="A10598">
        <v>10596</v>
      </c>
      <c r="B10598" t="s">
        <v>13831</v>
      </c>
      <c r="C10598" t="s">
        <v>107</v>
      </c>
      <c r="D10598">
        <v>9.9632696739271297E-3</v>
      </c>
    </row>
    <row r="10599" spans="1:4" hidden="1" x14ac:dyDescent="0.3">
      <c r="A10599">
        <v>10597</v>
      </c>
      <c r="B10599" s="1" t="s">
        <v>13832</v>
      </c>
      <c r="C10599" t="s">
        <v>109</v>
      </c>
      <c r="D10599" s="1" t="s">
        <v>13833</v>
      </c>
    </row>
    <row r="10600" spans="1:4" x14ac:dyDescent="0.3">
      <c r="A10600">
        <v>10598</v>
      </c>
      <c r="B10600" t="s">
        <v>13834</v>
      </c>
      <c r="C10600" t="s">
        <v>207</v>
      </c>
      <c r="D10600">
        <v>144591365.206541</v>
      </c>
    </row>
    <row r="10601" spans="1:4" hidden="1" x14ac:dyDescent="0.3">
      <c r="A10601">
        <v>10599</v>
      </c>
      <c r="B10601" t="s">
        <v>13835</v>
      </c>
      <c r="C10601" t="s">
        <v>209</v>
      </c>
      <c r="D10601">
        <v>-1041.0766908657699</v>
      </c>
    </row>
    <row r="10602" spans="1:4" hidden="1" x14ac:dyDescent="0.3">
      <c r="A10602">
        <v>10600</v>
      </c>
      <c r="B10602" t="s">
        <v>13836</v>
      </c>
      <c r="C10602" t="s">
        <v>211</v>
      </c>
      <c r="D10602">
        <v>-519.08111325247603</v>
      </c>
    </row>
    <row r="10603" spans="1:4" hidden="1" x14ac:dyDescent="0.3">
      <c r="A10603">
        <v>10601</v>
      </c>
      <c r="B10603" s="1" t="s">
        <v>13837</v>
      </c>
      <c r="C10603" t="s">
        <v>213</v>
      </c>
      <c r="D10603" s="1" t="s">
        <v>13838</v>
      </c>
    </row>
    <row r="10604" spans="1:4" hidden="1" x14ac:dyDescent="0.3">
      <c r="A10604">
        <v>10602</v>
      </c>
      <c r="B10604" t="s">
        <v>13839</v>
      </c>
      <c r="C10604" t="s">
        <v>216</v>
      </c>
      <c r="D10604">
        <v>78179427.732141405</v>
      </c>
    </row>
    <row r="10605" spans="1:4" hidden="1" x14ac:dyDescent="0.3">
      <c r="A10605">
        <v>10603</v>
      </c>
      <c r="B10605" t="s">
        <v>13840</v>
      </c>
      <c r="C10605" t="s">
        <v>218</v>
      </c>
      <c r="D10605">
        <v>38980283.332338803</v>
      </c>
    </row>
    <row r="10606" spans="1:4" hidden="1" x14ac:dyDescent="0.3">
      <c r="A10606">
        <v>10604</v>
      </c>
      <c r="B10606" t="s">
        <v>13841</v>
      </c>
      <c r="C10606" t="s">
        <v>220</v>
      </c>
      <c r="D10606">
        <v>27433579.619248401</v>
      </c>
    </row>
    <row r="10607" spans="1:4" hidden="1" x14ac:dyDescent="0.3">
      <c r="A10607">
        <v>10605</v>
      </c>
      <c r="B10607" s="1" t="s">
        <v>13842</v>
      </c>
      <c r="C10607" t="s">
        <v>222</v>
      </c>
      <c r="D10607" s="1" t="s">
        <v>13843</v>
      </c>
    </row>
    <row r="10608" spans="1:4" hidden="1" x14ac:dyDescent="0.3">
      <c r="A10608">
        <v>10606</v>
      </c>
      <c r="B10608" t="s">
        <v>13844</v>
      </c>
      <c r="C10608" t="s">
        <v>225</v>
      </c>
      <c r="D10608">
        <v>101150111.577731</v>
      </c>
    </row>
    <row r="10609" spans="1:4" hidden="1" x14ac:dyDescent="0.3">
      <c r="A10609">
        <v>10607</v>
      </c>
      <c r="B10609" t="s">
        <v>13845</v>
      </c>
      <c r="C10609" t="s">
        <v>227</v>
      </c>
      <c r="D10609">
        <v>-1346.9659026265099</v>
      </c>
    </row>
    <row r="10610" spans="1:4" hidden="1" x14ac:dyDescent="0.3">
      <c r="A10610">
        <v>10608</v>
      </c>
      <c r="B10610" s="1" t="s">
        <v>13846</v>
      </c>
      <c r="C10610" t="s">
        <v>229</v>
      </c>
      <c r="D10610" s="1" t="s">
        <v>13847</v>
      </c>
    </row>
    <row r="10611" spans="1:4" hidden="1" x14ac:dyDescent="0.3">
      <c r="A10611">
        <v>10609</v>
      </c>
      <c r="B10611" t="s">
        <v>13848</v>
      </c>
      <c r="C10611" t="s">
        <v>112</v>
      </c>
      <c r="D10611">
        <v>337.87178280024801</v>
      </c>
    </row>
    <row r="10612" spans="1:4" hidden="1" x14ac:dyDescent="0.3">
      <c r="A10612">
        <v>10610</v>
      </c>
      <c r="B10612" t="s">
        <v>13849</v>
      </c>
      <c r="C10612" t="s">
        <v>114</v>
      </c>
      <c r="D10612">
        <v>97.701267019275704</v>
      </c>
    </row>
    <row r="10613" spans="1:4" hidden="1" x14ac:dyDescent="0.3">
      <c r="A10613">
        <v>10611</v>
      </c>
      <c r="B10613" s="1" t="s">
        <v>13850</v>
      </c>
      <c r="C10613" t="s">
        <v>116</v>
      </c>
      <c r="D10613" s="1" t="s">
        <v>13851</v>
      </c>
    </row>
    <row r="10614" spans="1:4" hidden="1" x14ac:dyDescent="0.3">
      <c r="A10614">
        <v>10612</v>
      </c>
      <c r="B10614" t="s">
        <v>13852</v>
      </c>
      <c r="C10614" t="s">
        <v>119</v>
      </c>
      <c r="D10614">
        <v>78179427.732141405</v>
      </c>
    </row>
    <row r="10615" spans="1:4" hidden="1" x14ac:dyDescent="0.3">
      <c r="A10615">
        <v>10613</v>
      </c>
      <c r="B10615" t="s">
        <v>13853</v>
      </c>
      <c r="C10615" t="s">
        <v>121</v>
      </c>
      <c r="D10615">
        <v>38980283.332338803</v>
      </c>
    </row>
    <row r="10616" spans="1:4" hidden="1" x14ac:dyDescent="0.3">
      <c r="A10616">
        <v>10614</v>
      </c>
      <c r="B10616" s="1" t="s">
        <v>13854</v>
      </c>
      <c r="C10616" t="s">
        <v>123</v>
      </c>
      <c r="D10616" s="1" t="s">
        <v>13855</v>
      </c>
    </row>
    <row r="10617" spans="1:4" hidden="1" x14ac:dyDescent="0.3">
      <c r="A10617">
        <v>10615</v>
      </c>
      <c r="B10617" t="s">
        <v>13856</v>
      </c>
      <c r="C10617" t="s">
        <v>126</v>
      </c>
      <c r="D10617">
        <v>0.77259172867586201</v>
      </c>
    </row>
    <row r="10618" spans="1:4" hidden="1" x14ac:dyDescent="0.3">
      <c r="A10618">
        <v>10616</v>
      </c>
      <c r="B10618" t="s">
        <v>13857</v>
      </c>
      <c r="C10618" t="s">
        <v>128</v>
      </c>
      <c r="D10618">
        <v>0.38521444013621498</v>
      </c>
    </row>
    <row r="10619" spans="1:4" hidden="1" x14ac:dyDescent="0.3">
      <c r="A10619">
        <v>10617</v>
      </c>
      <c r="B10619" s="1" t="s">
        <v>13858</v>
      </c>
      <c r="C10619" t="s">
        <v>130</v>
      </c>
      <c r="D10619" s="1" t="s">
        <v>13859</v>
      </c>
    </row>
    <row r="10620" spans="1:4" hidden="1" x14ac:dyDescent="0.3">
      <c r="A10620">
        <v>10618</v>
      </c>
      <c r="B10620" s="1" t="s">
        <v>13860</v>
      </c>
      <c r="C10620" t="s">
        <v>4</v>
      </c>
      <c r="D10620" t="s">
        <v>13861</v>
      </c>
    </row>
    <row r="10621" spans="1:4" hidden="1" x14ac:dyDescent="0.3">
      <c r="A10621">
        <v>10619</v>
      </c>
      <c r="B10621" t="s">
        <v>13862</v>
      </c>
      <c r="C10621" t="s">
        <v>7</v>
      </c>
      <c r="D10621">
        <v>1829.2</v>
      </c>
    </row>
    <row r="10622" spans="1:4" hidden="1" x14ac:dyDescent="0.3">
      <c r="A10622">
        <v>10620</v>
      </c>
      <c r="B10622" s="1" t="s">
        <v>13863</v>
      </c>
      <c r="C10622" t="s">
        <v>9</v>
      </c>
      <c r="D10622" s="1" t="s">
        <v>13864</v>
      </c>
    </row>
    <row r="10623" spans="1:4" hidden="1" x14ac:dyDescent="0.3">
      <c r="A10623">
        <v>10621</v>
      </c>
      <c r="B10623" t="s">
        <v>13865</v>
      </c>
      <c r="C10623" t="s">
        <v>14</v>
      </c>
      <c r="D10623">
        <v>96.953125</v>
      </c>
    </row>
    <row r="10624" spans="1:4" hidden="1" x14ac:dyDescent="0.3">
      <c r="A10624">
        <v>10622</v>
      </c>
      <c r="B10624" t="s">
        <v>13866</v>
      </c>
      <c r="C10624" t="s">
        <v>16</v>
      </c>
      <c r="D10624">
        <v>4.3812145536221898</v>
      </c>
    </row>
    <row r="10625" spans="1:4" hidden="1" x14ac:dyDescent="0.3">
      <c r="A10625">
        <v>10623</v>
      </c>
      <c r="B10625" s="1" t="s">
        <v>13867</v>
      </c>
      <c r="C10625" t="s">
        <v>140</v>
      </c>
      <c r="D10625" s="1" t="s">
        <v>13868</v>
      </c>
    </row>
    <row r="10626" spans="1:4" hidden="1" x14ac:dyDescent="0.3">
      <c r="A10626">
        <v>10624</v>
      </c>
      <c r="B10626" t="s">
        <v>10293</v>
      </c>
      <c r="C10626" t="s">
        <v>22</v>
      </c>
      <c r="D10626">
        <v>68.650000000000006</v>
      </c>
    </row>
    <row r="10627" spans="1:4" hidden="1" x14ac:dyDescent="0.3">
      <c r="A10627">
        <v>10625</v>
      </c>
      <c r="B10627" t="s">
        <v>13869</v>
      </c>
      <c r="C10627" t="s">
        <v>24</v>
      </c>
      <c r="D10627">
        <v>6.5847635967420599</v>
      </c>
    </row>
    <row r="10628" spans="1:4" hidden="1" x14ac:dyDescent="0.3">
      <c r="A10628">
        <v>10626</v>
      </c>
      <c r="B10628" s="1" t="s">
        <v>13870</v>
      </c>
      <c r="C10628" t="s">
        <v>145</v>
      </c>
      <c r="D10628" s="1" t="s">
        <v>13871</v>
      </c>
    </row>
    <row r="10629" spans="1:4" hidden="1" x14ac:dyDescent="0.3">
      <c r="A10629">
        <v>10627</v>
      </c>
      <c r="B10629" t="s">
        <v>13872</v>
      </c>
      <c r="C10629" t="s">
        <v>35</v>
      </c>
      <c r="D10629">
        <v>-0.655762221880128</v>
      </c>
    </row>
    <row r="10630" spans="1:4" hidden="1" x14ac:dyDescent="0.3">
      <c r="A10630">
        <v>10628</v>
      </c>
      <c r="B10630" t="s">
        <v>13873</v>
      </c>
      <c r="C10630" t="s">
        <v>149</v>
      </c>
      <c r="D10630">
        <v>0.69354136494247398</v>
      </c>
    </row>
    <row r="10631" spans="1:4" hidden="1" x14ac:dyDescent="0.3">
      <c r="A10631">
        <v>10629</v>
      </c>
      <c r="B10631" s="1" t="s">
        <v>13874</v>
      </c>
      <c r="C10631" t="s">
        <v>151</v>
      </c>
      <c r="D10631" s="1" t="s">
        <v>13875</v>
      </c>
    </row>
    <row r="10632" spans="1:4" hidden="1" x14ac:dyDescent="0.3">
      <c r="A10632">
        <v>10630</v>
      </c>
      <c r="B10632" t="s">
        <v>13876</v>
      </c>
      <c r="C10632" t="s">
        <v>30</v>
      </c>
      <c r="D10632">
        <v>0.644722737126871</v>
      </c>
    </row>
    <row r="10633" spans="1:4" hidden="1" x14ac:dyDescent="0.3">
      <c r="A10633">
        <v>10631</v>
      </c>
      <c r="B10633" t="s">
        <v>13877</v>
      </c>
      <c r="C10633" t="s">
        <v>32</v>
      </c>
      <c r="D10633">
        <v>0.232059132673642</v>
      </c>
    </row>
    <row r="10634" spans="1:4" hidden="1" x14ac:dyDescent="0.3">
      <c r="A10634">
        <v>10632</v>
      </c>
      <c r="B10634" s="1" t="s">
        <v>13878</v>
      </c>
      <c r="C10634" t="s">
        <v>155</v>
      </c>
      <c r="D10634" s="1" t="s">
        <v>13879</v>
      </c>
    </row>
    <row r="10635" spans="1:4" hidden="1" x14ac:dyDescent="0.3">
      <c r="A10635">
        <v>10633</v>
      </c>
      <c r="B10635" t="s">
        <v>13880</v>
      </c>
      <c r="C10635" t="s">
        <v>40</v>
      </c>
      <c r="D10635">
        <v>1.01103948475325</v>
      </c>
    </row>
    <row r="10636" spans="1:4" hidden="1" x14ac:dyDescent="0.3">
      <c r="A10636">
        <v>10634</v>
      </c>
      <c r="B10636" t="s">
        <v>13881</v>
      </c>
      <c r="C10636" t="s">
        <v>42</v>
      </c>
      <c r="D10636">
        <v>0.20981593137959501</v>
      </c>
    </row>
    <row r="10637" spans="1:4" hidden="1" x14ac:dyDescent="0.3">
      <c r="A10637">
        <v>10635</v>
      </c>
      <c r="B10637" s="1" t="s">
        <v>13882</v>
      </c>
      <c r="C10637" t="s">
        <v>159</v>
      </c>
      <c r="D10637" s="1" t="s">
        <v>13883</v>
      </c>
    </row>
    <row r="10638" spans="1:4" hidden="1" x14ac:dyDescent="0.3">
      <c r="A10638">
        <v>10636</v>
      </c>
      <c r="B10638" t="s">
        <v>13884</v>
      </c>
      <c r="C10638" t="s">
        <v>161</v>
      </c>
      <c r="D10638">
        <v>1.00800696545377</v>
      </c>
    </row>
    <row r="10639" spans="1:4" hidden="1" x14ac:dyDescent="0.3">
      <c r="A10639">
        <v>10637</v>
      </c>
      <c r="B10639" t="s">
        <v>13885</v>
      </c>
      <c r="C10639" t="s">
        <v>163</v>
      </c>
      <c r="D10639">
        <v>1.00003850247</v>
      </c>
    </row>
    <row r="10640" spans="1:4" hidden="1" x14ac:dyDescent="0.3">
      <c r="A10640">
        <v>10638</v>
      </c>
      <c r="B10640" s="1" t="s">
        <v>13886</v>
      </c>
      <c r="C10640" t="s">
        <v>165</v>
      </c>
      <c r="D10640" s="1" t="s">
        <v>13887</v>
      </c>
    </row>
    <row r="10641" spans="1:4" hidden="1" x14ac:dyDescent="0.3">
      <c r="A10641">
        <v>10639</v>
      </c>
      <c r="B10641" t="s">
        <v>13888</v>
      </c>
      <c r="C10641" t="s">
        <v>168</v>
      </c>
      <c r="D10641">
        <v>1.0007723004409601</v>
      </c>
    </row>
    <row r="10642" spans="1:4" hidden="1" x14ac:dyDescent="0.3">
      <c r="A10642">
        <v>10640</v>
      </c>
      <c r="B10642" t="s">
        <v>13889</v>
      </c>
      <c r="C10642" t="s">
        <v>170</v>
      </c>
      <c r="D10642">
        <v>0.99869902949138301</v>
      </c>
    </row>
    <row r="10643" spans="1:4" hidden="1" x14ac:dyDescent="0.3">
      <c r="A10643">
        <v>10641</v>
      </c>
      <c r="B10643" s="1" t="s">
        <v>13890</v>
      </c>
      <c r="C10643" t="s">
        <v>172</v>
      </c>
      <c r="D10643" s="1" t="s">
        <v>13891</v>
      </c>
    </row>
    <row r="10644" spans="1:4" hidden="1" x14ac:dyDescent="0.3">
      <c r="A10644">
        <v>10642</v>
      </c>
      <c r="B10644" s="1" t="s">
        <v>13892</v>
      </c>
      <c r="C10644" t="s">
        <v>55</v>
      </c>
      <c r="D10644" s="1" t="s">
        <v>13893</v>
      </c>
    </row>
    <row r="10645" spans="1:4" hidden="1" x14ac:dyDescent="0.3">
      <c r="A10645">
        <v>10643</v>
      </c>
      <c r="B10645" s="1" t="s">
        <v>13894</v>
      </c>
      <c r="C10645" t="s">
        <v>52</v>
      </c>
      <c r="D10645" s="1" t="s">
        <v>13895</v>
      </c>
    </row>
    <row r="10646" spans="1:4" hidden="1" x14ac:dyDescent="0.3">
      <c r="A10646">
        <v>10644</v>
      </c>
      <c r="B10646" s="1" t="s">
        <v>13896</v>
      </c>
      <c r="C10646" t="s">
        <v>58</v>
      </c>
      <c r="D10646" s="1" t="s">
        <v>13897</v>
      </c>
    </row>
    <row r="10647" spans="1:4" hidden="1" x14ac:dyDescent="0.3">
      <c r="A10647">
        <v>10645</v>
      </c>
      <c r="B10647" t="s">
        <v>13898</v>
      </c>
      <c r="C10647" t="s">
        <v>61</v>
      </c>
      <c r="D10647">
        <v>145240998.35491899</v>
      </c>
    </row>
    <row r="10648" spans="1:4" hidden="1" x14ac:dyDescent="0.3">
      <c r="A10648">
        <v>10646</v>
      </c>
      <c r="B10648" t="s">
        <v>13899</v>
      </c>
      <c r="C10648" t="s">
        <v>63</v>
      </c>
      <c r="D10648">
        <v>78805407.709188506</v>
      </c>
    </row>
    <row r="10649" spans="1:4" hidden="1" x14ac:dyDescent="0.3">
      <c r="A10649">
        <v>10647</v>
      </c>
      <c r="B10649" t="s">
        <v>13900</v>
      </c>
      <c r="C10649" t="s">
        <v>65</v>
      </c>
      <c r="D10649">
        <v>38981784.169528499</v>
      </c>
    </row>
    <row r="10650" spans="1:4" hidden="1" x14ac:dyDescent="0.3">
      <c r="A10650">
        <v>10648</v>
      </c>
      <c r="B10650" s="1" t="s">
        <v>13901</v>
      </c>
      <c r="C10650" t="s">
        <v>67</v>
      </c>
      <c r="D10650" s="1" t="s">
        <v>13902</v>
      </c>
    </row>
    <row r="10651" spans="1:4" hidden="1" x14ac:dyDescent="0.3">
      <c r="A10651">
        <v>10649</v>
      </c>
      <c r="B10651" s="1" t="s">
        <v>13903</v>
      </c>
      <c r="C10651" t="s">
        <v>70</v>
      </c>
      <c r="D10651" s="1" t="s">
        <v>13904</v>
      </c>
    </row>
    <row r="10652" spans="1:4" hidden="1" x14ac:dyDescent="0.3">
      <c r="A10652">
        <v>10650</v>
      </c>
      <c r="B10652" t="s">
        <v>13905</v>
      </c>
      <c r="C10652" t="s">
        <v>73</v>
      </c>
      <c r="D10652">
        <v>1.0004054905839099</v>
      </c>
    </row>
    <row r="10653" spans="1:4" hidden="1" x14ac:dyDescent="0.3">
      <c r="A10653">
        <v>10651</v>
      </c>
      <c r="B10653" t="s">
        <v>74</v>
      </c>
      <c r="C10653" t="s">
        <v>75</v>
      </c>
      <c r="D10653">
        <v>2.7397260273972599E-3</v>
      </c>
    </row>
    <row r="10654" spans="1:4" hidden="1" x14ac:dyDescent="0.3">
      <c r="A10654">
        <v>10652</v>
      </c>
      <c r="B10654" t="s">
        <v>76</v>
      </c>
      <c r="C10654" t="s">
        <v>77</v>
      </c>
      <c r="D10654">
        <v>0</v>
      </c>
    </row>
    <row r="10655" spans="1:4" hidden="1" x14ac:dyDescent="0.3">
      <c r="A10655">
        <v>10653</v>
      </c>
      <c r="B10655" t="s">
        <v>78</v>
      </c>
      <c r="C10655" t="s">
        <v>79</v>
      </c>
      <c r="D10655">
        <v>0</v>
      </c>
    </row>
    <row r="10656" spans="1:4" hidden="1" x14ac:dyDescent="0.3">
      <c r="A10656">
        <v>10654</v>
      </c>
      <c r="B10656" s="1" t="s">
        <v>13906</v>
      </c>
      <c r="C10656" t="s">
        <v>81</v>
      </c>
      <c r="D10656" s="1" t="s">
        <v>13907</v>
      </c>
    </row>
    <row r="10657" spans="1:4" hidden="1" x14ac:dyDescent="0.3">
      <c r="A10657">
        <v>10655</v>
      </c>
      <c r="B10657" t="s">
        <v>13908</v>
      </c>
      <c r="C10657" t="s">
        <v>84</v>
      </c>
      <c r="D10657">
        <v>1.0004280595024599</v>
      </c>
    </row>
    <row r="10658" spans="1:4" hidden="1" x14ac:dyDescent="0.3">
      <c r="A10658">
        <v>10656</v>
      </c>
      <c r="B10658" s="1" t="s">
        <v>13909</v>
      </c>
      <c r="C10658" t="s">
        <v>86</v>
      </c>
      <c r="D10658" s="1" t="s">
        <v>13910</v>
      </c>
    </row>
    <row r="10659" spans="1:4" hidden="1" x14ac:dyDescent="0.3">
      <c r="A10659">
        <v>10657</v>
      </c>
      <c r="B10659" t="s">
        <v>13911</v>
      </c>
      <c r="C10659" t="s">
        <v>89</v>
      </c>
      <c r="D10659">
        <v>101146482.770362</v>
      </c>
    </row>
    <row r="10660" spans="1:4" hidden="1" x14ac:dyDescent="0.3">
      <c r="A10660">
        <v>10658</v>
      </c>
      <c r="B10660" s="1" t="s">
        <v>13912</v>
      </c>
      <c r="C10660" t="s">
        <v>91</v>
      </c>
      <c r="D10660" s="1" t="s">
        <v>13847</v>
      </c>
    </row>
    <row r="10661" spans="1:4" hidden="1" x14ac:dyDescent="0.3">
      <c r="A10661">
        <v>10659</v>
      </c>
      <c r="B10661" t="s">
        <v>13913</v>
      </c>
      <c r="C10661" t="s">
        <v>94</v>
      </c>
      <c r="D10661">
        <v>78805407.709188506</v>
      </c>
    </row>
    <row r="10662" spans="1:4" hidden="1" x14ac:dyDescent="0.3">
      <c r="A10662">
        <v>10660</v>
      </c>
      <c r="B10662" t="s">
        <v>13914</v>
      </c>
      <c r="C10662" t="s">
        <v>96</v>
      </c>
      <c r="D10662">
        <v>38981784.169528499</v>
      </c>
    </row>
    <row r="10663" spans="1:4" hidden="1" x14ac:dyDescent="0.3">
      <c r="A10663">
        <v>10661</v>
      </c>
      <c r="B10663" t="s">
        <v>13915</v>
      </c>
      <c r="C10663" t="s">
        <v>98</v>
      </c>
      <c r="D10663">
        <v>27453806.476201899</v>
      </c>
    </row>
    <row r="10664" spans="1:4" hidden="1" x14ac:dyDescent="0.3">
      <c r="A10664">
        <v>10662</v>
      </c>
      <c r="B10664" s="1" t="s">
        <v>13916</v>
      </c>
      <c r="C10664" t="s">
        <v>100</v>
      </c>
      <c r="D10664" s="1" t="s">
        <v>13917</v>
      </c>
    </row>
    <row r="10665" spans="1:4" hidden="1" x14ac:dyDescent="0.3">
      <c r="A10665">
        <v>10663</v>
      </c>
      <c r="B10665" t="s">
        <v>13918</v>
      </c>
      <c r="C10665" t="s">
        <v>103</v>
      </c>
      <c r="D10665">
        <v>8.0386617846729298E-3</v>
      </c>
    </row>
    <row r="10666" spans="1:4" hidden="1" x14ac:dyDescent="0.3">
      <c r="A10666">
        <v>10664</v>
      </c>
      <c r="B10666" t="s">
        <v>13919</v>
      </c>
      <c r="C10666" t="s">
        <v>105</v>
      </c>
      <c r="D10666">
        <v>1.6500194953856201E-3</v>
      </c>
    </row>
    <row r="10667" spans="1:4" hidden="1" x14ac:dyDescent="0.3">
      <c r="A10667">
        <v>10665</v>
      </c>
      <c r="B10667" t="s">
        <v>13920</v>
      </c>
      <c r="C10667" t="s">
        <v>107</v>
      </c>
      <c r="D10667">
        <v>9.9113587066636498E-3</v>
      </c>
    </row>
    <row r="10668" spans="1:4" hidden="1" x14ac:dyDescent="0.3">
      <c r="A10668">
        <v>10666</v>
      </c>
      <c r="B10668" s="1" t="s">
        <v>13921</v>
      </c>
      <c r="C10668" t="s">
        <v>109</v>
      </c>
      <c r="D10668" s="1" t="s">
        <v>13922</v>
      </c>
    </row>
    <row r="10669" spans="1:4" x14ac:dyDescent="0.3">
      <c r="A10669">
        <v>10667</v>
      </c>
      <c r="B10669" t="s">
        <v>13923</v>
      </c>
      <c r="C10669" t="s">
        <v>207</v>
      </c>
      <c r="D10669">
        <v>145241792.07787201</v>
      </c>
    </row>
    <row r="10670" spans="1:4" hidden="1" x14ac:dyDescent="0.3">
      <c r="A10670">
        <v>10668</v>
      </c>
      <c r="B10670" t="s">
        <v>13924</v>
      </c>
      <c r="C10670" t="s">
        <v>209</v>
      </c>
      <c r="D10670">
        <v>-1777.8444401561701</v>
      </c>
    </row>
    <row r="10671" spans="1:4" hidden="1" x14ac:dyDescent="0.3">
      <c r="A10671">
        <v>10669</v>
      </c>
      <c r="B10671" t="s">
        <v>13925</v>
      </c>
      <c r="C10671" t="s">
        <v>211</v>
      </c>
      <c r="D10671">
        <v>-879.42381347676996</v>
      </c>
    </row>
    <row r="10672" spans="1:4" hidden="1" x14ac:dyDescent="0.3">
      <c r="A10672">
        <v>10670</v>
      </c>
      <c r="B10672" s="1" t="s">
        <v>13926</v>
      </c>
      <c r="C10672" t="s">
        <v>213</v>
      </c>
      <c r="D10672" s="1" t="s">
        <v>13927</v>
      </c>
    </row>
    <row r="10673" spans="1:4" hidden="1" x14ac:dyDescent="0.3">
      <c r="A10673">
        <v>10671</v>
      </c>
      <c r="B10673" t="s">
        <v>13928</v>
      </c>
      <c r="C10673" t="s">
        <v>216</v>
      </c>
      <c r="D10673">
        <v>78807739.912060797</v>
      </c>
    </row>
    <row r="10674" spans="1:4" hidden="1" x14ac:dyDescent="0.3">
      <c r="A10674">
        <v>10672</v>
      </c>
      <c r="B10674" t="s">
        <v>13929</v>
      </c>
      <c r="C10674" t="s">
        <v>218</v>
      </c>
      <c r="D10674">
        <v>38982827.518284999</v>
      </c>
    </row>
    <row r="10675" spans="1:4" hidden="1" x14ac:dyDescent="0.3">
      <c r="A10675">
        <v>10673</v>
      </c>
      <c r="B10675" t="s">
        <v>13930</v>
      </c>
      <c r="C10675" t="s">
        <v>220</v>
      </c>
      <c r="D10675">
        <v>27454501.269063599</v>
      </c>
    </row>
    <row r="10676" spans="1:4" hidden="1" x14ac:dyDescent="0.3">
      <c r="A10676">
        <v>10674</v>
      </c>
      <c r="B10676" s="1" t="s">
        <v>13931</v>
      </c>
      <c r="C10676" t="s">
        <v>222</v>
      </c>
      <c r="D10676" s="1" t="s">
        <v>13932</v>
      </c>
    </row>
    <row r="10677" spans="1:4" hidden="1" x14ac:dyDescent="0.3">
      <c r="A10677">
        <v>10675</v>
      </c>
      <c r="B10677" t="s">
        <v>13933</v>
      </c>
      <c r="C10677" t="s">
        <v>225</v>
      </c>
      <c r="D10677">
        <v>101148764.611828</v>
      </c>
    </row>
    <row r="10678" spans="1:4" hidden="1" x14ac:dyDescent="0.3">
      <c r="A10678">
        <v>10676</v>
      </c>
      <c r="B10678" t="s">
        <v>13934</v>
      </c>
      <c r="C10678" t="s">
        <v>227</v>
      </c>
      <c r="D10678">
        <v>-2281.8414662629302</v>
      </c>
    </row>
    <row r="10679" spans="1:4" hidden="1" x14ac:dyDescent="0.3">
      <c r="A10679">
        <v>10677</v>
      </c>
      <c r="B10679" s="1" t="s">
        <v>13935</v>
      </c>
      <c r="C10679" t="s">
        <v>229</v>
      </c>
      <c r="D10679" s="1" t="s">
        <v>13936</v>
      </c>
    </row>
    <row r="10680" spans="1:4" hidden="1" x14ac:dyDescent="0.3">
      <c r="A10680">
        <v>10678</v>
      </c>
      <c r="B10680" t="s">
        <v>13937</v>
      </c>
      <c r="C10680" t="s">
        <v>112</v>
      </c>
      <c r="D10680">
        <v>554.35843213424096</v>
      </c>
    </row>
    <row r="10681" spans="1:4" hidden="1" x14ac:dyDescent="0.3">
      <c r="A10681">
        <v>10679</v>
      </c>
      <c r="B10681" t="s">
        <v>13938</v>
      </c>
      <c r="C10681" t="s">
        <v>114</v>
      </c>
      <c r="D10681">
        <v>163.924942973833</v>
      </c>
    </row>
    <row r="10682" spans="1:4" hidden="1" x14ac:dyDescent="0.3">
      <c r="A10682">
        <v>10680</v>
      </c>
      <c r="B10682" s="1" t="s">
        <v>13939</v>
      </c>
      <c r="C10682" t="s">
        <v>116</v>
      </c>
      <c r="D10682" s="1" t="s">
        <v>13940</v>
      </c>
    </row>
    <row r="10683" spans="1:4" hidden="1" x14ac:dyDescent="0.3">
      <c r="A10683">
        <v>10681</v>
      </c>
      <c r="B10683" t="s">
        <v>13941</v>
      </c>
      <c r="C10683" t="s">
        <v>119</v>
      </c>
      <c r="D10683">
        <v>78807739.912060797</v>
      </c>
    </row>
    <row r="10684" spans="1:4" hidden="1" x14ac:dyDescent="0.3">
      <c r="A10684">
        <v>10682</v>
      </c>
      <c r="B10684" t="s">
        <v>13942</v>
      </c>
      <c r="C10684" t="s">
        <v>121</v>
      </c>
      <c r="D10684">
        <v>38982827.518284999</v>
      </c>
    </row>
    <row r="10685" spans="1:4" hidden="1" x14ac:dyDescent="0.3">
      <c r="A10685">
        <v>10683</v>
      </c>
      <c r="B10685" s="1" t="s">
        <v>13943</v>
      </c>
      <c r="C10685" t="s">
        <v>123</v>
      </c>
      <c r="D10685" s="1" t="s">
        <v>13944</v>
      </c>
    </row>
    <row r="10686" spans="1:4" hidden="1" x14ac:dyDescent="0.3">
      <c r="A10686">
        <v>10684</v>
      </c>
      <c r="B10686" t="s">
        <v>13945</v>
      </c>
      <c r="C10686" t="s">
        <v>126</v>
      </c>
      <c r="D10686">
        <v>0.77879369309730595</v>
      </c>
    </row>
    <row r="10687" spans="1:4" hidden="1" x14ac:dyDescent="0.3">
      <c r="A10687">
        <v>10685</v>
      </c>
      <c r="B10687" t="s">
        <v>13946</v>
      </c>
      <c r="C10687" t="s">
        <v>128</v>
      </c>
      <c r="D10687">
        <v>0.38523602179453198</v>
      </c>
    </row>
    <row r="10688" spans="1:4" hidden="1" x14ac:dyDescent="0.3">
      <c r="A10688">
        <v>10686</v>
      </c>
      <c r="B10688" s="1" t="s">
        <v>13947</v>
      </c>
      <c r="C10688" t="s">
        <v>130</v>
      </c>
      <c r="D10688" s="1" t="s">
        <v>13948</v>
      </c>
    </row>
    <row r="10689" spans="1:4" hidden="1" x14ac:dyDescent="0.3">
      <c r="A10689">
        <v>10687</v>
      </c>
      <c r="B10689" s="1" t="s">
        <v>13949</v>
      </c>
      <c r="C10689" t="s">
        <v>4</v>
      </c>
      <c r="D10689" t="s">
        <v>13950</v>
      </c>
    </row>
    <row r="10690" spans="1:4" hidden="1" x14ac:dyDescent="0.3">
      <c r="A10690">
        <v>10688</v>
      </c>
      <c r="B10690" t="s">
        <v>13951</v>
      </c>
      <c r="C10690" t="s">
        <v>7</v>
      </c>
      <c r="D10690">
        <v>1801.45</v>
      </c>
    </row>
    <row r="10691" spans="1:4" hidden="1" x14ac:dyDescent="0.3">
      <c r="A10691">
        <v>10689</v>
      </c>
      <c r="B10691" s="1" t="s">
        <v>13952</v>
      </c>
      <c r="C10691" t="s">
        <v>9</v>
      </c>
      <c r="D10691" s="1" t="s">
        <v>13953</v>
      </c>
    </row>
    <row r="10692" spans="1:4" hidden="1" x14ac:dyDescent="0.3">
      <c r="A10692">
        <v>10690</v>
      </c>
      <c r="B10692" t="s">
        <v>13954</v>
      </c>
      <c r="C10692" t="s">
        <v>14</v>
      </c>
      <c r="D10692">
        <v>96.671875</v>
      </c>
    </row>
    <row r="10693" spans="1:4" hidden="1" x14ac:dyDescent="0.3">
      <c r="A10693">
        <v>10691</v>
      </c>
      <c r="B10693" t="s">
        <v>13955</v>
      </c>
      <c r="C10693" t="s">
        <v>16</v>
      </c>
      <c r="D10693">
        <v>4.3729815291127698</v>
      </c>
    </row>
    <row r="10694" spans="1:4" hidden="1" x14ac:dyDescent="0.3">
      <c r="A10694">
        <v>10692</v>
      </c>
      <c r="B10694" s="1" t="s">
        <v>13956</v>
      </c>
      <c r="C10694" t="s">
        <v>140</v>
      </c>
      <c r="D10694" s="1" t="s">
        <v>13957</v>
      </c>
    </row>
    <row r="10695" spans="1:4" hidden="1" x14ac:dyDescent="0.3">
      <c r="A10695">
        <v>10693</v>
      </c>
      <c r="B10695" t="s">
        <v>10293</v>
      </c>
      <c r="C10695" t="s">
        <v>22</v>
      </c>
      <c r="D10695">
        <v>68.650000000000006</v>
      </c>
    </row>
    <row r="10696" spans="1:4" hidden="1" x14ac:dyDescent="0.3">
      <c r="A10696">
        <v>10694</v>
      </c>
      <c r="B10696" t="s">
        <v>13958</v>
      </c>
      <c r="C10696" t="s">
        <v>24</v>
      </c>
      <c r="D10696">
        <v>6.5079442431276302</v>
      </c>
    </row>
    <row r="10697" spans="1:4" hidden="1" x14ac:dyDescent="0.3">
      <c r="A10697">
        <v>10695</v>
      </c>
      <c r="B10697" s="1" t="s">
        <v>13959</v>
      </c>
      <c r="C10697" t="s">
        <v>145</v>
      </c>
      <c r="D10697" s="1" t="s">
        <v>13960</v>
      </c>
    </row>
    <row r="10698" spans="1:4" hidden="1" x14ac:dyDescent="0.3">
      <c r="A10698">
        <v>10696</v>
      </c>
      <c r="B10698" t="s">
        <v>6798</v>
      </c>
      <c r="C10698" t="s">
        <v>35</v>
      </c>
      <c r="D10698">
        <v>0</v>
      </c>
    </row>
    <row r="10699" spans="1:4" hidden="1" x14ac:dyDescent="0.3">
      <c r="A10699">
        <v>10697</v>
      </c>
      <c r="B10699" t="s">
        <v>13961</v>
      </c>
      <c r="C10699" t="s">
        <v>149</v>
      </c>
      <c r="D10699">
        <v>0.69171068067082997</v>
      </c>
    </row>
    <row r="10700" spans="1:4" hidden="1" x14ac:dyDescent="0.3">
      <c r="A10700">
        <v>10698</v>
      </c>
      <c r="B10700" s="1" t="s">
        <v>13962</v>
      </c>
      <c r="C10700" t="s">
        <v>151</v>
      </c>
      <c r="D10700" s="1" t="s">
        <v>13963</v>
      </c>
    </row>
    <row r="10701" spans="1:4" hidden="1" x14ac:dyDescent="0.3">
      <c r="A10701">
        <v>10699</v>
      </c>
      <c r="B10701" t="s">
        <v>13964</v>
      </c>
      <c r="C10701" t="s">
        <v>30</v>
      </c>
      <c r="D10701">
        <v>0.39183369839235099</v>
      </c>
    </row>
    <row r="10702" spans="1:4" hidden="1" x14ac:dyDescent="0.3">
      <c r="A10702">
        <v>10700</v>
      </c>
      <c r="B10702" t="s">
        <v>13965</v>
      </c>
      <c r="C10702" t="s">
        <v>32</v>
      </c>
      <c r="D10702">
        <v>0.23387784269807099</v>
      </c>
    </row>
    <row r="10703" spans="1:4" hidden="1" x14ac:dyDescent="0.3">
      <c r="A10703">
        <v>10701</v>
      </c>
      <c r="B10703" s="1" t="s">
        <v>13966</v>
      </c>
      <c r="C10703" t="s">
        <v>155</v>
      </c>
      <c r="D10703" s="1" t="s">
        <v>13967</v>
      </c>
    </row>
    <row r="10704" spans="1:4" hidden="1" x14ac:dyDescent="0.3">
      <c r="A10704">
        <v>10702</v>
      </c>
      <c r="B10704" t="s">
        <v>13968</v>
      </c>
      <c r="C10704" t="s">
        <v>40</v>
      </c>
      <c r="D10704">
        <v>0.60816630160764795</v>
      </c>
    </row>
    <row r="10705" spans="1:4" hidden="1" x14ac:dyDescent="0.3">
      <c r="A10705">
        <v>10703</v>
      </c>
      <c r="B10705" t="s">
        <v>13969</v>
      </c>
      <c r="C10705" t="s">
        <v>42</v>
      </c>
      <c r="D10705">
        <v>0.21181329370332999</v>
      </c>
    </row>
    <row r="10706" spans="1:4" hidden="1" x14ac:dyDescent="0.3">
      <c r="A10706">
        <v>10704</v>
      </c>
      <c r="B10706" s="1" t="s">
        <v>13970</v>
      </c>
      <c r="C10706" t="s">
        <v>159</v>
      </c>
      <c r="D10706" s="1" t="s">
        <v>13971</v>
      </c>
    </row>
    <row r="10707" spans="1:4" hidden="1" x14ac:dyDescent="0.3">
      <c r="A10707">
        <v>10705</v>
      </c>
      <c r="B10707" t="s">
        <v>13972</v>
      </c>
      <c r="C10707" t="s">
        <v>161</v>
      </c>
      <c r="D10707">
        <v>0.984829433632188</v>
      </c>
    </row>
    <row r="10708" spans="1:4" hidden="1" x14ac:dyDescent="0.3">
      <c r="A10708">
        <v>10706</v>
      </c>
      <c r="B10708" t="s">
        <v>13973</v>
      </c>
      <c r="C10708" t="s">
        <v>163</v>
      </c>
      <c r="D10708">
        <v>0.997143287993146</v>
      </c>
    </row>
    <row r="10709" spans="1:4" hidden="1" x14ac:dyDescent="0.3">
      <c r="A10709">
        <v>10707</v>
      </c>
      <c r="B10709" s="1" t="s">
        <v>13974</v>
      </c>
      <c r="C10709" t="s">
        <v>165</v>
      </c>
      <c r="D10709" s="1" t="s">
        <v>13975</v>
      </c>
    </row>
    <row r="10710" spans="1:4" hidden="1" x14ac:dyDescent="0.3">
      <c r="A10710">
        <v>10708</v>
      </c>
      <c r="B10710" t="s">
        <v>13976</v>
      </c>
      <c r="C10710" t="s">
        <v>168</v>
      </c>
      <c r="D10710">
        <v>0.99891902004312305</v>
      </c>
    </row>
    <row r="10711" spans="1:4" hidden="1" x14ac:dyDescent="0.3">
      <c r="A10711">
        <v>10709</v>
      </c>
      <c r="B10711" t="s">
        <v>13977</v>
      </c>
      <c r="C10711" t="s">
        <v>170</v>
      </c>
      <c r="D10711">
        <v>1.00147615481773</v>
      </c>
    </row>
    <row r="10712" spans="1:4" hidden="1" x14ac:dyDescent="0.3">
      <c r="A10712">
        <v>10710</v>
      </c>
      <c r="B10712" s="1" t="s">
        <v>13978</v>
      </c>
      <c r="C10712" t="s">
        <v>172</v>
      </c>
      <c r="D10712" s="1" t="s">
        <v>13979</v>
      </c>
    </row>
    <row r="10713" spans="1:4" hidden="1" x14ac:dyDescent="0.3">
      <c r="A10713">
        <v>10711</v>
      </c>
      <c r="B10713" s="1" t="s">
        <v>13980</v>
      </c>
      <c r="C10713" t="s">
        <v>55</v>
      </c>
      <c r="D10713" s="1" t="s">
        <v>13981</v>
      </c>
    </row>
    <row r="10714" spans="1:4" hidden="1" x14ac:dyDescent="0.3">
      <c r="A10714">
        <v>10712</v>
      </c>
      <c r="B10714" s="1" t="s">
        <v>13982</v>
      </c>
      <c r="C10714" t="s">
        <v>52</v>
      </c>
      <c r="D10714" s="1" t="s">
        <v>13983</v>
      </c>
    </row>
    <row r="10715" spans="1:4" hidden="1" x14ac:dyDescent="0.3">
      <c r="A10715">
        <v>10713</v>
      </c>
      <c r="B10715" s="1" t="s">
        <v>13984</v>
      </c>
      <c r="C10715" t="s">
        <v>58</v>
      </c>
      <c r="D10715" s="1" t="s">
        <v>13985</v>
      </c>
    </row>
    <row r="10716" spans="1:4" hidden="1" x14ac:dyDescent="0.3">
      <c r="A10716">
        <v>10714</v>
      </c>
      <c r="B10716" t="s">
        <v>13986</v>
      </c>
      <c r="C10716" t="s">
        <v>61</v>
      </c>
      <c r="D10716">
        <v>143910115.193037</v>
      </c>
    </row>
    <row r="10717" spans="1:4" hidden="1" x14ac:dyDescent="0.3">
      <c r="A10717">
        <v>10715</v>
      </c>
      <c r="B10717" t="s">
        <v>13987</v>
      </c>
      <c r="C10717" t="s">
        <v>63</v>
      </c>
      <c r="D10717">
        <v>77612181.863427699</v>
      </c>
    </row>
    <row r="10718" spans="1:4" hidden="1" x14ac:dyDescent="0.3">
      <c r="A10718">
        <v>10716</v>
      </c>
      <c r="B10718" t="s">
        <v>13988</v>
      </c>
      <c r="C10718" t="s">
        <v>65</v>
      </c>
      <c r="D10718">
        <v>38871464.8068524</v>
      </c>
    </row>
    <row r="10719" spans="1:4" hidden="1" x14ac:dyDescent="0.3">
      <c r="A10719">
        <v>10717</v>
      </c>
      <c r="B10719" s="1" t="s">
        <v>13989</v>
      </c>
      <c r="C10719" t="s">
        <v>67</v>
      </c>
      <c r="D10719" s="1" t="s">
        <v>13990</v>
      </c>
    </row>
    <row r="10720" spans="1:4" hidden="1" x14ac:dyDescent="0.3">
      <c r="A10720">
        <v>10718</v>
      </c>
      <c r="B10720" s="1" t="s">
        <v>13991</v>
      </c>
      <c r="C10720" t="s">
        <v>70</v>
      </c>
      <c r="D10720" s="1" t="s">
        <v>13992</v>
      </c>
    </row>
    <row r="10721" spans="1:4" hidden="1" x14ac:dyDescent="0.3">
      <c r="A10721">
        <v>10719</v>
      </c>
      <c r="B10721" t="s">
        <v>13993</v>
      </c>
      <c r="C10721" t="s">
        <v>73</v>
      </c>
      <c r="D10721">
        <v>1.0004280595024599</v>
      </c>
    </row>
    <row r="10722" spans="1:4" hidden="1" x14ac:dyDescent="0.3">
      <c r="A10722">
        <v>10720</v>
      </c>
      <c r="B10722" t="s">
        <v>74</v>
      </c>
      <c r="C10722" t="s">
        <v>75</v>
      </c>
      <c r="D10722">
        <v>2.7397260273972599E-3</v>
      </c>
    </row>
    <row r="10723" spans="1:4" hidden="1" x14ac:dyDescent="0.3">
      <c r="A10723">
        <v>10721</v>
      </c>
      <c r="B10723" t="s">
        <v>76</v>
      </c>
      <c r="C10723" t="s">
        <v>77</v>
      </c>
      <c r="D10723">
        <v>0</v>
      </c>
    </row>
    <row r="10724" spans="1:4" hidden="1" x14ac:dyDescent="0.3">
      <c r="A10724">
        <v>10722</v>
      </c>
      <c r="B10724" t="s">
        <v>78</v>
      </c>
      <c r="C10724" t="s">
        <v>79</v>
      </c>
      <c r="D10724">
        <v>0</v>
      </c>
    </row>
    <row r="10725" spans="1:4" hidden="1" x14ac:dyDescent="0.3">
      <c r="A10725">
        <v>10723</v>
      </c>
      <c r="B10725" s="1" t="s">
        <v>13994</v>
      </c>
      <c r="C10725" t="s">
        <v>81</v>
      </c>
      <c r="D10725" s="1" t="s">
        <v>13995</v>
      </c>
    </row>
    <row r="10726" spans="1:4" hidden="1" x14ac:dyDescent="0.3">
      <c r="A10726">
        <v>10724</v>
      </c>
      <c r="B10726" t="s">
        <v>13996</v>
      </c>
      <c r="C10726" t="s">
        <v>84</v>
      </c>
      <c r="D10726">
        <v>1.00042599762513</v>
      </c>
    </row>
    <row r="10727" spans="1:4" hidden="1" x14ac:dyDescent="0.3">
      <c r="A10727">
        <v>10725</v>
      </c>
      <c r="B10727" s="1" t="s">
        <v>13997</v>
      </c>
      <c r="C10727" t="s">
        <v>86</v>
      </c>
      <c r="D10727" s="1" t="s">
        <v>13998</v>
      </c>
    </row>
    <row r="10728" spans="1:4" hidden="1" x14ac:dyDescent="0.3">
      <c r="A10728">
        <v>10726</v>
      </c>
      <c r="B10728" t="s">
        <v>13999</v>
      </c>
      <c r="C10728" t="s">
        <v>89</v>
      </c>
      <c r="D10728">
        <v>101146691.233197</v>
      </c>
    </row>
    <row r="10729" spans="1:4" hidden="1" x14ac:dyDescent="0.3">
      <c r="A10729">
        <v>10727</v>
      </c>
      <c r="B10729" s="1" t="s">
        <v>14000</v>
      </c>
      <c r="C10729" t="s">
        <v>91</v>
      </c>
      <c r="D10729" s="1" t="s">
        <v>13936</v>
      </c>
    </row>
    <row r="10730" spans="1:4" hidden="1" x14ac:dyDescent="0.3">
      <c r="A10730">
        <v>10728</v>
      </c>
      <c r="B10730" t="s">
        <v>14001</v>
      </c>
      <c r="C10730" t="s">
        <v>94</v>
      </c>
      <c r="D10730">
        <v>77612181.863427699</v>
      </c>
    </row>
    <row r="10731" spans="1:4" hidden="1" x14ac:dyDescent="0.3">
      <c r="A10731">
        <v>10729</v>
      </c>
      <c r="B10731" t="s">
        <v>14002</v>
      </c>
      <c r="C10731" t="s">
        <v>96</v>
      </c>
      <c r="D10731">
        <v>38871464.8068524</v>
      </c>
    </row>
    <row r="10732" spans="1:4" hidden="1" x14ac:dyDescent="0.3">
      <c r="A10732">
        <v>10730</v>
      </c>
      <c r="B10732" t="s">
        <v>14003</v>
      </c>
      <c r="C10732" t="s">
        <v>98</v>
      </c>
      <c r="D10732">
        <v>27426468.522757601</v>
      </c>
    </row>
    <row r="10733" spans="1:4" hidden="1" x14ac:dyDescent="0.3">
      <c r="A10733">
        <v>10731</v>
      </c>
      <c r="B10733" s="1" t="s">
        <v>14004</v>
      </c>
      <c r="C10733" t="s">
        <v>100</v>
      </c>
      <c r="D10733" s="1" t="s">
        <v>14005</v>
      </c>
    </row>
    <row r="10734" spans="1:4" hidden="1" x14ac:dyDescent="0.3">
      <c r="A10734">
        <v>10732</v>
      </c>
      <c r="B10734" t="s">
        <v>14006</v>
      </c>
      <c r="C10734" t="s">
        <v>103</v>
      </c>
      <c r="D10734">
        <v>8.0764044371637693E-3</v>
      </c>
    </row>
    <row r="10735" spans="1:4" hidden="1" x14ac:dyDescent="0.3">
      <c r="A10735">
        <v>10733</v>
      </c>
      <c r="B10735" t="s">
        <v>14007</v>
      </c>
      <c r="C10735" t="s">
        <v>105</v>
      </c>
      <c r="D10735">
        <v>1.6707539779372701E-3</v>
      </c>
    </row>
    <row r="10736" spans="1:4" hidden="1" x14ac:dyDescent="0.3">
      <c r="A10736">
        <v>10734</v>
      </c>
      <c r="B10736" t="s">
        <v>14008</v>
      </c>
      <c r="C10736" t="s">
        <v>107</v>
      </c>
      <c r="D10736">
        <v>9.9013005646516605E-3</v>
      </c>
    </row>
    <row r="10737" spans="1:4" hidden="1" x14ac:dyDescent="0.3">
      <c r="A10737">
        <v>10735</v>
      </c>
      <c r="B10737" s="1" t="s">
        <v>14009</v>
      </c>
      <c r="C10737" t="s">
        <v>109</v>
      </c>
      <c r="D10737" s="1" t="s">
        <v>14010</v>
      </c>
    </row>
    <row r="10738" spans="1:4" x14ac:dyDescent="0.3">
      <c r="A10738">
        <v>10736</v>
      </c>
      <c r="B10738" t="s">
        <v>14011</v>
      </c>
      <c r="C10738" t="s">
        <v>207</v>
      </c>
      <c r="D10738">
        <v>143910042.60616401</v>
      </c>
    </row>
    <row r="10739" spans="1:4" hidden="1" x14ac:dyDescent="0.3">
      <c r="A10739">
        <v>10737</v>
      </c>
      <c r="B10739" t="s">
        <v>14012</v>
      </c>
      <c r="C10739" t="s">
        <v>209</v>
      </c>
      <c r="D10739">
        <v>159.95822300140901</v>
      </c>
    </row>
    <row r="10740" spans="1:4" hidden="1" x14ac:dyDescent="0.3">
      <c r="A10740">
        <v>10738</v>
      </c>
      <c r="B10740" t="s">
        <v>14013</v>
      </c>
      <c r="C10740" t="s">
        <v>211</v>
      </c>
      <c r="D10740">
        <v>80.113868047026003</v>
      </c>
    </row>
    <row r="10741" spans="1:4" hidden="1" x14ac:dyDescent="0.3">
      <c r="A10741">
        <v>10739</v>
      </c>
      <c r="B10741" s="1" t="s">
        <v>14014</v>
      </c>
      <c r="C10741" t="s">
        <v>213</v>
      </c>
      <c r="D10741" s="1" t="s">
        <v>14015</v>
      </c>
    </row>
    <row r="10742" spans="1:4" hidden="1" x14ac:dyDescent="0.3">
      <c r="A10742">
        <v>10740</v>
      </c>
      <c r="B10742" t="s">
        <v>14016</v>
      </c>
      <c r="C10742" t="s">
        <v>216</v>
      </c>
      <c r="D10742">
        <v>77611971.704674304</v>
      </c>
    </row>
    <row r="10743" spans="1:4" hidden="1" x14ac:dyDescent="0.3">
      <c r="A10743">
        <v>10741</v>
      </c>
      <c r="B10743" t="s">
        <v>14017</v>
      </c>
      <c r="C10743" t="s">
        <v>218</v>
      </c>
      <c r="D10743">
        <v>38871369.932404198</v>
      </c>
    </row>
    <row r="10744" spans="1:4" hidden="1" x14ac:dyDescent="0.3">
      <c r="A10744">
        <v>10742</v>
      </c>
      <c r="B10744" t="s">
        <v>14018</v>
      </c>
      <c r="C10744" t="s">
        <v>220</v>
      </c>
      <c r="D10744">
        <v>27426404.3711932</v>
      </c>
    </row>
    <row r="10745" spans="1:4" hidden="1" x14ac:dyDescent="0.3">
      <c r="A10745">
        <v>10743</v>
      </c>
      <c r="B10745" s="1" t="s">
        <v>14019</v>
      </c>
      <c r="C10745" t="s">
        <v>222</v>
      </c>
      <c r="D10745" s="1" t="s">
        <v>14020</v>
      </c>
    </row>
    <row r="10746" spans="1:4" hidden="1" x14ac:dyDescent="0.3">
      <c r="A10746">
        <v>10744</v>
      </c>
      <c r="B10746" t="s">
        <v>14021</v>
      </c>
      <c r="C10746" t="s">
        <v>225</v>
      </c>
      <c r="D10746">
        <v>101146482.770362</v>
      </c>
    </row>
    <row r="10747" spans="1:4" hidden="1" x14ac:dyDescent="0.3">
      <c r="A10747">
        <v>10745</v>
      </c>
      <c r="B10747" t="s">
        <v>14022</v>
      </c>
      <c r="C10747" t="s">
        <v>227</v>
      </c>
      <c r="D10747">
        <v>208.46283493935999</v>
      </c>
    </row>
    <row r="10748" spans="1:4" hidden="1" x14ac:dyDescent="0.3">
      <c r="A10748">
        <v>10746</v>
      </c>
      <c r="B10748" s="1" t="s">
        <v>14023</v>
      </c>
      <c r="C10748" t="s">
        <v>229</v>
      </c>
      <c r="D10748" s="1" t="s">
        <v>14024</v>
      </c>
    </row>
    <row r="10749" spans="1:4" hidden="1" x14ac:dyDescent="0.3">
      <c r="A10749">
        <v>10747</v>
      </c>
      <c r="B10749" t="s">
        <v>14025</v>
      </c>
      <c r="C10749" t="s">
        <v>112</v>
      </c>
      <c r="D10749">
        <v>-50.200530356327803</v>
      </c>
    </row>
    <row r="10750" spans="1:4" hidden="1" x14ac:dyDescent="0.3">
      <c r="A10750">
        <v>10748</v>
      </c>
      <c r="B10750" t="s">
        <v>14026</v>
      </c>
      <c r="C10750" t="s">
        <v>114</v>
      </c>
      <c r="D10750">
        <v>-14.760580149612201</v>
      </c>
    </row>
    <row r="10751" spans="1:4" hidden="1" x14ac:dyDescent="0.3">
      <c r="A10751">
        <v>10749</v>
      </c>
      <c r="B10751" s="1" t="s">
        <v>14027</v>
      </c>
      <c r="C10751" t="s">
        <v>116</v>
      </c>
      <c r="D10751" s="1" t="s">
        <v>14028</v>
      </c>
    </row>
    <row r="10752" spans="1:4" hidden="1" x14ac:dyDescent="0.3">
      <c r="A10752">
        <v>10750</v>
      </c>
      <c r="B10752" t="s">
        <v>14029</v>
      </c>
      <c r="C10752" t="s">
        <v>119</v>
      </c>
      <c r="D10752">
        <v>77611971.704674304</v>
      </c>
    </row>
    <row r="10753" spans="1:4" hidden="1" x14ac:dyDescent="0.3">
      <c r="A10753">
        <v>10751</v>
      </c>
      <c r="B10753" t="s">
        <v>14030</v>
      </c>
      <c r="C10753" t="s">
        <v>121</v>
      </c>
      <c r="D10753">
        <v>38871369.932404198</v>
      </c>
    </row>
    <row r="10754" spans="1:4" hidden="1" x14ac:dyDescent="0.3">
      <c r="A10754">
        <v>10752</v>
      </c>
      <c r="B10754" s="1" t="s">
        <v>14031</v>
      </c>
      <c r="C10754" t="s">
        <v>123</v>
      </c>
      <c r="D10754" s="1" t="s">
        <v>14032</v>
      </c>
    </row>
    <row r="10755" spans="1:4" hidden="1" x14ac:dyDescent="0.3">
      <c r="A10755">
        <v>10753</v>
      </c>
      <c r="B10755" t="s">
        <v>14033</v>
      </c>
      <c r="C10755" t="s">
        <v>126</v>
      </c>
      <c r="D10755">
        <v>0.76699575845590695</v>
      </c>
    </row>
    <row r="10756" spans="1:4" hidden="1" x14ac:dyDescent="0.3">
      <c r="A10756">
        <v>10754</v>
      </c>
      <c r="B10756" t="s">
        <v>14034</v>
      </c>
      <c r="C10756" t="s">
        <v>128</v>
      </c>
      <c r="D10756">
        <v>0.38414403356446197</v>
      </c>
    </row>
    <row r="10757" spans="1:4" hidden="1" x14ac:dyDescent="0.3">
      <c r="A10757">
        <v>10755</v>
      </c>
      <c r="B10757" s="1" t="s">
        <v>14035</v>
      </c>
      <c r="C10757" t="s">
        <v>130</v>
      </c>
      <c r="D10757" s="1" t="s">
        <v>14036</v>
      </c>
    </row>
    <row r="10758" spans="1:4" hidden="1" x14ac:dyDescent="0.3">
      <c r="A10758">
        <v>10756</v>
      </c>
      <c r="B10758" s="1" t="s">
        <v>14037</v>
      </c>
      <c r="C10758" t="s">
        <v>4</v>
      </c>
      <c r="D10758" t="s">
        <v>14038</v>
      </c>
    </row>
    <row r="10759" spans="1:4" hidden="1" x14ac:dyDescent="0.3">
      <c r="A10759">
        <v>10757</v>
      </c>
      <c r="B10759" t="s">
        <v>14039</v>
      </c>
      <c r="C10759" t="s">
        <v>7</v>
      </c>
      <c r="D10759">
        <v>1814.6</v>
      </c>
    </row>
    <row r="10760" spans="1:4" hidden="1" x14ac:dyDescent="0.3">
      <c r="A10760">
        <v>10758</v>
      </c>
      <c r="B10760" s="1" t="s">
        <v>14040</v>
      </c>
      <c r="C10760" t="s">
        <v>9</v>
      </c>
      <c r="D10760" s="1" t="s">
        <v>14041</v>
      </c>
    </row>
    <row r="10761" spans="1:4" hidden="1" x14ac:dyDescent="0.3">
      <c r="A10761">
        <v>10759</v>
      </c>
      <c r="B10761" t="s">
        <v>14042</v>
      </c>
      <c r="C10761" t="s">
        <v>14</v>
      </c>
      <c r="D10761">
        <v>96.66796875</v>
      </c>
    </row>
    <row r="10762" spans="1:4" hidden="1" x14ac:dyDescent="0.3">
      <c r="A10762">
        <v>10760</v>
      </c>
      <c r="B10762" t="s">
        <v>14043</v>
      </c>
      <c r="C10762" t="s">
        <v>16</v>
      </c>
      <c r="D10762">
        <v>4.3706474259972898</v>
      </c>
    </row>
    <row r="10763" spans="1:4" hidden="1" x14ac:dyDescent="0.3">
      <c r="A10763">
        <v>10761</v>
      </c>
      <c r="B10763" s="1" t="s">
        <v>14044</v>
      </c>
      <c r="C10763" t="s">
        <v>140</v>
      </c>
      <c r="D10763" s="1" t="s">
        <v>14045</v>
      </c>
    </row>
    <row r="10764" spans="1:4" hidden="1" x14ac:dyDescent="0.3">
      <c r="A10764">
        <v>10762</v>
      </c>
      <c r="B10764" t="s">
        <v>14046</v>
      </c>
      <c r="C10764" t="s">
        <v>22</v>
      </c>
      <c r="D10764">
        <v>69.349999999999994</v>
      </c>
    </row>
    <row r="10765" spans="1:4" hidden="1" x14ac:dyDescent="0.3">
      <c r="A10765">
        <v>10763</v>
      </c>
      <c r="B10765" t="s">
        <v>14047</v>
      </c>
      <c r="C10765" t="s">
        <v>24</v>
      </c>
      <c r="D10765">
        <v>6.4536061143003796</v>
      </c>
    </row>
    <row r="10766" spans="1:4" hidden="1" x14ac:dyDescent="0.3">
      <c r="A10766">
        <v>10764</v>
      </c>
      <c r="B10766" s="1" t="s">
        <v>14048</v>
      </c>
      <c r="C10766" t="s">
        <v>145</v>
      </c>
      <c r="D10766" s="1" t="s">
        <v>14049</v>
      </c>
    </row>
    <row r="10767" spans="1:4" hidden="1" x14ac:dyDescent="0.3">
      <c r="A10767">
        <v>10765</v>
      </c>
      <c r="B10767" t="s">
        <v>14050</v>
      </c>
      <c r="C10767" t="s">
        <v>35</v>
      </c>
      <c r="D10767">
        <v>9.5247741292526597E-2</v>
      </c>
    </row>
    <row r="10768" spans="1:4" hidden="1" x14ac:dyDescent="0.3">
      <c r="A10768">
        <v>10766</v>
      </c>
      <c r="B10768" t="s">
        <v>14051</v>
      </c>
      <c r="C10768" t="s">
        <v>149</v>
      </c>
      <c r="D10768">
        <v>0.69379451809623904</v>
      </c>
    </row>
    <row r="10769" spans="1:4" hidden="1" x14ac:dyDescent="0.3">
      <c r="A10769">
        <v>10767</v>
      </c>
      <c r="B10769" s="1" t="s">
        <v>14052</v>
      </c>
      <c r="C10769" t="s">
        <v>151</v>
      </c>
      <c r="D10769" s="1" t="s">
        <v>14053</v>
      </c>
    </row>
    <row r="10770" spans="1:4" hidden="1" x14ac:dyDescent="0.3">
      <c r="A10770">
        <v>10768</v>
      </c>
      <c r="B10770" t="s">
        <v>14054</v>
      </c>
      <c r="C10770" t="s">
        <v>30</v>
      </c>
      <c r="D10770">
        <v>0.358642804053318</v>
      </c>
    </row>
    <row r="10771" spans="1:4" hidden="1" x14ac:dyDescent="0.3">
      <c r="A10771">
        <v>10769</v>
      </c>
      <c r="B10771" t="s">
        <v>14055</v>
      </c>
      <c r="C10771" t="s">
        <v>32</v>
      </c>
      <c r="D10771">
        <v>0.230003901498569</v>
      </c>
    </row>
    <row r="10772" spans="1:4" hidden="1" x14ac:dyDescent="0.3">
      <c r="A10772">
        <v>10770</v>
      </c>
      <c r="B10772" s="1" t="s">
        <v>14056</v>
      </c>
      <c r="C10772" t="s">
        <v>155</v>
      </c>
      <c r="D10772" s="1" t="s">
        <v>14057</v>
      </c>
    </row>
    <row r="10773" spans="1:4" hidden="1" x14ac:dyDescent="0.3">
      <c r="A10773">
        <v>10771</v>
      </c>
      <c r="B10773" t="s">
        <v>14058</v>
      </c>
      <c r="C10773" t="s">
        <v>40</v>
      </c>
      <c r="D10773">
        <v>0.54610945465415395</v>
      </c>
    </row>
    <row r="10774" spans="1:4" hidden="1" x14ac:dyDescent="0.3">
      <c r="A10774">
        <v>10772</v>
      </c>
      <c r="B10774" t="s">
        <v>14059</v>
      </c>
      <c r="C10774" t="s">
        <v>42</v>
      </c>
      <c r="D10774">
        <v>0.21134504825096501</v>
      </c>
    </row>
    <row r="10775" spans="1:4" hidden="1" x14ac:dyDescent="0.3">
      <c r="A10775">
        <v>10773</v>
      </c>
      <c r="B10775" s="1" t="s">
        <v>14060</v>
      </c>
      <c r="C10775" t="s">
        <v>159</v>
      </c>
      <c r="D10775" s="1" t="s">
        <v>14061</v>
      </c>
    </row>
    <row r="10776" spans="1:4" hidden="1" x14ac:dyDescent="0.3">
      <c r="A10776">
        <v>10774</v>
      </c>
      <c r="B10776" t="s">
        <v>14062</v>
      </c>
      <c r="C10776" t="s">
        <v>161</v>
      </c>
      <c r="D10776">
        <v>1.0072996752615899</v>
      </c>
    </row>
    <row r="10777" spans="1:4" hidden="1" x14ac:dyDescent="0.3">
      <c r="A10777">
        <v>10775</v>
      </c>
      <c r="B10777" t="s">
        <v>14063</v>
      </c>
      <c r="C10777" t="s">
        <v>163</v>
      </c>
      <c r="D10777">
        <v>0.99993824175391099</v>
      </c>
    </row>
    <row r="10778" spans="1:4" hidden="1" x14ac:dyDescent="0.3">
      <c r="A10778">
        <v>10776</v>
      </c>
      <c r="B10778" s="1" t="s">
        <v>14064</v>
      </c>
      <c r="C10778" t="s">
        <v>165</v>
      </c>
      <c r="D10778" s="1" t="s">
        <v>14065</v>
      </c>
    </row>
    <row r="10779" spans="1:4" hidden="1" x14ac:dyDescent="0.3">
      <c r="A10779">
        <v>10777</v>
      </c>
      <c r="B10779" t="s">
        <v>14066</v>
      </c>
      <c r="C10779" t="s">
        <v>168</v>
      </c>
      <c r="D10779">
        <v>1.0012317930301</v>
      </c>
    </row>
    <row r="10780" spans="1:4" hidden="1" x14ac:dyDescent="0.3">
      <c r="A10780">
        <v>10778</v>
      </c>
      <c r="B10780" t="s">
        <v>14067</v>
      </c>
      <c r="C10780" t="s">
        <v>170</v>
      </c>
      <c r="D10780">
        <v>0.99686035273067897</v>
      </c>
    </row>
    <row r="10781" spans="1:4" hidden="1" x14ac:dyDescent="0.3">
      <c r="A10781">
        <v>10779</v>
      </c>
      <c r="B10781" s="1" t="s">
        <v>14068</v>
      </c>
      <c r="C10781" t="s">
        <v>172</v>
      </c>
      <c r="D10781" s="1" t="s">
        <v>14069</v>
      </c>
    </row>
    <row r="10782" spans="1:4" hidden="1" x14ac:dyDescent="0.3">
      <c r="A10782">
        <v>10780</v>
      </c>
      <c r="B10782" s="1" t="s">
        <v>14070</v>
      </c>
      <c r="C10782" t="s">
        <v>55</v>
      </c>
      <c r="D10782" s="1" t="s">
        <v>14071</v>
      </c>
    </row>
    <row r="10783" spans="1:4" hidden="1" x14ac:dyDescent="0.3">
      <c r="A10783">
        <v>10781</v>
      </c>
      <c r="B10783" s="1" t="s">
        <v>14072</v>
      </c>
      <c r="C10783" t="s">
        <v>52</v>
      </c>
      <c r="D10783" s="1" t="s">
        <v>14073</v>
      </c>
    </row>
    <row r="10784" spans="1:4" hidden="1" x14ac:dyDescent="0.3">
      <c r="A10784">
        <v>10782</v>
      </c>
      <c r="B10784" s="1" t="s">
        <v>14074</v>
      </c>
      <c r="C10784" t="s">
        <v>58</v>
      </c>
      <c r="D10784" s="1" t="s">
        <v>14075</v>
      </c>
    </row>
    <row r="10785" spans="1:4" hidden="1" x14ac:dyDescent="0.3">
      <c r="A10785">
        <v>10783</v>
      </c>
      <c r="B10785" t="s">
        <v>14076</v>
      </c>
      <c r="C10785" t="s">
        <v>61</v>
      </c>
      <c r="D10785">
        <v>144709500.50196001</v>
      </c>
    </row>
    <row r="10786" spans="1:4" hidden="1" x14ac:dyDescent="0.3">
      <c r="A10786">
        <v>10784</v>
      </c>
      <c r="B10786" t="s">
        <v>14077</v>
      </c>
      <c r="C10786" t="s">
        <v>63</v>
      </c>
      <c r="D10786">
        <v>78178513.894530505</v>
      </c>
    </row>
    <row r="10787" spans="1:4" hidden="1" x14ac:dyDescent="0.3">
      <c r="A10787">
        <v>10785</v>
      </c>
      <c r="B10787" t="s">
        <v>14078</v>
      </c>
      <c r="C10787" t="s">
        <v>65</v>
      </c>
      <c r="D10787">
        <v>38868969.304774098</v>
      </c>
    </row>
    <row r="10788" spans="1:4" hidden="1" x14ac:dyDescent="0.3">
      <c r="A10788">
        <v>10786</v>
      </c>
      <c r="B10788" s="1" t="s">
        <v>14079</v>
      </c>
      <c r="C10788" t="s">
        <v>67</v>
      </c>
      <c r="D10788" s="1" t="s">
        <v>14080</v>
      </c>
    </row>
    <row r="10789" spans="1:4" hidden="1" x14ac:dyDescent="0.3">
      <c r="A10789">
        <v>10787</v>
      </c>
      <c r="B10789" s="1" t="s">
        <v>14081</v>
      </c>
      <c r="C10789" t="s">
        <v>70</v>
      </c>
      <c r="D10789" s="1" t="s">
        <v>14082</v>
      </c>
    </row>
    <row r="10790" spans="1:4" hidden="1" x14ac:dyDescent="0.3">
      <c r="A10790">
        <v>10788</v>
      </c>
      <c r="B10790" t="s">
        <v>14083</v>
      </c>
      <c r="C10790" t="s">
        <v>73</v>
      </c>
      <c r="D10790">
        <v>1.00042599762513</v>
      </c>
    </row>
    <row r="10791" spans="1:4" hidden="1" x14ac:dyDescent="0.3">
      <c r="A10791">
        <v>10789</v>
      </c>
      <c r="B10791" t="s">
        <v>74</v>
      </c>
      <c r="C10791" t="s">
        <v>75</v>
      </c>
      <c r="D10791">
        <v>2.7397260273972599E-3</v>
      </c>
    </row>
    <row r="10792" spans="1:4" hidden="1" x14ac:dyDescent="0.3">
      <c r="A10792">
        <v>10790</v>
      </c>
      <c r="B10792" t="s">
        <v>76</v>
      </c>
      <c r="C10792" t="s">
        <v>77</v>
      </c>
      <c r="D10792">
        <v>0</v>
      </c>
    </row>
    <row r="10793" spans="1:4" hidden="1" x14ac:dyDescent="0.3">
      <c r="A10793">
        <v>10791</v>
      </c>
      <c r="B10793" t="s">
        <v>78</v>
      </c>
      <c r="C10793" t="s">
        <v>79</v>
      </c>
      <c r="D10793">
        <v>0</v>
      </c>
    </row>
    <row r="10794" spans="1:4" hidden="1" x14ac:dyDescent="0.3">
      <c r="A10794">
        <v>10792</v>
      </c>
      <c r="B10794" s="1" t="s">
        <v>14084</v>
      </c>
      <c r="C10794" t="s">
        <v>81</v>
      </c>
      <c r="D10794" s="1" t="s">
        <v>14085</v>
      </c>
    </row>
    <row r="10795" spans="1:4" hidden="1" x14ac:dyDescent="0.3">
      <c r="A10795">
        <v>10793</v>
      </c>
      <c r="B10795" t="s">
        <v>14086</v>
      </c>
      <c r="C10795" t="s">
        <v>84</v>
      </c>
      <c r="D10795">
        <v>1.0004200671954699</v>
      </c>
    </row>
    <row r="10796" spans="1:4" hidden="1" x14ac:dyDescent="0.3">
      <c r="A10796">
        <v>10794</v>
      </c>
      <c r="B10796" s="1" t="s">
        <v>14087</v>
      </c>
      <c r="C10796" t="s">
        <v>86</v>
      </c>
      <c r="D10796" s="1" t="s">
        <v>14088</v>
      </c>
    </row>
    <row r="10797" spans="1:4" hidden="1" x14ac:dyDescent="0.3">
      <c r="A10797">
        <v>10795</v>
      </c>
      <c r="B10797" t="s">
        <v>14089</v>
      </c>
      <c r="C10797" t="s">
        <v>89</v>
      </c>
      <c r="D10797">
        <v>101147290.82466599</v>
      </c>
    </row>
    <row r="10798" spans="1:4" hidden="1" x14ac:dyDescent="0.3">
      <c r="A10798">
        <v>10796</v>
      </c>
      <c r="B10798" s="1" t="s">
        <v>14090</v>
      </c>
      <c r="C10798" t="s">
        <v>91</v>
      </c>
      <c r="D10798" s="1" t="s">
        <v>14024</v>
      </c>
    </row>
    <row r="10799" spans="1:4" hidden="1" x14ac:dyDescent="0.3">
      <c r="A10799">
        <v>10797</v>
      </c>
      <c r="B10799" t="s">
        <v>14091</v>
      </c>
      <c r="C10799" t="s">
        <v>94</v>
      </c>
      <c r="D10799">
        <v>78178513.894530505</v>
      </c>
    </row>
    <row r="10800" spans="1:4" hidden="1" x14ac:dyDescent="0.3">
      <c r="A10800">
        <v>10798</v>
      </c>
      <c r="B10800" t="s">
        <v>14092</v>
      </c>
      <c r="C10800" t="s">
        <v>96</v>
      </c>
      <c r="D10800">
        <v>38868969.304774098</v>
      </c>
    </row>
    <row r="10801" spans="1:4" hidden="1" x14ac:dyDescent="0.3">
      <c r="A10801">
        <v>10799</v>
      </c>
      <c r="B10801" t="s">
        <v>14093</v>
      </c>
      <c r="C10801" t="s">
        <v>98</v>
      </c>
      <c r="D10801">
        <v>27662017.302656099</v>
      </c>
    </row>
    <row r="10802" spans="1:4" hidden="1" x14ac:dyDescent="0.3">
      <c r="A10802">
        <v>10800</v>
      </c>
      <c r="B10802" s="1" t="s">
        <v>14094</v>
      </c>
      <c r="C10802" t="s">
        <v>100</v>
      </c>
      <c r="D10802" s="1" t="s">
        <v>14095</v>
      </c>
    </row>
    <row r="10803" spans="1:4" hidden="1" x14ac:dyDescent="0.3">
      <c r="A10803">
        <v>10801</v>
      </c>
      <c r="B10803" t="s">
        <v>14096</v>
      </c>
      <c r="C10803" t="s">
        <v>103</v>
      </c>
      <c r="D10803">
        <v>8.2213083762343701E-3</v>
      </c>
    </row>
    <row r="10804" spans="1:4" hidden="1" x14ac:dyDescent="0.3">
      <c r="A10804">
        <v>10802</v>
      </c>
      <c r="B10804" t="s">
        <v>14097</v>
      </c>
      <c r="C10804" t="s">
        <v>105</v>
      </c>
      <c r="D10804">
        <v>1.6670226869308399E-3</v>
      </c>
    </row>
    <row r="10805" spans="1:4" hidden="1" x14ac:dyDescent="0.3">
      <c r="A10805">
        <v>10803</v>
      </c>
      <c r="B10805" t="s">
        <v>14098</v>
      </c>
      <c r="C10805" t="s">
        <v>107</v>
      </c>
      <c r="D10805">
        <v>9.9538272791589201E-3</v>
      </c>
    </row>
    <row r="10806" spans="1:4" hidden="1" x14ac:dyDescent="0.3">
      <c r="A10806">
        <v>10804</v>
      </c>
      <c r="B10806" s="1" t="s">
        <v>14099</v>
      </c>
      <c r="C10806" t="s">
        <v>109</v>
      </c>
      <c r="D10806" s="1" t="s">
        <v>14100</v>
      </c>
    </row>
    <row r="10807" spans="1:4" x14ac:dyDescent="0.3">
      <c r="A10807">
        <v>10805</v>
      </c>
      <c r="B10807" t="s">
        <v>14101</v>
      </c>
      <c r="C10807" t="s">
        <v>207</v>
      </c>
      <c r="D10807">
        <v>144709292.127572</v>
      </c>
    </row>
    <row r="10808" spans="1:4" hidden="1" x14ac:dyDescent="0.3">
      <c r="A10808">
        <v>10806</v>
      </c>
      <c r="B10808" t="s">
        <v>14102</v>
      </c>
      <c r="C10808" t="s">
        <v>209</v>
      </c>
      <c r="D10808">
        <v>463.433829955607</v>
      </c>
    </row>
    <row r="10809" spans="1:4" hidden="1" x14ac:dyDescent="0.3">
      <c r="A10809">
        <v>10807</v>
      </c>
      <c r="B10809" t="s">
        <v>14103</v>
      </c>
      <c r="C10809" t="s">
        <v>211</v>
      </c>
      <c r="D10809">
        <v>230.41135342977901</v>
      </c>
    </row>
    <row r="10810" spans="1:4" hidden="1" x14ac:dyDescent="0.3">
      <c r="A10810">
        <v>10808</v>
      </c>
      <c r="B10810" s="1" t="s">
        <v>14104</v>
      </c>
      <c r="C10810" t="s">
        <v>213</v>
      </c>
      <c r="D10810" s="1" t="s">
        <v>14105</v>
      </c>
    </row>
    <row r="10811" spans="1:4" hidden="1" x14ac:dyDescent="0.3">
      <c r="A10811">
        <v>10809</v>
      </c>
      <c r="B10811" t="s">
        <v>14106</v>
      </c>
      <c r="C10811" t="s">
        <v>216</v>
      </c>
      <c r="D10811">
        <v>78177894.326973304</v>
      </c>
    </row>
    <row r="10812" spans="1:4" hidden="1" x14ac:dyDescent="0.3">
      <c r="A10812">
        <v>10810</v>
      </c>
      <c r="B10812" t="s">
        <v>14107</v>
      </c>
      <c r="C10812" t="s">
        <v>218</v>
      </c>
      <c r="D10812">
        <v>38868708.488315701</v>
      </c>
    </row>
    <row r="10813" spans="1:4" hidden="1" x14ac:dyDescent="0.3">
      <c r="A10813">
        <v>10811</v>
      </c>
      <c r="B10813" t="s">
        <v>14108</v>
      </c>
      <c r="C10813" t="s">
        <v>220</v>
      </c>
      <c r="D10813">
        <v>27661831.489435501</v>
      </c>
    </row>
    <row r="10814" spans="1:4" hidden="1" x14ac:dyDescent="0.3">
      <c r="A10814">
        <v>10812</v>
      </c>
      <c r="B10814" s="1" t="s">
        <v>14109</v>
      </c>
      <c r="C10814" t="s">
        <v>222</v>
      </c>
      <c r="D10814" s="1" t="s">
        <v>14110</v>
      </c>
    </row>
    <row r="10815" spans="1:4" hidden="1" x14ac:dyDescent="0.3">
      <c r="A10815">
        <v>10813</v>
      </c>
      <c r="B10815" t="s">
        <v>14111</v>
      </c>
      <c r="C10815" t="s">
        <v>225</v>
      </c>
      <c r="D10815">
        <v>101146691.233197</v>
      </c>
    </row>
    <row r="10816" spans="1:4" hidden="1" x14ac:dyDescent="0.3">
      <c r="A10816">
        <v>10814</v>
      </c>
      <c r="B10816" t="s">
        <v>14112</v>
      </c>
      <c r="C10816" t="s">
        <v>227</v>
      </c>
      <c r="D10816">
        <v>599.59146903455201</v>
      </c>
    </row>
    <row r="10817" spans="1:4" hidden="1" x14ac:dyDescent="0.3">
      <c r="A10817">
        <v>10815</v>
      </c>
      <c r="B10817" s="1" t="s">
        <v>14113</v>
      </c>
      <c r="C10817" t="s">
        <v>229</v>
      </c>
      <c r="D10817" s="1" t="s">
        <v>14114</v>
      </c>
    </row>
    <row r="10818" spans="1:4" hidden="1" x14ac:dyDescent="0.3">
      <c r="A10818">
        <v>10816</v>
      </c>
      <c r="B10818" t="s">
        <v>14115</v>
      </c>
      <c r="C10818" t="s">
        <v>112</v>
      </c>
      <c r="D10818">
        <v>-156.13372725539301</v>
      </c>
    </row>
    <row r="10819" spans="1:4" hidden="1" x14ac:dyDescent="0.3">
      <c r="A10819">
        <v>10817</v>
      </c>
      <c r="B10819" t="s">
        <v>14116</v>
      </c>
      <c r="C10819" t="s">
        <v>114</v>
      </c>
      <c r="D10819">
        <v>-30.405104984232199</v>
      </c>
    </row>
    <row r="10820" spans="1:4" hidden="1" x14ac:dyDescent="0.3">
      <c r="A10820">
        <v>10818</v>
      </c>
      <c r="B10820" s="1" t="s">
        <v>14117</v>
      </c>
      <c r="C10820" t="s">
        <v>116</v>
      </c>
      <c r="D10820" s="1" t="s">
        <v>14118</v>
      </c>
    </row>
    <row r="10821" spans="1:4" hidden="1" x14ac:dyDescent="0.3">
      <c r="A10821">
        <v>10819</v>
      </c>
      <c r="B10821" t="s">
        <v>14119</v>
      </c>
      <c r="C10821" t="s">
        <v>119</v>
      </c>
      <c r="D10821">
        <v>78177894.326973304</v>
      </c>
    </row>
    <row r="10822" spans="1:4" hidden="1" x14ac:dyDescent="0.3">
      <c r="A10822">
        <v>10820</v>
      </c>
      <c r="B10822" t="s">
        <v>14120</v>
      </c>
      <c r="C10822" t="s">
        <v>121</v>
      </c>
      <c r="D10822">
        <v>38868708.488315701</v>
      </c>
    </row>
    <row r="10823" spans="1:4" hidden="1" x14ac:dyDescent="0.3">
      <c r="A10823">
        <v>10821</v>
      </c>
      <c r="B10823" s="1" t="s">
        <v>14121</v>
      </c>
      <c r="C10823" t="s">
        <v>123</v>
      </c>
      <c r="D10823" s="1" t="s">
        <v>14122</v>
      </c>
    </row>
    <row r="10824" spans="1:4" hidden="1" x14ac:dyDescent="0.3">
      <c r="A10824">
        <v>10822</v>
      </c>
      <c r="B10824" t="s">
        <v>14123</v>
      </c>
      <c r="C10824" t="s">
        <v>126</v>
      </c>
      <c r="D10824">
        <v>0.77259144312679395</v>
      </c>
    </row>
    <row r="10825" spans="1:4" hidden="1" x14ac:dyDescent="0.3">
      <c r="A10825">
        <v>10823</v>
      </c>
      <c r="B10825" t="s">
        <v>14124</v>
      </c>
      <c r="C10825" t="s">
        <v>128</v>
      </c>
      <c r="D10825">
        <v>0.384119217356581</v>
      </c>
    </row>
    <row r="10826" spans="1:4" hidden="1" x14ac:dyDescent="0.3">
      <c r="A10826">
        <v>10824</v>
      </c>
      <c r="B10826" s="1" t="s">
        <v>14125</v>
      </c>
      <c r="C10826" t="s">
        <v>130</v>
      </c>
      <c r="D10826" s="1" t="s">
        <v>14126</v>
      </c>
    </row>
    <row r="10827" spans="1:4" hidden="1" x14ac:dyDescent="0.3">
      <c r="A10827">
        <v>10825</v>
      </c>
      <c r="B10827" s="1" t="s">
        <v>14127</v>
      </c>
      <c r="C10827" t="s">
        <v>4</v>
      </c>
      <c r="D10827" t="s">
        <v>14128</v>
      </c>
    </row>
    <row r="10828" spans="1:4" hidden="1" x14ac:dyDescent="0.3">
      <c r="A10828">
        <v>10826</v>
      </c>
      <c r="B10828" t="s">
        <v>5087</v>
      </c>
      <c r="C10828" t="s">
        <v>7</v>
      </c>
      <c r="D10828">
        <v>1810.44</v>
      </c>
    </row>
    <row r="10829" spans="1:4" hidden="1" x14ac:dyDescent="0.3">
      <c r="A10829">
        <v>10827</v>
      </c>
      <c r="B10829" s="1" t="s">
        <v>14129</v>
      </c>
      <c r="C10829" t="s">
        <v>9</v>
      </c>
      <c r="D10829" s="1" t="s">
        <v>14130</v>
      </c>
    </row>
    <row r="10830" spans="1:4" hidden="1" x14ac:dyDescent="0.3">
      <c r="A10830">
        <v>10828</v>
      </c>
      <c r="B10830" t="s">
        <v>14131</v>
      </c>
      <c r="C10830" t="s">
        <v>14</v>
      </c>
      <c r="D10830">
        <v>96.39453125</v>
      </c>
    </row>
    <row r="10831" spans="1:4" hidden="1" x14ac:dyDescent="0.3">
      <c r="A10831">
        <v>10829</v>
      </c>
      <c r="B10831" t="s">
        <v>14132</v>
      </c>
      <c r="C10831" t="s">
        <v>16</v>
      </c>
      <c r="D10831">
        <v>4.3671248734286401</v>
      </c>
    </row>
    <row r="10832" spans="1:4" hidden="1" x14ac:dyDescent="0.3">
      <c r="A10832">
        <v>10830</v>
      </c>
      <c r="B10832" s="1" t="s">
        <v>14133</v>
      </c>
      <c r="C10832" t="s">
        <v>140</v>
      </c>
      <c r="D10832" s="1" t="s">
        <v>14134</v>
      </c>
    </row>
    <row r="10833" spans="1:4" hidden="1" x14ac:dyDescent="0.3">
      <c r="A10833">
        <v>10831</v>
      </c>
      <c r="B10833" t="s">
        <v>10383</v>
      </c>
      <c r="C10833" t="s">
        <v>22</v>
      </c>
      <c r="D10833">
        <v>68.599999999999994</v>
      </c>
    </row>
    <row r="10834" spans="1:4" hidden="1" x14ac:dyDescent="0.3">
      <c r="A10834">
        <v>10832</v>
      </c>
      <c r="B10834" t="s">
        <v>14135</v>
      </c>
      <c r="C10834" t="s">
        <v>24</v>
      </c>
      <c r="D10834">
        <v>6.4391490745115902</v>
      </c>
    </row>
    <row r="10835" spans="1:4" hidden="1" x14ac:dyDescent="0.3">
      <c r="A10835">
        <v>10833</v>
      </c>
      <c r="B10835" s="1" t="s">
        <v>14136</v>
      </c>
      <c r="C10835" t="s">
        <v>145</v>
      </c>
      <c r="D10835" s="1" t="s">
        <v>14137</v>
      </c>
    </row>
    <row r="10836" spans="1:4" hidden="1" x14ac:dyDescent="0.3">
      <c r="A10836">
        <v>10834</v>
      </c>
      <c r="B10836" t="s">
        <v>14138</v>
      </c>
      <c r="C10836" t="s">
        <v>35</v>
      </c>
      <c r="D10836">
        <v>-0.84737114590726703</v>
      </c>
    </row>
    <row r="10837" spans="1:4" hidden="1" x14ac:dyDescent="0.3">
      <c r="A10837">
        <v>10835</v>
      </c>
      <c r="B10837" t="s">
        <v>14139</v>
      </c>
      <c r="C10837" t="s">
        <v>149</v>
      </c>
      <c r="D10837">
        <v>0.69413124718920505</v>
      </c>
    </row>
    <row r="10838" spans="1:4" hidden="1" x14ac:dyDescent="0.3">
      <c r="A10838">
        <v>10836</v>
      </c>
      <c r="B10838" s="1" t="s">
        <v>14140</v>
      </c>
      <c r="C10838" t="s">
        <v>151</v>
      </c>
      <c r="D10838" s="1" t="s">
        <v>14141</v>
      </c>
    </row>
    <row r="10839" spans="1:4" hidden="1" x14ac:dyDescent="0.3">
      <c r="A10839">
        <v>10837</v>
      </c>
      <c r="B10839" t="s">
        <v>14142</v>
      </c>
      <c r="C10839" t="s">
        <v>30</v>
      </c>
      <c r="D10839">
        <v>0.72572100867595901</v>
      </c>
    </row>
    <row r="10840" spans="1:4" hidden="1" x14ac:dyDescent="0.3">
      <c r="A10840">
        <v>10838</v>
      </c>
      <c r="B10840" t="s">
        <v>14143</v>
      </c>
      <c r="C10840" t="s">
        <v>32</v>
      </c>
      <c r="D10840">
        <v>0.230213831665567</v>
      </c>
    </row>
    <row r="10841" spans="1:4" hidden="1" x14ac:dyDescent="0.3">
      <c r="A10841">
        <v>10839</v>
      </c>
      <c r="B10841" s="1" t="s">
        <v>14144</v>
      </c>
      <c r="C10841" t="s">
        <v>155</v>
      </c>
      <c r="D10841" s="1" t="s">
        <v>14145</v>
      </c>
    </row>
    <row r="10842" spans="1:4" hidden="1" x14ac:dyDescent="0.3">
      <c r="A10842">
        <v>10840</v>
      </c>
      <c r="B10842" t="s">
        <v>14146</v>
      </c>
      <c r="C10842" t="s">
        <v>40</v>
      </c>
      <c r="D10842">
        <v>1.1216501372312999</v>
      </c>
    </row>
    <row r="10843" spans="1:4" hidden="1" x14ac:dyDescent="0.3">
      <c r="A10843">
        <v>10841</v>
      </c>
      <c r="B10843" t="s">
        <v>14147</v>
      </c>
      <c r="C10843" t="s">
        <v>42</v>
      </c>
      <c r="D10843">
        <v>0.21043590719775199</v>
      </c>
    </row>
    <row r="10844" spans="1:4" hidden="1" x14ac:dyDescent="0.3">
      <c r="A10844">
        <v>10842</v>
      </c>
      <c r="B10844" s="1" t="s">
        <v>14148</v>
      </c>
      <c r="C10844" t="s">
        <v>159</v>
      </c>
      <c r="D10844" s="1" t="s">
        <v>14149</v>
      </c>
    </row>
    <row r="10845" spans="1:4" hidden="1" x14ac:dyDescent="0.3">
      <c r="A10845">
        <v>10843</v>
      </c>
      <c r="B10845" t="s">
        <v>14150</v>
      </c>
      <c r="C10845" t="s">
        <v>161</v>
      </c>
      <c r="D10845">
        <v>0.99770748374297302</v>
      </c>
    </row>
    <row r="10846" spans="1:4" hidden="1" x14ac:dyDescent="0.3">
      <c r="A10846">
        <v>10844</v>
      </c>
      <c r="B10846" t="s">
        <v>14151</v>
      </c>
      <c r="C10846" t="s">
        <v>163</v>
      </c>
      <c r="D10846">
        <v>0.99725886930115604</v>
      </c>
    </row>
    <row r="10847" spans="1:4" hidden="1" x14ac:dyDescent="0.3">
      <c r="A10847">
        <v>10845</v>
      </c>
      <c r="B10847" s="1" t="s">
        <v>14152</v>
      </c>
      <c r="C10847" t="s">
        <v>165</v>
      </c>
      <c r="D10847" s="1" t="s">
        <v>14153</v>
      </c>
    </row>
    <row r="10848" spans="1:4" hidden="1" x14ac:dyDescent="0.3">
      <c r="A10848">
        <v>10846</v>
      </c>
      <c r="B10848" t="s">
        <v>14154</v>
      </c>
      <c r="C10848" t="s">
        <v>168</v>
      </c>
      <c r="D10848">
        <v>1.0001988016193</v>
      </c>
    </row>
    <row r="10849" spans="1:4" hidden="1" x14ac:dyDescent="0.3">
      <c r="A10849">
        <v>10847</v>
      </c>
      <c r="B10849" t="s">
        <v>14155</v>
      </c>
      <c r="C10849" t="s">
        <v>170</v>
      </c>
      <c r="D10849">
        <v>1.00017067439114</v>
      </c>
    </row>
    <row r="10850" spans="1:4" hidden="1" x14ac:dyDescent="0.3">
      <c r="A10850">
        <v>10848</v>
      </c>
      <c r="B10850" s="1" t="s">
        <v>14156</v>
      </c>
      <c r="C10850" t="s">
        <v>172</v>
      </c>
      <c r="D10850" s="1" t="s">
        <v>14157</v>
      </c>
    </row>
    <row r="10851" spans="1:4" hidden="1" x14ac:dyDescent="0.3">
      <c r="A10851">
        <v>10849</v>
      </c>
      <c r="B10851" s="1" t="s">
        <v>14158</v>
      </c>
      <c r="C10851" t="s">
        <v>55</v>
      </c>
      <c r="D10851" s="1" t="s">
        <v>14159</v>
      </c>
    </row>
    <row r="10852" spans="1:4" hidden="1" x14ac:dyDescent="0.3">
      <c r="A10852">
        <v>10850</v>
      </c>
      <c r="B10852" s="1" t="s">
        <v>14160</v>
      </c>
      <c r="C10852" t="s">
        <v>52</v>
      </c>
      <c r="D10852" s="1" t="s">
        <v>14161</v>
      </c>
    </row>
    <row r="10853" spans="1:4" hidden="1" x14ac:dyDescent="0.3">
      <c r="A10853">
        <v>10851</v>
      </c>
      <c r="B10853" s="1" t="s">
        <v>14162</v>
      </c>
      <c r="C10853" t="s">
        <v>58</v>
      </c>
      <c r="D10853" s="1" t="s">
        <v>14163</v>
      </c>
    </row>
    <row r="10854" spans="1:4" hidden="1" x14ac:dyDescent="0.3">
      <c r="A10854">
        <v>10852</v>
      </c>
      <c r="B10854" t="s">
        <v>14164</v>
      </c>
      <c r="C10854" t="s">
        <v>61</v>
      </c>
      <c r="D10854">
        <v>144143704.57817101</v>
      </c>
    </row>
    <row r="10855" spans="1:4" hidden="1" x14ac:dyDescent="0.3">
      <c r="A10855">
        <v>10853</v>
      </c>
      <c r="B10855" t="s">
        <v>14165</v>
      </c>
      <c r="C10855" t="s">
        <v>63</v>
      </c>
      <c r="D10855">
        <v>77998670.233288705</v>
      </c>
    </row>
    <row r="10856" spans="1:4" hidden="1" x14ac:dyDescent="0.3">
      <c r="A10856">
        <v>10854</v>
      </c>
      <c r="B10856" t="s">
        <v>14166</v>
      </c>
      <c r="C10856" t="s">
        <v>65</v>
      </c>
      <c r="D10856">
        <v>38762164.278254002</v>
      </c>
    </row>
    <row r="10857" spans="1:4" hidden="1" x14ac:dyDescent="0.3">
      <c r="A10857">
        <v>10855</v>
      </c>
      <c r="B10857" s="1" t="s">
        <v>14167</v>
      </c>
      <c r="C10857" t="s">
        <v>67</v>
      </c>
      <c r="D10857" s="1" t="s">
        <v>14168</v>
      </c>
    </row>
    <row r="10858" spans="1:4" hidden="1" x14ac:dyDescent="0.3">
      <c r="A10858">
        <v>10856</v>
      </c>
      <c r="B10858" s="1" t="s">
        <v>14169</v>
      </c>
      <c r="C10858" t="s">
        <v>70</v>
      </c>
      <c r="D10858" s="1" t="s">
        <v>14170</v>
      </c>
    </row>
    <row r="10859" spans="1:4" hidden="1" x14ac:dyDescent="0.3">
      <c r="A10859">
        <v>10857</v>
      </c>
      <c r="B10859" t="s">
        <v>14171</v>
      </c>
      <c r="C10859" t="s">
        <v>73</v>
      </c>
      <c r="D10859">
        <v>1.0004200671954699</v>
      </c>
    </row>
    <row r="10860" spans="1:4" hidden="1" x14ac:dyDescent="0.3">
      <c r="A10860">
        <v>10858</v>
      </c>
      <c r="B10860" t="s">
        <v>74</v>
      </c>
      <c r="C10860" t="s">
        <v>75</v>
      </c>
      <c r="D10860">
        <v>2.7397260273972599E-3</v>
      </c>
    </row>
    <row r="10861" spans="1:4" hidden="1" x14ac:dyDescent="0.3">
      <c r="A10861">
        <v>10859</v>
      </c>
      <c r="B10861" t="s">
        <v>76</v>
      </c>
      <c r="C10861" t="s">
        <v>77</v>
      </c>
      <c r="D10861">
        <v>0</v>
      </c>
    </row>
    <row r="10862" spans="1:4" hidden="1" x14ac:dyDescent="0.3">
      <c r="A10862">
        <v>10860</v>
      </c>
      <c r="B10862" t="s">
        <v>1459</v>
      </c>
      <c r="C10862" t="s">
        <v>79</v>
      </c>
      <c r="D10862" s="2">
        <v>-2.2204460492503101E-16</v>
      </c>
    </row>
    <row r="10863" spans="1:4" hidden="1" x14ac:dyDescent="0.3">
      <c r="A10863">
        <v>10861</v>
      </c>
      <c r="B10863" s="1" t="s">
        <v>14172</v>
      </c>
      <c r="C10863" t="s">
        <v>81</v>
      </c>
      <c r="D10863" s="1" t="s">
        <v>14173</v>
      </c>
    </row>
    <row r="10864" spans="1:4" hidden="1" x14ac:dyDescent="0.3">
      <c r="A10864">
        <v>10862</v>
      </c>
      <c r="B10864" t="s">
        <v>14174</v>
      </c>
      <c r="C10864" t="s">
        <v>84</v>
      </c>
      <c r="D10864">
        <v>1.00035764388578</v>
      </c>
    </row>
    <row r="10865" spans="1:4" hidden="1" x14ac:dyDescent="0.3">
      <c r="A10865">
        <v>10863</v>
      </c>
      <c r="B10865" s="1" t="s">
        <v>14175</v>
      </c>
      <c r="C10865" t="s">
        <v>86</v>
      </c>
      <c r="D10865" s="1" t="s">
        <v>14176</v>
      </c>
    </row>
    <row r="10866" spans="1:4" hidden="1" x14ac:dyDescent="0.3">
      <c r="A10866">
        <v>10864</v>
      </c>
      <c r="B10866" t="s">
        <v>14177</v>
      </c>
      <c r="C10866" t="s">
        <v>89</v>
      </c>
      <c r="D10866">
        <v>101153602.51598801</v>
      </c>
    </row>
    <row r="10867" spans="1:4" hidden="1" x14ac:dyDescent="0.3">
      <c r="A10867">
        <v>10865</v>
      </c>
      <c r="B10867" s="1" t="s">
        <v>14178</v>
      </c>
      <c r="C10867" t="s">
        <v>91</v>
      </c>
      <c r="D10867" s="1" t="s">
        <v>14114</v>
      </c>
    </row>
    <row r="10868" spans="1:4" hidden="1" x14ac:dyDescent="0.3">
      <c r="A10868">
        <v>10866</v>
      </c>
      <c r="B10868" t="s">
        <v>14179</v>
      </c>
      <c r="C10868" t="s">
        <v>94</v>
      </c>
      <c r="D10868">
        <v>77998670.233288705</v>
      </c>
    </row>
    <row r="10869" spans="1:4" hidden="1" x14ac:dyDescent="0.3">
      <c r="A10869">
        <v>10867</v>
      </c>
      <c r="B10869" t="s">
        <v>14180</v>
      </c>
      <c r="C10869" t="s">
        <v>96</v>
      </c>
      <c r="D10869">
        <v>38762164.278254002</v>
      </c>
    </row>
    <row r="10870" spans="1:4" hidden="1" x14ac:dyDescent="0.3">
      <c r="A10870">
        <v>10868</v>
      </c>
      <c r="B10870" t="s">
        <v>14181</v>
      </c>
      <c r="C10870" t="s">
        <v>98</v>
      </c>
      <c r="D10870">
        <v>27382870.066628501</v>
      </c>
    </row>
    <row r="10871" spans="1:4" hidden="1" x14ac:dyDescent="0.3">
      <c r="A10871">
        <v>10869</v>
      </c>
      <c r="B10871" s="1" t="s">
        <v>14182</v>
      </c>
      <c r="C10871" t="s">
        <v>100</v>
      </c>
      <c r="D10871" s="1" t="s">
        <v>14183</v>
      </c>
    </row>
    <row r="10872" spans="1:4" hidden="1" x14ac:dyDescent="0.3">
      <c r="A10872">
        <v>10870</v>
      </c>
      <c r="B10872" t="s">
        <v>14184</v>
      </c>
      <c r="C10872" t="s">
        <v>103</v>
      </c>
      <c r="D10872">
        <v>8.2437135813737492E-3</v>
      </c>
    </row>
    <row r="10873" spans="1:4" hidden="1" x14ac:dyDescent="0.3">
      <c r="A10873">
        <v>10871</v>
      </c>
      <c r="B10873" t="s">
        <v>14185</v>
      </c>
      <c r="C10873" t="s">
        <v>105</v>
      </c>
      <c r="D10873">
        <v>1.6777483235230399E-3</v>
      </c>
    </row>
    <row r="10874" spans="1:4" hidden="1" x14ac:dyDescent="0.3">
      <c r="A10874">
        <v>10872</v>
      </c>
      <c r="B10874" t="s">
        <v>14186</v>
      </c>
      <c r="C10874" t="s">
        <v>107</v>
      </c>
      <c r="D10874">
        <v>1.0000146622011199E-2</v>
      </c>
    </row>
    <row r="10875" spans="1:4" hidden="1" x14ac:dyDescent="0.3">
      <c r="A10875">
        <v>10873</v>
      </c>
      <c r="B10875" s="1" t="s">
        <v>14187</v>
      </c>
      <c r="C10875" t="s">
        <v>109</v>
      </c>
      <c r="D10875" s="1" t="s">
        <v>14188</v>
      </c>
    </row>
    <row r="10876" spans="1:4" x14ac:dyDescent="0.3">
      <c r="A10876">
        <v>10874</v>
      </c>
      <c r="B10876" t="s">
        <v>14189</v>
      </c>
      <c r="C10876" t="s">
        <v>207</v>
      </c>
      <c r="D10876">
        <v>144141508.24496299</v>
      </c>
    </row>
    <row r="10877" spans="1:4" hidden="1" x14ac:dyDescent="0.3">
      <c r="A10877">
        <v>10875</v>
      </c>
      <c r="B10877" t="s">
        <v>14190</v>
      </c>
      <c r="C10877" t="s">
        <v>209</v>
      </c>
      <c r="D10877">
        <v>4866.7841273567901</v>
      </c>
    </row>
    <row r="10878" spans="1:4" hidden="1" x14ac:dyDescent="0.3">
      <c r="A10878">
        <v>10876</v>
      </c>
      <c r="B10878" t="s">
        <v>14191</v>
      </c>
      <c r="C10878" t="s">
        <v>211</v>
      </c>
      <c r="D10878">
        <v>2418.62578562722</v>
      </c>
    </row>
    <row r="10879" spans="1:4" hidden="1" x14ac:dyDescent="0.3">
      <c r="A10879">
        <v>10877</v>
      </c>
      <c r="B10879" s="1" t="s">
        <v>14192</v>
      </c>
      <c r="C10879" t="s">
        <v>213</v>
      </c>
      <c r="D10879" s="1" t="s">
        <v>14193</v>
      </c>
    </row>
    <row r="10880" spans="1:4" hidden="1" x14ac:dyDescent="0.3">
      <c r="A10880">
        <v>10878</v>
      </c>
      <c r="B10880" t="s">
        <v>14194</v>
      </c>
      <c r="C10880" t="s">
        <v>216</v>
      </c>
      <c r="D10880">
        <v>77992095.048742294</v>
      </c>
    </row>
    <row r="10881" spans="1:4" hidden="1" x14ac:dyDescent="0.3">
      <c r="A10881">
        <v>10879</v>
      </c>
      <c r="B10881" t="s">
        <v>14195</v>
      </c>
      <c r="C10881" t="s">
        <v>218</v>
      </c>
      <c r="D10881">
        <v>38759412.216301903</v>
      </c>
    </row>
    <row r="10882" spans="1:4" hidden="1" x14ac:dyDescent="0.3">
      <c r="A10882">
        <v>10880</v>
      </c>
      <c r="B10882" t="s">
        <v>14196</v>
      </c>
      <c r="C10882" t="s">
        <v>220</v>
      </c>
      <c r="D10882">
        <v>27381006.967999998</v>
      </c>
    </row>
    <row r="10883" spans="1:4" hidden="1" x14ac:dyDescent="0.3">
      <c r="A10883">
        <v>10881</v>
      </c>
      <c r="B10883" s="1" t="s">
        <v>14197</v>
      </c>
      <c r="C10883" t="s">
        <v>222</v>
      </c>
      <c r="D10883" s="1" t="s">
        <v>14198</v>
      </c>
    </row>
    <row r="10884" spans="1:4" hidden="1" x14ac:dyDescent="0.3">
      <c r="A10884">
        <v>10882</v>
      </c>
      <c r="B10884" t="s">
        <v>14199</v>
      </c>
      <c r="C10884" t="s">
        <v>225</v>
      </c>
      <c r="D10884">
        <v>101147290.82466599</v>
      </c>
    </row>
    <row r="10885" spans="1:4" hidden="1" x14ac:dyDescent="0.3">
      <c r="A10885">
        <v>10883</v>
      </c>
      <c r="B10885" t="s">
        <v>14200</v>
      </c>
      <c r="C10885" t="s">
        <v>227</v>
      </c>
      <c r="D10885">
        <v>6311.6913220882398</v>
      </c>
    </row>
    <row r="10886" spans="1:4" hidden="1" x14ac:dyDescent="0.3">
      <c r="A10886">
        <v>10884</v>
      </c>
      <c r="B10886" s="1" t="s">
        <v>14201</v>
      </c>
      <c r="C10886" t="s">
        <v>229</v>
      </c>
      <c r="D10886" s="1" t="s">
        <v>14202</v>
      </c>
    </row>
    <row r="10887" spans="1:4" hidden="1" x14ac:dyDescent="0.3">
      <c r="A10887">
        <v>10885</v>
      </c>
      <c r="B10887" t="s">
        <v>14203</v>
      </c>
      <c r="C10887" t="s">
        <v>112</v>
      </c>
      <c r="D10887">
        <v>-1708.40041905461</v>
      </c>
    </row>
    <row r="10888" spans="1:4" hidden="1" x14ac:dyDescent="0.3">
      <c r="A10888">
        <v>10886</v>
      </c>
      <c r="B10888" t="s">
        <v>14204</v>
      </c>
      <c r="C10888" t="s">
        <v>114</v>
      </c>
      <c r="D10888">
        <v>-333.43616645618499</v>
      </c>
    </row>
    <row r="10889" spans="1:4" hidden="1" x14ac:dyDescent="0.3">
      <c r="A10889">
        <v>10887</v>
      </c>
      <c r="B10889" s="1" t="s">
        <v>14205</v>
      </c>
      <c r="C10889" t="s">
        <v>116</v>
      </c>
      <c r="D10889" s="1" t="s">
        <v>14206</v>
      </c>
    </row>
    <row r="10890" spans="1:4" hidden="1" x14ac:dyDescent="0.3">
      <c r="A10890">
        <v>10888</v>
      </c>
      <c r="B10890" t="s">
        <v>14207</v>
      </c>
      <c r="C10890" t="s">
        <v>119</v>
      </c>
      <c r="D10890">
        <v>77992095.048742294</v>
      </c>
    </row>
    <row r="10891" spans="1:4" hidden="1" x14ac:dyDescent="0.3">
      <c r="A10891">
        <v>10889</v>
      </c>
      <c r="B10891" t="s">
        <v>14208</v>
      </c>
      <c r="C10891" t="s">
        <v>121</v>
      </c>
      <c r="D10891">
        <v>38759412.216301903</v>
      </c>
    </row>
    <row r="10892" spans="1:4" hidden="1" x14ac:dyDescent="0.3">
      <c r="A10892">
        <v>10890</v>
      </c>
      <c r="B10892" s="1" t="s">
        <v>14209</v>
      </c>
      <c r="C10892" t="s">
        <v>123</v>
      </c>
      <c r="D10892" s="1" t="s">
        <v>14210</v>
      </c>
    </row>
    <row r="10893" spans="1:4" hidden="1" x14ac:dyDescent="0.3">
      <c r="A10893">
        <v>10891</v>
      </c>
      <c r="B10893" t="s">
        <v>14211</v>
      </c>
      <c r="C10893" t="s">
        <v>126</v>
      </c>
      <c r="D10893">
        <v>0.77079881220240898</v>
      </c>
    </row>
    <row r="10894" spans="1:4" hidden="1" x14ac:dyDescent="0.3">
      <c r="A10894">
        <v>10892</v>
      </c>
      <c r="B10894" t="s">
        <v>14212</v>
      </c>
      <c r="C10894" t="s">
        <v>128</v>
      </c>
      <c r="D10894">
        <v>0.38306073044092298</v>
      </c>
    </row>
    <row r="10895" spans="1:4" hidden="1" x14ac:dyDescent="0.3">
      <c r="A10895">
        <v>10893</v>
      </c>
      <c r="B10895" s="1" t="s">
        <v>14213</v>
      </c>
      <c r="C10895" t="s">
        <v>130</v>
      </c>
      <c r="D10895" s="1" t="s">
        <v>14214</v>
      </c>
    </row>
    <row r="10896" spans="1:4" hidden="1" x14ac:dyDescent="0.3">
      <c r="A10896">
        <v>10894</v>
      </c>
      <c r="B10896" s="1" t="s">
        <v>14215</v>
      </c>
      <c r="C10896" t="s">
        <v>4</v>
      </c>
      <c r="D10896" t="s">
        <v>14216</v>
      </c>
    </row>
    <row r="10897" spans="1:4" hidden="1" x14ac:dyDescent="0.3">
      <c r="A10897">
        <v>10895</v>
      </c>
      <c r="B10897" t="s">
        <v>14217</v>
      </c>
      <c r="C10897" t="s">
        <v>7</v>
      </c>
      <c r="D10897">
        <v>1791.16</v>
      </c>
    </row>
    <row r="10898" spans="1:4" hidden="1" x14ac:dyDescent="0.3">
      <c r="A10898">
        <v>10896</v>
      </c>
      <c r="B10898" s="1" t="s">
        <v>14218</v>
      </c>
      <c r="C10898" t="s">
        <v>9</v>
      </c>
      <c r="D10898" s="1" t="s">
        <v>14219</v>
      </c>
    </row>
    <row r="10899" spans="1:4" hidden="1" x14ac:dyDescent="0.3">
      <c r="A10899">
        <v>10897</v>
      </c>
      <c r="B10899" t="s">
        <v>14220</v>
      </c>
      <c r="C10899" t="s">
        <v>14</v>
      </c>
      <c r="D10899">
        <v>96.2265625</v>
      </c>
    </row>
    <row r="10900" spans="1:4" hidden="1" x14ac:dyDescent="0.3">
      <c r="A10900">
        <v>10898</v>
      </c>
      <c r="B10900" t="s">
        <v>14221</v>
      </c>
      <c r="C10900" t="s">
        <v>16</v>
      </c>
      <c r="D10900">
        <v>4.3658035503042001</v>
      </c>
    </row>
    <row r="10901" spans="1:4" hidden="1" x14ac:dyDescent="0.3">
      <c r="A10901">
        <v>10899</v>
      </c>
      <c r="B10901" s="1" t="s">
        <v>14222</v>
      </c>
      <c r="C10901" t="s">
        <v>140</v>
      </c>
      <c r="D10901" s="1" t="s">
        <v>14223</v>
      </c>
    </row>
    <row r="10902" spans="1:4" hidden="1" x14ac:dyDescent="0.3">
      <c r="A10902">
        <v>10900</v>
      </c>
      <c r="B10902" t="s">
        <v>7780</v>
      </c>
      <c r="C10902" t="s">
        <v>22</v>
      </c>
      <c r="D10902">
        <v>68</v>
      </c>
    </row>
    <row r="10903" spans="1:4" hidden="1" x14ac:dyDescent="0.3">
      <c r="A10903">
        <v>10901</v>
      </c>
      <c r="B10903" t="s">
        <v>14224</v>
      </c>
      <c r="C10903" t="s">
        <v>24</v>
      </c>
      <c r="D10903">
        <v>6.4431081911448302</v>
      </c>
    </row>
    <row r="10904" spans="1:4" hidden="1" x14ac:dyDescent="0.3">
      <c r="A10904">
        <v>10902</v>
      </c>
      <c r="B10904" s="1" t="s">
        <v>14225</v>
      </c>
      <c r="C10904" t="s">
        <v>145</v>
      </c>
      <c r="D10904" s="1" t="s">
        <v>14226</v>
      </c>
    </row>
    <row r="10905" spans="1:4" hidden="1" x14ac:dyDescent="0.3">
      <c r="A10905">
        <v>10903</v>
      </c>
      <c r="B10905" t="s">
        <v>14227</v>
      </c>
      <c r="C10905" t="s">
        <v>35</v>
      </c>
      <c r="D10905">
        <v>0.48647055639686199</v>
      </c>
    </row>
    <row r="10906" spans="1:4" hidden="1" x14ac:dyDescent="0.3">
      <c r="A10906">
        <v>10904</v>
      </c>
      <c r="B10906" t="s">
        <v>14228</v>
      </c>
      <c r="C10906" t="s">
        <v>149</v>
      </c>
      <c r="D10906">
        <v>0.68258539502755899</v>
      </c>
    </row>
    <row r="10907" spans="1:4" hidden="1" x14ac:dyDescent="0.3">
      <c r="A10907">
        <v>10905</v>
      </c>
      <c r="B10907" s="1" t="s">
        <v>14229</v>
      </c>
      <c r="C10907" t="s">
        <v>151</v>
      </c>
      <c r="D10907" s="1" t="s">
        <v>14230</v>
      </c>
    </row>
    <row r="10908" spans="1:4" hidden="1" x14ac:dyDescent="0.3">
      <c r="A10908">
        <v>10906</v>
      </c>
      <c r="B10908" t="s">
        <v>14231</v>
      </c>
      <c r="C10908" t="s">
        <v>30</v>
      </c>
      <c r="D10908">
        <v>0.20210655143318601</v>
      </c>
    </row>
    <row r="10909" spans="1:4" hidden="1" x14ac:dyDescent="0.3">
      <c r="A10909">
        <v>10907</v>
      </c>
      <c r="B10909" t="s">
        <v>14232</v>
      </c>
      <c r="C10909" t="s">
        <v>32</v>
      </c>
      <c r="D10909">
        <v>0.243343049561384</v>
      </c>
    </row>
    <row r="10910" spans="1:4" hidden="1" x14ac:dyDescent="0.3">
      <c r="A10910">
        <v>10908</v>
      </c>
      <c r="B10910" s="1" t="s">
        <v>14233</v>
      </c>
      <c r="C10910" t="s">
        <v>155</v>
      </c>
      <c r="D10910" s="1" t="s">
        <v>14234</v>
      </c>
    </row>
    <row r="10911" spans="1:4" hidden="1" x14ac:dyDescent="0.3">
      <c r="A10911">
        <v>10909</v>
      </c>
      <c r="B10911" t="s">
        <v>14235</v>
      </c>
      <c r="C10911" t="s">
        <v>40</v>
      </c>
      <c r="D10911">
        <v>0.311422892169951</v>
      </c>
    </row>
    <row r="10912" spans="1:4" hidden="1" x14ac:dyDescent="0.3">
      <c r="A10912">
        <v>10910</v>
      </c>
      <c r="B10912" t="s">
        <v>14236</v>
      </c>
      <c r="C10912" t="s">
        <v>42</v>
      </c>
      <c r="D10912">
        <v>0.22167511122071701</v>
      </c>
    </row>
    <row r="10913" spans="1:4" hidden="1" x14ac:dyDescent="0.3">
      <c r="A10913">
        <v>10911</v>
      </c>
      <c r="B10913" s="1" t="s">
        <v>14237</v>
      </c>
      <c r="C10913" t="s">
        <v>159</v>
      </c>
      <c r="D10913" s="1" t="s">
        <v>14238</v>
      </c>
    </row>
    <row r="10914" spans="1:4" hidden="1" x14ac:dyDescent="0.3">
      <c r="A10914">
        <v>10912</v>
      </c>
      <c r="B10914" t="s">
        <v>14239</v>
      </c>
      <c r="C10914" t="s">
        <v>161</v>
      </c>
      <c r="D10914">
        <v>0.98935065508937003</v>
      </c>
    </row>
    <row r="10915" spans="1:4" hidden="1" x14ac:dyDescent="0.3">
      <c r="A10915">
        <v>10913</v>
      </c>
      <c r="B10915" t="s">
        <v>14240</v>
      </c>
      <c r="C10915" t="s">
        <v>163</v>
      </c>
      <c r="D10915">
        <v>0.99831989588462999</v>
      </c>
    </row>
    <row r="10916" spans="1:4" hidden="1" x14ac:dyDescent="0.3">
      <c r="A10916">
        <v>10914</v>
      </c>
      <c r="B10916" s="1" t="s">
        <v>14241</v>
      </c>
      <c r="C10916" t="s">
        <v>165</v>
      </c>
      <c r="D10916" s="1" t="s">
        <v>14242</v>
      </c>
    </row>
    <row r="10917" spans="1:4" hidden="1" x14ac:dyDescent="0.3">
      <c r="A10917">
        <v>10915</v>
      </c>
      <c r="B10917" t="s">
        <v>14243</v>
      </c>
      <c r="C10917" t="s">
        <v>168</v>
      </c>
      <c r="D10917">
        <v>0.99318479475495003</v>
      </c>
    </row>
    <row r="10918" spans="1:4" hidden="1" x14ac:dyDescent="0.3">
      <c r="A10918">
        <v>10916</v>
      </c>
      <c r="B10918" t="s">
        <v>14244</v>
      </c>
      <c r="C10918" t="s">
        <v>170</v>
      </c>
      <c r="D10918">
        <v>1.01067230554385</v>
      </c>
    </row>
    <row r="10919" spans="1:4" hidden="1" x14ac:dyDescent="0.3">
      <c r="A10919">
        <v>10917</v>
      </c>
      <c r="B10919" s="1" t="s">
        <v>14245</v>
      </c>
      <c r="C10919" t="s">
        <v>172</v>
      </c>
      <c r="D10919" s="1" t="s">
        <v>14246</v>
      </c>
    </row>
    <row r="10920" spans="1:4" hidden="1" x14ac:dyDescent="0.3">
      <c r="A10920">
        <v>10918</v>
      </c>
      <c r="B10920" s="1" t="s">
        <v>14247</v>
      </c>
      <c r="C10920" t="s">
        <v>55</v>
      </c>
      <c r="D10920" s="1" t="s">
        <v>14248</v>
      </c>
    </row>
    <row r="10921" spans="1:4" hidden="1" x14ac:dyDescent="0.3">
      <c r="A10921">
        <v>10919</v>
      </c>
      <c r="B10921" s="1" t="s">
        <v>14249</v>
      </c>
      <c r="C10921" t="s">
        <v>52</v>
      </c>
      <c r="D10921" s="1" t="s">
        <v>14250</v>
      </c>
    </row>
    <row r="10922" spans="1:4" hidden="1" x14ac:dyDescent="0.3">
      <c r="A10922">
        <v>10920</v>
      </c>
      <c r="B10922" s="1" t="s">
        <v>14251</v>
      </c>
      <c r="C10922" t="s">
        <v>58</v>
      </c>
      <c r="D10922" s="1" t="s">
        <v>14252</v>
      </c>
    </row>
    <row r="10923" spans="1:4" hidden="1" x14ac:dyDescent="0.3">
      <c r="A10923">
        <v>10921</v>
      </c>
      <c r="B10923" t="s">
        <v>14253</v>
      </c>
      <c r="C10923" t="s">
        <v>61</v>
      </c>
      <c r="D10923">
        <v>143019340.53016201</v>
      </c>
    </row>
    <row r="10924" spans="1:4" hidden="1" x14ac:dyDescent="0.3">
      <c r="A10924">
        <v>10922</v>
      </c>
      <c r="B10924" t="s">
        <v>14254</v>
      </c>
      <c r="C10924" t="s">
        <v>63</v>
      </c>
      <c r="D10924">
        <v>77161530.328265607</v>
      </c>
    </row>
    <row r="10925" spans="1:4" hidden="1" x14ac:dyDescent="0.3">
      <c r="A10925">
        <v>10923</v>
      </c>
      <c r="B10925" t="s">
        <v>14255</v>
      </c>
      <c r="C10925" t="s">
        <v>65</v>
      </c>
      <c r="D10925">
        <v>38694292.368327998</v>
      </c>
    </row>
    <row r="10926" spans="1:4" hidden="1" x14ac:dyDescent="0.3">
      <c r="A10926">
        <v>10924</v>
      </c>
      <c r="B10926" s="1" t="s">
        <v>14256</v>
      </c>
      <c r="C10926" t="s">
        <v>67</v>
      </c>
      <c r="D10926" s="1" t="s">
        <v>14257</v>
      </c>
    </row>
    <row r="10927" spans="1:4" hidden="1" x14ac:dyDescent="0.3">
      <c r="A10927">
        <v>10925</v>
      </c>
      <c r="B10927" s="1" t="s">
        <v>14258</v>
      </c>
      <c r="C10927" t="s">
        <v>70</v>
      </c>
      <c r="D10927" s="1" t="s">
        <v>14259</v>
      </c>
    </row>
    <row r="10928" spans="1:4" hidden="1" x14ac:dyDescent="0.3">
      <c r="A10928">
        <v>10926</v>
      </c>
      <c r="B10928" t="s">
        <v>14260</v>
      </c>
      <c r="C10928" t="s">
        <v>73</v>
      </c>
      <c r="D10928">
        <v>1.00035764388578</v>
      </c>
    </row>
    <row r="10929" spans="1:4" hidden="1" x14ac:dyDescent="0.3">
      <c r="A10929">
        <v>10927</v>
      </c>
      <c r="B10929" t="s">
        <v>74</v>
      </c>
      <c r="C10929" t="s">
        <v>75</v>
      </c>
      <c r="D10929">
        <v>2.7397260273972599E-3</v>
      </c>
    </row>
    <row r="10930" spans="1:4" hidden="1" x14ac:dyDescent="0.3">
      <c r="A10930">
        <v>10928</v>
      </c>
      <c r="B10930" t="s">
        <v>76</v>
      </c>
      <c r="C10930" t="s">
        <v>77</v>
      </c>
      <c r="D10930">
        <v>0</v>
      </c>
    </row>
    <row r="10931" spans="1:4" hidden="1" x14ac:dyDescent="0.3">
      <c r="A10931">
        <v>10929</v>
      </c>
      <c r="B10931" t="s">
        <v>78</v>
      </c>
      <c r="C10931" t="s">
        <v>79</v>
      </c>
      <c r="D10931">
        <v>0</v>
      </c>
    </row>
    <row r="10932" spans="1:4" hidden="1" x14ac:dyDescent="0.3">
      <c r="A10932">
        <v>10930</v>
      </c>
      <c r="B10932" s="1" t="s">
        <v>14261</v>
      </c>
      <c r="C10932" t="s">
        <v>81</v>
      </c>
      <c r="D10932" s="1" t="s">
        <v>14262</v>
      </c>
    </row>
    <row r="10933" spans="1:4" hidden="1" x14ac:dyDescent="0.3">
      <c r="A10933">
        <v>10931</v>
      </c>
      <c r="B10933" t="s">
        <v>14263</v>
      </c>
      <c r="C10933" t="s">
        <v>84</v>
      </c>
      <c r="D10933">
        <v>1.00037975955707</v>
      </c>
    </row>
    <row r="10934" spans="1:4" hidden="1" x14ac:dyDescent="0.3">
      <c r="A10934">
        <v>10932</v>
      </c>
      <c r="B10934" s="1" t="s">
        <v>14264</v>
      </c>
      <c r="C10934" t="s">
        <v>86</v>
      </c>
      <c r="D10934" s="1" t="s">
        <v>14265</v>
      </c>
    </row>
    <row r="10935" spans="1:4" hidden="1" x14ac:dyDescent="0.3">
      <c r="A10935">
        <v>10933</v>
      </c>
      <c r="B10935" t="s">
        <v>14266</v>
      </c>
      <c r="C10935" t="s">
        <v>89</v>
      </c>
      <c r="D10935">
        <v>101151366.285395</v>
      </c>
    </row>
    <row r="10936" spans="1:4" hidden="1" x14ac:dyDescent="0.3">
      <c r="A10936">
        <v>10934</v>
      </c>
      <c r="B10936" s="1" t="s">
        <v>14267</v>
      </c>
      <c r="C10936" t="s">
        <v>91</v>
      </c>
      <c r="D10936" s="1" t="s">
        <v>14202</v>
      </c>
    </row>
    <row r="10937" spans="1:4" hidden="1" x14ac:dyDescent="0.3">
      <c r="A10937">
        <v>10935</v>
      </c>
      <c r="B10937" t="s">
        <v>14268</v>
      </c>
      <c r="C10937" t="s">
        <v>94</v>
      </c>
      <c r="D10937">
        <v>77161530.328265607</v>
      </c>
    </row>
    <row r="10938" spans="1:4" hidden="1" x14ac:dyDescent="0.3">
      <c r="A10938">
        <v>10936</v>
      </c>
      <c r="B10938" t="s">
        <v>14269</v>
      </c>
      <c r="C10938" t="s">
        <v>96</v>
      </c>
      <c r="D10938">
        <v>38694292.368327998</v>
      </c>
    </row>
    <row r="10939" spans="1:4" hidden="1" x14ac:dyDescent="0.3">
      <c r="A10939">
        <v>10937</v>
      </c>
      <c r="B10939" t="s">
        <v>14270</v>
      </c>
      <c r="C10939" t="s">
        <v>98</v>
      </c>
      <c r="D10939">
        <v>27163517.8335687</v>
      </c>
    </row>
    <row r="10940" spans="1:4" hidden="1" x14ac:dyDescent="0.3">
      <c r="A10940">
        <v>10938</v>
      </c>
      <c r="B10940" s="1" t="s">
        <v>14271</v>
      </c>
      <c r="C10940" t="s">
        <v>100</v>
      </c>
      <c r="D10940" s="1" t="s">
        <v>14272</v>
      </c>
    </row>
    <row r="10941" spans="1:4" hidden="1" x14ac:dyDescent="0.3">
      <c r="A10941">
        <v>10939</v>
      </c>
      <c r="B10941" t="s">
        <v>14273</v>
      </c>
      <c r="C10941" t="s">
        <v>103</v>
      </c>
      <c r="D10941">
        <v>7.9096839382694697E-3</v>
      </c>
    </row>
    <row r="10942" spans="1:4" hidden="1" x14ac:dyDescent="0.3">
      <c r="A10942">
        <v>10940</v>
      </c>
      <c r="B10942" t="s">
        <v>14274</v>
      </c>
      <c r="C10942" t="s">
        <v>105</v>
      </c>
      <c r="D10942">
        <v>1.67628499506273E-3</v>
      </c>
    </row>
    <row r="10943" spans="1:4" hidden="1" x14ac:dyDescent="0.3">
      <c r="A10943">
        <v>10941</v>
      </c>
      <c r="B10943" t="s">
        <v>14275</v>
      </c>
      <c r="C10943" t="s">
        <v>107</v>
      </c>
      <c r="D10943">
        <v>1.00316183200142E-2</v>
      </c>
    </row>
    <row r="10944" spans="1:4" hidden="1" x14ac:dyDescent="0.3">
      <c r="A10944">
        <v>10942</v>
      </c>
      <c r="B10944" s="1" t="s">
        <v>14276</v>
      </c>
      <c r="C10944" t="s">
        <v>109</v>
      </c>
      <c r="D10944" s="1" t="s">
        <v>14277</v>
      </c>
    </row>
    <row r="10945" spans="1:4" x14ac:dyDescent="0.3">
      <c r="A10945">
        <v>10943</v>
      </c>
      <c r="B10945" t="s">
        <v>14278</v>
      </c>
      <c r="C10945" t="s">
        <v>207</v>
      </c>
      <c r="D10945">
        <v>143020117.59176201</v>
      </c>
    </row>
    <row r="10946" spans="1:4" hidden="1" x14ac:dyDescent="0.3">
      <c r="A10946">
        <v>10944</v>
      </c>
      <c r="B10946" t="s">
        <v>14279</v>
      </c>
      <c r="C10946" t="s">
        <v>209</v>
      </c>
      <c r="D10946">
        <v>-1705.88228876826</v>
      </c>
    </row>
    <row r="10947" spans="1:4" hidden="1" x14ac:dyDescent="0.3">
      <c r="A10947">
        <v>10945</v>
      </c>
      <c r="B10947" t="s">
        <v>14280</v>
      </c>
      <c r="C10947" t="s">
        <v>211</v>
      </c>
      <c r="D10947">
        <v>-855.44684501395898</v>
      </c>
    </row>
    <row r="10948" spans="1:4" hidden="1" x14ac:dyDescent="0.3">
      <c r="A10948">
        <v>10946</v>
      </c>
      <c r="B10948" s="1" t="s">
        <v>14281</v>
      </c>
      <c r="C10948" t="s">
        <v>213</v>
      </c>
      <c r="D10948" s="1" t="s">
        <v>14282</v>
      </c>
    </row>
    <row r="10949" spans="1:4" hidden="1" x14ac:dyDescent="0.3">
      <c r="A10949">
        <v>10947</v>
      </c>
      <c r="B10949" t="s">
        <v>14283</v>
      </c>
      <c r="C10949" t="s">
        <v>216</v>
      </c>
      <c r="D10949">
        <v>77163839.669799507</v>
      </c>
    </row>
    <row r="10950" spans="1:4" hidden="1" x14ac:dyDescent="0.3">
      <c r="A10950">
        <v>10948</v>
      </c>
      <c r="B10950" t="s">
        <v>14284</v>
      </c>
      <c r="C10950" t="s">
        <v>218</v>
      </c>
      <c r="D10950">
        <v>38695262.638757601</v>
      </c>
    </row>
    <row r="10951" spans="1:4" hidden="1" x14ac:dyDescent="0.3">
      <c r="A10951">
        <v>10949</v>
      </c>
      <c r="B10951" t="s">
        <v>14285</v>
      </c>
      <c r="C10951" t="s">
        <v>220</v>
      </c>
      <c r="D10951">
        <v>27164177.138296202</v>
      </c>
    </row>
    <row r="10952" spans="1:4" hidden="1" x14ac:dyDescent="0.3">
      <c r="A10952">
        <v>10950</v>
      </c>
      <c r="B10952" s="1" t="s">
        <v>14286</v>
      </c>
      <c r="C10952" t="s">
        <v>222</v>
      </c>
      <c r="D10952" s="1" t="s">
        <v>14287</v>
      </c>
    </row>
    <row r="10953" spans="1:4" hidden="1" x14ac:dyDescent="0.3">
      <c r="A10953">
        <v>10951</v>
      </c>
      <c r="B10953" t="s">
        <v>14288</v>
      </c>
      <c r="C10953" t="s">
        <v>225</v>
      </c>
      <c r="D10953">
        <v>101153602.51598801</v>
      </c>
    </row>
    <row r="10954" spans="1:4" hidden="1" x14ac:dyDescent="0.3">
      <c r="A10954">
        <v>10952</v>
      </c>
      <c r="B10954" t="s">
        <v>14289</v>
      </c>
      <c r="C10954" t="s">
        <v>227</v>
      </c>
      <c r="D10954">
        <v>-2236.23059344291</v>
      </c>
    </row>
    <row r="10955" spans="1:4" hidden="1" x14ac:dyDescent="0.3">
      <c r="A10955">
        <v>10953</v>
      </c>
      <c r="B10955" s="1" t="s">
        <v>14290</v>
      </c>
      <c r="C10955" t="s">
        <v>229</v>
      </c>
      <c r="D10955" s="1" t="s">
        <v>14291</v>
      </c>
    </row>
    <row r="10956" spans="1:4" hidden="1" x14ac:dyDescent="0.3">
      <c r="A10956">
        <v>10954</v>
      </c>
      <c r="B10956" t="s">
        <v>14292</v>
      </c>
      <c r="C10956" t="s">
        <v>112</v>
      </c>
      <c r="D10956">
        <v>603.45924515700096</v>
      </c>
    </row>
    <row r="10957" spans="1:4" hidden="1" x14ac:dyDescent="0.3">
      <c r="A10957">
        <v>10955</v>
      </c>
      <c r="B10957" t="s">
        <v>14293</v>
      </c>
      <c r="C10957" t="s">
        <v>114</v>
      </c>
      <c r="D10957">
        <v>114.823584583544</v>
      </c>
    </row>
    <row r="10958" spans="1:4" hidden="1" x14ac:dyDescent="0.3">
      <c r="A10958">
        <v>10956</v>
      </c>
      <c r="B10958" s="1" t="s">
        <v>14294</v>
      </c>
      <c r="C10958" t="s">
        <v>116</v>
      </c>
      <c r="D10958" s="1" t="s">
        <v>14295</v>
      </c>
    </row>
    <row r="10959" spans="1:4" hidden="1" x14ac:dyDescent="0.3">
      <c r="A10959">
        <v>10957</v>
      </c>
      <c r="B10959" t="s">
        <v>14296</v>
      </c>
      <c r="C10959" t="s">
        <v>119</v>
      </c>
      <c r="D10959">
        <v>77163839.669799507</v>
      </c>
    </row>
    <row r="10960" spans="1:4" hidden="1" x14ac:dyDescent="0.3">
      <c r="A10960">
        <v>10958</v>
      </c>
      <c r="B10960" t="s">
        <v>14297</v>
      </c>
      <c r="C10960" t="s">
        <v>121</v>
      </c>
      <c r="D10960">
        <v>38695262.638757601</v>
      </c>
    </row>
    <row r="10961" spans="1:4" hidden="1" x14ac:dyDescent="0.3">
      <c r="A10961">
        <v>10959</v>
      </c>
      <c r="B10961" s="1" t="s">
        <v>14298</v>
      </c>
      <c r="C10961" t="s">
        <v>123</v>
      </c>
      <c r="D10961" s="1" t="s">
        <v>14299</v>
      </c>
    </row>
    <row r="10962" spans="1:4" hidden="1" x14ac:dyDescent="0.3">
      <c r="A10962">
        <v>10960</v>
      </c>
      <c r="B10962" t="s">
        <v>14300</v>
      </c>
      <c r="C10962" t="s">
        <v>126</v>
      </c>
      <c r="D10962">
        <v>0.76254869001002601</v>
      </c>
    </row>
    <row r="10963" spans="1:4" hidden="1" x14ac:dyDescent="0.3">
      <c r="A10963">
        <v>10961</v>
      </c>
      <c r="B10963" t="s">
        <v>14301</v>
      </c>
      <c r="C10963" t="s">
        <v>128</v>
      </c>
      <c r="D10963">
        <v>0.38239442154570502</v>
      </c>
    </row>
    <row r="10964" spans="1:4" hidden="1" x14ac:dyDescent="0.3">
      <c r="A10964">
        <v>10962</v>
      </c>
      <c r="B10964" s="1" t="s">
        <v>14302</v>
      </c>
      <c r="C10964" t="s">
        <v>130</v>
      </c>
      <c r="D10964" s="1" t="s">
        <v>14303</v>
      </c>
    </row>
    <row r="10965" spans="1:4" hidden="1" x14ac:dyDescent="0.3">
      <c r="A10965">
        <v>10963</v>
      </c>
      <c r="B10965" s="1" t="s">
        <v>14304</v>
      </c>
      <c r="C10965" t="s">
        <v>4</v>
      </c>
      <c r="D10965" t="s">
        <v>14305</v>
      </c>
    </row>
    <row r="10966" spans="1:4" hidden="1" x14ac:dyDescent="0.3">
      <c r="A10966">
        <v>10964</v>
      </c>
      <c r="B10966" t="s">
        <v>14306</v>
      </c>
      <c r="C10966" t="s">
        <v>7</v>
      </c>
      <c r="D10966">
        <v>1796.55</v>
      </c>
    </row>
    <row r="10967" spans="1:4" hidden="1" x14ac:dyDescent="0.3">
      <c r="A10967">
        <v>10965</v>
      </c>
      <c r="B10967" s="1" t="s">
        <v>14307</v>
      </c>
      <c r="C10967" t="s">
        <v>9</v>
      </c>
      <c r="D10967" s="1" t="s">
        <v>14308</v>
      </c>
    </row>
    <row r="10968" spans="1:4" hidden="1" x14ac:dyDescent="0.3">
      <c r="A10968">
        <v>10966</v>
      </c>
      <c r="B10968" t="s">
        <v>14309</v>
      </c>
      <c r="C10968" t="s">
        <v>14</v>
      </c>
      <c r="D10968">
        <v>96.1328125</v>
      </c>
    </row>
    <row r="10969" spans="1:4" hidden="1" x14ac:dyDescent="0.3">
      <c r="A10969">
        <v>10967</v>
      </c>
      <c r="B10969" t="s">
        <v>14310</v>
      </c>
      <c r="C10969" t="s">
        <v>16</v>
      </c>
      <c r="D10969">
        <v>4.3636075865252302</v>
      </c>
    </row>
    <row r="10970" spans="1:4" hidden="1" x14ac:dyDescent="0.3">
      <c r="A10970">
        <v>10968</v>
      </c>
      <c r="B10970" s="1" t="s">
        <v>14311</v>
      </c>
      <c r="C10970" t="s">
        <v>140</v>
      </c>
      <c r="D10970" s="1" t="s">
        <v>14312</v>
      </c>
    </row>
    <row r="10971" spans="1:4" hidden="1" x14ac:dyDescent="0.3">
      <c r="A10971">
        <v>10969</v>
      </c>
      <c r="B10971" t="s">
        <v>9665</v>
      </c>
      <c r="C10971" t="s">
        <v>22</v>
      </c>
      <c r="D10971">
        <v>67.900000000000006</v>
      </c>
    </row>
    <row r="10972" spans="1:4" hidden="1" x14ac:dyDescent="0.3">
      <c r="A10972">
        <v>10970</v>
      </c>
      <c r="B10972" t="s">
        <v>14313</v>
      </c>
      <c r="C10972" t="s">
        <v>24</v>
      </c>
      <c r="D10972">
        <v>6.4271996334752499</v>
      </c>
    </row>
    <row r="10973" spans="1:4" hidden="1" x14ac:dyDescent="0.3">
      <c r="A10973">
        <v>10971</v>
      </c>
      <c r="B10973" s="1" t="s">
        <v>14314</v>
      </c>
      <c r="C10973" t="s">
        <v>145</v>
      </c>
      <c r="D10973" s="1" t="s">
        <v>14315</v>
      </c>
    </row>
    <row r="10974" spans="1:4" hidden="1" x14ac:dyDescent="0.3">
      <c r="A10974">
        <v>10972</v>
      </c>
      <c r="B10974" t="s">
        <v>14316</v>
      </c>
      <c r="C10974" t="s">
        <v>35</v>
      </c>
      <c r="D10974">
        <v>0.153482169772657</v>
      </c>
    </row>
    <row r="10975" spans="1:4" hidden="1" x14ac:dyDescent="0.3">
      <c r="A10975">
        <v>10973</v>
      </c>
      <c r="B10975" t="s">
        <v>14317</v>
      </c>
      <c r="C10975" t="s">
        <v>149</v>
      </c>
      <c r="D10975">
        <v>0.67543111109361598</v>
      </c>
    </row>
    <row r="10976" spans="1:4" hidden="1" x14ac:dyDescent="0.3">
      <c r="A10976">
        <v>10974</v>
      </c>
      <c r="B10976" s="1" t="s">
        <v>14318</v>
      </c>
      <c r="C10976" t="s">
        <v>151</v>
      </c>
      <c r="D10976" s="1" t="s">
        <v>14319</v>
      </c>
    </row>
    <row r="10977" spans="1:4" hidden="1" x14ac:dyDescent="0.3">
      <c r="A10977">
        <v>10975</v>
      </c>
      <c r="B10977" t="s">
        <v>14320</v>
      </c>
      <c r="C10977" t="s">
        <v>30</v>
      </c>
      <c r="D10977">
        <v>0.33482424153609702</v>
      </c>
    </row>
    <row r="10978" spans="1:4" hidden="1" x14ac:dyDescent="0.3">
      <c r="A10978">
        <v>10976</v>
      </c>
      <c r="B10978" t="s">
        <v>14321</v>
      </c>
      <c r="C10978" t="s">
        <v>32</v>
      </c>
      <c r="D10978">
        <v>0.25113986041193098</v>
      </c>
    </row>
    <row r="10979" spans="1:4" hidden="1" x14ac:dyDescent="0.3">
      <c r="A10979">
        <v>10977</v>
      </c>
      <c r="B10979" s="1" t="s">
        <v>14322</v>
      </c>
      <c r="C10979" t="s">
        <v>155</v>
      </c>
      <c r="D10979" s="1" t="s">
        <v>14323</v>
      </c>
    </row>
    <row r="10980" spans="1:4" hidden="1" x14ac:dyDescent="0.3">
      <c r="A10980">
        <v>10978</v>
      </c>
      <c r="B10980" t="s">
        <v>14324</v>
      </c>
      <c r="C10980" t="s">
        <v>40</v>
      </c>
      <c r="D10980">
        <v>0.51169358869124404</v>
      </c>
    </row>
    <row r="10981" spans="1:4" hidden="1" x14ac:dyDescent="0.3">
      <c r="A10981">
        <v>10979</v>
      </c>
      <c r="B10981" t="s">
        <v>14325</v>
      </c>
      <c r="C10981" t="s">
        <v>42</v>
      </c>
      <c r="D10981">
        <v>0.22939602781634599</v>
      </c>
    </row>
    <row r="10982" spans="1:4" hidden="1" x14ac:dyDescent="0.3">
      <c r="A10982">
        <v>10980</v>
      </c>
      <c r="B10982" s="1" t="s">
        <v>14326</v>
      </c>
      <c r="C10982" t="s">
        <v>159</v>
      </c>
      <c r="D10982" s="1" t="s">
        <v>14327</v>
      </c>
    </row>
    <row r="10983" spans="1:4" hidden="1" x14ac:dyDescent="0.3">
      <c r="A10983">
        <v>10981</v>
      </c>
      <c r="B10983" t="s">
        <v>14328</v>
      </c>
      <c r="C10983" t="s">
        <v>161</v>
      </c>
      <c r="D10983">
        <v>1.0030092230733101</v>
      </c>
    </row>
    <row r="10984" spans="1:4" hidden="1" x14ac:dyDescent="0.3">
      <c r="A10984">
        <v>10982</v>
      </c>
      <c r="B10984" t="s">
        <v>14329</v>
      </c>
      <c r="C10984" t="s">
        <v>163</v>
      </c>
      <c r="D10984">
        <v>0.99904619040642695</v>
      </c>
    </row>
    <row r="10985" spans="1:4" hidden="1" x14ac:dyDescent="0.3">
      <c r="A10985">
        <v>10983</v>
      </c>
      <c r="B10985" s="1" t="s">
        <v>14330</v>
      </c>
      <c r="C10985" t="s">
        <v>165</v>
      </c>
      <c r="D10985" s="1" t="s">
        <v>14331</v>
      </c>
    </row>
    <row r="10986" spans="1:4" hidden="1" x14ac:dyDescent="0.3">
      <c r="A10986">
        <v>10984</v>
      </c>
      <c r="B10986" t="s">
        <v>14332</v>
      </c>
      <c r="C10986" t="s">
        <v>168</v>
      </c>
      <c r="D10986">
        <v>0.99574804110680704</v>
      </c>
    </row>
    <row r="10987" spans="1:4" hidden="1" x14ac:dyDescent="0.3">
      <c r="A10987">
        <v>10985</v>
      </c>
      <c r="B10987" t="s">
        <v>14333</v>
      </c>
      <c r="C10987" t="s">
        <v>170</v>
      </c>
      <c r="D10987">
        <v>1.0062708444409501</v>
      </c>
    </row>
    <row r="10988" spans="1:4" hidden="1" x14ac:dyDescent="0.3">
      <c r="A10988">
        <v>10986</v>
      </c>
      <c r="B10988" s="1" t="s">
        <v>14334</v>
      </c>
      <c r="C10988" t="s">
        <v>172</v>
      </c>
      <c r="D10988" s="1" t="s">
        <v>14335</v>
      </c>
    </row>
    <row r="10989" spans="1:4" hidden="1" x14ac:dyDescent="0.3">
      <c r="A10989">
        <v>10987</v>
      </c>
      <c r="B10989" s="1" t="s">
        <v>14336</v>
      </c>
      <c r="C10989" t="s">
        <v>55</v>
      </c>
      <c r="D10989" s="1" t="s">
        <v>14337</v>
      </c>
    </row>
    <row r="10990" spans="1:4" hidden="1" x14ac:dyDescent="0.3">
      <c r="A10990">
        <v>10988</v>
      </c>
      <c r="B10990" s="1" t="s">
        <v>14338</v>
      </c>
      <c r="C10990" t="s">
        <v>52</v>
      </c>
      <c r="D10990" s="1" t="s">
        <v>14339</v>
      </c>
    </row>
    <row r="10991" spans="1:4" hidden="1" x14ac:dyDescent="0.3">
      <c r="A10991">
        <v>10989</v>
      </c>
      <c r="B10991" s="1" t="s">
        <v>14340</v>
      </c>
      <c r="C10991" t="s">
        <v>58</v>
      </c>
      <c r="D10991" s="1" t="s">
        <v>14341</v>
      </c>
    </row>
    <row r="10992" spans="1:4" hidden="1" x14ac:dyDescent="0.3">
      <c r="A10992">
        <v>10990</v>
      </c>
      <c r="B10992" t="s">
        <v>14342</v>
      </c>
      <c r="C10992" t="s">
        <v>61</v>
      </c>
      <c r="D10992">
        <v>143176279.88419399</v>
      </c>
    </row>
    <row r="10993" spans="1:4" hidden="1" x14ac:dyDescent="0.3">
      <c r="A10993">
        <v>10991</v>
      </c>
      <c r="B10993" t="s">
        <v>14343</v>
      </c>
      <c r="C10993" t="s">
        <v>63</v>
      </c>
      <c r="D10993">
        <v>77396042.876559496</v>
      </c>
    </row>
    <row r="10994" spans="1:4" hidden="1" x14ac:dyDescent="0.3">
      <c r="A10994">
        <v>10992</v>
      </c>
      <c r="B10994" t="s">
        <v>14344</v>
      </c>
      <c r="C10994" t="s">
        <v>65</v>
      </c>
      <c r="D10994">
        <v>38658354.7260269</v>
      </c>
    </row>
    <row r="10995" spans="1:4" hidden="1" x14ac:dyDescent="0.3">
      <c r="A10995">
        <v>10993</v>
      </c>
      <c r="B10995" s="1" t="s">
        <v>14345</v>
      </c>
      <c r="C10995" t="s">
        <v>67</v>
      </c>
      <c r="D10995" s="1" t="s">
        <v>14346</v>
      </c>
    </row>
    <row r="10996" spans="1:4" hidden="1" x14ac:dyDescent="0.3">
      <c r="A10996">
        <v>10994</v>
      </c>
      <c r="B10996" s="1" t="s">
        <v>14347</v>
      </c>
      <c r="C10996" t="s">
        <v>70</v>
      </c>
      <c r="D10996" s="1" t="s">
        <v>14348</v>
      </c>
    </row>
    <row r="10997" spans="1:4" hidden="1" x14ac:dyDescent="0.3">
      <c r="A10997">
        <v>10995</v>
      </c>
      <c r="B10997" t="s">
        <v>14349</v>
      </c>
      <c r="C10997" t="s">
        <v>73</v>
      </c>
      <c r="D10997">
        <v>1.00037975955707</v>
      </c>
    </row>
    <row r="10998" spans="1:4" hidden="1" x14ac:dyDescent="0.3">
      <c r="A10998">
        <v>10996</v>
      </c>
      <c r="B10998" t="s">
        <v>74</v>
      </c>
      <c r="C10998" t="s">
        <v>75</v>
      </c>
      <c r="D10998">
        <v>2.7397260273972599E-3</v>
      </c>
    </row>
    <row r="10999" spans="1:4" hidden="1" x14ac:dyDescent="0.3">
      <c r="A10999">
        <v>10997</v>
      </c>
      <c r="B10999" t="s">
        <v>76</v>
      </c>
      <c r="C10999" t="s">
        <v>77</v>
      </c>
      <c r="D10999">
        <v>0</v>
      </c>
    </row>
    <row r="11000" spans="1:4" hidden="1" x14ac:dyDescent="0.3">
      <c r="A11000">
        <v>10998</v>
      </c>
      <c r="B11000" t="s">
        <v>650</v>
      </c>
      <c r="C11000" t="s">
        <v>79</v>
      </c>
      <c r="D11000" s="2">
        <v>2.2204460492503101E-16</v>
      </c>
    </row>
    <row r="11001" spans="1:4" hidden="1" x14ac:dyDescent="0.3">
      <c r="A11001">
        <v>10999</v>
      </c>
      <c r="B11001" s="1" t="s">
        <v>14350</v>
      </c>
      <c r="C11001" t="s">
        <v>81</v>
      </c>
      <c r="D11001" s="1" t="s">
        <v>14351</v>
      </c>
    </row>
    <row r="11002" spans="1:4" hidden="1" x14ac:dyDescent="0.3">
      <c r="A11002">
        <v>11000</v>
      </c>
      <c r="B11002" t="s">
        <v>14352</v>
      </c>
      <c r="C11002" t="s">
        <v>84</v>
      </c>
      <c r="D11002">
        <v>1.00038485860296</v>
      </c>
    </row>
    <row r="11003" spans="1:4" hidden="1" x14ac:dyDescent="0.3">
      <c r="A11003">
        <v>11001</v>
      </c>
      <c r="B11003" s="1" t="s">
        <v>14353</v>
      </c>
      <c r="C11003" t="s">
        <v>86</v>
      </c>
      <c r="D11003" s="1" t="s">
        <v>14354</v>
      </c>
    </row>
    <row r="11004" spans="1:4" hidden="1" x14ac:dyDescent="0.3">
      <c r="A11004">
        <v>11002</v>
      </c>
      <c r="B11004" t="s">
        <v>14355</v>
      </c>
      <c r="C11004" t="s">
        <v>89</v>
      </c>
      <c r="D11004">
        <v>101150850.70836</v>
      </c>
    </row>
    <row r="11005" spans="1:4" hidden="1" x14ac:dyDescent="0.3">
      <c r="A11005">
        <v>11003</v>
      </c>
      <c r="B11005" s="1" t="s">
        <v>14356</v>
      </c>
      <c r="C11005" t="s">
        <v>91</v>
      </c>
      <c r="D11005" s="1" t="s">
        <v>14291</v>
      </c>
    </row>
    <row r="11006" spans="1:4" hidden="1" x14ac:dyDescent="0.3">
      <c r="A11006">
        <v>11004</v>
      </c>
      <c r="B11006" t="s">
        <v>14357</v>
      </c>
      <c r="C11006" t="s">
        <v>94</v>
      </c>
      <c r="D11006">
        <v>77396042.876559496</v>
      </c>
    </row>
    <row r="11007" spans="1:4" hidden="1" x14ac:dyDescent="0.3">
      <c r="A11007">
        <v>11005</v>
      </c>
      <c r="B11007" t="s">
        <v>14358</v>
      </c>
      <c r="C11007" t="s">
        <v>96</v>
      </c>
      <c r="D11007">
        <v>38658354.7260269</v>
      </c>
    </row>
    <row r="11008" spans="1:4" hidden="1" x14ac:dyDescent="0.3">
      <c r="A11008">
        <v>11006</v>
      </c>
      <c r="B11008" t="s">
        <v>14359</v>
      </c>
      <c r="C11008" t="s">
        <v>98</v>
      </c>
      <c r="D11008">
        <v>27121882.281607799</v>
      </c>
    </row>
    <row r="11009" spans="1:4" hidden="1" x14ac:dyDescent="0.3">
      <c r="A11009">
        <v>11007</v>
      </c>
      <c r="B11009" s="1" t="s">
        <v>14360</v>
      </c>
      <c r="C11009" t="s">
        <v>100</v>
      </c>
      <c r="D11009" s="1" t="s">
        <v>14361</v>
      </c>
    </row>
    <row r="11010" spans="1:4" hidden="1" x14ac:dyDescent="0.3">
      <c r="A11010">
        <v>11008</v>
      </c>
      <c r="B11010" t="s">
        <v>14362</v>
      </c>
      <c r="C11010" t="s">
        <v>103</v>
      </c>
      <c r="D11010">
        <v>7.75040743771569E-3</v>
      </c>
    </row>
    <row r="11011" spans="1:4" hidden="1" x14ac:dyDescent="0.3">
      <c r="A11011">
        <v>11009</v>
      </c>
      <c r="B11011" t="s">
        <v>14363</v>
      </c>
      <c r="C11011" t="s">
        <v>105</v>
      </c>
      <c r="D11011">
        <v>1.67603366512721E-3</v>
      </c>
    </row>
    <row r="11012" spans="1:4" hidden="1" x14ac:dyDescent="0.3">
      <c r="A11012">
        <v>11010</v>
      </c>
      <c r="B11012" t="s">
        <v>14364</v>
      </c>
      <c r="C11012" t="s">
        <v>107</v>
      </c>
      <c r="D11012">
        <v>1.00209182689605E-2</v>
      </c>
    </row>
    <row r="11013" spans="1:4" hidden="1" x14ac:dyDescent="0.3">
      <c r="A11013">
        <v>11011</v>
      </c>
      <c r="B11013" s="1" t="s">
        <v>14365</v>
      </c>
      <c r="C11013" t="s">
        <v>109</v>
      </c>
      <c r="D11013" s="1" t="s">
        <v>14366</v>
      </c>
    </row>
    <row r="11014" spans="1:4" x14ac:dyDescent="0.3">
      <c r="A11014">
        <v>11012</v>
      </c>
      <c r="B11014" t="s">
        <v>14367</v>
      </c>
      <c r="C11014" t="s">
        <v>207</v>
      </c>
      <c r="D11014">
        <v>143176458.96282101</v>
      </c>
    </row>
    <row r="11015" spans="1:4" hidden="1" x14ac:dyDescent="0.3">
      <c r="A11015">
        <v>11013</v>
      </c>
      <c r="B11015" t="s">
        <v>14368</v>
      </c>
      <c r="C11015" t="s">
        <v>209</v>
      </c>
      <c r="D11015">
        <v>-394.49679644680799</v>
      </c>
    </row>
    <row r="11016" spans="1:4" hidden="1" x14ac:dyDescent="0.3">
      <c r="A11016">
        <v>11014</v>
      </c>
      <c r="B11016" t="s">
        <v>14369</v>
      </c>
      <c r="C11016" t="s">
        <v>211</v>
      </c>
      <c r="D11016">
        <v>-197.046078273967</v>
      </c>
    </row>
    <row r="11017" spans="1:4" hidden="1" x14ac:dyDescent="0.3">
      <c r="A11017">
        <v>11015</v>
      </c>
      <c r="B11017" s="1" t="s">
        <v>14370</v>
      </c>
      <c r="C11017" t="s">
        <v>213</v>
      </c>
      <c r="D11017" s="1" t="s">
        <v>14371</v>
      </c>
    </row>
    <row r="11018" spans="1:4" hidden="1" x14ac:dyDescent="0.3">
      <c r="A11018">
        <v>11016</v>
      </c>
      <c r="B11018" t="s">
        <v>14372</v>
      </c>
      <c r="C11018" t="s">
        <v>216</v>
      </c>
      <c r="D11018">
        <v>77396562.082550704</v>
      </c>
    </row>
    <row r="11019" spans="1:4" hidden="1" x14ac:dyDescent="0.3">
      <c r="A11019">
        <v>11017</v>
      </c>
      <c r="B11019" t="s">
        <v>14373</v>
      </c>
      <c r="C11019" t="s">
        <v>218</v>
      </c>
      <c r="D11019">
        <v>38658587.769572802</v>
      </c>
    </row>
    <row r="11020" spans="1:4" hidden="1" x14ac:dyDescent="0.3">
      <c r="A11020">
        <v>11018</v>
      </c>
      <c r="B11020" t="s">
        <v>14374</v>
      </c>
      <c r="C11020" t="s">
        <v>220</v>
      </c>
      <c r="D11020">
        <v>27122038.8968895</v>
      </c>
    </row>
    <row r="11021" spans="1:4" hidden="1" x14ac:dyDescent="0.3">
      <c r="A11021">
        <v>11019</v>
      </c>
      <c r="B11021" s="1" t="s">
        <v>14375</v>
      </c>
      <c r="C11021" t="s">
        <v>222</v>
      </c>
      <c r="D11021" s="1" t="s">
        <v>14376</v>
      </c>
    </row>
    <row r="11022" spans="1:4" hidden="1" x14ac:dyDescent="0.3">
      <c r="A11022">
        <v>11020</v>
      </c>
      <c r="B11022" t="s">
        <v>14377</v>
      </c>
      <c r="C11022" t="s">
        <v>225</v>
      </c>
      <c r="D11022">
        <v>101151366.285395</v>
      </c>
    </row>
    <row r="11023" spans="1:4" hidden="1" x14ac:dyDescent="0.3">
      <c r="A11023">
        <v>11021</v>
      </c>
      <c r="B11023" t="s">
        <v>14378</v>
      </c>
      <c r="C11023" t="s">
        <v>227</v>
      </c>
      <c r="D11023">
        <v>-515.57703445851803</v>
      </c>
    </row>
    <row r="11024" spans="1:4" hidden="1" x14ac:dyDescent="0.3">
      <c r="A11024">
        <v>11022</v>
      </c>
      <c r="B11024" s="1" t="s">
        <v>14379</v>
      </c>
      <c r="C11024" t="s">
        <v>229</v>
      </c>
      <c r="D11024" s="1" t="s">
        <v>14380</v>
      </c>
    </row>
    <row r="11025" spans="1:4" hidden="1" x14ac:dyDescent="0.3">
      <c r="A11025">
        <v>11023</v>
      </c>
      <c r="B11025" t="s">
        <v>14381</v>
      </c>
      <c r="C11025" t="s">
        <v>112</v>
      </c>
      <c r="D11025">
        <v>124.709194706052</v>
      </c>
    </row>
    <row r="11026" spans="1:4" hidden="1" x14ac:dyDescent="0.3">
      <c r="A11026">
        <v>11024</v>
      </c>
      <c r="B11026" t="s">
        <v>14382</v>
      </c>
      <c r="C11026" t="s">
        <v>114</v>
      </c>
      <c r="D11026">
        <v>35.9974676064706</v>
      </c>
    </row>
    <row r="11027" spans="1:4" hidden="1" x14ac:dyDescent="0.3">
      <c r="A11027">
        <v>11025</v>
      </c>
      <c r="B11027" s="1" t="s">
        <v>14383</v>
      </c>
      <c r="C11027" t="s">
        <v>116</v>
      </c>
      <c r="D11027" s="1" t="s">
        <v>14384</v>
      </c>
    </row>
    <row r="11028" spans="1:4" hidden="1" x14ac:dyDescent="0.3">
      <c r="A11028">
        <v>11026</v>
      </c>
      <c r="B11028" t="s">
        <v>14385</v>
      </c>
      <c r="C11028" t="s">
        <v>119</v>
      </c>
      <c r="D11028">
        <v>77396562.082550704</v>
      </c>
    </row>
    <row r="11029" spans="1:4" hidden="1" x14ac:dyDescent="0.3">
      <c r="A11029">
        <v>11027</v>
      </c>
      <c r="B11029" t="s">
        <v>14386</v>
      </c>
      <c r="C11029" t="s">
        <v>121</v>
      </c>
      <c r="D11029">
        <v>38658587.769572802</v>
      </c>
    </row>
    <row r="11030" spans="1:4" hidden="1" x14ac:dyDescent="0.3">
      <c r="A11030">
        <v>11028</v>
      </c>
      <c r="B11030" s="1" t="s">
        <v>14387</v>
      </c>
      <c r="C11030" t="s">
        <v>123</v>
      </c>
      <c r="D11030" s="1" t="s">
        <v>14388</v>
      </c>
    </row>
    <row r="11031" spans="1:4" hidden="1" x14ac:dyDescent="0.3">
      <c r="A11031">
        <v>11029</v>
      </c>
      <c r="B11031" t="s">
        <v>14389</v>
      </c>
      <c r="C11031" t="s">
        <v>126</v>
      </c>
      <c r="D11031">
        <v>0.76486151052844298</v>
      </c>
    </row>
    <row r="11032" spans="1:4" hidden="1" x14ac:dyDescent="0.3">
      <c r="A11032">
        <v>11030</v>
      </c>
      <c r="B11032" t="s">
        <v>14390</v>
      </c>
      <c r="C11032" t="s">
        <v>128</v>
      </c>
      <c r="D11032">
        <v>0.38203849164248799</v>
      </c>
    </row>
    <row r="11033" spans="1:4" hidden="1" x14ac:dyDescent="0.3">
      <c r="A11033">
        <v>11031</v>
      </c>
      <c r="B11033" s="1" t="s">
        <v>14391</v>
      </c>
      <c r="C11033" t="s">
        <v>130</v>
      </c>
      <c r="D11033" s="1" t="s">
        <v>14392</v>
      </c>
    </row>
    <row r="11034" spans="1:4" hidden="1" x14ac:dyDescent="0.3">
      <c r="A11034">
        <v>11032</v>
      </c>
      <c r="B11034" s="1" t="s">
        <v>14393</v>
      </c>
      <c r="C11034" t="s">
        <v>4</v>
      </c>
      <c r="D11034" t="s">
        <v>14394</v>
      </c>
    </row>
    <row r="11035" spans="1:4" hidden="1" x14ac:dyDescent="0.3">
      <c r="A11035">
        <v>11033</v>
      </c>
      <c r="B11035" t="s">
        <v>14395</v>
      </c>
      <c r="C11035" t="s">
        <v>7</v>
      </c>
      <c r="D11035">
        <v>1801.68</v>
      </c>
    </row>
    <row r="11036" spans="1:4" hidden="1" x14ac:dyDescent="0.3">
      <c r="A11036">
        <v>11034</v>
      </c>
      <c r="B11036" s="1" t="s">
        <v>14396</v>
      </c>
      <c r="C11036" t="s">
        <v>9</v>
      </c>
      <c r="D11036" s="1" t="s">
        <v>14397</v>
      </c>
    </row>
    <row r="11037" spans="1:4" hidden="1" x14ac:dyDescent="0.3">
      <c r="A11037">
        <v>11035</v>
      </c>
      <c r="B11037" t="s">
        <v>14398</v>
      </c>
      <c r="C11037" t="s">
        <v>14</v>
      </c>
      <c r="D11037">
        <v>96.03125</v>
      </c>
    </row>
    <row r="11038" spans="1:4" hidden="1" x14ac:dyDescent="0.3">
      <c r="A11038">
        <v>11036</v>
      </c>
      <c r="B11038" t="s">
        <v>14399</v>
      </c>
      <c r="C11038" t="s">
        <v>16</v>
      </c>
      <c r="D11038">
        <v>4.3622020531699501</v>
      </c>
    </row>
    <row r="11039" spans="1:4" hidden="1" x14ac:dyDescent="0.3">
      <c r="A11039">
        <v>11037</v>
      </c>
      <c r="B11039" s="1" t="s">
        <v>14400</v>
      </c>
      <c r="C11039" t="s">
        <v>140</v>
      </c>
      <c r="D11039" s="1" t="s">
        <v>14401</v>
      </c>
    </row>
    <row r="11040" spans="1:4" hidden="1" x14ac:dyDescent="0.3">
      <c r="A11040">
        <v>11038</v>
      </c>
      <c r="B11040" t="s">
        <v>9665</v>
      </c>
      <c r="C11040" t="s">
        <v>22</v>
      </c>
      <c r="D11040">
        <v>67.900000000000006</v>
      </c>
    </row>
    <row r="11041" spans="1:4" hidden="1" x14ac:dyDescent="0.3">
      <c r="A11041">
        <v>11039</v>
      </c>
      <c r="B11041" t="s">
        <v>14402</v>
      </c>
      <c r="C11041" t="s">
        <v>24</v>
      </c>
      <c r="D11041">
        <v>6.4203228902047398</v>
      </c>
    </row>
    <row r="11042" spans="1:4" hidden="1" x14ac:dyDescent="0.3">
      <c r="A11042">
        <v>11040</v>
      </c>
      <c r="B11042" s="1" t="s">
        <v>14403</v>
      </c>
      <c r="C11042" t="s">
        <v>145</v>
      </c>
      <c r="D11042" s="1" t="s">
        <v>14404</v>
      </c>
    </row>
    <row r="11043" spans="1:4" hidden="1" x14ac:dyDescent="0.3">
      <c r="A11043">
        <v>11041</v>
      </c>
      <c r="B11043" t="s">
        <v>14405</v>
      </c>
      <c r="C11043" t="s">
        <v>35</v>
      </c>
      <c r="D11043">
        <v>-0.23574391793352001</v>
      </c>
    </row>
    <row r="11044" spans="1:4" hidden="1" x14ac:dyDescent="0.3">
      <c r="A11044">
        <v>11042</v>
      </c>
      <c r="B11044" t="s">
        <v>14406</v>
      </c>
      <c r="C11044" t="s">
        <v>149</v>
      </c>
      <c r="D11044">
        <v>0.67552012385865601</v>
      </c>
    </row>
    <row r="11045" spans="1:4" hidden="1" x14ac:dyDescent="0.3">
      <c r="A11045">
        <v>11043</v>
      </c>
      <c r="B11045" s="1" t="s">
        <v>14407</v>
      </c>
      <c r="C11045" t="s">
        <v>151</v>
      </c>
      <c r="D11045" s="1" t="s">
        <v>14408</v>
      </c>
    </row>
    <row r="11046" spans="1:4" hidden="1" x14ac:dyDescent="0.3">
      <c r="A11046">
        <v>11044</v>
      </c>
      <c r="B11046" t="s">
        <v>14409</v>
      </c>
      <c r="C11046" t="s">
        <v>30</v>
      </c>
      <c r="D11046">
        <v>0.48965871435849001</v>
      </c>
    </row>
    <row r="11047" spans="1:4" hidden="1" x14ac:dyDescent="0.3">
      <c r="A11047">
        <v>11045</v>
      </c>
      <c r="B11047" t="s">
        <v>14410</v>
      </c>
      <c r="C11047" t="s">
        <v>32</v>
      </c>
      <c r="D11047">
        <v>0.25081614922286799</v>
      </c>
    </row>
    <row r="11048" spans="1:4" hidden="1" x14ac:dyDescent="0.3">
      <c r="A11048">
        <v>11046</v>
      </c>
      <c r="B11048" s="1" t="s">
        <v>14411</v>
      </c>
      <c r="C11048" t="s">
        <v>155</v>
      </c>
      <c r="D11048" s="1" t="s">
        <v>14412</v>
      </c>
    </row>
    <row r="11049" spans="1:4" hidden="1" x14ac:dyDescent="0.3">
      <c r="A11049">
        <v>11047</v>
      </c>
      <c r="B11049" t="s">
        <v>14413</v>
      </c>
      <c r="C11049" t="s">
        <v>40</v>
      </c>
      <c r="D11049">
        <v>0.74608520357502905</v>
      </c>
    </row>
    <row r="11050" spans="1:4" hidden="1" x14ac:dyDescent="0.3">
      <c r="A11050">
        <v>11048</v>
      </c>
      <c r="B11050" t="s">
        <v>14414</v>
      </c>
      <c r="C11050" t="s">
        <v>42</v>
      </c>
      <c r="D11050">
        <v>0.229524649934783</v>
      </c>
    </row>
    <row r="11051" spans="1:4" hidden="1" x14ac:dyDescent="0.3">
      <c r="A11051">
        <v>11049</v>
      </c>
      <c r="B11051" s="1" t="s">
        <v>14415</v>
      </c>
      <c r="C11051" t="s">
        <v>159</v>
      </c>
      <c r="D11051" s="1" t="s">
        <v>14416</v>
      </c>
    </row>
    <row r="11052" spans="1:4" hidden="1" x14ac:dyDescent="0.3">
      <c r="A11052">
        <v>11050</v>
      </c>
      <c r="B11052" t="s">
        <v>14417</v>
      </c>
      <c r="C11052" t="s">
        <v>161</v>
      </c>
      <c r="D11052">
        <v>1.00285547298989</v>
      </c>
    </row>
    <row r="11053" spans="1:4" hidden="1" x14ac:dyDescent="0.3">
      <c r="A11053">
        <v>11051</v>
      </c>
      <c r="B11053" t="s">
        <v>14418</v>
      </c>
      <c r="C11053" t="s">
        <v>163</v>
      </c>
      <c r="D11053">
        <v>0.99897540595708101</v>
      </c>
    </row>
    <row r="11054" spans="1:4" hidden="1" x14ac:dyDescent="0.3">
      <c r="A11054">
        <v>11052</v>
      </c>
      <c r="B11054" s="1" t="s">
        <v>14419</v>
      </c>
      <c r="C11054" t="s">
        <v>165</v>
      </c>
      <c r="D11054" s="1" t="s">
        <v>14420</v>
      </c>
    </row>
    <row r="11055" spans="1:4" hidden="1" x14ac:dyDescent="0.3">
      <c r="A11055">
        <v>11053</v>
      </c>
      <c r="B11055" t="s">
        <v>14421</v>
      </c>
      <c r="C11055" t="s">
        <v>168</v>
      </c>
      <c r="D11055">
        <v>1.0000531282751299</v>
      </c>
    </row>
    <row r="11056" spans="1:4" hidden="1" x14ac:dyDescent="0.3">
      <c r="A11056">
        <v>11054</v>
      </c>
      <c r="B11056" t="s">
        <v>14422</v>
      </c>
      <c r="C11056" t="s">
        <v>170</v>
      </c>
      <c r="D11056">
        <v>0.99974126698436605</v>
      </c>
    </row>
    <row r="11057" spans="1:4" hidden="1" x14ac:dyDescent="0.3">
      <c r="A11057">
        <v>11055</v>
      </c>
      <c r="B11057" s="1" t="s">
        <v>14423</v>
      </c>
      <c r="C11057" t="s">
        <v>172</v>
      </c>
      <c r="D11057" s="1" t="s">
        <v>14424</v>
      </c>
    </row>
    <row r="11058" spans="1:4" hidden="1" x14ac:dyDescent="0.3">
      <c r="A11058">
        <v>11056</v>
      </c>
      <c r="B11058" s="1" t="s">
        <v>14425</v>
      </c>
      <c r="C11058" t="s">
        <v>55</v>
      </c>
      <c r="D11058" s="1" t="s">
        <v>14426</v>
      </c>
    </row>
    <row r="11059" spans="1:4" hidden="1" x14ac:dyDescent="0.3">
      <c r="A11059">
        <v>11057</v>
      </c>
      <c r="B11059" s="1" t="s">
        <v>14427</v>
      </c>
      <c r="C11059" t="s">
        <v>52</v>
      </c>
      <c r="D11059" s="1" t="s">
        <v>14428</v>
      </c>
    </row>
    <row r="11060" spans="1:4" hidden="1" x14ac:dyDescent="0.3">
      <c r="A11060">
        <v>11058</v>
      </c>
      <c r="B11060" s="1" t="s">
        <v>14429</v>
      </c>
      <c r="C11060" t="s">
        <v>58</v>
      </c>
      <c r="D11060" s="1" t="s">
        <v>14430</v>
      </c>
    </row>
    <row r="11061" spans="1:4" hidden="1" x14ac:dyDescent="0.3">
      <c r="A11061">
        <v>11059</v>
      </c>
      <c r="B11061" t="s">
        <v>14431</v>
      </c>
      <c r="C11061" t="s">
        <v>61</v>
      </c>
      <c r="D11061">
        <v>143356073.855147</v>
      </c>
    </row>
    <row r="11062" spans="1:4" hidden="1" x14ac:dyDescent="0.3">
      <c r="A11062">
        <v>11060</v>
      </c>
      <c r="B11062" t="s">
        <v>14432</v>
      </c>
      <c r="C11062" t="s">
        <v>63</v>
      </c>
      <c r="D11062">
        <v>77617565.875088304</v>
      </c>
    </row>
    <row r="11063" spans="1:4" hidden="1" x14ac:dyDescent="0.3">
      <c r="A11063">
        <v>11061</v>
      </c>
      <c r="B11063" t="s">
        <v>14433</v>
      </c>
      <c r="C11063" t="s">
        <v>65</v>
      </c>
      <c r="D11063">
        <v>38618978.410836503</v>
      </c>
    </row>
    <row r="11064" spans="1:4" hidden="1" x14ac:dyDescent="0.3">
      <c r="A11064">
        <v>11062</v>
      </c>
      <c r="B11064" s="1" t="s">
        <v>14434</v>
      </c>
      <c r="C11064" t="s">
        <v>67</v>
      </c>
      <c r="D11064" s="1" t="s">
        <v>14435</v>
      </c>
    </row>
    <row r="11065" spans="1:4" hidden="1" x14ac:dyDescent="0.3">
      <c r="A11065">
        <v>11063</v>
      </c>
      <c r="B11065" s="1" t="s">
        <v>14436</v>
      </c>
      <c r="C11065" t="s">
        <v>70</v>
      </c>
      <c r="D11065" s="1" t="s">
        <v>14437</v>
      </c>
    </row>
    <row r="11066" spans="1:4" hidden="1" x14ac:dyDescent="0.3">
      <c r="A11066">
        <v>11064</v>
      </c>
      <c r="B11066" t="s">
        <v>14438</v>
      </c>
      <c r="C11066" t="s">
        <v>73</v>
      </c>
      <c r="D11066">
        <v>1.00038485860296</v>
      </c>
    </row>
    <row r="11067" spans="1:4" hidden="1" x14ac:dyDescent="0.3">
      <c r="A11067">
        <v>11065</v>
      </c>
      <c r="B11067" t="s">
        <v>74</v>
      </c>
      <c r="C11067" t="s">
        <v>75</v>
      </c>
      <c r="D11067">
        <v>2.7397260273972599E-3</v>
      </c>
    </row>
    <row r="11068" spans="1:4" hidden="1" x14ac:dyDescent="0.3">
      <c r="A11068">
        <v>11066</v>
      </c>
      <c r="B11068" t="s">
        <v>76</v>
      </c>
      <c r="C11068" t="s">
        <v>77</v>
      </c>
      <c r="D11068">
        <v>0</v>
      </c>
    </row>
    <row r="11069" spans="1:4" hidden="1" x14ac:dyDescent="0.3">
      <c r="A11069">
        <v>11067</v>
      </c>
      <c r="B11069" t="s">
        <v>78</v>
      </c>
      <c r="C11069" t="s">
        <v>79</v>
      </c>
      <c r="D11069">
        <v>0</v>
      </c>
    </row>
    <row r="11070" spans="1:4" hidden="1" x14ac:dyDescent="0.3">
      <c r="A11070">
        <v>11068</v>
      </c>
      <c r="B11070" s="1" t="s">
        <v>14439</v>
      </c>
      <c r="C11070" t="s">
        <v>81</v>
      </c>
      <c r="D11070" s="1" t="s">
        <v>14440</v>
      </c>
    </row>
    <row r="11071" spans="1:4" hidden="1" x14ac:dyDescent="0.3">
      <c r="A11071">
        <v>11069</v>
      </c>
      <c r="B11071" t="s">
        <v>14441</v>
      </c>
      <c r="C11071" t="s">
        <v>84</v>
      </c>
      <c r="D11071">
        <v>1.0003799443544199</v>
      </c>
    </row>
    <row r="11072" spans="1:4" hidden="1" x14ac:dyDescent="0.3">
      <c r="A11072">
        <v>11070</v>
      </c>
      <c r="B11072" s="1" t="s">
        <v>14442</v>
      </c>
      <c r="C11072" t="s">
        <v>86</v>
      </c>
      <c r="D11072" s="1" t="s">
        <v>14443</v>
      </c>
    </row>
    <row r="11073" spans="1:4" hidden="1" x14ac:dyDescent="0.3">
      <c r="A11073">
        <v>11071</v>
      </c>
      <c r="B11073" t="s">
        <v>14444</v>
      </c>
      <c r="C11073" t="s">
        <v>89</v>
      </c>
      <c r="D11073">
        <v>101151347.59999</v>
      </c>
    </row>
    <row r="11074" spans="1:4" hidden="1" x14ac:dyDescent="0.3">
      <c r="A11074">
        <v>11072</v>
      </c>
      <c r="B11074" s="1" t="s">
        <v>14445</v>
      </c>
      <c r="C11074" t="s">
        <v>91</v>
      </c>
      <c r="D11074" s="1" t="s">
        <v>14380</v>
      </c>
    </row>
    <row r="11075" spans="1:4" hidden="1" x14ac:dyDescent="0.3">
      <c r="A11075">
        <v>11073</v>
      </c>
      <c r="B11075" t="s">
        <v>14446</v>
      </c>
      <c r="C11075" t="s">
        <v>94</v>
      </c>
      <c r="D11075">
        <v>77617565.875088304</v>
      </c>
    </row>
    <row r="11076" spans="1:4" hidden="1" x14ac:dyDescent="0.3">
      <c r="A11076">
        <v>11074</v>
      </c>
      <c r="B11076" t="s">
        <v>14447</v>
      </c>
      <c r="C11076" t="s">
        <v>96</v>
      </c>
      <c r="D11076">
        <v>38618978.410836503</v>
      </c>
    </row>
    <row r="11077" spans="1:4" hidden="1" x14ac:dyDescent="0.3">
      <c r="A11077">
        <v>11075</v>
      </c>
      <c r="B11077" t="s">
        <v>14448</v>
      </c>
      <c r="C11077" t="s">
        <v>98</v>
      </c>
      <c r="D11077">
        <v>27119529.569222301</v>
      </c>
    </row>
    <row r="11078" spans="1:4" hidden="1" x14ac:dyDescent="0.3">
      <c r="A11078">
        <v>11076</v>
      </c>
      <c r="B11078" s="1" t="s">
        <v>14449</v>
      </c>
      <c r="C11078" t="s">
        <v>100</v>
      </c>
      <c r="D11078" s="1" t="s">
        <v>14450</v>
      </c>
    </row>
    <row r="11079" spans="1:4" hidden="1" x14ac:dyDescent="0.3">
      <c r="A11079">
        <v>11077</v>
      </c>
      <c r="B11079" t="s">
        <v>14451</v>
      </c>
      <c r="C11079" t="s">
        <v>103</v>
      </c>
      <c r="D11079">
        <v>7.7542351243600196E-3</v>
      </c>
    </row>
    <row r="11080" spans="1:4" hidden="1" x14ac:dyDescent="0.3">
      <c r="A11080">
        <v>11078</v>
      </c>
      <c r="B11080" t="s">
        <v>14452</v>
      </c>
      <c r="C11080" t="s">
        <v>105</v>
      </c>
      <c r="D11080">
        <v>1.6746142990012201E-3</v>
      </c>
    </row>
    <row r="11081" spans="1:4" hidden="1" x14ac:dyDescent="0.3">
      <c r="A11081">
        <v>11079</v>
      </c>
      <c r="B11081" t="s">
        <v>14453</v>
      </c>
      <c r="C11081" t="s">
        <v>107</v>
      </c>
      <c r="D11081">
        <v>9.9683929485731397E-3</v>
      </c>
    </row>
    <row r="11082" spans="1:4" hidden="1" x14ac:dyDescent="0.3">
      <c r="A11082">
        <v>11080</v>
      </c>
      <c r="B11082" s="1" t="s">
        <v>14454</v>
      </c>
      <c r="C11082" t="s">
        <v>109</v>
      </c>
      <c r="D11082" s="1" t="s">
        <v>14455</v>
      </c>
    </row>
    <row r="11083" spans="1:4" x14ac:dyDescent="0.3">
      <c r="A11083">
        <v>11081</v>
      </c>
      <c r="B11083" t="s">
        <v>14456</v>
      </c>
      <c r="C11083" t="s">
        <v>207</v>
      </c>
      <c r="D11083">
        <v>143355900.999661</v>
      </c>
    </row>
    <row r="11084" spans="1:4" hidden="1" x14ac:dyDescent="0.3">
      <c r="A11084">
        <v>11082</v>
      </c>
      <c r="B11084" t="s">
        <v>14457</v>
      </c>
      <c r="C11084" t="s">
        <v>209</v>
      </c>
      <c r="D11084">
        <v>381.28460818611501</v>
      </c>
    </row>
    <row r="11085" spans="1:4" hidden="1" x14ac:dyDescent="0.3">
      <c r="A11085">
        <v>11083</v>
      </c>
      <c r="B11085" t="s">
        <v>14458</v>
      </c>
      <c r="C11085" t="s">
        <v>211</v>
      </c>
      <c r="D11085">
        <v>189.71012237887101</v>
      </c>
    </row>
    <row r="11086" spans="1:4" hidden="1" x14ac:dyDescent="0.3">
      <c r="A11086">
        <v>11084</v>
      </c>
      <c r="B11086" s="1" t="s">
        <v>14459</v>
      </c>
      <c r="C11086" t="s">
        <v>213</v>
      </c>
      <c r="D11086" s="1" t="s">
        <v>14460</v>
      </c>
    </row>
    <row r="11087" spans="1:4" hidden="1" x14ac:dyDescent="0.3">
      <c r="A11087">
        <v>11085</v>
      </c>
      <c r="B11087" t="s">
        <v>14461</v>
      </c>
      <c r="C11087" t="s">
        <v>216</v>
      </c>
      <c r="D11087">
        <v>77617050.022195697</v>
      </c>
    </row>
    <row r="11088" spans="1:4" hidden="1" x14ac:dyDescent="0.3">
      <c r="A11088">
        <v>11086</v>
      </c>
      <c r="B11088" t="s">
        <v>14462</v>
      </c>
      <c r="C11088" t="s">
        <v>218</v>
      </c>
      <c r="D11088">
        <v>38618763.365370698</v>
      </c>
    </row>
    <row r="11089" spans="1:4" hidden="1" x14ac:dyDescent="0.3">
      <c r="A11089">
        <v>11087</v>
      </c>
      <c r="B11089" t="s">
        <v>14463</v>
      </c>
      <c r="C11089" t="s">
        <v>220</v>
      </c>
      <c r="D11089">
        <v>27119383.396589998</v>
      </c>
    </row>
    <row r="11090" spans="1:4" hidden="1" x14ac:dyDescent="0.3">
      <c r="A11090">
        <v>11088</v>
      </c>
      <c r="B11090" s="1" t="s">
        <v>14464</v>
      </c>
      <c r="C11090" t="s">
        <v>222</v>
      </c>
      <c r="D11090" s="1" t="s">
        <v>14465</v>
      </c>
    </row>
    <row r="11091" spans="1:4" hidden="1" x14ac:dyDescent="0.3">
      <c r="A11091">
        <v>11089</v>
      </c>
      <c r="B11091" t="s">
        <v>14466</v>
      </c>
      <c r="C11091" t="s">
        <v>225</v>
      </c>
      <c r="D11091">
        <v>101150850.70836</v>
      </c>
    </row>
    <row r="11092" spans="1:4" hidden="1" x14ac:dyDescent="0.3">
      <c r="A11092">
        <v>11090</v>
      </c>
      <c r="B11092" t="s">
        <v>14467</v>
      </c>
      <c r="C11092" t="s">
        <v>227</v>
      </c>
      <c r="D11092">
        <v>496.89162972569397</v>
      </c>
    </row>
    <row r="11093" spans="1:4" hidden="1" x14ac:dyDescent="0.3">
      <c r="A11093">
        <v>11091</v>
      </c>
      <c r="B11093" s="1" t="s">
        <v>14468</v>
      </c>
      <c r="C11093" t="s">
        <v>229</v>
      </c>
      <c r="D11093" s="1" t="s">
        <v>14469</v>
      </c>
    </row>
    <row r="11094" spans="1:4" hidden="1" x14ac:dyDescent="0.3">
      <c r="A11094">
        <v>11092</v>
      </c>
      <c r="B11094" t="s">
        <v>14470</v>
      </c>
      <c r="C11094" t="s">
        <v>112</v>
      </c>
      <c r="D11094">
        <v>-134.56828443627401</v>
      </c>
    </row>
    <row r="11095" spans="1:4" hidden="1" x14ac:dyDescent="0.3">
      <c r="A11095">
        <v>11093</v>
      </c>
      <c r="B11095" t="s">
        <v>14471</v>
      </c>
      <c r="C11095" t="s">
        <v>114</v>
      </c>
      <c r="D11095">
        <v>-25.335343366375898</v>
      </c>
    </row>
    <row r="11096" spans="1:4" hidden="1" x14ac:dyDescent="0.3">
      <c r="A11096">
        <v>11094</v>
      </c>
      <c r="B11096" s="1" t="s">
        <v>14472</v>
      </c>
      <c r="C11096" t="s">
        <v>116</v>
      </c>
      <c r="D11096" s="1" t="s">
        <v>14473</v>
      </c>
    </row>
    <row r="11097" spans="1:4" hidden="1" x14ac:dyDescent="0.3">
      <c r="A11097">
        <v>11095</v>
      </c>
      <c r="B11097" t="s">
        <v>14474</v>
      </c>
      <c r="C11097" t="s">
        <v>119</v>
      </c>
      <c r="D11097">
        <v>77617050.022195697</v>
      </c>
    </row>
    <row r="11098" spans="1:4" hidden="1" x14ac:dyDescent="0.3">
      <c r="A11098">
        <v>11096</v>
      </c>
      <c r="B11098" t="s">
        <v>14475</v>
      </c>
      <c r="C11098" t="s">
        <v>121</v>
      </c>
      <c r="D11098">
        <v>38618763.365370698</v>
      </c>
    </row>
    <row r="11099" spans="1:4" hidden="1" x14ac:dyDescent="0.3">
      <c r="A11099">
        <v>11097</v>
      </c>
      <c r="B11099" s="1" t="s">
        <v>14476</v>
      </c>
      <c r="C11099" t="s">
        <v>123</v>
      </c>
      <c r="D11099" s="1" t="s">
        <v>14477</v>
      </c>
    </row>
    <row r="11100" spans="1:4" hidden="1" x14ac:dyDescent="0.3">
      <c r="A11100">
        <v>11098</v>
      </c>
      <c r="B11100" t="s">
        <v>14478</v>
      </c>
      <c r="C11100" t="s">
        <v>126</v>
      </c>
      <c r="D11100">
        <v>0.76704813176804998</v>
      </c>
    </row>
    <row r="11101" spans="1:4" hidden="1" x14ac:dyDescent="0.3">
      <c r="A11101">
        <v>11099</v>
      </c>
      <c r="B11101" t="s">
        <v>14479</v>
      </c>
      <c r="C11101" t="s">
        <v>128</v>
      </c>
      <c r="D11101">
        <v>0.38164875220237099</v>
      </c>
    </row>
    <row r="11102" spans="1:4" hidden="1" x14ac:dyDescent="0.3">
      <c r="A11102">
        <v>11100</v>
      </c>
      <c r="B11102" s="1" t="s">
        <v>14480</v>
      </c>
      <c r="C11102" t="s">
        <v>130</v>
      </c>
      <c r="D11102" s="1" t="s">
        <v>14481</v>
      </c>
    </row>
    <row r="11103" spans="1:4" hidden="1" x14ac:dyDescent="0.3">
      <c r="A11103">
        <v>11101</v>
      </c>
      <c r="B11103" s="1" t="s">
        <v>14482</v>
      </c>
      <c r="C11103" t="s">
        <v>4</v>
      </c>
      <c r="D11103" t="s">
        <v>14483</v>
      </c>
    </row>
    <row r="11104" spans="1:4" hidden="1" x14ac:dyDescent="0.3">
      <c r="A11104">
        <v>11102</v>
      </c>
      <c r="B11104" t="s">
        <v>14484</v>
      </c>
      <c r="C11104" t="s">
        <v>7</v>
      </c>
      <c r="D11104">
        <v>1821.6</v>
      </c>
    </row>
    <row r="11105" spans="1:4" hidden="1" x14ac:dyDescent="0.3">
      <c r="A11105">
        <v>11103</v>
      </c>
      <c r="B11105" s="1" t="s">
        <v>14485</v>
      </c>
      <c r="C11105" t="s">
        <v>9</v>
      </c>
      <c r="D11105" s="1" t="s">
        <v>14486</v>
      </c>
    </row>
    <row r="11106" spans="1:4" hidden="1" x14ac:dyDescent="0.3">
      <c r="A11106">
        <v>11104</v>
      </c>
      <c r="B11106" t="s">
        <v>14487</v>
      </c>
      <c r="C11106" t="s">
        <v>14</v>
      </c>
      <c r="D11106">
        <v>96.09765625</v>
      </c>
    </row>
    <row r="11107" spans="1:4" hidden="1" x14ac:dyDescent="0.3">
      <c r="A11107">
        <v>11105</v>
      </c>
      <c r="B11107" t="s">
        <v>14488</v>
      </c>
      <c r="C11107" t="s">
        <v>16</v>
      </c>
      <c r="D11107">
        <v>4.3644325997856903</v>
      </c>
    </row>
    <row r="11108" spans="1:4" hidden="1" x14ac:dyDescent="0.3">
      <c r="A11108">
        <v>11106</v>
      </c>
      <c r="B11108" s="1" t="s">
        <v>14489</v>
      </c>
      <c r="C11108" t="s">
        <v>140</v>
      </c>
      <c r="D11108" s="1" t="s">
        <v>14490</v>
      </c>
    </row>
    <row r="11109" spans="1:4" hidden="1" x14ac:dyDescent="0.3">
      <c r="A11109">
        <v>11107</v>
      </c>
      <c r="B11109" t="s">
        <v>12798</v>
      </c>
      <c r="C11109" t="s">
        <v>22</v>
      </c>
      <c r="D11109">
        <v>67.349999999999994</v>
      </c>
    </row>
    <row r="11110" spans="1:4" hidden="1" x14ac:dyDescent="0.3">
      <c r="A11110">
        <v>11108</v>
      </c>
      <c r="B11110" t="s">
        <v>14491</v>
      </c>
      <c r="C11110" t="s">
        <v>24</v>
      </c>
      <c r="D11110">
        <v>6.4584066859399698</v>
      </c>
    </row>
    <row r="11111" spans="1:4" hidden="1" x14ac:dyDescent="0.3">
      <c r="A11111">
        <v>11109</v>
      </c>
      <c r="B11111" s="1" t="s">
        <v>14492</v>
      </c>
      <c r="C11111" t="s">
        <v>145</v>
      </c>
      <c r="D11111" s="1" t="s">
        <v>14493</v>
      </c>
    </row>
    <row r="11112" spans="1:4" hidden="1" x14ac:dyDescent="0.3">
      <c r="A11112">
        <v>11110</v>
      </c>
      <c r="B11112" t="s">
        <v>14494</v>
      </c>
      <c r="C11112" t="s">
        <v>35</v>
      </c>
      <c r="D11112">
        <v>-0.49344732769153898</v>
      </c>
    </row>
    <row r="11113" spans="1:4" hidden="1" x14ac:dyDescent="0.3">
      <c r="A11113">
        <v>11111</v>
      </c>
      <c r="B11113" t="s">
        <v>14495</v>
      </c>
      <c r="C11113" t="s">
        <v>149</v>
      </c>
      <c r="D11113">
        <v>0.67503869005341799</v>
      </c>
    </row>
    <row r="11114" spans="1:4" hidden="1" x14ac:dyDescent="0.3">
      <c r="A11114">
        <v>11112</v>
      </c>
      <c r="B11114" s="1" t="s">
        <v>14496</v>
      </c>
      <c r="C11114" t="s">
        <v>151</v>
      </c>
      <c r="D11114" s="1" t="s">
        <v>14497</v>
      </c>
    </row>
    <row r="11115" spans="1:4" hidden="1" x14ac:dyDescent="0.3">
      <c r="A11115">
        <v>11113</v>
      </c>
      <c r="B11115" t="s">
        <v>14498</v>
      </c>
      <c r="C11115" t="s">
        <v>30</v>
      </c>
      <c r="D11115">
        <v>0.58693050922041801</v>
      </c>
    </row>
    <row r="11116" spans="1:4" hidden="1" x14ac:dyDescent="0.3">
      <c r="A11116">
        <v>11114</v>
      </c>
      <c r="B11116" t="s">
        <v>14499</v>
      </c>
      <c r="C11116" t="s">
        <v>32</v>
      </c>
      <c r="D11116">
        <v>0.25266301632222299</v>
      </c>
    </row>
    <row r="11117" spans="1:4" hidden="1" x14ac:dyDescent="0.3">
      <c r="A11117">
        <v>11115</v>
      </c>
      <c r="B11117" s="1" t="s">
        <v>14500</v>
      </c>
      <c r="C11117" t="s">
        <v>155</v>
      </c>
      <c r="D11117" s="1" t="s">
        <v>14501</v>
      </c>
    </row>
    <row r="11118" spans="1:4" hidden="1" x14ac:dyDescent="0.3">
      <c r="A11118">
        <v>11116</v>
      </c>
      <c r="B11118" t="s">
        <v>14502</v>
      </c>
      <c r="C11118" t="s">
        <v>40</v>
      </c>
      <c r="D11118">
        <v>0.90651681847111998</v>
      </c>
    </row>
    <row r="11119" spans="1:4" hidden="1" x14ac:dyDescent="0.3">
      <c r="A11119">
        <v>11117</v>
      </c>
      <c r="B11119" t="s">
        <v>14503</v>
      </c>
      <c r="C11119" t="s">
        <v>42</v>
      </c>
      <c r="D11119">
        <v>0.22873355358529601</v>
      </c>
    </row>
    <row r="11120" spans="1:4" hidden="1" x14ac:dyDescent="0.3">
      <c r="A11120">
        <v>11118</v>
      </c>
      <c r="B11120" s="1" t="s">
        <v>14504</v>
      </c>
      <c r="C11120" t="s">
        <v>159</v>
      </c>
      <c r="D11120" s="1" t="s">
        <v>14505</v>
      </c>
    </row>
    <row r="11121" spans="1:4" hidden="1" x14ac:dyDescent="0.3">
      <c r="A11121">
        <v>11119</v>
      </c>
      <c r="B11121" t="s">
        <v>14506</v>
      </c>
      <c r="C11121" t="s">
        <v>161</v>
      </c>
      <c r="D11121">
        <v>1.0110563474090799</v>
      </c>
    </row>
    <row r="11122" spans="1:4" hidden="1" x14ac:dyDescent="0.3">
      <c r="A11122">
        <v>11120</v>
      </c>
      <c r="B11122" t="s">
        <v>14507</v>
      </c>
      <c r="C11122" t="s">
        <v>163</v>
      </c>
      <c r="D11122">
        <v>1.00068367802094</v>
      </c>
    </row>
    <row r="11123" spans="1:4" hidden="1" x14ac:dyDescent="0.3">
      <c r="A11123">
        <v>11121</v>
      </c>
      <c r="B11123" s="1" t="s">
        <v>14508</v>
      </c>
      <c r="C11123" t="s">
        <v>165</v>
      </c>
      <c r="D11123" s="1" t="s">
        <v>14509</v>
      </c>
    </row>
    <row r="11124" spans="1:4" hidden="1" x14ac:dyDescent="0.3">
      <c r="A11124">
        <v>11122</v>
      </c>
      <c r="B11124" t="s">
        <v>14510</v>
      </c>
      <c r="C11124" t="s">
        <v>168</v>
      </c>
      <c r="D11124">
        <v>0.99971266605611997</v>
      </c>
    </row>
    <row r="11125" spans="1:4" hidden="1" x14ac:dyDescent="0.3">
      <c r="A11125">
        <v>11123</v>
      </c>
      <c r="B11125" t="s">
        <v>14511</v>
      </c>
      <c r="C11125" t="s">
        <v>170</v>
      </c>
      <c r="D11125">
        <v>1.0014765296246699</v>
      </c>
    </row>
    <row r="11126" spans="1:4" hidden="1" x14ac:dyDescent="0.3">
      <c r="A11126">
        <v>11124</v>
      </c>
      <c r="B11126" s="1" t="s">
        <v>14512</v>
      </c>
      <c r="C11126" t="s">
        <v>172</v>
      </c>
      <c r="D11126" s="1" t="s">
        <v>14513</v>
      </c>
    </row>
    <row r="11127" spans="1:4" hidden="1" x14ac:dyDescent="0.3">
      <c r="A11127">
        <v>11125</v>
      </c>
      <c r="B11127" s="1" t="s">
        <v>14514</v>
      </c>
      <c r="C11127" t="s">
        <v>55</v>
      </c>
      <c r="D11127" s="1" t="s">
        <v>14515</v>
      </c>
    </row>
    <row r="11128" spans="1:4" hidden="1" x14ac:dyDescent="0.3">
      <c r="A11128">
        <v>11126</v>
      </c>
      <c r="B11128" s="1" t="s">
        <v>14516</v>
      </c>
      <c r="C11128" t="s">
        <v>52</v>
      </c>
      <c r="D11128" s="1" t="s">
        <v>14517</v>
      </c>
    </row>
    <row r="11129" spans="1:4" hidden="1" x14ac:dyDescent="0.3">
      <c r="A11129">
        <v>11127</v>
      </c>
      <c r="B11129" s="1" t="s">
        <v>14518</v>
      </c>
      <c r="C11129" t="s">
        <v>58</v>
      </c>
      <c r="D11129" s="1" t="s">
        <v>14519</v>
      </c>
    </row>
    <row r="11130" spans="1:4" hidden="1" x14ac:dyDescent="0.3">
      <c r="A11130">
        <v>11128</v>
      </c>
      <c r="B11130" t="s">
        <v>14520</v>
      </c>
      <c r="C11130" t="s">
        <v>61</v>
      </c>
      <c r="D11130">
        <v>144052963.13635001</v>
      </c>
    </row>
    <row r="11131" spans="1:4" hidden="1" x14ac:dyDescent="0.3">
      <c r="A11131">
        <v>11129</v>
      </c>
      <c r="B11131" t="s">
        <v>14521</v>
      </c>
      <c r="C11131" t="s">
        <v>63</v>
      </c>
      <c r="D11131">
        <v>78475211.092109397</v>
      </c>
    </row>
    <row r="11132" spans="1:4" hidden="1" x14ac:dyDescent="0.3">
      <c r="A11132">
        <v>11130</v>
      </c>
      <c r="B11132" t="s">
        <v>14522</v>
      </c>
      <c r="C11132" t="s">
        <v>65</v>
      </c>
      <c r="D11132">
        <v>38645166.165079802</v>
      </c>
    </row>
    <row r="11133" spans="1:4" hidden="1" x14ac:dyDescent="0.3">
      <c r="A11133">
        <v>11131</v>
      </c>
      <c r="B11133" s="1" t="s">
        <v>14523</v>
      </c>
      <c r="C11133" t="s">
        <v>67</v>
      </c>
      <c r="D11133" s="1" t="s">
        <v>14524</v>
      </c>
    </row>
    <row r="11134" spans="1:4" hidden="1" x14ac:dyDescent="0.3">
      <c r="A11134">
        <v>11132</v>
      </c>
      <c r="B11134" s="1" t="s">
        <v>14525</v>
      </c>
      <c r="C11134" t="s">
        <v>70</v>
      </c>
      <c r="D11134" s="1" t="s">
        <v>14526</v>
      </c>
    </row>
    <row r="11135" spans="1:4" hidden="1" x14ac:dyDescent="0.3">
      <c r="A11135">
        <v>11133</v>
      </c>
      <c r="B11135" t="s">
        <v>14527</v>
      </c>
      <c r="C11135" t="s">
        <v>73</v>
      </c>
      <c r="D11135">
        <v>1.0003799443544199</v>
      </c>
    </row>
    <row r="11136" spans="1:4" hidden="1" x14ac:dyDescent="0.3">
      <c r="A11136">
        <v>11134</v>
      </c>
      <c r="B11136" t="s">
        <v>74</v>
      </c>
      <c r="C11136" t="s">
        <v>75</v>
      </c>
      <c r="D11136">
        <v>2.7397260273972599E-3</v>
      </c>
    </row>
    <row r="11137" spans="1:4" hidden="1" x14ac:dyDescent="0.3">
      <c r="A11137">
        <v>11135</v>
      </c>
      <c r="B11137" t="s">
        <v>76</v>
      </c>
      <c r="C11137" t="s">
        <v>77</v>
      </c>
      <c r="D11137">
        <v>0</v>
      </c>
    </row>
    <row r="11138" spans="1:4" hidden="1" x14ac:dyDescent="0.3">
      <c r="A11138">
        <v>11136</v>
      </c>
      <c r="B11138" t="s">
        <v>78</v>
      </c>
      <c r="C11138" t="s">
        <v>79</v>
      </c>
      <c r="D11138">
        <v>0</v>
      </c>
    </row>
    <row r="11139" spans="1:4" hidden="1" x14ac:dyDescent="0.3">
      <c r="A11139">
        <v>11137</v>
      </c>
      <c r="B11139" s="1" t="s">
        <v>14528</v>
      </c>
      <c r="C11139" t="s">
        <v>81</v>
      </c>
      <c r="D11139" s="1" t="s">
        <v>14529</v>
      </c>
    </row>
    <row r="11140" spans="1:4" hidden="1" x14ac:dyDescent="0.3">
      <c r="A11140">
        <v>11138</v>
      </c>
      <c r="B11140" t="s">
        <v>14530</v>
      </c>
      <c r="C11140" t="s">
        <v>84</v>
      </c>
      <c r="D11140">
        <v>1.00035408358051</v>
      </c>
    </row>
    <row r="11141" spans="1:4" hidden="1" x14ac:dyDescent="0.3">
      <c r="A11141">
        <v>11139</v>
      </c>
      <c r="B11141" s="1" t="s">
        <v>14531</v>
      </c>
      <c r="C11141" t="s">
        <v>86</v>
      </c>
      <c r="D11141" s="1" t="s">
        <v>14532</v>
      </c>
    </row>
    <row r="11142" spans="1:4" hidden="1" x14ac:dyDescent="0.3">
      <c r="A11142">
        <v>11140</v>
      </c>
      <c r="B11142" t="s">
        <v>14533</v>
      </c>
      <c r="C11142" t="s">
        <v>89</v>
      </c>
      <c r="D11142">
        <v>101153962.526218</v>
      </c>
    </row>
    <row r="11143" spans="1:4" hidden="1" x14ac:dyDescent="0.3">
      <c r="A11143">
        <v>11141</v>
      </c>
      <c r="B11143" s="1" t="s">
        <v>14534</v>
      </c>
      <c r="C11143" t="s">
        <v>91</v>
      </c>
      <c r="D11143" s="1" t="s">
        <v>14469</v>
      </c>
    </row>
    <row r="11144" spans="1:4" hidden="1" x14ac:dyDescent="0.3">
      <c r="A11144">
        <v>11142</v>
      </c>
      <c r="B11144" t="s">
        <v>14535</v>
      </c>
      <c r="C11144" t="s">
        <v>94</v>
      </c>
      <c r="D11144">
        <v>78475211.092109397</v>
      </c>
    </row>
    <row r="11145" spans="1:4" hidden="1" x14ac:dyDescent="0.3">
      <c r="A11145">
        <v>11143</v>
      </c>
      <c r="B11145" t="s">
        <v>14536</v>
      </c>
      <c r="C11145" t="s">
        <v>96</v>
      </c>
      <c r="D11145">
        <v>38645166.165079802</v>
      </c>
    </row>
    <row r="11146" spans="1:4" hidden="1" x14ac:dyDescent="0.3">
      <c r="A11146">
        <v>11144</v>
      </c>
      <c r="B11146" t="s">
        <v>14537</v>
      </c>
      <c r="C11146" t="s">
        <v>98</v>
      </c>
      <c r="D11146">
        <v>26932585.879161399</v>
      </c>
    </row>
    <row r="11147" spans="1:4" hidden="1" x14ac:dyDescent="0.3">
      <c r="A11147">
        <v>11145</v>
      </c>
      <c r="B11147" s="1" t="s">
        <v>14538</v>
      </c>
      <c r="C11147" t="s">
        <v>100</v>
      </c>
      <c r="D11147" s="1" t="s">
        <v>14539</v>
      </c>
    </row>
    <row r="11148" spans="1:4" hidden="1" x14ac:dyDescent="0.3">
      <c r="A11148">
        <v>11146</v>
      </c>
      <c r="B11148" t="s">
        <v>14540</v>
      </c>
      <c r="C11148" t="s">
        <v>103</v>
      </c>
      <c r="D11148">
        <v>7.6497820909019404E-3</v>
      </c>
    </row>
    <row r="11149" spans="1:4" hidden="1" x14ac:dyDescent="0.3">
      <c r="A11149">
        <v>11147</v>
      </c>
      <c r="B11149" t="s">
        <v>14541</v>
      </c>
      <c r="C11149" t="s">
        <v>105</v>
      </c>
      <c r="D11149">
        <v>1.67374949453079E-3</v>
      </c>
    </row>
    <row r="11150" spans="1:4" hidden="1" x14ac:dyDescent="0.3">
      <c r="A11150">
        <v>11148</v>
      </c>
      <c r="B11150" t="s">
        <v>14542</v>
      </c>
      <c r="C11150" t="s">
        <v>107</v>
      </c>
      <c r="D11150">
        <v>9.9961394021836694E-3</v>
      </c>
    </row>
    <row r="11151" spans="1:4" hidden="1" x14ac:dyDescent="0.3">
      <c r="A11151">
        <v>11149</v>
      </c>
      <c r="B11151" s="1" t="s">
        <v>14543</v>
      </c>
      <c r="C11151" t="s">
        <v>109</v>
      </c>
      <c r="D11151" s="1" t="s">
        <v>14544</v>
      </c>
    </row>
    <row r="11152" spans="1:4" x14ac:dyDescent="0.3">
      <c r="A11152">
        <v>11150</v>
      </c>
      <c r="B11152" t="s">
        <v>14545</v>
      </c>
      <c r="C11152" t="s">
        <v>207</v>
      </c>
      <c r="D11152">
        <v>144052053.16699699</v>
      </c>
    </row>
    <row r="11153" spans="1:4" hidden="1" x14ac:dyDescent="0.3">
      <c r="A11153">
        <v>11151</v>
      </c>
      <c r="B11153" t="s">
        <v>14546</v>
      </c>
      <c r="C11153" t="s">
        <v>209</v>
      </c>
      <c r="D11153">
        <v>2028.6404941375199</v>
      </c>
    </row>
    <row r="11154" spans="1:4" hidden="1" x14ac:dyDescent="0.3">
      <c r="A11154">
        <v>11152</v>
      </c>
      <c r="B11154" t="s">
        <v>14547</v>
      </c>
      <c r="C11154" t="s">
        <v>211</v>
      </c>
      <c r="D11154">
        <v>999.01081969039797</v>
      </c>
    </row>
    <row r="11155" spans="1:4" hidden="1" x14ac:dyDescent="0.3">
      <c r="A11155">
        <v>11153</v>
      </c>
      <c r="B11155" s="1" t="s">
        <v>14548</v>
      </c>
      <c r="C11155" t="s">
        <v>213</v>
      </c>
      <c r="D11155" s="1" t="s">
        <v>14549</v>
      </c>
    </row>
    <row r="11156" spans="1:4" hidden="1" x14ac:dyDescent="0.3">
      <c r="A11156">
        <v>11154</v>
      </c>
      <c r="B11156" t="s">
        <v>14550</v>
      </c>
      <c r="C11156" t="s">
        <v>216</v>
      </c>
      <c r="D11156">
        <v>78472469.919049203</v>
      </c>
    </row>
    <row r="11157" spans="1:4" hidden="1" x14ac:dyDescent="0.3">
      <c r="A11157">
        <v>11155</v>
      </c>
      <c r="B11157" t="s">
        <v>14551</v>
      </c>
      <c r="C11157" t="s">
        <v>218</v>
      </c>
      <c r="D11157">
        <v>38644031.174330302</v>
      </c>
    </row>
    <row r="11158" spans="1:4" hidden="1" x14ac:dyDescent="0.3">
      <c r="A11158">
        <v>11156</v>
      </c>
      <c r="B11158" t="s">
        <v>14552</v>
      </c>
      <c r="C11158" t="s">
        <v>220</v>
      </c>
      <c r="D11158">
        <v>26931828.190907899</v>
      </c>
    </row>
    <row r="11159" spans="1:4" hidden="1" x14ac:dyDescent="0.3">
      <c r="A11159">
        <v>11157</v>
      </c>
      <c r="B11159" s="1" t="s">
        <v>14553</v>
      </c>
      <c r="C11159" t="s">
        <v>222</v>
      </c>
      <c r="D11159" s="1" t="s">
        <v>14554</v>
      </c>
    </row>
    <row r="11160" spans="1:4" hidden="1" x14ac:dyDescent="0.3">
      <c r="A11160">
        <v>11158</v>
      </c>
      <c r="B11160" t="s">
        <v>14555</v>
      </c>
      <c r="C11160" t="s">
        <v>225</v>
      </c>
      <c r="D11160">
        <v>101151347.59999</v>
      </c>
    </row>
    <row r="11161" spans="1:4" hidden="1" x14ac:dyDescent="0.3">
      <c r="A11161">
        <v>11159</v>
      </c>
      <c r="B11161" t="s">
        <v>14556</v>
      </c>
      <c r="C11161" t="s">
        <v>227</v>
      </c>
      <c r="D11161">
        <v>2614.9262281358201</v>
      </c>
    </row>
    <row r="11162" spans="1:4" hidden="1" x14ac:dyDescent="0.3">
      <c r="A11162">
        <v>11160</v>
      </c>
      <c r="B11162" s="1" t="s">
        <v>14557</v>
      </c>
      <c r="C11162" t="s">
        <v>229</v>
      </c>
      <c r="D11162" s="1" t="s">
        <v>14558</v>
      </c>
    </row>
    <row r="11163" spans="1:4" hidden="1" x14ac:dyDescent="0.3">
      <c r="A11163">
        <v>11161</v>
      </c>
      <c r="B11163" t="s">
        <v>14559</v>
      </c>
      <c r="C11163" t="s">
        <v>112</v>
      </c>
      <c r="D11163">
        <v>-712.53256605224794</v>
      </c>
    </row>
    <row r="11164" spans="1:4" hidden="1" x14ac:dyDescent="0.3">
      <c r="A11164">
        <v>11162</v>
      </c>
      <c r="B11164" t="s">
        <v>14560</v>
      </c>
      <c r="C11164" t="s">
        <v>114</v>
      </c>
      <c r="D11164">
        <v>-135.97992981728601</v>
      </c>
    </row>
    <row r="11165" spans="1:4" hidden="1" x14ac:dyDescent="0.3">
      <c r="A11165">
        <v>11163</v>
      </c>
      <c r="B11165" s="1" t="s">
        <v>14561</v>
      </c>
      <c r="C11165" t="s">
        <v>116</v>
      </c>
      <c r="D11165" s="1" t="s">
        <v>14562</v>
      </c>
    </row>
    <row r="11166" spans="1:4" hidden="1" x14ac:dyDescent="0.3">
      <c r="A11166">
        <v>11164</v>
      </c>
      <c r="B11166" t="s">
        <v>14563</v>
      </c>
      <c r="C11166" t="s">
        <v>119</v>
      </c>
      <c r="D11166">
        <v>78472469.919049203</v>
      </c>
    </row>
    <row r="11167" spans="1:4" hidden="1" x14ac:dyDescent="0.3">
      <c r="A11167">
        <v>11165</v>
      </c>
      <c r="B11167" t="s">
        <v>14564</v>
      </c>
      <c r="C11167" t="s">
        <v>121</v>
      </c>
      <c r="D11167">
        <v>38644031.174330302</v>
      </c>
    </row>
    <row r="11168" spans="1:4" hidden="1" x14ac:dyDescent="0.3">
      <c r="A11168">
        <v>11166</v>
      </c>
      <c r="B11168" s="1" t="s">
        <v>14565</v>
      </c>
      <c r="C11168" t="s">
        <v>123</v>
      </c>
      <c r="D11168" s="1" t="s">
        <v>14566</v>
      </c>
    </row>
    <row r="11169" spans="1:4" hidden="1" x14ac:dyDescent="0.3">
      <c r="A11169">
        <v>11167</v>
      </c>
      <c r="B11169" t="s">
        <v>14567</v>
      </c>
      <c r="C11169" t="s">
        <v>126</v>
      </c>
      <c r="D11169">
        <v>0.77551803117008999</v>
      </c>
    </row>
    <row r="11170" spans="1:4" hidden="1" x14ac:dyDescent="0.3">
      <c r="A11170">
        <v>11168</v>
      </c>
      <c r="B11170" t="s">
        <v>14568</v>
      </c>
      <c r="C11170" t="s">
        <v>128</v>
      </c>
      <c r="D11170">
        <v>0.38190645717801203</v>
      </c>
    </row>
    <row r="11171" spans="1:4" hidden="1" x14ac:dyDescent="0.3">
      <c r="A11171">
        <v>11169</v>
      </c>
      <c r="B11171" s="1" t="s">
        <v>14569</v>
      </c>
      <c r="C11171" t="s">
        <v>130</v>
      </c>
      <c r="D11171" s="1" t="s">
        <v>14570</v>
      </c>
    </row>
    <row r="11172" spans="1:4" hidden="1" x14ac:dyDescent="0.3">
      <c r="A11172">
        <v>11170</v>
      </c>
      <c r="B11172" s="1" t="s">
        <v>14571</v>
      </c>
      <c r="C11172" t="s">
        <v>4</v>
      </c>
      <c r="D11172" t="s">
        <v>14572</v>
      </c>
    </row>
    <row r="11173" spans="1:4" hidden="1" x14ac:dyDescent="0.3">
      <c r="A11173">
        <v>11171</v>
      </c>
      <c r="B11173" t="s">
        <v>14573</v>
      </c>
      <c r="C11173" t="s">
        <v>7</v>
      </c>
      <c r="D11173">
        <v>1826.15</v>
      </c>
    </row>
    <row r="11174" spans="1:4" hidden="1" x14ac:dyDescent="0.3">
      <c r="A11174">
        <v>11172</v>
      </c>
      <c r="B11174" s="1" t="s">
        <v>14574</v>
      </c>
      <c r="C11174" t="s">
        <v>9</v>
      </c>
      <c r="D11174" s="1" t="s">
        <v>14575</v>
      </c>
    </row>
    <row r="11175" spans="1:4" hidden="1" x14ac:dyDescent="0.3">
      <c r="A11175">
        <v>11173</v>
      </c>
      <c r="B11175" t="s">
        <v>14576</v>
      </c>
      <c r="C11175" t="s">
        <v>14</v>
      </c>
      <c r="D11175">
        <v>96.015625</v>
      </c>
    </row>
    <row r="11176" spans="1:4" hidden="1" x14ac:dyDescent="0.3">
      <c r="A11176">
        <v>11174</v>
      </c>
      <c r="B11176" t="s">
        <v>14577</v>
      </c>
      <c r="C11176" t="s">
        <v>16</v>
      </c>
      <c r="D11176">
        <v>4.3653226789144997</v>
      </c>
    </row>
    <row r="11177" spans="1:4" hidden="1" x14ac:dyDescent="0.3">
      <c r="A11177">
        <v>11175</v>
      </c>
      <c r="B11177" s="1" t="s">
        <v>14578</v>
      </c>
      <c r="C11177" t="s">
        <v>140</v>
      </c>
      <c r="D11177" s="1" t="s">
        <v>14579</v>
      </c>
    </row>
    <row r="11178" spans="1:4" hidden="1" x14ac:dyDescent="0.3">
      <c r="A11178">
        <v>11176</v>
      </c>
      <c r="B11178" t="s">
        <v>14580</v>
      </c>
      <c r="C11178" t="s">
        <v>22</v>
      </c>
      <c r="D11178">
        <v>67.099999999999994</v>
      </c>
    </row>
    <row r="11179" spans="1:4" hidden="1" x14ac:dyDescent="0.3">
      <c r="A11179">
        <v>11177</v>
      </c>
      <c r="B11179" t="s">
        <v>14581</v>
      </c>
      <c r="C11179" t="s">
        <v>24</v>
      </c>
      <c r="D11179">
        <v>6.4744919083802701</v>
      </c>
    </row>
    <row r="11180" spans="1:4" hidden="1" x14ac:dyDescent="0.3">
      <c r="A11180">
        <v>11178</v>
      </c>
      <c r="B11180" s="1" t="s">
        <v>14582</v>
      </c>
      <c r="C11180" t="s">
        <v>145</v>
      </c>
      <c r="D11180" s="1" t="s">
        <v>14583</v>
      </c>
    </row>
    <row r="11181" spans="1:4" hidden="1" x14ac:dyDescent="0.3">
      <c r="A11181">
        <v>11179</v>
      </c>
      <c r="B11181" t="s">
        <v>14584</v>
      </c>
      <c r="C11181" t="s">
        <v>35</v>
      </c>
      <c r="D11181">
        <v>-0.94526762299238798</v>
      </c>
    </row>
    <row r="11182" spans="1:4" hidden="1" x14ac:dyDescent="0.3">
      <c r="A11182">
        <v>11180</v>
      </c>
      <c r="B11182" t="s">
        <v>14585</v>
      </c>
      <c r="C11182" t="s">
        <v>149</v>
      </c>
      <c r="D11182">
        <v>0.676812156171966</v>
      </c>
    </row>
    <row r="11183" spans="1:4" hidden="1" x14ac:dyDescent="0.3">
      <c r="A11183">
        <v>11181</v>
      </c>
      <c r="B11183" s="1" t="s">
        <v>14586</v>
      </c>
      <c r="C11183" t="s">
        <v>151</v>
      </c>
      <c r="D11183" s="1" t="s">
        <v>14587</v>
      </c>
    </row>
    <row r="11184" spans="1:4" hidden="1" x14ac:dyDescent="0.3">
      <c r="A11184">
        <v>11182</v>
      </c>
      <c r="B11184" t="s">
        <v>14588</v>
      </c>
      <c r="C11184" t="s">
        <v>30</v>
      </c>
      <c r="D11184">
        <v>0.75434360520994903</v>
      </c>
    </row>
    <row r="11185" spans="1:4" hidden="1" x14ac:dyDescent="0.3">
      <c r="A11185">
        <v>11183</v>
      </c>
      <c r="B11185" t="s">
        <v>14589</v>
      </c>
      <c r="C11185" t="s">
        <v>32</v>
      </c>
      <c r="D11185">
        <v>0.25129478498841201</v>
      </c>
    </row>
    <row r="11186" spans="1:4" hidden="1" x14ac:dyDescent="0.3">
      <c r="A11186">
        <v>11184</v>
      </c>
      <c r="B11186" s="1" t="s">
        <v>14590</v>
      </c>
      <c r="C11186" t="s">
        <v>155</v>
      </c>
      <c r="D11186" s="1" t="s">
        <v>14591</v>
      </c>
    </row>
    <row r="11187" spans="1:4" hidden="1" x14ac:dyDescent="0.3">
      <c r="A11187">
        <v>11185</v>
      </c>
      <c r="B11187" t="s">
        <v>14592</v>
      </c>
      <c r="C11187" t="s">
        <v>40</v>
      </c>
      <c r="D11187">
        <v>1.1909240177824301</v>
      </c>
    </row>
    <row r="11188" spans="1:4" hidden="1" x14ac:dyDescent="0.3">
      <c r="A11188">
        <v>11186</v>
      </c>
      <c r="B11188" t="s">
        <v>14593</v>
      </c>
      <c r="C11188" t="s">
        <v>42</v>
      </c>
      <c r="D11188">
        <v>0.22622004816112201</v>
      </c>
    </row>
    <row r="11189" spans="1:4" hidden="1" x14ac:dyDescent="0.3">
      <c r="A11189">
        <v>11187</v>
      </c>
      <c r="B11189" s="1" t="s">
        <v>14594</v>
      </c>
      <c r="C11189" t="s">
        <v>159</v>
      </c>
      <c r="D11189" s="1" t="s">
        <v>14595</v>
      </c>
    </row>
    <row r="11190" spans="1:4" hidden="1" x14ac:dyDescent="0.3">
      <c r="A11190">
        <v>11188</v>
      </c>
      <c r="B11190" t="s">
        <v>14596</v>
      </c>
      <c r="C11190" t="s">
        <v>161</v>
      </c>
      <c r="D11190">
        <v>1.00249780412823</v>
      </c>
    </row>
    <row r="11191" spans="1:4" hidden="1" x14ac:dyDescent="0.3">
      <c r="A11191">
        <v>11189</v>
      </c>
      <c r="B11191" t="s">
        <v>14597</v>
      </c>
      <c r="C11191" t="s">
        <v>163</v>
      </c>
      <c r="D11191">
        <v>0.99919232048825402</v>
      </c>
    </row>
    <row r="11192" spans="1:4" hidden="1" x14ac:dyDescent="0.3">
      <c r="A11192">
        <v>11190</v>
      </c>
      <c r="B11192" s="1" t="s">
        <v>14598</v>
      </c>
      <c r="C11192" t="s">
        <v>165</v>
      </c>
      <c r="D11192" s="1" t="s">
        <v>14599</v>
      </c>
    </row>
    <row r="11193" spans="1:4" hidden="1" x14ac:dyDescent="0.3">
      <c r="A11193">
        <v>11191</v>
      </c>
      <c r="B11193" t="s">
        <v>14600</v>
      </c>
      <c r="C11193" t="s">
        <v>168</v>
      </c>
      <c r="D11193">
        <v>1.00105876128657</v>
      </c>
    </row>
    <row r="11194" spans="1:4" hidden="1" x14ac:dyDescent="0.3">
      <c r="A11194">
        <v>11192</v>
      </c>
      <c r="B11194" t="s">
        <v>14601</v>
      </c>
      <c r="C11194" t="s">
        <v>170</v>
      </c>
      <c r="D11194">
        <v>0.99890774189388298</v>
      </c>
    </row>
    <row r="11195" spans="1:4" hidden="1" x14ac:dyDescent="0.3">
      <c r="A11195">
        <v>11193</v>
      </c>
      <c r="B11195" s="1" t="s">
        <v>14602</v>
      </c>
      <c r="C11195" t="s">
        <v>172</v>
      </c>
      <c r="D11195" s="1" t="s">
        <v>14603</v>
      </c>
    </row>
    <row r="11196" spans="1:4" hidden="1" x14ac:dyDescent="0.3">
      <c r="A11196">
        <v>11194</v>
      </c>
      <c r="B11196" s="1" t="s">
        <v>14604</v>
      </c>
      <c r="C11196" t="s">
        <v>55</v>
      </c>
      <c r="D11196" s="1" t="s">
        <v>14605</v>
      </c>
    </row>
    <row r="11197" spans="1:4" hidden="1" x14ac:dyDescent="0.3">
      <c r="A11197">
        <v>11195</v>
      </c>
      <c r="B11197" s="1" t="s">
        <v>14606</v>
      </c>
      <c r="C11197" t="s">
        <v>52</v>
      </c>
      <c r="D11197" s="1" t="s">
        <v>14607</v>
      </c>
    </row>
    <row r="11198" spans="1:4" hidden="1" x14ac:dyDescent="0.3">
      <c r="A11198">
        <v>11196</v>
      </c>
      <c r="B11198" s="1" t="s">
        <v>14608</v>
      </c>
      <c r="C11198" t="s">
        <v>58</v>
      </c>
      <c r="D11198" s="1" t="s">
        <v>14609</v>
      </c>
    </row>
    <row r="11199" spans="1:4" hidden="1" x14ac:dyDescent="0.3">
      <c r="A11199">
        <v>11197</v>
      </c>
      <c r="B11199" t="s">
        <v>14610</v>
      </c>
      <c r="C11199" t="s">
        <v>61</v>
      </c>
      <c r="D11199">
        <v>144127773.37269399</v>
      </c>
    </row>
    <row r="11200" spans="1:4" hidden="1" x14ac:dyDescent="0.3">
      <c r="A11200">
        <v>11198</v>
      </c>
      <c r="B11200" t="s">
        <v>14611</v>
      </c>
      <c r="C11200" t="s">
        <v>63</v>
      </c>
      <c r="D11200">
        <v>78668478.778366104</v>
      </c>
    </row>
    <row r="11201" spans="1:4" hidden="1" x14ac:dyDescent="0.3">
      <c r="A11201">
        <v>11199</v>
      </c>
      <c r="B11201" t="s">
        <v>14612</v>
      </c>
      <c r="C11201" t="s">
        <v>65</v>
      </c>
      <c r="D11201">
        <v>38612819.182099499</v>
      </c>
    </row>
    <row r="11202" spans="1:4" hidden="1" x14ac:dyDescent="0.3">
      <c r="A11202">
        <v>11200</v>
      </c>
      <c r="B11202" s="1" t="s">
        <v>14613</v>
      </c>
      <c r="C11202" t="s">
        <v>67</v>
      </c>
      <c r="D11202" s="1" t="s">
        <v>14614</v>
      </c>
    </row>
    <row r="11203" spans="1:4" hidden="1" x14ac:dyDescent="0.3">
      <c r="A11203">
        <v>11201</v>
      </c>
      <c r="B11203" s="1" t="s">
        <v>14615</v>
      </c>
      <c r="C11203" t="s">
        <v>70</v>
      </c>
      <c r="D11203" s="1" t="s">
        <v>14616</v>
      </c>
    </row>
    <row r="11204" spans="1:4" hidden="1" x14ac:dyDescent="0.3">
      <c r="A11204">
        <v>11202</v>
      </c>
      <c r="B11204" t="s">
        <v>14617</v>
      </c>
      <c r="C11204" t="s">
        <v>73</v>
      </c>
      <c r="D11204">
        <v>1.00035408358051</v>
      </c>
    </row>
    <row r="11205" spans="1:4" hidden="1" x14ac:dyDescent="0.3">
      <c r="A11205">
        <v>11203</v>
      </c>
      <c r="B11205" t="s">
        <v>74</v>
      </c>
      <c r="C11205" t="s">
        <v>75</v>
      </c>
      <c r="D11205">
        <v>2.7397260273972599E-3</v>
      </c>
    </row>
    <row r="11206" spans="1:4" hidden="1" x14ac:dyDescent="0.3">
      <c r="A11206">
        <v>11204</v>
      </c>
      <c r="B11206" t="s">
        <v>76</v>
      </c>
      <c r="C11206" t="s">
        <v>77</v>
      </c>
      <c r="D11206">
        <v>0</v>
      </c>
    </row>
    <row r="11207" spans="1:4" hidden="1" x14ac:dyDescent="0.3">
      <c r="A11207">
        <v>11205</v>
      </c>
      <c r="B11207" t="s">
        <v>1459</v>
      </c>
      <c r="C11207" t="s">
        <v>79</v>
      </c>
      <c r="D11207" s="2">
        <v>-2.2204460492503101E-16</v>
      </c>
    </row>
    <row r="11208" spans="1:4" hidden="1" x14ac:dyDescent="0.3">
      <c r="A11208">
        <v>11206</v>
      </c>
      <c r="B11208" s="1" t="s">
        <v>14618</v>
      </c>
      <c r="C11208" t="s">
        <v>81</v>
      </c>
      <c r="D11208" s="1" t="s">
        <v>14619</v>
      </c>
    </row>
    <row r="11209" spans="1:4" hidden="1" x14ac:dyDescent="0.3">
      <c r="A11209">
        <v>11207</v>
      </c>
      <c r="B11209" t="s">
        <v>14620</v>
      </c>
      <c r="C11209" t="s">
        <v>84</v>
      </c>
      <c r="D11209">
        <v>1.0003648959485201</v>
      </c>
    </row>
    <row r="11210" spans="1:4" hidden="1" x14ac:dyDescent="0.3">
      <c r="A11210">
        <v>11208</v>
      </c>
      <c r="B11210" s="1" t="s">
        <v>14621</v>
      </c>
      <c r="C11210" t="s">
        <v>86</v>
      </c>
      <c r="D11210" s="1" t="s">
        <v>14622</v>
      </c>
    </row>
    <row r="11211" spans="1:4" hidden="1" x14ac:dyDescent="0.3">
      <c r="A11211">
        <v>11209</v>
      </c>
      <c r="B11211" t="s">
        <v>14623</v>
      </c>
      <c r="C11211" t="s">
        <v>89</v>
      </c>
      <c r="D11211">
        <v>101152869.21129601</v>
      </c>
    </row>
    <row r="11212" spans="1:4" hidden="1" x14ac:dyDescent="0.3">
      <c r="A11212">
        <v>11210</v>
      </c>
      <c r="B11212" s="1" t="s">
        <v>14624</v>
      </c>
      <c r="C11212" t="s">
        <v>91</v>
      </c>
      <c r="D11212" s="1" t="s">
        <v>14558</v>
      </c>
    </row>
    <row r="11213" spans="1:4" hidden="1" x14ac:dyDescent="0.3">
      <c r="A11213">
        <v>11211</v>
      </c>
      <c r="B11213" t="s">
        <v>14625</v>
      </c>
      <c r="C11213" t="s">
        <v>94</v>
      </c>
      <c r="D11213">
        <v>78668478.778366104</v>
      </c>
    </row>
    <row r="11214" spans="1:4" hidden="1" x14ac:dyDescent="0.3">
      <c r="A11214">
        <v>11212</v>
      </c>
      <c r="B11214" t="s">
        <v>14626</v>
      </c>
      <c r="C11214" t="s">
        <v>96</v>
      </c>
      <c r="D11214">
        <v>38612819.182099499</v>
      </c>
    </row>
    <row r="11215" spans="1:4" hidden="1" x14ac:dyDescent="0.3">
      <c r="A11215">
        <v>11213</v>
      </c>
      <c r="B11215" t="s">
        <v>14627</v>
      </c>
      <c r="C11215" t="s">
        <v>98</v>
      </c>
      <c r="D11215">
        <v>26846475.412228402</v>
      </c>
    </row>
    <row r="11216" spans="1:4" hidden="1" x14ac:dyDescent="0.3">
      <c r="A11216">
        <v>11214</v>
      </c>
      <c r="B11216" s="1" t="s">
        <v>14628</v>
      </c>
      <c r="C11216" t="s">
        <v>100</v>
      </c>
      <c r="D11216" s="1" t="s">
        <v>14629</v>
      </c>
    </row>
    <row r="11217" spans="1:4" hidden="1" x14ac:dyDescent="0.3">
      <c r="A11217">
        <v>11215</v>
      </c>
      <c r="B11217" t="s">
        <v>14630</v>
      </c>
      <c r="C11217" t="s">
        <v>103</v>
      </c>
      <c r="D11217">
        <v>7.7255146256144597E-3</v>
      </c>
    </row>
    <row r="11218" spans="1:4" hidden="1" x14ac:dyDescent="0.3">
      <c r="A11218">
        <v>11216</v>
      </c>
      <c r="B11218" t="s">
        <v>14631</v>
      </c>
      <c r="C11218" t="s">
        <v>105</v>
      </c>
      <c r="D11218">
        <v>1.67420133177576E-3</v>
      </c>
    </row>
    <row r="11219" spans="1:4" hidden="1" x14ac:dyDescent="0.3">
      <c r="A11219">
        <v>11217</v>
      </c>
      <c r="B11219" t="s">
        <v>14632</v>
      </c>
      <c r="C11219" t="s">
        <v>107</v>
      </c>
      <c r="D11219">
        <v>9.9984368154419998E-3</v>
      </c>
    </row>
    <row r="11220" spans="1:4" hidden="1" x14ac:dyDescent="0.3">
      <c r="A11220">
        <v>11218</v>
      </c>
      <c r="B11220" s="1" t="s">
        <v>14633</v>
      </c>
      <c r="C11220" t="s">
        <v>109</v>
      </c>
      <c r="D11220" s="1" t="s">
        <v>14634</v>
      </c>
    </row>
    <row r="11221" spans="1:4" x14ac:dyDescent="0.3">
      <c r="A11221">
        <v>11219</v>
      </c>
      <c r="B11221" t="s">
        <v>14635</v>
      </c>
      <c r="C11221" t="s">
        <v>207</v>
      </c>
      <c r="D11221">
        <v>144128154.53891701</v>
      </c>
    </row>
    <row r="11222" spans="1:4" hidden="1" x14ac:dyDescent="0.3">
      <c r="A11222">
        <v>11220</v>
      </c>
      <c r="B11222" t="s">
        <v>14636</v>
      </c>
      <c r="C11222" t="s">
        <v>209</v>
      </c>
      <c r="D11222">
        <v>-850.29435968698897</v>
      </c>
    </row>
    <row r="11223" spans="1:4" hidden="1" x14ac:dyDescent="0.3">
      <c r="A11223">
        <v>11221</v>
      </c>
      <c r="B11223" t="s">
        <v>14637</v>
      </c>
      <c r="C11223" t="s">
        <v>211</v>
      </c>
      <c r="D11223">
        <v>-417.34905337904502</v>
      </c>
    </row>
    <row r="11224" spans="1:4" hidden="1" x14ac:dyDescent="0.3">
      <c r="A11224">
        <v>11222</v>
      </c>
      <c r="B11224" s="1" t="s">
        <v>14638</v>
      </c>
      <c r="C11224" t="s">
        <v>213</v>
      </c>
      <c r="D11224" s="1" t="s">
        <v>14639</v>
      </c>
    </row>
    <row r="11225" spans="1:4" hidden="1" x14ac:dyDescent="0.3">
      <c r="A11225">
        <v>11223</v>
      </c>
      <c r="B11225" t="s">
        <v>14640</v>
      </c>
      <c r="C11225" t="s">
        <v>216</v>
      </c>
      <c r="D11225">
        <v>78669596.522955</v>
      </c>
    </row>
    <row r="11226" spans="1:4" hidden="1" x14ac:dyDescent="0.3">
      <c r="A11226">
        <v>11224</v>
      </c>
      <c r="B11226" t="s">
        <v>14641</v>
      </c>
      <c r="C11226" t="s">
        <v>218</v>
      </c>
      <c r="D11226">
        <v>38613312.2777071</v>
      </c>
    </row>
    <row r="11227" spans="1:4" hidden="1" x14ac:dyDescent="0.3">
      <c r="A11227">
        <v>11225</v>
      </c>
      <c r="B11227" t="s">
        <v>14642</v>
      </c>
      <c r="C11227" t="s">
        <v>220</v>
      </c>
      <c r="D11227">
        <v>26846803.553305302</v>
      </c>
    </row>
    <row r="11228" spans="1:4" hidden="1" x14ac:dyDescent="0.3">
      <c r="A11228">
        <v>11226</v>
      </c>
      <c r="B11228" s="1" t="s">
        <v>14643</v>
      </c>
      <c r="C11228" t="s">
        <v>222</v>
      </c>
      <c r="D11228" s="1" t="s">
        <v>14644</v>
      </c>
    </row>
    <row r="11229" spans="1:4" hidden="1" x14ac:dyDescent="0.3">
      <c r="A11229">
        <v>11227</v>
      </c>
      <c r="B11229" t="s">
        <v>14645</v>
      </c>
      <c r="C11229" t="s">
        <v>225</v>
      </c>
      <c r="D11229">
        <v>101153962.526218</v>
      </c>
    </row>
    <row r="11230" spans="1:4" hidden="1" x14ac:dyDescent="0.3">
      <c r="A11230">
        <v>11228</v>
      </c>
      <c r="B11230" t="s">
        <v>14646</v>
      </c>
      <c r="C11230" t="s">
        <v>227</v>
      </c>
      <c r="D11230">
        <v>-1093.3149221241399</v>
      </c>
    </row>
    <row r="11231" spans="1:4" hidden="1" x14ac:dyDescent="0.3">
      <c r="A11231">
        <v>11229</v>
      </c>
      <c r="B11231" s="1" t="s">
        <v>14647</v>
      </c>
      <c r="C11231" t="s">
        <v>229</v>
      </c>
      <c r="D11231" s="1" t="s">
        <v>14648</v>
      </c>
    </row>
    <row r="11232" spans="1:4" hidden="1" x14ac:dyDescent="0.3">
      <c r="A11232">
        <v>11230</v>
      </c>
      <c r="B11232" t="s">
        <v>14649</v>
      </c>
      <c r="C11232" t="s">
        <v>112</v>
      </c>
      <c r="D11232">
        <v>267.45022917529599</v>
      </c>
    </row>
    <row r="11233" spans="1:4" hidden="1" x14ac:dyDescent="0.3">
      <c r="A11233">
        <v>11231</v>
      </c>
      <c r="B11233" t="s">
        <v>14650</v>
      </c>
      <c r="C11233" t="s">
        <v>114</v>
      </c>
      <c r="D11233">
        <v>75.746554197944107</v>
      </c>
    </row>
    <row r="11234" spans="1:4" hidden="1" x14ac:dyDescent="0.3">
      <c r="A11234">
        <v>11232</v>
      </c>
      <c r="B11234" s="1" t="s">
        <v>14651</v>
      </c>
      <c r="C11234" t="s">
        <v>116</v>
      </c>
      <c r="D11234" s="1" t="s">
        <v>14652</v>
      </c>
    </row>
    <row r="11235" spans="1:4" hidden="1" x14ac:dyDescent="0.3">
      <c r="A11235">
        <v>11233</v>
      </c>
      <c r="B11235" t="s">
        <v>14653</v>
      </c>
      <c r="C11235" t="s">
        <v>119</v>
      </c>
      <c r="D11235">
        <v>78669596.522955</v>
      </c>
    </row>
    <row r="11236" spans="1:4" hidden="1" x14ac:dyDescent="0.3">
      <c r="A11236">
        <v>11234</v>
      </c>
      <c r="B11236" t="s">
        <v>14654</v>
      </c>
      <c r="C11236" t="s">
        <v>121</v>
      </c>
      <c r="D11236">
        <v>38613312.2777071</v>
      </c>
    </row>
    <row r="11237" spans="1:4" hidden="1" x14ac:dyDescent="0.3">
      <c r="A11237">
        <v>11235</v>
      </c>
      <c r="B11237" s="1" t="s">
        <v>14655</v>
      </c>
      <c r="C11237" t="s">
        <v>123</v>
      </c>
      <c r="D11237" s="1" t="s">
        <v>14656</v>
      </c>
    </row>
    <row r="11238" spans="1:4" hidden="1" x14ac:dyDescent="0.3">
      <c r="A11238">
        <v>11236</v>
      </c>
      <c r="B11238" t="s">
        <v>14657</v>
      </c>
      <c r="C11238" t="s">
        <v>126</v>
      </c>
      <c r="D11238">
        <v>0.77743766841056505</v>
      </c>
    </row>
    <row r="11239" spans="1:4" hidden="1" x14ac:dyDescent="0.3">
      <c r="A11239">
        <v>11237</v>
      </c>
      <c r="B11239" t="s">
        <v>14658</v>
      </c>
      <c r="C11239" t="s">
        <v>128</v>
      </c>
      <c r="D11239">
        <v>0.38158888304492899</v>
      </c>
    </row>
    <row r="11240" spans="1:4" hidden="1" x14ac:dyDescent="0.3">
      <c r="A11240">
        <v>11238</v>
      </c>
      <c r="B11240" s="1" t="s">
        <v>14659</v>
      </c>
      <c r="C11240" t="s">
        <v>130</v>
      </c>
      <c r="D11240" s="1" t="s">
        <v>14660</v>
      </c>
    </row>
    <row r="11241" spans="1:4" hidden="1" x14ac:dyDescent="0.3">
      <c r="A11241">
        <v>11239</v>
      </c>
      <c r="B11241" s="1" t="s">
        <v>14661</v>
      </c>
      <c r="C11241" t="s">
        <v>4</v>
      </c>
      <c r="D11241" t="s">
        <v>14662</v>
      </c>
    </row>
    <row r="11242" spans="1:4" hidden="1" x14ac:dyDescent="0.3">
      <c r="A11242">
        <v>11240</v>
      </c>
      <c r="B11242" t="s">
        <v>14663</v>
      </c>
      <c r="C11242" t="s">
        <v>7</v>
      </c>
      <c r="D11242">
        <v>1822.54</v>
      </c>
    </row>
    <row r="11243" spans="1:4" hidden="1" x14ac:dyDescent="0.3">
      <c r="A11243">
        <v>11241</v>
      </c>
      <c r="B11243" s="1" t="s">
        <v>14664</v>
      </c>
      <c r="C11243" t="s">
        <v>9</v>
      </c>
      <c r="D11243" s="1" t="s">
        <v>14665</v>
      </c>
    </row>
    <row r="11244" spans="1:4" hidden="1" x14ac:dyDescent="0.3">
      <c r="A11244">
        <v>11242</v>
      </c>
      <c r="B11244" t="s">
        <v>14666</v>
      </c>
      <c r="C11244" t="s">
        <v>14</v>
      </c>
      <c r="D11244">
        <v>96.203125</v>
      </c>
    </row>
    <row r="11245" spans="1:4" hidden="1" x14ac:dyDescent="0.3">
      <c r="A11245">
        <v>11243</v>
      </c>
      <c r="B11245" t="s">
        <v>14667</v>
      </c>
      <c r="C11245" t="s">
        <v>16</v>
      </c>
      <c r="D11245">
        <v>4.3681643088648698</v>
      </c>
    </row>
    <row r="11246" spans="1:4" hidden="1" x14ac:dyDescent="0.3">
      <c r="A11246">
        <v>11244</v>
      </c>
      <c r="B11246" s="1" t="s">
        <v>14668</v>
      </c>
      <c r="C11246" t="s">
        <v>140</v>
      </c>
      <c r="D11246" s="1" t="s">
        <v>14669</v>
      </c>
    </row>
    <row r="11247" spans="1:4" hidden="1" x14ac:dyDescent="0.3">
      <c r="A11247">
        <v>11245</v>
      </c>
      <c r="B11247" t="s">
        <v>12440</v>
      </c>
      <c r="C11247" t="s">
        <v>22</v>
      </c>
      <c r="D11247">
        <v>66.900000000000006</v>
      </c>
    </row>
    <row r="11248" spans="1:4" hidden="1" x14ac:dyDescent="0.3">
      <c r="A11248">
        <v>11246</v>
      </c>
      <c r="B11248" t="s">
        <v>14670</v>
      </c>
      <c r="C11248" t="s">
        <v>24</v>
      </c>
      <c r="D11248">
        <v>6.5116006530464796</v>
      </c>
    </row>
    <row r="11249" spans="1:4" hidden="1" x14ac:dyDescent="0.3">
      <c r="A11249">
        <v>11247</v>
      </c>
      <c r="B11249" s="1" t="s">
        <v>14671</v>
      </c>
      <c r="C11249" t="s">
        <v>145</v>
      </c>
      <c r="D11249" s="1" t="s">
        <v>14672</v>
      </c>
    </row>
    <row r="11250" spans="1:4" hidden="1" x14ac:dyDescent="0.3">
      <c r="A11250">
        <v>11248</v>
      </c>
      <c r="B11250" t="s">
        <v>14673</v>
      </c>
      <c r="C11250" t="s">
        <v>35</v>
      </c>
      <c r="D11250">
        <v>-0.102889624988274</v>
      </c>
    </row>
    <row r="11251" spans="1:4" hidden="1" x14ac:dyDescent="0.3">
      <c r="A11251">
        <v>11249</v>
      </c>
      <c r="B11251" t="s">
        <v>14674</v>
      </c>
      <c r="C11251" t="s">
        <v>149</v>
      </c>
      <c r="D11251">
        <v>0.67533224154959204</v>
      </c>
    </row>
    <row r="11252" spans="1:4" hidden="1" x14ac:dyDescent="0.3">
      <c r="A11252">
        <v>11250</v>
      </c>
      <c r="B11252" s="1" t="s">
        <v>14675</v>
      </c>
      <c r="C11252" t="s">
        <v>151</v>
      </c>
      <c r="D11252" s="1" t="s">
        <v>14676</v>
      </c>
    </row>
    <row r="11253" spans="1:4" hidden="1" x14ac:dyDescent="0.3">
      <c r="A11253">
        <v>11251</v>
      </c>
      <c r="B11253" t="s">
        <v>14677</v>
      </c>
      <c r="C11253" t="s">
        <v>30</v>
      </c>
      <c r="D11253">
        <v>0.43061624890214101</v>
      </c>
    </row>
    <row r="11254" spans="1:4" hidden="1" x14ac:dyDescent="0.3">
      <c r="A11254">
        <v>11252</v>
      </c>
      <c r="B11254" t="s">
        <v>14678</v>
      </c>
      <c r="C11254" t="s">
        <v>32</v>
      </c>
      <c r="D11254">
        <v>0.25367897494702302</v>
      </c>
    </row>
    <row r="11255" spans="1:4" hidden="1" x14ac:dyDescent="0.3">
      <c r="A11255">
        <v>11253</v>
      </c>
      <c r="B11255" s="1" t="s">
        <v>14679</v>
      </c>
      <c r="C11255" t="s">
        <v>155</v>
      </c>
      <c r="D11255" s="1" t="s">
        <v>14680</v>
      </c>
    </row>
    <row r="11256" spans="1:4" hidden="1" x14ac:dyDescent="0.3">
      <c r="A11256">
        <v>11254</v>
      </c>
      <c r="B11256" t="s">
        <v>14681</v>
      </c>
      <c r="C11256" t="s">
        <v>40</v>
      </c>
      <c r="D11256">
        <v>0.67227337608613202</v>
      </c>
    </row>
    <row r="11257" spans="1:4" hidden="1" x14ac:dyDescent="0.3">
      <c r="A11257">
        <v>11255</v>
      </c>
      <c r="B11257" t="s">
        <v>14682</v>
      </c>
      <c r="C11257" t="s">
        <v>42</v>
      </c>
      <c r="D11257">
        <v>0.22707366571683099</v>
      </c>
    </row>
    <row r="11258" spans="1:4" hidden="1" x14ac:dyDescent="0.3">
      <c r="A11258">
        <v>11256</v>
      </c>
      <c r="B11258" s="1" t="s">
        <v>14683</v>
      </c>
      <c r="C11258" t="s">
        <v>159</v>
      </c>
      <c r="D11258" s="1" t="s">
        <v>14684</v>
      </c>
    </row>
    <row r="11259" spans="1:4" hidden="1" x14ac:dyDescent="0.3">
      <c r="A11259">
        <v>11257</v>
      </c>
      <c r="B11259" t="s">
        <v>14685</v>
      </c>
      <c r="C11259" t="s">
        <v>161</v>
      </c>
      <c r="D11259">
        <v>0.99802316348602205</v>
      </c>
    </row>
    <row r="11260" spans="1:4" hidden="1" x14ac:dyDescent="0.3">
      <c r="A11260">
        <v>11258</v>
      </c>
      <c r="B11260" t="s">
        <v>14686</v>
      </c>
      <c r="C11260" t="s">
        <v>163</v>
      </c>
      <c r="D11260">
        <v>1.00189619279705</v>
      </c>
    </row>
    <row r="11261" spans="1:4" hidden="1" x14ac:dyDescent="0.3">
      <c r="A11261">
        <v>11259</v>
      </c>
      <c r="B11261" s="1" t="s">
        <v>14687</v>
      </c>
      <c r="C11261" t="s">
        <v>165</v>
      </c>
      <c r="D11261" s="1" t="s">
        <v>14688</v>
      </c>
    </row>
    <row r="11262" spans="1:4" hidden="1" x14ac:dyDescent="0.3">
      <c r="A11262">
        <v>11260</v>
      </c>
      <c r="B11262" t="s">
        <v>14689</v>
      </c>
      <c r="C11262" t="s">
        <v>168</v>
      </c>
      <c r="D11262">
        <v>0.99911742372756096</v>
      </c>
    </row>
    <row r="11263" spans="1:4" hidden="1" x14ac:dyDescent="0.3">
      <c r="A11263">
        <v>11261</v>
      </c>
      <c r="B11263" t="s">
        <v>14690</v>
      </c>
      <c r="C11263" t="s">
        <v>170</v>
      </c>
      <c r="D11263">
        <v>1.0019053783226799</v>
      </c>
    </row>
    <row r="11264" spans="1:4" hidden="1" x14ac:dyDescent="0.3">
      <c r="A11264">
        <v>11262</v>
      </c>
      <c r="B11264" s="1" t="s">
        <v>14691</v>
      </c>
      <c r="C11264" t="s">
        <v>172</v>
      </c>
      <c r="D11264" s="1" t="s">
        <v>14692</v>
      </c>
    </row>
    <row r="11265" spans="1:4" hidden="1" x14ac:dyDescent="0.3">
      <c r="A11265">
        <v>11263</v>
      </c>
      <c r="B11265" s="1" t="s">
        <v>14693</v>
      </c>
      <c r="C11265" t="s">
        <v>55</v>
      </c>
      <c r="D11265" s="1" t="s">
        <v>14694</v>
      </c>
    </row>
    <row r="11266" spans="1:4" hidden="1" x14ac:dyDescent="0.3">
      <c r="A11266">
        <v>11264</v>
      </c>
      <c r="B11266" s="1" t="s">
        <v>14695</v>
      </c>
      <c r="C11266" t="s">
        <v>52</v>
      </c>
      <c r="D11266" s="1" t="s">
        <v>14696</v>
      </c>
    </row>
    <row r="11267" spans="1:4" hidden="1" x14ac:dyDescent="0.3">
      <c r="A11267">
        <v>11265</v>
      </c>
      <c r="B11267" s="1" t="s">
        <v>14697</v>
      </c>
      <c r="C11267" t="s">
        <v>58</v>
      </c>
      <c r="D11267" s="1" t="s">
        <v>14698</v>
      </c>
    </row>
    <row r="11268" spans="1:4" hidden="1" x14ac:dyDescent="0.3">
      <c r="A11268">
        <v>11266</v>
      </c>
      <c r="B11268" t="s">
        <v>14699</v>
      </c>
      <c r="C11268" t="s">
        <v>61</v>
      </c>
      <c r="D11268">
        <v>143987975.85873801</v>
      </c>
    </row>
    <row r="11269" spans="1:4" hidden="1" x14ac:dyDescent="0.3">
      <c r="A11269">
        <v>11267</v>
      </c>
      <c r="B11269" t="s">
        <v>14700</v>
      </c>
      <c r="C11269" t="s">
        <v>63</v>
      </c>
      <c r="D11269">
        <v>78514079.592008501</v>
      </c>
    </row>
    <row r="11270" spans="1:4" hidden="1" x14ac:dyDescent="0.3">
      <c r="A11270">
        <v>11268</v>
      </c>
      <c r="B11270" t="s">
        <v>14701</v>
      </c>
      <c r="C11270" t="s">
        <v>65</v>
      </c>
      <c r="D11270">
        <v>38686530.562318496</v>
      </c>
    </row>
    <row r="11271" spans="1:4" hidden="1" x14ac:dyDescent="0.3">
      <c r="A11271">
        <v>11269</v>
      </c>
      <c r="B11271" s="1" t="s">
        <v>14702</v>
      </c>
      <c r="C11271" t="s">
        <v>67</v>
      </c>
      <c r="D11271" s="1" t="s">
        <v>14703</v>
      </c>
    </row>
    <row r="11272" spans="1:4" hidden="1" x14ac:dyDescent="0.3">
      <c r="A11272">
        <v>11270</v>
      </c>
      <c r="B11272" s="1" t="s">
        <v>14704</v>
      </c>
      <c r="C11272" t="s">
        <v>70</v>
      </c>
      <c r="D11272" s="1" t="s">
        <v>14705</v>
      </c>
    </row>
    <row r="11273" spans="1:4" hidden="1" x14ac:dyDescent="0.3">
      <c r="A11273">
        <v>11271</v>
      </c>
      <c r="B11273" t="s">
        <v>14706</v>
      </c>
      <c r="C11273" t="s">
        <v>73</v>
      </c>
      <c r="D11273">
        <v>1.0003648959485201</v>
      </c>
    </row>
    <row r="11274" spans="1:4" hidden="1" x14ac:dyDescent="0.3">
      <c r="A11274">
        <v>11272</v>
      </c>
      <c r="B11274" t="s">
        <v>74</v>
      </c>
      <c r="C11274" t="s">
        <v>75</v>
      </c>
      <c r="D11274">
        <v>2.7397260273972599E-3</v>
      </c>
    </row>
    <row r="11275" spans="1:4" hidden="1" x14ac:dyDescent="0.3">
      <c r="A11275">
        <v>11273</v>
      </c>
      <c r="B11275" t="s">
        <v>76</v>
      </c>
      <c r="C11275" t="s">
        <v>77</v>
      </c>
      <c r="D11275">
        <v>0</v>
      </c>
    </row>
    <row r="11276" spans="1:4" hidden="1" x14ac:dyDescent="0.3">
      <c r="A11276">
        <v>11274</v>
      </c>
      <c r="B11276" t="s">
        <v>78</v>
      </c>
      <c r="C11276" t="s">
        <v>79</v>
      </c>
      <c r="D11276">
        <v>0</v>
      </c>
    </row>
    <row r="11277" spans="1:4" hidden="1" x14ac:dyDescent="0.3">
      <c r="A11277">
        <v>11275</v>
      </c>
      <c r="B11277" s="1" t="s">
        <v>14707</v>
      </c>
      <c r="C11277" t="s">
        <v>81</v>
      </c>
      <c r="D11277" s="1" t="s">
        <v>14708</v>
      </c>
    </row>
    <row r="11278" spans="1:4" hidden="1" x14ac:dyDescent="0.3">
      <c r="A11278">
        <v>11276</v>
      </c>
      <c r="B11278" t="s">
        <v>14709</v>
      </c>
      <c r="C11278" t="s">
        <v>84</v>
      </c>
      <c r="D11278">
        <v>1.0003569759952899</v>
      </c>
    </row>
    <row r="11279" spans="1:4" hidden="1" x14ac:dyDescent="0.3">
      <c r="A11279">
        <v>11277</v>
      </c>
      <c r="B11279" s="1" t="s">
        <v>14710</v>
      </c>
      <c r="C11279" t="s">
        <v>86</v>
      </c>
      <c r="D11279" s="1" t="s">
        <v>14711</v>
      </c>
    </row>
    <row r="11280" spans="1:4" hidden="1" x14ac:dyDescent="0.3">
      <c r="A11280">
        <v>11278</v>
      </c>
      <c r="B11280" t="s">
        <v>14712</v>
      </c>
      <c r="C11280" t="s">
        <v>89</v>
      </c>
      <c r="D11280">
        <v>101153670.05140799</v>
      </c>
    </row>
    <row r="11281" spans="1:4" hidden="1" x14ac:dyDescent="0.3">
      <c r="A11281">
        <v>11279</v>
      </c>
      <c r="B11281" s="1" t="s">
        <v>14713</v>
      </c>
      <c r="C11281" t="s">
        <v>91</v>
      </c>
      <c r="D11281" s="1" t="s">
        <v>14648</v>
      </c>
    </row>
    <row r="11282" spans="1:4" hidden="1" x14ac:dyDescent="0.3">
      <c r="A11282">
        <v>11280</v>
      </c>
      <c r="B11282" t="s">
        <v>14714</v>
      </c>
      <c r="C11282" t="s">
        <v>94</v>
      </c>
      <c r="D11282">
        <v>78514079.592008501</v>
      </c>
    </row>
    <row r="11283" spans="1:4" hidden="1" x14ac:dyDescent="0.3">
      <c r="A11283">
        <v>11281</v>
      </c>
      <c r="B11283" t="s">
        <v>14715</v>
      </c>
      <c r="C11283" t="s">
        <v>96</v>
      </c>
      <c r="D11283">
        <v>38686530.562318496</v>
      </c>
    </row>
    <row r="11284" spans="1:4" hidden="1" x14ac:dyDescent="0.3">
      <c r="A11284">
        <v>11282</v>
      </c>
      <c r="B11284" t="s">
        <v>14716</v>
      </c>
      <c r="C11284" t="s">
        <v>98</v>
      </c>
      <c r="D11284">
        <v>26787365.704411399</v>
      </c>
    </row>
    <row r="11285" spans="1:4" hidden="1" x14ac:dyDescent="0.3">
      <c r="A11285">
        <v>11283</v>
      </c>
      <c r="B11285" s="1" t="s">
        <v>14717</v>
      </c>
      <c r="C11285" t="s">
        <v>100</v>
      </c>
      <c r="D11285" s="1" t="s">
        <v>14718</v>
      </c>
    </row>
    <row r="11286" spans="1:4" hidden="1" x14ac:dyDescent="0.3">
      <c r="A11286">
        <v>11284</v>
      </c>
      <c r="B11286" t="s">
        <v>14719</v>
      </c>
      <c r="C11286" t="s">
        <v>103</v>
      </c>
      <c r="D11286">
        <v>7.5794604099124899E-3</v>
      </c>
    </row>
    <row r="11287" spans="1:4" hidden="1" x14ac:dyDescent="0.3">
      <c r="A11287">
        <v>11285</v>
      </c>
      <c r="B11287" t="s">
        <v>14720</v>
      </c>
      <c r="C11287" t="s">
        <v>105</v>
      </c>
      <c r="D11287">
        <v>1.67156007948758E-3</v>
      </c>
    </row>
    <row r="11288" spans="1:4" hidden="1" x14ac:dyDescent="0.3">
      <c r="A11288">
        <v>11286</v>
      </c>
      <c r="B11288" t="s">
        <v>14721</v>
      </c>
      <c r="C11288" t="s">
        <v>107</v>
      </c>
      <c r="D11288">
        <v>9.9849898128658195E-3</v>
      </c>
    </row>
    <row r="11289" spans="1:4" hidden="1" x14ac:dyDescent="0.3">
      <c r="A11289">
        <v>11287</v>
      </c>
      <c r="B11289" s="1" t="s">
        <v>14722</v>
      </c>
      <c r="C11289" t="s">
        <v>109</v>
      </c>
      <c r="D11289" s="1" t="s">
        <v>14723</v>
      </c>
    </row>
    <row r="11290" spans="1:4" x14ac:dyDescent="0.3">
      <c r="A11290">
        <v>11288</v>
      </c>
      <c r="B11290" t="s">
        <v>14724</v>
      </c>
      <c r="C11290" t="s">
        <v>207</v>
      </c>
      <c r="D11290">
        <v>143987696.677055</v>
      </c>
    </row>
    <row r="11291" spans="1:4" hidden="1" x14ac:dyDescent="0.3">
      <c r="A11291">
        <v>11289</v>
      </c>
      <c r="B11291" t="s">
        <v>14725</v>
      </c>
      <c r="C11291" t="s">
        <v>209</v>
      </c>
      <c r="D11291">
        <v>621.59941405147094</v>
      </c>
    </row>
    <row r="11292" spans="1:4" hidden="1" x14ac:dyDescent="0.3">
      <c r="A11292">
        <v>11290</v>
      </c>
      <c r="B11292" t="s">
        <v>14726</v>
      </c>
      <c r="C11292" t="s">
        <v>211</v>
      </c>
      <c r="D11292">
        <v>306.28329342032401</v>
      </c>
    </row>
    <row r="11293" spans="1:4" hidden="1" x14ac:dyDescent="0.3">
      <c r="A11293">
        <v>11291</v>
      </c>
      <c r="B11293" s="1" t="s">
        <v>14727</v>
      </c>
      <c r="C11293" t="s">
        <v>213</v>
      </c>
      <c r="D11293" s="1" t="s">
        <v>14728</v>
      </c>
    </row>
    <row r="11294" spans="1:4" hidden="1" x14ac:dyDescent="0.3">
      <c r="A11294">
        <v>11292</v>
      </c>
      <c r="B11294" t="s">
        <v>14729</v>
      </c>
      <c r="C11294" t="s">
        <v>216</v>
      </c>
      <c r="D11294">
        <v>78513255.328004599</v>
      </c>
    </row>
    <row r="11295" spans="1:4" hidden="1" x14ac:dyDescent="0.3">
      <c r="A11295">
        <v>11293</v>
      </c>
      <c r="B11295" t="s">
        <v>14730</v>
      </c>
      <c r="C11295" t="s">
        <v>218</v>
      </c>
      <c r="D11295">
        <v>38686166.485061802</v>
      </c>
    </row>
    <row r="11296" spans="1:4" hidden="1" x14ac:dyDescent="0.3">
      <c r="A11296">
        <v>11294</v>
      </c>
      <c r="B11296" t="s">
        <v>14731</v>
      </c>
      <c r="C11296" t="s">
        <v>220</v>
      </c>
      <c r="D11296">
        <v>26787134.904132001</v>
      </c>
    </row>
    <row r="11297" spans="1:4" hidden="1" x14ac:dyDescent="0.3">
      <c r="A11297">
        <v>11295</v>
      </c>
      <c r="B11297" s="1" t="s">
        <v>14732</v>
      </c>
      <c r="C11297" t="s">
        <v>222</v>
      </c>
      <c r="D11297" s="1" t="s">
        <v>14733</v>
      </c>
    </row>
    <row r="11298" spans="1:4" hidden="1" x14ac:dyDescent="0.3">
      <c r="A11298">
        <v>11296</v>
      </c>
      <c r="B11298" t="s">
        <v>14734</v>
      </c>
      <c r="C11298" t="s">
        <v>225</v>
      </c>
      <c r="D11298">
        <v>101152869.21129601</v>
      </c>
    </row>
    <row r="11299" spans="1:4" hidden="1" x14ac:dyDescent="0.3">
      <c r="A11299">
        <v>11297</v>
      </c>
      <c r="B11299" t="s">
        <v>14735</v>
      </c>
      <c r="C11299" t="s">
        <v>227</v>
      </c>
      <c r="D11299">
        <v>800.840112522244</v>
      </c>
    </row>
    <row r="11300" spans="1:4" hidden="1" x14ac:dyDescent="0.3">
      <c r="A11300">
        <v>11298</v>
      </c>
      <c r="B11300" s="1" t="s">
        <v>14736</v>
      </c>
      <c r="C11300" t="s">
        <v>229</v>
      </c>
      <c r="D11300" s="1" t="s">
        <v>14737</v>
      </c>
    </row>
    <row r="11301" spans="1:4" hidden="1" x14ac:dyDescent="0.3">
      <c r="A11301">
        <v>11299</v>
      </c>
      <c r="B11301" t="s">
        <v>14738</v>
      </c>
      <c r="C11301" t="s">
        <v>112</v>
      </c>
      <c r="D11301">
        <v>-202.66458986303601</v>
      </c>
    </row>
    <row r="11302" spans="1:4" hidden="1" x14ac:dyDescent="0.3">
      <c r="A11302">
        <v>11300</v>
      </c>
      <c r="B11302" t="s">
        <v>14739</v>
      </c>
      <c r="C11302" t="s">
        <v>114</v>
      </c>
      <c r="D11302">
        <v>-57.793963302615602</v>
      </c>
    </row>
    <row r="11303" spans="1:4" hidden="1" x14ac:dyDescent="0.3">
      <c r="A11303">
        <v>11301</v>
      </c>
      <c r="B11303" s="1" t="s">
        <v>14740</v>
      </c>
      <c r="C11303" t="s">
        <v>116</v>
      </c>
      <c r="D11303" s="1" t="s">
        <v>14741</v>
      </c>
    </row>
    <row r="11304" spans="1:4" hidden="1" x14ac:dyDescent="0.3">
      <c r="A11304">
        <v>11302</v>
      </c>
      <c r="B11304" t="s">
        <v>14742</v>
      </c>
      <c r="C11304" t="s">
        <v>119</v>
      </c>
      <c r="D11304">
        <v>78513255.328004599</v>
      </c>
    </row>
    <row r="11305" spans="1:4" hidden="1" x14ac:dyDescent="0.3">
      <c r="A11305">
        <v>11303</v>
      </c>
      <c r="B11305" t="s">
        <v>14743</v>
      </c>
      <c r="C11305" t="s">
        <v>121</v>
      </c>
      <c r="D11305">
        <v>38686166.485061802</v>
      </c>
    </row>
    <row r="11306" spans="1:4" hidden="1" x14ac:dyDescent="0.3">
      <c r="A11306">
        <v>11304</v>
      </c>
      <c r="B11306" s="1" t="s">
        <v>14744</v>
      </c>
      <c r="C11306" t="s">
        <v>123</v>
      </c>
      <c r="D11306" s="1" t="s">
        <v>14745</v>
      </c>
    </row>
    <row r="11307" spans="1:4" hidden="1" x14ac:dyDescent="0.3">
      <c r="A11307">
        <v>11305</v>
      </c>
      <c r="B11307" t="s">
        <v>14746</v>
      </c>
      <c r="C11307" t="s">
        <v>126</v>
      </c>
      <c r="D11307">
        <v>0.77590718477904497</v>
      </c>
    </row>
    <row r="11308" spans="1:4" hidden="1" x14ac:dyDescent="0.3">
      <c r="A11308">
        <v>11306</v>
      </c>
      <c r="B11308" t="s">
        <v>14747</v>
      </c>
      <c r="C11308" t="s">
        <v>128</v>
      </c>
      <c r="D11308">
        <v>0.38231601023185602</v>
      </c>
    </row>
    <row r="11309" spans="1:4" hidden="1" x14ac:dyDescent="0.3">
      <c r="A11309">
        <v>11307</v>
      </c>
      <c r="B11309" s="1" t="s">
        <v>14748</v>
      </c>
      <c r="C11309" t="s">
        <v>130</v>
      </c>
      <c r="D11309" s="1" t="s">
        <v>14749</v>
      </c>
    </row>
    <row r="11310" spans="1:4" hidden="1" x14ac:dyDescent="0.3">
      <c r="A11310">
        <v>11308</v>
      </c>
      <c r="B11310" s="1" t="s">
        <v>14750</v>
      </c>
      <c r="C11310" t="s">
        <v>4</v>
      </c>
      <c r="D11310" t="s">
        <v>14751</v>
      </c>
    </row>
    <row r="11311" spans="1:4" hidden="1" x14ac:dyDescent="0.3">
      <c r="A11311">
        <v>11309</v>
      </c>
      <c r="B11311" t="s">
        <v>14752</v>
      </c>
      <c r="C11311" t="s">
        <v>7</v>
      </c>
      <c r="D11311">
        <v>1817.94</v>
      </c>
    </row>
    <row r="11312" spans="1:4" hidden="1" x14ac:dyDescent="0.3">
      <c r="A11312">
        <v>11310</v>
      </c>
      <c r="B11312" s="1" t="s">
        <v>14753</v>
      </c>
      <c r="C11312" t="s">
        <v>9</v>
      </c>
      <c r="D11312" s="1" t="s">
        <v>14754</v>
      </c>
    </row>
    <row r="11313" spans="1:4" hidden="1" x14ac:dyDescent="0.3">
      <c r="A11313">
        <v>11311</v>
      </c>
      <c r="B11313" t="s">
        <v>14755</v>
      </c>
      <c r="C11313" t="s">
        <v>14</v>
      </c>
      <c r="D11313">
        <v>95.90625</v>
      </c>
    </row>
    <row r="11314" spans="1:4" hidden="1" x14ac:dyDescent="0.3">
      <c r="A11314">
        <v>11312</v>
      </c>
      <c r="B11314" t="s">
        <v>14756</v>
      </c>
      <c r="C11314" t="s">
        <v>16</v>
      </c>
      <c r="D11314">
        <v>4.36238111543034</v>
      </c>
    </row>
    <row r="11315" spans="1:4" hidden="1" x14ac:dyDescent="0.3">
      <c r="A11315">
        <v>11313</v>
      </c>
      <c r="B11315" s="1" t="s">
        <v>14757</v>
      </c>
      <c r="C11315" t="s">
        <v>140</v>
      </c>
      <c r="D11315" s="1" t="s">
        <v>14758</v>
      </c>
    </row>
    <row r="11316" spans="1:4" hidden="1" x14ac:dyDescent="0.3">
      <c r="A11316">
        <v>11314</v>
      </c>
      <c r="B11316" t="s">
        <v>12350</v>
      </c>
      <c r="C11316" t="s">
        <v>22</v>
      </c>
      <c r="D11316">
        <v>67.150000000000006</v>
      </c>
    </row>
    <row r="11317" spans="1:4" hidden="1" x14ac:dyDescent="0.3">
      <c r="A11317">
        <v>11315</v>
      </c>
      <c r="B11317" t="s">
        <v>14759</v>
      </c>
      <c r="C11317" t="s">
        <v>24</v>
      </c>
      <c r="D11317">
        <v>6.4473049631553803</v>
      </c>
    </row>
    <row r="11318" spans="1:4" hidden="1" x14ac:dyDescent="0.3">
      <c r="A11318">
        <v>11316</v>
      </c>
      <c r="B11318" s="1" t="s">
        <v>14760</v>
      </c>
      <c r="C11318" t="s">
        <v>145</v>
      </c>
      <c r="D11318" s="1" t="s">
        <v>14761</v>
      </c>
    </row>
    <row r="11319" spans="1:4" hidden="1" x14ac:dyDescent="0.3">
      <c r="A11319">
        <v>11317</v>
      </c>
      <c r="B11319" t="s">
        <v>14762</v>
      </c>
      <c r="C11319" t="s">
        <v>35</v>
      </c>
      <c r="D11319">
        <v>-4.8393785407062899E-2</v>
      </c>
    </row>
    <row r="11320" spans="1:4" hidden="1" x14ac:dyDescent="0.3">
      <c r="A11320">
        <v>11318</v>
      </c>
      <c r="B11320" t="s">
        <v>14763</v>
      </c>
      <c r="C11320" t="s">
        <v>149</v>
      </c>
      <c r="D11320">
        <v>0.67051913483182302</v>
      </c>
    </row>
    <row r="11321" spans="1:4" hidden="1" x14ac:dyDescent="0.3">
      <c r="A11321">
        <v>11319</v>
      </c>
      <c r="B11321" s="1" t="s">
        <v>14764</v>
      </c>
      <c r="C11321" t="s">
        <v>151</v>
      </c>
      <c r="D11321" s="1" t="s">
        <v>14765</v>
      </c>
    </row>
    <row r="11322" spans="1:4" hidden="1" x14ac:dyDescent="0.3">
      <c r="A11322">
        <v>11320</v>
      </c>
      <c r="B11322" t="s">
        <v>14766</v>
      </c>
      <c r="C11322" t="s">
        <v>30</v>
      </c>
      <c r="D11322">
        <v>0.41068183102583899</v>
      </c>
    </row>
    <row r="11323" spans="1:4" hidden="1" x14ac:dyDescent="0.3">
      <c r="A11323">
        <v>11321</v>
      </c>
      <c r="B11323" t="s">
        <v>14767</v>
      </c>
      <c r="C11323" t="s">
        <v>32</v>
      </c>
      <c r="D11323">
        <v>0.25785051413895099</v>
      </c>
    </row>
    <row r="11324" spans="1:4" hidden="1" x14ac:dyDescent="0.3">
      <c r="A11324">
        <v>11322</v>
      </c>
      <c r="B11324" s="1" t="s">
        <v>14768</v>
      </c>
      <c r="C11324" t="s">
        <v>155</v>
      </c>
      <c r="D11324" s="1" t="s">
        <v>14769</v>
      </c>
    </row>
    <row r="11325" spans="1:4" hidden="1" x14ac:dyDescent="0.3">
      <c r="A11325">
        <v>11323</v>
      </c>
      <c r="B11325" t="s">
        <v>14770</v>
      </c>
      <c r="C11325" t="s">
        <v>40</v>
      </c>
      <c r="D11325">
        <v>0.63771195438122397</v>
      </c>
    </row>
    <row r="11326" spans="1:4" hidden="1" x14ac:dyDescent="0.3">
      <c r="A11326">
        <v>11324</v>
      </c>
      <c r="B11326" t="s">
        <v>14771</v>
      </c>
      <c r="C11326" t="s">
        <v>42</v>
      </c>
      <c r="D11326">
        <v>0.23353123479624399</v>
      </c>
    </row>
    <row r="11327" spans="1:4" hidden="1" x14ac:dyDescent="0.3">
      <c r="A11327">
        <v>11325</v>
      </c>
      <c r="B11327" s="1" t="s">
        <v>14772</v>
      </c>
      <c r="C11327" t="s">
        <v>159</v>
      </c>
      <c r="D11327" s="1" t="s">
        <v>14773</v>
      </c>
    </row>
    <row r="11328" spans="1:4" hidden="1" x14ac:dyDescent="0.3">
      <c r="A11328">
        <v>11326</v>
      </c>
      <c r="B11328" t="s">
        <v>14774</v>
      </c>
      <c r="C11328" t="s">
        <v>161</v>
      </c>
      <c r="D11328">
        <v>0.99747604990836902</v>
      </c>
    </row>
    <row r="11329" spans="1:4" hidden="1" x14ac:dyDescent="0.3">
      <c r="A11329">
        <v>11327</v>
      </c>
      <c r="B11329" t="s">
        <v>14775</v>
      </c>
      <c r="C11329" t="s">
        <v>163</v>
      </c>
      <c r="D11329">
        <v>0.99699061038677705</v>
      </c>
    </row>
    <row r="11330" spans="1:4" hidden="1" x14ac:dyDescent="0.3">
      <c r="A11330">
        <v>11328</v>
      </c>
      <c r="B11330" s="1" t="s">
        <v>14776</v>
      </c>
      <c r="C11330" t="s">
        <v>165</v>
      </c>
      <c r="D11330" s="1" t="s">
        <v>14777</v>
      </c>
    </row>
    <row r="11331" spans="1:4" hidden="1" x14ac:dyDescent="0.3">
      <c r="A11331">
        <v>11329</v>
      </c>
      <c r="B11331" t="s">
        <v>14778</v>
      </c>
      <c r="C11331" t="s">
        <v>168</v>
      </c>
      <c r="D11331">
        <v>0.997127073306177</v>
      </c>
    </row>
    <row r="11332" spans="1:4" hidden="1" x14ac:dyDescent="0.3">
      <c r="A11332">
        <v>11330</v>
      </c>
      <c r="B11332" t="s">
        <v>14779</v>
      </c>
      <c r="C11332" t="s">
        <v>170</v>
      </c>
      <c r="D11332">
        <v>1.0033274381043999</v>
      </c>
    </row>
    <row r="11333" spans="1:4" hidden="1" x14ac:dyDescent="0.3">
      <c r="A11333">
        <v>11331</v>
      </c>
      <c r="B11333" s="1" t="s">
        <v>14780</v>
      </c>
      <c r="C11333" t="s">
        <v>172</v>
      </c>
      <c r="D11333" s="1" t="s">
        <v>14781</v>
      </c>
    </row>
    <row r="11334" spans="1:4" hidden="1" x14ac:dyDescent="0.3">
      <c r="A11334">
        <v>11332</v>
      </c>
      <c r="B11334" s="1" t="s">
        <v>14782</v>
      </c>
      <c r="C11334" t="s">
        <v>55</v>
      </c>
      <c r="D11334" s="1" t="s">
        <v>14783</v>
      </c>
    </row>
    <row r="11335" spans="1:4" hidden="1" x14ac:dyDescent="0.3">
      <c r="A11335">
        <v>11333</v>
      </c>
      <c r="B11335" s="1" t="s">
        <v>14784</v>
      </c>
      <c r="C11335" t="s">
        <v>52</v>
      </c>
      <c r="D11335" s="1" t="s">
        <v>14785</v>
      </c>
    </row>
    <row r="11336" spans="1:4" hidden="1" x14ac:dyDescent="0.3">
      <c r="A11336">
        <v>11334</v>
      </c>
      <c r="B11336" s="1" t="s">
        <v>14786</v>
      </c>
      <c r="C11336" t="s">
        <v>58</v>
      </c>
      <c r="D11336" s="1" t="s">
        <v>14787</v>
      </c>
    </row>
    <row r="11337" spans="1:4" hidden="1" x14ac:dyDescent="0.3">
      <c r="A11337">
        <v>11335</v>
      </c>
      <c r="B11337" t="s">
        <v>14788</v>
      </c>
      <c r="C11337" t="s">
        <v>61</v>
      </c>
      <c r="D11337">
        <v>143739733.01648101</v>
      </c>
    </row>
    <row r="11338" spans="1:4" hidden="1" x14ac:dyDescent="0.3">
      <c r="A11338">
        <v>11336</v>
      </c>
      <c r="B11338" t="s">
        <v>14789</v>
      </c>
      <c r="C11338" t="s">
        <v>63</v>
      </c>
      <c r="D11338">
        <v>78315091.790025294</v>
      </c>
    </row>
    <row r="11339" spans="1:4" hidden="1" x14ac:dyDescent="0.3">
      <c r="A11339">
        <v>11337</v>
      </c>
      <c r="B11339" t="s">
        <v>14790</v>
      </c>
      <c r="C11339" t="s">
        <v>65</v>
      </c>
      <c r="D11339">
        <v>38569744.737466201</v>
      </c>
    </row>
    <row r="11340" spans="1:4" hidden="1" x14ac:dyDescent="0.3">
      <c r="A11340">
        <v>11338</v>
      </c>
      <c r="B11340" s="1" t="s">
        <v>14791</v>
      </c>
      <c r="C11340" t="s">
        <v>67</v>
      </c>
      <c r="D11340" s="1" t="s">
        <v>14792</v>
      </c>
    </row>
    <row r="11341" spans="1:4" hidden="1" x14ac:dyDescent="0.3">
      <c r="A11341">
        <v>11339</v>
      </c>
      <c r="B11341" s="1" t="s">
        <v>14793</v>
      </c>
      <c r="C11341" t="s">
        <v>70</v>
      </c>
      <c r="D11341" s="1" t="s">
        <v>14794</v>
      </c>
    </row>
    <row r="11342" spans="1:4" hidden="1" x14ac:dyDescent="0.3">
      <c r="A11342">
        <v>11340</v>
      </c>
      <c r="B11342" t="s">
        <v>14795</v>
      </c>
      <c r="C11342" t="s">
        <v>73</v>
      </c>
      <c r="D11342">
        <v>1.0003569759952899</v>
      </c>
    </row>
    <row r="11343" spans="1:4" hidden="1" x14ac:dyDescent="0.3">
      <c r="A11343">
        <v>11341</v>
      </c>
      <c r="B11343" t="s">
        <v>74</v>
      </c>
      <c r="C11343" t="s">
        <v>75</v>
      </c>
      <c r="D11343">
        <v>2.7397260273972599E-3</v>
      </c>
    </row>
    <row r="11344" spans="1:4" hidden="1" x14ac:dyDescent="0.3">
      <c r="A11344">
        <v>11342</v>
      </c>
      <c r="B11344" t="s">
        <v>76</v>
      </c>
      <c r="C11344" t="s">
        <v>77</v>
      </c>
      <c r="D11344">
        <v>0</v>
      </c>
    </row>
    <row r="11345" spans="1:4" hidden="1" x14ac:dyDescent="0.3">
      <c r="A11345">
        <v>11343</v>
      </c>
      <c r="B11345" t="s">
        <v>78</v>
      </c>
      <c r="C11345" t="s">
        <v>79</v>
      </c>
      <c r="D11345">
        <v>0</v>
      </c>
    </row>
    <row r="11346" spans="1:4" hidden="1" x14ac:dyDescent="0.3">
      <c r="A11346">
        <v>11344</v>
      </c>
      <c r="B11346" s="1" t="s">
        <v>14796</v>
      </c>
      <c r="C11346" t="s">
        <v>81</v>
      </c>
      <c r="D11346" s="1" t="s">
        <v>14797</v>
      </c>
    </row>
    <row r="11347" spans="1:4" hidden="1" x14ac:dyDescent="0.3">
      <c r="A11347">
        <v>11345</v>
      </c>
      <c r="B11347" t="s">
        <v>14798</v>
      </c>
      <c r="C11347" t="s">
        <v>84</v>
      </c>
      <c r="D11347">
        <v>1.00038598013374</v>
      </c>
    </row>
    <row r="11348" spans="1:4" hidden="1" x14ac:dyDescent="0.3">
      <c r="A11348">
        <v>11346</v>
      </c>
      <c r="B11348" s="1" t="s">
        <v>14799</v>
      </c>
      <c r="C11348" t="s">
        <v>86</v>
      </c>
      <c r="D11348" s="1" t="s">
        <v>14800</v>
      </c>
    </row>
    <row r="11349" spans="1:4" hidden="1" x14ac:dyDescent="0.3">
      <c r="A11349">
        <v>11347</v>
      </c>
      <c r="B11349" t="s">
        <v>14801</v>
      </c>
      <c r="C11349" t="s">
        <v>89</v>
      </c>
      <c r="D11349">
        <v>101150737.308338</v>
      </c>
    </row>
    <row r="11350" spans="1:4" hidden="1" x14ac:dyDescent="0.3">
      <c r="A11350">
        <v>11348</v>
      </c>
      <c r="B11350" s="1" t="s">
        <v>14802</v>
      </c>
      <c r="C11350" t="s">
        <v>91</v>
      </c>
      <c r="D11350" s="1" t="s">
        <v>14737</v>
      </c>
    </row>
    <row r="11351" spans="1:4" hidden="1" x14ac:dyDescent="0.3">
      <c r="A11351">
        <v>11349</v>
      </c>
      <c r="B11351" t="s">
        <v>14803</v>
      </c>
      <c r="C11351" t="s">
        <v>94</v>
      </c>
      <c r="D11351">
        <v>78315091.790025294</v>
      </c>
    </row>
    <row r="11352" spans="1:4" hidden="1" x14ac:dyDescent="0.3">
      <c r="A11352">
        <v>11350</v>
      </c>
      <c r="B11352" t="s">
        <v>14804</v>
      </c>
      <c r="C11352" t="s">
        <v>96</v>
      </c>
      <c r="D11352">
        <v>38569744.737466201</v>
      </c>
    </row>
    <row r="11353" spans="1:4" hidden="1" x14ac:dyDescent="0.3">
      <c r="A11353">
        <v>11351</v>
      </c>
      <c r="B11353" t="s">
        <v>14805</v>
      </c>
      <c r="C11353" t="s">
        <v>98</v>
      </c>
      <c r="D11353">
        <v>26854896.488989301</v>
      </c>
    </row>
    <row r="11354" spans="1:4" hidden="1" x14ac:dyDescent="0.3">
      <c r="A11354">
        <v>11352</v>
      </c>
      <c r="B11354" s="1" t="s">
        <v>14806</v>
      </c>
      <c r="C11354" t="s">
        <v>100</v>
      </c>
      <c r="D11354" s="1" t="s">
        <v>14807</v>
      </c>
    </row>
    <row r="11355" spans="1:4" hidden="1" x14ac:dyDescent="0.3">
      <c r="A11355">
        <v>11353</v>
      </c>
      <c r="B11355" t="s">
        <v>14808</v>
      </c>
      <c r="C11355" t="s">
        <v>103</v>
      </c>
      <c r="D11355">
        <v>7.5716566899918097E-3</v>
      </c>
    </row>
    <row r="11356" spans="1:4" hidden="1" x14ac:dyDescent="0.3">
      <c r="A11356">
        <v>11354</v>
      </c>
      <c r="B11356" t="s">
        <v>14809</v>
      </c>
      <c r="C11356" t="s">
        <v>105</v>
      </c>
      <c r="D11356">
        <v>1.6943694320369399E-3</v>
      </c>
    </row>
    <row r="11357" spans="1:4" hidden="1" x14ac:dyDescent="0.3">
      <c r="A11357">
        <v>11355</v>
      </c>
      <c r="B11357" t="s">
        <v>14810</v>
      </c>
      <c r="C11357" t="s">
        <v>107</v>
      </c>
      <c r="D11357">
        <v>9.9795182042396492E-3</v>
      </c>
    </row>
    <row r="11358" spans="1:4" hidden="1" x14ac:dyDescent="0.3">
      <c r="A11358">
        <v>11356</v>
      </c>
      <c r="B11358" s="1" t="s">
        <v>14811</v>
      </c>
      <c r="C11358" t="s">
        <v>109</v>
      </c>
      <c r="D11358" s="1" t="s">
        <v>14812</v>
      </c>
    </row>
    <row r="11359" spans="1:4" x14ac:dyDescent="0.3">
      <c r="A11359">
        <v>11357</v>
      </c>
      <c r="B11359" t="s">
        <v>14813</v>
      </c>
      <c r="C11359" t="s">
        <v>207</v>
      </c>
      <c r="D11359">
        <v>143740754.58376899</v>
      </c>
    </row>
    <row r="11360" spans="1:4" hidden="1" x14ac:dyDescent="0.3">
      <c r="A11360">
        <v>11358</v>
      </c>
      <c r="B11360" t="s">
        <v>14814</v>
      </c>
      <c r="C11360" t="s">
        <v>209</v>
      </c>
      <c r="D11360">
        <v>-2270.6727035551498</v>
      </c>
    </row>
    <row r="11361" spans="1:4" hidden="1" x14ac:dyDescent="0.3">
      <c r="A11361">
        <v>11359</v>
      </c>
      <c r="B11361" t="s">
        <v>14815</v>
      </c>
      <c r="C11361" t="s">
        <v>211</v>
      </c>
      <c r="D11361">
        <v>-1118.28913051836</v>
      </c>
    </row>
    <row r="11362" spans="1:4" hidden="1" x14ac:dyDescent="0.3">
      <c r="A11362">
        <v>11360</v>
      </c>
      <c r="B11362" s="1" t="s">
        <v>14816</v>
      </c>
      <c r="C11362" t="s">
        <v>213</v>
      </c>
      <c r="D11362" s="1" t="s">
        <v>14817</v>
      </c>
    </row>
    <row r="11363" spans="1:4" hidden="1" x14ac:dyDescent="0.3">
      <c r="A11363">
        <v>11361</v>
      </c>
      <c r="B11363" t="s">
        <v>14818</v>
      </c>
      <c r="C11363" t="s">
        <v>216</v>
      </c>
      <c r="D11363">
        <v>78318104.234633893</v>
      </c>
    </row>
    <row r="11364" spans="1:4" hidden="1" x14ac:dyDescent="0.3">
      <c r="A11364">
        <v>11362</v>
      </c>
      <c r="B11364" t="s">
        <v>14819</v>
      </c>
      <c r="C11364" t="s">
        <v>218</v>
      </c>
      <c r="D11364">
        <v>38571073.916231401</v>
      </c>
    </row>
    <row r="11365" spans="1:4" hidden="1" x14ac:dyDescent="0.3">
      <c r="A11365">
        <v>11363</v>
      </c>
      <c r="B11365" t="s">
        <v>14820</v>
      </c>
      <c r="C11365" t="s">
        <v>220</v>
      </c>
      <c r="D11365">
        <v>26855744.021921299</v>
      </c>
    </row>
    <row r="11366" spans="1:4" hidden="1" x14ac:dyDescent="0.3">
      <c r="A11366">
        <v>11364</v>
      </c>
      <c r="B11366" s="1" t="s">
        <v>14821</v>
      </c>
      <c r="C11366" t="s">
        <v>222</v>
      </c>
      <c r="D11366" s="1" t="s">
        <v>14822</v>
      </c>
    </row>
    <row r="11367" spans="1:4" hidden="1" x14ac:dyDescent="0.3">
      <c r="A11367">
        <v>11365</v>
      </c>
      <c r="B11367" t="s">
        <v>14823</v>
      </c>
      <c r="C11367" t="s">
        <v>225</v>
      </c>
      <c r="D11367">
        <v>101153670.05140799</v>
      </c>
    </row>
    <row r="11368" spans="1:4" hidden="1" x14ac:dyDescent="0.3">
      <c r="A11368">
        <v>11366</v>
      </c>
      <c r="B11368" t="s">
        <v>14824</v>
      </c>
      <c r="C11368" t="s">
        <v>227</v>
      </c>
      <c r="D11368">
        <v>-2932.7430700063701</v>
      </c>
    </row>
    <row r="11369" spans="1:4" hidden="1" x14ac:dyDescent="0.3">
      <c r="A11369">
        <v>11367</v>
      </c>
      <c r="B11369" s="1" t="s">
        <v>14825</v>
      </c>
      <c r="C11369" t="s">
        <v>229</v>
      </c>
      <c r="D11369" s="1" t="s">
        <v>14826</v>
      </c>
    </row>
    <row r="11370" spans="1:4" hidden="1" x14ac:dyDescent="0.3">
      <c r="A11370">
        <v>11368</v>
      </c>
      <c r="B11370" t="s">
        <v>14827</v>
      </c>
      <c r="C11370" t="s">
        <v>112</v>
      </c>
      <c r="D11370">
        <v>741.77190502744395</v>
      </c>
    </row>
    <row r="11371" spans="1:4" hidden="1" x14ac:dyDescent="0.3">
      <c r="A11371">
        <v>11369</v>
      </c>
      <c r="B11371" t="s">
        <v>14828</v>
      </c>
      <c r="C11371" t="s">
        <v>114</v>
      </c>
      <c r="D11371">
        <v>210.88963466591699</v>
      </c>
    </row>
    <row r="11372" spans="1:4" hidden="1" x14ac:dyDescent="0.3">
      <c r="A11372">
        <v>11370</v>
      </c>
      <c r="B11372" s="1" t="s">
        <v>14829</v>
      </c>
      <c r="C11372" t="s">
        <v>116</v>
      </c>
      <c r="D11372" s="1" t="s">
        <v>14830</v>
      </c>
    </row>
    <row r="11373" spans="1:4" hidden="1" x14ac:dyDescent="0.3">
      <c r="A11373">
        <v>11371</v>
      </c>
      <c r="B11373" t="s">
        <v>14831</v>
      </c>
      <c r="C11373" t="s">
        <v>119</v>
      </c>
      <c r="D11373">
        <v>78318104.234633893</v>
      </c>
    </row>
    <row r="11374" spans="1:4" hidden="1" x14ac:dyDescent="0.3">
      <c r="A11374">
        <v>11372</v>
      </c>
      <c r="B11374" t="s">
        <v>14832</v>
      </c>
      <c r="C11374" t="s">
        <v>121</v>
      </c>
      <c r="D11374">
        <v>38571073.916231401</v>
      </c>
    </row>
    <row r="11375" spans="1:4" hidden="1" x14ac:dyDescent="0.3">
      <c r="A11375">
        <v>11373</v>
      </c>
      <c r="B11375" s="1" t="s">
        <v>14833</v>
      </c>
      <c r="C11375" t="s">
        <v>123</v>
      </c>
      <c r="D11375" s="1" t="s">
        <v>14834</v>
      </c>
    </row>
    <row r="11376" spans="1:4" hidden="1" x14ac:dyDescent="0.3">
      <c r="A11376">
        <v>11374</v>
      </c>
      <c r="B11376" t="s">
        <v>14835</v>
      </c>
      <c r="C11376" t="s">
        <v>126</v>
      </c>
      <c r="D11376">
        <v>0.77395003686846198</v>
      </c>
    </row>
    <row r="11377" spans="1:4" hidden="1" x14ac:dyDescent="0.3">
      <c r="A11377">
        <v>11375</v>
      </c>
      <c r="B11377" t="s">
        <v>14836</v>
      </c>
      <c r="C11377" t="s">
        <v>128</v>
      </c>
      <c r="D11377">
        <v>0.381164538790282</v>
      </c>
    </row>
    <row r="11378" spans="1:4" hidden="1" x14ac:dyDescent="0.3">
      <c r="A11378">
        <v>11376</v>
      </c>
      <c r="B11378" s="1" t="s">
        <v>14837</v>
      </c>
      <c r="C11378" t="s">
        <v>130</v>
      </c>
      <c r="D11378" s="1" t="s">
        <v>14838</v>
      </c>
    </row>
    <row r="11379" spans="1:4" hidden="1" x14ac:dyDescent="0.3">
      <c r="A11379">
        <v>11377</v>
      </c>
      <c r="B11379" s="1" t="s">
        <v>14839</v>
      </c>
      <c r="C11379" t="s">
        <v>4</v>
      </c>
      <c r="D11379" t="s">
        <v>14840</v>
      </c>
    </row>
    <row r="11380" spans="1:4" hidden="1" x14ac:dyDescent="0.3">
      <c r="A11380">
        <v>11378</v>
      </c>
      <c r="B11380" t="s">
        <v>14841</v>
      </c>
      <c r="C11380" t="s">
        <v>7</v>
      </c>
      <c r="D11380">
        <v>1813.74</v>
      </c>
    </row>
    <row r="11381" spans="1:4" hidden="1" x14ac:dyDescent="0.3">
      <c r="A11381">
        <v>11379</v>
      </c>
      <c r="B11381" s="1" t="s">
        <v>14842</v>
      </c>
      <c r="C11381" t="s">
        <v>9</v>
      </c>
      <c r="D11381" s="1" t="s">
        <v>14843</v>
      </c>
    </row>
    <row r="11382" spans="1:4" hidden="1" x14ac:dyDescent="0.3">
      <c r="A11382">
        <v>11380</v>
      </c>
      <c r="B11382" t="s">
        <v>14844</v>
      </c>
      <c r="C11382" t="s">
        <v>14</v>
      </c>
      <c r="D11382">
        <v>95.53515625</v>
      </c>
    </row>
    <row r="11383" spans="1:4" hidden="1" x14ac:dyDescent="0.3">
      <c r="A11383">
        <v>11381</v>
      </c>
      <c r="B11383" t="s">
        <v>14845</v>
      </c>
      <c r="C11383" t="s">
        <v>16</v>
      </c>
      <c r="D11383">
        <v>4.3559761224540301</v>
      </c>
    </row>
    <row r="11384" spans="1:4" hidden="1" x14ac:dyDescent="0.3">
      <c r="A11384">
        <v>11382</v>
      </c>
      <c r="B11384" s="1" t="s">
        <v>14846</v>
      </c>
      <c r="C11384" t="s">
        <v>140</v>
      </c>
      <c r="D11384" s="1" t="s">
        <v>14847</v>
      </c>
    </row>
    <row r="11385" spans="1:4" hidden="1" x14ac:dyDescent="0.3">
      <c r="A11385">
        <v>11383</v>
      </c>
      <c r="B11385" t="s">
        <v>7870</v>
      </c>
      <c r="C11385" t="s">
        <v>22</v>
      </c>
      <c r="D11385">
        <v>66.95</v>
      </c>
    </row>
    <row r="11386" spans="1:4" hidden="1" x14ac:dyDescent="0.3">
      <c r="A11386">
        <v>11384</v>
      </c>
      <c r="B11386" t="s">
        <v>14848</v>
      </c>
      <c r="C11386" t="s">
        <v>24</v>
      </c>
      <c r="D11386">
        <v>6.3920240982588501</v>
      </c>
    </row>
    <row r="11387" spans="1:4" hidden="1" x14ac:dyDescent="0.3">
      <c r="A11387">
        <v>11385</v>
      </c>
      <c r="B11387" s="1" t="s">
        <v>14849</v>
      </c>
      <c r="C11387" t="s">
        <v>145</v>
      </c>
      <c r="D11387" s="1" t="s">
        <v>14850</v>
      </c>
    </row>
    <row r="11388" spans="1:4" hidden="1" x14ac:dyDescent="0.3">
      <c r="A11388">
        <v>11386</v>
      </c>
      <c r="B11388" t="s">
        <v>14851</v>
      </c>
      <c r="C11388" t="s">
        <v>35</v>
      </c>
      <c r="D11388">
        <v>0.24683170045043001</v>
      </c>
    </row>
    <row r="11389" spans="1:4" hidden="1" x14ac:dyDescent="0.3">
      <c r="A11389">
        <v>11387</v>
      </c>
      <c r="B11389" t="s">
        <v>14852</v>
      </c>
      <c r="C11389" t="s">
        <v>149</v>
      </c>
      <c r="D11389">
        <v>0.66409837857554699</v>
      </c>
    </row>
    <row r="11390" spans="1:4" hidden="1" x14ac:dyDescent="0.3">
      <c r="A11390">
        <v>11388</v>
      </c>
      <c r="B11390" s="1" t="s">
        <v>14853</v>
      </c>
      <c r="C11390" t="s">
        <v>151</v>
      </c>
      <c r="D11390" s="1" t="s">
        <v>14854</v>
      </c>
    </row>
    <row r="11391" spans="1:4" hidden="1" x14ac:dyDescent="0.3">
      <c r="A11391">
        <v>11389</v>
      </c>
      <c r="B11391" t="s">
        <v>14855</v>
      </c>
      <c r="C11391" t="s">
        <v>30</v>
      </c>
      <c r="D11391">
        <v>0.29934146147954199</v>
      </c>
    </row>
    <row r="11392" spans="1:4" hidden="1" x14ac:dyDescent="0.3">
      <c r="A11392">
        <v>11390</v>
      </c>
      <c r="B11392" t="s">
        <v>14856</v>
      </c>
      <c r="C11392" t="s">
        <v>32</v>
      </c>
      <c r="D11392">
        <v>0.26410803827274598</v>
      </c>
    </row>
    <row r="11393" spans="1:4" hidden="1" x14ac:dyDescent="0.3">
      <c r="A11393">
        <v>11391</v>
      </c>
      <c r="B11393" s="1" t="s">
        <v>14857</v>
      </c>
      <c r="C11393" t="s">
        <v>155</v>
      </c>
      <c r="D11393" s="1" t="s">
        <v>14858</v>
      </c>
    </row>
    <row r="11394" spans="1:4" hidden="1" x14ac:dyDescent="0.3">
      <c r="A11394">
        <v>11392</v>
      </c>
      <c r="B11394" t="s">
        <v>14859</v>
      </c>
      <c r="C11394" t="s">
        <v>40</v>
      </c>
      <c r="D11394">
        <v>0.453826838070026</v>
      </c>
    </row>
    <row r="11395" spans="1:4" hidden="1" x14ac:dyDescent="0.3">
      <c r="A11395">
        <v>11393</v>
      </c>
      <c r="B11395" t="s">
        <v>14860</v>
      </c>
      <c r="C11395" t="s">
        <v>42</v>
      </c>
      <c r="D11395">
        <v>0.24169295787626</v>
      </c>
    </row>
    <row r="11396" spans="1:4" hidden="1" x14ac:dyDescent="0.3">
      <c r="A11396">
        <v>11394</v>
      </c>
      <c r="B11396" s="1" t="s">
        <v>14861</v>
      </c>
      <c r="C11396" t="s">
        <v>159</v>
      </c>
      <c r="D11396" s="1" t="s">
        <v>14862</v>
      </c>
    </row>
    <row r="11397" spans="1:4" hidden="1" x14ac:dyDescent="0.3">
      <c r="A11397">
        <v>11395</v>
      </c>
      <c r="B11397" t="s">
        <v>14863</v>
      </c>
      <c r="C11397" t="s">
        <v>161</v>
      </c>
      <c r="D11397">
        <v>0.99768969272913299</v>
      </c>
    </row>
    <row r="11398" spans="1:4" hidden="1" x14ac:dyDescent="0.3">
      <c r="A11398">
        <v>11396</v>
      </c>
      <c r="B11398" t="s">
        <v>14864</v>
      </c>
      <c r="C11398" t="s">
        <v>163</v>
      </c>
      <c r="D11398">
        <v>0.99623512619273902</v>
      </c>
    </row>
    <row r="11399" spans="1:4" hidden="1" x14ac:dyDescent="0.3">
      <c r="A11399">
        <v>11397</v>
      </c>
      <c r="B11399" s="1" t="s">
        <v>14865</v>
      </c>
      <c r="C11399" t="s">
        <v>165</v>
      </c>
      <c r="D11399" s="1" t="s">
        <v>14866</v>
      </c>
    </row>
    <row r="11400" spans="1:4" hidden="1" x14ac:dyDescent="0.3">
      <c r="A11400">
        <v>11398</v>
      </c>
      <c r="B11400" t="s">
        <v>14867</v>
      </c>
      <c r="C11400" t="s">
        <v>168</v>
      </c>
      <c r="D11400">
        <v>0.99615643058352499</v>
      </c>
    </row>
    <row r="11401" spans="1:4" hidden="1" x14ac:dyDescent="0.3">
      <c r="A11401">
        <v>11399</v>
      </c>
      <c r="B11401" t="s">
        <v>14868</v>
      </c>
      <c r="C11401" t="s">
        <v>170</v>
      </c>
      <c r="D11401">
        <v>1.0049747756696401</v>
      </c>
    </row>
    <row r="11402" spans="1:4" hidden="1" x14ac:dyDescent="0.3">
      <c r="A11402">
        <v>11400</v>
      </c>
      <c r="B11402" s="1" t="s">
        <v>14869</v>
      </c>
      <c r="C11402" t="s">
        <v>172</v>
      </c>
      <c r="D11402" s="1" t="s">
        <v>14870</v>
      </c>
    </row>
    <row r="11403" spans="1:4" hidden="1" x14ac:dyDescent="0.3">
      <c r="A11403">
        <v>11401</v>
      </c>
      <c r="B11403" s="1" t="s">
        <v>14871</v>
      </c>
      <c r="C11403" t="s">
        <v>55</v>
      </c>
      <c r="D11403" s="1" t="s">
        <v>14872</v>
      </c>
    </row>
    <row r="11404" spans="1:4" hidden="1" x14ac:dyDescent="0.3">
      <c r="A11404">
        <v>11402</v>
      </c>
      <c r="B11404" s="1" t="s">
        <v>14873</v>
      </c>
      <c r="C11404" t="s">
        <v>52</v>
      </c>
      <c r="D11404" s="1" t="s">
        <v>14874</v>
      </c>
    </row>
    <row r="11405" spans="1:4" hidden="1" x14ac:dyDescent="0.3">
      <c r="A11405">
        <v>11403</v>
      </c>
      <c r="B11405" s="1" t="s">
        <v>14875</v>
      </c>
      <c r="C11405" t="s">
        <v>58</v>
      </c>
      <c r="D11405" s="1" t="s">
        <v>14876</v>
      </c>
    </row>
    <row r="11406" spans="1:4" hidden="1" x14ac:dyDescent="0.3">
      <c r="A11406">
        <v>11404</v>
      </c>
      <c r="B11406" t="s">
        <v>14877</v>
      </c>
      <c r="C11406" t="s">
        <v>61</v>
      </c>
      <c r="D11406">
        <v>143325615.77032799</v>
      </c>
    </row>
    <row r="11407" spans="1:4" hidden="1" x14ac:dyDescent="0.3">
      <c r="A11407">
        <v>11405</v>
      </c>
      <c r="B11407" t="s">
        <v>14878</v>
      </c>
      <c r="C11407" t="s">
        <v>63</v>
      </c>
      <c r="D11407">
        <v>78137165.348980099</v>
      </c>
    </row>
    <row r="11408" spans="1:4" hidden="1" x14ac:dyDescent="0.3">
      <c r="A11408">
        <v>11406</v>
      </c>
      <c r="B11408" t="s">
        <v>14879</v>
      </c>
      <c r="C11408" t="s">
        <v>65</v>
      </c>
      <c r="D11408">
        <v>38425858.690326303</v>
      </c>
    </row>
    <row r="11409" spans="1:4" hidden="1" x14ac:dyDescent="0.3">
      <c r="A11409">
        <v>11407</v>
      </c>
      <c r="B11409" s="1" t="s">
        <v>14880</v>
      </c>
      <c r="C11409" t="s">
        <v>67</v>
      </c>
      <c r="D11409" s="1" t="s">
        <v>14881</v>
      </c>
    </row>
    <row r="11410" spans="1:4" hidden="1" x14ac:dyDescent="0.3">
      <c r="A11410">
        <v>11408</v>
      </c>
      <c r="B11410" s="1" t="s">
        <v>14882</v>
      </c>
      <c r="C11410" t="s">
        <v>70</v>
      </c>
      <c r="D11410" s="1" t="s">
        <v>14883</v>
      </c>
    </row>
    <row r="11411" spans="1:4" hidden="1" x14ac:dyDescent="0.3">
      <c r="A11411">
        <v>11409</v>
      </c>
      <c r="B11411" t="s">
        <v>14884</v>
      </c>
      <c r="C11411" t="s">
        <v>73</v>
      </c>
      <c r="D11411">
        <v>1.00038598013374</v>
      </c>
    </row>
    <row r="11412" spans="1:4" hidden="1" x14ac:dyDescent="0.3">
      <c r="A11412">
        <v>11410</v>
      </c>
      <c r="B11412" t="s">
        <v>74</v>
      </c>
      <c r="C11412" t="s">
        <v>75</v>
      </c>
      <c r="D11412">
        <v>2.7397260273972599E-3</v>
      </c>
    </row>
    <row r="11413" spans="1:4" hidden="1" x14ac:dyDescent="0.3">
      <c r="A11413">
        <v>11411</v>
      </c>
      <c r="B11413" t="s">
        <v>76</v>
      </c>
      <c r="C11413" t="s">
        <v>77</v>
      </c>
      <c r="D11413">
        <v>0</v>
      </c>
    </row>
    <row r="11414" spans="1:4" hidden="1" x14ac:dyDescent="0.3">
      <c r="A11414">
        <v>11412</v>
      </c>
      <c r="B11414" t="s">
        <v>1459</v>
      </c>
      <c r="C11414" t="s">
        <v>79</v>
      </c>
      <c r="D11414" s="2">
        <v>-2.2204460492503101E-16</v>
      </c>
    </row>
    <row r="11415" spans="1:4" hidden="1" x14ac:dyDescent="0.3">
      <c r="A11415">
        <v>11413</v>
      </c>
      <c r="B11415" s="1" t="s">
        <v>14885</v>
      </c>
      <c r="C11415" t="s">
        <v>81</v>
      </c>
      <c r="D11415" s="1" t="s">
        <v>14886</v>
      </c>
    </row>
    <row r="11416" spans="1:4" hidden="1" x14ac:dyDescent="0.3">
      <c r="A11416">
        <v>11414</v>
      </c>
      <c r="B11416" t="s">
        <v>14887</v>
      </c>
      <c r="C11416" t="s">
        <v>84</v>
      </c>
      <c r="D11416">
        <v>1.00041075816462</v>
      </c>
    </row>
    <row r="11417" spans="1:4" hidden="1" x14ac:dyDescent="0.3">
      <c r="A11417">
        <v>11415</v>
      </c>
      <c r="B11417" s="1" t="s">
        <v>14888</v>
      </c>
      <c r="C11417" t="s">
        <v>86</v>
      </c>
      <c r="D11417" s="1" t="s">
        <v>14889</v>
      </c>
    </row>
    <row r="11418" spans="1:4" hidden="1" x14ac:dyDescent="0.3">
      <c r="A11418">
        <v>11416</v>
      </c>
      <c r="B11418" t="s">
        <v>14890</v>
      </c>
      <c r="C11418" t="s">
        <v>89</v>
      </c>
      <c r="D11418">
        <v>101148232.021312</v>
      </c>
    </row>
    <row r="11419" spans="1:4" hidden="1" x14ac:dyDescent="0.3">
      <c r="A11419">
        <v>11417</v>
      </c>
      <c r="B11419" s="1" t="s">
        <v>14891</v>
      </c>
      <c r="C11419" t="s">
        <v>91</v>
      </c>
      <c r="D11419" s="1" t="s">
        <v>14826</v>
      </c>
    </row>
    <row r="11420" spans="1:4" hidden="1" x14ac:dyDescent="0.3">
      <c r="A11420">
        <v>11418</v>
      </c>
      <c r="B11420" t="s">
        <v>14892</v>
      </c>
      <c r="C11420" t="s">
        <v>94</v>
      </c>
      <c r="D11420">
        <v>78137165.348980099</v>
      </c>
    </row>
    <row r="11421" spans="1:4" hidden="1" x14ac:dyDescent="0.3">
      <c r="A11421">
        <v>11419</v>
      </c>
      <c r="B11421" t="s">
        <v>14893</v>
      </c>
      <c r="C11421" t="s">
        <v>96</v>
      </c>
      <c r="D11421">
        <v>38425858.690326303</v>
      </c>
    </row>
    <row r="11422" spans="1:4" hidden="1" x14ac:dyDescent="0.3">
      <c r="A11422">
        <v>11420</v>
      </c>
      <c r="B11422" t="s">
        <v>14894</v>
      </c>
      <c r="C11422" t="s">
        <v>98</v>
      </c>
      <c r="D11422">
        <v>26762591.731021699</v>
      </c>
    </row>
    <row r="11423" spans="1:4" hidden="1" x14ac:dyDescent="0.3">
      <c r="A11423">
        <v>11421</v>
      </c>
      <c r="B11423" s="1" t="s">
        <v>14895</v>
      </c>
      <c r="C11423" t="s">
        <v>100</v>
      </c>
      <c r="D11423" s="1" t="s">
        <v>14896</v>
      </c>
    </row>
    <row r="11424" spans="1:4" hidden="1" x14ac:dyDescent="0.3">
      <c r="A11424">
        <v>11422</v>
      </c>
      <c r="B11424" t="s">
        <v>14897</v>
      </c>
      <c r="C11424" t="s">
        <v>103</v>
      </c>
      <c r="D11424">
        <v>7.5761471302640201E-3</v>
      </c>
    </row>
    <row r="11425" spans="1:4" hidden="1" x14ac:dyDescent="0.3">
      <c r="A11425">
        <v>11423</v>
      </c>
      <c r="B11425" t="s">
        <v>14898</v>
      </c>
      <c r="C11425" t="s">
        <v>105</v>
      </c>
      <c r="D11425">
        <v>1.7317915540807E-3</v>
      </c>
    </row>
    <row r="11426" spans="1:4" hidden="1" x14ac:dyDescent="0.3">
      <c r="A11426">
        <v>11424</v>
      </c>
      <c r="B11426" t="s">
        <v>14899</v>
      </c>
      <c r="C11426" t="s">
        <v>107</v>
      </c>
      <c r="D11426">
        <v>9.9818043570273508E-3</v>
      </c>
    </row>
    <row r="11427" spans="1:4" hidden="1" x14ac:dyDescent="0.3">
      <c r="A11427">
        <v>11425</v>
      </c>
      <c r="B11427" s="1" t="s">
        <v>14900</v>
      </c>
      <c r="C11427" t="s">
        <v>109</v>
      </c>
      <c r="D11427" s="1" t="s">
        <v>14901</v>
      </c>
    </row>
    <row r="11428" spans="1:4" x14ac:dyDescent="0.3">
      <c r="A11428">
        <v>11426</v>
      </c>
      <c r="B11428" t="s">
        <v>14902</v>
      </c>
      <c r="C11428" t="s">
        <v>207</v>
      </c>
      <c r="D11428">
        <v>143326488.27994701</v>
      </c>
    </row>
    <row r="11429" spans="1:4" hidden="1" x14ac:dyDescent="0.3">
      <c r="A11429">
        <v>11427</v>
      </c>
      <c r="B11429" t="s">
        <v>14903</v>
      </c>
      <c r="C11429" t="s">
        <v>209</v>
      </c>
      <c r="D11429">
        <v>-1935.3532580967301</v>
      </c>
    </row>
    <row r="11430" spans="1:4" hidden="1" x14ac:dyDescent="0.3">
      <c r="A11430">
        <v>11428</v>
      </c>
      <c r="B11430" t="s">
        <v>14904</v>
      </c>
      <c r="C11430" t="s">
        <v>211</v>
      </c>
      <c r="D11430">
        <v>-951.75420447219301</v>
      </c>
    </row>
    <row r="11431" spans="1:4" hidden="1" x14ac:dyDescent="0.3">
      <c r="A11431">
        <v>11429</v>
      </c>
      <c r="B11431" s="1" t="s">
        <v>14905</v>
      </c>
      <c r="C11431" t="s">
        <v>213</v>
      </c>
      <c r="D11431" s="1" t="s">
        <v>14906</v>
      </c>
    </row>
    <row r="11432" spans="1:4" hidden="1" x14ac:dyDescent="0.3">
      <c r="A11432">
        <v>11430</v>
      </c>
      <c r="B11432" t="s">
        <v>14907</v>
      </c>
      <c r="C11432" t="s">
        <v>216</v>
      </c>
      <c r="D11432">
        <v>78139712.920677394</v>
      </c>
    </row>
    <row r="11433" spans="1:4" hidden="1" x14ac:dyDescent="0.3">
      <c r="A11433">
        <v>11431</v>
      </c>
      <c r="B11433" t="s">
        <v>14908</v>
      </c>
      <c r="C11433" t="s">
        <v>218</v>
      </c>
      <c r="D11433">
        <v>38426990.0067968</v>
      </c>
    </row>
    <row r="11434" spans="1:4" hidden="1" x14ac:dyDescent="0.3">
      <c r="A11434">
        <v>11432</v>
      </c>
      <c r="B11434" t="s">
        <v>14909</v>
      </c>
      <c r="C11434" t="s">
        <v>220</v>
      </c>
      <c r="D11434">
        <v>26763335.330405802</v>
      </c>
    </row>
    <row r="11435" spans="1:4" hidden="1" x14ac:dyDescent="0.3">
      <c r="A11435">
        <v>11433</v>
      </c>
      <c r="B11435" s="1" t="s">
        <v>14910</v>
      </c>
      <c r="C11435" t="s">
        <v>222</v>
      </c>
      <c r="D11435" s="1" t="s">
        <v>14911</v>
      </c>
    </row>
    <row r="11436" spans="1:4" hidden="1" x14ac:dyDescent="0.3">
      <c r="A11436">
        <v>11434</v>
      </c>
      <c r="B11436" t="s">
        <v>14912</v>
      </c>
      <c r="C11436" t="s">
        <v>225</v>
      </c>
      <c r="D11436">
        <v>101150737.308338</v>
      </c>
    </row>
    <row r="11437" spans="1:4" hidden="1" x14ac:dyDescent="0.3">
      <c r="A11437">
        <v>11435</v>
      </c>
      <c r="B11437" t="s">
        <v>14913</v>
      </c>
      <c r="C11437" t="s">
        <v>227</v>
      </c>
      <c r="D11437">
        <v>-2505.28702616691</v>
      </c>
    </row>
    <row r="11438" spans="1:4" hidden="1" x14ac:dyDescent="0.3">
      <c r="A11438">
        <v>11436</v>
      </c>
      <c r="B11438" s="1" t="s">
        <v>14914</v>
      </c>
      <c r="C11438" t="s">
        <v>229</v>
      </c>
      <c r="D11438" s="1" t="s">
        <v>14915</v>
      </c>
    </row>
    <row r="11439" spans="1:4" hidden="1" x14ac:dyDescent="0.3">
      <c r="A11439">
        <v>11437</v>
      </c>
      <c r="B11439" t="s">
        <v>14916</v>
      </c>
      <c r="C11439" t="s">
        <v>112</v>
      </c>
      <c r="D11439">
        <v>612.21843917539104</v>
      </c>
    </row>
    <row r="11440" spans="1:4" hidden="1" x14ac:dyDescent="0.3">
      <c r="A11440">
        <v>11438</v>
      </c>
      <c r="B11440" t="s">
        <v>14917</v>
      </c>
      <c r="C11440" t="s">
        <v>114</v>
      </c>
      <c r="D11440">
        <v>179.56226605789399</v>
      </c>
    </row>
    <row r="11441" spans="1:4" hidden="1" x14ac:dyDescent="0.3">
      <c r="A11441">
        <v>11439</v>
      </c>
      <c r="B11441" s="1" t="s">
        <v>14918</v>
      </c>
      <c r="C11441" t="s">
        <v>116</v>
      </c>
      <c r="D11441" s="1" t="s">
        <v>14919</v>
      </c>
    </row>
    <row r="11442" spans="1:4" hidden="1" x14ac:dyDescent="0.3">
      <c r="A11442">
        <v>11440</v>
      </c>
      <c r="B11442" t="s">
        <v>14920</v>
      </c>
      <c r="C11442" t="s">
        <v>119</v>
      </c>
      <c r="D11442">
        <v>78139712.920677394</v>
      </c>
    </row>
    <row r="11443" spans="1:4" hidden="1" x14ac:dyDescent="0.3">
      <c r="A11443">
        <v>11441</v>
      </c>
      <c r="B11443" t="s">
        <v>14921</v>
      </c>
      <c r="C11443" t="s">
        <v>121</v>
      </c>
      <c r="D11443">
        <v>38426990.0067968</v>
      </c>
    </row>
    <row r="11444" spans="1:4" hidden="1" x14ac:dyDescent="0.3">
      <c r="A11444">
        <v>11442</v>
      </c>
      <c r="B11444" s="1" t="s">
        <v>14922</v>
      </c>
      <c r="C11444" t="s">
        <v>123</v>
      </c>
      <c r="D11444" s="1" t="s">
        <v>14923</v>
      </c>
    </row>
    <row r="11445" spans="1:4" hidden="1" x14ac:dyDescent="0.3">
      <c r="A11445">
        <v>11443</v>
      </c>
      <c r="B11445" t="s">
        <v>14924</v>
      </c>
      <c r="C11445" t="s">
        <v>126</v>
      </c>
      <c r="D11445">
        <v>0.77219041257221399</v>
      </c>
    </row>
    <row r="11446" spans="1:4" hidden="1" x14ac:dyDescent="0.3">
      <c r="A11446">
        <v>11444</v>
      </c>
      <c r="B11446" t="s">
        <v>14925</v>
      </c>
      <c r="C11446" t="s">
        <v>128</v>
      </c>
      <c r="D11446">
        <v>0.379742286708667</v>
      </c>
    </row>
    <row r="11447" spans="1:4" hidden="1" x14ac:dyDescent="0.3">
      <c r="A11447">
        <v>11445</v>
      </c>
      <c r="B11447" s="1" t="s">
        <v>14926</v>
      </c>
      <c r="C11447" t="s">
        <v>130</v>
      </c>
      <c r="D11447" s="1" t="s">
        <v>14927</v>
      </c>
    </row>
    <row r="11448" spans="1:4" hidden="1" x14ac:dyDescent="0.3">
      <c r="A11448">
        <v>11446</v>
      </c>
      <c r="B11448" s="1" t="s">
        <v>14928</v>
      </c>
      <c r="C11448" t="s">
        <v>4</v>
      </c>
      <c r="D11448" t="s">
        <v>14929</v>
      </c>
    </row>
    <row r="11449" spans="1:4" hidden="1" x14ac:dyDescent="0.3">
      <c r="A11449">
        <v>11447</v>
      </c>
      <c r="B11449" t="s">
        <v>14930</v>
      </c>
      <c r="C11449" t="s">
        <v>7</v>
      </c>
      <c r="D11449">
        <v>1840.54</v>
      </c>
    </row>
    <row r="11450" spans="1:4" hidden="1" x14ac:dyDescent="0.3">
      <c r="A11450">
        <v>11448</v>
      </c>
      <c r="B11450" s="1" t="s">
        <v>14931</v>
      </c>
      <c r="C11450" t="s">
        <v>9</v>
      </c>
      <c r="D11450" s="1" t="s">
        <v>14932</v>
      </c>
    </row>
    <row r="11451" spans="1:4" hidden="1" x14ac:dyDescent="0.3">
      <c r="A11451">
        <v>11449</v>
      </c>
      <c r="B11451" t="s">
        <v>14933</v>
      </c>
      <c r="C11451" t="s">
        <v>14</v>
      </c>
      <c r="D11451">
        <v>95.56640625</v>
      </c>
    </row>
    <row r="11452" spans="1:4" hidden="1" x14ac:dyDescent="0.3">
      <c r="A11452">
        <v>11450</v>
      </c>
      <c r="B11452" t="s">
        <v>14934</v>
      </c>
      <c r="C11452" t="s">
        <v>16</v>
      </c>
      <c r="D11452">
        <v>4.3590130866263701</v>
      </c>
    </row>
    <row r="11453" spans="1:4" hidden="1" x14ac:dyDescent="0.3">
      <c r="A11453">
        <v>11451</v>
      </c>
      <c r="B11453" s="1" t="s">
        <v>14935</v>
      </c>
      <c r="C11453" t="s">
        <v>140</v>
      </c>
      <c r="D11453" s="1" t="s">
        <v>14936</v>
      </c>
    </row>
    <row r="11454" spans="1:4" hidden="1" x14ac:dyDescent="0.3">
      <c r="A11454">
        <v>11452</v>
      </c>
      <c r="B11454" t="s">
        <v>12171</v>
      </c>
      <c r="C11454" t="s">
        <v>22</v>
      </c>
      <c r="D11454">
        <v>67</v>
      </c>
    </row>
    <row r="11455" spans="1:4" hidden="1" x14ac:dyDescent="0.3">
      <c r="A11455">
        <v>11453</v>
      </c>
      <c r="B11455" t="s">
        <v>14937</v>
      </c>
      <c r="C11455" t="s">
        <v>24</v>
      </c>
      <c r="D11455">
        <v>6.4199316678197196</v>
      </c>
    </row>
    <row r="11456" spans="1:4" hidden="1" x14ac:dyDescent="0.3">
      <c r="A11456">
        <v>11454</v>
      </c>
      <c r="B11456" s="1" t="s">
        <v>14938</v>
      </c>
      <c r="C11456" t="s">
        <v>145</v>
      </c>
      <c r="D11456" s="1" t="s">
        <v>14939</v>
      </c>
    </row>
    <row r="11457" spans="1:4" hidden="1" x14ac:dyDescent="0.3">
      <c r="A11457">
        <v>11455</v>
      </c>
      <c r="B11457" t="s">
        <v>14940</v>
      </c>
      <c r="C11457" t="s">
        <v>35</v>
      </c>
      <c r="D11457">
        <v>-0.45991654641037799</v>
      </c>
    </row>
    <row r="11458" spans="1:4" hidden="1" x14ac:dyDescent="0.3">
      <c r="A11458">
        <v>11456</v>
      </c>
      <c r="B11458" t="s">
        <v>14941</v>
      </c>
      <c r="C11458" t="s">
        <v>149</v>
      </c>
      <c r="D11458">
        <v>0.66398441749345705</v>
      </c>
    </row>
    <row r="11459" spans="1:4" hidden="1" x14ac:dyDescent="0.3">
      <c r="A11459">
        <v>11457</v>
      </c>
      <c r="B11459" s="1" t="s">
        <v>14942</v>
      </c>
      <c r="C11459" t="s">
        <v>151</v>
      </c>
      <c r="D11459" s="1" t="s">
        <v>14943</v>
      </c>
    </row>
    <row r="11460" spans="1:4" hidden="1" x14ac:dyDescent="0.3">
      <c r="A11460">
        <v>11458</v>
      </c>
      <c r="B11460" t="s">
        <v>14944</v>
      </c>
      <c r="C11460" t="s">
        <v>30</v>
      </c>
      <c r="D11460">
        <v>0.57469868649606104</v>
      </c>
    </row>
    <row r="11461" spans="1:4" hidden="1" x14ac:dyDescent="0.3">
      <c r="A11461">
        <v>11459</v>
      </c>
      <c r="B11461" t="s">
        <v>14945</v>
      </c>
      <c r="C11461" t="s">
        <v>32</v>
      </c>
      <c r="D11461">
        <v>0.264842583569874</v>
      </c>
    </row>
    <row r="11462" spans="1:4" hidden="1" x14ac:dyDescent="0.3">
      <c r="A11462">
        <v>11460</v>
      </c>
      <c r="B11462" s="1" t="s">
        <v>14946</v>
      </c>
      <c r="C11462" t="s">
        <v>155</v>
      </c>
      <c r="D11462" s="1" t="s">
        <v>14947</v>
      </c>
    </row>
    <row r="11463" spans="1:4" hidden="1" x14ac:dyDescent="0.3">
      <c r="A11463">
        <v>11461</v>
      </c>
      <c r="B11463" t="s">
        <v>14948</v>
      </c>
      <c r="C11463" t="s">
        <v>40</v>
      </c>
      <c r="D11463">
        <v>0.88521785991431601</v>
      </c>
    </row>
    <row r="11464" spans="1:4" hidden="1" x14ac:dyDescent="0.3">
      <c r="A11464">
        <v>11462</v>
      </c>
      <c r="B11464" t="s">
        <v>14949</v>
      </c>
      <c r="C11464" t="s">
        <v>42</v>
      </c>
      <c r="D11464">
        <v>0.241216856461868</v>
      </c>
    </row>
    <row r="11465" spans="1:4" hidden="1" x14ac:dyDescent="0.3">
      <c r="A11465">
        <v>11463</v>
      </c>
      <c r="B11465" s="1" t="s">
        <v>14950</v>
      </c>
      <c r="C11465" t="s">
        <v>159</v>
      </c>
      <c r="D11465" s="1" t="s">
        <v>14951</v>
      </c>
    </row>
    <row r="11466" spans="1:4" hidden="1" x14ac:dyDescent="0.3">
      <c r="A11466">
        <v>11464</v>
      </c>
      <c r="B11466" t="s">
        <v>14952</v>
      </c>
      <c r="C11466" t="s">
        <v>161</v>
      </c>
      <c r="D11466">
        <v>1.0147760980074301</v>
      </c>
    </row>
    <row r="11467" spans="1:4" hidden="1" x14ac:dyDescent="0.3">
      <c r="A11467">
        <v>11465</v>
      </c>
      <c r="B11467" t="s">
        <v>14953</v>
      </c>
      <c r="C11467" t="s">
        <v>163</v>
      </c>
      <c r="D11467">
        <v>1.0003432433225801</v>
      </c>
    </row>
    <row r="11468" spans="1:4" hidden="1" x14ac:dyDescent="0.3">
      <c r="A11468">
        <v>11466</v>
      </c>
      <c r="B11468" s="1" t="s">
        <v>14954</v>
      </c>
      <c r="C11468" t="s">
        <v>165</v>
      </c>
      <c r="D11468" s="1" t="s">
        <v>14955</v>
      </c>
    </row>
    <row r="11469" spans="1:4" hidden="1" x14ac:dyDescent="0.3">
      <c r="A11469">
        <v>11467</v>
      </c>
      <c r="B11469" t="s">
        <v>14956</v>
      </c>
      <c r="C11469" t="s">
        <v>168</v>
      </c>
      <c r="D11469">
        <v>0.99993151782156797</v>
      </c>
    </row>
    <row r="11470" spans="1:4" hidden="1" x14ac:dyDescent="0.3">
      <c r="A11470">
        <v>11468</v>
      </c>
      <c r="B11470" t="s">
        <v>14957</v>
      </c>
      <c r="C11470" t="s">
        <v>170</v>
      </c>
      <c r="D11470">
        <v>1.0005810779418201</v>
      </c>
    </row>
    <row r="11471" spans="1:4" hidden="1" x14ac:dyDescent="0.3">
      <c r="A11471">
        <v>11469</v>
      </c>
      <c r="B11471" s="1" t="s">
        <v>14958</v>
      </c>
      <c r="C11471" t="s">
        <v>172</v>
      </c>
      <c r="D11471" s="1" t="s">
        <v>14959</v>
      </c>
    </row>
    <row r="11472" spans="1:4" hidden="1" x14ac:dyDescent="0.3">
      <c r="A11472">
        <v>11470</v>
      </c>
      <c r="B11472" s="1" t="s">
        <v>14960</v>
      </c>
      <c r="C11472" t="s">
        <v>55</v>
      </c>
      <c r="D11472" s="1" t="s">
        <v>14961</v>
      </c>
    </row>
    <row r="11473" spans="1:4" hidden="1" x14ac:dyDescent="0.3">
      <c r="A11473">
        <v>11471</v>
      </c>
      <c r="B11473" s="1" t="s">
        <v>14962</v>
      </c>
      <c r="C11473" t="s">
        <v>52</v>
      </c>
      <c r="D11473" s="1" t="s">
        <v>14963</v>
      </c>
    </row>
    <row r="11474" spans="1:4" hidden="1" x14ac:dyDescent="0.3">
      <c r="A11474">
        <v>11472</v>
      </c>
      <c r="B11474" s="1" t="s">
        <v>14964</v>
      </c>
      <c r="C11474" t="s">
        <v>58</v>
      </c>
      <c r="D11474" s="1" t="s">
        <v>14965</v>
      </c>
    </row>
    <row r="11475" spans="1:4" hidden="1" x14ac:dyDescent="0.3">
      <c r="A11475">
        <v>11473</v>
      </c>
      <c r="B11475" t="s">
        <v>14966</v>
      </c>
      <c r="C11475" t="s">
        <v>61</v>
      </c>
      <c r="D11475">
        <v>144526257.476578</v>
      </c>
    </row>
    <row r="11476" spans="1:4" hidden="1" x14ac:dyDescent="0.3">
      <c r="A11476">
        <v>11474</v>
      </c>
      <c r="B11476" t="s">
        <v>14967</v>
      </c>
      <c r="C11476" t="s">
        <v>63</v>
      </c>
      <c r="D11476">
        <v>79294312.977065906</v>
      </c>
    </row>
    <row r="11477" spans="1:4" hidden="1" x14ac:dyDescent="0.3">
      <c r="A11477">
        <v>11475</v>
      </c>
      <c r="B11477" t="s">
        <v>14968</v>
      </c>
      <c r="C11477" t="s">
        <v>65</v>
      </c>
      <c r="D11477">
        <v>38440179.814523697</v>
      </c>
    </row>
    <row r="11478" spans="1:4" hidden="1" x14ac:dyDescent="0.3">
      <c r="A11478">
        <v>11476</v>
      </c>
      <c r="B11478" s="1" t="s">
        <v>14969</v>
      </c>
      <c r="C11478" t="s">
        <v>67</v>
      </c>
      <c r="D11478" s="1" t="s">
        <v>14970</v>
      </c>
    </row>
    <row r="11479" spans="1:4" hidden="1" x14ac:dyDescent="0.3">
      <c r="A11479">
        <v>11477</v>
      </c>
      <c r="B11479" s="1" t="s">
        <v>14971</v>
      </c>
      <c r="C11479" t="s">
        <v>70</v>
      </c>
      <c r="D11479" s="1" t="s">
        <v>14972</v>
      </c>
    </row>
    <row r="11480" spans="1:4" hidden="1" x14ac:dyDescent="0.3">
      <c r="A11480">
        <v>11478</v>
      </c>
      <c r="B11480" t="s">
        <v>14973</v>
      </c>
      <c r="C11480" t="s">
        <v>73</v>
      </c>
      <c r="D11480">
        <v>1.00041075816462</v>
      </c>
    </row>
    <row r="11481" spans="1:4" hidden="1" x14ac:dyDescent="0.3">
      <c r="A11481">
        <v>11479</v>
      </c>
      <c r="B11481" t="s">
        <v>74</v>
      </c>
      <c r="C11481" t="s">
        <v>75</v>
      </c>
      <c r="D11481">
        <v>2.7397260273972599E-3</v>
      </c>
    </row>
    <row r="11482" spans="1:4" hidden="1" x14ac:dyDescent="0.3">
      <c r="A11482">
        <v>11480</v>
      </c>
      <c r="B11482" t="s">
        <v>76</v>
      </c>
      <c r="C11482" t="s">
        <v>77</v>
      </c>
      <c r="D11482">
        <v>0</v>
      </c>
    </row>
    <row r="11483" spans="1:4" hidden="1" x14ac:dyDescent="0.3">
      <c r="A11483">
        <v>11481</v>
      </c>
      <c r="B11483" t="s">
        <v>78</v>
      </c>
      <c r="C11483" t="s">
        <v>79</v>
      </c>
      <c r="D11483">
        <v>0</v>
      </c>
    </row>
    <row r="11484" spans="1:4" hidden="1" x14ac:dyDescent="0.3">
      <c r="A11484">
        <v>11482</v>
      </c>
      <c r="B11484" s="1" t="s">
        <v>14974</v>
      </c>
      <c r="C11484" t="s">
        <v>81</v>
      </c>
      <c r="D11484" s="1" t="s">
        <v>14975</v>
      </c>
    </row>
    <row r="11485" spans="1:4" hidden="1" x14ac:dyDescent="0.3">
      <c r="A11485">
        <v>11483</v>
      </c>
      <c r="B11485" t="s">
        <v>14976</v>
      </c>
      <c r="C11485" t="s">
        <v>84</v>
      </c>
      <c r="D11485">
        <v>1.00040145872843</v>
      </c>
    </row>
    <row r="11486" spans="1:4" hidden="1" x14ac:dyDescent="0.3">
      <c r="A11486">
        <v>11484</v>
      </c>
      <c r="B11486" s="1" t="s">
        <v>14977</v>
      </c>
      <c r="C11486" t="s">
        <v>86</v>
      </c>
      <c r="D11486" s="1" t="s">
        <v>14978</v>
      </c>
    </row>
    <row r="11487" spans="1:4" hidden="1" x14ac:dyDescent="0.3">
      <c r="A11487">
        <v>11485</v>
      </c>
      <c r="B11487" t="s">
        <v>14979</v>
      </c>
      <c r="C11487" t="s">
        <v>89</v>
      </c>
      <c r="D11487">
        <v>101149172.26537301</v>
      </c>
    </row>
    <row r="11488" spans="1:4" hidden="1" x14ac:dyDescent="0.3">
      <c r="A11488">
        <v>11486</v>
      </c>
      <c r="B11488" s="1" t="s">
        <v>14980</v>
      </c>
      <c r="C11488" t="s">
        <v>91</v>
      </c>
      <c r="D11488" s="1" t="s">
        <v>14915</v>
      </c>
    </row>
    <row r="11489" spans="1:4" hidden="1" x14ac:dyDescent="0.3">
      <c r="A11489">
        <v>11487</v>
      </c>
      <c r="B11489" t="s">
        <v>14981</v>
      </c>
      <c r="C11489" t="s">
        <v>94</v>
      </c>
      <c r="D11489">
        <v>79294312.977065906</v>
      </c>
    </row>
    <row r="11490" spans="1:4" hidden="1" x14ac:dyDescent="0.3">
      <c r="A11490">
        <v>11488</v>
      </c>
      <c r="B11490" t="s">
        <v>14982</v>
      </c>
      <c r="C11490" t="s">
        <v>96</v>
      </c>
      <c r="D11490">
        <v>38440179.814523697</v>
      </c>
    </row>
    <row r="11491" spans="1:4" hidden="1" x14ac:dyDescent="0.3">
      <c r="A11491">
        <v>11489</v>
      </c>
      <c r="B11491" t="s">
        <v>14983</v>
      </c>
      <c r="C11491" t="s">
        <v>98</v>
      </c>
      <c r="D11491">
        <v>26791764.684988901</v>
      </c>
    </row>
    <row r="11492" spans="1:4" hidden="1" x14ac:dyDescent="0.3">
      <c r="A11492">
        <v>11490</v>
      </c>
      <c r="B11492" s="1" t="s">
        <v>14984</v>
      </c>
      <c r="C11492" t="s">
        <v>100</v>
      </c>
      <c r="D11492" s="1" t="s">
        <v>14985</v>
      </c>
    </row>
    <row r="11493" spans="1:4" hidden="1" x14ac:dyDescent="0.3">
      <c r="A11493">
        <v>11491</v>
      </c>
      <c r="B11493" t="s">
        <v>14986</v>
      </c>
      <c r="C11493" t="s">
        <v>103</v>
      </c>
      <c r="D11493">
        <v>7.5800138023027304E-3</v>
      </c>
    </row>
    <row r="11494" spans="1:4" hidden="1" x14ac:dyDescent="0.3">
      <c r="A11494">
        <v>11492</v>
      </c>
      <c r="B11494" t="s">
        <v>14987</v>
      </c>
      <c r="C11494" t="s">
        <v>105</v>
      </c>
      <c r="D11494">
        <v>1.73278427839047E-3</v>
      </c>
    </row>
    <row r="11495" spans="1:4" hidden="1" x14ac:dyDescent="0.3">
      <c r="A11495">
        <v>11493</v>
      </c>
      <c r="B11495" t="s">
        <v>14988</v>
      </c>
      <c r="C11495" t="s">
        <v>107</v>
      </c>
      <c r="D11495">
        <v>9.9669399719142498E-3</v>
      </c>
    </row>
    <row r="11496" spans="1:4" hidden="1" x14ac:dyDescent="0.3">
      <c r="A11496">
        <v>11494</v>
      </c>
      <c r="B11496" s="1" t="s">
        <v>14989</v>
      </c>
      <c r="C11496" t="s">
        <v>109</v>
      </c>
      <c r="D11496" s="1" t="s">
        <v>14990</v>
      </c>
    </row>
    <row r="11497" spans="1:4" x14ac:dyDescent="0.3">
      <c r="A11497">
        <v>11495</v>
      </c>
      <c r="B11497" t="s">
        <v>14991</v>
      </c>
      <c r="C11497" t="s">
        <v>207</v>
      </c>
      <c r="D11497">
        <v>144525929.91872099</v>
      </c>
    </row>
    <row r="11498" spans="1:4" hidden="1" x14ac:dyDescent="0.3">
      <c r="A11498">
        <v>11496</v>
      </c>
      <c r="B11498" t="s">
        <v>14992</v>
      </c>
      <c r="C11498" t="s">
        <v>209</v>
      </c>
      <c r="D11498">
        <v>737.08724028684605</v>
      </c>
    </row>
    <row r="11499" spans="1:4" hidden="1" x14ac:dyDescent="0.3">
      <c r="A11499">
        <v>11497</v>
      </c>
      <c r="B11499" t="s">
        <v>14993</v>
      </c>
      <c r="C11499" t="s">
        <v>211</v>
      </c>
      <c r="D11499">
        <v>357.32479558071401</v>
      </c>
    </row>
    <row r="11500" spans="1:4" hidden="1" x14ac:dyDescent="0.3">
      <c r="A11500">
        <v>11498</v>
      </c>
      <c r="B11500" s="1" t="s">
        <v>14994</v>
      </c>
      <c r="C11500" t="s">
        <v>213</v>
      </c>
      <c r="D11500" s="1" t="s">
        <v>14995</v>
      </c>
    </row>
    <row r="11501" spans="1:4" hidden="1" x14ac:dyDescent="0.3">
      <c r="A11501">
        <v>11499</v>
      </c>
      <c r="B11501" t="s">
        <v>14996</v>
      </c>
      <c r="C11501" t="s">
        <v>216</v>
      </c>
      <c r="D11501">
        <v>79293317.851484895</v>
      </c>
    </row>
    <row r="11502" spans="1:4" hidden="1" x14ac:dyDescent="0.3">
      <c r="A11502">
        <v>11500</v>
      </c>
      <c r="B11502" t="s">
        <v>14997</v>
      </c>
      <c r="C11502" t="s">
        <v>218</v>
      </c>
      <c r="D11502">
        <v>38439776.248429</v>
      </c>
    </row>
    <row r="11503" spans="1:4" hidden="1" x14ac:dyDescent="0.3">
      <c r="A11503">
        <v>11501</v>
      </c>
      <c r="B11503" t="s">
        <v>14998</v>
      </c>
      <c r="C11503" t="s">
        <v>220</v>
      </c>
      <c r="D11503">
        <v>26791492.360978901</v>
      </c>
    </row>
    <row r="11504" spans="1:4" hidden="1" x14ac:dyDescent="0.3">
      <c r="A11504">
        <v>11502</v>
      </c>
      <c r="B11504" s="1" t="s">
        <v>14999</v>
      </c>
      <c r="C11504" t="s">
        <v>222</v>
      </c>
      <c r="D11504" s="1" t="s">
        <v>15000</v>
      </c>
    </row>
    <row r="11505" spans="1:4" hidden="1" x14ac:dyDescent="0.3">
      <c r="A11505">
        <v>11503</v>
      </c>
      <c r="B11505" t="s">
        <v>15001</v>
      </c>
      <c r="C11505" t="s">
        <v>225</v>
      </c>
      <c r="D11505">
        <v>101148232.021312</v>
      </c>
    </row>
    <row r="11506" spans="1:4" hidden="1" x14ac:dyDescent="0.3">
      <c r="A11506">
        <v>11504</v>
      </c>
      <c r="B11506" t="s">
        <v>15002</v>
      </c>
      <c r="C11506" t="s">
        <v>227</v>
      </c>
      <c r="D11506">
        <v>940.24406117200795</v>
      </c>
    </row>
    <row r="11507" spans="1:4" hidden="1" x14ac:dyDescent="0.3">
      <c r="A11507">
        <v>11505</v>
      </c>
      <c r="B11507" s="1" t="s">
        <v>15003</v>
      </c>
      <c r="C11507" t="s">
        <v>229</v>
      </c>
      <c r="D11507" s="1" t="s">
        <v>15004</v>
      </c>
    </row>
    <row r="11508" spans="1:4" hidden="1" x14ac:dyDescent="0.3">
      <c r="A11508">
        <v>11506</v>
      </c>
      <c r="B11508" t="s">
        <v>15005</v>
      </c>
      <c r="C11508" t="s">
        <v>112</v>
      </c>
      <c r="D11508">
        <v>-258.03834075591698</v>
      </c>
    </row>
    <row r="11509" spans="1:4" hidden="1" x14ac:dyDescent="0.3">
      <c r="A11509">
        <v>11507</v>
      </c>
      <c r="B11509" t="s">
        <v>15006</v>
      </c>
      <c r="C11509" t="s">
        <v>114</v>
      </c>
      <c r="D11509">
        <v>-46.241299113681599</v>
      </c>
    </row>
    <row r="11510" spans="1:4" hidden="1" x14ac:dyDescent="0.3">
      <c r="A11510">
        <v>11508</v>
      </c>
      <c r="B11510" s="1" t="s">
        <v>15007</v>
      </c>
      <c r="C11510" t="s">
        <v>116</v>
      </c>
      <c r="D11510" s="1" t="s">
        <v>15008</v>
      </c>
    </row>
    <row r="11511" spans="1:4" hidden="1" x14ac:dyDescent="0.3">
      <c r="A11511">
        <v>11509</v>
      </c>
      <c r="B11511" t="s">
        <v>15009</v>
      </c>
      <c r="C11511" t="s">
        <v>119</v>
      </c>
      <c r="D11511">
        <v>79293317.851484895</v>
      </c>
    </row>
    <row r="11512" spans="1:4" hidden="1" x14ac:dyDescent="0.3">
      <c r="A11512">
        <v>11510</v>
      </c>
      <c r="B11512" t="s">
        <v>15010</v>
      </c>
      <c r="C11512" t="s">
        <v>121</v>
      </c>
      <c r="D11512">
        <v>38439776.248429</v>
      </c>
    </row>
    <row r="11513" spans="1:4" hidden="1" x14ac:dyDescent="0.3">
      <c r="A11513">
        <v>11511</v>
      </c>
      <c r="B11513" s="1" t="s">
        <v>15011</v>
      </c>
      <c r="C11513" t="s">
        <v>123</v>
      </c>
      <c r="D11513" s="1" t="s">
        <v>15012</v>
      </c>
    </row>
    <row r="11514" spans="1:4" hidden="1" x14ac:dyDescent="0.3">
      <c r="A11514">
        <v>11512</v>
      </c>
      <c r="B11514" t="s">
        <v>15013</v>
      </c>
      <c r="C11514" t="s">
        <v>126</v>
      </c>
      <c r="D11514">
        <v>0.78361723232820502</v>
      </c>
    </row>
    <row r="11515" spans="1:4" hidden="1" x14ac:dyDescent="0.3">
      <c r="A11515">
        <v>11513</v>
      </c>
      <c r="B11515" t="s">
        <v>15014</v>
      </c>
      <c r="C11515" t="s">
        <v>128</v>
      </c>
      <c r="D11515">
        <v>0.37988158260104099</v>
      </c>
    </row>
    <row r="11516" spans="1:4" hidden="1" x14ac:dyDescent="0.3">
      <c r="A11516">
        <v>11514</v>
      </c>
      <c r="B11516" s="1" t="s">
        <v>15015</v>
      </c>
      <c r="C11516" t="s">
        <v>130</v>
      </c>
      <c r="D11516" s="1" t="s">
        <v>15016</v>
      </c>
    </row>
    <row r="11517" spans="1:4" hidden="1" x14ac:dyDescent="0.3">
      <c r="A11517">
        <v>11515</v>
      </c>
      <c r="B11517" s="1" t="s">
        <v>15017</v>
      </c>
      <c r="C11517" t="s">
        <v>4</v>
      </c>
      <c r="D11517" t="s">
        <v>15018</v>
      </c>
    </row>
    <row r="11518" spans="1:4" hidden="1" x14ac:dyDescent="0.3">
      <c r="A11518">
        <v>11516</v>
      </c>
      <c r="B11518" t="s">
        <v>15019</v>
      </c>
      <c r="C11518" t="s">
        <v>7</v>
      </c>
      <c r="D11518">
        <v>1839.29</v>
      </c>
    </row>
    <row r="11519" spans="1:4" hidden="1" x14ac:dyDescent="0.3">
      <c r="A11519">
        <v>11517</v>
      </c>
      <c r="B11519" s="1" t="s">
        <v>15020</v>
      </c>
      <c r="C11519" t="s">
        <v>9</v>
      </c>
      <c r="D11519" s="1" t="s">
        <v>15021</v>
      </c>
    </row>
    <row r="11520" spans="1:4" hidden="1" x14ac:dyDescent="0.3">
      <c r="A11520">
        <v>11518</v>
      </c>
      <c r="B11520" t="s">
        <v>15022</v>
      </c>
      <c r="C11520" t="s">
        <v>14</v>
      </c>
      <c r="D11520">
        <v>95.76953125</v>
      </c>
    </row>
    <row r="11521" spans="1:4" hidden="1" x14ac:dyDescent="0.3">
      <c r="A11521">
        <v>11519</v>
      </c>
      <c r="B11521" t="s">
        <v>15023</v>
      </c>
      <c r="C11521" t="s">
        <v>16</v>
      </c>
      <c r="D11521">
        <v>4.3587139309493201</v>
      </c>
    </row>
    <row r="11522" spans="1:4" hidden="1" x14ac:dyDescent="0.3">
      <c r="A11522">
        <v>11520</v>
      </c>
      <c r="B11522" s="1" t="s">
        <v>15024</v>
      </c>
      <c r="C11522" t="s">
        <v>140</v>
      </c>
      <c r="D11522" s="1" t="s">
        <v>15025</v>
      </c>
    </row>
    <row r="11523" spans="1:4" hidden="1" x14ac:dyDescent="0.3">
      <c r="A11523">
        <v>11521</v>
      </c>
      <c r="B11523" t="s">
        <v>9934</v>
      </c>
      <c r="C11523" t="s">
        <v>22</v>
      </c>
      <c r="D11523">
        <v>68.150000000000006</v>
      </c>
    </row>
    <row r="11524" spans="1:4" hidden="1" x14ac:dyDescent="0.3">
      <c r="A11524">
        <v>11522</v>
      </c>
      <c r="B11524" t="s">
        <v>15026</v>
      </c>
      <c r="C11524" t="s">
        <v>24</v>
      </c>
      <c r="D11524">
        <v>6.3586224693065896</v>
      </c>
    </row>
    <row r="11525" spans="1:4" hidden="1" x14ac:dyDescent="0.3">
      <c r="A11525">
        <v>11523</v>
      </c>
      <c r="B11525" s="1" t="s">
        <v>15027</v>
      </c>
      <c r="C11525" t="s">
        <v>145</v>
      </c>
      <c r="D11525" s="1" t="s">
        <v>15028</v>
      </c>
    </row>
    <row r="11526" spans="1:4" hidden="1" x14ac:dyDescent="0.3">
      <c r="A11526">
        <v>11524</v>
      </c>
      <c r="B11526" t="s">
        <v>15029</v>
      </c>
      <c r="C11526" t="s">
        <v>35</v>
      </c>
      <c r="D11526">
        <v>-2.9470345423807802</v>
      </c>
    </row>
    <row r="11527" spans="1:4" hidden="1" x14ac:dyDescent="0.3">
      <c r="A11527">
        <v>11525</v>
      </c>
      <c r="B11527" t="s">
        <v>15030</v>
      </c>
      <c r="C11527" t="s">
        <v>149</v>
      </c>
      <c r="D11527">
        <v>0.66283147215504101</v>
      </c>
    </row>
    <row r="11528" spans="1:4" hidden="1" x14ac:dyDescent="0.3">
      <c r="A11528">
        <v>11526</v>
      </c>
      <c r="B11528" s="1" t="s">
        <v>15031</v>
      </c>
      <c r="C11528" t="s">
        <v>151</v>
      </c>
      <c r="D11528" s="1" t="s">
        <v>15032</v>
      </c>
    </row>
    <row r="11529" spans="1:4" hidden="1" x14ac:dyDescent="0.3">
      <c r="A11529">
        <v>11527</v>
      </c>
      <c r="B11529" t="s">
        <v>15033</v>
      </c>
      <c r="C11529" t="s">
        <v>30</v>
      </c>
      <c r="D11529">
        <v>1.5837188137086999</v>
      </c>
    </row>
    <row r="11530" spans="1:4" hidden="1" x14ac:dyDescent="0.3">
      <c r="A11530">
        <v>11528</v>
      </c>
      <c r="B11530" t="s">
        <v>15034</v>
      </c>
      <c r="C11530" t="s">
        <v>32</v>
      </c>
      <c r="D11530">
        <v>0.26379274910859202</v>
      </c>
    </row>
    <row r="11531" spans="1:4" hidden="1" x14ac:dyDescent="0.3">
      <c r="A11531">
        <v>11529</v>
      </c>
      <c r="B11531" s="1" t="s">
        <v>15035</v>
      </c>
      <c r="C11531" t="s">
        <v>155</v>
      </c>
      <c r="D11531" s="1" t="s">
        <v>15036</v>
      </c>
    </row>
    <row r="11532" spans="1:4" hidden="1" x14ac:dyDescent="0.3">
      <c r="A11532">
        <v>11530</v>
      </c>
      <c r="B11532" t="s">
        <v>15037</v>
      </c>
      <c r="C11532" t="s">
        <v>40</v>
      </c>
      <c r="D11532">
        <v>2.3633157286720801</v>
      </c>
    </row>
    <row r="11533" spans="1:4" hidden="1" x14ac:dyDescent="0.3">
      <c r="A11533">
        <v>11531</v>
      </c>
      <c r="B11533" t="s">
        <v>15038</v>
      </c>
      <c r="C11533" t="s">
        <v>42</v>
      </c>
      <c r="D11533">
        <v>0.24488636769425501</v>
      </c>
    </row>
    <row r="11534" spans="1:4" hidden="1" x14ac:dyDescent="0.3">
      <c r="A11534">
        <v>11532</v>
      </c>
      <c r="B11534" s="1" t="s">
        <v>15039</v>
      </c>
      <c r="C11534" t="s">
        <v>159</v>
      </c>
      <c r="D11534" s="1" t="s">
        <v>15040</v>
      </c>
    </row>
    <row r="11535" spans="1:4" hidden="1" x14ac:dyDescent="0.3">
      <c r="A11535">
        <v>11533</v>
      </c>
      <c r="B11535" t="s">
        <v>15041</v>
      </c>
      <c r="C11535" t="s">
        <v>161</v>
      </c>
      <c r="D11535">
        <v>0.999320851489236</v>
      </c>
    </row>
    <row r="11536" spans="1:4" hidden="1" x14ac:dyDescent="0.3">
      <c r="A11536">
        <v>11534</v>
      </c>
      <c r="B11536" t="s">
        <v>15042</v>
      </c>
      <c r="C11536" t="s">
        <v>163</v>
      </c>
      <c r="D11536">
        <v>1.00202977226084</v>
      </c>
    </row>
    <row r="11537" spans="1:4" hidden="1" x14ac:dyDescent="0.3">
      <c r="A11537">
        <v>11535</v>
      </c>
      <c r="B11537" s="1" t="s">
        <v>15043</v>
      </c>
      <c r="C11537" t="s">
        <v>165</v>
      </c>
      <c r="D11537" s="1" t="s">
        <v>15044</v>
      </c>
    </row>
    <row r="11538" spans="1:4" hidden="1" x14ac:dyDescent="0.3">
      <c r="A11538">
        <v>11536</v>
      </c>
      <c r="B11538" t="s">
        <v>15045</v>
      </c>
      <c r="C11538" t="s">
        <v>168</v>
      </c>
      <c r="D11538">
        <v>0.99930711770717595</v>
      </c>
    </row>
    <row r="11539" spans="1:4" hidden="1" x14ac:dyDescent="0.3">
      <c r="A11539">
        <v>11537</v>
      </c>
      <c r="B11539" t="s">
        <v>15046</v>
      </c>
      <c r="C11539" t="s">
        <v>170</v>
      </c>
      <c r="D11539">
        <v>0.99916998804837898</v>
      </c>
    </row>
    <row r="11540" spans="1:4" hidden="1" x14ac:dyDescent="0.3">
      <c r="A11540">
        <v>11538</v>
      </c>
      <c r="B11540" s="1" t="s">
        <v>15047</v>
      </c>
      <c r="C11540" t="s">
        <v>172</v>
      </c>
      <c r="D11540" s="1" t="s">
        <v>15048</v>
      </c>
    </row>
    <row r="11541" spans="1:4" hidden="1" x14ac:dyDescent="0.3">
      <c r="A11541">
        <v>11539</v>
      </c>
      <c r="B11541" s="1" t="s">
        <v>15049</v>
      </c>
      <c r="C11541" t="s">
        <v>55</v>
      </c>
      <c r="D11541" s="1" t="s">
        <v>15050</v>
      </c>
    </row>
    <row r="11542" spans="1:4" hidden="1" x14ac:dyDescent="0.3">
      <c r="A11542">
        <v>11540</v>
      </c>
      <c r="B11542" s="1" t="s">
        <v>15051</v>
      </c>
      <c r="C11542" t="s">
        <v>52</v>
      </c>
      <c r="D11542" s="1" t="s">
        <v>15052</v>
      </c>
    </row>
    <row r="11543" spans="1:4" hidden="1" x14ac:dyDescent="0.3">
      <c r="A11543">
        <v>11541</v>
      </c>
      <c r="B11543" s="1" t="s">
        <v>15053</v>
      </c>
      <c r="C11543" t="s">
        <v>58</v>
      </c>
      <c r="D11543" s="1" t="s">
        <v>15054</v>
      </c>
    </row>
    <row r="11544" spans="1:4" hidden="1" x14ac:dyDescent="0.3">
      <c r="A11544">
        <v>11542</v>
      </c>
      <c r="B11544" t="s">
        <v>15055</v>
      </c>
      <c r="C11544" t="s">
        <v>61</v>
      </c>
      <c r="D11544">
        <v>144946030.08054999</v>
      </c>
    </row>
    <row r="11545" spans="1:4" hidden="1" x14ac:dyDescent="0.3">
      <c r="A11545">
        <v>11543</v>
      </c>
      <c r="B11545" t="s">
        <v>15056</v>
      </c>
      <c r="C11545" t="s">
        <v>63</v>
      </c>
      <c r="D11545">
        <v>79239465.912752599</v>
      </c>
    </row>
    <row r="11546" spans="1:4" hidden="1" x14ac:dyDescent="0.3">
      <c r="A11546">
        <v>11544</v>
      </c>
      <c r="B11546" t="s">
        <v>15057</v>
      </c>
      <c r="C11546" t="s">
        <v>65</v>
      </c>
      <c r="D11546">
        <v>38517800.239971198</v>
      </c>
    </row>
    <row r="11547" spans="1:4" hidden="1" x14ac:dyDescent="0.3">
      <c r="A11547">
        <v>11545</v>
      </c>
      <c r="B11547" s="1" t="s">
        <v>15058</v>
      </c>
      <c r="C11547" t="s">
        <v>67</v>
      </c>
      <c r="D11547" s="1" t="s">
        <v>15059</v>
      </c>
    </row>
    <row r="11548" spans="1:4" hidden="1" x14ac:dyDescent="0.3">
      <c r="A11548">
        <v>11546</v>
      </c>
      <c r="B11548" s="1" t="s">
        <v>15060</v>
      </c>
      <c r="C11548" t="s">
        <v>70</v>
      </c>
      <c r="D11548" s="1" t="s">
        <v>15061</v>
      </c>
    </row>
    <row r="11549" spans="1:4" hidden="1" x14ac:dyDescent="0.3">
      <c r="A11549">
        <v>11547</v>
      </c>
      <c r="B11549" t="s">
        <v>15062</v>
      </c>
      <c r="C11549" t="s">
        <v>73</v>
      </c>
      <c r="D11549">
        <v>1.00040145872843</v>
      </c>
    </row>
    <row r="11550" spans="1:4" hidden="1" x14ac:dyDescent="0.3">
      <c r="A11550">
        <v>11548</v>
      </c>
      <c r="B11550" t="s">
        <v>74</v>
      </c>
      <c r="C11550" t="s">
        <v>75</v>
      </c>
      <c r="D11550">
        <v>2.7397260273972599E-3</v>
      </c>
    </row>
    <row r="11551" spans="1:4" hidden="1" x14ac:dyDescent="0.3">
      <c r="A11551">
        <v>11549</v>
      </c>
      <c r="B11551" t="s">
        <v>76</v>
      </c>
      <c r="C11551" t="s">
        <v>77</v>
      </c>
      <c r="D11551">
        <v>0</v>
      </c>
    </row>
    <row r="11552" spans="1:4" hidden="1" x14ac:dyDescent="0.3">
      <c r="A11552">
        <v>11550</v>
      </c>
      <c r="B11552" t="s">
        <v>1459</v>
      </c>
      <c r="C11552" t="s">
        <v>79</v>
      </c>
      <c r="D11552" s="2">
        <v>-2.2204460492503101E-16</v>
      </c>
    </row>
    <row r="11553" spans="1:4" hidden="1" x14ac:dyDescent="0.3">
      <c r="A11553">
        <v>11551</v>
      </c>
      <c r="B11553" s="1" t="s">
        <v>15063</v>
      </c>
      <c r="C11553" t="s">
        <v>81</v>
      </c>
      <c r="D11553" s="1" t="s">
        <v>15064</v>
      </c>
    </row>
    <row r="11554" spans="1:4" hidden="1" x14ac:dyDescent="0.3">
      <c r="A11554">
        <v>11552</v>
      </c>
      <c r="B11554" t="s">
        <v>15065</v>
      </c>
      <c r="C11554" t="s">
        <v>84</v>
      </c>
      <c r="D11554">
        <v>1.0004017136132799</v>
      </c>
    </row>
    <row r="11555" spans="1:4" hidden="1" x14ac:dyDescent="0.3">
      <c r="A11555">
        <v>11553</v>
      </c>
      <c r="B11555" s="1" t="s">
        <v>15066</v>
      </c>
      <c r="C11555" t="s">
        <v>86</v>
      </c>
      <c r="D11555" s="1" t="s">
        <v>15067</v>
      </c>
    </row>
    <row r="11556" spans="1:4" hidden="1" x14ac:dyDescent="0.3">
      <c r="A11556">
        <v>11554</v>
      </c>
      <c r="B11556" t="s">
        <v>15068</v>
      </c>
      <c r="C11556" t="s">
        <v>89</v>
      </c>
      <c r="D11556">
        <v>101149146.494334</v>
      </c>
    </row>
    <row r="11557" spans="1:4" hidden="1" x14ac:dyDescent="0.3">
      <c r="A11557">
        <v>11555</v>
      </c>
      <c r="B11557" s="1" t="s">
        <v>15069</v>
      </c>
      <c r="C11557" t="s">
        <v>91</v>
      </c>
      <c r="D11557" s="1" t="s">
        <v>15004</v>
      </c>
    </row>
    <row r="11558" spans="1:4" hidden="1" x14ac:dyDescent="0.3">
      <c r="A11558">
        <v>11556</v>
      </c>
      <c r="B11558" t="s">
        <v>15070</v>
      </c>
      <c r="C11558" t="s">
        <v>94</v>
      </c>
      <c r="D11558">
        <v>79239465.912752599</v>
      </c>
    </row>
    <row r="11559" spans="1:4" hidden="1" x14ac:dyDescent="0.3">
      <c r="A11559">
        <v>11557</v>
      </c>
      <c r="B11559" t="s">
        <v>15071</v>
      </c>
      <c r="C11559" t="s">
        <v>96</v>
      </c>
      <c r="D11559">
        <v>38517800.239971198</v>
      </c>
    </row>
    <row r="11560" spans="1:4" hidden="1" x14ac:dyDescent="0.3">
      <c r="A11560">
        <v>11558</v>
      </c>
      <c r="B11560" t="s">
        <v>15072</v>
      </c>
      <c r="C11560" t="s">
        <v>98</v>
      </c>
      <c r="D11560">
        <v>27188763.9278263</v>
      </c>
    </row>
    <row r="11561" spans="1:4" hidden="1" x14ac:dyDescent="0.3">
      <c r="A11561">
        <v>11559</v>
      </c>
      <c r="B11561" s="1" t="s">
        <v>15073</v>
      </c>
      <c r="C11561" t="s">
        <v>100</v>
      </c>
      <c r="D11561" s="1" t="s">
        <v>15074</v>
      </c>
    </row>
    <row r="11562" spans="1:4" hidden="1" x14ac:dyDescent="0.3">
      <c r="A11562">
        <v>11560</v>
      </c>
      <c r="B11562" t="s">
        <v>15075</v>
      </c>
      <c r="C11562" t="s">
        <v>103</v>
      </c>
      <c r="D11562">
        <v>7.7073044084198404E-3</v>
      </c>
    </row>
    <row r="11563" spans="1:4" hidden="1" x14ac:dyDescent="0.3">
      <c r="A11563">
        <v>11561</v>
      </c>
      <c r="B11563" t="s">
        <v>15076</v>
      </c>
      <c r="C11563" t="s">
        <v>105</v>
      </c>
      <c r="D11563">
        <v>1.74980235334033E-3</v>
      </c>
    </row>
    <row r="11564" spans="1:4" hidden="1" x14ac:dyDescent="0.3">
      <c r="A11564">
        <v>11562</v>
      </c>
      <c r="B11564" t="s">
        <v>15077</v>
      </c>
      <c r="C11564" t="s">
        <v>107</v>
      </c>
      <c r="D11564">
        <v>1.00902835520506E-2</v>
      </c>
    </row>
    <row r="11565" spans="1:4" hidden="1" x14ac:dyDescent="0.3">
      <c r="A11565">
        <v>11563</v>
      </c>
      <c r="B11565" s="1" t="s">
        <v>15078</v>
      </c>
      <c r="C11565" t="s">
        <v>109</v>
      </c>
      <c r="D11565" s="1" t="s">
        <v>15079</v>
      </c>
    </row>
    <row r="11566" spans="1:4" x14ac:dyDescent="0.3">
      <c r="A11566">
        <v>11564</v>
      </c>
      <c r="B11566" t="s">
        <v>15080</v>
      </c>
      <c r="C11566" t="s">
        <v>207</v>
      </c>
      <c r="D11566">
        <v>144946039.06312501</v>
      </c>
    </row>
    <row r="11567" spans="1:4" hidden="1" x14ac:dyDescent="0.3">
      <c r="A11567">
        <v>11565</v>
      </c>
      <c r="B11567" t="s">
        <v>15081</v>
      </c>
      <c r="C11567" t="s">
        <v>209</v>
      </c>
      <c r="D11567">
        <v>-20.1888367791815</v>
      </c>
    </row>
    <row r="11568" spans="1:4" hidden="1" x14ac:dyDescent="0.3">
      <c r="A11568">
        <v>11566</v>
      </c>
      <c r="B11568" t="s">
        <v>15082</v>
      </c>
      <c r="C11568" t="s">
        <v>211</v>
      </c>
      <c r="D11568">
        <v>-9.81366457689135</v>
      </c>
    </row>
    <row r="11569" spans="1:4" hidden="1" x14ac:dyDescent="0.3">
      <c r="A11569">
        <v>11567</v>
      </c>
      <c r="B11569" s="1" t="s">
        <v>15083</v>
      </c>
      <c r="C11569" t="s">
        <v>213</v>
      </c>
      <c r="D11569" s="1" t="s">
        <v>15084</v>
      </c>
    </row>
    <row r="11570" spans="1:4" hidden="1" x14ac:dyDescent="0.3">
      <c r="A11570">
        <v>11568</v>
      </c>
      <c r="B11570" t="s">
        <v>15085</v>
      </c>
      <c r="C11570" t="s">
        <v>216</v>
      </c>
      <c r="D11570">
        <v>79239493.148706198</v>
      </c>
    </row>
    <row r="11571" spans="1:4" hidden="1" x14ac:dyDescent="0.3">
      <c r="A11571">
        <v>11569</v>
      </c>
      <c r="B11571" t="s">
        <v>15086</v>
      </c>
      <c r="C11571" t="s">
        <v>218</v>
      </c>
      <c r="D11571">
        <v>38517811.378125802</v>
      </c>
    </row>
    <row r="11572" spans="1:4" hidden="1" x14ac:dyDescent="0.3">
      <c r="A11572">
        <v>11570</v>
      </c>
      <c r="B11572" t="s">
        <v>15087</v>
      </c>
      <c r="C11572" t="s">
        <v>220</v>
      </c>
      <c r="D11572">
        <v>27188771.466017701</v>
      </c>
    </row>
    <row r="11573" spans="1:4" hidden="1" x14ac:dyDescent="0.3">
      <c r="A11573">
        <v>11571</v>
      </c>
      <c r="B11573" s="1" t="s">
        <v>15088</v>
      </c>
      <c r="C11573" t="s">
        <v>222</v>
      </c>
      <c r="D11573" s="1" t="s">
        <v>15089</v>
      </c>
    </row>
    <row r="11574" spans="1:4" hidden="1" x14ac:dyDescent="0.3">
      <c r="A11574">
        <v>11572</v>
      </c>
      <c r="B11574" t="s">
        <v>15090</v>
      </c>
      <c r="C11574" t="s">
        <v>225</v>
      </c>
      <c r="D11574">
        <v>101149172.26537301</v>
      </c>
    </row>
    <row r="11575" spans="1:4" hidden="1" x14ac:dyDescent="0.3">
      <c r="A11575">
        <v>11573</v>
      </c>
      <c r="B11575" t="s">
        <v>15091</v>
      </c>
      <c r="C11575" t="s">
        <v>227</v>
      </c>
      <c r="D11575">
        <v>-25.771039769053399</v>
      </c>
    </row>
    <row r="11576" spans="1:4" hidden="1" x14ac:dyDescent="0.3">
      <c r="A11576">
        <v>11574</v>
      </c>
      <c r="B11576" s="1" t="s">
        <v>15092</v>
      </c>
      <c r="C11576" t="s">
        <v>229</v>
      </c>
      <c r="D11576" s="1" t="s">
        <v>15093</v>
      </c>
    </row>
    <row r="11577" spans="1:4" hidden="1" x14ac:dyDescent="0.3">
      <c r="A11577">
        <v>11575</v>
      </c>
      <c r="B11577" t="s">
        <v>15094</v>
      </c>
      <c r="C11577" t="s">
        <v>112</v>
      </c>
      <c r="D11577">
        <v>7.04711690671928</v>
      </c>
    </row>
    <row r="11578" spans="1:4" hidden="1" x14ac:dyDescent="0.3">
      <c r="A11578">
        <v>11576</v>
      </c>
      <c r="B11578" t="s">
        <v>15095</v>
      </c>
      <c r="C11578" t="s">
        <v>114</v>
      </c>
      <c r="D11578">
        <v>1.32449001968809</v>
      </c>
    </row>
    <row r="11579" spans="1:4" hidden="1" x14ac:dyDescent="0.3">
      <c r="A11579">
        <v>11577</v>
      </c>
      <c r="B11579" s="1" t="s">
        <v>15096</v>
      </c>
      <c r="C11579" t="s">
        <v>116</v>
      </c>
      <c r="D11579" s="1" t="s">
        <v>15097</v>
      </c>
    </row>
    <row r="11580" spans="1:4" hidden="1" x14ac:dyDescent="0.3">
      <c r="A11580">
        <v>11578</v>
      </c>
      <c r="B11580" t="s">
        <v>15098</v>
      </c>
      <c r="C11580" t="s">
        <v>119</v>
      </c>
      <c r="D11580">
        <v>79239493.148706198</v>
      </c>
    </row>
    <row r="11581" spans="1:4" hidden="1" x14ac:dyDescent="0.3">
      <c r="A11581">
        <v>11579</v>
      </c>
      <c r="B11581" t="s">
        <v>15099</v>
      </c>
      <c r="C11581" t="s">
        <v>121</v>
      </c>
      <c r="D11581">
        <v>38517811.378125802</v>
      </c>
    </row>
    <row r="11582" spans="1:4" hidden="1" x14ac:dyDescent="0.3">
      <c r="A11582">
        <v>11580</v>
      </c>
      <c r="B11582" s="1" t="s">
        <v>15100</v>
      </c>
      <c r="C11582" t="s">
        <v>123</v>
      </c>
      <c r="D11582" s="1" t="s">
        <v>15101</v>
      </c>
    </row>
    <row r="11583" spans="1:4" hidden="1" x14ac:dyDescent="0.3">
      <c r="A11583">
        <v>11581</v>
      </c>
      <c r="B11583" t="s">
        <v>15102</v>
      </c>
      <c r="C11583" t="s">
        <v>126</v>
      </c>
      <c r="D11583">
        <v>0.78307783023508604</v>
      </c>
    </row>
    <row r="11584" spans="1:4" hidden="1" x14ac:dyDescent="0.3">
      <c r="A11584">
        <v>11582</v>
      </c>
      <c r="B11584" t="s">
        <v>15103</v>
      </c>
      <c r="C11584" t="s">
        <v>128</v>
      </c>
      <c r="D11584">
        <v>0.38064913038732101</v>
      </c>
    </row>
    <row r="11585" spans="1:4" hidden="1" x14ac:dyDescent="0.3">
      <c r="A11585">
        <v>11583</v>
      </c>
      <c r="B11585" s="1" t="s">
        <v>15104</v>
      </c>
      <c r="C11585" t="s">
        <v>130</v>
      </c>
      <c r="D11585" s="1" t="s">
        <v>15105</v>
      </c>
    </row>
    <row r="11586" spans="1:4" hidden="1" x14ac:dyDescent="0.3">
      <c r="A11586">
        <v>11584</v>
      </c>
      <c r="B11586" s="1" t="s">
        <v>15106</v>
      </c>
      <c r="C11586" t="s">
        <v>4</v>
      </c>
      <c r="D11586" t="s">
        <v>15107</v>
      </c>
    </row>
    <row r="11587" spans="1:4" hidden="1" x14ac:dyDescent="0.3">
      <c r="A11587">
        <v>11585</v>
      </c>
      <c r="B11587" t="s">
        <v>15108</v>
      </c>
      <c r="C11587" t="s">
        <v>7</v>
      </c>
      <c r="D11587">
        <v>1835.38</v>
      </c>
    </row>
    <row r="11588" spans="1:4" hidden="1" x14ac:dyDescent="0.3">
      <c r="A11588">
        <v>11586</v>
      </c>
      <c r="B11588" s="1" t="s">
        <v>15109</v>
      </c>
      <c r="C11588" t="s">
        <v>9</v>
      </c>
      <c r="D11588" s="1" t="s">
        <v>15110</v>
      </c>
    </row>
    <row r="11589" spans="1:4" hidden="1" x14ac:dyDescent="0.3">
      <c r="A11589">
        <v>11587</v>
      </c>
      <c r="B11589" t="s">
        <v>15111</v>
      </c>
      <c r="C11589" t="s">
        <v>14</v>
      </c>
      <c r="D11589">
        <v>95.8828125</v>
      </c>
    </row>
    <row r="11590" spans="1:4" hidden="1" x14ac:dyDescent="0.3">
      <c r="A11590">
        <v>11588</v>
      </c>
      <c r="B11590" t="s">
        <v>15112</v>
      </c>
      <c r="C11590" t="s">
        <v>16</v>
      </c>
      <c r="D11590">
        <v>4.36473517237369</v>
      </c>
    </row>
    <row r="11591" spans="1:4" hidden="1" x14ac:dyDescent="0.3">
      <c r="A11591">
        <v>11589</v>
      </c>
      <c r="B11591" s="1" t="s">
        <v>15113</v>
      </c>
      <c r="C11591" t="s">
        <v>140</v>
      </c>
      <c r="D11591" s="1" t="s">
        <v>15114</v>
      </c>
    </row>
    <row r="11592" spans="1:4" hidden="1" x14ac:dyDescent="0.3">
      <c r="A11592">
        <v>11590</v>
      </c>
      <c r="B11592" t="s">
        <v>15115</v>
      </c>
      <c r="C11592" t="s">
        <v>22</v>
      </c>
      <c r="D11592">
        <v>68.849999999999994</v>
      </c>
    </row>
    <row r="11593" spans="1:4" hidden="1" x14ac:dyDescent="0.3">
      <c r="A11593">
        <v>11591</v>
      </c>
      <c r="B11593" t="s">
        <v>15116</v>
      </c>
      <c r="C11593" t="s">
        <v>24</v>
      </c>
      <c r="D11593">
        <v>6.3976727648399203</v>
      </c>
    </row>
    <row r="11594" spans="1:4" hidden="1" x14ac:dyDescent="0.3">
      <c r="A11594">
        <v>11592</v>
      </c>
      <c r="B11594" s="1" t="s">
        <v>15117</v>
      </c>
      <c r="C11594" t="s">
        <v>145</v>
      </c>
      <c r="D11594" s="1" t="s">
        <v>15118</v>
      </c>
    </row>
    <row r="11595" spans="1:4" hidden="1" x14ac:dyDescent="0.3">
      <c r="A11595">
        <v>11593</v>
      </c>
      <c r="B11595" t="s">
        <v>15119</v>
      </c>
      <c r="C11595" t="s">
        <v>35</v>
      </c>
      <c r="D11595">
        <v>0.174541235313737</v>
      </c>
    </row>
    <row r="11596" spans="1:4" hidden="1" x14ac:dyDescent="0.3">
      <c r="A11596">
        <v>11594</v>
      </c>
      <c r="B11596" t="s">
        <v>15120</v>
      </c>
      <c r="C11596" t="s">
        <v>149</v>
      </c>
      <c r="D11596">
        <v>0.66211989627613399</v>
      </c>
    </row>
    <row r="11597" spans="1:4" hidden="1" x14ac:dyDescent="0.3">
      <c r="A11597">
        <v>11595</v>
      </c>
      <c r="B11597" s="1" t="s">
        <v>15121</v>
      </c>
      <c r="C11597" t="s">
        <v>151</v>
      </c>
      <c r="D11597" s="1" t="s">
        <v>15122</v>
      </c>
    </row>
    <row r="11598" spans="1:4" hidden="1" x14ac:dyDescent="0.3">
      <c r="A11598">
        <v>11596</v>
      </c>
      <c r="B11598" t="s">
        <v>15123</v>
      </c>
      <c r="C11598" t="s">
        <v>30</v>
      </c>
      <c r="D11598">
        <v>0.32833757203611502</v>
      </c>
    </row>
    <row r="11599" spans="1:4" hidden="1" x14ac:dyDescent="0.3">
      <c r="A11599">
        <v>11597</v>
      </c>
      <c r="B11599" t="s">
        <v>15124</v>
      </c>
      <c r="C11599" t="s">
        <v>32</v>
      </c>
      <c r="D11599">
        <v>0.26478864124840201</v>
      </c>
    </row>
    <row r="11600" spans="1:4" hidden="1" x14ac:dyDescent="0.3">
      <c r="A11600">
        <v>11598</v>
      </c>
      <c r="B11600" s="1" t="s">
        <v>15125</v>
      </c>
      <c r="C11600" t="s">
        <v>155</v>
      </c>
      <c r="D11600" s="1" t="s">
        <v>15126</v>
      </c>
    </row>
    <row r="11601" spans="1:4" hidden="1" x14ac:dyDescent="0.3">
      <c r="A11601">
        <v>11599</v>
      </c>
      <c r="B11601" t="s">
        <v>15127</v>
      </c>
      <c r="C11601" t="s">
        <v>40</v>
      </c>
      <c r="D11601">
        <v>0.49712119265014698</v>
      </c>
    </row>
    <row r="11602" spans="1:4" hidden="1" x14ac:dyDescent="0.3">
      <c r="A11602">
        <v>11600</v>
      </c>
      <c r="B11602" t="s">
        <v>15128</v>
      </c>
      <c r="C11602" t="s">
        <v>42</v>
      </c>
      <c r="D11602">
        <v>0.24551184303572099</v>
      </c>
    </row>
    <row r="11603" spans="1:4" hidden="1" x14ac:dyDescent="0.3">
      <c r="A11603">
        <v>11601</v>
      </c>
      <c r="B11603" s="1" t="s">
        <v>15129</v>
      </c>
      <c r="C11603" t="s">
        <v>159</v>
      </c>
      <c r="D11603" s="1" t="s">
        <v>15130</v>
      </c>
    </row>
    <row r="11604" spans="1:4" hidden="1" x14ac:dyDescent="0.3">
      <c r="A11604">
        <v>11602</v>
      </c>
      <c r="B11604" t="s">
        <v>15131</v>
      </c>
      <c r="C11604" t="s">
        <v>161</v>
      </c>
      <c r="D11604">
        <v>0.99787417971064896</v>
      </c>
    </row>
    <row r="11605" spans="1:4" hidden="1" x14ac:dyDescent="0.3">
      <c r="A11605">
        <v>11603</v>
      </c>
      <c r="B11605" t="s">
        <v>15132</v>
      </c>
      <c r="C11605" t="s">
        <v>163</v>
      </c>
      <c r="D11605">
        <v>1.00119149687691</v>
      </c>
    </row>
    <row r="11606" spans="1:4" hidden="1" x14ac:dyDescent="0.3">
      <c r="A11606">
        <v>11604</v>
      </c>
      <c r="B11606" s="1" t="s">
        <v>15133</v>
      </c>
      <c r="C11606" t="s">
        <v>165</v>
      </c>
      <c r="D11606" s="1" t="s">
        <v>15134</v>
      </c>
    </row>
    <row r="11607" spans="1:4" hidden="1" x14ac:dyDescent="0.3">
      <c r="A11607">
        <v>11605</v>
      </c>
      <c r="B11607" t="s">
        <v>15135</v>
      </c>
      <c r="C11607" t="s">
        <v>168</v>
      </c>
      <c r="D11607">
        <v>0.99957206975521995</v>
      </c>
    </row>
    <row r="11608" spans="1:4" hidden="1" x14ac:dyDescent="0.3">
      <c r="A11608">
        <v>11606</v>
      </c>
      <c r="B11608" t="s">
        <v>15136</v>
      </c>
      <c r="C11608" t="s">
        <v>170</v>
      </c>
      <c r="D11608">
        <v>1.00078801855803</v>
      </c>
    </row>
    <row r="11609" spans="1:4" hidden="1" x14ac:dyDescent="0.3">
      <c r="A11609">
        <v>11607</v>
      </c>
      <c r="B11609" s="1" t="s">
        <v>15137</v>
      </c>
      <c r="C11609" t="s">
        <v>172</v>
      </c>
      <c r="D11609" s="1" t="s">
        <v>15138</v>
      </c>
    </row>
    <row r="11610" spans="1:4" hidden="1" x14ac:dyDescent="0.3">
      <c r="A11610">
        <v>11608</v>
      </c>
      <c r="B11610" s="1" t="s">
        <v>15139</v>
      </c>
      <c r="C11610" t="s">
        <v>55</v>
      </c>
      <c r="D11610" s="1" t="s">
        <v>15140</v>
      </c>
    </row>
    <row r="11611" spans="1:4" hidden="1" x14ac:dyDescent="0.3">
      <c r="A11611">
        <v>11609</v>
      </c>
      <c r="B11611" s="1" t="s">
        <v>15141</v>
      </c>
      <c r="C11611" t="s">
        <v>52</v>
      </c>
      <c r="D11611" s="1" t="s">
        <v>15142</v>
      </c>
    </row>
    <row r="11612" spans="1:4" hidden="1" x14ac:dyDescent="0.3">
      <c r="A11612">
        <v>11610</v>
      </c>
      <c r="B11612" s="1" t="s">
        <v>15143</v>
      </c>
      <c r="C11612" t="s">
        <v>58</v>
      </c>
      <c r="D11612" s="1" t="s">
        <v>15144</v>
      </c>
    </row>
    <row r="11613" spans="1:4" hidden="1" x14ac:dyDescent="0.3">
      <c r="A11613">
        <v>11611</v>
      </c>
      <c r="B11613" t="s">
        <v>15145</v>
      </c>
      <c r="C11613" t="s">
        <v>61</v>
      </c>
      <c r="D11613">
        <v>145093206.08007801</v>
      </c>
    </row>
    <row r="11614" spans="1:4" hidden="1" x14ac:dyDescent="0.3">
      <c r="A11614">
        <v>11612</v>
      </c>
      <c r="B11614" t="s">
        <v>15146</v>
      </c>
      <c r="C11614" t="s">
        <v>63</v>
      </c>
      <c r="D11614">
        <v>79071044.226452902</v>
      </c>
    </row>
    <row r="11615" spans="1:4" hidden="1" x14ac:dyDescent="0.3">
      <c r="A11615">
        <v>11613</v>
      </c>
      <c r="B11615" t="s">
        <v>15147</v>
      </c>
      <c r="C11615" t="s">
        <v>65</v>
      </c>
      <c r="D11615">
        <v>38563705.230088599</v>
      </c>
    </row>
    <row r="11616" spans="1:4" hidden="1" x14ac:dyDescent="0.3">
      <c r="A11616">
        <v>11614</v>
      </c>
      <c r="B11616" s="1" t="s">
        <v>15148</v>
      </c>
      <c r="C11616" t="s">
        <v>67</v>
      </c>
      <c r="D11616" s="1" t="s">
        <v>15149</v>
      </c>
    </row>
    <row r="11617" spans="1:4" hidden="1" x14ac:dyDescent="0.3">
      <c r="A11617">
        <v>11615</v>
      </c>
      <c r="B11617" s="1" t="s">
        <v>15150</v>
      </c>
      <c r="C11617" t="s">
        <v>70</v>
      </c>
      <c r="D11617" s="1" t="s">
        <v>15151</v>
      </c>
    </row>
    <row r="11618" spans="1:4" hidden="1" x14ac:dyDescent="0.3">
      <c r="A11618">
        <v>11616</v>
      </c>
      <c r="B11618" t="s">
        <v>15152</v>
      </c>
      <c r="C11618" t="s">
        <v>73</v>
      </c>
      <c r="D11618">
        <v>1.0004017136132799</v>
      </c>
    </row>
    <row r="11619" spans="1:4" hidden="1" x14ac:dyDescent="0.3">
      <c r="A11619">
        <v>11617</v>
      </c>
      <c r="B11619" t="s">
        <v>74</v>
      </c>
      <c r="C11619" t="s">
        <v>75</v>
      </c>
      <c r="D11619">
        <v>2.7397260273972599E-3</v>
      </c>
    </row>
    <row r="11620" spans="1:4" hidden="1" x14ac:dyDescent="0.3">
      <c r="A11620">
        <v>11618</v>
      </c>
      <c r="B11620" t="s">
        <v>76</v>
      </c>
      <c r="C11620" t="s">
        <v>77</v>
      </c>
      <c r="D11620">
        <v>0</v>
      </c>
    </row>
    <row r="11621" spans="1:4" hidden="1" x14ac:dyDescent="0.3">
      <c r="A11621">
        <v>11619</v>
      </c>
      <c r="B11621" t="s">
        <v>78</v>
      </c>
      <c r="C11621" t="s">
        <v>79</v>
      </c>
      <c r="D11621">
        <v>0</v>
      </c>
    </row>
    <row r="11622" spans="1:4" hidden="1" x14ac:dyDescent="0.3">
      <c r="A11622">
        <v>11620</v>
      </c>
      <c r="B11622" s="1" t="s">
        <v>15153</v>
      </c>
      <c r="C11622" t="s">
        <v>81</v>
      </c>
      <c r="D11622" s="1" t="s">
        <v>15154</v>
      </c>
    </row>
    <row r="11623" spans="1:4" hidden="1" x14ac:dyDescent="0.3">
      <c r="A11623">
        <v>11621</v>
      </c>
      <c r="B11623" t="s">
        <v>15155</v>
      </c>
      <c r="C11623" t="s">
        <v>84</v>
      </c>
      <c r="D11623">
        <v>1.00041736167484</v>
      </c>
    </row>
    <row r="11624" spans="1:4" hidden="1" x14ac:dyDescent="0.3">
      <c r="A11624">
        <v>11622</v>
      </c>
      <c r="B11624" s="1" t="s">
        <v>15156</v>
      </c>
      <c r="C11624" t="s">
        <v>86</v>
      </c>
      <c r="D11624" s="1" t="s">
        <v>15157</v>
      </c>
    </row>
    <row r="11625" spans="1:4" hidden="1" x14ac:dyDescent="0.3">
      <c r="A11625">
        <v>11623</v>
      </c>
      <c r="B11625" t="s">
        <v>15158</v>
      </c>
      <c r="C11625" t="s">
        <v>89</v>
      </c>
      <c r="D11625">
        <v>101147564.366583</v>
      </c>
    </row>
    <row r="11626" spans="1:4" hidden="1" x14ac:dyDescent="0.3">
      <c r="A11626">
        <v>11624</v>
      </c>
      <c r="B11626" s="1" t="s">
        <v>15159</v>
      </c>
      <c r="C11626" t="s">
        <v>91</v>
      </c>
      <c r="D11626" s="1" t="s">
        <v>15093</v>
      </c>
    </row>
    <row r="11627" spans="1:4" hidden="1" x14ac:dyDescent="0.3">
      <c r="A11627">
        <v>11625</v>
      </c>
      <c r="B11627" t="s">
        <v>15160</v>
      </c>
      <c r="C11627" t="s">
        <v>94</v>
      </c>
      <c r="D11627">
        <v>79071044.226452902</v>
      </c>
    </row>
    <row r="11628" spans="1:4" hidden="1" x14ac:dyDescent="0.3">
      <c r="A11628">
        <v>11626</v>
      </c>
      <c r="B11628" t="s">
        <v>15161</v>
      </c>
      <c r="C11628" t="s">
        <v>96</v>
      </c>
      <c r="D11628">
        <v>38563705.230088599</v>
      </c>
    </row>
    <row r="11629" spans="1:4" hidden="1" x14ac:dyDescent="0.3">
      <c r="A11629">
        <v>11627</v>
      </c>
      <c r="B11629" t="s">
        <v>15162</v>
      </c>
      <c r="C11629" t="s">
        <v>98</v>
      </c>
      <c r="D11629">
        <v>27458456.623536602</v>
      </c>
    </row>
    <row r="11630" spans="1:4" hidden="1" x14ac:dyDescent="0.3">
      <c r="A11630">
        <v>11628</v>
      </c>
      <c r="B11630" s="1" t="s">
        <v>15163</v>
      </c>
      <c r="C11630" t="s">
        <v>100</v>
      </c>
      <c r="D11630" s="1" t="s">
        <v>15164</v>
      </c>
    </row>
    <row r="11631" spans="1:4" hidden="1" x14ac:dyDescent="0.3">
      <c r="A11631">
        <v>11629</v>
      </c>
      <c r="B11631" t="s">
        <v>15165</v>
      </c>
      <c r="C11631" t="s">
        <v>103</v>
      </c>
      <c r="D11631">
        <v>7.7080223998299601E-3</v>
      </c>
    </row>
    <row r="11632" spans="1:4" hidden="1" x14ac:dyDescent="0.3">
      <c r="A11632">
        <v>11630</v>
      </c>
      <c r="B11632" t="s">
        <v>15166</v>
      </c>
      <c r="C11632" t="s">
        <v>105</v>
      </c>
      <c r="D11632">
        <v>1.75582758638001E-3</v>
      </c>
    </row>
    <row r="11633" spans="1:4" hidden="1" x14ac:dyDescent="0.3">
      <c r="A11633">
        <v>11631</v>
      </c>
      <c r="B11633" t="s">
        <v>15167</v>
      </c>
      <c r="C11633" t="s">
        <v>107</v>
      </c>
      <c r="D11633">
        <v>1.0025769499277E-2</v>
      </c>
    </row>
    <row r="11634" spans="1:4" hidden="1" x14ac:dyDescent="0.3">
      <c r="A11634">
        <v>11632</v>
      </c>
      <c r="B11634" s="1" t="s">
        <v>15168</v>
      </c>
      <c r="C11634" t="s">
        <v>109</v>
      </c>
      <c r="D11634" s="1" t="s">
        <v>15169</v>
      </c>
    </row>
    <row r="11635" spans="1:4" x14ac:dyDescent="0.3">
      <c r="A11635">
        <v>11633</v>
      </c>
      <c r="B11635" t="s">
        <v>15170</v>
      </c>
      <c r="C11635" t="s">
        <v>207</v>
      </c>
      <c r="D11635">
        <v>145093757.089762</v>
      </c>
    </row>
    <row r="11636" spans="1:4" hidden="1" x14ac:dyDescent="0.3">
      <c r="A11636">
        <v>11634</v>
      </c>
      <c r="B11636" t="s">
        <v>15171</v>
      </c>
      <c r="C11636" t="s">
        <v>209</v>
      </c>
      <c r="D11636">
        <v>-1236.8184689959501</v>
      </c>
    </row>
    <row r="11637" spans="1:4" hidden="1" x14ac:dyDescent="0.3">
      <c r="A11637">
        <v>11635</v>
      </c>
      <c r="B11637" t="s">
        <v>15172</v>
      </c>
      <c r="C11637" t="s">
        <v>211</v>
      </c>
      <c r="D11637">
        <v>-603.20619046641195</v>
      </c>
    </row>
    <row r="11638" spans="1:4" hidden="1" x14ac:dyDescent="0.3">
      <c r="A11638">
        <v>11636</v>
      </c>
      <c r="B11638" s="1" t="s">
        <v>15173</v>
      </c>
      <c r="C11638" t="s">
        <v>213</v>
      </c>
      <c r="D11638" s="1" t="s">
        <v>15174</v>
      </c>
    </row>
    <row r="11639" spans="1:4" hidden="1" x14ac:dyDescent="0.3">
      <c r="A11639">
        <v>11637</v>
      </c>
      <c r="B11639" t="s">
        <v>15175</v>
      </c>
      <c r="C11639" t="s">
        <v>216</v>
      </c>
      <c r="D11639">
        <v>79072712.321999997</v>
      </c>
    </row>
    <row r="11640" spans="1:4" hidden="1" x14ac:dyDescent="0.3">
      <c r="A11640">
        <v>11638</v>
      </c>
      <c r="B11640" t="s">
        <v>15176</v>
      </c>
      <c r="C11640" t="s">
        <v>218</v>
      </c>
      <c r="D11640">
        <v>38564389.815686204</v>
      </c>
    </row>
    <row r="11641" spans="1:4" hidden="1" x14ac:dyDescent="0.3">
      <c r="A11641">
        <v>11639</v>
      </c>
      <c r="B11641" t="s">
        <v>15177</v>
      </c>
      <c r="C11641" t="s">
        <v>220</v>
      </c>
      <c r="D11641">
        <v>27458924.476419002</v>
      </c>
    </row>
    <row r="11642" spans="1:4" hidden="1" x14ac:dyDescent="0.3">
      <c r="A11642">
        <v>11640</v>
      </c>
      <c r="B11642" s="1" t="s">
        <v>15178</v>
      </c>
      <c r="C11642" t="s">
        <v>222</v>
      </c>
      <c r="D11642" s="1" t="s">
        <v>15179</v>
      </c>
    </row>
    <row r="11643" spans="1:4" hidden="1" x14ac:dyDescent="0.3">
      <c r="A11643">
        <v>11641</v>
      </c>
      <c r="B11643" t="s">
        <v>15180</v>
      </c>
      <c r="C11643" t="s">
        <v>225</v>
      </c>
      <c r="D11643">
        <v>101149146.494334</v>
      </c>
    </row>
    <row r="11644" spans="1:4" hidden="1" x14ac:dyDescent="0.3">
      <c r="A11644">
        <v>11642</v>
      </c>
      <c r="B11644" t="s">
        <v>15181</v>
      </c>
      <c r="C11644" t="s">
        <v>227</v>
      </c>
      <c r="D11644">
        <v>-1582.1277509480699</v>
      </c>
    </row>
    <row r="11645" spans="1:4" hidden="1" x14ac:dyDescent="0.3">
      <c r="A11645">
        <v>11643</v>
      </c>
      <c r="B11645" s="1" t="s">
        <v>15182</v>
      </c>
      <c r="C11645" t="s">
        <v>229</v>
      </c>
      <c r="D11645" s="1" t="s">
        <v>15183</v>
      </c>
    </row>
    <row r="11646" spans="1:4" hidden="1" x14ac:dyDescent="0.3">
      <c r="A11646">
        <v>11644</v>
      </c>
      <c r="B11646" t="s">
        <v>15184</v>
      </c>
      <c r="C11646" t="s">
        <v>112</v>
      </c>
      <c r="D11646">
        <v>431.27707809286102</v>
      </c>
    </row>
    <row r="11647" spans="1:4" hidden="1" x14ac:dyDescent="0.3">
      <c r="A11647">
        <v>11645</v>
      </c>
      <c r="B11647" t="s">
        <v>15185</v>
      </c>
      <c r="C11647" t="s">
        <v>114</v>
      </c>
      <c r="D11647">
        <v>81.379407178465797</v>
      </c>
    </row>
    <row r="11648" spans="1:4" hidden="1" x14ac:dyDescent="0.3">
      <c r="A11648">
        <v>11646</v>
      </c>
      <c r="B11648" s="1" t="s">
        <v>15186</v>
      </c>
      <c r="C11648" t="s">
        <v>116</v>
      </c>
      <c r="D11648" s="1" t="s">
        <v>15187</v>
      </c>
    </row>
    <row r="11649" spans="1:4" hidden="1" x14ac:dyDescent="0.3">
      <c r="A11649">
        <v>11647</v>
      </c>
      <c r="B11649" t="s">
        <v>15188</v>
      </c>
      <c r="C11649" t="s">
        <v>119</v>
      </c>
      <c r="D11649">
        <v>79072712.321999997</v>
      </c>
    </row>
    <row r="11650" spans="1:4" hidden="1" x14ac:dyDescent="0.3">
      <c r="A11650">
        <v>11648</v>
      </c>
      <c r="B11650" t="s">
        <v>15189</v>
      </c>
      <c r="C11650" t="s">
        <v>121</v>
      </c>
      <c r="D11650">
        <v>38564389.815686204</v>
      </c>
    </row>
    <row r="11651" spans="1:4" hidden="1" x14ac:dyDescent="0.3">
      <c r="A11651">
        <v>11649</v>
      </c>
      <c r="B11651" s="1" t="s">
        <v>15190</v>
      </c>
      <c r="C11651" t="s">
        <v>123</v>
      </c>
      <c r="D11651" s="1" t="s">
        <v>15191</v>
      </c>
    </row>
    <row r="11652" spans="1:4" hidden="1" x14ac:dyDescent="0.3">
      <c r="A11652">
        <v>11650</v>
      </c>
      <c r="B11652" t="s">
        <v>15192</v>
      </c>
      <c r="C11652" t="s">
        <v>126</v>
      </c>
      <c r="D11652">
        <v>0.78141760864752896</v>
      </c>
    </row>
    <row r="11653" spans="1:4" hidden="1" x14ac:dyDescent="0.3">
      <c r="A11653">
        <v>11651</v>
      </c>
      <c r="B11653" t="s">
        <v>15193</v>
      </c>
      <c r="C11653" t="s">
        <v>128</v>
      </c>
      <c r="D11653">
        <v>0.38110357396125899</v>
      </c>
    </row>
    <row r="11654" spans="1:4" hidden="1" x14ac:dyDescent="0.3">
      <c r="A11654">
        <v>11652</v>
      </c>
      <c r="B11654" s="1" t="s">
        <v>15194</v>
      </c>
      <c r="C11654" t="s">
        <v>130</v>
      </c>
      <c r="D11654" s="1" t="s">
        <v>15195</v>
      </c>
    </row>
    <row r="11655" spans="1:4" hidden="1" x14ac:dyDescent="0.3">
      <c r="A11655">
        <v>11653</v>
      </c>
      <c r="B11655" s="1" t="s">
        <v>15196</v>
      </c>
      <c r="C11655" t="s">
        <v>4</v>
      </c>
      <c r="D11655" t="s">
        <v>15197</v>
      </c>
    </row>
    <row r="11656" spans="1:4" hidden="1" x14ac:dyDescent="0.3">
      <c r="A11656">
        <v>11654</v>
      </c>
      <c r="B11656" t="s">
        <v>15198</v>
      </c>
      <c r="C11656" t="s">
        <v>7</v>
      </c>
      <c r="D11656">
        <v>1843.06</v>
      </c>
    </row>
    <row r="11657" spans="1:4" hidden="1" x14ac:dyDescent="0.3">
      <c r="A11657">
        <v>11655</v>
      </c>
      <c r="B11657" s="1" t="s">
        <v>15199</v>
      </c>
      <c r="C11657" t="s">
        <v>9</v>
      </c>
      <c r="D11657" s="1" t="s">
        <v>15200</v>
      </c>
    </row>
    <row r="11658" spans="1:4" hidden="1" x14ac:dyDescent="0.3">
      <c r="A11658">
        <v>11656</v>
      </c>
      <c r="B11658" t="s">
        <v>15201</v>
      </c>
      <c r="C11658" t="s">
        <v>14</v>
      </c>
      <c r="D11658">
        <v>95.94921875</v>
      </c>
    </row>
    <row r="11659" spans="1:4" hidden="1" x14ac:dyDescent="0.3">
      <c r="A11659">
        <v>11657</v>
      </c>
      <c r="B11659" t="s">
        <v>15202</v>
      </c>
      <c r="C11659" t="s">
        <v>16</v>
      </c>
      <c r="D11659">
        <v>4.3646416499373997</v>
      </c>
    </row>
    <row r="11660" spans="1:4" hidden="1" x14ac:dyDescent="0.3">
      <c r="A11660">
        <v>11658</v>
      </c>
      <c r="B11660" s="1" t="s">
        <v>15203</v>
      </c>
      <c r="C11660" t="s">
        <v>140</v>
      </c>
      <c r="D11660" s="1" t="s">
        <v>15204</v>
      </c>
    </row>
    <row r="11661" spans="1:4" hidden="1" x14ac:dyDescent="0.3">
      <c r="A11661">
        <v>11659</v>
      </c>
      <c r="B11661" t="s">
        <v>10562</v>
      </c>
      <c r="C11661" t="s">
        <v>22</v>
      </c>
      <c r="D11661">
        <v>68.75</v>
      </c>
    </row>
    <row r="11662" spans="1:4" hidden="1" x14ac:dyDescent="0.3">
      <c r="A11662">
        <v>11660</v>
      </c>
      <c r="B11662" t="s">
        <v>15205</v>
      </c>
      <c r="C11662" t="s">
        <v>24</v>
      </c>
      <c r="D11662">
        <v>6.4068707236467102</v>
      </c>
    </row>
    <row r="11663" spans="1:4" hidden="1" x14ac:dyDescent="0.3">
      <c r="A11663">
        <v>11661</v>
      </c>
      <c r="B11663" s="1" t="s">
        <v>15206</v>
      </c>
      <c r="C11663" t="s">
        <v>145</v>
      </c>
      <c r="D11663" s="1" t="s">
        <v>15207</v>
      </c>
    </row>
    <row r="11664" spans="1:4" hidden="1" x14ac:dyDescent="0.3">
      <c r="A11664">
        <v>11662</v>
      </c>
      <c r="B11664" t="s">
        <v>15208</v>
      </c>
      <c r="C11664" t="s">
        <v>35</v>
      </c>
      <c r="D11664">
        <v>2.1707738055587799E-2</v>
      </c>
    </row>
    <row r="11665" spans="1:4" hidden="1" x14ac:dyDescent="0.3">
      <c r="A11665">
        <v>11663</v>
      </c>
      <c r="B11665" t="s">
        <v>15209</v>
      </c>
      <c r="C11665" t="s">
        <v>149</v>
      </c>
      <c r="D11665">
        <v>0.65992224139324496</v>
      </c>
    </row>
    <row r="11666" spans="1:4" hidden="1" x14ac:dyDescent="0.3">
      <c r="A11666">
        <v>11664</v>
      </c>
      <c r="B11666" s="1" t="s">
        <v>15210</v>
      </c>
      <c r="C11666" t="s">
        <v>151</v>
      </c>
      <c r="D11666" s="1" t="s">
        <v>15211</v>
      </c>
    </row>
    <row r="11667" spans="1:4" hidden="1" x14ac:dyDescent="0.3">
      <c r="A11667">
        <v>11665</v>
      </c>
      <c r="B11667" t="s">
        <v>15212</v>
      </c>
      <c r="C11667" t="s">
        <v>30</v>
      </c>
      <c r="D11667">
        <v>0.38821424026119999</v>
      </c>
    </row>
    <row r="11668" spans="1:4" hidden="1" x14ac:dyDescent="0.3">
      <c r="A11668">
        <v>11666</v>
      </c>
      <c r="B11668" t="s">
        <v>15213</v>
      </c>
      <c r="C11668" t="s">
        <v>32</v>
      </c>
      <c r="D11668">
        <v>0.26781289237303402</v>
      </c>
    </row>
    <row r="11669" spans="1:4" hidden="1" x14ac:dyDescent="0.3">
      <c r="A11669">
        <v>11667</v>
      </c>
      <c r="B11669" s="1" t="s">
        <v>15214</v>
      </c>
      <c r="C11669" t="s">
        <v>155</v>
      </c>
      <c r="D11669" s="1" t="s">
        <v>15215</v>
      </c>
    </row>
    <row r="11670" spans="1:4" hidden="1" x14ac:dyDescent="0.3">
      <c r="A11670">
        <v>11668</v>
      </c>
      <c r="B11670" t="s">
        <v>15216</v>
      </c>
      <c r="C11670" t="s">
        <v>40</v>
      </c>
      <c r="D11670">
        <v>0.590078021683211</v>
      </c>
    </row>
    <row r="11671" spans="1:4" hidden="1" x14ac:dyDescent="0.3">
      <c r="A11671">
        <v>11669</v>
      </c>
      <c r="B11671" t="s">
        <v>15217</v>
      </c>
      <c r="C11671" t="s">
        <v>42</v>
      </c>
      <c r="D11671">
        <v>0.24751715301045299</v>
      </c>
    </row>
    <row r="11672" spans="1:4" hidden="1" x14ac:dyDescent="0.3">
      <c r="A11672">
        <v>11670</v>
      </c>
      <c r="B11672" s="1" t="s">
        <v>15218</v>
      </c>
      <c r="C11672" t="s">
        <v>159</v>
      </c>
      <c r="D11672" s="1" t="s">
        <v>15219</v>
      </c>
    </row>
    <row r="11673" spans="1:4" hidden="1" x14ac:dyDescent="0.3">
      <c r="A11673">
        <v>11671</v>
      </c>
      <c r="B11673" t="s">
        <v>15220</v>
      </c>
      <c r="C11673" t="s">
        <v>161</v>
      </c>
      <c r="D11673">
        <v>1.0041844195752301</v>
      </c>
    </row>
    <row r="11674" spans="1:4" hidden="1" x14ac:dyDescent="0.3">
      <c r="A11674">
        <v>11672</v>
      </c>
      <c r="B11674" t="s">
        <v>15221</v>
      </c>
      <c r="C11674" t="s">
        <v>163</v>
      </c>
      <c r="D11674">
        <v>1.0006614897731001</v>
      </c>
    </row>
    <row r="11675" spans="1:4" hidden="1" x14ac:dyDescent="0.3">
      <c r="A11675">
        <v>11673</v>
      </c>
      <c r="B11675" s="1" t="s">
        <v>15222</v>
      </c>
      <c r="C11675" t="s">
        <v>165</v>
      </c>
      <c r="D11675" s="1" t="s">
        <v>15223</v>
      </c>
    </row>
    <row r="11676" spans="1:4" hidden="1" x14ac:dyDescent="0.3">
      <c r="A11676">
        <v>11674</v>
      </c>
      <c r="B11676" t="s">
        <v>15224</v>
      </c>
      <c r="C11676" t="s">
        <v>168</v>
      </c>
      <c r="D11676">
        <v>0.99867780002645201</v>
      </c>
    </row>
    <row r="11677" spans="1:4" hidden="1" x14ac:dyDescent="0.3">
      <c r="A11677">
        <v>11675</v>
      </c>
      <c r="B11677" t="s">
        <v>15225</v>
      </c>
      <c r="C11677" t="s">
        <v>170</v>
      </c>
      <c r="D11677">
        <v>1.00239111186328</v>
      </c>
    </row>
    <row r="11678" spans="1:4" hidden="1" x14ac:dyDescent="0.3">
      <c r="A11678">
        <v>11676</v>
      </c>
      <c r="B11678" s="1" t="s">
        <v>15226</v>
      </c>
      <c r="C11678" t="s">
        <v>172</v>
      </c>
      <c r="D11678" s="1" t="s">
        <v>15227</v>
      </c>
    </row>
    <row r="11679" spans="1:4" hidden="1" x14ac:dyDescent="0.3">
      <c r="A11679">
        <v>11677</v>
      </c>
      <c r="B11679" s="1" t="s">
        <v>15228</v>
      </c>
      <c r="C11679" t="s">
        <v>55</v>
      </c>
      <c r="D11679" s="1" t="s">
        <v>15229</v>
      </c>
    </row>
    <row r="11680" spans="1:4" hidden="1" x14ac:dyDescent="0.3">
      <c r="A11680">
        <v>11678</v>
      </c>
      <c r="B11680" s="1" t="s">
        <v>15230</v>
      </c>
      <c r="C11680" t="s">
        <v>52</v>
      </c>
      <c r="D11680" s="1" t="s">
        <v>15231</v>
      </c>
    </row>
    <row r="11681" spans="1:4" hidden="1" x14ac:dyDescent="0.3">
      <c r="A11681">
        <v>11679</v>
      </c>
      <c r="B11681" s="1" t="s">
        <v>15232</v>
      </c>
      <c r="C11681" t="s">
        <v>58</v>
      </c>
      <c r="D11681" s="1" t="s">
        <v>15233</v>
      </c>
    </row>
    <row r="11682" spans="1:4" hidden="1" x14ac:dyDescent="0.3">
      <c r="A11682">
        <v>11680</v>
      </c>
      <c r="B11682" t="s">
        <v>15234</v>
      </c>
      <c r="C11682" t="s">
        <v>61</v>
      </c>
      <c r="D11682">
        <v>145419275.03859299</v>
      </c>
    </row>
    <row r="11683" spans="1:4" hidden="1" x14ac:dyDescent="0.3">
      <c r="A11683">
        <v>11681</v>
      </c>
      <c r="B11683" t="s">
        <v>15235</v>
      </c>
      <c r="C11683" t="s">
        <v>63</v>
      </c>
      <c r="D11683">
        <v>79403585.727307305</v>
      </c>
    </row>
    <row r="11684" spans="1:4" hidden="1" x14ac:dyDescent="0.3">
      <c r="A11684">
        <v>11682</v>
      </c>
      <c r="B11684" t="s">
        <v>15236</v>
      </c>
      <c r="C11684" t="s">
        <v>65</v>
      </c>
      <c r="D11684">
        <v>38589899.765155204</v>
      </c>
    </row>
    <row r="11685" spans="1:4" hidden="1" x14ac:dyDescent="0.3">
      <c r="A11685">
        <v>11683</v>
      </c>
      <c r="B11685" s="1" t="s">
        <v>15237</v>
      </c>
      <c r="C11685" t="s">
        <v>67</v>
      </c>
      <c r="D11685" s="1" t="s">
        <v>15238</v>
      </c>
    </row>
    <row r="11686" spans="1:4" hidden="1" x14ac:dyDescent="0.3">
      <c r="A11686">
        <v>11684</v>
      </c>
      <c r="B11686" s="1" t="s">
        <v>15239</v>
      </c>
      <c r="C11686" t="s">
        <v>70</v>
      </c>
      <c r="D11686" s="1" t="s">
        <v>15240</v>
      </c>
    </row>
    <row r="11687" spans="1:4" hidden="1" x14ac:dyDescent="0.3">
      <c r="A11687">
        <v>11685</v>
      </c>
      <c r="B11687" t="s">
        <v>15241</v>
      </c>
      <c r="C11687" t="s">
        <v>73</v>
      </c>
      <c r="D11687">
        <v>1.00041736167484</v>
      </c>
    </row>
    <row r="11688" spans="1:4" hidden="1" x14ac:dyDescent="0.3">
      <c r="A11688">
        <v>11686</v>
      </c>
      <c r="B11688" t="s">
        <v>74</v>
      </c>
      <c r="C11688" t="s">
        <v>75</v>
      </c>
      <c r="D11688">
        <v>2.7397260273972599E-3</v>
      </c>
    </row>
    <row r="11689" spans="1:4" hidden="1" x14ac:dyDescent="0.3">
      <c r="A11689">
        <v>11687</v>
      </c>
      <c r="B11689" t="s">
        <v>76</v>
      </c>
      <c r="C11689" t="s">
        <v>77</v>
      </c>
      <c r="D11689">
        <v>0</v>
      </c>
    </row>
    <row r="11690" spans="1:4" hidden="1" x14ac:dyDescent="0.3">
      <c r="A11690">
        <v>11688</v>
      </c>
      <c r="B11690" t="s">
        <v>78</v>
      </c>
      <c r="C11690" t="s">
        <v>79</v>
      </c>
      <c r="D11690">
        <v>0</v>
      </c>
    </row>
    <row r="11691" spans="1:4" hidden="1" x14ac:dyDescent="0.3">
      <c r="A11691">
        <v>11689</v>
      </c>
      <c r="B11691" s="1" t="s">
        <v>15242</v>
      </c>
      <c r="C11691" t="s">
        <v>81</v>
      </c>
      <c r="D11691" s="1" t="s">
        <v>15243</v>
      </c>
    </row>
    <row r="11692" spans="1:4" hidden="1" x14ac:dyDescent="0.3">
      <c r="A11692">
        <v>11690</v>
      </c>
      <c r="B11692" t="s">
        <v>15244</v>
      </c>
      <c r="C11692" t="s">
        <v>84</v>
      </c>
      <c r="D11692">
        <v>1.00043689566426</v>
      </c>
    </row>
    <row r="11693" spans="1:4" hidden="1" x14ac:dyDescent="0.3">
      <c r="A11693">
        <v>11691</v>
      </c>
      <c r="B11693" s="1" t="s">
        <v>15245</v>
      </c>
      <c r="C11693" t="s">
        <v>86</v>
      </c>
      <c r="D11693" s="1" t="s">
        <v>15246</v>
      </c>
    </row>
    <row r="11694" spans="1:4" hidden="1" x14ac:dyDescent="0.3">
      <c r="A11694">
        <v>11692</v>
      </c>
      <c r="B11694" t="s">
        <v>15247</v>
      </c>
      <c r="C11694" t="s">
        <v>89</v>
      </c>
      <c r="D11694">
        <v>101145589.41397899</v>
      </c>
    </row>
    <row r="11695" spans="1:4" hidden="1" x14ac:dyDescent="0.3">
      <c r="A11695">
        <v>11693</v>
      </c>
      <c r="B11695" s="1" t="s">
        <v>15248</v>
      </c>
      <c r="C11695" t="s">
        <v>91</v>
      </c>
      <c r="D11695" s="1" t="s">
        <v>15183</v>
      </c>
    </row>
    <row r="11696" spans="1:4" hidden="1" x14ac:dyDescent="0.3">
      <c r="A11696">
        <v>11694</v>
      </c>
      <c r="B11696" t="s">
        <v>15249</v>
      </c>
      <c r="C11696" t="s">
        <v>94</v>
      </c>
      <c r="D11696">
        <v>79403585.727307305</v>
      </c>
    </row>
    <row r="11697" spans="1:4" hidden="1" x14ac:dyDescent="0.3">
      <c r="A11697">
        <v>11695</v>
      </c>
      <c r="B11697" t="s">
        <v>15250</v>
      </c>
      <c r="C11697" t="s">
        <v>96</v>
      </c>
      <c r="D11697">
        <v>38589899.765155204</v>
      </c>
    </row>
    <row r="11698" spans="1:4" hidden="1" x14ac:dyDescent="0.3">
      <c r="A11698">
        <v>11696</v>
      </c>
      <c r="B11698" t="s">
        <v>15251</v>
      </c>
      <c r="C11698" t="s">
        <v>98</v>
      </c>
      <c r="D11698">
        <v>27425789.546130501</v>
      </c>
    </row>
    <row r="11699" spans="1:4" hidden="1" x14ac:dyDescent="0.3">
      <c r="A11699">
        <v>11697</v>
      </c>
      <c r="B11699" s="1" t="s">
        <v>15252</v>
      </c>
      <c r="C11699" t="s">
        <v>100</v>
      </c>
      <c r="D11699" s="1" t="s">
        <v>15253</v>
      </c>
    </row>
    <row r="11700" spans="1:4" hidden="1" x14ac:dyDescent="0.3">
      <c r="A11700">
        <v>11698</v>
      </c>
      <c r="B11700" t="s">
        <v>15254</v>
      </c>
      <c r="C11700" t="s">
        <v>103</v>
      </c>
      <c r="D11700">
        <v>7.5925324583424698E-3</v>
      </c>
    </row>
    <row r="11701" spans="1:4" hidden="1" x14ac:dyDescent="0.3">
      <c r="A11701">
        <v>11699</v>
      </c>
      <c r="B11701" t="s">
        <v>15255</v>
      </c>
      <c r="C11701" t="s">
        <v>105</v>
      </c>
      <c r="D11701">
        <v>1.7561449976303E-3</v>
      </c>
    </row>
    <row r="11702" spans="1:4" hidden="1" x14ac:dyDescent="0.3">
      <c r="A11702">
        <v>11700</v>
      </c>
      <c r="B11702" t="s">
        <v>15256</v>
      </c>
      <c r="C11702" t="s">
        <v>107</v>
      </c>
      <c r="D11702">
        <v>9.9868239843533494E-3</v>
      </c>
    </row>
    <row r="11703" spans="1:4" hidden="1" x14ac:dyDescent="0.3">
      <c r="A11703">
        <v>11701</v>
      </c>
      <c r="B11703" s="1" t="s">
        <v>15257</v>
      </c>
      <c r="C11703" t="s">
        <v>109</v>
      </c>
      <c r="D11703" s="1" t="s">
        <v>15258</v>
      </c>
    </row>
    <row r="11704" spans="1:4" x14ac:dyDescent="0.3">
      <c r="A11704">
        <v>11702</v>
      </c>
      <c r="B11704" t="s">
        <v>15259</v>
      </c>
      <c r="C11704" t="s">
        <v>207</v>
      </c>
      <c r="D11704">
        <v>145419962.490953</v>
      </c>
    </row>
    <row r="11705" spans="1:4" hidden="1" x14ac:dyDescent="0.3">
      <c r="A11705">
        <v>11703</v>
      </c>
      <c r="B11705" t="s">
        <v>15260</v>
      </c>
      <c r="C11705" t="s">
        <v>209</v>
      </c>
      <c r="D11705">
        <v>-1550.4311639867601</v>
      </c>
    </row>
    <row r="11706" spans="1:4" hidden="1" x14ac:dyDescent="0.3">
      <c r="A11706">
        <v>11704</v>
      </c>
      <c r="B11706" t="s">
        <v>15261</v>
      </c>
      <c r="C11706" t="s">
        <v>211</v>
      </c>
      <c r="D11706">
        <v>-753.50282043255697</v>
      </c>
    </row>
    <row r="11707" spans="1:4" hidden="1" x14ac:dyDescent="0.3">
      <c r="A11707">
        <v>11705</v>
      </c>
      <c r="B11707" s="1" t="s">
        <v>15262</v>
      </c>
      <c r="C11707" t="s">
        <v>213</v>
      </c>
      <c r="D11707" s="1" t="s">
        <v>15263</v>
      </c>
    </row>
    <row r="11708" spans="1:4" hidden="1" x14ac:dyDescent="0.3">
      <c r="A11708">
        <v>11706</v>
      </c>
      <c r="B11708" t="s">
        <v>15264</v>
      </c>
      <c r="C11708" t="s">
        <v>216</v>
      </c>
      <c r="D11708">
        <v>79405619.983775303</v>
      </c>
    </row>
    <row r="11709" spans="1:4" hidden="1" x14ac:dyDescent="0.3">
      <c r="A11709">
        <v>11707</v>
      </c>
      <c r="B11709" t="s">
        <v>15265</v>
      </c>
      <c r="C11709" t="s">
        <v>218</v>
      </c>
      <c r="D11709">
        <v>38590786.8764183</v>
      </c>
    </row>
    <row r="11710" spans="1:4" hidden="1" x14ac:dyDescent="0.3">
      <c r="A11710">
        <v>11708</v>
      </c>
      <c r="B11710" t="s">
        <v>15266</v>
      </c>
      <c r="C11710" t="s">
        <v>220</v>
      </c>
      <c r="D11710">
        <v>27426395.077692401</v>
      </c>
    </row>
    <row r="11711" spans="1:4" hidden="1" x14ac:dyDescent="0.3">
      <c r="A11711">
        <v>11709</v>
      </c>
      <c r="B11711" s="1" t="s">
        <v>15267</v>
      </c>
      <c r="C11711" t="s">
        <v>222</v>
      </c>
      <c r="D11711" s="1" t="s">
        <v>15268</v>
      </c>
    </row>
    <row r="11712" spans="1:4" hidden="1" x14ac:dyDescent="0.3">
      <c r="A11712">
        <v>11710</v>
      </c>
      <c r="B11712" t="s">
        <v>15269</v>
      </c>
      <c r="C11712" t="s">
        <v>225</v>
      </c>
      <c r="D11712">
        <v>101147564.366583</v>
      </c>
    </row>
    <row r="11713" spans="1:4" hidden="1" x14ac:dyDescent="0.3">
      <c r="A11713">
        <v>11711</v>
      </c>
      <c r="B11713" t="s">
        <v>15270</v>
      </c>
      <c r="C11713" t="s">
        <v>227</v>
      </c>
      <c r="D11713">
        <v>-1974.9526039510899</v>
      </c>
    </row>
    <row r="11714" spans="1:4" hidden="1" x14ac:dyDescent="0.3">
      <c r="A11714">
        <v>11712</v>
      </c>
      <c r="B11714" s="1" t="s">
        <v>15271</v>
      </c>
      <c r="C11714" t="s">
        <v>229</v>
      </c>
      <c r="D11714" s="1" t="s">
        <v>15272</v>
      </c>
    </row>
    <row r="11715" spans="1:4" hidden="1" x14ac:dyDescent="0.3">
      <c r="A11715">
        <v>11713</v>
      </c>
      <c r="B11715" t="s">
        <v>15273</v>
      </c>
      <c r="C11715" t="s">
        <v>112</v>
      </c>
      <c r="D11715">
        <v>483.825304022843</v>
      </c>
    </row>
    <row r="11716" spans="1:4" hidden="1" x14ac:dyDescent="0.3">
      <c r="A11716">
        <v>11714</v>
      </c>
      <c r="B11716" t="s">
        <v>15274</v>
      </c>
      <c r="C11716" t="s">
        <v>114</v>
      </c>
      <c r="D11716">
        <v>133.60844266118099</v>
      </c>
    </row>
    <row r="11717" spans="1:4" hidden="1" x14ac:dyDescent="0.3">
      <c r="A11717">
        <v>11715</v>
      </c>
      <c r="B11717" s="1" t="s">
        <v>15275</v>
      </c>
      <c r="C11717" t="s">
        <v>116</v>
      </c>
      <c r="D11717" s="1" t="s">
        <v>15276</v>
      </c>
    </row>
    <row r="11718" spans="1:4" hidden="1" x14ac:dyDescent="0.3">
      <c r="A11718">
        <v>11716</v>
      </c>
      <c r="B11718" t="s">
        <v>15277</v>
      </c>
      <c r="C11718" t="s">
        <v>119</v>
      </c>
      <c r="D11718">
        <v>79405619.983775303</v>
      </c>
    </row>
    <row r="11719" spans="1:4" hidden="1" x14ac:dyDescent="0.3">
      <c r="A11719">
        <v>11717</v>
      </c>
      <c r="B11719" t="s">
        <v>15278</v>
      </c>
      <c r="C11719" t="s">
        <v>121</v>
      </c>
      <c r="D11719">
        <v>38590786.8764183</v>
      </c>
    </row>
    <row r="11720" spans="1:4" hidden="1" x14ac:dyDescent="0.3">
      <c r="A11720">
        <v>11718</v>
      </c>
      <c r="B11720" s="1" t="s">
        <v>15279</v>
      </c>
      <c r="C11720" t="s">
        <v>123</v>
      </c>
      <c r="D11720" s="1" t="s">
        <v>15280</v>
      </c>
    </row>
    <row r="11721" spans="1:4" hidden="1" x14ac:dyDescent="0.3">
      <c r="A11721">
        <v>11719</v>
      </c>
      <c r="B11721" t="s">
        <v>15281</v>
      </c>
      <c r="C11721" t="s">
        <v>126</v>
      </c>
      <c r="D11721">
        <v>0.78470444305687503</v>
      </c>
    </row>
    <row r="11722" spans="1:4" hidden="1" x14ac:dyDescent="0.3">
      <c r="A11722">
        <v>11720</v>
      </c>
      <c r="B11722" t="s">
        <v>15282</v>
      </c>
      <c r="C11722" t="s">
        <v>128</v>
      </c>
      <c r="D11722">
        <v>0.38136295553354899</v>
      </c>
    </row>
    <row r="11723" spans="1:4" hidden="1" x14ac:dyDescent="0.3">
      <c r="A11723">
        <v>11721</v>
      </c>
      <c r="B11723" s="1" t="s">
        <v>15283</v>
      </c>
      <c r="C11723" t="s">
        <v>130</v>
      </c>
      <c r="D11723" s="1" t="s">
        <v>15284</v>
      </c>
    </row>
    <row r="11724" spans="1:4" hidden="1" x14ac:dyDescent="0.3">
      <c r="A11724">
        <v>11722</v>
      </c>
      <c r="B11724" s="1" t="s">
        <v>15285</v>
      </c>
      <c r="C11724" t="s">
        <v>4</v>
      </c>
      <c r="D11724" t="s">
        <v>15286</v>
      </c>
    </row>
    <row r="11725" spans="1:4" hidden="1" x14ac:dyDescent="0.3">
      <c r="A11725">
        <v>11723</v>
      </c>
      <c r="B11725" t="s">
        <v>15287</v>
      </c>
      <c r="C11725" t="s">
        <v>7</v>
      </c>
      <c r="D11725">
        <v>1848.02</v>
      </c>
    </row>
    <row r="11726" spans="1:4" hidden="1" x14ac:dyDescent="0.3">
      <c r="A11726">
        <v>11724</v>
      </c>
      <c r="B11726" s="1" t="s">
        <v>15288</v>
      </c>
      <c r="C11726" t="s">
        <v>9</v>
      </c>
      <c r="D11726" s="1" t="s">
        <v>15289</v>
      </c>
    </row>
    <row r="11727" spans="1:4" hidden="1" x14ac:dyDescent="0.3">
      <c r="A11727">
        <v>11725</v>
      </c>
      <c r="B11727" t="s">
        <v>15290</v>
      </c>
      <c r="C11727" t="s">
        <v>14</v>
      </c>
      <c r="D11727">
        <v>95.91796875</v>
      </c>
    </row>
    <row r="11728" spans="1:4" hidden="1" x14ac:dyDescent="0.3">
      <c r="A11728">
        <v>11726</v>
      </c>
      <c r="B11728" t="s">
        <v>15291</v>
      </c>
      <c r="C11728" t="s">
        <v>16</v>
      </c>
      <c r="D11728">
        <v>4.3623643283434301</v>
      </c>
    </row>
    <row r="11729" spans="1:4" hidden="1" x14ac:dyDescent="0.3">
      <c r="A11729">
        <v>11727</v>
      </c>
      <c r="B11729" s="1" t="s">
        <v>15292</v>
      </c>
      <c r="C11729" t="s">
        <v>140</v>
      </c>
      <c r="D11729" s="1" t="s">
        <v>15293</v>
      </c>
    </row>
    <row r="11730" spans="1:4" hidden="1" x14ac:dyDescent="0.3">
      <c r="A11730">
        <v>11728</v>
      </c>
      <c r="B11730" t="s">
        <v>7780</v>
      </c>
      <c r="C11730" t="s">
        <v>22</v>
      </c>
      <c r="D11730">
        <v>68</v>
      </c>
    </row>
    <row r="11731" spans="1:4" hidden="1" x14ac:dyDescent="0.3">
      <c r="A11731">
        <v>11729</v>
      </c>
      <c r="B11731" t="s">
        <v>15294</v>
      </c>
      <c r="C11731" t="s">
        <v>24</v>
      </c>
      <c r="D11731">
        <v>6.4093011337263404</v>
      </c>
    </row>
    <row r="11732" spans="1:4" hidden="1" x14ac:dyDescent="0.3">
      <c r="A11732">
        <v>11730</v>
      </c>
      <c r="B11732" s="1" t="s">
        <v>15295</v>
      </c>
      <c r="C11732" t="s">
        <v>145</v>
      </c>
      <c r="D11732" s="1" t="s">
        <v>15296</v>
      </c>
    </row>
    <row r="11733" spans="1:4" hidden="1" x14ac:dyDescent="0.3">
      <c r="A11733">
        <v>11731</v>
      </c>
      <c r="B11733" t="s">
        <v>15297</v>
      </c>
      <c r="C11733" t="s">
        <v>35</v>
      </c>
      <c r="D11733">
        <v>-0.30630896814664699</v>
      </c>
    </row>
    <row r="11734" spans="1:4" hidden="1" x14ac:dyDescent="0.3">
      <c r="A11734">
        <v>11732</v>
      </c>
      <c r="B11734" t="s">
        <v>15298</v>
      </c>
      <c r="C11734" t="s">
        <v>149</v>
      </c>
      <c r="D11734">
        <v>0.66147024466332105</v>
      </c>
    </row>
    <row r="11735" spans="1:4" hidden="1" x14ac:dyDescent="0.3">
      <c r="A11735">
        <v>11733</v>
      </c>
      <c r="B11735" s="1" t="s">
        <v>15299</v>
      </c>
      <c r="C11735" t="s">
        <v>151</v>
      </c>
      <c r="D11735" s="1" t="s">
        <v>15300</v>
      </c>
    </row>
    <row r="11736" spans="1:4" hidden="1" x14ac:dyDescent="0.3">
      <c r="A11736">
        <v>11734</v>
      </c>
      <c r="B11736" t="s">
        <v>15301</v>
      </c>
      <c r="C11736" t="s">
        <v>30</v>
      </c>
      <c r="D11736">
        <v>0.51581048384318995</v>
      </c>
    </row>
    <row r="11737" spans="1:4" hidden="1" x14ac:dyDescent="0.3">
      <c r="A11737">
        <v>11735</v>
      </c>
      <c r="B11737" t="s">
        <v>15302</v>
      </c>
      <c r="C11737" t="s">
        <v>32</v>
      </c>
      <c r="D11737">
        <v>0.26695128066046903</v>
      </c>
    </row>
    <row r="11738" spans="1:4" hidden="1" x14ac:dyDescent="0.3">
      <c r="A11738">
        <v>11736</v>
      </c>
      <c r="B11738" s="1" t="s">
        <v>15303</v>
      </c>
      <c r="C11738" t="s">
        <v>155</v>
      </c>
      <c r="D11738" s="1" t="s">
        <v>15304</v>
      </c>
    </row>
    <row r="11739" spans="1:4" hidden="1" x14ac:dyDescent="0.3">
      <c r="A11739">
        <v>11737</v>
      </c>
      <c r="B11739" t="s">
        <v>15305</v>
      </c>
      <c r="C11739" t="s">
        <v>40</v>
      </c>
      <c r="D11739">
        <v>0.79049848430345704</v>
      </c>
    </row>
    <row r="11740" spans="1:4" hidden="1" x14ac:dyDescent="0.3">
      <c r="A11740">
        <v>11738</v>
      </c>
      <c r="B11740" t="s">
        <v>15306</v>
      </c>
      <c r="C11740" t="s">
        <v>42</v>
      </c>
      <c r="D11740">
        <v>0.24483251924270599</v>
      </c>
    </row>
    <row r="11741" spans="1:4" hidden="1" x14ac:dyDescent="0.3">
      <c r="A11741">
        <v>11739</v>
      </c>
      <c r="B11741" s="1" t="s">
        <v>15307</v>
      </c>
      <c r="C11741" t="s">
        <v>159</v>
      </c>
      <c r="D11741" s="1" t="s">
        <v>15308</v>
      </c>
    </row>
    <row r="11742" spans="1:4" hidden="1" x14ac:dyDescent="0.3">
      <c r="A11742">
        <v>11740</v>
      </c>
      <c r="B11742" t="s">
        <v>15309</v>
      </c>
      <c r="C11742" t="s">
        <v>161</v>
      </c>
      <c r="D11742">
        <v>1.0026911766301601</v>
      </c>
    </row>
    <row r="11743" spans="1:4" hidden="1" x14ac:dyDescent="0.3">
      <c r="A11743">
        <v>11741</v>
      </c>
      <c r="B11743" t="s">
        <v>15310</v>
      </c>
      <c r="C11743" t="s">
        <v>163</v>
      </c>
      <c r="D11743">
        <v>0.99966577578152904</v>
      </c>
    </row>
    <row r="11744" spans="1:4" hidden="1" x14ac:dyDescent="0.3">
      <c r="A11744">
        <v>11742</v>
      </c>
      <c r="B11744" s="1" t="s">
        <v>15311</v>
      </c>
      <c r="C11744" t="s">
        <v>165</v>
      </c>
      <c r="D11744" s="1" t="s">
        <v>15312</v>
      </c>
    </row>
    <row r="11745" spans="1:4" hidden="1" x14ac:dyDescent="0.3">
      <c r="A11745">
        <v>11743</v>
      </c>
      <c r="B11745" t="s">
        <v>15313</v>
      </c>
      <c r="C11745" t="s">
        <v>168</v>
      </c>
      <c r="D11745">
        <v>1.0009325757746199</v>
      </c>
    </row>
    <row r="11746" spans="1:4" hidden="1" x14ac:dyDescent="0.3">
      <c r="A11746">
        <v>11744</v>
      </c>
      <c r="B11746" t="s">
        <v>15314</v>
      </c>
      <c r="C11746" t="s">
        <v>170</v>
      </c>
      <c r="D11746">
        <v>0.99932039521151095</v>
      </c>
    </row>
    <row r="11747" spans="1:4" hidden="1" x14ac:dyDescent="0.3">
      <c r="A11747">
        <v>11745</v>
      </c>
      <c r="B11747" s="1" t="s">
        <v>15315</v>
      </c>
      <c r="C11747" t="s">
        <v>172</v>
      </c>
      <c r="D11747" s="1" t="s">
        <v>15316</v>
      </c>
    </row>
    <row r="11748" spans="1:4" hidden="1" x14ac:dyDescent="0.3">
      <c r="A11748">
        <v>11746</v>
      </c>
      <c r="B11748" s="1" t="s">
        <v>15317</v>
      </c>
      <c r="C11748" t="s">
        <v>55</v>
      </c>
      <c r="D11748" s="1" t="s">
        <v>15318</v>
      </c>
    </row>
    <row r="11749" spans="1:4" hidden="1" x14ac:dyDescent="0.3">
      <c r="A11749">
        <v>11747</v>
      </c>
      <c r="B11749" s="1" t="s">
        <v>15319</v>
      </c>
      <c r="C11749" t="s">
        <v>52</v>
      </c>
      <c r="D11749" s="1" t="s">
        <v>15320</v>
      </c>
    </row>
    <row r="11750" spans="1:4" hidden="1" x14ac:dyDescent="0.3">
      <c r="A11750">
        <v>11748</v>
      </c>
      <c r="B11750" s="1" t="s">
        <v>15321</v>
      </c>
      <c r="C11750" t="s">
        <v>58</v>
      </c>
      <c r="D11750" s="1" t="s">
        <v>15322</v>
      </c>
    </row>
    <row r="11751" spans="1:4" hidden="1" x14ac:dyDescent="0.3">
      <c r="A11751">
        <v>11749</v>
      </c>
      <c r="B11751" t="s">
        <v>15323</v>
      </c>
      <c r="C11751" t="s">
        <v>61</v>
      </c>
      <c r="D11751">
        <v>145350793.92619199</v>
      </c>
    </row>
    <row r="11752" spans="1:4" hidden="1" x14ac:dyDescent="0.3">
      <c r="A11752">
        <v>11750</v>
      </c>
      <c r="B11752" t="s">
        <v>15324</v>
      </c>
      <c r="C11752" t="s">
        <v>63</v>
      </c>
      <c r="D11752">
        <v>79619314.532579705</v>
      </c>
    </row>
    <row r="11753" spans="1:4" hidden="1" x14ac:dyDescent="0.3">
      <c r="A11753">
        <v>11751</v>
      </c>
      <c r="B11753" t="s">
        <v>15325</v>
      </c>
      <c r="C11753" t="s">
        <v>65</v>
      </c>
      <c r="D11753">
        <v>38577888.9008343</v>
      </c>
    </row>
    <row r="11754" spans="1:4" hidden="1" x14ac:dyDescent="0.3">
      <c r="A11754">
        <v>11752</v>
      </c>
      <c r="B11754" s="1" t="s">
        <v>15326</v>
      </c>
      <c r="C11754" t="s">
        <v>67</v>
      </c>
      <c r="D11754" s="1" t="s">
        <v>15327</v>
      </c>
    </row>
    <row r="11755" spans="1:4" hidden="1" x14ac:dyDescent="0.3">
      <c r="A11755">
        <v>11753</v>
      </c>
      <c r="B11755" s="1" t="s">
        <v>15328</v>
      </c>
      <c r="C11755" t="s">
        <v>70</v>
      </c>
      <c r="D11755" s="1" t="s">
        <v>15329</v>
      </c>
    </row>
    <row r="11756" spans="1:4" hidden="1" x14ac:dyDescent="0.3">
      <c r="A11756">
        <v>11754</v>
      </c>
      <c r="B11756" t="s">
        <v>15330</v>
      </c>
      <c r="C11756" t="s">
        <v>73</v>
      </c>
      <c r="D11756">
        <v>1.00043689566426</v>
      </c>
    </row>
    <row r="11757" spans="1:4" hidden="1" x14ac:dyDescent="0.3">
      <c r="A11757">
        <v>11755</v>
      </c>
      <c r="B11757" t="s">
        <v>74</v>
      </c>
      <c r="C11757" t="s">
        <v>75</v>
      </c>
      <c r="D11757">
        <v>2.7397260273972599E-3</v>
      </c>
    </row>
    <row r="11758" spans="1:4" hidden="1" x14ac:dyDescent="0.3">
      <c r="A11758">
        <v>11756</v>
      </c>
      <c r="B11758" t="s">
        <v>76</v>
      </c>
      <c r="C11758" t="s">
        <v>77</v>
      </c>
      <c r="D11758">
        <v>0</v>
      </c>
    </row>
    <row r="11759" spans="1:4" hidden="1" x14ac:dyDescent="0.3">
      <c r="A11759">
        <v>11757</v>
      </c>
      <c r="B11759" t="s">
        <v>78</v>
      </c>
      <c r="C11759" t="s">
        <v>79</v>
      </c>
      <c r="D11759">
        <v>0</v>
      </c>
    </row>
    <row r="11760" spans="1:4" hidden="1" x14ac:dyDescent="0.3">
      <c r="A11760">
        <v>11758</v>
      </c>
      <c r="B11760" s="1" t="s">
        <v>15331</v>
      </c>
      <c r="C11760" t="s">
        <v>81</v>
      </c>
      <c r="D11760" s="1" t="s">
        <v>15332</v>
      </c>
    </row>
    <row r="11761" spans="1:4" hidden="1" x14ac:dyDescent="0.3">
      <c r="A11761">
        <v>11759</v>
      </c>
      <c r="B11761" t="s">
        <v>15333</v>
      </c>
      <c r="C11761" t="s">
        <v>84</v>
      </c>
      <c r="D11761">
        <v>1.00045763447814</v>
      </c>
    </row>
    <row r="11762" spans="1:4" hidden="1" x14ac:dyDescent="0.3">
      <c r="A11762">
        <v>11760</v>
      </c>
      <c r="B11762" s="1" t="s">
        <v>15334</v>
      </c>
      <c r="C11762" t="s">
        <v>86</v>
      </c>
      <c r="D11762" s="1" t="s">
        <v>15335</v>
      </c>
    </row>
    <row r="11763" spans="1:4" hidden="1" x14ac:dyDescent="0.3">
      <c r="A11763">
        <v>11761</v>
      </c>
      <c r="B11763" t="s">
        <v>15336</v>
      </c>
      <c r="C11763" t="s">
        <v>89</v>
      </c>
      <c r="D11763">
        <v>101143492.73393799</v>
      </c>
    </row>
    <row r="11764" spans="1:4" hidden="1" x14ac:dyDescent="0.3">
      <c r="A11764">
        <v>11762</v>
      </c>
      <c r="B11764" s="1" t="s">
        <v>15337</v>
      </c>
      <c r="C11764" t="s">
        <v>91</v>
      </c>
      <c r="D11764" s="1" t="s">
        <v>15272</v>
      </c>
    </row>
    <row r="11765" spans="1:4" hidden="1" x14ac:dyDescent="0.3">
      <c r="A11765">
        <v>11763</v>
      </c>
      <c r="B11765" t="s">
        <v>15338</v>
      </c>
      <c r="C11765" t="s">
        <v>94</v>
      </c>
      <c r="D11765">
        <v>79619314.532579705</v>
      </c>
    </row>
    <row r="11766" spans="1:4" hidden="1" x14ac:dyDescent="0.3">
      <c r="A11766">
        <v>11764</v>
      </c>
      <c r="B11766" t="s">
        <v>15339</v>
      </c>
      <c r="C11766" t="s">
        <v>96</v>
      </c>
      <c r="D11766">
        <v>38577888.9008343</v>
      </c>
    </row>
    <row r="11767" spans="1:4" hidden="1" x14ac:dyDescent="0.3">
      <c r="A11767">
        <v>11765</v>
      </c>
      <c r="B11767" t="s">
        <v>15340</v>
      </c>
      <c r="C11767" t="s">
        <v>98</v>
      </c>
      <c r="D11767">
        <v>27153590.492777999</v>
      </c>
    </row>
    <row r="11768" spans="1:4" hidden="1" x14ac:dyDescent="0.3">
      <c r="A11768">
        <v>11766</v>
      </c>
      <c r="B11768" s="1" t="s">
        <v>15341</v>
      </c>
      <c r="C11768" t="s">
        <v>100</v>
      </c>
      <c r="D11768" s="1" t="s">
        <v>15342</v>
      </c>
    </row>
    <row r="11769" spans="1:4" hidden="1" x14ac:dyDescent="0.3">
      <c r="A11769">
        <v>11767</v>
      </c>
      <c r="B11769" t="s">
        <v>15343</v>
      </c>
      <c r="C11769" t="s">
        <v>103</v>
      </c>
      <c r="D11769">
        <v>7.6012825391095599E-3</v>
      </c>
    </row>
    <row r="11770" spans="1:4" hidden="1" x14ac:dyDescent="0.3">
      <c r="A11770">
        <v>11768</v>
      </c>
      <c r="B11770" t="s">
        <v>15344</v>
      </c>
      <c r="C11770" t="s">
        <v>105</v>
      </c>
      <c r="D11770">
        <v>1.7543354193566101E-3</v>
      </c>
    </row>
    <row r="11771" spans="1:4" hidden="1" x14ac:dyDescent="0.3">
      <c r="A11771">
        <v>11769</v>
      </c>
      <c r="B11771" t="s">
        <v>15345</v>
      </c>
      <c r="C11771" t="s">
        <v>107</v>
      </c>
      <c r="D11771">
        <v>1.00208650040895E-2</v>
      </c>
    </row>
    <row r="11772" spans="1:4" hidden="1" x14ac:dyDescent="0.3">
      <c r="A11772">
        <v>11770</v>
      </c>
      <c r="B11772" s="1" t="s">
        <v>15346</v>
      </c>
      <c r="C11772" t="s">
        <v>109</v>
      </c>
      <c r="D11772" s="1" t="s">
        <v>15347</v>
      </c>
    </row>
    <row r="11773" spans="1:4" x14ac:dyDescent="0.3">
      <c r="A11773">
        <v>11771</v>
      </c>
      <c r="B11773" t="s">
        <v>15348</v>
      </c>
      <c r="C11773" t="s">
        <v>207</v>
      </c>
      <c r="D11773">
        <v>145351525.07361501</v>
      </c>
    </row>
    <row r="11774" spans="1:4" hidden="1" x14ac:dyDescent="0.3">
      <c r="A11774">
        <v>11772</v>
      </c>
      <c r="B11774" t="s">
        <v>15349</v>
      </c>
      <c r="C11774" t="s">
        <v>209</v>
      </c>
      <c r="D11774">
        <v>-1650.49973824275</v>
      </c>
    </row>
    <row r="11775" spans="1:4" hidden="1" x14ac:dyDescent="0.3">
      <c r="A11775">
        <v>11773</v>
      </c>
      <c r="B11775" t="s">
        <v>15350</v>
      </c>
      <c r="C11775" t="s">
        <v>211</v>
      </c>
      <c r="D11775">
        <v>-799.71322136375898</v>
      </c>
    </row>
    <row r="11776" spans="1:4" hidden="1" x14ac:dyDescent="0.3">
      <c r="A11776">
        <v>11774</v>
      </c>
      <c r="B11776" s="1" t="s">
        <v>15351</v>
      </c>
      <c r="C11776" t="s">
        <v>213</v>
      </c>
      <c r="D11776" s="1" t="s">
        <v>15352</v>
      </c>
    </row>
    <row r="11777" spans="1:4" hidden="1" x14ac:dyDescent="0.3">
      <c r="A11777">
        <v>11775</v>
      </c>
      <c r="B11777" t="s">
        <v>15353</v>
      </c>
      <c r="C11777" t="s">
        <v>216</v>
      </c>
      <c r="D11777">
        <v>79621480.450798705</v>
      </c>
    </row>
    <row r="11778" spans="1:4" hidden="1" x14ac:dyDescent="0.3">
      <c r="A11778">
        <v>11776</v>
      </c>
      <c r="B11778" t="s">
        <v>15354</v>
      </c>
      <c r="C11778" t="s">
        <v>218</v>
      </c>
      <c r="D11778">
        <v>38578831.093213104</v>
      </c>
    </row>
    <row r="11779" spans="1:4" hidden="1" x14ac:dyDescent="0.3">
      <c r="A11779">
        <v>11777</v>
      </c>
      <c r="B11779" t="s">
        <v>15355</v>
      </c>
      <c r="C11779" t="s">
        <v>220</v>
      </c>
      <c r="D11779">
        <v>27154226.6314184</v>
      </c>
    </row>
    <row r="11780" spans="1:4" hidden="1" x14ac:dyDescent="0.3">
      <c r="A11780">
        <v>11778</v>
      </c>
      <c r="B11780" s="1" t="s">
        <v>15356</v>
      </c>
      <c r="C11780" t="s">
        <v>222</v>
      </c>
      <c r="D11780" s="1" t="s">
        <v>15357</v>
      </c>
    </row>
    <row r="11781" spans="1:4" hidden="1" x14ac:dyDescent="0.3">
      <c r="A11781">
        <v>11779</v>
      </c>
      <c r="B11781" t="s">
        <v>15358</v>
      </c>
      <c r="C11781" t="s">
        <v>225</v>
      </c>
      <c r="D11781">
        <v>101145589.41397899</v>
      </c>
    </row>
    <row r="11782" spans="1:4" hidden="1" x14ac:dyDescent="0.3">
      <c r="A11782">
        <v>11780</v>
      </c>
      <c r="B11782" t="s">
        <v>15359</v>
      </c>
      <c r="C11782" t="s">
        <v>227</v>
      </c>
      <c r="D11782">
        <v>-2096.6800404488999</v>
      </c>
    </row>
    <row r="11783" spans="1:4" hidden="1" x14ac:dyDescent="0.3">
      <c r="A11783">
        <v>11781</v>
      </c>
      <c r="B11783" s="1" t="s">
        <v>15360</v>
      </c>
      <c r="C11783" t="s">
        <v>229</v>
      </c>
      <c r="D11783" s="1" t="s">
        <v>15361</v>
      </c>
    </row>
    <row r="11784" spans="1:4" hidden="1" x14ac:dyDescent="0.3">
      <c r="A11784">
        <v>11782</v>
      </c>
      <c r="B11784" t="s">
        <v>15362</v>
      </c>
      <c r="C11784" t="s">
        <v>112</v>
      </c>
      <c r="D11784">
        <v>515.418480765342</v>
      </c>
    </row>
    <row r="11785" spans="1:4" hidden="1" x14ac:dyDescent="0.3">
      <c r="A11785">
        <v>11783</v>
      </c>
      <c r="B11785" t="s">
        <v>15363</v>
      </c>
      <c r="C11785" t="s">
        <v>114</v>
      </c>
      <c r="D11785">
        <v>142.479157380679</v>
      </c>
    </row>
    <row r="11786" spans="1:4" hidden="1" x14ac:dyDescent="0.3">
      <c r="A11786">
        <v>11784</v>
      </c>
      <c r="B11786" s="1" t="s">
        <v>15364</v>
      </c>
      <c r="C11786" t="s">
        <v>116</v>
      </c>
      <c r="D11786" s="1" t="s">
        <v>15365</v>
      </c>
    </row>
    <row r="11787" spans="1:4" hidden="1" x14ac:dyDescent="0.3">
      <c r="A11787">
        <v>11785</v>
      </c>
      <c r="B11787" t="s">
        <v>15366</v>
      </c>
      <c r="C11787" t="s">
        <v>119</v>
      </c>
      <c r="D11787">
        <v>79621480.450798705</v>
      </c>
    </row>
    <row r="11788" spans="1:4" hidden="1" x14ac:dyDescent="0.3">
      <c r="A11788">
        <v>11786</v>
      </c>
      <c r="B11788" t="s">
        <v>15367</v>
      </c>
      <c r="C11788" t="s">
        <v>121</v>
      </c>
      <c r="D11788">
        <v>38578831.093213104</v>
      </c>
    </row>
    <row r="11789" spans="1:4" hidden="1" x14ac:dyDescent="0.3">
      <c r="A11789">
        <v>11787</v>
      </c>
      <c r="B11789" s="1" t="s">
        <v>15368</v>
      </c>
      <c r="C11789" t="s">
        <v>123</v>
      </c>
      <c r="D11789" s="1" t="s">
        <v>15369</v>
      </c>
    </row>
    <row r="11790" spans="1:4" hidden="1" x14ac:dyDescent="0.3">
      <c r="A11790">
        <v>11788</v>
      </c>
      <c r="B11790" t="s">
        <v>15370</v>
      </c>
      <c r="C11790" t="s">
        <v>126</v>
      </c>
      <c r="D11790">
        <v>0.78683667814574099</v>
      </c>
    </row>
    <row r="11791" spans="1:4" hidden="1" x14ac:dyDescent="0.3">
      <c r="A11791">
        <v>11789</v>
      </c>
      <c r="B11791" t="s">
        <v>15371</v>
      </c>
      <c r="C11791" t="s">
        <v>128</v>
      </c>
      <c r="D11791">
        <v>0.381244346780101</v>
      </c>
    </row>
    <row r="11792" spans="1:4" hidden="1" x14ac:dyDescent="0.3">
      <c r="A11792">
        <v>11790</v>
      </c>
      <c r="B11792" s="1" t="s">
        <v>15372</v>
      </c>
      <c r="C11792" t="s">
        <v>130</v>
      </c>
      <c r="D11792" s="1" t="s">
        <v>15373</v>
      </c>
    </row>
    <row r="11793" spans="1:4" hidden="1" x14ac:dyDescent="0.3">
      <c r="A11793">
        <v>11791</v>
      </c>
      <c r="B11793" s="1" t="s">
        <v>15374</v>
      </c>
      <c r="C11793" t="s">
        <v>4</v>
      </c>
      <c r="D11793" t="s">
        <v>15375</v>
      </c>
    </row>
    <row r="11794" spans="1:4" hidden="1" x14ac:dyDescent="0.3">
      <c r="A11794">
        <v>11792</v>
      </c>
      <c r="B11794" t="s">
        <v>15376</v>
      </c>
      <c r="C11794" t="s">
        <v>7</v>
      </c>
      <c r="D11794">
        <v>1819.59</v>
      </c>
    </row>
    <row r="11795" spans="1:4" hidden="1" x14ac:dyDescent="0.3">
      <c r="A11795">
        <v>11793</v>
      </c>
      <c r="B11795" s="1" t="s">
        <v>15377</v>
      </c>
      <c r="C11795" t="s">
        <v>9</v>
      </c>
      <c r="D11795" s="1" t="s">
        <v>15378</v>
      </c>
    </row>
    <row r="11796" spans="1:4" hidden="1" x14ac:dyDescent="0.3">
      <c r="A11796">
        <v>11794</v>
      </c>
      <c r="B11796" t="s">
        <v>15379</v>
      </c>
      <c r="C11796" t="s">
        <v>14</v>
      </c>
      <c r="D11796">
        <v>95.453125</v>
      </c>
    </row>
    <row r="11797" spans="1:4" hidden="1" x14ac:dyDescent="0.3">
      <c r="A11797">
        <v>11795</v>
      </c>
      <c r="B11797" t="s">
        <v>15380</v>
      </c>
      <c r="C11797" t="s">
        <v>16</v>
      </c>
      <c r="D11797">
        <v>4.3576397631014503</v>
      </c>
    </row>
    <row r="11798" spans="1:4" hidden="1" x14ac:dyDescent="0.3">
      <c r="A11798">
        <v>11796</v>
      </c>
      <c r="B11798" s="1" t="s">
        <v>15381</v>
      </c>
      <c r="C11798" t="s">
        <v>140</v>
      </c>
      <c r="D11798" s="1" t="s">
        <v>15382</v>
      </c>
    </row>
    <row r="11799" spans="1:4" hidden="1" x14ac:dyDescent="0.3">
      <c r="A11799">
        <v>11797</v>
      </c>
      <c r="B11799" t="s">
        <v>12618</v>
      </c>
      <c r="C11799" t="s">
        <v>22</v>
      </c>
      <c r="D11799">
        <v>68.05</v>
      </c>
    </row>
    <row r="11800" spans="1:4" hidden="1" x14ac:dyDescent="0.3">
      <c r="A11800">
        <v>11798</v>
      </c>
      <c r="B11800" t="s">
        <v>15383</v>
      </c>
      <c r="C11800" t="s">
        <v>24</v>
      </c>
      <c r="D11800">
        <v>6.3663952982643703</v>
      </c>
    </row>
    <row r="11801" spans="1:4" hidden="1" x14ac:dyDescent="0.3">
      <c r="A11801">
        <v>11799</v>
      </c>
      <c r="B11801" s="1" t="s">
        <v>15384</v>
      </c>
      <c r="C11801" t="s">
        <v>145</v>
      </c>
      <c r="D11801" s="1" t="s">
        <v>15385</v>
      </c>
    </row>
    <row r="11802" spans="1:4" hidden="1" x14ac:dyDescent="0.3">
      <c r="A11802">
        <v>11800</v>
      </c>
      <c r="B11802" t="s">
        <v>15386</v>
      </c>
      <c r="C11802" t="s">
        <v>35</v>
      </c>
      <c r="D11802">
        <v>1.7898689665717098E-2</v>
      </c>
    </row>
    <row r="11803" spans="1:4" hidden="1" x14ac:dyDescent="0.3">
      <c r="A11803">
        <v>11801</v>
      </c>
      <c r="B11803" t="s">
        <v>15387</v>
      </c>
      <c r="C11803" t="s">
        <v>149</v>
      </c>
      <c r="D11803">
        <v>0.65332631451435896</v>
      </c>
    </row>
    <row r="11804" spans="1:4" hidden="1" x14ac:dyDescent="0.3">
      <c r="A11804">
        <v>11802</v>
      </c>
      <c r="B11804" s="1" t="s">
        <v>15388</v>
      </c>
      <c r="C11804" t="s">
        <v>151</v>
      </c>
      <c r="D11804" s="1" t="s">
        <v>15389</v>
      </c>
    </row>
    <row r="11805" spans="1:4" hidden="1" x14ac:dyDescent="0.3">
      <c r="A11805">
        <v>11803</v>
      </c>
      <c r="B11805" t="s">
        <v>15390</v>
      </c>
      <c r="C11805" t="s">
        <v>30</v>
      </c>
      <c r="D11805">
        <v>0.39439231647645501</v>
      </c>
    </row>
    <row r="11806" spans="1:4" hidden="1" x14ac:dyDescent="0.3">
      <c r="A11806">
        <v>11804</v>
      </c>
      <c r="B11806" t="s">
        <v>15391</v>
      </c>
      <c r="C11806" t="s">
        <v>32</v>
      </c>
      <c r="D11806">
        <v>0.275055507700457</v>
      </c>
    </row>
    <row r="11807" spans="1:4" hidden="1" x14ac:dyDescent="0.3">
      <c r="A11807">
        <v>11805</v>
      </c>
      <c r="B11807" s="1" t="s">
        <v>15392</v>
      </c>
      <c r="C11807" t="s">
        <v>155</v>
      </c>
      <c r="D11807" s="1" t="s">
        <v>15393</v>
      </c>
    </row>
    <row r="11808" spans="1:4" hidden="1" x14ac:dyDescent="0.3">
      <c r="A11808">
        <v>11806</v>
      </c>
      <c r="B11808" t="s">
        <v>15394</v>
      </c>
      <c r="C11808" t="s">
        <v>40</v>
      </c>
      <c r="D11808">
        <v>0.58770899385782605</v>
      </c>
    </row>
    <row r="11809" spans="1:4" hidden="1" x14ac:dyDescent="0.3">
      <c r="A11809">
        <v>11807</v>
      </c>
      <c r="B11809" t="s">
        <v>15395</v>
      </c>
      <c r="C11809" t="s">
        <v>42</v>
      </c>
      <c r="D11809">
        <v>0.25557318087966702</v>
      </c>
    </row>
    <row r="11810" spans="1:4" hidden="1" x14ac:dyDescent="0.3">
      <c r="A11810">
        <v>11808</v>
      </c>
      <c r="B11810" s="1" t="s">
        <v>15396</v>
      </c>
      <c r="C11810" t="s">
        <v>159</v>
      </c>
      <c r="D11810" s="1" t="s">
        <v>15397</v>
      </c>
    </row>
    <row r="11811" spans="1:4" hidden="1" x14ac:dyDescent="0.3">
      <c r="A11811">
        <v>11809</v>
      </c>
      <c r="B11811" t="s">
        <v>15398</v>
      </c>
      <c r="C11811" t="s">
        <v>161</v>
      </c>
      <c r="D11811">
        <v>0.98461596735965995</v>
      </c>
    </row>
    <row r="11812" spans="1:4" hidden="1" x14ac:dyDescent="0.3">
      <c r="A11812">
        <v>11810</v>
      </c>
      <c r="B11812" t="s">
        <v>15399</v>
      </c>
      <c r="C11812" t="s">
        <v>163</v>
      </c>
      <c r="D11812">
        <v>0.99531744360207497</v>
      </c>
    </row>
    <row r="11813" spans="1:4" hidden="1" x14ac:dyDescent="0.3">
      <c r="A11813">
        <v>11811</v>
      </c>
      <c r="B11813" s="1" t="s">
        <v>15400</v>
      </c>
      <c r="C11813" t="s">
        <v>165</v>
      </c>
      <c r="D11813" s="1" t="s">
        <v>15401</v>
      </c>
    </row>
    <row r="11814" spans="1:4" hidden="1" x14ac:dyDescent="0.3">
      <c r="A11814">
        <v>11812</v>
      </c>
      <c r="B11814" t="s">
        <v>15402</v>
      </c>
      <c r="C11814" t="s">
        <v>168</v>
      </c>
      <c r="D11814">
        <v>0.99509835931451596</v>
      </c>
    </row>
    <row r="11815" spans="1:4" hidden="1" x14ac:dyDescent="0.3">
      <c r="A11815">
        <v>11813</v>
      </c>
      <c r="B11815" t="s">
        <v>15403</v>
      </c>
      <c r="C11815" t="s">
        <v>170</v>
      </c>
      <c r="D11815">
        <v>1.0063966366849999</v>
      </c>
    </row>
    <row r="11816" spans="1:4" hidden="1" x14ac:dyDescent="0.3">
      <c r="A11816">
        <v>11814</v>
      </c>
      <c r="B11816" s="1" t="s">
        <v>15404</v>
      </c>
      <c r="C11816" t="s">
        <v>172</v>
      </c>
      <c r="D11816" s="1" t="s">
        <v>15405</v>
      </c>
    </row>
    <row r="11817" spans="1:4" hidden="1" x14ac:dyDescent="0.3">
      <c r="A11817">
        <v>11815</v>
      </c>
      <c r="B11817" s="1" t="s">
        <v>15406</v>
      </c>
      <c r="C11817" t="s">
        <v>55</v>
      </c>
      <c r="D11817" s="1" t="s">
        <v>15407</v>
      </c>
    </row>
    <row r="11818" spans="1:4" hidden="1" x14ac:dyDescent="0.3">
      <c r="A11818">
        <v>11816</v>
      </c>
      <c r="B11818" s="1" t="s">
        <v>15408</v>
      </c>
      <c r="C11818" t="s">
        <v>52</v>
      </c>
      <c r="D11818" s="1" t="s">
        <v>15409</v>
      </c>
    </row>
    <row r="11819" spans="1:4" hidden="1" x14ac:dyDescent="0.3">
      <c r="A11819">
        <v>11817</v>
      </c>
      <c r="B11819" s="1" t="s">
        <v>15410</v>
      </c>
      <c r="C11819" t="s">
        <v>58</v>
      </c>
      <c r="D11819" s="1" t="s">
        <v>15411</v>
      </c>
    </row>
    <row r="11820" spans="1:4" hidden="1" x14ac:dyDescent="0.3">
      <c r="A11820">
        <v>11818</v>
      </c>
      <c r="B11820" t="s">
        <v>15412</v>
      </c>
      <c r="C11820" t="s">
        <v>61</v>
      </c>
      <c r="D11820">
        <v>143951580.04625601</v>
      </c>
    </row>
    <row r="11821" spans="1:4" hidden="1" x14ac:dyDescent="0.3">
      <c r="A11821">
        <v>11819</v>
      </c>
      <c r="B11821" t="s">
        <v>15413</v>
      </c>
      <c r="C11821" t="s">
        <v>63</v>
      </c>
      <c r="D11821">
        <v>78396580.996671498</v>
      </c>
    </row>
    <row r="11822" spans="1:4" hidden="1" x14ac:dyDescent="0.3">
      <c r="A11822">
        <v>11820</v>
      </c>
      <c r="B11822" t="s">
        <v>15414</v>
      </c>
      <c r="C11822" t="s">
        <v>65</v>
      </c>
      <c r="D11822">
        <v>38398183.540853098</v>
      </c>
    </row>
    <row r="11823" spans="1:4" hidden="1" x14ac:dyDescent="0.3">
      <c r="A11823">
        <v>11821</v>
      </c>
      <c r="B11823" s="1" t="s">
        <v>15415</v>
      </c>
      <c r="C11823" t="s">
        <v>67</v>
      </c>
      <c r="D11823" s="1" t="s">
        <v>15416</v>
      </c>
    </row>
    <row r="11824" spans="1:4" hidden="1" x14ac:dyDescent="0.3">
      <c r="A11824">
        <v>11822</v>
      </c>
      <c r="B11824" s="1" t="s">
        <v>15417</v>
      </c>
      <c r="C11824" t="s">
        <v>70</v>
      </c>
      <c r="D11824" s="1" t="s">
        <v>15418</v>
      </c>
    </row>
    <row r="11825" spans="1:4" hidden="1" x14ac:dyDescent="0.3">
      <c r="A11825">
        <v>11823</v>
      </c>
      <c r="B11825" t="s">
        <v>15419</v>
      </c>
      <c r="C11825" t="s">
        <v>73</v>
      </c>
      <c r="D11825">
        <v>1.00045763447814</v>
      </c>
    </row>
    <row r="11826" spans="1:4" hidden="1" x14ac:dyDescent="0.3">
      <c r="A11826">
        <v>11824</v>
      </c>
      <c r="B11826" t="s">
        <v>74</v>
      </c>
      <c r="C11826" t="s">
        <v>75</v>
      </c>
      <c r="D11826">
        <v>2.7397260273972599E-3</v>
      </c>
    </row>
    <row r="11827" spans="1:4" hidden="1" x14ac:dyDescent="0.3">
      <c r="A11827">
        <v>11825</v>
      </c>
      <c r="B11827" t="s">
        <v>76</v>
      </c>
      <c r="C11827" t="s">
        <v>77</v>
      </c>
      <c r="D11827">
        <v>0</v>
      </c>
    </row>
    <row r="11828" spans="1:4" hidden="1" x14ac:dyDescent="0.3">
      <c r="A11828">
        <v>11826</v>
      </c>
      <c r="B11828" t="s">
        <v>650</v>
      </c>
      <c r="C11828" t="s">
        <v>79</v>
      </c>
      <c r="D11828" s="2">
        <v>2.2204460492503101E-16</v>
      </c>
    </row>
    <row r="11829" spans="1:4" hidden="1" x14ac:dyDescent="0.3">
      <c r="A11829">
        <v>11827</v>
      </c>
      <c r="B11829" s="1" t="s">
        <v>15420</v>
      </c>
      <c r="C11829" t="s">
        <v>81</v>
      </c>
      <c r="D11829" s="1" t="s">
        <v>15421</v>
      </c>
    </row>
    <row r="11830" spans="1:4" hidden="1" x14ac:dyDescent="0.3">
      <c r="A11830">
        <v>11828</v>
      </c>
      <c r="B11830" t="s">
        <v>15422</v>
      </c>
      <c r="C11830" t="s">
        <v>84</v>
      </c>
      <c r="D11830">
        <v>1.00045871319969</v>
      </c>
    </row>
    <row r="11831" spans="1:4" hidden="1" x14ac:dyDescent="0.3">
      <c r="A11831">
        <v>11829</v>
      </c>
      <c r="B11831" s="1" t="s">
        <v>15423</v>
      </c>
      <c r="C11831" t="s">
        <v>86</v>
      </c>
      <c r="D11831" s="1" t="s">
        <v>15424</v>
      </c>
    </row>
    <row r="11832" spans="1:4" hidden="1" x14ac:dyDescent="0.3">
      <c r="A11832">
        <v>11830</v>
      </c>
      <c r="B11832" t="s">
        <v>15425</v>
      </c>
      <c r="C11832" t="s">
        <v>89</v>
      </c>
      <c r="D11832">
        <v>101143383.678297</v>
      </c>
    </row>
    <row r="11833" spans="1:4" hidden="1" x14ac:dyDescent="0.3">
      <c r="A11833">
        <v>11831</v>
      </c>
      <c r="B11833" s="1" t="s">
        <v>15426</v>
      </c>
      <c r="C11833" t="s">
        <v>91</v>
      </c>
      <c r="D11833" s="1" t="s">
        <v>15361</v>
      </c>
    </row>
    <row r="11834" spans="1:4" hidden="1" x14ac:dyDescent="0.3">
      <c r="A11834">
        <v>11832</v>
      </c>
      <c r="B11834" t="s">
        <v>15427</v>
      </c>
      <c r="C11834" t="s">
        <v>94</v>
      </c>
      <c r="D11834">
        <v>78396580.996671498</v>
      </c>
    </row>
    <row r="11835" spans="1:4" hidden="1" x14ac:dyDescent="0.3">
      <c r="A11835">
        <v>11833</v>
      </c>
      <c r="B11835" t="s">
        <v>15428</v>
      </c>
      <c r="C11835" t="s">
        <v>96</v>
      </c>
      <c r="D11835">
        <v>38398183.540853098</v>
      </c>
    </row>
    <row r="11836" spans="1:4" hidden="1" x14ac:dyDescent="0.3">
      <c r="A11836">
        <v>11834</v>
      </c>
      <c r="B11836" t="s">
        <v>15429</v>
      </c>
      <c r="C11836" t="s">
        <v>98</v>
      </c>
      <c r="D11836">
        <v>27156815.508731999</v>
      </c>
    </row>
    <row r="11837" spans="1:4" hidden="1" x14ac:dyDescent="0.3">
      <c r="A11837">
        <v>11835</v>
      </c>
      <c r="B11837" s="1" t="s">
        <v>15430</v>
      </c>
      <c r="C11837" t="s">
        <v>100</v>
      </c>
      <c r="D11837" s="1" t="s">
        <v>15431</v>
      </c>
    </row>
    <row r="11838" spans="1:4" hidden="1" x14ac:dyDescent="0.3">
      <c r="A11838">
        <v>11836</v>
      </c>
      <c r="B11838" t="s">
        <v>15432</v>
      </c>
      <c r="C11838" t="s">
        <v>103</v>
      </c>
      <c r="D11838">
        <v>7.5730925120306497E-3</v>
      </c>
    </row>
    <row r="11839" spans="1:4" hidden="1" x14ac:dyDescent="0.3">
      <c r="A11839">
        <v>11837</v>
      </c>
      <c r="B11839" t="s">
        <v>15433</v>
      </c>
      <c r="C11839" t="s">
        <v>105</v>
      </c>
      <c r="D11839">
        <v>1.81202407603237E-3</v>
      </c>
    </row>
    <row r="11840" spans="1:4" hidden="1" x14ac:dyDescent="0.3">
      <c r="A11840">
        <v>11838</v>
      </c>
      <c r="B11840" t="s">
        <v>15434</v>
      </c>
      <c r="C11840" t="s">
        <v>107</v>
      </c>
      <c r="D11840">
        <v>9.9594452222644698E-3</v>
      </c>
    </row>
    <row r="11841" spans="1:4" hidden="1" x14ac:dyDescent="0.3">
      <c r="A11841">
        <v>11839</v>
      </c>
      <c r="B11841" s="1" t="s">
        <v>15435</v>
      </c>
      <c r="C11841" t="s">
        <v>109</v>
      </c>
      <c r="D11841" s="1" t="s">
        <v>15436</v>
      </c>
    </row>
    <row r="11842" spans="1:4" x14ac:dyDescent="0.3">
      <c r="A11842">
        <v>11840</v>
      </c>
      <c r="B11842" t="s">
        <v>15437</v>
      </c>
      <c r="C11842" t="s">
        <v>207</v>
      </c>
      <c r="D11842">
        <v>143951618.04581901</v>
      </c>
    </row>
    <row r="11843" spans="1:4" hidden="1" x14ac:dyDescent="0.3">
      <c r="A11843">
        <v>11841</v>
      </c>
      <c r="B11843" t="s">
        <v>15438</v>
      </c>
      <c r="C11843" t="s">
        <v>209</v>
      </c>
      <c r="D11843">
        <v>-84.529430576906606</v>
      </c>
    </row>
    <row r="11844" spans="1:4" hidden="1" x14ac:dyDescent="0.3">
      <c r="A11844">
        <v>11842</v>
      </c>
      <c r="B11844" t="s">
        <v>15439</v>
      </c>
      <c r="C11844" t="s">
        <v>211</v>
      </c>
      <c r="D11844">
        <v>-41.402007554565202</v>
      </c>
    </row>
    <row r="11845" spans="1:4" hidden="1" x14ac:dyDescent="0.3">
      <c r="A11845">
        <v>11843</v>
      </c>
      <c r="B11845" s="1" t="s">
        <v>15440</v>
      </c>
      <c r="C11845" t="s">
        <v>213</v>
      </c>
      <c r="D11845" s="1" t="s">
        <v>15441</v>
      </c>
    </row>
    <row r="11846" spans="1:4" hidden="1" x14ac:dyDescent="0.3">
      <c r="A11846">
        <v>11844</v>
      </c>
      <c r="B11846" t="s">
        <v>15442</v>
      </c>
      <c r="C11846" t="s">
        <v>216</v>
      </c>
      <c r="D11846">
        <v>78396695.235751599</v>
      </c>
    </row>
    <row r="11847" spans="1:4" hidden="1" x14ac:dyDescent="0.3">
      <c r="A11847">
        <v>11845</v>
      </c>
      <c r="B11847" t="s">
        <v>15443</v>
      </c>
      <c r="C11847" t="s">
        <v>218</v>
      </c>
      <c r="D11847">
        <v>38398230.607391298</v>
      </c>
    </row>
    <row r="11848" spans="1:4" hidden="1" x14ac:dyDescent="0.3">
      <c r="A11848">
        <v>11846</v>
      </c>
      <c r="B11848" t="s">
        <v>15444</v>
      </c>
      <c r="C11848" t="s">
        <v>220</v>
      </c>
      <c r="D11848">
        <v>27156847.4153594</v>
      </c>
    </row>
    <row r="11849" spans="1:4" hidden="1" x14ac:dyDescent="0.3">
      <c r="A11849">
        <v>11847</v>
      </c>
      <c r="B11849" s="1" t="s">
        <v>15445</v>
      </c>
      <c r="C11849" t="s">
        <v>222</v>
      </c>
      <c r="D11849" s="1" t="s">
        <v>15446</v>
      </c>
    </row>
    <row r="11850" spans="1:4" hidden="1" x14ac:dyDescent="0.3">
      <c r="A11850">
        <v>11848</v>
      </c>
      <c r="B11850" t="s">
        <v>15447</v>
      </c>
      <c r="C11850" t="s">
        <v>225</v>
      </c>
      <c r="D11850">
        <v>101143492.73393799</v>
      </c>
    </row>
    <row r="11851" spans="1:4" hidden="1" x14ac:dyDescent="0.3">
      <c r="A11851">
        <v>11849</v>
      </c>
      <c r="B11851" t="s">
        <v>15448</v>
      </c>
      <c r="C11851" t="s">
        <v>227</v>
      </c>
      <c r="D11851">
        <v>-109.05564095079799</v>
      </c>
    </row>
    <row r="11852" spans="1:4" hidden="1" x14ac:dyDescent="0.3">
      <c r="A11852">
        <v>11850</v>
      </c>
      <c r="B11852" s="1" t="s">
        <v>15449</v>
      </c>
      <c r="C11852" t="s">
        <v>229</v>
      </c>
      <c r="D11852" s="1" t="s">
        <v>15450</v>
      </c>
    </row>
    <row r="11853" spans="1:4" hidden="1" x14ac:dyDescent="0.3">
      <c r="A11853">
        <v>11851</v>
      </c>
      <c r="B11853" t="s">
        <v>15451</v>
      </c>
      <c r="C11853" t="s">
        <v>112</v>
      </c>
      <c r="D11853">
        <v>29.7096495026952</v>
      </c>
    </row>
    <row r="11854" spans="1:4" hidden="1" x14ac:dyDescent="0.3">
      <c r="A11854">
        <v>11852</v>
      </c>
      <c r="B11854" t="s">
        <v>15452</v>
      </c>
      <c r="C11854" t="s">
        <v>114</v>
      </c>
      <c r="D11854">
        <v>5.6645306229447803</v>
      </c>
    </row>
    <row r="11855" spans="1:4" hidden="1" x14ac:dyDescent="0.3">
      <c r="A11855">
        <v>11853</v>
      </c>
      <c r="B11855" s="1" t="s">
        <v>15453</v>
      </c>
      <c r="C11855" t="s">
        <v>116</v>
      </c>
      <c r="D11855" s="1" t="s">
        <v>15454</v>
      </c>
    </row>
    <row r="11856" spans="1:4" hidden="1" x14ac:dyDescent="0.3">
      <c r="A11856">
        <v>11854</v>
      </c>
      <c r="B11856" t="s">
        <v>15455</v>
      </c>
      <c r="C11856" t="s">
        <v>119</v>
      </c>
      <c r="D11856">
        <v>78396695.235751599</v>
      </c>
    </row>
    <row r="11857" spans="1:4" hidden="1" x14ac:dyDescent="0.3">
      <c r="A11857">
        <v>11855</v>
      </c>
      <c r="B11857" t="s">
        <v>15456</v>
      </c>
      <c r="C11857" t="s">
        <v>121</v>
      </c>
      <c r="D11857">
        <v>38398230.607391298</v>
      </c>
    </row>
    <row r="11858" spans="1:4" hidden="1" x14ac:dyDescent="0.3">
      <c r="A11858">
        <v>11856</v>
      </c>
      <c r="B11858" s="1" t="s">
        <v>15457</v>
      </c>
      <c r="C11858" t="s">
        <v>123</v>
      </c>
      <c r="D11858" s="1" t="s">
        <v>15458</v>
      </c>
    </row>
    <row r="11859" spans="1:4" hidden="1" x14ac:dyDescent="0.3">
      <c r="A11859">
        <v>11857</v>
      </c>
      <c r="B11859" t="s">
        <v>15459</v>
      </c>
      <c r="C11859" t="s">
        <v>126</v>
      </c>
      <c r="D11859">
        <v>0.77474831061510996</v>
      </c>
    </row>
    <row r="11860" spans="1:4" hidden="1" x14ac:dyDescent="0.3">
      <c r="A11860">
        <v>11858</v>
      </c>
      <c r="B11860" t="s">
        <v>15460</v>
      </c>
      <c r="C11860" t="s">
        <v>128</v>
      </c>
      <c r="D11860">
        <v>0.37946707070018498</v>
      </c>
    </row>
    <row r="11861" spans="1:4" hidden="1" x14ac:dyDescent="0.3">
      <c r="A11861">
        <v>11859</v>
      </c>
      <c r="B11861" s="1" t="s">
        <v>15461</v>
      </c>
      <c r="C11861" t="s">
        <v>130</v>
      </c>
      <c r="D11861" s="1" t="s">
        <v>15462</v>
      </c>
    </row>
    <row r="11862" spans="1:4" hidden="1" x14ac:dyDescent="0.3">
      <c r="A11862">
        <v>11860</v>
      </c>
      <c r="B11862" s="1" t="s">
        <v>15463</v>
      </c>
      <c r="C11862" t="s">
        <v>4</v>
      </c>
      <c r="D11862" t="s">
        <v>15464</v>
      </c>
    </row>
    <row r="11863" spans="1:4" hidden="1" x14ac:dyDescent="0.3">
      <c r="A11863">
        <v>11861</v>
      </c>
      <c r="B11863" t="s">
        <v>15465</v>
      </c>
      <c r="C11863" t="s">
        <v>7</v>
      </c>
      <c r="D11863">
        <v>1797.43</v>
      </c>
    </row>
    <row r="11864" spans="1:4" hidden="1" x14ac:dyDescent="0.3">
      <c r="A11864">
        <v>11862</v>
      </c>
      <c r="B11864" s="1" t="s">
        <v>15466</v>
      </c>
      <c r="C11864" t="s">
        <v>9</v>
      </c>
      <c r="D11864" s="1" t="s">
        <v>15467</v>
      </c>
    </row>
    <row r="11865" spans="1:4" hidden="1" x14ac:dyDescent="0.3">
      <c r="A11865">
        <v>11863</v>
      </c>
      <c r="B11865" t="s">
        <v>15468</v>
      </c>
      <c r="C11865" t="s">
        <v>14</v>
      </c>
      <c r="D11865">
        <v>95.45703125</v>
      </c>
    </row>
    <row r="11866" spans="1:4" hidden="1" x14ac:dyDescent="0.3">
      <c r="A11866">
        <v>11864</v>
      </c>
      <c r="B11866" t="s">
        <v>15469</v>
      </c>
      <c r="C11866" t="s">
        <v>16</v>
      </c>
      <c r="D11866">
        <v>4.3607143689893402</v>
      </c>
    </row>
    <row r="11867" spans="1:4" hidden="1" x14ac:dyDescent="0.3">
      <c r="A11867">
        <v>11865</v>
      </c>
      <c r="B11867" s="1" t="s">
        <v>15470</v>
      </c>
      <c r="C11867" t="s">
        <v>140</v>
      </c>
      <c r="D11867" s="1" t="s">
        <v>15471</v>
      </c>
    </row>
    <row r="11868" spans="1:4" hidden="1" x14ac:dyDescent="0.3">
      <c r="A11868">
        <v>11866</v>
      </c>
      <c r="B11868" t="s">
        <v>11993</v>
      </c>
      <c r="C11868" t="s">
        <v>22</v>
      </c>
      <c r="D11868">
        <v>67.599999999999994</v>
      </c>
    </row>
    <row r="11869" spans="1:4" hidden="1" x14ac:dyDescent="0.3">
      <c r="A11869">
        <v>11867</v>
      </c>
      <c r="B11869" t="s">
        <v>15472</v>
      </c>
      <c r="C11869" t="s">
        <v>24</v>
      </c>
      <c r="D11869">
        <v>6.4106261607317796</v>
      </c>
    </row>
    <row r="11870" spans="1:4" hidden="1" x14ac:dyDescent="0.3">
      <c r="A11870">
        <v>11868</v>
      </c>
      <c r="B11870" s="1" t="s">
        <v>15473</v>
      </c>
      <c r="C11870" t="s">
        <v>145</v>
      </c>
      <c r="D11870" s="1" t="s">
        <v>15474</v>
      </c>
    </row>
    <row r="11871" spans="1:4" hidden="1" x14ac:dyDescent="0.3">
      <c r="A11871">
        <v>11869</v>
      </c>
      <c r="B11871" t="s">
        <v>15475</v>
      </c>
      <c r="C11871" t="s">
        <v>35</v>
      </c>
      <c r="D11871">
        <v>0.52572884847906398</v>
      </c>
    </row>
    <row r="11872" spans="1:4" hidden="1" x14ac:dyDescent="0.3">
      <c r="A11872">
        <v>11870</v>
      </c>
      <c r="B11872" t="s">
        <v>15476</v>
      </c>
      <c r="C11872" t="s">
        <v>149</v>
      </c>
      <c r="D11872">
        <v>0.65915016456721098</v>
      </c>
    </row>
    <row r="11873" spans="1:4" hidden="1" x14ac:dyDescent="0.3">
      <c r="A11873">
        <v>11871</v>
      </c>
      <c r="B11873" s="1" t="s">
        <v>15477</v>
      </c>
      <c r="C11873" t="s">
        <v>151</v>
      </c>
      <c r="D11873" s="1" t="s">
        <v>15478</v>
      </c>
    </row>
    <row r="11874" spans="1:4" hidden="1" x14ac:dyDescent="0.3">
      <c r="A11874">
        <v>11872</v>
      </c>
      <c r="B11874" t="s">
        <v>15479</v>
      </c>
      <c r="C11874" t="s">
        <v>30</v>
      </c>
      <c r="D11874">
        <v>0.18809263713903199</v>
      </c>
    </row>
    <row r="11875" spans="1:4" hidden="1" x14ac:dyDescent="0.3">
      <c r="A11875">
        <v>11873</v>
      </c>
      <c r="B11875" t="s">
        <v>15480</v>
      </c>
      <c r="C11875" t="s">
        <v>32</v>
      </c>
      <c r="D11875">
        <v>0.26950644906373999</v>
      </c>
    </row>
    <row r="11876" spans="1:4" hidden="1" x14ac:dyDescent="0.3">
      <c r="A11876">
        <v>11874</v>
      </c>
      <c r="B11876" s="1" t="s">
        <v>15481</v>
      </c>
      <c r="C11876" t="s">
        <v>155</v>
      </c>
      <c r="D11876" s="1" t="s">
        <v>15482</v>
      </c>
    </row>
    <row r="11877" spans="1:4" hidden="1" x14ac:dyDescent="0.3">
      <c r="A11877">
        <v>11875</v>
      </c>
      <c r="B11877" t="s">
        <v>15483</v>
      </c>
      <c r="C11877" t="s">
        <v>40</v>
      </c>
      <c r="D11877">
        <v>0.286178514381903</v>
      </c>
    </row>
    <row r="11878" spans="1:4" hidden="1" x14ac:dyDescent="0.3">
      <c r="A11878">
        <v>11876</v>
      </c>
      <c r="B11878" t="s">
        <v>15484</v>
      </c>
      <c r="C11878" t="s">
        <v>42</v>
      </c>
      <c r="D11878">
        <v>0.24759853513449001</v>
      </c>
    </row>
    <row r="11879" spans="1:4" hidden="1" x14ac:dyDescent="0.3">
      <c r="A11879">
        <v>11877</v>
      </c>
      <c r="B11879" s="1" t="s">
        <v>15485</v>
      </c>
      <c r="C11879" t="s">
        <v>159</v>
      </c>
      <c r="D11879" s="1" t="s">
        <v>15486</v>
      </c>
    </row>
    <row r="11880" spans="1:4" hidden="1" x14ac:dyDescent="0.3">
      <c r="A11880">
        <v>11878</v>
      </c>
      <c r="B11880" t="s">
        <v>15487</v>
      </c>
      <c r="C11880" t="s">
        <v>161</v>
      </c>
      <c r="D11880">
        <v>0.98782143230068298</v>
      </c>
    </row>
    <row r="11881" spans="1:4" hidden="1" x14ac:dyDescent="0.3">
      <c r="A11881">
        <v>11879</v>
      </c>
      <c r="B11881" t="s">
        <v>15488</v>
      </c>
      <c r="C11881" t="s">
        <v>163</v>
      </c>
      <c r="D11881">
        <v>1.00006994091172</v>
      </c>
    </row>
    <row r="11882" spans="1:4" hidden="1" x14ac:dyDescent="0.3">
      <c r="A11882">
        <v>11880</v>
      </c>
      <c r="B11882" s="1" t="s">
        <v>15489</v>
      </c>
      <c r="C11882" t="s">
        <v>165</v>
      </c>
      <c r="D11882" s="1" t="s">
        <v>15490</v>
      </c>
    </row>
    <row r="11883" spans="1:4" hidden="1" x14ac:dyDescent="0.3">
      <c r="A11883">
        <v>11881</v>
      </c>
      <c r="B11883" t="s">
        <v>15491</v>
      </c>
      <c r="C11883" t="s">
        <v>168</v>
      </c>
      <c r="D11883">
        <v>1.0035225049052401</v>
      </c>
    </row>
    <row r="11884" spans="1:4" hidden="1" x14ac:dyDescent="0.3">
      <c r="A11884">
        <v>11882</v>
      </c>
      <c r="B11884" t="s">
        <v>15492</v>
      </c>
      <c r="C11884" t="s">
        <v>170</v>
      </c>
      <c r="D11884">
        <v>0.99564798661453902</v>
      </c>
    </row>
    <row r="11885" spans="1:4" hidden="1" x14ac:dyDescent="0.3">
      <c r="A11885">
        <v>11883</v>
      </c>
      <c r="B11885" s="1" t="s">
        <v>15493</v>
      </c>
      <c r="C11885" t="s">
        <v>172</v>
      </c>
      <c r="D11885" s="1" t="s">
        <v>15494</v>
      </c>
    </row>
    <row r="11886" spans="1:4" hidden="1" x14ac:dyDescent="0.3">
      <c r="A11886">
        <v>11884</v>
      </c>
      <c r="B11886" s="1" t="s">
        <v>15495</v>
      </c>
      <c r="C11886" t="s">
        <v>55</v>
      </c>
      <c r="D11886" s="1" t="s">
        <v>15496</v>
      </c>
    </row>
    <row r="11887" spans="1:4" hidden="1" x14ac:dyDescent="0.3">
      <c r="A11887">
        <v>11885</v>
      </c>
      <c r="B11887" s="1" t="s">
        <v>15497</v>
      </c>
      <c r="C11887" t="s">
        <v>52</v>
      </c>
      <c r="D11887" s="1" t="s">
        <v>15498</v>
      </c>
    </row>
    <row r="11888" spans="1:4" hidden="1" x14ac:dyDescent="0.3">
      <c r="A11888">
        <v>11886</v>
      </c>
      <c r="B11888" s="1" t="s">
        <v>15499</v>
      </c>
      <c r="C11888" t="s">
        <v>58</v>
      </c>
      <c r="D11888" s="1" t="s">
        <v>15500</v>
      </c>
    </row>
    <row r="11889" spans="1:4" hidden="1" x14ac:dyDescent="0.3">
      <c r="A11889">
        <v>11887</v>
      </c>
      <c r="B11889" t="s">
        <v>15501</v>
      </c>
      <c r="C11889" t="s">
        <v>61</v>
      </c>
      <c r="D11889">
        <v>142851621.67995301</v>
      </c>
    </row>
    <row r="11890" spans="1:4" hidden="1" x14ac:dyDescent="0.3">
      <c r="A11890">
        <v>11888</v>
      </c>
      <c r="B11890" t="s">
        <v>15502</v>
      </c>
      <c r="C11890" t="s">
        <v>63</v>
      </c>
      <c r="D11890">
        <v>77441935.775420293</v>
      </c>
    </row>
    <row r="11891" spans="1:4" hidden="1" x14ac:dyDescent="0.3">
      <c r="A11891">
        <v>11889</v>
      </c>
      <c r="B11891" t="s">
        <v>15503</v>
      </c>
      <c r="C11891" t="s">
        <v>65</v>
      </c>
      <c r="D11891">
        <v>38400916.214648701</v>
      </c>
    </row>
    <row r="11892" spans="1:4" hidden="1" x14ac:dyDescent="0.3">
      <c r="A11892">
        <v>11890</v>
      </c>
      <c r="B11892" s="1" t="s">
        <v>15504</v>
      </c>
      <c r="C11892" t="s">
        <v>67</v>
      </c>
      <c r="D11892" s="1" t="s">
        <v>15505</v>
      </c>
    </row>
    <row r="11893" spans="1:4" hidden="1" x14ac:dyDescent="0.3">
      <c r="A11893">
        <v>11891</v>
      </c>
      <c r="B11893" s="1" t="s">
        <v>15506</v>
      </c>
      <c r="C11893" t="s">
        <v>70</v>
      </c>
      <c r="D11893" s="1" t="s">
        <v>15507</v>
      </c>
    </row>
    <row r="11894" spans="1:4" hidden="1" x14ac:dyDescent="0.3">
      <c r="A11894">
        <v>11892</v>
      </c>
      <c r="B11894" t="s">
        <v>15508</v>
      </c>
      <c r="C11894" t="s">
        <v>73</v>
      </c>
      <c r="D11894">
        <v>1.00045871319969</v>
      </c>
    </row>
    <row r="11895" spans="1:4" hidden="1" x14ac:dyDescent="0.3">
      <c r="A11895">
        <v>11893</v>
      </c>
      <c r="B11895" t="s">
        <v>74</v>
      </c>
      <c r="C11895" t="s">
        <v>75</v>
      </c>
      <c r="D11895">
        <v>2.7397260273972599E-3</v>
      </c>
    </row>
    <row r="11896" spans="1:4" hidden="1" x14ac:dyDescent="0.3">
      <c r="A11896">
        <v>11894</v>
      </c>
      <c r="B11896" t="s">
        <v>76</v>
      </c>
      <c r="C11896" t="s">
        <v>77</v>
      </c>
      <c r="D11896">
        <v>0</v>
      </c>
    </row>
    <row r="11897" spans="1:4" hidden="1" x14ac:dyDescent="0.3">
      <c r="A11897">
        <v>11895</v>
      </c>
      <c r="B11897" t="s">
        <v>78</v>
      </c>
      <c r="C11897" t="s">
        <v>79</v>
      </c>
      <c r="D11897">
        <v>0</v>
      </c>
    </row>
    <row r="11898" spans="1:4" hidden="1" x14ac:dyDescent="0.3">
      <c r="A11898">
        <v>11896</v>
      </c>
      <c r="B11898" s="1" t="s">
        <v>15509</v>
      </c>
      <c r="C11898" t="s">
        <v>81</v>
      </c>
      <c r="D11898" s="1" t="s">
        <v>15510</v>
      </c>
    </row>
    <row r="11899" spans="1:4" hidden="1" x14ac:dyDescent="0.3">
      <c r="A11899">
        <v>11897</v>
      </c>
      <c r="B11899" t="s">
        <v>15511</v>
      </c>
      <c r="C11899" t="s">
        <v>84</v>
      </c>
      <c r="D11899">
        <v>1.00047291466281</v>
      </c>
    </row>
    <row r="11900" spans="1:4" hidden="1" x14ac:dyDescent="0.3">
      <c r="A11900">
        <v>11898</v>
      </c>
      <c r="B11900" s="1" t="s">
        <v>15512</v>
      </c>
      <c r="C11900" t="s">
        <v>86</v>
      </c>
      <c r="D11900" s="1" t="s">
        <v>15513</v>
      </c>
    </row>
    <row r="11901" spans="1:4" hidden="1" x14ac:dyDescent="0.3">
      <c r="A11901">
        <v>11899</v>
      </c>
      <c r="B11901" t="s">
        <v>15514</v>
      </c>
      <c r="C11901" t="s">
        <v>89</v>
      </c>
      <c r="D11901">
        <v>101141947.97323</v>
      </c>
    </row>
    <row r="11902" spans="1:4" hidden="1" x14ac:dyDescent="0.3">
      <c r="A11902">
        <v>11900</v>
      </c>
      <c r="B11902" s="1" t="s">
        <v>15515</v>
      </c>
      <c r="C11902" t="s">
        <v>91</v>
      </c>
      <c r="D11902" s="1" t="s">
        <v>15450</v>
      </c>
    </row>
    <row r="11903" spans="1:4" hidden="1" x14ac:dyDescent="0.3">
      <c r="A11903">
        <v>11901</v>
      </c>
      <c r="B11903" t="s">
        <v>15516</v>
      </c>
      <c r="C11903" t="s">
        <v>94</v>
      </c>
      <c r="D11903">
        <v>77441935.775420293</v>
      </c>
    </row>
    <row r="11904" spans="1:4" hidden="1" x14ac:dyDescent="0.3">
      <c r="A11904">
        <v>11902</v>
      </c>
      <c r="B11904" t="s">
        <v>15517</v>
      </c>
      <c r="C11904" t="s">
        <v>96</v>
      </c>
      <c r="D11904">
        <v>38400916.214648701</v>
      </c>
    </row>
    <row r="11905" spans="1:4" hidden="1" x14ac:dyDescent="0.3">
      <c r="A11905">
        <v>11903</v>
      </c>
      <c r="B11905" t="s">
        <v>15518</v>
      </c>
      <c r="C11905" t="s">
        <v>98</v>
      </c>
      <c r="D11905">
        <v>27008769.6898841</v>
      </c>
    </row>
    <row r="11906" spans="1:4" hidden="1" x14ac:dyDescent="0.3">
      <c r="A11906">
        <v>11904</v>
      </c>
      <c r="B11906" s="1" t="s">
        <v>15519</v>
      </c>
      <c r="C11906" t="s">
        <v>100</v>
      </c>
      <c r="D11906" s="1" t="s">
        <v>15520</v>
      </c>
    </row>
    <row r="11907" spans="1:4" hidden="1" x14ac:dyDescent="0.3">
      <c r="A11907">
        <v>11905</v>
      </c>
      <c r="B11907" t="s">
        <v>15521</v>
      </c>
      <c r="C11907" t="s">
        <v>103</v>
      </c>
      <c r="D11907">
        <v>7.7361534162142098E-3</v>
      </c>
    </row>
    <row r="11908" spans="1:4" hidden="1" x14ac:dyDescent="0.3">
      <c r="A11908">
        <v>11906</v>
      </c>
      <c r="B11908" t="s">
        <v>15522</v>
      </c>
      <c r="C11908" t="s">
        <v>105</v>
      </c>
      <c r="D11908">
        <v>1.8118979344758899E-3</v>
      </c>
    </row>
    <row r="11909" spans="1:4" hidden="1" x14ac:dyDescent="0.3">
      <c r="A11909">
        <v>11907</v>
      </c>
      <c r="B11909" t="s">
        <v>15523</v>
      </c>
      <c r="C11909" t="s">
        <v>107</v>
      </c>
      <c r="D11909">
        <v>9.9686908740603802E-3</v>
      </c>
    </row>
    <row r="11910" spans="1:4" hidden="1" x14ac:dyDescent="0.3">
      <c r="A11910">
        <v>11908</v>
      </c>
      <c r="B11910" s="1" t="s">
        <v>15524</v>
      </c>
      <c r="C11910" t="s">
        <v>109</v>
      </c>
      <c r="D11910" s="1" t="s">
        <v>15525</v>
      </c>
    </row>
    <row r="11911" spans="1:4" x14ac:dyDescent="0.3">
      <c r="A11911">
        <v>11909</v>
      </c>
      <c r="B11911" t="s">
        <v>15526</v>
      </c>
      <c r="C11911" t="s">
        <v>207</v>
      </c>
      <c r="D11911">
        <v>142852122.60538599</v>
      </c>
    </row>
    <row r="11912" spans="1:4" hidden="1" x14ac:dyDescent="0.3">
      <c r="A11912">
        <v>11910</v>
      </c>
      <c r="B11912" t="s">
        <v>15527</v>
      </c>
      <c r="C11912" t="s">
        <v>209</v>
      </c>
      <c r="D11912">
        <v>-1099.2900649478599</v>
      </c>
    </row>
    <row r="11913" spans="1:4" hidden="1" x14ac:dyDescent="0.3">
      <c r="A11913">
        <v>11911</v>
      </c>
      <c r="B11913" t="s">
        <v>15528</v>
      </c>
      <c r="C11913" t="s">
        <v>211</v>
      </c>
      <c r="D11913">
        <v>-545.100197152688</v>
      </c>
    </row>
    <row r="11914" spans="1:4" hidden="1" x14ac:dyDescent="0.3">
      <c r="A11914">
        <v>11912</v>
      </c>
      <c r="B11914" s="1" t="s">
        <v>15529</v>
      </c>
      <c r="C11914" t="s">
        <v>213</v>
      </c>
      <c r="D11914" s="1" t="s">
        <v>15530</v>
      </c>
    </row>
    <row r="11915" spans="1:4" hidden="1" x14ac:dyDescent="0.3">
      <c r="A11915">
        <v>11913</v>
      </c>
      <c r="B11915" t="s">
        <v>15531</v>
      </c>
      <c r="C11915" t="s">
        <v>216</v>
      </c>
      <c r="D11915">
        <v>77443424.4022661</v>
      </c>
    </row>
    <row r="11916" spans="1:4" hidden="1" x14ac:dyDescent="0.3">
      <c r="A11916">
        <v>11914</v>
      </c>
      <c r="B11916" t="s">
        <v>15532</v>
      </c>
      <c r="C11916" t="s">
        <v>218</v>
      </c>
      <c r="D11916">
        <v>38401535.005100302</v>
      </c>
    </row>
    <row r="11917" spans="1:4" hidden="1" x14ac:dyDescent="0.3">
      <c r="A11917">
        <v>11915</v>
      </c>
      <c r="B11917" t="s">
        <v>15533</v>
      </c>
      <c r="C11917" t="s">
        <v>220</v>
      </c>
      <c r="D11917">
        <v>27009190.977001</v>
      </c>
    </row>
    <row r="11918" spans="1:4" hidden="1" x14ac:dyDescent="0.3">
      <c r="A11918">
        <v>11916</v>
      </c>
      <c r="B11918" s="1" t="s">
        <v>15534</v>
      </c>
      <c r="C11918" t="s">
        <v>222</v>
      </c>
      <c r="D11918" s="1" t="s">
        <v>15535</v>
      </c>
    </row>
    <row r="11919" spans="1:4" hidden="1" x14ac:dyDescent="0.3">
      <c r="A11919">
        <v>11917</v>
      </c>
      <c r="B11919" t="s">
        <v>15536</v>
      </c>
      <c r="C11919" t="s">
        <v>225</v>
      </c>
      <c r="D11919">
        <v>101143383.678297</v>
      </c>
    </row>
    <row r="11920" spans="1:4" hidden="1" x14ac:dyDescent="0.3">
      <c r="A11920">
        <v>11918</v>
      </c>
      <c r="B11920" t="s">
        <v>15537</v>
      </c>
      <c r="C11920" t="s">
        <v>227</v>
      </c>
      <c r="D11920">
        <v>-1435.7050669044199</v>
      </c>
    </row>
    <row r="11921" spans="1:4" hidden="1" x14ac:dyDescent="0.3">
      <c r="A11921">
        <v>11919</v>
      </c>
      <c r="B11921" s="1" t="s">
        <v>15538</v>
      </c>
      <c r="C11921" t="s">
        <v>229</v>
      </c>
      <c r="D11921" s="1" t="s">
        <v>15539</v>
      </c>
    </row>
    <row r="11922" spans="1:4" hidden="1" x14ac:dyDescent="0.3">
      <c r="A11922">
        <v>11920</v>
      </c>
      <c r="B11922" t="s">
        <v>15540</v>
      </c>
      <c r="C11922" t="s">
        <v>112</v>
      </c>
      <c r="D11922">
        <v>389.33678086045001</v>
      </c>
    </row>
    <row r="11923" spans="1:4" hidden="1" x14ac:dyDescent="0.3">
      <c r="A11923">
        <v>11921</v>
      </c>
      <c r="B11923" t="s">
        <v>15541</v>
      </c>
      <c r="C11923" t="s">
        <v>114</v>
      </c>
      <c r="D11923">
        <v>73.690254398317293</v>
      </c>
    </row>
    <row r="11924" spans="1:4" hidden="1" x14ac:dyDescent="0.3">
      <c r="A11924">
        <v>11922</v>
      </c>
      <c r="B11924" s="1" t="s">
        <v>15542</v>
      </c>
      <c r="C11924" t="s">
        <v>116</v>
      </c>
      <c r="D11924" s="1" t="s">
        <v>15543</v>
      </c>
    </row>
    <row r="11925" spans="1:4" hidden="1" x14ac:dyDescent="0.3">
      <c r="A11925">
        <v>11923</v>
      </c>
      <c r="B11925" t="s">
        <v>15544</v>
      </c>
      <c r="C11925" t="s">
        <v>119</v>
      </c>
      <c r="D11925">
        <v>77443424.4022661</v>
      </c>
    </row>
    <row r="11926" spans="1:4" hidden="1" x14ac:dyDescent="0.3">
      <c r="A11926">
        <v>11924</v>
      </c>
      <c r="B11926" t="s">
        <v>15545</v>
      </c>
      <c r="C11926" t="s">
        <v>121</v>
      </c>
      <c r="D11926">
        <v>38401535.005100302</v>
      </c>
    </row>
    <row r="11927" spans="1:4" hidden="1" x14ac:dyDescent="0.3">
      <c r="A11927">
        <v>11925</v>
      </c>
      <c r="B11927" s="1" t="s">
        <v>15546</v>
      </c>
      <c r="C11927" t="s">
        <v>123</v>
      </c>
      <c r="D11927" s="1" t="s">
        <v>15547</v>
      </c>
    </row>
    <row r="11928" spans="1:4" hidden="1" x14ac:dyDescent="0.3">
      <c r="A11928">
        <v>11926</v>
      </c>
      <c r="B11928" t="s">
        <v>15548</v>
      </c>
      <c r="C11928" t="s">
        <v>126</v>
      </c>
      <c r="D11928">
        <v>0.76531765863631096</v>
      </c>
    </row>
    <row r="11929" spans="1:4" hidden="1" x14ac:dyDescent="0.3">
      <c r="A11929">
        <v>11927</v>
      </c>
      <c r="B11929" t="s">
        <v>15549</v>
      </c>
      <c r="C11929" t="s">
        <v>128</v>
      </c>
      <c r="D11929">
        <v>0.37949474839188202</v>
      </c>
    </row>
    <row r="11930" spans="1:4" hidden="1" x14ac:dyDescent="0.3">
      <c r="A11930">
        <v>11928</v>
      </c>
      <c r="B11930" s="1" t="s">
        <v>15550</v>
      </c>
      <c r="C11930" t="s">
        <v>130</v>
      </c>
      <c r="D11930" s="1" t="s">
        <v>15551</v>
      </c>
    </row>
    <row r="11931" spans="1:4" hidden="1" x14ac:dyDescent="0.3">
      <c r="A11931">
        <v>11929</v>
      </c>
      <c r="B11931" s="1" t="s">
        <v>15552</v>
      </c>
      <c r="C11931" t="s">
        <v>4</v>
      </c>
      <c r="D11931" t="s">
        <v>15553</v>
      </c>
    </row>
    <row r="11932" spans="1:4" hidden="1" x14ac:dyDescent="0.3">
      <c r="A11932">
        <v>11930</v>
      </c>
      <c r="B11932" t="s">
        <v>15554</v>
      </c>
      <c r="C11932" t="s">
        <v>7</v>
      </c>
      <c r="D11932">
        <v>1791.53</v>
      </c>
    </row>
    <row r="11933" spans="1:4" hidden="1" x14ac:dyDescent="0.3">
      <c r="A11933">
        <v>11931</v>
      </c>
      <c r="B11933" s="1" t="s">
        <v>15555</v>
      </c>
      <c r="C11933" t="s">
        <v>9</v>
      </c>
      <c r="D11933" s="1" t="s">
        <v>15556</v>
      </c>
    </row>
    <row r="11934" spans="1:4" hidden="1" x14ac:dyDescent="0.3">
      <c r="A11934">
        <v>11932</v>
      </c>
      <c r="B11934" t="s">
        <v>15557</v>
      </c>
      <c r="C11934" t="s">
        <v>14</v>
      </c>
      <c r="D11934">
        <v>95.63671875</v>
      </c>
    </row>
    <row r="11935" spans="1:4" hidden="1" x14ac:dyDescent="0.3">
      <c r="A11935">
        <v>11933</v>
      </c>
      <c r="B11935" t="s">
        <v>15558</v>
      </c>
      <c r="C11935" t="s">
        <v>16</v>
      </c>
      <c r="D11935">
        <v>4.36276721842931</v>
      </c>
    </row>
    <row r="11936" spans="1:4" hidden="1" x14ac:dyDescent="0.3">
      <c r="A11936">
        <v>11934</v>
      </c>
      <c r="B11936" s="1" t="s">
        <v>15559</v>
      </c>
      <c r="C11936" t="s">
        <v>140</v>
      </c>
      <c r="D11936" s="1" t="s">
        <v>15560</v>
      </c>
    </row>
    <row r="11937" spans="1:4" hidden="1" x14ac:dyDescent="0.3">
      <c r="A11937">
        <v>11935</v>
      </c>
      <c r="B11937" t="s">
        <v>8678</v>
      </c>
      <c r="C11937" t="s">
        <v>22</v>
      </c>
      <c r="D11937">
        <v>66.75</v>
      </c>
    </row>
    <row r="11938" spans="1:4" hidden="1" x14ac:dyDescent="0.3">
      <c r="A11938">
        <v>11936</v>
      </c>
      <c r="B11938" t="s">
        <v>15561</v>
      </c>
      <c r="C11938" t="s">
        <v>24</v>
      </c>
      <c r="D11938">
        <v>6.4542181974604897</v>
      </c>
    </row>
    <row r="11939" spans="1:4" hidden="1" x14ac:dyDescent="0.3">
      <c r="A11939">
        <v>11937</v>
      </c>
      <c r="B11939" s="1" t="s">
        <v>15562</v>
      </c>
      <c r="C11939" t="s">
        <v>145</v>
      </c>
      <c r="D11939" s="1" t="s">
        <v>15563</v>
      </c>
    </row>
    <row r="11940" spans="1:4" hidden="1" x14ac:dyDescent="0.3">
      <c r="A11940">
        <v>11938</v>
      </c>
      <c r="B11940" t="s">
        <v>15564</v>
      </c>
      <c r="C11940" t="s">
        <v>35</v>
      </c>
      <c r="D11940">
        <v>0.45848355822410403</v>
      </c>
    </row>
    <row r="11941" spans="1:4" hidden="1" x14ac:dyDescent="0.3">
      <c r="A11941">
        <v>11939</v>
      </c>
      <c r="B11941" t="s">
        <v>15565</v>
      </c>
      <c r="C11941" t="s">
        <v>149</v>
      </c>
      <c r="D11941">
        <v>0.66059831027069404</v>
      </c>
    </row>
    <row r="11942" spans="1:4" hidden="1" x14ac:dyDescent="0.3">
      <c r="A11942">
        <v>11940</v>
      </c>
      <c r="B11942" s="1" t="s">
        <v>15566</v>
      </c>
      <c r="C11942" t="s">
        <v>151</v>
      </c>
      <c r="D11942" s="1" t="s">
        <v>15567</v>
      </c>
    </row>
    <row r="11943" spans="1:4" hidden="1" x14ac:dyDescent="0.3">
      <c r="A11943">
        <v>11941</v>
      </c>
      <c r="B11943" t="s">
        <v>15568</v>
      </c>
      <c r="C11943" t="s">
        <v>30</v>
      </c>
      <c r="D11943">
        <v>0.21366428097506401</v>
      </c>
    </row>
    <row r="11944" spans="1:4" hidden="1" x14ac:dyDescent="0.3">
      <c r="A11944">
        <v>11942</v>
      </c>
      <c r="B11944" t="s">
        <v>15569</v>
      </c>
      <c r="C11944" t="s">
        <v>32</v>
      </c>
      <c r="D11944">
        <v>0.26957769614175497</v>
      </c>
    </row>
    <row r="11945" spans="1:4" hidden="1" x14ac:dyDescent="0.3">
      <c r="A11945">
        <v>11943</v>
      </c>
      <c r="B11945" s="1" t="s">
        <v>15570</v>
      </c>
      <c r="C11945" t="s">
        <v>155</v>
      </c>
      <c r="D11945" s="1" t="s">
        <v>15571</v>
      </c>
    </row>
    <row r="11946" spans="1:4" hidden="1" x14ac:dyDescent="0.3">
      <c r="A11946">
        <v>11944</v>
      </c>
      <c r="B11946" t="s">
        <v>15572</v>
      </c>
      <c r="C11946" t="s">
        <v>40</v>
      </c>
      <c r="D11946">
        <v>0.32785216080083002</v>
      </c>
    </row>
    <row r="11947" spans="1:4" hidden="1" x14ac:dyDescent="0.3">
      <c r="A11947">
        <v>11945</v>
      </c>
      <c r="B11947" t="s">
        <v>15573</v>
      </c>
      <c r="C11947" t="s">
        <v>42</v>
      </c>
      <c r="D11947">
        <v>0.244201531646805</v>
      </c>
    </row>
    <row r="11948" spans="1:4" hidden="1" x14ac:dyDescent="0.3">
      <c r="A11948">
        <v>11946</v>
      </c>
      <c r="B11948" s="1" t="s">
        <v>15574</v>
      </c>
      <c r="C11948" t="s">
        <v>159</v>
      </c>
      <c r="D11948" s="1" t="s">
        <v>15575</v>
      </c>
    </row>
    <row r="11949" spans="1:4" hidden="1" x14ac:dyDescent="0.3">
      <c r="A11949">
        <v>11947</v>
      </c>
      <c r="B11949" t="s">
        <v>15576</v>
      </c>
      <c r="C11949" t="s">
        <v>161</v>
      </c>
      <c r="D11949">
        <v>0.99671753559248399</v>
      </c>
    </row>
    <row r="11950" spans="1:4" hidden="1" x14ac:dyDescent="0.3">
      <c r="A11950">
        <v>11948</v>
      </c>
      <c r="B11950" t="s">
        <v>15577</v>
      </c>
      <c r="C11950" t="s">
        <v>163</v>
      </c>
      <c r="D11950">
        <v>1.0018207218397099</v>
      </c>
    </row>
    <row r="11951" spans="1:4" hidden="1" x14ac:dyDescent="0.3">
      <c r="A11951">
        <v>11949</v>
      </c>
      <c r="B11951" s="1" t="s">
        <v>15578</v>
      </c>
      <c r="C11951" t="s">
        <v>165</v>
      </c>
      <c r="D11951" s="1" t="s">
        <v>15579</v>
      </c>
    </row>
    <row r="11952" spans="1:4" hidden="1" x14ac:dyDescent="0.3">
      <c r="A11952">
        <v>11950</v>
      </c>
      <c r="B11952" t="s">
        <v>15580</v>
      </c>
      <c r="C11952" t="s">
        <v>168</v>
      </c>
      <c r="D11952">
        <v>1.00087282377111</v>
      </c>
    </row>
    <row r="11953" spans="1:4" hidden="1" x14ac:dyDescent="0.3">
      <c r="A11953">
        <v>11951</v>
      </c>
      <c r="B11953" t="s">
        <v>15581</v>
      </c>
      <c r="C11953" t="s">
        <v>170</v>
      </c>
      <c r="D11953">
        <v>1.0000561218716599</v>
      </c>
    </row>
    <row r="11954" spans="1:4" hidden="1" x14ac:dyDescent="0.3">
      <c r="A11954">
        <v>11952</v>
      </c>
      <c r="B11954" s="1" t="s">
        <v>15582</v>
      </c>
      <c r="C11954" t="s">
        <v>172</v>
      </c>
      <c r="D11954" s="1" t="s">
        <v>15583</v>
      </c>
    </row>
    <row r="11955" spans="1:4" hidden="1" x14ac:dyDescent="0.3">
      <c r="A11955">
        <v>11953</v>
      </c>
      <c r="B11955" s="1" t="s">
        <v>15584</v>
      </c>
      <c r="C11955" t="s">
        <v>55</v>
      </c>
      <c r="D11955" s="1" t="s">
        <v>15585</v>
      </c>
    </row>
    <row r="11956" spans="1:4" hidden="1" x14ac:dyDescent="0.3">
      <c r="A11956">
        <v>11954</v>
      </c>
      <c r="B11956" s="1" t="s">
        <v>15586</v>
      </c>
      <c r="C11956" t="s">
        <v>52</v>
      </c>
      <c r="D11956" s="1" t="s">
        <v>15587</v>
      </c>
    </row>
    <row r="11957" spans="1:4" hidden="1" x14ac:dyDescent="0.3">
      <c r="A11957">
        <v>11955</v>
      </c>
      <c r="B11957" s="1" t="s">
        <v>15588</v>
      </c>
      <c r="C11957" t="s">
        <v>58</v>
      </c>
      <c r="D11957" s="1" t="s">
        <v>15589</v>
      </c>
    </row>
    <row r="11958" spans="1:4" hidden="1" x14ac:dyDescent="0.3">
      <c r="A11958">
        <v>11956</v>
      </c>
      <c r="B11958" t="s">
        <v>15590</v>
      </c>
      <c r="C11958" t="s">
        <v>61</v>
      </c>
      <c r="D11958">
        <v>142375575.78207099</v>
      </c>
    </row>
    <row r="11959" spans="1:4" hidden="1" x14ac:dyDescent="0.3">
      <c r="A11959">
        <v>11957</v>
      </c>
      <c r="B11959" t="s">
        <v>15591</v>
      </c>
      <c r="C11959" t="s">
        <v>63</v>
      </c>
      <c r="D11959">
        <v>77189219.1180695</v>
      </c>
    </row>
    <row r="11960" spans="1:4" hidden="1" x14ac:dyDescent="0.3">
      <c r="A11960">
        <v>11958</v>
      </c>
      <c r="B11960" t="s">
        <v>15592</v>
      </c>
      <c r="C11960" t="s">
        <v>65</v>
      </c>
      <c r="D11960">
        <v>38471453.518562801</v>
      </c>
    </row>
    <row r="11961" spans="1:4" hidden="1" x14ac:dyDescent="0.3">
      <c r="A11961">
        <v>11959</v>
      </c>
      <c r="B11961" s="1" t="s">
        <v>15593</v>
      </c>
      <c r="C11961" t="s">
        <v>67</v>
      </c>
      <c r="D11961" s="1" t="s">
        <v>15594</v>
      </c>
    </row>
    <row r="11962" spans="1:4" hidden="1" x14ac:dyDescent="0.3">
      <c r="A11962">
        <v>11960</v>
      </c>
      <c r="B11962" s="1" t="s">
        <v>15595</v>
      </c>
      <c r="C11962" t="s">
        <v>70</v>
      </c>
      <c r="D11962" s="1" t="s">
        <v>15596</v>
      </c>
    </row>
    <row r="11963" spans="1:4" hidden="1" x14ac:dyDescent="0.3">
      <c r="A11963">
        <v>11961</v>
      </c>
      <c r="B11963" t="s">
        <v>15597</v>
      </c>
      <c r="C11963" t="s">
        <v>73</v>
      </c>
      <c r="D11963">
        <v>1.00047291466281</v>
      </c>
    </row>
    <row r="11964" spans="1:4" hidden="1" x14ac:dyDescent="0.3">
      <c r="A11964">
        <v>11962</v>
      </c>
      <c r="B11964" t="s">
        <v>74</v>
      </c>
      <c r="C11964" t="s">
        <v>75</v>
      </c>
      <c r="D11964">
        <v>2.7397260273972599E-3</v>
      </c>
    </row>
    <row r="11965" spans="1:4" hidden="1" x14ac:dyDescent="0.3">
      <c r="A11965">
        <v>11963</v>
      </c>
      <c r="B11965" t="s">
        <v>76</v>
      </c>
      <c r="C11965" t="s">
        <v>77</v>
      </c>
      <c r="D11965">
        <v>0</v>
      </c>
    </row>
    <row r="11966" spans="1:4" hidden="1" x14ac:dyDescent="0.3">
      <c r="A11966">
        <v>11964</v>
      </c>
      <c r="B11966" t="s">
        <v>650</v>
      </c>
      <c r="C11966" t="s">
        <v>79</v>
      </c>
      <c r="D11966" s="2">
        <v>2.2204460492503101E-16</v>
      </c>
    </row>
    <row r="11967" spans="1:4" hidden="1" x14ac:dyDescent="0.3">
      <c r="A11967">
        <v>11965</v>
      </c>
      <c r="B11967" s="1" t="s">
        <v>15598</v>
      </c>
      <c r="C11967" t="s">
        <v>81</v>
      </c>
      <c r="D11967" s="1" t="s">
        <v>15599</v>
      </c>
    </row>
    <row r="11968" spans="1:4" hidden="1" x14ac:dyDescent="0.3">
      <c r="A11968">
        <v>11966</v>
      </c>
      <c r="B11968" t="s">
        <v>15600</v>
      </c>
      <c r="C11968" t="s">
        <v>84</v>
      </c>
      <c r="D11968">
        <v>1.0005211941027199</v>
      </c>
    </row>
    <row r="11969" spans="1:4" hidden="1" x14ac:dyDescent="0.3">
      <c r="A11969">
        <v>11967</v>
      </c>
      <c r="B11969" s="1" t="s">
        <v>15601</v>
      </c>
      <c r="C11969" t="s">
        <v>86</v>
      </c>
      <c r="D11969" s="1" t="s">
        <v>15602</v>
      </c>
    </row>
    <row r="11970" spans="1:4" hidden="1" x14ac:dyDescent="0.3">
      <c r="A11970">
        <v>11968</v>
      </c>
      <c r="B11970" t="s">
        <v>15603</v>
      </c>
      <c r="C11970" t="s">
        <v>89</v>
      </c>
      <c r="D11970">
        <v>101137067.440336</v>
      </c>
    </row>
    <row r="11971" spans="1:4" hidden="1" x14ac:dyDescent="0.3">
      <c r="A11971">
        <v>11969</v>
      </c>
      <c r="B11971" s="1" t="s">
        <v>15604</v>
      </c>
      <c r="C11971" t="s">
        <v>91</v>
      </c>
      <c r="D11971" s="1" t="s">
        <v>15539</v>
      </c>
    </row>
    <row r="11972" spans="1:4" hidden="1" x14ac:dyDescent="0.3">
      <c r="A11972">
        <v>11970</v>
      </c>
      <c r="B11972" t="s">
        <v>15605</v>
      </c>
      <c r="C11972" t="s">
        <v>94</v>
      </c>
      <c r="D11972">
        <v>77189219.1180695</v>
      </c>
    </row>
    <row r="11973" spans="1:4" hidden="1" x14ac:dyDescent="0.3">
      <c r="A11973">
        <v>11971</v>
      </c>
      <c r="B11973" t="s">
        <v>15606</v>
      </c>
      <c r="C11973" t="s">
        <v>96</v>
      </c>
      <c r="D11973">
        <v>38471453.518562801</v>
      </c>
    </row>
    <row r="11974" spans="1:4" hidden="1" x14ac:dyDescent="0.3">
      <c r="A11974">
        <v>11972</v>
      </c>
      <c r="B11974" t="s">
        <v>15607</v>
      </c>
      <c r="C11974" t="s">
        <v>98</v>
      </c>
      <c r="D11974">
        <v>26714903.145439301</v>
      </c>
    </row>
    <row r="11975" spans="1:4" hidden="1" x14ac:dyDescent="0.3">
      <c r="A11975">
        <v>11973</v>
      </c>
      <c r="B11975" s="1" t="s">
        <v>15608</v>
      </c>
      <c r="C11975" t="s">
        <v>100</v>
      </c>
      <c r="D11975" s="1" t="s">
        <v>15609</v>
      </c>
    </row>
    <row r="11976" spans="1:4" hidden="1" x14ac:dyDescent="0.3">
      <c r="A11976">
        <v>11974</v>
      </c>
      <c r="B11976" t="s">
        <v>15610</v>
      </c>
      <c r="C11976" t="s">
        <v>103</v>
      </c>
      <c r="D11976">
        <v>7.7058937734158003E-3</v>
      </c>
    </row>
    <row r="11977" spans="1:4" hidden="1" x14ac:dyDescent="0.3">
      <c r="A11977">
        <v>11975</v>
      </c>
      <c r="B11977" t="s">
        <v>15611</v>
      </c>
      <c r="C11977" t="s">
        <v>105</v>
      </c>
      <c r="D11977">
        <v>1.8090519666256299E-3</v>
      </c>
    </row>
    <row r="11978" spans="1:4" hidden="1" x14ac:dyDescent="0.3">
      <c r="A11978">
        <v>11976</v>
      </c>
      <c r="B11978" t="s">
        <v>15612</v>
      </c>
      <c r="C11978" t="s">
        <v>107</v>
      </c>
      <c r="D11978">
        <v>1.00408919224504E-2</v>
      </c>
    </row>
    <row r="11979" spans="1:4" hidden="1" x14ac:dyDescent="0.3">
      <c r="A11979">
        <v>11977</v>
      </c>
      <c r="B11979" s="1" t="s">
        <v>15613</v>
      </c>
      <c r="C11979" t="s">
        <v>109</v>
      </c>
      <c r="D11979" s="1" t="s">
        <v>15614</v>
      </c>
    </row>
    <row r="11980" spans="1:4" x14ac:dyDescent="0.3">
      <c r="A11980">
        <v>11978</v>
      </c>
      <c r="B11980" t="s">
        <v>15615</v>
      </c>
      <c r="C11980" t="s">
        <v>207</v>
      </c>
      <c r="D11980">
        <v>142377276.38635901</v>
      </c>
    </row>
    <row r="11981" spans="1:4" hidden="1" x14ac:dyDescent="0.3">
      <c r="A11981">
        <v>11979</v>
      </c>
      <c r="B11981" t="s">
        <v>15616</v>
      </c>
      <c r="C11981" t="s">
        <v>209</v>
      </c>
      <c r="D11981">
        <v>-3724.9523249844701</v>
      </c>
    </row>
    <row r="11982" spans="1:4" hidden="1" x14ac:dyDescent="0.3">
      <c r="A11982">
        <v>11980</v>
      </c>
      <c r="B11982" t="s">
        <v>15617</v>
      </c>
      <c r="C11982" t="s">
        <v>211</v>
      </c>
      <c r="D11982">
        <v>-1856.51437878864</v>
      </c>
    </row>
    <row r="11983" spans="1:4" hidden="1" x14ac:dyDescent="0.3">
      <c r="A11983">
        <v>11981</v>
      </c>
      <c r="B11983" s="1" t="s">
        <v>15618</v>
      </c>
      <c r="C11983" t="s">
        <v>213</v>
      </c>
      <c r="D11983" s="1" t="s">
        <v>15619</v>
      </c>
    </row>
    <row r="11984" spans="1:4" hidden="1" x14ac:dyDescent="0.3">
      <c r="A11984">
        <v>11982</v>
      </c>
      <c r="B11984" t="s">
        <v>15620</v>
      </c>
      <c r="C11984" t="s">
        <v>216</v>
      </c>
      <c r="D11984">
        <v>77194220.880833402</v>
      </c>
    </row>
    <row r="11985" spans="1:4" hidden="1" x14ac:dyDescent="0.3">
      <c r="A11985">
        <v>11983</v>
      </c>
      <c r="B11985" t="s">
        <v>15621</v>
      </c>
      <c r="C11985" t="s">
        <v>218</v>
      </c>
      <c r="D11985">
        <v>38473561.141551197</v>
      </c>
    </row>
    <row r="11986" spans="1:4" hidden="1" x14ac:dyDescent="0.3">
      <c r="A11986">
        <v>11984</v>
      </c>
      <c r="B11986" t="s">
        <v>15622</v>
      </c>
      <c r="C11986" t="s">
        <v>220</v>
      </c>
      <c r="D11986">
        <v>26716365.009904701</v>
      </c>
    </row>
    <row r="11987" spans="1:4" hidden="1" x14ac:dyDescent="0.3">
      <c r="A11987">
        <v>11985</v>
      </c>
      <c r="B11987" s="1" t="s">
        <v>15623</v>
      </c>
      <c r="C11987" t="s">
        <v>222</v>
      </c>
      <c r="D11987" s="1" t="s">
        <v>15624</v>
      </c>
    </row>
    <row r="11988" spans="1:4" hidden="1" x14ac:dyDescent="0.3">
      <c r="A11988">
        <v>11986</v>
      </c>
      <c r="B11988" t="s">
        <v>15625</v>
      </c>
      <c r="C11988" t="s">
        <v>225</v>
      </c>
      <c r="D11988">
        <v>101141947.97323</v>
      </c>
    </row>
    <row r="11989" spans="1:4" hidden="1" x14ac:dyDescent="0.3">
      <c r="A11989">
        <v>11987</v>
      </c>
      <c r="B11989" t="s">
        <v>15626</v>
      </c>
      <c r="C11989" t="s">
        <v>227</v>
      </c>
      <c r="D11989">
        <v>-4880.5328942686301</v>
      </c>
    </row>
    <row r="11990" spans="1:4" hidden="1" x14ac:dyDescent="0.3">
      <c r="A11990">
        <v>11988</v>
      </c>
      <c r="B11990" s="1" t="s">
        <v>15627</v>
      </c>
      <c r="C11990" t="s">
        <v>229</v>
      </c>
      <c r="D11990" s="1" t="s">
        <v>15628</v>
      </c>
    </row>
    <row r="11991" spans="1:4" hidden="1" x14ac:dyDescent="0.3">
      <c r="A11991">
        <v>11989</v>
      </c>
      <c r="B11991" t="s">
        <v>15629</v>
      </c>
      <c r="C11991" t="s">
        <v>112</v>
      </c>
      <c r="D11991">
        <v>1276.8104388583899</v>
      </c>
    </row>
    <row r="11992" spans="1:4" hidden="1" x14ac:dyDescent="0.3">
      <c r="A11992">
        <v>11990</v>
      </c>
      <c r="B11992" t="s">
        <v>15630</v>
      </c>
      <c r="C11992" t="s">
        <v>114</v>
      </c>
      <c r="D11992">
        <v>251.10860965203699</v>
      </c>
    </row>
    <row r="11993" spans="1:4" hidden="1" x14ac:dyDescent="0.3">
      <c r="A11993">
        <v>11991</v>
      </c>
      <c r="B11993" s="1" t="s">
        <v>15631</v>
      </c>
      <c r="C11993" t="s">
        <v>116</v>
      </c>
      <c r="D11993" s="1" t="s">
        <v>15632</v>
      </c>
    </row>
    <row r="11994" spans="1:4" hidden="1" x14ac:dyDescent="0.3">
      <c r="A11994">
        <v>11992</v>
      </c>
      <c r="B11994" t="s">
        <v>15633</v>
      </c>
      <c r="C11994" t="s">
        <v>119</v>
      </c>
      <c r="D11994">
        <v>77194220.880833402</v>
      </c>
    </row>
    <row r="11995" spans="1:4" hidden="1" x14ac:dyDescent="0.3">
      <c r="A11995">
        <v>11993</v>
      </c>
      <c r="B11995" t="s">
        <v>15634</v>
      </c>
      <c r="C11995" t="s">
        <v>121</v>
      </c>
      <c r="D11995">
        <v>38473561.141551197</v>
      </c>
    </row>
    <row r="11996" spans="1:4" hidden="1" x14ac:dyDescent="0.3">
      <c r="A11996">
        <v>11994</v>
      </c>
      <c r="B11996" s="1" t="s">
        <v>15635</v>
      </c>
      <c r="C11996" t="s">
        <v>123</v>
      </c>
      <c r="D11996" s="1" t="s">
        <v>15636</v>
      </c>
    </row>
    <row r="11997" spans="1:4" hidden="1" x14ac:dyDescent="0.3">
      <c r="A11997">
        <v>11995</v>
      </c>
      <c r="B11997" t="s">
        <v>15637</v>
      </c>
      <c r="C11997" t="s">
        <v>126</v>
      </c>
      <c r="D11997">
        <v>0.76282897662733395</v>
      </c>
    </row>
    <row r="11998" spans="1:4" hidden="1" x14ac:dyDescent="0.3">
      <c r="A11998">
        <v>11996</v>
      </c>
      <c r="B11998" t="s">
        <v>15638</v>
      </c>
      <c r="C11998" t="s">
        <v>128</v>
      </c>
      <c r="D11998">
        <v>0.38019358104702</v>
      </c>
    </row>
    <row r="11999" spans="1:4" hidden="1" x14ac:dyDescent="0.3">
      <c r="A11999">
        <v>11997</v>
      </c>
      <c r="B11999" s="1" t="s">
        <v>15639</v>
      </c>
      <c r="C11999" t="s">
        <v>130</v>
      </c>
      <c r="D11999" s="1" t="s">
        <v>15640</v>
      </c>
    </row>
    <row r="12000" spans="1:4" hidden="1" x14ac:dyDescent="0.3">
      <c r="A12000">
        <v>11998</v>
      </c>
      <c r="B12000" s="1" t="s">
        <v>15641</v>
      </c>
      <c r="C12000" t="s">
        <v>4</v>
      </c>
      <c r="D12000" t="s">
        <v>15642</v>
      </c>
    </row>
    <row r="12001" spans="1:4" hidden="1" x14ac:dyDescent="0.3">
      <c r="A12001">
        <v>11999</v>
      </c>
      <c r="B12001" t="s">
        <v>15643</v>
      </c>
      <c r="C12001" t="s">
        <v>7</v>
      </c>
      <c r="D12001">
        <v>1797.17</v>
      </c>
    </row>
    <row r="12002" spans="1:4" hidden="1" x14ac:dyDescent="0.3">
      <c r="A12002">
        <v>12000</v>
      </c>
      <c r="B12002" s="1" t="s">
        <v>15644</v>
      </c>
      <c r="C12002" t="s">
        <v>9</v>
      </c>
      <c r="D12002" s="1" t="s">
        <v>15645</v>
      </c>
    </row>
    <row r="12003" spans="1:4" hidden="1" x14ac:dyDescent="0.3">
      <c r="A12003">
        <v>12001</v>
      </c>
      <c r="B12003" t="s">
        <v>15646</v>
      </c>
      <c r="C12003" t="s">
        <v>14</v>
      </c>
      <c r="D12003">
        <v>95.65234375</v>
      </c>
    </row>
    <row r="12004" spans="1:4" hidden="1" x14ac:dyDescent="0.3">
      <c r="A12004">
        <v>12002</v>
      </c>
      <c r="B12004" t="s">
        <v>15647</v>
      </c>
      <c r="C12004" t="s">
        <v>16</v>
      </c>
      <c r="D12004">
        <v>4.3619731850595196</v>
      </c>
    </row>
    <row r="12005" spans="1:4" hidden="1" x14ac:dyDescent="0.3">
      <c r="A12005">
        <v>12003</v>
      </c>
      <c r="B12005" s="1" t="s">
        <v>15648</v>
      </c>
      <c r="C12005" t="s">
        <v>140</v>
      </c>
      <c r="D12005" s="1" t="s">
        <v>15649</v>
      </c>
    </row>
    <row r="12006" spans="1:4" hidden="1" x14ac:dyDescent="0.3">
      <c r="A12006">
        <v>12004</v>
      </c>
      <c r="B12006" t="s">
        <v>8678</v>
      </c>
      <c r="C12006" t="s">
        <v>22</v>
      </c>
      <c r="D12006">
        <v>66.75</v>
      </c>
    </row>
    <row r="12007" spans="1:4" hidden="1" x14ac:dyDescent="0.3">
      <c r="A12007">
        <v>12005</v>
      </c>
      <c r="B12007" t="s">
        <v>15650</v>
      </c>
      <c r="C12007" t="s">
        <v>24</v>
      </c>
      <c r="D12007">
        <v>6.4505625765230103</v>
      </c>
    </row>
    <row r="12008" spans="1:4" hidden="1" x14ac:dyDescent="0.3">
      <c r="A12008">
        <v>12006</v>
      </c>
      <c r="B12008" s="1" t="s">
        <v>15651</v>
      </c>
      <c r="C12008" t="s">
        <v>145</v>
      </c>
      <c r="D12008" s="1" t="s">
        <v>15652</v>
      </c>
    </row>
    <row r="12009" spans="1:4" hidden="1" x14ac:dyDescent="0.3">
      <c r="A12009">
        <v>12007</v>
      </c>
      <c r="B12009" t="s">
        <v>15653</v>
      </c>
      <c r="C12009" t="s">
        <v>35</v>
      </c>
      <c r="D12009">
        <v>-0.16710223417067999</v>
      </c>
    </row>
    <row r="12010" spans="1:4" hidden="1" x14ac:dyDescent="0.3">
      <c r="A12010">
        <v>12008</v>
      </c>
      <c r="B12010" t="s">
        <v>15654</v>
      </c>
      <c r="C12010" t="s">
        <v>149</v>
      </c>
      <c r="D12010">
        <v>0.661510375425445</v>
      </c>
    </row>
    <row r="12011" spans="1:4" hidden="1" x14ac:dyDescent="0.3">
      <c r="A12011">
        <v>12009</v>
      </c>
      <c r="B12011" s="1" t="s">
        <v>15655</v>
      </c>
      <c r="C12011" t="s">
        <v>151</v>
      </c>
      <c r="D12011" s="1" t="s">
        <v>15656</v>
      </c>
    </row>
    <row r="12012" spans="1:4" hidden="1" x14ac:dyDescent="0.3">
      <c r="A12012">
        <v>12010</v>
      </c>
      <c r="B12012" t="s">
        <v>15657</v>
      </c>
      <c r="C12012" t="s">
        <v>30</v>
      </c>
      <c r="D12012">
        <v>0.460634889643667</v>
      </c>
    </row>
    <row r="12013" spans="1:4" hidden="1" x14ac:dyDescent="0.3">
      <c r="A12013">
        <v>12011</v>
      </c>
      <c r="B12013" t="s">
        <v>15658</v>
      </c>
      <c r="C12013" t="s">
        <v>32</v>
      </c>
      <c r="D12013">
        <v>0.26845420689670502</v>
      </c>
    </row>
    <row r="12014" spans="1:4" hidden="1" x14ac:dyDescent="0.3">
      <c r="A12014">
        <v>12012</v>
      </c>
      <c r="B12014" s="1" t="s">
        <v>15659</v>
      </c>
      <c r="C12014" t="s">
        <v>155</v>
      </c>
      <c r="D12014" s="1" t="s">
        <v>15660</v>
      </c>
    </row>
    <row r="12015" spans="1:4" hidden="1" x14ac:dyDescent="0.3">
      <c r="A12015">
        <v>12013</v>
      </c>
      <c r="B12015" t="s">
        <v>15661</v>
      </c>
      <c r="C12015" t="s">
        <v>40</v>
      </c>
      <c r="D12015">
        <v>0.70646734452701299</v>
      </c>
    </row>
    <row r="12016" spans="1:4" hidden="1" x14ac:dyDescent="0.3">
      <c r="A12016">
        <v>12014</v>
      </c>
      <c r="B12016" t="s">
        <v>15662</v>
      </c>
      <c r="C12016" t="s">
        <v>42</v>
      </c>
      <c r="D12016">
        <v>0.24323788010473901</v>
      </c>
    </row>
    <row r="12017" spans="1:4" hidden="1" x14ac:dyDescent="0.3">
      <c r="A12017">
        <v>12015</v>
      </c>
      <c r="B12017" s="1" t="s">
        <v>15663</v>
      </c>
      <c r="C12017" t="s">
        <v>159</v>
      </c>
      <c r="D12017" s="1" t="s">
        <v>15664</v>
      </c>
    </row>
    <row r="12018" spans="1:4" hidden="1" x14ac:dyDescent="0.3">
      <c r="A12018">
        <v>12016</v>
      </c>
      <c r="B12018" t="s">
        <v>15665</v>
      </c>
      <c r="C12018" t="s">
        <v>161</v>
      </c>
      <c r="D12018">
        <v>1.0031481471144701</v>
      </c>
    </row>
    <row r="12019" spans="1:4" hidden="1" x14ac:dyDescent="0.3">
      <c r="A12019">
        <v>12017</v>
      </c>
      <c r="B12019" t="s">
        <v>15666</v>
      </c>
      <c r="C12019" t="s">
        <v>163</v>
      </c>
      <c r="D12019">
        <v>1.0001483104286599</v>
      </c>
    </row>
    <row r="12020" spans="1:4" hidden="1" x14ac:dyDescent="0.3">
      <c r="A12020">
        <v>12018</v>
      </c>
      <c r="B12020" s="1" t="s">
        <v>15667</v>
      </c>
      <c r="C12020" t="s">
        <v>165</v>
      </c>
      <c r="D12020" s="1" t="s">
        <v>15668</v>
      </c>
    </row>
    <row r="12021" spans="1:4" hidden="1" x14ac:dyDescent="0.3">
      <c r="A12021">
        <v>12019</v>
      </c>
      <c r="B12021" t="s">
        <v>15669</v>
      </c>
      <c r="C12021" t="s">
        <v>168</v>
      </c>
      <c r="D12021">
        <v>1.0005492388792001</v>
      </c>
    </row>
    <row r="12022" spans="1:4" hidden="1" x14ac:dyDescent="0.3">
      <c r="A12022">
        <v>12020</v>
      </c>
      <c r="B12022" t="s">
        <v>15670</v>
      </c>
      <c r="C12022" t="s">
        <v>170</v>
      </c>
      <c r="D12022">
        <v>0.99911506853935395</v>
      </c>
    </row>
    <row r="12023" spans="1:4" hidden="1" x14ac:dyDescent="0.3">
      <c r="A12023">
        <v>12021</v>
      </c>
      <c r="B12023" s="1" t="s">
        <v>15671</v>
      </c>
      <c r="C12023" t="s">
        <v>172</v>
      </c>
      <c r="D12023" s="1" t="s">
        <v>15672</v>
      </c>
    </row>
    <row r="12024" spans="1:4" hidden="1" x14ac:dyDescent="0.3">
      <c r="A12024">
        <v>12022</v>
      </c>
      <c r="B12024" s="1" t="s">
        <v>15673</v>
      </c>
      <c r="C12024" t="s">
        <v>55</v>
      </c>
      <c r="D12024" s="1" t="s">
        <v>15674</v>
      </c>
    </row>
    <row r="12025" spans="1:4" hidden="1" x14ac:dyDescent="0.3">
      <c r="A12025">
        <v>12023</v>
      </c>
      <c r="B12025" s="1" t="s">
        <v>15675</v>
      </c>
      <c r="C12025" t="s">
        <v>52</v>
      </c>
      <c r="D12025" s="1" t="s">
        <v>15676</v>
      </c>
    </row>
    <row r="12026" spans="1:4" hidden="1" x14ac:dyDescent="0.3">
      <c r="A12026">
        <v>12024</v>
      </c>
      <c r="B12026" s="1" t="s">
        <v>15677</v>
      </c>
      <c r="C12026" t="s">
        <v>58</v>
      </c>
      <c r="D12026" s="1" t="s">
        <v>15678</v>
      </c>
    </row>
    <row r="12027" spans="1:4" hidden="1" x14ac:dyDescent="0.3">
      <c r="A12027">
        <v>12025</v>
      </c>
      <c r="B12027" t="s">
        <v>15679</v>
      </c>
      <c r="C12027" t="s">
        <v>61</v>
      </c>
      <c r="D12027">
        <v>142631537.683245</v>
      </c>
    </row>
    <row r="12028" spans="1:4" hidden="1" x14ac:dyDescent="0.3">
      <c r="A12028">
        <v>12026</v>
      </c>
      <c r="B12028" t="s">
        <v>15680</v>
      </c>
      <c r="C12028" t="s">
        <v>63</v>
      </c>
      <c r="D12028">
        <v>77437239.644553706</v>
      </c>
    </row>
    <row r="12029" spans="1:4" hidden="1" x14ac:dyDescent="0.3">
      <c r="A12029">
        <v>12027</v>
      </c>
      <c r="B12029" t="s">
        <v>15681</v>
      </c>
      <c r="C12029" t="s">
        <v>65</v>
      </c>
      <c r="D12029">
        <v>38479267.171896398</v>
      </c>
    </row>
    <row r="12030" spans="1:4" hidden="1" x14ac:dyDescent="0.3">
      <c r="A12030">
        <v>12028</v>
      </c>
      <c r="B12030" s="1" t="s">
        <v>15682</v>
      </c>
      <c r="C12030" t="s">
        <v>67</v>
      </c>
      <c r="D12030" s="1" t="s">
        <v>15683</v>
      </c>
    </row>
    <row r="12031" spans="1:4" hidden="1" x14ac:dyDescent="0.3">
      <c r="A12031">
        <v>12029</v>
      </c>
      <c r="B12031" s="1" t="s">
        <v>15684</v>
      </c>
      <c r="C12031" t="s">
        <v>70</v>
      </c>
      <c r="D12031" s="1" t="s">
        <v>15685</v>
      </c>
    </row>
    <row r="12032" spans="1:4" hidden="1" x14ac:dyDescent="0.3">
      <c r="A12032">
        <v>12030</v>
      </c>
      <c r="B12032" t="s">
        <v>15686</v>
      </c>
      <c r="C12032" t="s">
        <v>73</v>
      </c>
      <c r="D12032">
        <v>1.0005211941027199</v>
      </c>
    </row>
    <row r="12033" spans="1:4" hidden="1" x14ac:dyDescent="0.3">
      <c r="A12033">
        <v>12031</v>
      </c>
      <c r="B12033" t="s">
        <v>74</v>
      </c>
      <c r="C12033" t="s">
        <v>75</v>
      </c>
      <c r="D12033">
        <v>2.7397260273972599E-3</v>
      </c>
    </row>
    <row r="12034" spans="1:4" hidden="1" x14ac:dyDescent="0.3">
      <c r="A12034">
        <v>12032</v>
      </c>
      <c r="B12034" t="s">
        <v>76</v>
      </c>
      <c r="C12034" t="s">
        <v>77</v>
      </c>
      <c r="D12034">
        <v>0</v>
      </c>
    </row>
    <row r="12035" spans="1:4" hidden="1" x14ac:dyDescent="0.3">
      <c r="A12035">
        <v>12033</v>
      </c>
      <c r="B12035" t="s">
        <v>78</v>
      </c>
      <c r="C12035" t="s">
        <v>79</v>
      </c>
      <c r="D12035">
        <v>0</v>
      </c>
    </row>
    <row r="12036" spans="1:4" hidden="1" x14ac:dyDescent="0.3">
      <c r="A12036">
        <v>12034</v>
      </c>
      <c r="B12036" s="1" t="s">
        <v>15687</v>
      </c>
      <c r="C12036" t="s">
        <v>81</v>
      </c>
      <c r="D12036" s="1" t="s">
        <v>15688</v>
      </c>
    </row>
    <row r="12037" spans="1:4" hidden="1" x14ac:dyDescent="0.3">
      <c r="A12037">
        <v>12035</v>
      </c>
      <c r="B12037" t="s">
        <v>15689</v>
      </c>
      <c r="C12037" t="s">
        <v>84</v>
      </c>
      <c r="D12037">
        <v>1.0005383292560299</v>
      </c>
    </row>
    <row r="12038" spans="1:4" hidden="1" x14ac:dyDescent="0.3">
      <c r="A12038">
        <v>12036</v>
      </c>
      <c r="B12038" s="1" t="s">
        <v>15690</v>
      </c>
      <c r="C12038" t="s">
        <v>86</v>
      </c>
      <c r="D12038" s="1" t="s">
        <v>15691</v>
      </c>
    </row>
    <row r="12039" spans="1:4" hidden="1" x14ac:dyDescent="0.3">
      <c r="A12039">
        <v>12037</v>
      </c>
      <c r="B12039" t="s">
        <v>15692</v>
      </c>
      <c r="C12039" t="s">
        <v>89</v>
      </c>
      <c r="D12039">
        <v>101135335.373602</v>
      </c>
    </row>
    <row r="12040" spans="1:4" hidden="1" x14ac:dyDescent="0.3">
      <c r="A12040">
        <v>12038</v>
      </c>
      <c r="B12040" s="1" t="s">
        <v>15693</v>
      </c>
      <c r="C12040" t="s">
        <v>91</v>
      </c>
      <c r="D12040" s="1" t="s">
        <v>15628</v>
      </c>
    </row>
    <row r="12041" spans="1:4" hidden="1" x14ac:dyDescent="0.3">
      <c r="A12041">
        <v>12039</v>
      </c>
      <c r="B12041" t="s">
        <v>15694</v>
      </c>
      <c r="C12041" t="s">
        <v>94</v>
      </c>
      <c r="D12041">
        <v>77437239.644553706</v>
      </c>
    </row>
    <row r="12042" spans="1:4" hidden="1" x14ac:dyDescent="0.3">
      <c r="A12042">
        <v>12040</v>
      </c>
      <c r="B12042" t="s">
        <v>15695</v>
      </c>
      <c r="C12042" t="s">
        <v>96</v>
      </c>
      <c r="D12042">
        <v>38479267.171896398</v>
      </c>
    </row>
    <row r="12043" spans="1:4" hidden="1" x14ac:dyDescent="0.3">
      <c r="A12043">
        <v>12041</v>
      </c>
      <c r="B12043" t="s">
        <v>15696</v>
      </c>
      <c r="C12043" t="s">
        <v>98</v>
      </c>
      <c r="D12043">
        <v>26715030.866795</v>
      </c>
    </row>
    <row r="12044" spans="1:4" hidden="1" x14ac:dyDescent="0.3">
      <c r="A12044">
        <v>12042</v>
      </c>
      <c r="B12044" s="1" t="s">
        <v>15697</v>
      </c>
      <c r="C12044" t="s">
        <v>100</v>
      </c>
      <c r="D12044" s="1" t="s">
        <v>15698</v>
      </c>
    </row>
    <row r="12045" spans="1:4" hidden="1" x14ac:dyDescent="0.3">
      <c r="A12045">
        <v>12043</v>
      </c>
      <c r="B12045" t="s">
        <v>15699</v>
      </c>
      <c r="C12045" t="s">
        <v>103</v>
      </c>
      <c r="D12045">
        <v>7.7026244077945697E-3</v>
      </c>
    </row>
    <row r="12046" spans="1:4" hidden="1" x14ac:dyDescent="0.3">
      <c r="A12046">
        <v>12044</v>
      </c>
      <c r="B12046" t="s">
        <v>15700</v>
      </c>
      <c r="C12046" t="s">
        <v>105</v>
      </c>
      <c r="D12046">
        <v>1.8019897321414199E-3</v>
      </c>
    </row>
    <row r="12047" spans="1:4" hidden="1" x14ac:dyDescent="0.3">
      <c r="A12047">
        <v>12045</v>
      </c>
      <c r="B12047" t="s">
        <v>15701</v>
      </c>
      <c r="C12047" t="s">
        <v>107</v>
      </c>
      <c r="D12047">
        <v>1.00166620687255E-2</v>
      </c>
    </row>
    <row r="12048" spans="1:4" hidden="1" x14ac:dyDescent="0.3">
      <c r="A12048">
        <v>12046</v>
      </c>
      <c r="B12048" s="1" t="s">
        <v>15702</v>
      </c>
      <c r="C12048" t="s">
        <v>109</v>
      </c>
      <c r="D12048" s="1" t="s">
        <v>15703</v>
      </c>
    </row>
    <row r="12049" spans="1:4" x14ac:dyDescent="0.3">
      <c r="A12049">
        <v>12047</v>
      </c>
      <c r="B12049" t="s">
        <v>15704</v>
      </c>
      <c r="C12049" t="s">
        <v>207</v>
      </c>
      <c r="D12049">
        <v>142632140.949406</v>
      </c>
    </row>
    <row r="12050" spans="1:4" hidden="1" x14ac:dyDescent="0.3">
      <c r="A12050">
        <v>12048</v>
      </c>
      <c r="B12050" t="s">
        <v>15705</v>
      </c>
      <c r="C12050" t="s">
        <v>209</v>
      </c>
      <c r="D12050">
        <v>-1326.21497057177</v>
      </c>
    </row>
    <row r="12051" spans="1:4" hidden="1" x14ac:dyDescent="0.3">
      <c r="A12051">
        <v>12049</v>
      </c>
      <c r="B12051" t="s">
        <v>15706</v>
      </c>
      <c r="C12051" t="s">
        <v>211</v>
      </c>
      <c r="D12051">
        <v>-659.00675541020405</v>
      </c>
    </row>
    <row r="12052" spans="1:4" hidden="1" x14ac:dyDescent="0.3">
      <c r="A12052">
        <v>12050</v>
      </c>
      <c r="B12052" s="1" t="s">
        <v>15707</v>
      </c>
      <c r="C12052" t="s">
        <v>213</v>
      </c>
      <c r="D12052" s="1" t="s">
        <v>15708</v>
      </c>
    </row>
    <row r="12053" spans="1:4" hidden="1" x14ac:dyDescent="0.3">
      <c r="A12053">
        <v>12051</v>
      </c>
      <c r="B12053" t="s">
        <v>15709</v>
      </c>
      <c r="C12053" t="s">
        <v>216</v>
      </c>
      <c r="D12053">
        <v>77438986.794227093</v>
      </c>
    </row>
    <row r="12054" spans="1:4" hidden="1" x14ac:dyDescent="0.3">
      <c r="A12054">
        <v>12052</v>
      </c>
      <c r="B12054" t="s">
        <v>15710</v>
      </c>
      <c r="C12054" t="s">
        <v>218</v>
      </c>
      <c r="D12054">
        <v>38480047.776504301</v>
      </c>
    </row>
    <row r="12055" spans="1:4" hidden="1" x14ac:dyDescent="0.3">
      <c r="A12055">
        <v>12053</v>
      </c>
      <c r="B12055" t="s">
        <v>15711</v>
      </c>
      <c r="C12055" t="s">
        <v>220</v>
      </c>
      <c r="D12055">
        <v>26715549.1291297</v>
      </c>
    </row>
    <row r="12056" spans="1:4" hidden="1" x14ac:dyDescent="0.3">
      <c r="A12056">
        <v>12054</v>
      </c>
      <c r="B12056" s="1" t="s">
        <v>15712</v>
      </c>
      <c r="C12056" t="s">
        <v>222</v>
      </c>
      <c r="D12056" s="1" t="s">
        <v>15713</v>
      </c>
    </row>
    <row r="12057" spans="1:4" hidden="1" x14ac:dyDescent="0.3">
      <c r="A12057">
        <v>12055</v>
      </c>
      <c r="B12057" t="s">
        <v>15714</v>
      </c>
      <c r="C12057" t="s">
        <v>225</v>
      </c>
      <c r="D12057">
        <v>101137067.440336</v>
      </c>
    </row>
    <row r="12058" spans="1:4" hidden="1" x14ac:dyDescent="0.3">
      <c r="A12058">
        <v>12056</v>
      </c>
      <c r="B12058" t="s">
        <v>15715</v>
      </c>
      <c r="C12058" t="s">
        <v>227</v>
      </c>
      <c r="D12058">
        <v>-1732.06673371791</v>
      </c>
    </row>
    <row r="12059" spans="1:4" hidden="1" x14ac:dyDescent="0.3">
      <c r="A12059">
        <v>12057</v>
      </c>
      <c r="B12059" s="1" t="s">
        <v>15716</v>
      </c>
      <c r="C12059" t="s">
        <v>229</v>
      </c>
      <c r="D12059" s="1" t="s">
        <v>15717</v>
      </c>
    </row>
    <row r="12060" spans="1:4" hidden="1" x14ac:dyDescent="0.3">
      <c r="A12060">
        <v>12058</v>
      </c>
      <c r="B12060" t="s">
        <v>15718</v>
      </c>
      <c r="C12060" t="s">
        <v>112</v>
      </c>
      <c r="D12060">
        <v>420.934702757747</v>
      </c>
    </row>
    <row r="12061" spans="1:4" hidden="1" x14ac:dyDescent="0.3">
      <c r="A12061">
        <v>12059</v>
      </c>
      <c r="B12061" t="s">
        <v>15719</v>
      </c>
      <c r="C12061" t="s">
        <v>114</v>
      </c>
      <c r="D12061">
        <v>121.597852520765</v>
      </c>
    </row>
    <row r="12062" spans="1:4" hidden="1" x14ac:dyDescent="0.3">
      <c r="A12062">
        <v>12060</v>
      </c>
      <c r="B12062" s="1" t="s">
        <v>15720</v>
      </c>
      <c r="C12062" t="s">
        <v>116</v>
      </c>
      <c r="D12062" s="1" t="s">
        <v>15721</v>
      </c>
    </row>
    <row r="12063" spans="1:4" hidden="1" x14ac:dyDescent="0.3">
      <c r="A12063">
        <v>12061</v>
      </c>
      <c r="B12063" t="s">
        <v>15722</v>
      </c>
      <c r="C12063" t="s">
        <v>119</v>
      </c>
      <c r="D12063">
        <v>77438986.794227093</v>
      </c>
    </row>
    <row r="12064" spans="1:4" hidden="1" x14ac:dyDescent="0.3">
      <c r="A12064">
        <v>12062</v>
      </c>
      <c r="B12064" t="s">
        <v>15723</v>
      </c>
      <c r="C12064" t="s">
        <v>121</v>
      </c>
      <c r="D12064">
        <v>38480047.776504301</v>
      </c>
    </row>
    <row r="12065" spans="1:4" hidden="1" x14ac:dyDescent="0.3">
      <c r="A12065">
        <v>12063</v>
      </c>
      <c r="B12065" s="1" t="s">
        <v>15724</v>
      </c>
      <c r="C12065" t="s">
        <v>123</v>
      </c>
      <c r="D12065" s="1" t="s">
        <v>15725</v>
      </c>
    </row>
    <row r="12066" spans="1:4" hidden="1" x14ac:dyDescent="0.3">
      <c r="A12066">
        <v>12064</v>
      </c>
      <c r="B12066" t="s">
        <v>15726</v>
      </c>
      <c r="C12066" t="s">
        <v>126</v>
      </c>
      <c r="D12066">
        <v>0.76527156175806399</v>
      </c>
    </row>
    <row r="12067" spans="1:4" hidden="1" x14ac:dyDescent="0.3">
      <c r="A12067">
        <v>12065</v>
      </c>
      <c r="B12067" t="s">
        <v>15727</v>
      </c>
      <c r="C12067" t="s">
        <v>128</v>
      </c>
      <c r="D12067">
        <v>0.38026951897885197</v>
      </c>
    </row>
    <row r="12068" spans="1:4" hidden="1" x14ac:dyDescent="0.3">
      <c r="A12068">
        <v>12066</v>
      </c>
      <c r="B12068" s="1" t="s">
        <v>15728</v>
      </c>
      <c r="C12068" t="s">
        <v>130</v>
      </c>
      <c r="D12068" s="1" t="s">
        <v>15729</v>
      </c>
    </row>
    <row r="12069" spans="1:4" hidden="1" x14ac:dyDescent="0.3">
      <c r="A12069">
        <v>12067</v>
      </c>
      <c r="B12069" s="1" t="s">
        <v>15730</v>
      </c>
      <c r="C12069" t="s">
        <v>4</v>
      </c>
      <c r="D12069" t="s">
        <v>15731</v>
      </c>
    </row>
    <row r="12070" spans="1:4" hidden="1" x14ac:dyDescent="0.3">
      <c r="A12070">
        <v>12068</v>
      </c>
      <c r="B12070" t="s">
        <v>15732</v>
      </c>
      <c r="C12070" t="s">
        <v>7</v>
      </c>
      <c r="D12070">
        <v>1808.28</v>
      </c>
    </row>
    <row r="12071" spans="1:4" hidden="1" x14ac:dyDescent="0.3">
      <c r="A12071">
        <v>12069</v>
      </c>
      <c r="B12071" s="1" t="s">
        <v>15733</v>
      </c>
      <c r="C12071" t="s">
        <v>9</v>
      </c>
      <c r="D12071" s="1" t="s">
        <v>15734</v>
      </c>
    </row>
    <row r="12072" spans="1:4" hidden="1" x14ac:dyDescent="0.3">
      <c r="A12072">
        <v>12070</v>
      </c>
      <c r="B12072" t="s">
        <v>15735</v>
      </c>
      <c r="C12072" t="s">
        <v>14</v>
      </c>
      <c r="D12072">
        <v>95.05859375</v>
      </c>
    </row>
    <row r="12073" spans="1:4" hidden="1" x14ac:dyDescent="0.3">
      <c r="A12073">
        <v>12071</v>
      </c>
      <c r="B12073" t="s">
        <v>15736</v>
      </c>
      <c r="C12073" t="s">
        <v>16</v>
      </c>
      <c r="D12073">
        <v>4.3520917029502701</v>
      </c>
    </row>
    <row r="12074" spans="1:4" hidden="1" x14ac:dyDescent="0.3">
      <c r="A12074">
        <v>12072</v>
      </c>
      <c r="B12074" s="1" t="s">
        <v>15737</v>
      </c>
      <c r="C12074" t="s">
        <v>140</v>
      </c>
      <c r="D12074" s="1" t="s">
        <v>15738</v>
      </c>
    </row>
    <row r="12075" spans="1:4" hidden="1" x14ac:dyDescent="0.3">
      <c r="A12075">
        <v>12073</v>
      </c>
      <c r="B12075" t="s">
        <v>15739</v>
      </c>
      <c r="C12075" t="s">
        <v>22</v>
      </c>
      <c r="D12075">
        <v>67.05</v>
      </c>
    </row>
    <row r="12076" spans="1:4" hidden="1" x14ac:dyDescent="0.3">
      <c r="A12076">
        <v>12074</v>
      </c>
      <c r="B12076" t="s">
        <v>15740</v>
      </c>
      <c r="C12076" t="s">
        <v>24</v>
      </c>
      <c r="D12076">
        <v>6.3414101003267396</v>
      </c>
    </row>
    <row r="12077" spans="1:4" hidden="1" x14ac:dyDescent="0.3">
      <c r="A12077">
        <v>12075</v>
      </c>
      <c r="B12077" s="1" t="s">
        <v>15741</v>
      </c>
      <c r="C12077" t="s">
        <v>145</v>
      </c>
      <c r="D12077" s="1" t="s">
        <v>15742</v>
      </c>
    </row>
    <row r="12078" spans="1:4" hidden="1" x14ac:dyDescent="0.3">
      <c r="A12078">
        <v>12076</v>
      </c>
      <c r="B12078" t="s">
        <v>15743</v>
      </c>
      <c r="C12078" t="s">
        <v>35</v>
      </c>
      <c r="D12078">
        <v>-1.77813982480995</v>
      </c>
    </row>
    <row r="12079" spans="1:4" hidden="1" x14ac:dyDescent="0.3">
      <c r="A12079">
        <v>12077</v>
      </c>
      <c r="B12079" t="s">
        <v>15744</v>
      </c>
      <c r="C12079" t="s">
        <v>149</v>
      </c>
      <c r="D12079">
        <v>0.64913554452132005</v>
      </c>
    </row>
    <row r="12080" spans="1:4" hidden="1" x14ac:dyDescent="0.3">
      <c r="A12080">
        <v>12078</v>
      </c>
      <c r="B12080" s="1" t="s">
        <v>15745</v>
      </c>
      <c r="C12080" t="s">
        <v>151</v>
      </c>
      <c r="D12080" s="1" t="s">
        <v>15746</v>
      </c>
    </row>
    <row r="12081" spans="1:4" hidden="1" x14ac:dyDescent="0.3">
      <c r="A12081">
        <v>12079</v>
      </c>
      <c r="B12081" t="s">
        <v>15747</v>
      </c>
      <c r="C12081" t="s">
        <v>30</v>
      </c>
      <c r="D12081">
        <v>1.10022333893389</v>
      </c>
    </row>
    <row r="12082" spans="1:4" hidden="1" x14ac:dyDescent="0.3">
      <c r="A12082">
        <v>12080</v>
      </c>
      <c r="B12082" t="s">
        <v>15748</v>
      </c>
      <c r="C12082" t="s">
        <v>32</v>
      </c>
      <c r="D12082">
        <v>0.28233606534625399</v>
      </c>
    </row>
    <row r="12083" spans="1:4" hidden="1" x14ac:dyDescent="0.3">
      <c r="A12083">
        <v>12081</v>
      </c>
      <c r="B12083" s="1" t="s">
        <v>15749</v>
      </c>
      <c r="C12083" t="s">
        <v>155</v>
      </c>
      <c r="D12083" s="1" t="s">
        <v>15750</v>
      </c>
    </row>
    <row r="12084" spans="1:4" hidden="1" x14ac:dyDescent="0.3">
      <c r="A12084">
        <v>12082</v>
      </c>
      <c r="B12084" t="s">
        <v>15751</v>
      </c>
      <c r="C12084" t="s">
        <v>40</v>
      </c>
      <c r="D12084">
        <v>1.67791648587605</v>
      </c>
    </row>
    <row r="12085" spans="1:4" hidden="1" x14ac:dyDescent="0.3">
      <c r="A12085">
        <v>12083</v>
      </c>
      <c r="B12085" t="s">
        <v>15752</v>
      </c>
      <c r="C12085" t="s">
        <v>42</v>
      </c>
      <c r="D12085">
        <v>0.25817424631355401</v>
      </c>
    </row>
    <row r="12086" spans="1:4" hidden="1" x14ac:dyDescent="0.3">
      <c r="A12086">
        <v>12084</v>
      </c>
      <c r="B12086" s="1" t="s">
        <v>15753</v>
      </c>
      <c r="C12086" t="s">
        <v>159</v>
      </c>
      <c r="D12086" s="1" t="s">
        <v>15754</v>
      </c>
    </row>
    <row r="12087" spans="1:4" hidden="1" x14ac:dyDescent="0.3">
      <c r="A12087">
        <v>12085</v>
      </c>
      <c r="B12087" t="s">
        <v>15755</v>
      </c>
      <c r="C12087" t="s">
        <v>161</v>
      </c>
      <c r="D12087">
        <v>1.0061819416081901</v>
      </c>
    </row>
    <row r="12088" spans="1:4" hidden="1" x14ac:dyDescent="0.3">
      <c r="A12088">
        <v>12086</v>
      </c>
      <c r="B12088" t="s">
        <v>15756</v>
      </c>
      <c r="C12088" t="s">
        <v>163</v>
      </c>
      <c r="D12088">
        <v>0.99396454927046896</v>
      </c>
    </row>
    <row r="12089" spans="1:4" hidden="1" x14ac:dyDescent="0.3">
      <c r="A12089">
        <v>12087</v>
      </c>
      <c r="B12089" s="1" t="s">
        <v>15757</v>
      </c>
      <c r="C12089" t="s">
        <v>165</v>
      </c>
      <c r="D12089" s="1" t="s">
        <v>15758</v>
      </c>
    </row>
    <row r="12090" spans="1:4" hidden="1" x14ac:dyDescent="0.3">
      <c r="A12090">
        <v>12088</v>
      </c>
      <c r="B12090" t="s">
        <v>15759</v>
      </c>
      <c r="C12090" t="s">
        <v>168</v>
      </c>
      <c r="D12090">
        <v>0.992552059206397</v>
      </c>
    </row>
    <row r="12091" spans="1:4" hidden="1" x14ac:dyDescent="0.3">
      <c r="A12091">
        <v>12089</v>
      </c>
      <c r="B12091" t="s">
        <v>15760</v>
      </c>
      <c r="C12091" t="s">
        <v>170</v>
      </c>
      <c r="D12091">
        <v>1.0109439177024</v>
      </c>
    </row>
    <row r="12092" spans="1:4" hidden="1" x14ac:dyDescent="0.3">
      <c r="A12092">
        <v>12090</v>
      </c>
      <c r="B12092" s="1" t="s">
        <v>15761</v>
      </c>
      <c r="C12092" t="s">
        <v>172</v>
      </c>
      <c r="D12092" s="1" t="s">
        <v>15762</v>
      </c>
    </row>
    <row r="12093" spans="1:4" hidden="1" x14ac:dyDescent="0.3">
      <c r="A12093">
        <v>12091</v>
      </c>
      <c r="B12093" s="1" t="s">
        <v>15763</v>
      </c>
      <c r="C12093" t="s">
        <v>55</v>
      </c>
      <c r="D12093" s="1" t="s">
        <v>15764</v>
      </c>
    </row>
    <row r="12094" spans="1:4" hidden="1" x14ac:dyDescent="0.3">
      <c r="A12094">
        <v>12092</v>
      </c>
      <c r="B12094" s="1" t="s">
        <v>15765</v>
      </c>
      <c r="C12094" t="s">
        <v>52</v>
      </c>
      <c r="D12094" s="1" t="s">
        <v>15766</v>
      </c>
    </row>
    <row r="12095" spans="1:4" hidden="1" x14ac:dyDescent="0.3">
      <c r="A12095">
        <v>12093</v>
      </c>
      <c r="B12095" s="1" t="s">
        <v>15767</v>
      </c>
      <c r="C12095" t="s">
        <v>58</v>
      </c>
      <c r="D12095" s="1" t="s">
        <v>15768</v>
      </c>
    </row>
    <row r="12096" spans="1:4" hidden="1" x14ac:dyDescent="0.3">
      <c r="A12096">
        <v>12094</v>
      </c>
      <c r="B12096" t="s">
        <v>15769</v>
      </c>
      <c r="C12096" t="s">
        <v>61</v>
      </c>
      <c r="D12096">
        <v>142950714.982945</v>
      </c>
    </row>
    <row r="12097" spans="1:4" hidden="1" x14ac:dyDescent="0.3">
      <c r="A12097">
        <v>12095</v>
      </c>
      <c r="B12097" t="s">
        <v>15770</v>
      </c>
      <c r="C12097" t="s">
        <v>63</v>
      </c>
      <c r="D12097">
        <v>77917710.088786706</v>
      </c>
    </row>
    <row r="12098" spans="1:4" hidden="1" x14ac:dyDescent="0.3">
      <c r="A12098">
        <v>12096</v>
      </c>
      <c r="B12098" t="s">
        <v>15771</v>
      </c>
      <c r="C12098" t="s">
        <v>65</v>
      </c>
      <c r="D12098">
        <v>38247803.344079196</v>
      </c>
    </row>
    <row r="12099" spans="1:4" hidden="1" x14ac:dyDescent="0.3">
      <c r="A12099">
        <v>12097</v>
      </c>
      <c r="B12099" s="1" t="s">
        <v>15772</v>
      </c>
      <c r="C12099" t="s">
        <v>67</v>
      </c>
      <c r="D12099" s="1" t="s">
        <v>15773</v>
      </c>
    </row>
    <row r="12100" spans="1:4" hidden="1" x14ac:dyDescent="0.3">
      <c r="A12100">
        <v>12098</v>
      </c>
      <c r="B12100" s="1" t="s">
        <v>15774</v>
      </c>
      <c r="C12100" t="s">
        <v>70</v>
      </c>
      <c r="D12100" s="1" t="s">
        <v>15775</v>
      </c>
    </row>
    <row r="12101" spans="1:4" hidden="1" x14ac:dyDescent="0.3">
      <c r="A12101">
        <v>12099</v>
      </c>
      <c r="B12101" t="s">
        <v>15776</v>
      </c>
      <c r="C12101" t="s">
        <v>73</v>
      </c>
      <c r="D12101">
        <v>1.0005383292560299</v>
      </c>
    </row>
    <row r="12102" spans="1:4" hidden="1" x14ac:dyDescent="0.3">
      <c r="A12102">
        <v>12100</v>
      </c>
      <c r="B12102" t="s">
        <v>74</v>
      </c>
      <c r="C12102" t="s">
        <v>75</v>
      </c>
      <c r="D12102">
        <v>2.7397260273972599E-3</v>
      </c>
    </row>
    <row r="12103" spans="1:4" hidden="1" x14ac:dyDescent="0.3">
      <c r="A12103">
        <v>12101</v>
      </c>
      <c r="B12103" t="s">
        <v>76</v>
      </c>
      <c r="C12103" t="s">
        <v>77</v>
      </c>
      <c r="D12103">
        <v>0</v>
      </c>
    </row>
    <row r="12104" spans="1:4" hidden="1" x14ac:dyDescent="0.3">
      <c r="A12104">
        <v>12102</v>
      </c>
      <c r="B12104" t="s">
        <v>650</v>
      </c>
      <c r="C12104" t="s">
        <v>79</v>
      </c>
      <c r="D12104" s="2">
        <v>2.2204460492503101E-16</v>
      </c>
    </row>
    <row r="12105" spans="1:4" hidden="1" x14ac:dyDescent="0.3">
      <c r="A12105">
        <v>12103</v>
      </c>
      <c r="B12105" s="1" t="s">
        <v>15777</v>
      </c>
      <c r="C12105" t="s">
        <v>81</v>
      </c>
      <c r="D12105" s="1" t="s">
        <v>15778</v>
      </c>
    </row>
    <row r="12106" spans="1:4" hidden="1" x14ac:dyDescent="0.3">
      <c r="A12106">
        <v>12104</v>
      </c>
      <c r="B12106" t="s">
        <v>15779</v>
      </c>
      <c r="C12106" t="s">
        <v>84</v>
      </c>
      <c r="D12106">
        <v>1.0005515350855201</v>
      </c>
    </row>
    <row r="12107" spans="1:4" hidden="1" x14ac:dyDescent="0.3">
      <c r="A12107">
        <v>12105</v>
      </c>
      <c r="B12107" s="1" t="s">
        <v>15780</v>
      </c>
      <c r="C12107" t="s">
        <v>86</v>
      </c>
      <c r="D12107" s="1" t="s">
        <v>15781</v>
      </c>
    </row>
    <row r="12108" spans="1:4" hidden="1" x14ac:dyDescent="0.3">
      <c r="A12108">
        <v>12106</v>
      </c>
      <c r="B12108" t="s">
        <v>15782</v>
      </c>
      <c r="C12108" t="s">
        <v>89</v>
      </c>
      <c r="D12108">
        <v>101134000.533819</v>
      </c>
    </row>
    <row r="12109" spans="1:4" hidden="1" x14ac:dyDescent="0.3">
      <c r="A12109">
        <v>12107</v>
      </c>
      <c r="B12109" s="1" t="s">
        <v>15783</v>
      </c>
      <c r="C12109" t="s">
        <v>91</v>
      </c>
      <c r="D12109" s="1" t="s">
        <v>15717</v>
      </c>
    </row>
    <row r="12110" spans="1:4" hidden="1" x14ac:dyDescent="0.3">
      <c r="A12110">
        <v>12108</v>
      </c>
      <c r="B12110" t="s">
        <v>15784</v>
      </c>
      <c r="C12110" t="s">
        <v>94</v>
      </c>
      <c r="D12110">
        <v>77917710.088786706</v>
      </c>
    </row>
    <row r="12111" spans="1:4" hidden="1" x14ac:dyDescent="0.3">
      <c r="A12111">
        <v>12109</v>
      </c>
      <c r="B12111" t="s">
        <v>15785</v>
      </c>
      <c r="C12111" t="s">
        <v>96</v>
      </c>
      <c r="D12111">
        <v>38247803.344079196</v>
      </c>
    </row>
    <row r="12112" spans="1:4" hidden="1" x14ac:dyDescent="0.3">
      <c r="A12112">
        <v>12110</v>
      </c>
      <c r="B12112" t="s">
        <v>15786</v>
      </c>
      <c r="C12112" t="s">
        <v>98</v>
      </c>
      <c r="D12112">
        <v>26785201.5500797</v>
      </c>
    </row>
    <row r="12113" spans="1:4" hidden="1" x14ac:dyDescent="0.3">
      <c r="A12113">
        <v>12111</v>
      </c>
      <c r="B12113" s="1" t="s">
        <v>15787</v>
      </c>
      <c r="C12113" t="s">
        <v>100</v>
      </c>
      <c r="D12113" s="1" t="s">
        <v>15788</v>
      </c>
    </row>
    <row r="12114" spans="1:4" hidden="1" x14ac:dyDescent="0.3">
      <c r="A12114">
        <v>12112</v>
      </c>
      <c r="B12114" t="s">
        <v>15789</v>
      </c>
      <c r="C12114" t="s">
        <v>103</v>
      </c>
      <c r="D12114">
        <v>7.7071373503496297E-3</v>
      </c>
    </row>
    <row r="12115" spans="1:4" hidden="1" x14ac:dyDescent="0.3">
      <c r="A12115">
        <v>12113</v>
      </c>
      <c r="B12115" t="s">
        <v>15790</v>
      </c>
      <c r="C12115" t="s">
        <v>105</v>
      </c>
      <c r="D12115">
        <v>1.8958083180052199E-3</v>
      </c>
    </row>
    <row r="12116" spans="1:4" hidden="1" x14ac:dyDescent="0.3">
      <c r="A12116">
        <v>12114</v>
      </c>
      <c r="B12116" t="s">
        <v>15791</v>
      </c>
      <c r="C12116" t="s">
        <v>107</v>
      </c>
      <c r="D12116">
        <v>1.00179187867134E-2</v>
      </c>
    </row>
    <row r="12117" spans="1:4" hidden="1" x14ac:dyDescent="0.3">
      <c r="A12117">
        <v>12115</v>
      </c>
      <c r="B12117" s="1" t="s">
        <v>15792</v>
      </c>
      <c r="C12117" t="s">
        <v>109</v>
      </c>
      <c r="D12117" s="1" t="s">
        <v>15793</v>
      </c>
    </row>
    <row r="12118" spans="1:4" x14ac:dyDescent="0.3">
      <c r="A12118">
        <v>12116</v>
      </c>
      <c r="B12118" t="s">
        <v>15794</v>
      </c>
      <c r="C12118" t="s">
        <v>207</v>
      </c>
      <c r="D12118">
        <v>142951178.85602799</v>
      </c>
    </row>
    <row r="12119" spans="1:4" hidden="1" x14ac:dyDescent="0.3">
      <c r="A12119">
        <v>12117</v>
      </c>
      <c r="B12119" t="s">
        <v>15795</v>
      </c>
      <c r="C12119" t="s">
        <v>209</v>
      </c>
      <c r="D12119">
        <v>-1028.4186785149</v>
      </c>
    </row>
    <row r="12120" spans="1:4" hidden="1" x14ac:dyDescent="0.3">
      <c r="A12120">
        <v>12118</v>
      </c>
      <c r="B12120" t="s">
        <v>15796</v>
      </c>
      <c r="C12120" t="s">
        <v>211</v>
      </c>
      <c r="D12120">
        <v>-504.82345416910903</v>
      </c>
    </row>
    <row r="12121" spans="1:4" hidden="1" x14ac:dyDescent="0.3">
      <c r="A12121">
        <v>12119</v>
      </c>
      <c r="B12121" s="1" t="s">
        <v>15797</v>
      </c>
      <c r="C12121" t="s">
        <v>213</v>
      </c>
      <c r="D12121" s="1" t="s">
        <v>15798</v>
      </c>
    </row>
    <row r="12122" spans="1:4" hidden="1" x14ac:dyDescent="0.3">
      <c r="A12122">
        <v>12120</v>
      </c>
      <c r="B12122" t="s">
        <v>15799</v>
      </c>
      <c r="C12122" t="s">
        <v>216</v>
      </c>
      <c r="D12122">
        <v>77919065.070146799</v>
      </c>
    </row>
    <row r="12123" spans="1:4" hidden="1" x14ac:dyDescent="0.3">
      <c r="A12123">
        <v>12121</v>
      </c>
      <c r="B12123" t="s">
        <v>15800</v>
      </c>
      <c r="C12123" t="s">
        <v>218</v>
      </c>
      <c r="D12123">
        <v>38248402.519430697</v>
      </c>
    </row>
    <row r="12124" spans="1:4" hidden="1" x14ac:dyDescent="0.3">
      <c r="A12124">
        <v>12122</v>
      </c>
      <c r="B12124" t="s">
        <v>15801</v>
      </c>
      <c r="C12124" t="s">
        <v>220</v>
      </c>
      <c r="D12124">
        <v>26785598.039639</v>
      </c>
    </row>
    <row r="12125" spans="1:4" hidden="1" x14ac:dyDescent="0.3">
      <c r="A12125">
        <v>12123</v>
      </c>
      <c r="B12125" s="1" t="s">
        <v>15802</v>
      </c>
      <c r="C12125" t="s">
        <v>222</v>
      </c>
      <c r="D12125" s="1" t="s">
        <v>15803</v>
      </c>
    </row>
    <row r="12126" spans="1:4" hidden="1" x14ac:dyDescent="0.3">
      <c r="A12126">
        <v>12124</v>
      </c>
      <c r="B12126" t="s">
        <v>15804</v>
      </c>
      <c r="C12126" t="s">
        <v>225</v>
      </c>
      <c r="D12126">
        <v>101135335.373602</v>
      </c>
    </row>
    <row r="12127" spans="1:4" hidden="1" x14ac:dyDescent="0.3">
      <c r="A12127">
        <v>12125</v>
      </c>
      <c r="B12127" t="s">
        <v>15805</v>
      </c>
      <c r="C12127" t="s">
        <v>227</v>
      </c>
      <c r="D12127">
        <v>-1334.83978359401</v>
      </c>
    </row>
    <row r="12128" spans="1:4" hidden="1" x14ac:dyDescent="0.3">
      <c r="A12128">
        <v>12126</v>
      </c>
      <c r="B12128" s="1" t="s">
        <v>15806</v>
      </c>
      <c r="C12128" t="s">
        <v>229</v>
      </c>
      <c r="D12128" s="1" t="s">
        <v>15807</v>
      </c>
    </row>
    <row r="12129" spans="1:4" hidden="1" x14ac:dyDescent="0.3">
      <c r="A12129">
        <v>12127</v>
      </c>
      <c r="B12129" t="s">
        <v>15808</v>
      </c>
      <c r="C12129" t="s">
        <v>112</v>
      </c>
      <c r="D12129">
        <v>326.56268157742301</v>
      </c>
    </row>
    <row r="12130" spans="1:4" hidden="1" x14ac:dyDescent="0.3">
      <c r="A12130">
        <v>12128</v>
      </c>
      <c r="B12130" t="s">
        <v>15809</v>
      </c>
      <c r="C12130" t="s">
        <v>114</v>
      </c>
      <c r="D12130">
        <v>94.3518973004917</v>
      </c>
    </row>
    <row r="12131" spans="1:4" hidden="1" x14ac:dyDescent="0.3">
      <c r="A12131">
        <v>12129</v>
      </c>
      <c r="B12131" s="1" t="s">
        <v>15810</v>
      </c>
      <c r="C12131" t="s">
        <v>116</v>
      </c>
      <c r="D12131" s="1" t="s">
        <v>15811</v>
      </c>
    </row>
    <row r="12132" spans="1:4" hidden="1" x14ac:dyDescent="0.3">
      <c r="A12132">
        <v>12130</v>
      </c>
      <c r="B12132" t="s">
        <v>15812</v>
      </c>
      <c r="C12132" t="s">
        <v>119</v>
      </c>
      <c r="D12132">
        <v>77919065.070146799</v>
      </c>
    </row>
    <row r="12133" spans="1:4" hidden="1" x14ac:dyDescent="0.3">
      <c r="A12133">
        <v>12131</v>
      </c>
      <c r="B12133" t="s">
        <v>15813</v>
      </c>
      <c r="C12133" t="s">
        <v>121</v>
      </c>
      <c r="D12133">
        <v>38248402.519430697</v>
      </c>
    </row>
    <row r="12134" spans="1:4" hidden="1" x14ac:dyDescent="0.3">
      <c r="A12134">
        <v>12132</v>
      </c>
      <c r="B12134" s="1" t="s">
        <v>15814</v>
      </c>
      <c r="C12134" t="s">
        <v>123</v>
      </c>
      <c r="D12134" s="1" t="s">
        <v>15815</v>
      </c>
    </row>
    <row r="12135" spans="1:4" hidden="1" x14ac:dyDescent="0.3">
      <c r="A12135">
        <v>12133</v>
      </c>
      <c r="B12135" t="s">
        <v>15816</v>
      </c>
      <c r="C12135" t="s">
        <v>126</v>
      </c>
      <c r="D12135">
        <v>0.77001884033366697</v>
      </c>
    </row>
    <row r="12136" spans="1:4" hidden="1" x14ac:dyDescent="0.3">
      <c r="A12136">
        <v>12134</v>
      </c>
      <c r="B12136" t="s">
        <v>15817</v>
      </c>
      <c r="C12136" t="s">
        <v>128</v>
      </c>
      <c r="D12136">
        <v>0.37798182673410002</v>
      </c>
    </row>
    <row r="12137" spans="1:4" hidden="1" x14ac:dyDescent="0.3">
      <c r="A12137">
        <v>12135</v>
      </c>
      <c r="B12137" s="1" t="s">
        <v>15818</v>
      </c>
      <c r="C12137" t="s">
        <v>130</v>
      </c>
      <c r="D12137" s="1" t="s">
        <v>15819</v>
      </c>
    </row>
    <row r="12138" spans="1:4" hidden="1" x14ac:dyDescent="0.3">
      <c r="A12138">
        <v>12136</v>
      </c>
      <c r="B12138" s="1" t="s">
        <v>15820</v>
      </c>
      <c r="C12138" t="s">
        <v>4</v>
      </c>
      <c r="D12138" t="s">
        <v>15821</v>
      </c>
    </row>
    <row r="12139" spans="1:4" hidden="1" x14ac:dyDescent="0.3">
      <c r="A12139">
        <v>12137</v>
      </c>
      <c r="B12139" t="s">
        <v>15822</v>
      </c>
      <c r="C12139" t="s">
        <v>7</v>
      </c>
      <c r="D12139">
        <v>1820.47</v>
      </c>
    </row>
    <row r="12140" spans="1:4" hidden="1" x14ac:dyDescent="0.3">
      <c r="A12140">
        <v>12138</v>
      </c>
      <c r="B12140" s="1" t="s">
        <v>15823</v>
      </c>
      <c r="C12140" t="s">
        <v>9</v>
      </c>
      <c r="D12140" s="1" t="s">
        <v>15824</v>
      </c>
    </row>
    <row r="12141" spans="1:4" hidden="1" x14ac:dyDescent="0.3">
      <c r="A12141">
        <v>12139</v>
      </c>
      <c r="B12141" t="s">
        <v>15825</v>
      </c>
      <c r="C12141" t="s">
        <v>14</v>
      </c>
      <c r="D12141">
        <v>95.08984375</v>
      </c>
    </row>
    <row r="12142" spans="1:4" hidden="1" x14ac:dyDescent="0.3">
      <c r="A12142">
        <v>12140</v>
      </c>
      <c r="B12142" t="s">
        <v>15826</v>
      </c>
      <c r="C12142" t="s">
        <v>16</v>
      </c>
      <c r="D12142">
        <v>4.3528103687713404</v>
      </c>
    </row>
    <row r="12143" spans="1:4" hidden="1" x14ac:dyDescent="0.3">
      <c r="A12143">
        <v>12141</v>
      </c>
      <c r="B12143" s="1" t="s">
        <v>15827</v>
      </c>
      <c r="C12143" t="s">
        <v>140</v>
      </c>
      <c r="D12143" s="1" t="s">
        <v>15828</v>
      </c>
    </row>
    <row r="12144" spans="1:4" hidden="1" x14ac:dyDescent="0.3">
      <c r="A12144">
        <v>12142</v>
      </c>
      <c r="B12144" t="s">
        <v>15829</v>
      </c>
      <c r="C12144" t="s">
        <v>22</v>
      </c>
      <c r="D12144">
        <v>67.2</v>
      </c>
    </row>
    <row r="12145" spans="1:4" hidden="1" x14ac:dyDescent="0.3">
      <c r="A12145">
        <v>12143</v>
      </c>
      <c r="B12145" t="s">
        <v>15830</v>
      </c>
      <c r="C12145" t="s">
        <v>24</v>
      </c>
      <c r="D12145">
        <v>6.3424892772285197</v>
      </c>
    </row>
    <row r="12146" spans="1:4" hidden="1" x14ac:dyDescent="0.3">
      <c r="A12146">
        <v>12144</v>
      </c>
      <c r="B12146" s="1" t="s">
        <v>15831</v>
      </c>
      <c r="C12146" t="s">
        <v>145</v>
      </c>
      <c r="D12146" s="1" t="s">
        <v>15832</v>
      </c>
    </row>
    <row r="12147" spans="1:4" hidden="1" x14ac:dyDescent="0.3">
      <c r="A12147">
        <v>12145</v>
      </c>
      <c r="B12147" t="s">
        <v>15833</v>
      </c>
      <c r="C12147" t="s">
        <v>35</v>
      </c>
      <c r="D12147">
        <v>-0.11680546434238399</v>
      </c>
    </row>
    <row r="12148" spans="1:4" hidden="1" x14ac:dyDescent="0.3">
      <c r="A12148">
        <v>12146</v>
      </c>
      <c r="B12148" t="s">
        <v>15834</v>
      </c>
      <c r="C12148" t="s">
        <v>149</v>
      </c>
      <c r="D12148">
        <v>0.64943072638446198</v>
      </c>
    </row>
    <row r="12149" spans="1:4" hidden="1" x14ac:dyDescent="0.3">
      <c r="A12149">
        <v>12147</v>
      </c>
      <c r="B12149" s="1" t="s">
        <v>15835</v>
      </c>
      <c r="C12149" t="s">
        <v>151</v>
      </c>
      <c r="D12149" s="1" t="s">
        <v>15836</v>
      </c>
    </row>
    <row r="12150" spans="1:4" hidden="1" x14ac:dyDescent="0.3">
      <c r="A12150">
        <v>12148</v>
      </c>
      <c r="B12150" t="s">
        <v>15837</v>
      </c>
      <c r="C12150" t="s">
        <v>30</v>
      </c>
      <c r="D12150">
        <v>0.44232990151591101</v>
      </c>
    </row>
    <row r="12151" spans="1:4" hidden="1" x14ac:dyDescent="0.3">
      <c r="A12151">
        <v>12149</v>
      </c>
      <c r="B12151" t="s">
        <v>15838</v>
      </c>
      <c r="C12151" t="s">
        <v>32</v>
      </c>
      <c r="D12151">
        <v>0.28188454949194403</v>
      </c>
    </row>
    <row r="12152" spans="1:4" hidden="1" x14ac:dyDescent="0.3">
      <c r="A12152">
        <v>12150</v>
      </c>
      <c r="B12152" s="1" t="s">
        <v>15839</v>
      </c>
      <c r="C12152" t="s">
        <v>155</v>
      </c>
      <c r="D12152" s="1" t="s">
        <v>15840</v>
      </c>
    </row>
    <row r="12153" spans="1:4" hidden="1" x14ac:dyDescent="0.3">
      <c r="A12153">
        <v>12151</v>
      </c>
      <c r="B12153" t="s">
        <v>15841</v>
      </c>
      <c r="C12153" t="s">
        <v>40</v>
      </c>
      <c r="D12153">
        <v>0.67447556282647203</v>
      </c>
    </row>
    <row r="12154" spans="1:4" hidden="1" x14ac:dyDescent="0.3">
      <c r="A12154">
        <v>12152</v>
      </c>
      <c r="B12154" t="s">
        <v>15842</v>
      </c>
      <c r="C12154" t="s">
        <v>42</v>
      </c>
      <c r="D12154">
        <v>0.257925563231304</v>
      </c>
    </row>
    <row r="12155" spans="1:4" hidden="1" x14ac:dyDescent="0.3">
      <c r="A12155">
        <v>12153</v>
      </c>
      <c r="B12155" s="1" t="s">
        <v>15843</v>
      </c>
      <c r="C12155" t="s">
        <v>159</v>
      </c>
      <c r="D12155" s="1" t="s">
        <v>15844</v>
      </c>
    </row>
    <row r="12156" spans="1:4" hidden="1" x14ac:dyDescent="0.3">
      <c r="A12156">
        <v>12154</v>
      </c>
      <c r="B12156" t="s">
        <v>15845</v>
      </c>
      <c r="C12156" t="s">
        <v>161</v>
      </c>
      <c r="D12156">
        <v>1.00674121264405</v>
      </c>
    </row>
    <row r="12157" spans="1:4" hidden="1" x14ac:dyDescent="0.3">
      <c r="A12157">
        <v>12155</v>
      </c>
      <c r="B12157" t="s">
        <v>15846</v>
      </c>
      <c r="C12157" t="s">
        <v>163</v>
      </c>
      <c r="D12157">
        <v>1.0003215817864499</v>
      </c>
    </row>
    <row r="12158" spans="1:4" hidden="1" x14ac:dyDescent="0.3">
      <c r="A12158">
        <v>12156</v>
      </c>
      <c r="B12158" s="1" t="s">
        <v>15847</v>
      </c>
      <c r="C12158" t="s">
        <v>165</v>
      </c>
      <c r="D12158" s="1" t="s">
        <v>15848</v>
      </c>
    </row>
    <row r="12159" spans="1:4" hidden="1" x14ac:dyDescent="0.3">
      <c r="A12159">
        <v>12157</v>
      </c>
      <c r="B12159" t="s">
        <v>15849</v>
      </c>
      <c r="C12159" t="s">
        <v>168</v>
      </c>
      <c r="D12159">
        <v>1.00017899187493</v>
      </c>
    </row>
    <row r="12160" spans="1:4" hidden="1" x14ac:dyDescent="0.3">
      <c r="A12160">
        <v>12158</v>
      </c>
      <c r="B12160" t="s">
        <v>15850</v>
      </c>
      <c r="C12160" t="s">
        <v>170</v>
      </c>
      <c r="D12160">
        <v>0.99964789584687497</v>
      </c>
    </row>
    <row r="12161" spans="1:4" hidden="1" x14ac:dyDescent="0.3">
      <c r="A12161">
        <v>12159</v>
      </c>
      <c r="B12161" s="1" t="s">
        <v>15851</v>
      </c>
      <c r="C12161" t="s">
        <v>172</v>
      </c>
      <c r="D12161" s="1" t="s">
        <v>15852</v>
      </c>
    </row>
    <row r="12162" spans="1:4" hidden="1" x14ac:dyDescent="0.3">
      <c r="A12162">
        <v>12160</v>
      </c>
      <c r="B12162" s="1" t="s">
        <v>15853</v>
      </c>
      <c r="C12162" t="s">
        <v>55</v>
      </c>
      <c r="D12162" s="1" t="s">
        <v>15854</v>
      </c>
    </row>
    <row r="12163" spans="1:4" hidden="1" x14ac:dyDescent="0.3">
      <c r="A12163">
        <v>12161</v>
      </c>
      <c r="B12163" s="1" t="s">
        <v>15855</v>
      </c>
      <c r="C12163" t="s">
        <v>52</v>
      </c>
      <c r="D12163" s="1" t="s">
        <v>15856</v>
      </c>
    </row>
    <row r="12164" spans="1:4" hidden="1" x14ac:dyDescent="0.3">
      <c r="A12164">
        <v>12162</v>
      </c>
      <c r="B12164" s="1" t="s">
        <v>15857</v>
      </c>
      <c r="C12164" t="s">
        <v>58</v>
      </c>
      <c r="D12164" s="1" t="s">
        <v>15858</v>
      </c>
    </row>
    <row r="12165" spans="1:4" hidden="1" x14ac:dyDescent="0.3">
      <c r="A12165">
        <v>12163</v>
      </c>
      <c r="B12165" t="s">
        <v>15859</v>
      </c>
      <c r="C12165" t="s">
        <v>61</v>
      </c>
      <c r="D12165">
        <v>143545773.839077</v>
      </c>
    </row>
    <row r="12166" spans="1:4" hidden="1" x14ac:dyDescent="0.3">
      <c r="A12166">
        <v>12164</v>
      </c>
      <c r="B12166" t="s">
        <v>15860</v>
      </c>
      <c r="C12166" t="s">
        <v>63</v>
      </c>
      <c r="D12166">
        <v>78444334.056811005</v>
      </c>
    </row>
    <row r="12167" spans="1:4" hidden="1" x14ac:dyDescent="0.3">
      <c r="A12167">
        <v>12165</v>
      </c>
      <c r="B12167" t="s">
        <v>15861</v>
      </c>
      <c r="C12167" t="s">
        <v>65</v>
      </c>
      <c r="D12167">
        <v>38260702.509042099</v>
      </c>
    </row>
    <row r="12168" spans="1:4" hidden="1" x14ac:dyDescent="0.3">
      <c r="A12168">
        <v>12166</v>
      </c>
      <c r="B12168" s="1" t="s">
        <v>15862</v>
      </c>
      <c r="C12168" t="s">
        <v>67</v>
      </c>
      <c r="D12168" s="1" t="s">
        <v>15863</v>
      </c>
    </row>
    <row r="12169" spans="1:4" hidden="1" x14ac:dyDescent="0.3">
      <c r="A12169">
        <v>12167</v>
      </c>
      <c r="B12169" s="1" t="s">
        <v>15864</v>
      </c>
      <c r="C12169" t="s">
        <v>70</v>
      </c>
      <c r="D12169" s="1" t="s">
        <v>15865</v>
      </c>
    </row>
    <row r="12170" spans="1:4" hidden="1" x14ac:dyDescent="0.3">
      <c r="A12170">
        <v>12168</v>
      </c>
      <c r="B12170" t="s">
        <v>15866</v>
      </c>
      <c r="C12170" t="s">
        <v>73</v>
      </c>
      <c r="D12170">
        <v>1.0005515350855201</v>
      </c>
    </row>
    <row r="12171" spans="1:4" hidden="1" x14ac:dyDescent="0.3">
      <c r="A12171">
        <v>12169</v>
      </c>
      <c r="B12171" t="s">
        <v>74</v>
      </c>
      <c r="C12171" t="s">
        <v>75</v>
      </c>
      <c r="D12171">
        <v>2.7397260273972599E-3</v>
      </c>
    </row>
    <row r="12172" spans="1:4" hidden="1" x14ac:dyDescent="0.3">
      <c r="A12172">
        <v>12170</v>
      </c>
      <c r="B12172" t="s">
        <v>76</v>
      </c>
      <c r="C12172" t="s">
        <v>77</v>
      </c>
      <c r="D12172">
        <v>0</v>
      </c>
    </row>
    <row r="12173" spans="1:4" hidden="1" x14ac:dyDescent="0.3">
      <c r="A12173">
        <v>12171</v>
      </c>
      <c r="B12173" t="s">
        <v>78</v>
      </c>
      <c r="C12173" t="s">
        <v>79</v>
      </c>
      <c r="D12173">
        <v>0</v>
      </c>
    </row>
    <row r="12174" spans="1:4" hidden="1" x14ac:dyDescent="0.3">
      <c r="A12174">
        <v>12172</v>
      </c>
      <c r="B12174" s="1" t="s">
        <v>15867</v>
      </c>
      <c r="C12174" t="s">
        <v>81</v>
      </c>
      <c r="D12174" s="1" t="s">
        <v>15868</v>
      </c>
    </row>
    <row r="12175" spans="1:4" hidden="1" x14ac:dyDescent="0.3">
      <c r="A12175">
        <v>12173</v>
      </c>
      <c r="B12175" t="s">
        <v>15869</v>
      </c>
      <c r="C12175" t="s">
        <v>84</v>
      </c>
      <c r="D12175">
        <v>1.00055035068471</v>
      </c>
    </row>
    <row r="12176" spans="1:4" hidden="1" x14ac:dyDescent="0.3">
      <c r="A12176">
        <v>12174</v>
      </c>
      <c r="B12176" s="1" t="s">
        <v>15870</v>
      </c>
      <c r="C12176" t="s">
        <v>86</v>
      </c>
      <c r="D12176" s="1" t="s">
        <v>15871</v>
      </c>
    </row>
    <row r="12177" spans="1:4" hidden="1" x14ac:dyDescent="0.3">
      <c r="A12177">
        <v>12175</v>
      </c>
      <c r="B12177" t="s">
        <v>15872</v>
      </c>
      <c r="C12177" t="s">
        <v>89</v>
      </c>
      <c r="D12177">
        <v>101134120.25112499</v>
      </c>
    </row>
    <row r="12178" spans="1:4" hidden="1" x14ac:dyDescent="0.3">
      <c r="A12178">
        <v>12176</v>
      </c>
      <c r="B12178" s="1" t="s">
        <v>15873</v>
      </c>
      <c r="C12178" t="s">
        <v>91</v>
      </c>
      <c r="D12178" s="1" t="s">
        <v>15807</v>
      </c>
    </row>
    <row r="12179" spans="1:4" hidden="1" x14ac:dyDescent="0.3">
      <c r="A12179">
        <v>12177</v>
      </c>
      <c r="B12179" t="s">
        <v>15874</v>
      </c>
      <c r="C12179" t="s">
        <v>94</v>
      </c>
      <c r="D12179">
        <v>78444334.056811005</v>
      </c>
    </row>
    <row r="12180" spans="1:4" hidden="1" x14ac:dyDescent="0.3">
      <c r="A12180">
        <v>12178</v>
      </c>
      <c r="B12180" t="s">
        <v>15875</v>
      </c>
      <c r="C12180" t="s">
        <v>96</v>
      </c>
      <c r="D12180">
        <v>38260702.509042099</v>
      </c>
    </row>
    <row r="12181" spans="1:4" hidden="1" x14ac:dyDescent="0.3">
      <c r="A12181">
        <v>12179</v>
      </c>
      <c r="B12181" t="s">
        <v>15876</v>
      </c>
      <c r="C12181" t="s">
        <v>98</v>
      </c>
      <c r="D12181">
        <v>26840737.273223899</v>
      </c>
    </row>
    <row r="12182" spans="1:4" hidden="1" x14ac:dyDescent="0.3">
      <c r="A12182">
        <v>12180</v>
      </c>
      <c r="B12182" s="1" t="s">
        <v>15877</v>
      </c>
      <c r="C12182" t="s">
        <v>100</v>
      </c>
      <c r="D12182" s="1" t="s">
        <v>15878</v>
      </c>
    </row>
    <row r="12183" spans="1:4" hidden="1" x14ac:dyDescent="0.3">
      <c r="A12183">
        <v>12181</v>
      </c>
      <c r="B12183" t="s">
        <v>15879</v>
      </c>
      <c r="C12183" t="s">
        <v>103</v>
      </c>
      <c r="D12183">
        <v>7.7326370385464704E-3</v>
      </c>
    </row>
    <row r="12184" spans="1:4" hidden="1" x14ac:dyDescent="0.3">
      <c r="A12184">
        <v>12182</v>
      </c>
      <c r="B12184" t="s">
        <v>15880</v>
      </c>
      <c r="C12184" t="s">
        <v>105</v>
      </c>
      <c r="D12184">
        <v>1.896370498419E-3</v>
      </c>
    </row>
    <row r="12185" spans="1:4" hidden="1" x14ac:dyDescent="0.3">
      <c r="A12185">
        <v>12183</v>
      </c>
      <c r="B12185" t="s">
        <v>15881</v>
      </c>
      <c r="C12185" t="s">
        <v>107</v>
      </c>
      <c r="D12185">
        <v>1.0017620001008001E-2</v>
      </c>
    </row>
    <row r="12186" spans="1:4" hidden="1" x14ac:dyDescent="0.3">
      <c r="A12186">
        <v>12184</v>
      </c>
      <c r="B12186" s="1" t="s">
        <v>15882</v>
      </c>
      <c r="C12186" t="s">
        <v>109</v>
      </c>
      <c r="D12186" s="1" t="s">
        <v>15883</v>
      </c>
    </row>
    <row r="12187" spans="1:4" x14ac:dyDescent="0.3">
      <c r="A12187">
        <v>12185</v>
      </c>
      <c r="B12187" t="s">
        <v>15884</v>
      </c>
      <c r="C12187" t="s">
        <v>207</v>
      </c>
      <c r="D12187">
        <v>143545732.12757099</v>
      </c>
    </row>
    <row r="12188" spans="1:4" hidden="1" x14ac:dyDescent="0.3">
      <c r="A12188">
        <v>12186</v>
      </c>
      <c r="B12188" t="s">
        <v>15885</v>
      </c>
      <c r="C12188" t="s">
        <v>209</v>
      </c>
      <c r="D12188">
        <v>92.858279880440307</v>
      </c>
    </row>
    <row r="12189" spans="1:4" hidden="1" x14ac:dyDescent="0.3">
      <c r="A12189">
        <v>12187</v>
      </c>
      <c r="B12189" t="s">
        <v>15886</v>
      </c>
      <c r="C12189" t="s">
        <v>211</v>
      </c>
      <c r="D12189">
        <v>45.291020628112797</v>
      </c>
    </row>
    <row r="12190" spans="1:4" hidden="1" x14ac:dyDescent="0.3">
      <c r="A12190">
        <v>12188</v>
      </c>
      <c r="B12190" s="1" t="s">
        <v>15887</v>
      </c>
      <c r="C12190" t="s">
        <v>213</v>
      </c>
      <c r="D12190" s="1" t="s">
        <v>15888</v>
      </c>
    </row>
    <row r="12191" spans="1:4" hidden="1" x14ac:dyDescent="0.3">
      <c r="A12191">
        <v>12189</v>
      </c>
      <c r="B12191" t="s">
        <v>15889</v>
      </c>
      <c r="C12191" t="s">
        <v>216</v>
      </c>
      <c r="D12191">
        <v>78444208.469166607</v>
      </c>
    </row>
    <row r="12192" spans="1:4" hidden="1" x14ac:dyDescent="0.3">
      <c r="A12192">
        <v>12190</v>
      </c>
      <c r="B12192" t="s">
        <v>15890</v>
      </c>
      <c r="C12192" t="s">
        <v>218</v>
      </c>
      <c r="D12192">
        <v>38260651.268873803</v>
      </c>
    </row>
    <row r="12193" spans="1:4" hidden="1" x14ac:dyDescent="0.3">
      <c r="A12193">
        <v>12191</v>
      </c>
      <c r="B12193" t="s">
        <v>15891</v>
      </c>
      <c r="C12193" t="s">
        <v>220</v>
      </c>
      <c r="D12193">
        <v>26840702.467566401</v>
      </c>
    </row>
    <row r="12194" spans="1:4" hidden="1" x14ac:dyDescent="0.3">
      <c r="A12194">
        <v>12192</v>
      </c>
      <c r="B12194" s="1" t="s">
        <v>15892</v>
      </c>
      <c r="C12194" t="s">
        <v>222</v>
      </c>
      <c r="D12194" s="1" t="s">
        <v>15893</v>
      </c>
    </row>
    <row r="12195" spans="1:4" hidden="1" x14ac:dyDescent="0.3">
      <c r="A12195">
        <v>12193</v>
      </c>
      <c r="B12195" t="s">
        <v>15894</v>
      </c>
      <c r="C12195" t="s">
        <v>225</v>
      </c>
      <c r="D12195">
        <v>101134000.533819</v>
      </c>
    </row>
    <row r="12196" spans="1:4" hidden="1" x14ac:dyDescent="0.3">
      <c r="A12196">
        <v>12194</v>
      </c>
      <c r="B12196" t="s">
        <v>15895</v>
      </c>
      <c r="C12196" t="s">
        <v>227</v>
      </c>
      <c r="D12196">
        <v>119.717306226491</v>
      </c>
    </row>
    <row r="12197" spans="1:4" hidden="1" x14ac:dyDescent="0.3">
      <c r="A12197">
        <v>12195</v>
      </c>
      <c r="B12197" s="1" t="s">
        <v>15896</v>
      </c>
      <c r="C12197" t="s">
        <v>229</v>
      </c>
      <c r="D12197" s="1" t="s">
        <v>15897</v>
      </c>
    </row>
    <row r="12198" spans="1:4" hidden="1" x14ac:dyDescent="0.3">
      <c r="A12198">
        <v>12196</v>
      </c>
      <c r="B12198" t="s">
        <v>15898</v>
      </c>
      <c r="C12198" t="s">
        <v>112</v>
      </c>
      <c r="D12198">
        <v>-32.729364494115501</v>
      </c>
    </row>
    <row r="12199" spans="1:4" hidden="1" x14ac:dyDescent="0.3">
      <c r="A12199">
        <v>12197</v>
      </c>
      <c r="B12199" t="s">
        <v>15899</v>
      </c>
      <c r="C12199" t="s">
        <v>114</v>
      </c>
      <c r="D12199">
        <v>-5.9491476409635897</v>
      </c>
    </row>
    <row r="12200" spans="1:4" hidden="1" x14ac:dyDescent="0.3">
      <c r="A12200">
        <v>12198</v>
      </c>
      <c r="B12200" s="1" t="s">
        <v>15900</v>
      </c>
      <c r="C12200" t="s">
        <v>116</v>
      </c>
      <c r="D12200" s="1" t="s">
        <v>15901</v>
      </c>
    </row>
    <row r="12201" spans="1:4" hidden="1" x14ac:dyDescent="0.3">
      <c r="A12201">
        <v>12199</v>
      </c>
      <c r="B12201" t="s">
        <v>15902</v>
      </c>
      <c r="C12201" t="s">
        <v>119</v>
      </c>
      <c r="D12201">
        <v>78444208.469166607</v>
      </c>
    </row>
    <row r="12202" spans="1:4" hidden="1" x14ac:dyDescent="0.3">
      <c r="A12202">
        <v>12200</v>
      </c>
      <c r="B12202" t="s">
        <v>15903</v>
      </c>
      <c r="C12202" t="s">
        <v>121</v>
      </c>
      <c r="D12202">
        <v>38260651.268873803</v>
      </c>
    </row>
    <row r="12203" spans="1:4" hidden="1" x14ac:dyDescent="0.3">
      <c r="A12203">
        <v>12201</v>
      </c>
      <c r="B12203" s="1" t="s">
        <v>15904</v>
      </c>
      <c r="C12203" t="s">
        <v>123</v>
      </c>
      <c r="D12203" s="1" t="s">
        <v>15905</v>
      </c>
    </row>
    <row r="12204" spans="1:4" hidden="1" x14ac:dyDescent="0.3">
      <c r="A12204">
        <v>12202</v>
      </c>
      <c r="B12204" t="s">
        <v>15906</v>
      </c>
      <c r="C12204" t="s">
        <v>126</v>
      </c>
      <c r="D12204">
        <v>0.77521960940999701</v>
      </c>
    </row>
    <row r="12205" spans="1:4" hidden="1" x14ac:dyDescent="0.3">
      <c r="A12205">
        <v>12203</v>
      </c>
      <c r="B12205" t="s">
        <v>15907</v>
      </c>
      <c r="C12205" t="s">
        <v>128</v>
      </c>
      <c r="D12205">
        <v>0.37810831049543703</v>
      </c>
    </row>
    <row r="12206" spans="1:4" hidden="1" x14ac:dyDescent="0.3">
      <c r="A12206">
        <v>12204</v>
      </c>
      <c r="B12206" s="1" t="s">
        <v>15908</v>
      </c>
      <c r="C12206" t="s">
        <v>130</v>
      </c>
      <c r="D12206" s="1" t="s">
        <v>15909</v>
      </c>
    </row>
    <row r="12207" spans="1:4" hidden="1" x14ac:dyDescent="0.3">
      <c r="A12207">
        <v>12205</v>
      </c>
      <c r="B12207" s="1" t="s">
        <v>15910</v>
      </c>
      <c r="C12207" t="s">
        <v>4</v>
      </c>
      <c r="D12207" t="s">
        <v>15911</v>
      </c>
    </row>
    <row r="12208" spans="1:4" hidden="1" x14ac:dyDescent="0.3">
      <c r="A12208">
        <v>12206</v>
      </c>
      <c r="B12208" t="s">
        <v>15912</v>
      </c>
      <c r="C12208" t="s">
        <v>7</v>
      </c>
      <c r="D12208">
        <v>1825.92</v>
      </c>
    </row>
    <row r="12209" spans="1:4" hidden="1" x14ac:dyDescent="0.3">
      <c r="A12209">
        <v>12207</v>
      </c>
      <c r="B12209" s="1" t="s">
        <v>15913</v>
      </c>
      <c r="C12209" t="s">
        <v>9</v>
      </c>
      <c r="D12209" s="1" t="s">
        <v>15914</v>
      </c>
    </row>
    <row r="12210" spans="1:4" hidden="1" x14ac:dyDescent="0.3">
      <c r="A12210">
        <v>12208</v>
      </c>
      <c r="B12210" t="s">
        <v>15915</v>
      </c>
      <c r="C12210" t="s">
        <v>14</v>
      </c>
      <c r="D12210">
        <v>94.90625</v>
      </c>
    </row>
    <row r="12211" spans="1:4" hidden="1" x14ac:dyDescent="0.3">
      <c r="A12211">
        <v>12209</v>
      </c>
      <c r="B12211" t="s">
        <v>15916</v>
      </c>
      <c r="C12211" t="s">
        <v>16</v>
      </c>
      <c r="D12211">
        <v>4.3500311189765002</v>
      </c>
    </row>
    <row r="12212" spans="1:4" hidden="1" x14ac:dyDescent="0.3">
      <c r="A12212">
        <v>12210</v>
      </c>
      <c r="B12212" s="1" t="s">
        <v>15917</v>
      </c>
      <c r="C12212" t="s">
        <v>140</v>
      </c>
      <c r="D12212" s="1" t="s">
        <v>15918</v>
      </c>
    </row>
    <row r="12213" spans="1:4" hidden="1" x14ac:dyDescent="0.3">
      <c r="A12213">
        <v>12211</v>
      </c>
      <c r="B12213" t="s">
        <v>15919</v>
      </c>
      <c r="C12213" t="s">
        <v>22</v>
      </c>
      <c r="D12213">
        <v>67.7</v>
      </c>
    </row>
    <row r="12214" spans="1:4" hidden="1" x14ac:dyDescent="0.3">
      <c r="A12214">
        <v>12212</v>
      </c>
      <c r="B12214" t="s">
        <v>15920</v>
      </c>
      <c r="C12214" t="s">
        <v>24</v>
      </c>
      <c r="D12214">
        <v>6.2934005865217699</v>
      </c>
    </row>
    <row r="12215" spans="1:4" hidden="1" x14ac:dyDescent="0.3">
      <c r="A12215">
        <v>12213</v>
      </c>
      <c r="B12215" s="1" t="s">
        <v>15921</v>
      </c>
      <c r="C12215" t="s">
        <v>145</v>
      </c>
      <c r="D12215" s="1" t="s">
        <v>15922</v>
      </c>
    </row>
    <row r="12216" spans="1:4" hidden="1" x14ac:dyDescent="0.3">
      <c r="A12216">
        <v>12214</v>
      </c>
      <c r="B12216" t="s">
        <v>15923</v>
      </c>
      <c r="C12216" t="s">
        <v>35</v>
      </c>
      <c r="D12216">
        <v>-0.57724495652540997</v>
      </c>
    </row>
    <row r="12217" spans="1:4" hidden="1" x14ac:dyDescent="0.3">
      <c r="A12217">
        <v>12215</v>
      </c>
      <c r="B12217" t="s">
        <v>15924</v>
      </c>
      <c r="C12217" t="s">
        <v>149</v>
      </c>
      <c r="D12217">
        <v>0.64859460428436999</v>
      </c>
    </row>
    <row r="12218" spans="1:4" hidden="1" x14ac:dyDescent="0.3">
      <c r="A12218">
        <v>12216</v>
      </c>
      <c r="B12218" s="1" t="s">
        <v>15925</v>
      </c>
      <c r="C12218" t="s">
        <v>151</v>
      </c>
      <c r="D12218" s="1" t="s">
        <v>15926</v>
      </c>
    </row>
    <row r="12219" spans="1:4" hidden="1" x14ac:dyDescent="0.3">
      <c r="A12219">
        <v>12217</v>
      </c>
      <c r="B12219" t="s">
        <v>15927</v>
      </c>
      <c r="C12219" t="s">
        <v>30</v>
      </c>
      <c r="D12219">
        <v>0.63058765909421899</v>
      </c>
    </row>
    <row r="12220" spans="1:4" hidden="1" x14ac:dyDescent="0.3">
      <c r="A12220">
        <v>12218</v>
      </c>
      <c r="B12220" t="s">
        <v>15928</v>
      </c>
      <c r="C12220" t="s">
        <v>32</v>
      </c>
      <c r="D12220">
        <v>0.28139565425424001</v>
      </c>
    </row>
    <row r="12221" spans="1:4" hidden="1" x14ac:dyDescent="0.3">
      <c r="A12221">
        <v>12219</v>
      </c>
      <c r="B12221" s="1" t="s">
        <v>15929</v>
      </c>
      <c r="C12221" t="s">
        <v>155</v>
      </c>
      <c r="D12221" s="1" t="s">
        <v>15930</v>
      </c>
    </row>
    <row r="12222" spans="1:4" hidden="1" x14ac:dyDescent="0.3">
      <c r="A12222">
        <v>12220</v>
      </c>
      <c r="B12222" t="s">
        <v>15931</v>
      </c>
      <c r="C12222" t="s">
        <v>40</v>
      </c>
      <c r="D12222">
        <v>0.94665729743118998</v>
      </c>
    </row>
    <row r="12223" spans="1:4" hidden="1" x14ac:dyDescent="0.3">
      <c r="A12223">
        <v>12221</v>
      </c>
      <c r="B12223" t="s">
        <v>15932</v>
      </c>
      <c r="C12223" t="s">
        <v>42</v>
      </c>
      <c r="D12223">
        <v>0.26039947230768101</v>
      </c>
    </row>
    <row r="12224" spans="1:4" hidden="1" x14ac:dyDescent="0.3">
      <c r="A12224">
        <v>12222</v>
      </c>
      <c r="B12224" s="1" t="s">
        <v>15933</v>
      </c>
      <c r="C12224" t="s">
        <v>159</v>
      </c>
      <c r="D12224" s="1" t="s">
        <v>15934</v>
      </c>
    </row>
    <row r="12225" spans="1:4" hidden="1" x14ac:dyDescent="0.3">
      <c r="A12225">
        <v>12223</v>
      </c>
      <c r="B12225" t="s">
        <v>15935</v>
      </c>
      <c r="C12225" t="s">
        <v>161</v>
      </c>
      <c r="D12225">
        <v>1.00299373238779</v>
      </c>
    </row>
    <row r="12226" spans="1:4" hidden="1" x14ac:dyDescent="0.3">
      <c r="A12226">
        <v>12224</v>
      </c>
      <c r="B12226" t="s">
        <v>15936</v>
      </c>
      <c r="C12226" t="s">
        <v>163</v>
      </c>
      <c r="D12226">
        <v>0.99812582436132202</v>
      </c>
    </row>
    <row r="12227" spans="1:4" hidden="1" x14ac:dyDescent="0.3">
      <c r="A12227">
        <v>12225</v>
      </c>
      <c r="B12227" s="1" t="s">
        <v>15937</v>
      </c>
      <c r="C12227" t="s">
        <v>165</v>
      </c>
      <c r="D12227" s="1" t="s">
        <v>15938</v>
      </c>
    </row>
    <row r="12228" spans="1:4" hidden="1" x14ac:dyDescent="0.3">
      <c r="A12228">
        <v>12226</v>
      </c>
      <c r="B12228" t="s">
        <v>15939</v>
      </c>
      <c r="C12228" t="s">
        <v>168</v>
      </c>
      <c r="D12228">
        <v>0.99949308444015394</v>
      </c>
    </row>
    <row r="12229" spans="1:4" hidden="1" x14ac:dyDescent="0.3">
      <c r="A12229">
        <v>12227</v>
      </c>
      <c r="B12229" t="s">
        <v>15940</v>
      </c>
      <c r="C12229" t="s">
        <v>170</v>
      </c>
      <c r="D12229">
        <v>0.99961861211456304</v>
      </c>
    </row>
    <row r="12230" spans="1:4" hidden="1" x14ac:dyDescent="0.3">
      <c r="A12230">
        <v>12228</v>
      </c>
      <c r="B12230" s="1" t="s">
        <v>15941</v>
      </c>
      <c r="C12230" t="s">
        <v>172</v>
      </c>
      <c r="D12230" s="1" t="s">
        <v>15942</v>
      </c>
    </row>
    <row r="12231" spans="1:4" hidden="1" x14ac:dyDescent="0.3">
      <c r="A12231">
        <v>12229</v>
      </c>
      <c r="B12231" s="1" t="s">
        <v>15943</v>
      </c>
      <c r="C12231" t="s">
        <v>55</v>
      </c>
      <c r="D12231" s="1" t="s">
        <v>15944</v>
      </c>
    </row>
    <row r="12232" spans="1:4" hidden="1" x14ac:dyDescent="0.3">
      <c r="A12232">
        <v>12230</v>
      </c>
      <c r="B12232" s="1" t="s">
        <v>15945</v>
      </c>
      <c r="C12232" t="s">
        <v>52</v>
      </c>
      <c r="D12232" s="1" t="s">
        <v>15946</v>
      </c>
    </row>
    <row r="12233" spans="1:4" hidden="1" x14ac:dyDescent="0.3">
      <c r="A12233">
        <v>12231</v>
      </c>
      <c r="B12233" s="1" t="s">
        <v>15947</v>
      </c>
      <c r="C12233" t="s">
        <v>58</v>
      </c>
      <c r="D12233" s="1" t="s">
        <v>15948</v>
      </c>
    </row>
    <row r="12234" spans="1:4" hidden="1" x14ac:dyDescent="0.3">
      <c r="A12234">
        <v>12232</v>
      </c>
      <c r="B12234" t="s">
        <v>15949</v>
      </c>
      <c r="C12234" t="s">
        <v>61</v>
      </c>
      <c r="D12234">
        <v>143873264.480986</v>
      </c>
    </row>
    <row r="12235" spans="1:4" hidden="1" x14ac:dyDescent="0.3">
      <c r="A12235">
        <v>12233</v>
      </c>
      <c r="B12235" t="s">
        <v>15950</v>
      </c>
      <c r="C12235" t="s">
        <v>63</v>
      </c>
      <c r="D12235">
        <v>78679049.436695293</v>
      </c>
    </row>
    <row r="12236" spans="1:4" hidden="1" x14ac:dyDescent="0.3">
      <c r="A12236">
        <v>12234</v>
      </c>
      <c r="B12236" t="s">
        <v>15951</v>
      </c>
      <c r="C12236" t="s">
        <v>65</v>
      </c>
      <c r="D12236">
        <v>38188944.088345803</v>
      </c>
    </row>
    <row r="12237" spans="1:4" hidden="1" x14ac:dyDescent="0.3">
      <c r="A12237">
        <v>12235</v>
      </c>
      <c r="B12237" s="1" t="s">
        <v>15952</v>
      </c>
      <c r="C12237" t="s">
        <v>67</v>
      </c>
      <c r="D12237" s="1" t="s">
        <v>15953</v>
      </c>
    </row>
    <row r="12238" spans="1:4" hidden="1" x14ac:dyDescent="0.3">
      <c r="A12238">
        <v>12236</v>
      </c>
      <c r="B12238" s="1" t="s">
        <v>15954</v>
      </c>
      <c r="C12238" t="s">
        <v>70</v>
      </c>
      <c r="D12238" s="1" t="s">
        <v>15955</v>
      </c>
    </row>
    <row r="12239" spans="1:4" hidden="1" x14ac:dyDescent="0.3">
      <c r="A12239">
        <v>12237</v>
      </c>
      <c r="B12239" t="s">
        <v>15956</v>
      </c>
      <c r="C12239" t="s">
        <v>73</v>
      </c>
      <c r="D12239">
        <v>1.00055035068471</v>
      </c>
    </row>
    <row r="12240" spans="1:4" hidden="1" x14ac:dyDescent="0.3">
      <c r="A12240">
        <v>12238</v>
      </c>
      <c r="B12240" t="s">
        <v>74</v>
      </c>
      <c r="C12240" t="s">
        <v>75</v>
      </c>
      <c r="D12240">
        <v>2.7397260273972599E-3</v>
      </c>
    </row>
    <row r="12241" spans="1:4" hidden="1" x14ac:dyDescent="0.3">
      <c r="A12241">
        <v>12239</v>
      </c>
      <c r="B12241" t="s">
        <v>76</v>
      </c>
      <c r="C12241" t="s">
        <v>77</v>
      </c>
      <c r="D12241">
        <v>0</v>
      </c>
    </row>
    <row r="12242" spans="1:4" hidden="1" x14ac:dyDescent="0.3">
      <c r="A12242">
        <v>12240</v>
      </c>
      <c r="B12242" t="s">
        <v>78</v>
      </c>
      <c r="C12242" t="s">
        <v>79</v>
      </c>
      <c r="D12242">
        <v>0</v>
      </c>
    </row>
    <row r="12243" spans="1:4" hidden="1" x14ac:dyDescent="0.3">
      <c r="A12243">
        <v>12241</v>
      </c>
      <c r="B12243" s="1" t="s">
        <v>15957</v>
      </c>
      <c r="C12243" t="s">
        <v>81</v>
      </c>
      <c r="D12243" s="1" t="s">
        <v>15958</v>
      </c>
    </row>
    <row r="12244" spans="1:4" hidden="1" x14ac:dyDescent="0.3">
      <c r="A12244">
        <v>12242</v>
      </c>
      <c r="B12244" t="s">
        <v>15959</v>
      </c>
      <c r="C12244" t="s">
        <v>84</v>
      </c>
      <c r="D12244">
        <v>1.0005563613981101</v>
      </c>
    </row>
    <row r="12245" spans="1:4" hidden="1" x14ac:dyDescent="0.3">
      <c r="A12245">
        <v>12243</v>
      </c>
      <c r="B12245" s="1" t="s">
        <v>15960</v>
      </c>
      <c r="C12245" t="s">
        <v>86</v>
      </c>
      <c r="D12245" s="1" t="s">
        <v>15961</v>
      </c>
    </row>
    <row r="12246" spans="1:4" hidden="1" x14ac:dyDescent="0.3">
      <c r="A12246">
        <v>12244</v>
      </c>
      <c r="B12246" t="s">
        <v>15962</v>
      </c>
      <c r="C12246" t="s">
        <v>89</v>
      </c>
      <c r="D12246">
        <v>101133512.70093</v>
      </c>
    </row>
    <row r="12247" spans="1:4" hidden="1" x14ac:dyDescent="0.3">
      <c r="A12247">
        <v>12245</v>
      </c>
      <c r="B12247" s="1" t="s">
        <v>15963</v>
      </c>
      <c r="C12247" t="s">
        <v>91</v>
      </c>
      <c r="D12247" s="1" t="s">
        <v>15897</v>
      </c>
    </row>
    <row r="12248" spans="1:4" hidden="1" x14ac:dyDescent="0.3">
      <c r="A12248">
        <v>12246</v>
      </c>
      <c r="B12248" t="s">
        <v>15964</v>
      </c>
      <c r="C12248" t="s">
        <v>94</v>
      </c>
      <c r="D12248">
        <v>78679049.436695293</v>
      </c>
    </row>
    <row r="12249" spans="1:4" hidden="1" x14ac:dyDescent="0.3">
      <c r="A12249">
        <v>12247</v>
      </c>
      <c r="B12249" t="s">
        <v>15965</v>
      </c>
      <c r="C12249" t="s">
        <v>96</v>
      </c>
      <c r="D12249">
        <v>38188944.088345803</v>
      </c>
    </row>
    <row r="12250" spans="1:4" hidden="1" x14ac:dyDescent="0.3">
      <c r="A12250">
        <v>12248</v>
      </c>
      <c r="B12250" t="s">
        <v>15966</v>
      </c>
      <c r="C12250" t="s">
        <v>98</v>
      </c>
      <c r="D12250">
        <v>27005270.9559457</v>
      </c>
    </row>
    <row r="12251" spans="1:4" hidden="1" x14ac:dyDescent="0.3">
      <c r="A12251">
        <v>12249</v>
      </c>
      <c r="B12251" s="1" t="s">
        <v>15967</v>
      </c>
      <c r="C12251" t="s">
        <v>100</v>
      </c>
      <c r="D12251" s="1" t="s">
        <v>15968</v>
      </c>
    </row>
    <row r="12252" spans="1:4" hidden="1" x14ac:dyDescent="0.3">
      <c r="A12252">
        <v>12250</v>
      </c>
      <c r="B12252" t="s">
        <v>15969</v>
      </c>
      <c r="C12252" t="s">
        <v>103</v>
      </c>
      <c r="D12252">
        <v>7.7584382251729899E-3</v>
      </c>
    </row>
    <row r="12253" spans="1:4" hidden="1" x14ac:dyDescent="0.3">
      <c r="A12253">
        <v>12251</v>
      </c>
      <c r="B12253" t="s">
        <v>15970</v>
      </c>
      <c r="C12253" t="s">
        <v>105</v>
      </c>
      <c r="D12253">
        <v>1.9012475491687001E-3</v>
      </c>
    </row>
    <row r="12254" spans="1:4" hidden="1" x14ac:dyDescent="0.3">
      <c r="A12254">
        <v>12252</v>
      </c>
      <c r="B12254" t="s">
        <v>15971</v>
      </c>
      <c r="C12254" t="s">
        <v>107</v>
      </c>
      <c r="D12254">
        <v>1.0026061979810199E-2</v>
      </c>
    </row>
    <row r="12255" spans="1:4" hidden="1" x14ac:dyDescent="0.3">
      <c r="A12255">
        <v>12253</v>
      </c>
      <c r="B12255" s="1" t="s">
        <v>15972</v>
      </c>
      <c r="C12255" t="s">
        <v>109</v>
      </c>
      <c r="D12255" s="1" t="s">
        <v>15973</v>
      </c>
    </row>
    <row r="12256" spans="1:4" x14ac:dyDescent="0.3">
      <c r="A12256">
        <v>12254</v>
      </c>
      <c r="B12256" t="s">
        <v>15974</v>
      </c>
      <c r="C12256" t="s">
        <v>207</v>
      </c>
      <c r="D12256">
        <v>143873476.18844101</v>
      </c>
    </row>
    <row r="12257" spans="1:4" hidden="1" x14ac:dyDescent="0.3">
      <c r="A12257">
        <v>12255</v>
      </c>
      <c r="B12257" t="s">
        <v>15975</v>
      </c>
      <c r="C12257" t="s">
        <v>209</v>
      </c>
      <c r="D12257">
        <v>-472.65801828924702</v>
      </c>
    </row>
    <row r="12258" spans="1:4" hidden="1" x14ac:dyDescent="0.3">
      <c r="A12258">
        <v>12256</v>
      </c>
      <c r="B12258" t="s">
        <v>15976</v>
      </c>
      <c r="C12258" t="s">
        <v>211</v>
      </c>
      <c r="D12258">
        <v>-229.416795590725</v>
      </c>
    </row>
    <row r="12259" spans="1:4" hidden="1" x14ac:dyDescent="0.3">
      <c r="A12259">
        <v>12257</v>
      </c>
      <c r="B12259" s="1" t="s">
        <v>15977</v>
      </c>
      <c r="C12259" t="s">
        <v>213</v>
      </c>
      <c r="D12259" s="1" t="s">
        <v>15978</v>
      </c>
    </row>
    <row r="12260" spans="1:4" hidden="1" x14ac:dyDescent="0.3">
      <c r="A12260">
        <v>12258</v>
      </c>
      <c r="B12260" t="s">
        <v>15979</v>
      </c>
      <c r="C12260" t="s">
        <v>216</v>
      </c>
      <c r="D12260">
        <v>78679676.613724396</v>
      </c>
    </row>
    <row r="12261" spans="1:4" hidden="1" x14ac:dyDescent="0.3">
      <c r="A12261">
        <v>12259</v>
      </c>
      <c r="B12261" t="s">
        <v>15980</v>
      </c>
      <c r="C12261" t="s">
        <v>218</v>
      </c>
      <c r="D12261">
        <v>38189216.279811598</v>
      </c>
    </row>
    <row r="12262" spans="1:4" hidden="1" x14ac:dyDescent="0.3">
      <c r="A12262">
        <v>12260</v>
      </c>
      <c r="B12262" t="s">
        <v>15981</v>
      </c>
      <c r="C12262" t="s">
        <v>220</v>
      </c>
      <c r="D12262">
        <v>27005447.601465698</v>
      </c>
    </row>
    <row r="12263" spans="1:4" hidden="1" x14ac:dyDescent="0.3">
      <c r="A12263">
        <v>12261</v>
      </c>
      <c r="B12263" s="1" t="s">
        <v>15982</v>
      </c>
      <c r="C12263" t="s">
        <v>222</v>
      </c>
      <c r="D12263" s="1" t="s">
        <v>15983</v>
      </c>
    </row>
    <row r="12264" spans="1:4" hidden="1" x14ac:dyDescent="0.3">
      <c r="A12264">
        <v>12262</v>
      </c>
      <c r="B12264" t="s">
        <v>15984</v>
      </c>
      <c r="C12264" t="s">
        <v>225</v>
      </c>
      <c r="D12264">
        <v>101134120.25112499</v>
      </c>
    </row>
    <row r="12265" spans="1:4" hidden="1" x14ac:dyDescent="0.3">
      <c r="A12265">
        <v>12263</v>
      </c>
      <c r="B12265" t="s">
        <v>15985</v>
      </c>
      <c r="C12265" t="s">
        <v>227</v>
      </c>
      <c r="D12265">
        <v>-607.55019487440495</v>
      </c>
    </row>
    <row r="12266" spans="1:4" hidden="1" x14ac:dyDescent="0.3">
      <c r="A12266">
        <v>12264</v>
      </c>
      <c r="B12266" s="1" t="s">
        <v>15986</v>
      </c>
      <c r="C12266" t="s">
        <v>229</v>
      </c>
      <c r="D12266" s="1" t="s">
        <v>15987</v>
      </c>
    </row>
    <row r="12267" spans="1:4" hidden="1" x14ac:dyDescent="0.3">
      <c r="A12267">
        <v>12265</v>
      </c>
      <c r="B12267" t="s">
        <v>15988</v>
      </c>
      <c r="C12267" t="s">
        <v>112</v>
      </c>
      <c r="D12267">
        <v>154.51901073606999</v>
      </c>
    </row>
    <row r="12268" spans="1:4" hidden="1" x14ac:dyDescent="0.3">
      <c r="A12268">
        <v>12266</v>
      </c>
      <c r="B12268" t="s">
        <v>15989</v>
      </c>
      <c r="C12268" t="s">
        <v>114</v>
      </c>
      <c r="D12268">
        <v>42.774670207704197</v>
      </c>
    </row>
    <row r="12269" spans="1:4" hidden="1" x14ac:dyDescent="0.3">
      <c r="A12269">
        <v>12267</v>
      </c>
      <c r="B12269" s="1" t="s">
        <v>15990</v>
      </c>
      <c r="C12269" t="s">
        <v>116</v>
      </c>
      <c r="D12269" s="1" t="s">
        <v>15991</v>
      </c>
    </row>
    <row r="12270" spans="1:4" hidden="1" x14ac:dyDescent="0.3">
      <c r="A12270">
        <v>12268</v>
      </c>
      <c r="B12270" t="s">
        <v>15992</v>
      </c>
      <c r="C12270" t="s">
        <v>119</v>
      </c>
      <c r="D12270">
        <v>78679676.613724396</v>
      </c>
    </row>
    <row r="12271" spans="1:4" hidden="1" x14ac:dyDescent="0.3">
      <c r="A12271">
        <v>12269</v>
      </c>
      <c r="B12271" t="s">
        <v>15993</v>
      </c>
      <c r="C12271" t="s">
        <v>121</v>
      </c>
      <c r="D12271">
        <v>38189216.279811598</v>
      </c>
    </row>
    <row r="12272" spans="1:4" hidden="1" x14ac:dyDescent="0.3">
      <c r="A12272">
        <v>12270</v>
      </c>
      <c r="B12272" s="1" t="s">
        <v>15994</v>
      </c>
      <c r="C12272" t="s">
        <v>123</v>
      </c>
      <c r="D12272" s="1" t="s">
        <v>15995</v>
      </c>
    </row>
    <row r="12273" spans="1:4" hidden="1" x14ac:dyDescent="0.3">
      <c r="A12273">
        <v>12271</v>
      </c>
      <c r="B12273" t="s">
        <v>15996</v>
      </c>
      <c r="C12273" t="s">
        <v>126</v>
      </c>
      <c r="D12273">
        <v>0.77754101607239601</v>
      </c>
    </row>
    <row r="12274" spans="1:4" hidden="1" x14ac:dyDescent="0.3">
      <c r="A12274">
        <v>12272</v>
      </c>
      <c r="B12274" t="s">
        <v>15997</v>
      </c>
      <c r="C12274" t="s">
        <v>128</v>
      </c>
      <c r="D12274">
        <v>0.37739964508234403</v>
      </c>
    </row>
    <row r="12275" spans="1:4" hidden="1" x14ac:dyDescent="0.3">
      <c r="A12275">
        <v>12273</v>
      </c>
      <c r="B12275" s="1" t="s">
        <v>15998</v>
      </c>
      <c r="C12275" t="s">
        <v>130</v>
      </c>
      <c r="D12275" s="1" t="s">
        <v>15999</v>
      </c>
    </row>
    <row r="12276" spans="1:4" hidden="1" x14ac:dyDescent="0.3">
      <c r="A12276">
        <v>12274</v>
      </c>
      <c r="B12276" s="1" t="s">
        <v>16000</v>
      </c>
      <c r="C12276" t="s">
        <v>4</v>
      </c>
      <c r="D12276" t="s">
        <v>16001</v>
      </c>
    </row>
    <row r="12277" spans="1:4" hidden="1" x14ac:dyDescent="0.3">
      <c r="A12277">
        <v>12275</v>
      </c>
      <c r="B12277" t="s">
        <v>16002</v>
      </c>
      <c r="C12277" t="s">
        <v>7</v>
      </c>
      <c r="D12277">
        <v>1833.36</v>
      </c>
    </row>
    <row r="12278" spans="1:4" hidden="1" x14ac:dyDescent="0.3">
      <c r="A12278">
        <v>12276</v>
      </c>
      <c r="B12278" s="1" t="s">
        <v>16003</v>
      </c>
      <c r="C12278" t="s">
        <v>9</v>
      </c>
      <c r="D12278" s="1" t="s">
        <v>16004</v>
      </c>
    </row>
    <row r="12279" spans="1:4" hidden="1" x14ac:dyDescent="0.3">
      <c r="A12279">
        <v>12277</v>
      </c>
      <c r="B12279" t="s">
        <v>16005</v>
      </c>
      <c r="C12279" t="s">
        <v>14</v>
      </c>
      <c r="D12279">
        <v>94.84375</v>
      </c>
    </row>
    <row r="12280" spans="1:4" hidden="1" x14ac:dyDescent="0.3">
      <c r="A12280">
        <v>12278</v>
      </c>
      <c r="B12280" t="s">
        <v>16006</v>
      </c>
      <c r="C12280" t="s">
        <v>16</v>
      </c>
      <c r="D12280">
        <v>4.3516601907604597</v>
      </c>
    </row>
    <row r="12281" spans="1:4" hidden="1" x14ac:dyDescent="0.3">
      <c r="A12281">
        <v>12279</v>
      </c>
      <c r="B12281" s="1" t="s">
        <v>16007</v>
      </c>
      <c r="C12281" t="s">
        <v>140</v>
      </c>
      <c r="D12281" s="1" t="s">
        <v>16008</v>
      </c>
    </row>
    <row r="12282" spans="1:4" hidden="1" x14ac:dyDescent="0.3">
      <c r="A12282">
        <v>12280</v>
      </c>
      <c r="B12282" t="s">
        <v>16009</v>
      </c>
      <c r="C12282" t="s">
        <v>22</v>
      </c>
      <c r="D12282">
        <v>68.3</v>
      </c>
    </row>
    <row r="12283" spans="1:4" hidden="1" x14ac:dyDescent="0.3">
      <c r="A12283">
        <v>12281</v>
      </c>
      <c r="B12283" t="s">
        <v>16010</v>
      </c>
      <c r="C12283" t="s">
        <v>24</v>
      </c>
      <c r="D12283">
        <v>6.2819375920528397</v>
      </c>
    </row>
    <row r="12284" spans="1:4" hidden="1" x14ac:dyDescent="0.3">
      <c r="A12284">
        <v>12282</v>
      </c>
      <c r="B12284" s="1" t="s">
        <v>16011</v>
      </c>
      <c r="C12284" t="s">
        <v>145</v>
      </c>
      <c r="D12284" s="1" t="s">
        <v>16012</v>
      </c>
    </row>
    <row r="12285" spans="1:4" hidden="1" x14ac:dyDescent="0.3">
      <c r="A12285">
        <v>12283</v>
      </c>
      <c r="B12285" t="s">
        <v>16013</v>
      </c>
      <c r="C12285" t="s">
        <v>35</v>
      </c>
      <c r="D12285">
        <v>-0.34259549161863101</v>
      </c>
    </row>
    <row r="12286" spans="1:4" hidden="1" x14ac:dyDescent="0.3">
      <c r="A12286">
        <v>12284</v>
      </c>
      <c r="B12286" t="s">
        <v>16014</v>
      </c>
      <c r="C12286" t="s">
        <v>149</v>
      </c>
      <c r="D12286">
        <v>0.64688304541792796</v>
      </c>
    </row>
    <row r="12287" spans="1:4" hidden="1" x14ac:dyDescent="0.3">
      <c r="A12287">
        <v>12285</v>
      </c>
      <c r="B12287" s="1" t="s">
        <v>16015</v>
      </c>
      <c r="C12287" t="s">
        <v>151</v>
      </c>
      <c r="D12287" s="1" t="s">
        <v>16016</v>
      </c>
    </row>
    <row r="12288" spans="1:4" hidden="1" x14ac:dyDescent="0.3">
      <c r="A12288">
        <v>12286</v>
      </c>
      <c r="B12288" t="s">
        <v>16017</v>
      </c>
      <c r="C12288" t="s">
        <v>30</v>
      </c>
      <c r="D12288">
        <v>0.53842342436346002</v>
      </c>
    </row>
    <row r="12289" spans="1:4" hidden="1" x14ac:dyDescent="0.3">
      <c r="A12289">
        <v>12287</v>
      </c>
      <c r="B12289" t="s">
        <v>16018</v>
      </c>
      <c r="C12289" t="s">
        <v>32</v>
      </c>
      <c r="D12289">
        <v>0.28264963355574302</v>
      </c>
    </row>
    <row r="12290" spans="1:4" hidden="1" x14ac:dyDescent="0.3">
      <c r="A12290">
        <v>12288</v>
      </c>
      <c r="B12290" s="1" t="s">
        <v>16019</v>
      </c>
      <c r="C12290" t="s">
        <v>155</v>
      </c>
      <c r="D12290" s="1" t="s">
        <v>16020</v>
      </c>
    </row>
    <row r="12291" spans="1:4" hidden="1" x14ac:dyDescent="0.3">
      <c r="A12291">
        <v>12289</v>
      </c>
      <c r="B12291" t="s">
        <v>16021</v>
      </c>
      <c r="C12291" t="s">
        <v>40</v>
      </c>
      <c r="D12291">
        <v>0.80417206725516999</v>
      </c>
    </row>
    <row r="12292" spans="1:4" hidden="1" x14ac:dyDescent="0.3">
      <c r="A12292">
        <v>12290</v>
      </c>
      <c r="B12292" t="s">
        <v>16022</v>
      </c>
      <c r="C12292" t="s">
        <v>42</v>
      </c>
      <c r="D12292">
        <v>0.26322485965181203</v>
      </c>
    </row>
    <row r="12293" spans="1:4" hidden="1" x14ac:dyDescent="0.3">
      <c r="A12293">
        <v>12291</v>
      </c>
      <c r="B12293" s="1" t="s">
        <v>16023</v>
      </c>
      <c r="C12293" t="s">
        <v>159</v>
      </c>
      <c r="D12293" s="1" t="s">
        <v>16024</v>
      </c>
    </row>
    <row r="12294" spans="1:4" hidden="1" x14ac:dyDescent="0.3">
      <c r="A12294">
        <v>12292</v>
      </c>
      <c r="B12294" t="s">
        <v>16025</v>
      </c>
      <c r="C12294" t="s">
        <v>161</v>
      </c>
      <c r="D12294">
        <v>1.00407465825446</v>
      </c>
    </row>
    <row r="12295" spans="1:4" hidden="1" x14ac:dyDescent="0.3">
      <c r="A12295">
        <v>12293</v>
      </c>
      <c r="B12295" t="s">
        <v>16026</v>
      </c>
      <c r="C12295" t="s">
        <v>163</v>
      </c>
      <c r="D12295">
        <v>0.99938672971090703</v>
      </c>
    </row>
    <row r="12296" spans="1:4" hidden="1" x14ac:dyDescent="0.3">
      <c r="A12296">
        <v>12294</v>
      </c>
      <c r="B12296" s="1" t="s">
        <v>16027</v>
      </c>
      <c r="C12296" t="s">
        <v>165</v>
      </c>
      <c r="D12296" s="1" t="s">
        <v>16028</v>
      </c>
    </row>
    <row r="12297" spans="1:4" hidden="1" x14ac:dyDescent="0.3">
      <c r="A12297">
        <v>12295</v>
      </c>
      <c r="B12297" t="s">
        <v>16029</v>
      </c>
      <c r="C12297" t="s">
        <v>168</v>
      </c>
      <c r="D12297">
        <v>0.99896180731030204</v>
      </c>
    </row>
    <row r="12298" spans="1:4" hidden="1" x14ac:dyDescent="0.3">
      <c r="A12298">
        <v>12296</v>
      </c>
      <c r="B12298" t="s">
        <v>16030</v>
      </c>
      <c r="C12298" t="s">
        <v>170</v>
      </c>
      <c r="D12298">
        <v>1.00097860430331</v>
      </c>
    </row>
    <row r="12299" spans="1:4" hidden="1" x14ac:dyDescent="0.3">
      <c r="A12299">
        <v>12297</v>
      </c>
      <c r="B12299" s="1" t="s">
        <v>16031</v>
      </c>
      <c r="C12299" t="s">
        <v>172</v>
      </c>
      <c r="D12299" s="1" t="s">
        <v>16032</v>
      </c>
    </row>
    <row r="12300" spans="1:4" hidden="1" x14ac:dyDescent="0.3">
      <c r="A12300">
        <v>12298</v>
      </c>
      <c r="B12300" s="1" t="s">
        <v>16033</v>
      </c>
      <c r="C12300" t="s">
        <v>55</v>
      </c>
      <c r="D12300" s="1" t="s">
        <v>16034</v>
      </c>
    </row>
    <row r="12301" spans="1:4" hidden="1" x14ac:dyDescent="0.3">
      <c r="A12301">
        <v>12299</v>
      </c>
      <c r="B12301" s="1" t="s">
        <v>16035</v>
      </c>
      <c r="C12301" t="s">
        <v>52</v>
      </c>
      <c r="D12301" s="1" t="s">
        <v>16036</v>
      </c>
    </row>
    <row r="12302" spans="1:4" hidden="1" x14ac:dyDescent="0.3">
      <c r="A12302">
        <v>12300</v>
      </c>
      <c r="B12302" s="1" t="s">
        <v>16037</v>
      </c>
      <c r="C12302" t="s">
        <v>58</v>
      </c>
      <c r="D12302" s="1" t="s">
        <v>16038</v>
      </c>
    </row>
    <row r="12303" spans="1:4" hidden="1" x14ac:dyDescent="0.3">
      <c r="A12303">
        <v>12301</v>
      </c>
      <c r="B12303" t="s">
        <v>16039</v>
      </c>
      <c r="C12303" t="s">
        <v>61</v>
      </c>
      <c r="D12303">
        <v>144386311.933979</v>
      </c>
    </row>
    <row r="12304" spans="1:4" hidden="1" x14ac:dyDescent="0.3">
      <c r="A12304">
        <v>12302</v>
      </c>
      <c r="B12304" t="s">
        <v>16040</v>
      </c>
      <c r="C12304" t="s">
        <v>63</v>
      </c>
      <c r="D12304">
        <v>79000269.407497406</v>
      </c>
    </row>
    <row r="12305" spans="1:4" hidden="1" x14ac:dyDescent="0.3">
      <c r="A12305">
        <v>12303</v>
      </c>
      <c r="B12305" t="s">
        <v>16041</v>
      </c>
      <c r="C12305" t="s">
        <v>65</v>
      </c>
      <c r="D12305">
        <v>38165795.968103401</v>
      </c>
    </row>
    <row r="12306" spans="1:4" hidden="1" x14ac:dyDescent="0.3">
      <c r="A12306">
        <v>12304</v>
      </c>
      <c r="B12306" s="1" t="s">
        <v>16042</v>
      </c>
      <c r="C12306" t="s">
        <v>67</v>
      </c>
      <c r="D12306" s="1" t="s">
        <v>16043</v>
      </c>
    </row>
    <row r="12307" spans="1:4" hidden="1" x14ac:dyDescent="0.3">
      <c r="A12307">
        <v>12305</v>
      </c>
      <c r="B12307" s="1" t="s">
        <v>16044</v>
      </c>
      <c r="C12307" t="s">
        <v>70</v>
      </c>
      <c r="D12307" s="1" t="s">
        <v>16045</v>
      </c>
    </row>
    <row r="12308" spans="1:4" hidden="1" x14ac:dyDescent="0.3">
      <c r="A12308">
        <v>12306</v>
      </c>
      <c r="B12308" t="s">
        <v>16046</v>
      </c>
      <c r="C12308" t="s">
        <v>73</v>
      </c>
      <c r="D12308">
        <v>1.0005563613981101</v>
      </c>
    </row>
    <row r="12309" spans="1:4" hidden="1" x14ac:dyDescent="0.3">
      <c r="A12309">
        <v>12307</v>
      </c>
      <c r="B12309" t="s">
        <v>74</v>
      </c>
      <c r="C12309" t="s">
        <v>75</v>
      </c>
      <c r="D12309">
        <v>2.7397260273972599E-3</v>
      </c>
    </row>
    <row r="12310" spans="1:4" hidden="1" x14ac:dyDescent="0.3">
      <c r="A12310">
        <v>12308</v>
      </c>
      <c r="B12310" t="s">
        <v>76</v>
      </c>
      <c r="C12310" t="s">
        <v>77</v>
      </c>
      <c r="D12310">
        <v>0</v>
      </c>
    </row>
    <row r="12311" spans="1:4" hidden="1" x14ac:dyDescent="0.3">
      <c r="A12311">
        <v>12309</v>
      </c>
      <c r="B12311" t="s">
        <v>78</v>
      </c>
      <c r="C12311" t="s">
        <v>79</v>
      </c>
      <c r="D12311">
        <v>0</v>
      </c>
    </row>
    <row r="12312" spans="1:4" hidden="1" x14ac:dyDescent="0.3">
      <c r="A12312">
        <v>12310</v>
      </c>
      <c r="B12312" s="1" t="s">
        <v>16047</v>
      </c>
      <c r="C12312" t="s">
        <v>81</v>
      </c>
      <c r="D12312" s="1" t="s">
        <v>16048</v>
      </c>
    </row>
    <row r="12313" spans="1:4" hidden="1" x14ac:dyDescent="0.3">
      <c r="A12313">
        <v>12311</v>
      </c>
      <c r="B12313" t="s">
        <v>16049</v>
      </c>
      <c r="C12313" t="s">
        <v>84</v>
      </c>
      <c r="D12313">
        <v>1.00056083817158</v>
      </c>
    </row>
    <row r="12314" spans="1:4" hidden="1" x14ac:dyDescent="0.3">
      <c r="A12314">
        <v>12312</v>
      </c>
      <c r="B12314" s="1" t="s">
        <v>16050</v>
      </c>
      <c r="C12314" t="s">
        <v>86</v>
      </c>
      <c r="D12314" s="1" t="s">
        <v>16051</v>
      </c>
    </row>
    <row r="12315" spans="1:4" hidden="1" x14ac:dyDescent="0.3">
      <c r="A12315">
        <v>12313</v>
      </c>
      <c r="B12315" t="s">
        <v>16052</v>
      </c>
      <c r="C12315" t="s">
        <v>89</v>
      </c>
      <c r="D12315">
        <v>101133060.20288201</v>
      </c>
    </row>
    <row r="12316" spans="1:4" hidden="1" x14ac:dyDescent="0.3">
      <c r="A12316">
        <v>12314</v>
      </c>
      <c r="B12316" s="1" t="s">
        <v>16053</v>
      </c>
      <c r="C12316" t="s">
        <v>91</v>
      </c>
      <c r="D12316" s="1" t="s">
        <v>15987</v>
      </c>
    </row>
    <row r="12317" spans="1:4" hidden="1" x14ac:dyDescent="0.3">
      <c r="A12317">
        <v>12315</v>
      </c>
      <c r="B12317" t="s">
        <v>16054</v>
      </c>
      <c r="C12317" t="s">
        <v>94</v>
      </c>
      <c r="D12317">
        <v>79000269.407497406</v>
      </c>
    </row>
    <row r="12318" spans="1:4" hidden="1" x14ac:dyDescent="0.3">
      <c r="A12318">
        <v>12316</v>
      </c>
      <c r="B12318" t="s">
        <v>16055</v>
      </c>
      <c r="C12318" t="s">
        <v>96</v>
      </c>
      <c r="D12318">
        <v>38165795.968103401</v>
      </c>
    </row>
    <row r="12319" spans="1:4" hidden="1" x14ac:dyDescent="0.3">
      <c r="A12319">
        <v>12317</v>
      </c>
      <c r="B12319" t="s">
        <v>16056</v>
      </c>
      <c r="C12319" t="s">
        <v>98</v>
      </c>
      <c r="D12319">
        <v>27220246.558378201</v>
      </c>
    </row>
    <row r="12320" spans="1:4" hidden="1" x14ac:dyDescent="0.3">
      <c r="A12320">
        <v>12318</v>
      </c>
      <c r="B12320" s="1" t="s">
        <v>16057</v>
      </c>
      <c r="C12320" t="s">
        <v>100</v>
      </c>
      <c r="D12320" s="1" t="s">
        <v>16058</v>
      </c>
    </row>
    <row r="12321" spans="1:4" hidden="1" x14ac:dyDescent="0.3">
      <c r="A12321">
        <v>12319</v>
      </c>
      <c r="B12321" t="s">
        <v>16059</v>
      </c>
      <c r="C12321" t="s">
        <v>103</v>
      </c>
      <c r="D12321">
        <v>7.6990451131833497E-3</v>
      </c>
    </row>
    <row r="12322" spans="1:4" hidden="1" x14ac:dyDescent="0.3">
      <c r="A12322">
        <v>12320</v>
      </c>
      <c r="B12322" t="s">
        <v>16060</v>
      </c>
      <c r="C12322" t="s">
        <v>105</v>
      </c>
      <c r="D12322">
        <v>1.9013263298955901E-3</v>
      </c>
    </row>
    <row r="12323" spans="1:4" hidden="1" x14ac:dyDescent="0.3">
      <c r="A12323">
        <v>12321</v>
      </c>
      <c r="B12323" t="s">
        <v>16061</v>
      </c>
      <c r="C12323" t="s">
        <v>107</v>
      </c>
      <c r="D12323">
        <v>1.0038194334197399E-2</v>
      </c>
    </row>
    <row r="12324" spans="1:4" hidden="1" x14ac:dyDescent="0.3">
      <c r="A12324">
        <v>12322</v>
      </c>
      <c r="B12324" s="1" t="s">
        <v>16062</v>
      </c>
      <c r="C12324" t="s">
        <v>109</v>
      </c>
      <c r="D12324" s="1" t="s">
        <v>16063</v>
      </c>
    </row>
    <row r="12325" spans="1:4" x14ac:dyDescent="0.3">
      <c r="A12325">
        <v>12323</v>
      </c>
      <c r="B12325" t="s">
        <v>16064</v>
      </c>
      <c r="C12325" t="s">
        <v>207</v>
      </c>
      <c r="D12325">
        <v>144386469.53036401</v>
      </c>
    </row>
    <row r="12326" spans="1:4" hidden="1" x14ac:dyDescent="0.3">
      <c r="A12326">
        <v>12324</v>
      </c>
      <c r="B12326" t="s">
        <v>16065</v>
      </c>
      <c r="C12326" t="s">
        <v>209</v>
      </c>
      <c r="D12326">
        <v>-353.47016859310099</v>
      </c>
    </row>
    <row r="12327" spans="1:4" hidden="1" x14ac:dyDescent="0.3">
      <c r="A12327">
        <v>12325</v>
      </c>
      <c r="B12327" t="s">
        <v>16066</v>
      </c>
      <c r="C12327" t="s">
        <v>211</v>
      </c>
      <c r="D12327">
        <v>-170.764756955856</v>
      </c>
    </row>
    <row r="12328" spans="1:4" hidden="1" x14ac:dyDescent="0.3">
      <c r="A12328">
        <v>12326</v>
      </c>
      <c r="B12328" s="1" t="s">
        <v>16067</v>
      </c>
      <c r="C12328" t="s">
        <v>213</v>
      </c>
      <c r="D12328" s="1" t="s">
        <v>16068</v>
      </c>
    </row>
    <row r="12329" spans="1:4" hidden="1" x14ac:dyDescent="0.3">
      <c r="A12329">
        <v>12327</v>
      </c>
      <c r="B12329" t="s">
        <v>16069</v>
      </c>
      <c r="C12329" t="s">
        <v>216</v>
      </c>
      <c r="D12329">
        <v>79000738.110137001</v>
      </c>
    </row>
    <row r="12330" spans="1:4" hidden="1" x14ac:dyDescent="0.3">
      <c r="A12330">
        <v>12328</v>
      </c>
      <c r="B12330" t="s">
        <v>16070</v>
      </c>
      <c r="C12330" t="s">
        <v>218</v>
      </c>
      <c r="D12330">
        <v>38165998.269122504</v>
      </c>
    </row>
    <row r="12331" spans="1:4" hidden="1" x14ac:dyDescent="0.3">
      <c r="A12331">
        <v>12329</v>
      </c>
      <c r="B12331" t="s">
        <v>16071</v>
      </c>
      <c r="C12331" t="s">
        <v>220</v>
      </c>
      <c r="D12331">
        <v>27220379.177196801</v>
      </c>
    </row>
    <row r="12332" spans="1:4" hidden="1" x14ac:dyDescent="0.3">
      <c r="A12332">
        <v>12330</v>
      </c>
      <c r="B12332" s="1" t="s">
        <v>16072</v>
      </c>
      <c r="C12332" t="s">
        <v>222</v>
      </c>
      <c r="D12332" s="1" t="s">
        <v>16073</v>
      </c>
    </row>
    <row r="12333" spans="1:4" hidden="1" x14ac:dyDescent="0.3">
      <c r="A12333">
        <v>12331</v>
      </c>
      <c r="B12333" t="s">
        <v>16074</v>
      </c>
      <c r="C12333" t="s">
        <v>225</v>
      </c>
      <c r="D12333">
        <v>101133512.70093</v>
      </c>
    </row>
    <row r="12334" spans="1:4" hidden="1" x14ac:dyDescent="0.3">
      <c r="A12334">
        <v>12332</v>
      </c>
      <c r="B12334" t="s">
        <v>16075</v>
      </c>
      <c r="C12334" t="s">
        <v>227</v>
      </c>
      <c r="D12334">
        <v>-452.49804799258698</v>
      </c>
    </row>
    <row r="12335" spans="1:4" hidden="1" x14ac:dyDescent="0.3">
      <c r="A12335">
        <v>12333</v>
      </c>
      <c r="B12335" s="1" t="s">
        <v>16076</v>
      </c>
      <c r="C12335" t="s">
        <v>229</v>
      </c>
      <c r="D12335" s="1" t="s">
        <v>16077</v>
      </c>
    </row>
    <row r="12336" spans="1:4" hidden="1" x14ac:dyDescent="0.3">
      <c r="A12336">
        <v>12334</v>
      </c>
      <c r="B12336" t="s">
        <v>16078</v>
      </c>
      <c r="C12336" t="s">
        <v>112</v>
      </c>
      <c r="D12336">
        <v>115.232470993112</v>
      </c>
    </row>
    <row r="12337" spans="1:4" hidden="1" x14ac:dyDescent="0.3">
      <c r="A12337">
        <v>12335</v>
      </c>
      <c r="B12337" t="s">
        <v>16079</v>
      </c>
      <c r="C12337" t="s">
        <v>114</v>
      </c>
      <c r="D12337">
        <v>31.5362621489117</v>
      </c>
    </row>
    <row r="12338" spans="1:4" hidden="1" x14ac:dyDescent="0.3">
      <c r="A12338">
        <v>12336</v>
      </c>
      <c r="B12338" s="1" t="s">
        <v>16080</v>
      </c>
      <c r="C12338" t="s">
        <v>116</v>
      </c>
      <c r="D12338" s="1" t="s">
        <v>16081</v>
      </c>
    </row>
    <row r="12339" spans="1:4" hidden="1" x14ac:dyDescent="0.3">
      <c r="A12339">
        <v>12337</v>
      </c>
      <c r="B12339" t="s">
        <v>16082</v>
      </c>
      <c r="C12339" t="s">
        <v>119</v>
      </c>
      <c r="D12339">
        <v>79000738.110137001</v>
      </c>
    </row>
    <row r="12340" spans="1:4" hidden="1" x14ac:dyDescent="0.3">
      <c r="A12340">
        <v>12338</v>
      </c>
      <c r="B12340" t="s">
        <v>16083</v>
      </c>
      <c r="C12340" t="s">
        <v>121</v>
      </c>
      <c r="D12340">
        <v>38165998.269122504</v>
      </c>
    </row>
    <row r="12341" spans="1:4" hidden="1" x14ac:dyDescent="0.3">
      <c r="A12341">
        <v>12339</v>
      </c>
      <c r="B12341" s="1" t="s">
        <v>16084</v>
      </c>
      <c r="C12341" t="s">
        <v>123</v>
      </c>
      <c r="D12341" s="1" t="s">
        <v>16085</v>
      </c>
    </row>
    <row r="12342" spans="1:4" hidden="1" x14ac:dyDescent="0.3">
      <c r="A12342">
        <v>12340</v>
      </c>
      <c r="B12342" t="s">
        <v>16086</v>
      </c>
      <c r="C12342" t="s">
        <v>126</v>
      </c>
      <c r="D12342">
        <v>0.78071505880578096</v>
      </c>
    </row>
    <row r="12343" spans="1:4" hidden="1" x14ac:dyDescent="0.3">
      <c r="A12343">
        <v>12341</v>
      </c>
      <c r="B12343" t="s">
        <v>16087</v>
      </c>
      <c r="C12343" t="s">
        <v>128</v>
      </c>
      <c r="D12343">
        <v>0.37717077455047199</v>
      </c>
    </row>
    <row r="12344" spans="1:4" hidden="1" x14ac:dyDescent="0.3">
      <c r="A12344">
        <v>12342</v>
      </c>
      <c r="B12344" s="1" t="s">
        <v>16088</v>
      </c>
      <c r="C12344" t="s">
        <v>130</v>
      </c>
      <c r="D12344" s="1" t="s">
        <v>16089</v>
      </c>
    </row>
    <row r="12345" spans="1:4" hidden="1" x14ac:dyDescent="0.3">
      <c r="A12345">
        <v>12343</v>
      </c>
      <c r="B12345" s="1" t="s">
        <v>16090</v>
      </c>
      <c r="C12345" t="s">
        <v>4</v>
      </c>
      <c r="D12345" t="s">
        <v>16091</v>
      </c>
    </row>
    <row r="12346" spans="1:4" hidden="1" x14ac:dyDescent="0.3">
      <c r="A12346">
        <v>12344</v>
      </c>
      <c r="B12346" t="s">
        <v>16092</v>
      </c>
      <c r="C12346" t="s">
        <v>7</v>
      </c>
      <c r="D12346">
        <v>1096.1099999999999</v>
      </c>
    </row>
    <row r="12347" spans="1:4" hidden="1" x14ac:dyDescent="0.3">
      <c r="A12347">
        <v>12345</v>
      </c>
      <c r="B12347" s="1" t="s">
        <v>16093</v>
      </c>
      <c r="C12347" t="s">
        <v>9</v>
      </c>
      <c r="D12347" s="1" t="s">
        <v>16094</v>
      </c>
    </row>
    <row r="12348" spans="1:4" hidden="1" x14ac:dyDescent="0.3">
      <c r="A12348">
        <v>12346</v>
      </c>
      <c r="B12348" t="s">
        <v>16095</v>
      </c>
      <c r="C12348" t="s">
        <v>14</v>
      </c>
      <c r="D12348">
        <v>94.2421875</v>
      </c>
    </row>
    <row r="12349" spans="1:4" hidden="1" x14ac:dyDescent="0.3">
      <c r="A12349">
        <v>12347</v>
      </c>
      <c r="B12349" t="s">
        <v>16096</v>
      </c>
      <c r="C12349" t="s">
        <v>16</v>
      </c>
      <c r="D12349">
        <v>4.3457557045648603</v>
      </c>
    </row>
    <row r="12350" spans="1:4" hidden="1" x14ac:dyDescent="0.3">
      <c r="A12350">
        <v>12348</v>
      </c>
      <c r="B12350" s="1" t="s">
        <v>16097</v>
      </c>
      <c r="C12350" t="s">
        <v>140</v>
      </c>
      <c r="D12350" s="1" t="s">
        <v>16098</v>
      </c>
    </row>
    <row r="12351" spans="1:4" hidden="1" x14ac:dyDescent="0.3">
      <c r="A12351">
        <v>12349</v>
      </c>
      <c r="B12351" t="s">
        <v>16099</v>
      </c>
      <c r="C12351" t="s">
        <v>22</v>
      </c>
      <c r="D12351">
        <v>13.6</v>
      </c>
    </row>
    <row r="12352" spans="1:4" hidden="1" x14ac:dyDescent="0.3">
      <c r="A12352">
        <v>12350</v>
      </c>
      <c r="B12352" t="s">
        <v>16100</v>
      </c>
      <c r="C12352" t="s">
        <v>24</v>
      </c>
      <c r="D12352">
        <v>8.44672448235697</v>
      </c>
    </row>
    <row r="12353" spans="1:4" hidden="1" x14ac:dyDescent="0.3">
      <c r="A12353">
        <v>12351</v>
      </c>
      <c r="B12353" s="1" t="s">
        <v>16101</v>
      </c>
      <c r="C12353" t="s">
        <v>145</v>
      </c>
      <c r="D12353" s="1" t="s">
        <v>16102</v>
      </c>
    </row>
    <row r="12354" spans="1:4" hidden="1" x14ac:dyDescent="0.3">
      <c r="A12354">
        <v>12352</v>
      </c>
      <c r="B12354" t="s">
        <v>16103</v>
      </c>
      <c r="C12354" t="s">
        <v>35</v>
      </c>
      <c r="D12354">
        <v>-0.12200038702187101</v>
      </c>
    </row>
    <row r="12355" spans="1:4" hidden="1" x14ac:dyDescent="0.3">
      <c r="A12355">
        <v>12353</v>
      </c>
      <c r="B12355" t="s">
        <v>16104</v>
      </c>
      <c r="C12355" t="s">
        <v>149</v>
      </c>
      <c r="D12355">
        <v>0.732077776767878</v>
      </c>
    </row>
    <row r="12356" spans="1:4" hidden="1" x14ac:dyDescent="0.3">
      <c r="A12356">
        <v>12354</v>
      </c>
      <c r="B12356" s="1" t="s">
        <v>16105</v>
      </c>
      <c r="C12356" t="s">
        <v>151</v>
      </c>
      <c r="D12356" s="1" t="s">
        <v>16106</v>
      </c>
    </row>
    <row r="12357" spans="1:4" hidden="1" x14ac:dyDescent="0.3">
      <c r="A12357">
        <v>12355</v>
      </c>
      <c r="B12357" t="s">
        <v>16107</v>
      </c>
      <c r="C12357" t="s">
        <v>30</v>
      </c>
      <c r="D12357">
        <v>0.38763840122668902</v>
      </c>
    </row>
    <row r="12358" spans="1:4" hidden="1" x14ac:dyDescent="0.3">
      <c r="A12358">
        <v>12356</v>
      </c>
      <c r="B12358" t="s">
        <v>16108</v>
      </c>
      <c r="C12358" t="s">
        <v>32</v>
      </c>
      <c r="D12358">
        <v>0.30574940612552298</v>
      </c>
    </row>
    <row r="12359" spans="1:4" hidden="1" x14ac:dyDescent="0.3">
      <c r="A12359">
        <v>12357</v>
      </c>
      <c r="B12359" s="1" t="s">
        <v>16109</v>
      </c>
      <c r="C12359" t="s">
        <v>155</v>
      </c>
      <c r="D12359" s="1" t="s">
        <v>16110</v>
      </c>
    </row>
    <row r="12360" spans="1:4" hidden="1" x14ac:dyDescent="0.3">
      <c r="A12360">
        <v>12358</v>
      </c>
      <c r="B12360" t="s">
        <v>16111</v>
      </c>
      <c r="C12360" t="s">
        <v>40</v>
      </c>
      <c r="D12360">
        <v>0.73436198579518197</v>
      </c>
    </row>
    <row r="12361" spans="1:4" hidden="1" x14ac:dyDescent="0.3">
      <c r="A12361">
        <v>12359</v>
      </c>
      <c r="B12361" t="s">
        <v>16112</v>
      </c>
      <c r="C12361" t="s">
        <v>42</v>
      </c>
      <c r="D12361">
        <v>6.0225674302402603E-2</v>
      </c>
    </row>
    <row r="12362" spans="1:4" hidden="1" x14ac:dyDescent="0.3">
      <c r="A12362">
        <v>12360</v>
      </c>
      <c r="B12362" s="1" t="s">
        <v>16113</v>
      </c>
      <c r="C12362" t="s">
        <v>159</v>
      </c>
      <c r="D12362" s="1" t="s">
        <v>16114</v>
      </c>
    </row>
    <row r="12363" spans="1:4" hidden="1" x14ac:dyDescent="0.3">
      <c r="A12363">
        <v>12361</v>
      </c>
      <c r="B12363" t="s">
        <v>16115</v>
      </c>
      <c r="C12363" t="s">
        <v>161</v>
      </c>
      <c r="D12363">
        <v>0.59786948553475505</v>
      </c>
    </row>
    <row r="12364" spans="1:4" hidden="1" x14ac:dyDescent="0.3">
      <c r="A12364">
        <v>12362</v>
      </c>
      <c r="B12364" t="s">
        <v>16116</v>
      </c>
      <c r="C12364" t="s">
        <v>163</v>
      </c>
      <c r="D12364">
        <v>0.993876057520933</v>
      </c>
    </row>
    <row r="12365" spans="1:4" hidden="1" x14ac:dyDescent="0.3">
      <c r="A12365">
        <v>12363</v>
      </c>
      <c r="B12365" s="1" t="s">
        <v>16117</v>
      </c>
      <c r="C12365" t="s">
        <v>165</v>
      </c>
      <c r="D12365" s="1" t="s">
        <v>16118</v>
      </c>
    </row>
    <row r="12366" spans="1:4" hidden="1" x14ac:dyDescent="0.3">
      <c r="A12366">
        <v>12364</v>
      </c>
      <c r="B12366" t="s">
        <v>16119</v>
      </c>
      <c r="C12366" t="s">
        <v>168</v>
      </c>
      <c r="D12366">
        <v>1.05173089345171</v>
      </c>
    </row>
    <row r="12367" spans="1:4" hidden="1" x14ac:dyDescent="0.3">
      <c r="A12367">
        <v>12365</v>
      </c>
      <c r="B12367" t="s">
        <v>16120</v>
      </c>
      <c r="C12367" t="s">
        <v>170</v>
      </c>
      <c r="D12367">
        <v>1.0180094173540899</v>
      </c>
    </row>
    <row r="12368" spans="1:4" hidden="1" x14ac:dyDescent="0.3">
      <c r="A12368">
        <v>12366</v>
      </c>
      <c r="B12368" s="1" t="s">
        <v>16121</v>
      </c>
      <c r="C12368" t="s">
        <v>172</v>
      </c>
      <c r="D12368" s="1" t="s">
        <v>16122</v>
      </c>
    </row>
    <row r="12369" spans="1:4" hidden="1" x14ac:dyDescent="0.3">
      <c r="A12369">
        <v>12367</v>
      </c>
      <c r="B12369" s="1" t="s">
        <v>16123</v>
      </c>
      <c r="C12369" t="s">
        <v>55</v>
      </c>
      <c r="D12369" s="1" t="s">
        <v>16124</v>
      </c>
    </row>
    <row r="12370" spans="1:4" hidden="1" x14ac:dyDescent="0.3">
      <c r="A12370">
        <v>12368</v>
      </c>
      <c r="B12370" s="1" t="s">
        <v>16125</v>
      </c>
      <c r="C12370" t="s">
        <v>52</v>
      </c>
      <c r="D12370" s="1" t="s">
        <v>16126</v>
      </c>
    </row>
    <row r="12371" spans="1:4" hidden="1" x14ac:dyDescent="0.3">
      <c r="A12371">
        <v>12369</v>
      </c>
      <c r="B12371" s="1" t="s">
        <v>16127</v>
      </c>
      <c r="C12371" t="s">
        <v>58</v>
      </c>
      <c r="D12371" s="1" t="s">
        <v>16128</v>
      </c>
    </row>
    <row r="12372" spans="1:4" hidden="1" x14ac:dyDescent="0.3">
      <c r="A12372">
        <v>12370</v>
      </c>
      <c r="B12372" t="s">
        <v>16129</v>
      </c>
      <c r="C12372" t="s">
        <v>61</v>
      </c>
      <c r="D12372">
        <v>93210857.479863599</v>
      </c>
    </row>
    <row r="12373" spans="1:4" hidden="1" x14ac:dyDescent="0.3">
      <c r="A12373">
        <v>12371</v>
      </c>
      <c r="B12373" t="s">
        <v>16130</v>
      </c>
      <c r="C12373" t="s">
        <v>63</v>
      </c>
      <c r="D12373">
        <v>47232130.6507736</v>
      </c>
    </row>
    <row r="12374" spans="1:4" hidden="1" x14ac:dyDescent="0.3">
      <c r="A12374">
        <v>12372</v>
      </c>
      <c r="B12374" t="s">
        <v>16131</v>
      </c>
      <c r="C12374" t="s">
        <v>65</v>
      </c>
      <c r="D12374">
        <v>37932271.891066298</v>
      </c>
    </row>
    <row r="12375" spans="1:4" hidden="1" x14ac:dyDescent="0.3">
      <c r="A12375">
        <v>12373</v>
      </c>
      <c r="B12375" s="1" t="s">
        <v>16132</v>
      </c>
      <c r="C12375" t="s">
        <v>67</v>
      </c>
      <c r="D12375" s="1" t="s">
        <v>16133</v>
      </c>
    </row>
    <row r="12376" spans="1:4" hidden="1" x14ac:dyDescent="0.3">
      <c r="A12376">
        <v>12374</v>
      </c>
      <c r="B12376" s="1" t="s">
        <v>16134</v>
      </c>
      <c r="C12376" t="s">
        <v>70</v>
      </c>
      <c r="D12376" s="1" t="s">
        <v>16135</v>
      </c>
    </row>
    <row r="12377" spans="1:4" hidden="1" x14ac:dyDescent="0.3">
      <c r="A12377">
        <v>12375</v>
      </c>
      <c r="B12377" t="s">
        <v>16136</v>
      </c>
      <c r="C12377" t="s">
        <v>73</v>
      </c>
      <c r="D12377">
        <v>1.00056083817158</v>
      </c>
    </row>
    <row r="12378" spans="1:4" hidden="1" x14ac:dyDescent="0.3">
      <c r="A12378">
        <v>12376</v>
      </c>
      <c r="B12378" t="s">
        <v>74</v>
      </c>
      <c r="C12378" t="s">
        <v>75</v>
      </c>
      <c r="D12378">
        <v>2.7397260273972599E-3</v>
      </c>
    </row>
    <row r="12379" spans="1:4" hidden="1" x14ac:dyDescent="0.3">
      <c r="A12379">
        <v>12377</v>
      </c>
      <c r="B12379" t="s">
        <v>76</v>
      </c>
      <c r="C12379" t="s">
        <v>77</v>
      </c>
      <c r="D12379">
        <v>0</v>
      </c>
    </row>
    <row r="12380" spans="1:4" hidden="1" x14ac:dyDescent="0.3">
      <c r="A12380">
        <v>12378</v>
      </c>
      <c r="B12380" t="s">
        <v>650</v>
      </c>
      <c r="C12380" t="s">
        <v>79</v>
      </c>
      <c r="D12380" s="2">
        <v>2.2204460492503101E-16</v>
      </c>
    </row>
    <row r="12381" spans="1:4" hidden="1" x14ac:dyDescent="0.3">
      <c r="A12381">
        <v>12379</v>
      </c>
      <c r="B12381" s="1" t="s">
        <v>16137</v>
      </c>
      <c r="C12381" t="s">
        <v>81</v>
      </c>
      <c r="D12381" s="1" t="s">
        <v>16138</v>
      </c>
    </row>
    <row r="12382" spans="1:4" hidden="1" x14ac:dyDescent="0.3">
      <c r="A12382">
        <v>12380</v>
      </c>
      <c r="B12382" t="s">
        <v>16139</v>
      </c>
      <c r="C12382" t="s">
        <v>84</v>
      </c>
      <c r="D12382">
        <v>1.0005877459418</v>
      </c>
    </row>
    <row r="12383" spans="1:4" hidden="1" x14ac:dyDescent="0.3">
      <c r="A12383">
        <v>12381</v>
      </c>
      <c r="B12383" s="1" t="s">
        <v>16140</v>
      </c>
      <c r="C12383" t="s">
        <v>86</v>
      </c>
      <c r="D12383" s="1" t="s">
        <v>16141</v>
      </c>
    </row>
    <row r="12384" spans="1:4" hidden="1" x14ac:dyDescent="0.3">
      <c r="A12384">
        <v>12382</v>
      </c>
      <c r="B12384" t="s">
        <v>16142</v>
      </c>
      <c r="C12384" t="s">
        <v>89</v>
      </c>
      <c r="D12384">
        <v>101130340.536209</v>
      </c>
    </row>
    <row r="12385" spans="1:4" hidden="1" x14ac:dyDescent="0.3">
      <c r="A12385">
        <v>12383</v>
      </c>
      <c r="B12385" s="1" t="s">
        <v>16143</v>
      </c>
      <c r="C12385" t="s">
        <v>91</v>
      </c>
      <c r="D12385" s="1" t="s">
        <v>16077</v>
      </c>
    </row>
    <row r="12386" spans="1:4" hidden="1" x14ac:dyDescent="0.3">
      <c r="A12386">
        <v>12384</v>
      </c>
      <c r="B12386" t="s">
        <v>16144</v>
      </c>
      <c r="C12386" t="s">
        <v>94</v>
      </c>
      <c r="D12386">
        <v>47232130.6507736</v>
      </c>
    </row>
    <row r="12387" spans="1:4" hidden="1" x14ac:dyDescent="0.3">
      <c r="A12387">
        <v>12385</v>
      </c>
      <c r="B12387" t="s">
        <v>16145</v>
      </c>
      <c r="C12387" t="s">
        <v>96</v>
      </c>
      <c r="D12387">
        <v>37932271.891066298</v>
      </c>
    </row>
    <row r="12388" spans="1:4" hidden="1" x14ac:dyDescent="0.3">
      <c r="A12388">
        <v>12386</v>
      </c>
      <c r="B12388" t="s">
        <v>16146</v>
      </c>
      <c r="C12388" t="s">
        <v>98</v>
      </c>
      <c r="D12388">
        <v>8046454.9380236501</v>
      </c>
    </row>
    <row r="12389" spans="1:4" hidden="1" x14ac:dyDescent="0.3">
      <c r="A12389">
        <v>12387</v>
      </c>
      <c r="B12389" s="1" t="s">
        <v>16147</v>
      </c>
      <c r="C12389" t="s">
        <v>100</v>
      </c>
      <c r="D12389" s="1" t="s">
        <v>16148</v>
      </c>
    </row>
    <row r="12390" spans="1:4" hidden="1" x14ac:dyDescent="0.3">
      <c r="A12390">
        <v>12388</v>
      </c>
      <c r="B12390" t="s">
        <v>16149</v>
      </c>
      <c r="C12390" t="s">
        <v>103</v>
      </c>
      <c r="D12390">
        <v>7.4821391017940797E-3</v>
      </c>
    </row>
    <row r="12391" spans="1:4" hidden="1" x14ac:dyDescent="0.3">
      <c r="A12391">
        <v>12389</v>
      </c>
      <c r="B12391" t="s">
        <v>16150</v>
      </c>
      <c r="C12391" t="s">
        <v>105</v>
      </c>
      <c r="D12391">
        <v>1.98987068138142E-3</v>
      </c>
    </row>
    <row r="12392" spans="1:4" hidden="1" x14ac:dyDescent="0.3">
      <c r="A12392">
        <v>12390</v>
      </c>
      <c r="B12392" t="s">
        <v>16151</v>
      </c>
      <c r="C12392" t="s">
        <v>107</v>
      </c>
      <c r="D12392">
        <v>1.0013482048882701E-2</v>
      </c>
    </row>
    <row r="12393" spans="1:4" hidden="1" x14ac:dyDescent="0.3">
      <c r="A12393">
        <v>12391</v>
      </c>
      <c r="B12393" s="1" t="s">
        <v>16152</v>
      </c>
      <c r="C12393" t="s">
        <v>109</v>
      </c>
      <c r="D12393" s="1" t="s">
        <v>16153</v>
      </c>
    </row>
    <row r="12394" spans="1:4" x14ac:dyDescent="0.3">
      <c r="A12394">
        <v>12392</v>
      </c>
      <c r="B12394" t="s">
        <v>16154</v>
      </c>
      <c r="C12394" t="s">
        <v>207</v>
      </c>
      <c r="D12394">
        <v>93211831.163801804</v>
      </c>
    </row>
    <row r="12395" spans="1:4" hidden="1" x14ac:dyDescent="0.3">
      <c r="A12395">
        <v>12393</v>
      </c>
      <c r="B12395" t="s">
        <v>16155</v>
      </c>
      <c r="C12395" t="s">
        <v>209</v>
      </c>
      <c r="D12395">
        <v>-1270.21230069577</v>
      </c>
    </row>
    <row r="12396" spans="1:4" hidden="1" x14ac:dyDescent="0.3">
      <c r="A12396">
        <v>12394</v>
      </c>
      <c r="B12396" t="s">
        <v>16156</v>
      </c>
      <c r="C12396" t="s">
        <v>211</v>
      </c>
      <c r="D12396">
        <v>-1020.11274976458</v>
      </c>
    </row>
    <row r="12397" spans="1:4" hidden="1" x14ac:dyDescent="0.3">
      <c r="A12397">
        <v>12395</v>
      </c>
      <c r="B12397" s="1" t="s">
        <v>16157</v>
      </c>
      <c r="C12397" t="s">
        <v>213</v>
      </c>
      <c r="D12397" s="1" t="s">
        <v>16158</v>
      </c>
    </row>
    <row r="12398" spans="1:4" hidden="1" x14ac:dyDescent="0.3">
      <c r="A12398">
        <v>12396</v>
      </c>
      <c r="B12398" t="s">
        <v>16159</v>
      </c>
      <c r="C12398" t="s">
        <v>216</v>
      </c>
      <c r="D12398">
        <v>47233897.580262497</v>
      </c>
    </row>
    <row r="12399" spans="1:4" hidden="1" x14ac:dyDescent="0.3">
      <c r="A12399">
        <v>12397</v>
      </c>
      <c r="B12399" t="s">
        <v>16160</v>
      </c>
      <c r="C12399" t="s">
        <v>218</v>
      </c>
      <c r="D12399">
        <v>37933738.412316598</v>
      </c>
    </row>
    <row r="12400" spans="1:4" hidden="1" x14ac:dyDescent="0.3">
      <c r="A12400">
        <v>12398</v>
      </c>
      <c r="B12400" t="s">
        <v>16161</v>
      </c>
      <c r="C12400" t="s">
        <v>220</v>
      </c>
      <c r="D12400">
        <v>8046701.8878951902</v>
      </c>
    </row>
    <row r="12401" spans="1:4" hidden="1" x14ac:dyDescent="0.3">
      <c r="A12401">
        <v>12399</v>
      </c>
      <c r="B12401" s="1" t="s">
        <v>16162</v>
      </c>
      <c r="C12401" t="s">
        <v>222</v>
      </c>
      <c r="D12401" s="1" t="s">
        <v>16163</v>
      </c>
    </row>
    <row r="12402" spans="1:4" hidden="1" x14ac:dyDescent="0.3">
      <c r="A12402">
        <v>12400</v>
      </c>
      <c r="B12402" t="s">
        <v>16164</v>
      </c>
      <c r="C12402" t="s">
        <v>225</v>
      </c>
      <c r="D12402">
        <v>101133060.20288201</v>
      </c>
    </row>
    <row r="12403" spans="1:4" hidden="1" x14ac:dyDescent="0.3">
      <c r="A12403">
        <v>12401</v>
      </c>
      <c r="B12403" t="s">
        <v>16165</v>
      </c>
      <c r="C12403" t="s">
        <v>227</v>
      </c>
      <c r="D12403">
        <v>-2719.6666728258101</v>
      </c>
    </row>
    <row r="12404" spans="1:4" hidden="1" x14ac:dyDescent="0.3">
      <c r="A12404">
        <v>12402</v>
      </c>
      <c r="B12404" s="1" t="s">
        <v>16166</v>
      </c>
      <c r="C12404" t="s">
        <v>229</v>
      </c>
      <c r="D12404" s="1" t="s">
        <v>16167</v>
      </c>
    </row>
    <row r="12405" spans="1:4" hidden="1" x14ac:dyDescent="0.3">
      <c r="A12405">
        <v>12403</v>
      </c>
      <c r="B12405" t="s">
        <v>16168</v>
      </c>
      <c r="C12405" t="s">
        <v>112</v>
      </c>
      <c r="D12405">
        <v>496.71718828206099</v>
      </c>
    </row>
    <row r="12406" spans="1:4" hidden="1" x14ac:dyDescent="0.3">
      <c r="A12406">
        <v>12404</v>
      </c>
      <c r="B12406" t="s">
        <v>16169</v>
      </c>
      <c r="C12406" t="s">
        <v>114</v>
      </c>
      <c r="D12406">
        <v>446.40850056729698</v>
      </c>
    </row>
    <row r="12407" spans="1:4" hidden="1" x14ac:dyDescent="0.3">
      <c r="A12407">
        <v>12405</v>
      </c>
      <c r="B12407" s="1" t="s">
        <v>16170</v>
      </c>
      <c r="C12407" t="s">
        <v>116</v>
      </c>
      <c r="D12407" s="1" t="s">
        <v>16171</v>
      </c>
    </row>
    <row r="12408" spans="1:4" hidden="1" x14ac:dyDescent="0.3">
      <c r="A12408">
        <v>12406</v>
      </c>
      <c r="B12408" t="s">
        <v>16172</v>
      </c>
      <c r="C12408" t="s">
        <v>119</v>
      </c>
      <c r="D12408">
        <v>47233897.580262497</v>
      </c>
    </row>
    <row r="12409" spans="1:4" hidden="1" x14ac:dyDescent="0.3">
      <c r="A12409">
        <v>12407</v>
      </c>
      <c r="B12409" t="s">
        <v>16173</v>
      </c>
      <c r="C12409" t="s">
        <v>121</v>
      </c>
      <c r="D12409">
        <v>37933738.412316598</v>
      </c>
    </row>
    <row r="12410" spans="1:4" hidden="1" x14ac:dyDescent="0.3">
      <c r="A12410">
        <v>12408</v>
      </c>
      <c r="B12410" s="1" t="s">
        <v>16174</v>
      </c>
      <c r="C12410" t="s">
        <v>123</v>
      </c>
      <c r="D12410" s="1" t="s">
        <v>16175</v>
      </c>
    </row>
    <row r="12411" spans="1:4" hidden="1" x14ac:dyDescent="0.3">
      <c r="A12411">
        <v>12409</v>
      </c>
      <c r="B12411" t="s">
        <v>16176</v>
      </c>
      <c r="C12411" t="s">
        <v>126</v>
      </c>
      <c r="D12411">
        <v>0.46677270776823199</v>
      </c>
    </row>
    <row r="12412" spans="1:4" hidden="1" x14ac:dyDescent="0.3">
      <c r="A12412">
        <v>12410</v>
      </c>
      <c r="B12412" t="s">
        <v>16177</v>
      </c>
      <c r="C12412" t="s">
        <v>128</v>
      </c>
      <c r="D12412">
        <v>0.37486709125371298</v>
      </c>
    </row>
    <row r="12413" spans="1:4" hidden="1" x14ac:dyDescent="0.3">
      <c r="A12413">
        <v>12411</v>
      </c>
      <c r="B12413" s="1" t="s">
        <v>16178</v>
      </c>
      <c r="C12413" t="s">
        <v>130</v>
      </c>
      <c r="D12413" s="1" t="s">
        <v>16179</v>
      </c>
    </row>
  </sheetData>
  <autoFilter ref="A1:D12413" xr:uid="{9C371259-FE97-4B6E-84E1-43435C3E1CA6}">
    <filterColumn colId="2">
      <filters>
        <filter val="total_value_of_collaterals i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A76A-5BF4-47CC-90A5-7C139356B125}">
  <dimension ref="A1:E187"/>
  <sheetViews>
    <sheetView tabSelected="1" topLeftCell="A175" workbookViewId="0">
      <selection activeCell="B186" sqref="B186"/>
    </sheetView>
  </sheetViews>
  <sheetFormatPr defaultRowHeight="14.4" x14ac:dyDescent="0.3"/>
  <cols>
    <col min="2" max="2" width="9.21875" bestFit="1" customWidth="1"/>
    <col min="3" max="3" width="14.88671875" bestFit="1" customWidth="1"/>
  </cols>
  <sheetData>
    <row r="1" spans="1:5" x14ac:dyDescent="0.3">
      <c r="A1" t="s">
        <v>2</v>
      </c>
      <c r="B1" t="s">
        <v>70</v>
      </c>
    </row>
    <row r="2" spans="1:5" x14ac:dyDescent="0.3">
      <c r="A2" t="s">
        <v>5</v>
      </c>
      <c r="B2">
        <v>1.5</v>
      </c>
      <c r="C2">
        <v>150000000</v>
      </c>
    </row>
    <row r="3" spans="1:5" x14ac:dyDescent="0.3">
      <c r="A3" t="s">
        <v>133</v>
      </c>
      <c r="B3">
        <v>1.4981703264125401</v>
      </c>
      <c r="C3">
        <v>149817264.22930601</v>
      </c>
      <c r="D3">
        <f>STDEV(B2:B3)</f>
        <v>1.2937746010508061E-3</v>
      </c>
      <c r="E3">
        <f>STDEV(C2:C3)</f>
        <v>129213.70262306862</v>
      </c>
    </row>
    <row r="4" spans="1:5" x14ac:dyDescent="0.3">
      <c r="A4" t="s">
        <v>244</v>
      </c>
      <c r="B4">
        <v>1.48460113349942</v>
      </c>
      <c r="C4">
        <v>148460029.61613101</v>
      </c>
      <c r="D4">
        <f t="shared" ref="D4:D67" si="0">STDEV(B3:B4)</f>
        <v>9.5948683240956577E-3</v>
      </c>
      <c r="E4">
        <f t="shared" ref="E4:E67" si="1">STDEV(C3:C4)</f>
        <v>959709.79863714648</v>
      </c>
    </row>
    <row r="5" spans="1:5" x14ac:dyDescent="0.3">
      <c r="A5" t="s">
        <v>334</v>
      </c>
      <c r="B5">
        <v>1.4871089740428201</v>
      </c>
      <c r="C5">
        <v>148710498.01782101</v>
      </c>
      <c r="D5">
        <f t="shared" si="0"/>
        <v>1.773311054372718E-3</v>
      </c>
      <c r="E5">
        <f t="shared" si="1"/>
        <v>177107.90530795956</v>
      </c>
    </row>
    <row r="6" spans="1:5" x14ac:dyDescent="0.3">
      <c r="A6" t="s">
        <v>424</v>
      </c>
      <c r="B6">
        <v>1.4957817207227999</v>
      </c>
      <c r="C6">
        <v>149578205.123954</v>
      </c>
      <c r="D6">
        <f t="shared" si="0"/>
        <v>6.1325579889268747E-3</v>
      </c>
      <c r="E6">
        <f t="shared" si="1"/>
        <v>613561.57883038837</v>
      </c>
    </row>
    <row r="7" spans="1:5" x14ac:dyDescent="0.3">
      <c r="A7" t="s">
        <v>514</v>
      </c>
      <c r="B7">
        <v>1.5025998355959</v>
      </c>
      <c r="C7">
        <v>150259427.896835</v>
      </c>
      <c r="D7">
        <f t="shared" si="0"/>
        <v>4.8211352616779612E-3</v>
      </c>
      <c r="E7">
        <f t="shared" si="1"/>
        <v>481697.24220285931</v>
      </c>
    </row>
    <row r="8" spans="1:5" x14ac:dyDescent="0.3">
      <c r="A8" t="s">
        <v>604</v>
      </c>
      <c r="B8">
        <v>1.50567104668481</v>
      </c>
      <c r="C8">
        <v>150827949.140365</v>
      </c>
      <c r="D8">
        <f t="shared" si="0"/>
        <v>2.1716741874235486E-3</v>
      </c>
      <c r="E8">
        <f t="shared" si="1"/>
        <v>402005.22654867527</v>
      </c>
    </row>
    <row r="9" spans="1:5" x14ac:dyDescent="0.3">
      <c r="A9" t="s">
        <v>695</v>
      </c>
      <c r="B9">
        <v>1.4968212331295401</v>
      </c>
      <c r="C9">
        <v>150507395.08363301</v>
      </c>
      <c r="D9">
        <f t="shared" si="0"/>
        <v>6.2577631771679933E-3</v>
      </c>
      <c r="E9">
        <f t="shared" si="1"/>
        <v>226665.94725205371</v>
      </c>
    </row>
    <row r="10" spans="1:5" x14ac:dyDescent="0.3">
      <c r="A10" t="s">
        <v>785</v>
      </c>
      <c r="B10">
        <v>1.4971370366610099</v>
      </c>
      <c r="C10">
        <v>150539714.458711</v>
      </c>
      <c r="D10">
        <f t="shared" si="0"/>
        <v>2.233068186250054E-4</v>
      </c>
      <c r="E10">
        <f t="shared" si="1"/>
        <v>22853.249281360124</v>
      </c>
    </row>
    <row r="11" spans="1:5" x14ac:dyDescent="0.3">
      <c r="A11" t="s">
        <v>875</v>
      </c>
      <c r="B11">
        <v>1.49863655414407</v>
      </c>
      <c r="C11">
        <v>150691883.04844299</v>
      </c>
      <c r="D11">
        <f t="shared" si="0"/>
        <v>1.0603189807795788E-3</v>
      </c>
      <c r="E11">
        <f t="shared" si="1"/>
        <v>107599.44168308469</v>
      </c>
    </row>
    <row r="12" spans="1:5" x14ac:dyDescent="0.3">
      <c r="A12" t="s">
        <v>964</v>
      </c>
      <c r="B12">
        <v>1.509513461956</v>
      </c>
      <c r="C12">
        <v>151784412.346003</v>
      </c>
      <c r="D12">
        <f t="shared" si="0"/>
        <v>7.6911352721566071E-3</v>
      </c>
      <c r="E12">
        <f t="shared" si="1"/>
        <v>772534.87494965584</v>
      </c>
    </row>
    <row r="13" spans="1:5" x14ac:dyDescent="0.3">
      <c r="A13" t="s">
        <v>1054</v>
      </c>
      <c r="B13">
        <v>1.4912936823160501</v>
      </c>
      <c r="C13">
        <v>150904068.535685</v>
      </c>
      <c r="D13">
        <f t="shared" si="0"/>
        <v>1.2883329735133181E-2</v>
      </c>
      <c r="E13">
        <f t="shared" si="1"/>
        <v>622497.07805145672</v>
      </c>
    </row>
    <row r="14" spans="1:5" x14ac:dyDescent="0.3">
      <c r="A14" t="s">
        <v>1144</v>
      </c>
      <c r="B14">
        <v>1.4894286255985301</v>
      </c>
      <c r="C14">
        <v>150714647.371135</v>
      </c>
      <c r="D14">
        <f t="shared" si="0"/>
        <v>1.3187942522559289E-3</v>
      </c>
      <c r="E14">
        <f t="shared" si="1"/>
        <v>133940.98995356238</v>
      </c>
    </row>
    <row r="15" spans="1:5" x14ac:dyDescent="0.3">
      <c r="A15" t="s">
        <v>1234</v>
      </c>
      <c r="B15">
        <v>1.4928561445195301</v>
      </c>
      <c r="C15">
        <v>151063105.82024899</v>
      </c>
      <c r="D15">
        <f t="shared" si="0"/>
        <v>2.4236218716843102E-3</v>
      </c>
      <c r="E15">
        <f t="shared" si="1"/>
        <v>246397.33233025324</v>
      </c>
    </row>
    <row r="16" spans="1:5" x14ac:dyDescent="0.3">
      <c r="A16" t="s">
        <v>1323</v>
      </c>
      <c r="B16">
        <v>1.48946999020291</v>
      </c>
      <c r="C16">
        <v>150719492.951931</v>
      </c>
      <c r="D16">
        <f t="shared" si="0"/>
        <v>2.3943726794261287E-3</v>
      </c>
      <c r="E16">
        <f t="shared" si="1"/>
        <v>242970.98929061196</v>
      </c>
    </row>
    <row r="17" spans="1:5" x14ac:dyDescent="0.3">
      <c r="A17" t="s">
        <v>1413</v>
      </c>
      <c r="B17">
        <v>1.49477983953028</v>
      </c>
      <c r="C17">
        <v>151256234.607108</v>
      </c>
      <c r="D17">
        <f t="shared" si="0"/>
        <v>3.7546304664621533E-3</v>
      </c>
      <c r="E17">
        <f t="shared" si="1"/>
        <v>379533.66412094631</v>
      </c>
    </row>
    <row r="18" spans="1:5" x14ac:dyDescent="0.3">
      <c r="A18" t="s">
        <v>1504</v>
      </c>
      <c r="B18">
        <v>1.47669395519812</v>
      </c>
      <c r="C18">
        <v>149426858.45805401</v>
      </c>
      <c r="D18">
        <f t="shared" si="0"/>
        <v>1.2788651455025921E-2</v>
      </c>
      <c r="E18">
        <f t="shared" si="1"/>
        <v>1293564.2803370093</v>
      </c>
    </row>
    <row r="19" spans="1:5" x14ac:dyDescent="0.3">
      <c r="A19" t="s">
        <v>1594</v>
      </c>
      <c r="B19">
        <v>1.4858208782399001</v>
      </c>
      <c r="C19">
        <v>150350589.539747</v>
      </c>
      <c r="D19">
        <f t="shared" si="0"/>
        <v>6.4537091742104518E-3</v>
      </c>
      <c r="E19">
        <f t="shared" si="1"/>
        <v>653176.51185790054</v>
      </c>
    </row>
    <row r="20" spans="1:5" x14ac:dyDescent="0.3">
      <c r="A20" t="s">
        <v>1684</v>
      </c>
      <c r="B20">
        <v>1.48971882156545</v>
      </c>
      <c r="C20">
        <v>150744086.833774</v>
      </c>
      <c r="D20">
        <f t="shared" si="0"/>
        <v>2.7562621581772016E-3</v>
      </c>
      <c r="E20">
        <f t="shared" si="1"/>
        <v>278244.60498504894</v>
      </c>
    </row>
    <row r="21" spans="1:5" x14ac:dyDescent="0.3">
      <c r="A21" t="s">
        <v>1772</v>
      </c>
      <c r="B21">
        <v>1.4922685631955299</v>
      </c>
      <c r="C21">
        <v>151002047.17163101</v>
      </c>
      <c r="D21">
        <f t="shared" si="0"/>
        <v>1.8029395969031579E-3</v>
      </c>
      <c r="E21">
        <f t="shared" si="1"/>
        <v>182405.5041758632</v>
      </c>
    </row>
    <row r="22" spans="1:5" x14ac:dyDescent="0.3">
      <c r="A22" t="s">
        <v>1862</v>
      </c>
      <c r="B22">
        <v>1.4909174553853899</v>
      </c>
      <c r="C22">
        <v>150865832.76394901</v>
      </c>
      <c r="D22">
        <f t="shared" si="0"/>
        <v>9.5537749466412063E-4</v>
      </c>
      <c r="E22">
        <f t="shared" si="1"/>
        <v>96318.131367252281</v>
      </c>
    </row>
    <row r="23" spans="1:5" x14ac:dyDescent="0.3">
      <c r="A23" t="s">
        <v>1951</v>
      </c>
      <c r="B23">
        <v>1.49974757676601</v>
      </c>
      <c r="C23">
        <v>151759234.42972401</v>
      </c>
      <c r="D23">
        <f t="shared" si="0"/>
        <v>6.2438387069368032E-3</v>
      </c>
      <c r="E23">
        <f t="shared" si="1"/>
        <v>631730.37619286065</v>
      </c>
    </row>
    <row r="24" spans="1:5" x14ac:dyDescent="0.3">
      <c r="A24" t="s">
        <v>2041</v>
      </c>
      <c r="B24">
        <v>1.49031873726583</v>
      </c>
      <c r="C24">
        <v>150804807.07215801</v>
      </c>
      <c r="D24">
        <f t="shared" si="0"/>
        <v>6.6671963492968772E-3</v>
      </c>
      <c r="E24">
        <f t="shared" si="1"/>
        <v>674882.05668487563</v>
      </c>
    </row>
    <row r="25" spans="1:5" x14ac:dyDescent="0.3">
      <c r="A25" t="s">
        <v>2130</v>
      </c>
      <c r="B25">
        <v>1.47900941349146</v>
      </c>
      <c r="C25">
        <v>149661233.45096299</v>
      </c>
      <c r="D25">
        <f t="shared" si="0"/>
        <v>7.9968995314912642E-3</v>
      </c>
      <c r="E25">
        <f t="shared" si="1"/>
        <v>808628.66233305354</v>
      </c>
    </row>
    <row r="26" spans="1:5" x14ac:dyDescent="0.3">
      <c r="A26" t="s">
        <v>2220</v>
      </c>
      <c r="B26">
        <v>1.45705399261464</v>
      </c>
      <c r="C26">
        <v>147439031.951983</v>
      </c>
      <c r="D26">
        <f t="shared" si="0"/>
        <v>1.5524826985804123E-2</v>
      </c>
      <c r="E26">
        <f t="shared" si="1"/>
        <v>1571333.7490916587</v>
      </c>
    </row>
    <row r="27" spans="1:5" x14ac:dyDescent="0.3">
      <c r="A27" t="s">
        <v>2310</v>
      </c>
      <c r="B27">
        <v>1.4388948419196801</v>
      </c>
      <c r="C27">
        <v>145601362.16457701</v>
      </c>
      <c r="D27">
        <f t="shared" si="0"/>
        <v>1.2840458596994538E-2</v>
      </c>
      <c r="E27">
        <f t="shared" si="1"/>
        <v>1299428.7682564219</v>
      </c>
    </row>
    <row r="28" spans="1:5" x14ac:dyDescent="0.3">
      <c r="A28" t="s">
        <v>2400</v>
      </c>
      <c r="B28">
        <v>1.44397836799727</v>
      </c>
      <c r="C28">
        <v>146116802.4346</v>
      </c>
      <c r="D28">
        <f t="shared" si="0"/>
        <v>3.5945957618024583E-3</v>
      </c>
      <c r="E28">
        <f t="shared" si="1"/>
        <v>364471.31022988015</v>
      </c>
    </row>
    <row r="29" spans="1:5" x14ac:dyDescent="0.3">
      <c r="A29" t="s">
        <v>2489</v>
      </c>
      <c r="B29">
        <v>1.4505176917134199</v>
      </c>
      <c r="C29">
        <v>146777569.547492</v>
      </c>
      <c r="D29">
        <f t="shared" si="0"/>
        <v>4.6240001440636495E-3</v>
      </c>
      <c r="E29">
        <f t="shared" si="1"/>
        <v>467232.9063109915</v>
      </c>
    </row>
    <row r="30" spans="1:5" x14ac:dyDescent="0.3">
      <c r="A30" t="s">
        <v>2579</v>
      </c>
      <c r="B30">
        <v>1.4473779790852701</v>
      </c>
      <c r="C30">
        <v>146459637.37954801</v>
      </c>
      <c r="D30">
        <f t="shared" si="0"/>
        <v>2.2201120903417794E-3</v>
      </c>
      <c r="E30">
        <f t="shared" si="1"/>
        <v>224811.99191053156</v>
      </c>
    </row>
    <row r="31" spans="1:5" x14ac:dyDescent="0.3">
      <c r="A31" t="s">
        <v>2669</v>
      </c>
      <c r="B31">
        <v>1.4499976466829401</v>
      </c>
      <c r="C31">
        <v>146725336.36986601</v>
      </c>
      <c r="D31">
        <f t="shared" si="0"/>
        <v>1.8523847227671019E-3</v>
      </c>
      <c r="E31">
        <f t="shared" si="1"/>
        <v>187877.55780827685</v>
      </c>
    </row>
    <row r="32" spans="1:5" x14ac:dyDescent="0.3">
      <c r="A32" t="s">
        <v>2758</v>
      </c>
      <c r="B32">
        <v>1.4485683413143799</v>
      </c>
      <c r="C32">
        <v>146579967.16744199</v>
      </c>
      <c r="D32">
        <f t="shared" si="0"/>
        <v>1.0106715184951974E-3</v>
      </c>
      <c r="E32">
        <f t="shared" si="1"/>
        <v>102791.54880970414</v>
      </c>
    </row>
    <row r="33" spans="1:5" x14ac:dyDescent="0.3">
      <c r="A33" t="s">
        <v>2848</v>
      </c>
      <c r="B33">
        <v>1.4500525999449101</v>
      </c>
      <c r="C33">
        <v>146729718.271056</v>
      </c>
      <c r="D33">
        <f t="shared" si="0"/>
        <v>1.0495293426825234E-3</v>
      </c>
      <c r="E33">
        <f t="shared" si="1"/>
        <v>105890.02085563044</v>
      </c>
    </row>
    <row r="34" spans="1:5" x14ac:dyDescent="0.3">
      <c r="A34" t="s">
        <v>2938</v>
      </c>
      <c r="B34">
        <v>1.44874793335632</v>
      </c>
      <c r="C34">
        <v>146598231.49240699</v>
      </c>
      <c r="D34">
        <f t="shared" si="0"/>
        <v>9.2253859197956192E-4</v>
      </c>
      <c r="E34">
        <f t="shared" si="1"/>
        <v>92975.192819084084</v>
      </c>
    </row>
    <row r="35" spans="1:5" x14ac:dyDescent="0.3">
      <c r="A35" t="s">
        <v>3028</v>
      </c>
      <c r="B35">
        <v>1.43474433284702</v>
      </c>
      <c r="C35">
        <v>145181769.41738901</v>
      </c>
      <c r="D35">
        <f t="shared" si="0"/>
        <v>9.9020408811534566E-3</v>
      </c>
      <c r="E35">
        <f t="shared" si="1"/>
        <v>1001589.938538788</v>
      </c>
    </row>
    <row r="36" spans="1:5" x14ac:dyDescent="0.3">
      <c r="A36" t="s">
        <v>3118</v>
      </c>
      <c r="B36">
        <v>1.4361752809598001</v>
      </c>
      <c r="C36">
        <v>145327323.60876301</v>
      </c>
      <c r="D36">
        <f t="shared" si="0"/>
        <v>1.0118331140729056E-3</v>
      </c>
      <c r="E36">
        <f t="shared" si="1"/>
        <v>102922.35575068263</v>
      </c>
    </row>
    <row r="37" spans="1:5" x14ac:dyDescent="0.3">
      <c r="A37" t="s">
        <v>3208</v>
      </c>
      <c r="B37">
        <v>1.4419948706404</v>
      </c>
      <c r="C37">
        <v>145915112.71542901</v>
      </c>
      <c r="D37">
        <f t="shared" si="0"/>
        <v>4.1150713268754604E-3</v>
      </c>
      <c r="E37">
        <f t="shared" si="1"/>
        <v>415629.66323111055</v>
      </c>
    </row>
    <row r="38" spans="1:5" x14ac:dyDescent="0.3">
      <c r="A38" t="s">
        <v>3298</v>
      </c>
      <c r="B38">
        <v>1.4528236654748099</v>
      </c>
      <c r="C38">
        <v>147011205.83894601</v>
      </c>
      <c r="D38">
        <f t="shared" si="0"/>
        <v>7.6571142594891008E-3</v>
      </c>
      <c r="E38">
        <f t="shared" si="1"/>
        <v>775054.8804508195</v>
      </c>
    </row>
    <row r="39" spans="1:5" x14ac:dyDescent="0.3">
      <c r="A39" t="s">
        <v>3388</v>
      </c>
      <c r="B39">
        <v>1.4535189742096499</v>
      </c>
      <c r="C39">
        <v>147081634.197889</v>
      </c>
      <c r="D39">
        <f t="shared" si="0"/>
        <v>4.9165752142362265E-4</v>
      </c>
      <c r="E39">
        <f t="shared" si="1"/>
        <v>49800.370196425305</v>
      </c>
    </row>
    <row r="40" spans="1:5" x14ac:dyDescent="0.3">
      <c r="A40" t="s">
        <v>3476</v>
      </c>
      <c r="B40">
        <v>1.4511345995134699</v>
      </c>
      <c r="C40">
        <v>146839655.75170499</v>
      </c>
      <c r="D40">
        <f t="shared" si="0"/>
        <v>1.6860075165585095E-3</v>
      </c>
      <c r="E40">
        <f t="shared" si="1"/>
        <v>171104.60019769703</v>
      </c>
    </row>
    <row r="41" spans="1:5" x14ac:dyDescent="0.3">
      <c r="A41" t="s">
        <v>3565</v>
      </c>
      <c r="B41">
        <v>1.4504984126039699</v>
      </c>
      <c r="C41">
        <v>146775078.038344</v>
      </c>
      <c r="D41">
        <f t="shared" si="0"/>
        <v>4.49852077809533E-4</v>
      </c>
      <c r="E41">
        <f t="shared" si="1"/>
        <v>45663.339031080715</v>
      </c>
    </row>
    <row r="42" spans="1:5" x14ac:dyDescent="0.3">
      <c r="A42" t="s">
        <v>3655</v>
      </c>
      <c r="B42">
        <v>1.4523500786875201</v>
      </c>
      <c r="C42">
        <v>146963695.78571299</v>
      </c>
      <c r="D42">
        <f t="shared" si="0"/>
        <v>1.3093256441714409E-3</v>
      </c>
      <c r="E42">
        <f t="shared" si="1"/>
        <v>133372.88821674488</v>
      </c>
    </row>
    <row r="43" spans="1:5" x14ac:dyDescent="0.3">
      <c r="A43" t="s">
        <v>3745</v>
      </c>
      <c r="B43">
        <v>1.4532645913956399</v>
      </c>
      <c r="C43">
        <v>147054317.41204599</v>
      </c>
      <c r="D43">
        <f t="shared" si="0"/>
        <v>6.4665813739279781E-4</v>
      </c>
      <c r="E43">
        <f t="shared" si="1"/>
        <v>64079.166502216489</v>
      </c>
    </row>
    <row r="44" spans="1:5" x14ac:dyDescent="0.3">
      <c r="A44" t="s">
        <v>3834</v>
      </c>
      <c r="B44">
        <v>1.4592602080191801</v>
      </c>
      <c r="C44">
        <v>147662844.33207101</v>
      </c>
      <c r="D44">
        <f t="shared" si="0"/>
        <v>4.2395411719000674E-3</v>
      </c>
      <c r="E44">
        <f t="shared" si="1"/>
        <v>430293.51168425608</v>
      </c>
    </row>
    <row r="45" spans="1:5" x14ac:dyDescent="0.3">
      <c r="A45" t="s">
        <v>3922</v>
      </c>
      <c r="B45">
        <v>1.46296951813721</v>
      </c>
      <c r="C45">
        <v>148038073.51575801</v>
      </c>
      <c r="D45">
        <f t="shared" si="0"/>
        <v>2.6228783379828044E-3</v>
      </c>
      <c r="E45">
        <f t="shared" si="1"/>
        <v>265327.10028417141</v>
      </c>
    </row>
    <row r="46" spans="1:5" x14ac:dyDescent="0.3">
      <c r="A46" t="s">
        <v>4012</v>
      </c>
      <c r="B46">
        <v>1.4574558739912999</v>
      </c>
      <c r="C46">
        <v>147480104.887355</v>
      </c>
      <c r="D46">
        <f t="shared" si="0"/>
        <v>3.8987351646225035E-3</v>
      </c>
      <c r="E46">
        <f t="shared" si="1"/>
        <v>394543.40083312383</v>
      </c>
    </row>
    <row r="47" spans="1:5" x14ac:dyDescent="0.3">
      <c r="A47" t="s">
        <v>4102</v>
      </c>
      <c r="B47">
        <v>1.4554410118346099</v>
      </c>
      <c r="C47">
        <v>147277190.20331699</v>
      </c>
      <c r="D47">
        <f t="shared" si="0"/>
        <v>1.4247226941516513E-3</v>
      </c>
      <c r="E47">
        <f t="shared" si="1"/>
        <v>143482.34908560483</v>
      </c>
    </row>
    <row r="48" spans="1:5" x14ac:dyDescent="0.3">
      <c r="A48" t="s">
        <v>4191</v>
      </c>
      <c r="B48">
        <v>1.4550119072198699</v>
      </c>
      <c r="C48">
        <v>147233512.55949801</v>
      </c>
      <c r="D48">
        <f t="shared" si="0"/>
        <v>3.0342278292109115E-4</v>
      </c>
      <c r="E48">
        <f t="shared" si="1"/>
        <v>30884.758130647559</v>
      </c>
    </row>
    <row r="49" spans="1:5" x14ac:dyDescent="0.3">
      <c r="A49" t="s">
        <v>4281</v>
      </c>
      <c r="B49">
        <v>1.45244319083155</v>
      </c>
      <c r="C49">
        <v>146973014.98302299</v>
      </c>
      <c r="D49">
        <f t="shared" si="0"/>
        <v>1.8163567771260201E-3</v>
      </c>
      <c r="E49">
        <f t="shared" si="1"/>
        <v>184199.60280815087</v>
      </c>
    </row>
    <row r="50" spans="1:5" x14ac:dyDescent="0.3">
      <c r="A50" t="s">
        <v>4371</v>
      </c>
      <c r="B50">
        <v>1.45717274920633</v>
      </c>
      <c r="C50">
        <v>147451726.103737</v>
      </c>
      <c r="D50">
        <f t="shared" si="0"/>
        <v>3.3443027988245308E-3</v>
      </c>
      <c r="E50">
        <f t="shared" si="1"/>
        <v>338499.87968628755</v>
      </c>
    </row>
    <row r="51" spans="1:5" x14ac:dyDescent="0.3">
      <c r="A51" t="s">
        <v>4461</v>
      </c>
      <c r="B51">
        <v>1.4536832936838699</v>
      </c>
      <c r="C51">
        <v>147098024.906854</v>
      </c>
      <c r="D51">
        <f t="shared" si="0"/>
        <v>2.4674176625803482E-3</v>
      </c>
      <c r="E51">
        <f t="shared" si="1"/>
        <v>250104.51482976248</v>
      </c>
    </row>
    <row r="52" spans="1:5" x14ac:dyDescent="0.3">
      <c r="A52" t="s">
        <v>4550</v>
      </c>
      <c r="B52">
        <v>1.4507645535665601</v>
      </c>
      <c r="C52">
        <v>146803955.09059501</v>
      </c>
      <c r="D52">
        <f t="shared" si="0"/>
        <v>2.0638609294710208E-3</v>
      </c>
      <c r="E52">
        <f t="shared" si="1"/>
        <v>207938.76121901863</v>
      </c>
    </row>
    <row r="53" spans="1:5" x14ac:dyDescent="0.3">
      <c r="A53" t="s">
        <v>4640</v>
      </c>
      <c r="B53">
        <v>1.45330785074517</v>
      </c>
      <c r="C53">
        <v>147059981.38459</v>
      </c>
      <c r="D53">
        <f t="shared" si="0"/>
        <v>1.7983826815676774E-3</v>
      </c>
      <c r="E53">
        <f t="shared" si="1"/>
        <v>181037.92864592018</v>
      </c>
    </row>
    <row r="54" spans="1:5" x14ac:dyDescent="0.3">
      <c r="A54" t="s">
        <v>4730</v>
      </c>
      <c r="B54">
        <v>1.4582078678471999</v>
      </c>
      <c r="C54">
        <v>147554822.029102</v>
      </c>
      <c r="D54">
        <f t="shared" si="0"/>
        <v>3.4648353207754105E-3</v>
      </c>
      <c r="E54">
        <f t="shared" si="1"/>
        <v>349905.17534115532</v>
      </c>
    </row>
    <row r="55" spans="1:5" x14ac:dyDescent="0.3">
      <c r="A55" t="s">
        <v>4819</v>
      </c>
      <c r="B55">
        <v>1.4640458381847301</v>
      </c>
      <c r="C55">
        <v>148146406.720579</v>
      </c>
      <c r="D55">
        <f t="shared" si="0"/>
        <v>4.1280684140335196E-3</v>
      </c>
      <c r="E55">
        <f t="shared" si="1"/>
        <v>418313.54698953877</v>
      </c>
    </row>
    <row r="56" spans="1:5" x14ac:dyDescent="0.3">
      <c r="A56" t="s">
        <v>4908</v>
      </c>
      <c r="B56">
        <v>1.45645026664463</v>
      </c>
      <c r="C56">
        <v>147378195.95718399</v>
      </c>
      <c r="D56">
        <f t="shared" si="0"/>
        <v>5.3708801429923677E-3</v>
      </c>
      <c r="E56">
        <f t="shared" si="1"/>
        <v>543207.04017710697</v>
      </c>
    </row>
    <row r="57" spans="1:5" x14ac:dyDescent="0.3">
      <c r="A57" t="s">
        <v>4997</v>
      </c>
      <c r="B57">
        <v>1.4592606930348999</v>
      </c>
      <c r="C57">
        <v>147662829.33915201</v>
      </c>
      <c r="D57">
        <f t="shared" si="0"/>
        <v>1.9872715585855195E-3</v>
      </c>
      <c r="E57">
        <f t="shared" si="1"/>
        <v>201266.1945416487</v>
      </c>
    </row>
    <row r="58" spans="1:5" x14ac:dyDescent="0.3">
      <c r="A58" t="s">
        <v>5086</v>
      </c>
      <c r="B58">
        <v>1.4567376006114601</v>
      </c>
      <c r="C58">
        <v>147407708.35945699</v>
      </c>
      <c r="D58">
        <f t="shared" si="0"/>
        <v>1.7840957621747132E-3</v>
      </c>
      <c r="E58">
        <f t="shared" si="1"/>
        <v>180397.77476530563</v>
      </c>
    </row>
    <row r="59" spans="1:5" x14ac:dyDescent="0.3">
      <c r="A59" t="s">
        <v>5175</v>
      </c>
      <c r="B59">
        <v>1.4555837828293099</v>
      </c>
      <c r="C59">
        <v>147290937.102626</v>
      </c>
      <c r="D59">
        <f t="shared" si="0"/>
        <v>8.1587237801201452E-4</v>
      </c>
      <c r="E59">
        <f t="shared" si="1"/>
        <v>82569.747552869216</v>
      </c>
    </row>
    <row r="60" spans="1:5" x14ac:dyDescent="0.3">
      <c r="A60" t="s">
        <v>5265</v>
      </c>
      <c r="B60">
        <v>1.4505850976136401</v>
      </c>
      <c r="C60">
        <v>146783494.826702</v>
      </c>
      <c r="D60">
        <f t="shared" si="0"/>
        <v>3.5346042130170682E-3</v>
      </c>
      <c r="E60">
        <f t="shared" si="1"/>
        <v>358815.87436659355</v>
      </c>
    </row>
    <row r="61" spans="1:5" x14ac:dyDescent="0.3">
      <c r="A61" t="s">
        <v>5354</v>
      </c>
      <c r="B61">
        <v>1.43152002258884</v>
      </c>
      <c r="C61">
        <v>144853524.52172101</v>
      </c>
      <c r="D61">
        <f t="shared" si="0"/>
        <v>1.3481043833866392E-2</v>
      </c>
      <c r="E61">
        <f t="shared" si="1"/>
        <v>1364695.0901407297</v>
      </c>
    </row>
    <row r="62" spans="1:5" x14ac:dyDescent="0.3">
      <c r="A62" t="s">
        <v>5444</v>
      </c>
      <c r="B62">
        <v>1.4155042591840601</v>
      </c>
      <c r="C62">
        <v>143234312.87255999</v>
      </c>
      <c r="D62">
        <f t="shared" si="0"/>
        <v>1.1324854909399251E-2</v>
      </c>
      <c r="E62">
        <f t="shared" si="1"/>
        <v>1144955.5372980037</v>
      </c>
    </row>
    <row r="63" spans="1:5" x14ac:dyDescent="0.3">
      <c r="A63" t="s">
        <v>5534</v>
      </c>
      <c r="B63">
        <v>1.41169438385171</v>
      </c>
      <c r="C63">
        <v>142849404.74926299</v>
      </c>
      <c r="D63">
        <f t="shared" si="0"/>
        <v>2.6939886829801143E-3</v>
      </c>
      <c r="E63">
        <f t="shared" si="1"/>
        <v>272171.14411710057</v>
      </c>
    </row>
    <row r="64" spans="1:5" x14ac:dyDescent="0.3">
      <c r="A64" t="s">
        <v>5624</v>
      </c>
      <c r="B64">
        <v>1.4213975898967399</v>
      </c>
      <c r="C64">
        <v>143831289.57401401</v>
      </c>
      <c r="D64">
        <f t="shared" si="0"/>
        <v>6.8612027936909743E-3</v>
      </c>
      <c r="E64">
        <f t="shared" si="1"/>
        <v>694297.41792561067</v>
      </c>
    </row>
    <row r="65" spans="1:5" x14ac:dyDescent="0.3">
      <c r="A65" t="s">
        <v>5713</v>
      </c>
      <c r="B65">
        <v>1.4219783952963601</v>
      </c>
      <c r="C65">
        <v>143888692.731603</v>
      </c>
      <c r="D65">
        <f t="shared" si="0"/>
        <v>4.106914366211582E-4</v>
      </c>
      <c r="E65">
        <f t="shared" si="1"/>
        <v>40590.161992693822</v>
      </c>
    </row>
    <row r="66" spans="1:5" x14ac:dyDescent="0.3">
      <c r="A66" t="s">
        <v>5802</v>
      </c>
      <c r="B66">
        <v>1.43559338552288</v>
      </c>
      <c r="C66">
        <v>145267069.973712</v>
      </c>
      <c r="D66">
        <f t="shared" si="0"/>
        <v>9.6272519149607945E-3</v>
      </c>
      <c r="E66">
        <f t="shared" si="1"/>
        <v>974659.89492848597</v>
      </c>
    </row>
    <row r="67" spans="1:5" x14ac:dyDescent="0.3">
      <c r="A67" t="s">
        <v>5892</v>
      </c>
      <c r="B67">
        <v>1.44028272564431</v>
      </c>
      <c r="C67">
        <v>145741218.748959</v>
      </c>
      <c r="D67">
        <f t="shared" si="0"/>
        <v>3.3158641991533539E-3</v>
      </c>
      <c r="E67">
        <f t="shared" si="1"/>
        <v>335273.81426845532</v>
      </c>
    </row>
    <row r="68" spans="1:5" x14ac:dyDescent="0.3">
      <c r="A68" t="s">
        <v>5982</v>
      </c>
      <c r="B68">
        <v>1.4395126308274</v>
      </c>
      <c r="C68">
        <v>145663559.03559899</v>
      </c>
      <c r="D68">
        <f t="shared" ref="D68:D131" si="2">STDEV(B67:B68)</f>
        <v>5.44539267193701E-4</v>
      </c>
      <c r="E68">
        <f t="shared" ref="E68:E131" si="3">STDEV(C67:C68)</f>
        <v>54913.70994186771</v>
      </c>
    </row>
    <row r="69" spans="1:5" x14ac:dyDescent="0.3">
      <c r="A69" t="s">
        <v>6072</v>
      </c>
      <c r="B69">
        <v>1.44136709449648</v>
      </c>
      <c r="C69">
        <v>145851300.55279601</v>
      </c>
      <c r="D69">
        <f t="shared" si="2"/>
        <v>1.3113038358705835E-3</v>
      </c>
      <c r="E69">
        <f t="shared" si="3"/>
        <v>132753.29992025867</v>
      </c>
    </row>
    <row r="70" spans="1:5" x14ac:dyDescent="0.3">
      <c r="A70" t="s">
        <v>6162</v>
      </c>
      <c r="B70">
        <v>1.4357817621367699</v>
      </c>
      <c r="C70">
        <v>145286264.512555</v>
      </c>
      <c r="D70">
        <f t="shared" si="2"/>
        <v>3.9494263867317072E-3</v>
      </c>
      <c r="E70">
        <f t="shared" si="3"/>
        <v>399540.81566920818</v>
      </c>
    </row>
    <row r="71" spans="1:5" x14ac:dyDescent="0.3">
      <c r="A71" t="s">
        <v>6251</v>
      </c>
      <c r="B71">
        <v>1.43959493389867</v>
      </c>
      <c r="C71">
        <v>145671595.72236401</v>
      </c>
      <c r="D71">
        <f t="shared" si="2"/>
        <v>2.6963196106686181E-3</v>
      </c>
      <c r="E71">
        <f t="shared" si="3"/>
        <v>272470.3114587639</v>
      </c>
    </row>
    <row r="72" spans="1:5" x14ac:dyDescent="0.3">
      <c r="A72" t="s">
        <v>6340</v>
      </c>
      <c r="B72">
        <v>1.4477142777543699</v>
      </c>
      <c r="C72">
        <v>146494083.855342</v>
      </c>
      <c r="D72">
        <f t="shared" si="2"/>
        <v>5.7412430991507293E-3</v>
      </c>
      <c r="E72">
        <f t="shared" si="3"/>
        <v>581586.93627420114</v>
      </c>
    </row>
    <row r="73" spans="1:5" x14ac:dyDescent="0.3">
      <c r="A73" t="s">
        <v>6428</v>
      </c>
      <c r="B73">
        <v>1.4443735107917299</v>
      </c>
      <c r="C73">
        <v>146155962.883302</v>
      </c>
      <c r="D73">
        <f t="shared" si="2"/>
        <v>2.362278973646703E-3</v>
      </c>
      <c r="E73">
        <f t="shared" si="3"/>
        <v>239087.63219086934</v>
      </c>
    </row>
    <row r="74" spans="1:5" x14ac:dyDescent="0.3">
      <c r="A74" t="s">
        <v>6517</v>
      </c>
      <c r="B74">
        <v>1.43582695994473</v>
      </c>
      <c r="C74">
        <v>145290530.38285199</v>
      </c>
      <c r="D74">
        <f t="shared" si="2"/>
        <v>6.0433240596693E-3</v>
      </c>
      <c r="E74">
        <f t="shared" si="3"/>
        <v>611953.18972743547</v>
      </c>
    </row>
    <row r="75" spans="1:5" x14ac:dyDescent="0.3">
      <c r="A75" t="s">
        <v>6607</v>
      </c>
      <c r="B75">
        <v>1.43517031380278</v>
      </c>
      <c r="C75">
        <v>145224803.61478001</v>
      </c>
      <c r="D75">
        <f t="shared" si="2"/>
        <v>4.6431893981278317E-4</v>
      </c>
      <c r="E75">
        <f t="shared" si="3"/>
        <v>46475.843409172012</v>
      </c>
    </row>
    <row r="76" spans="1:5" x14ac:dyDescent="0.3">
      <c r="A76" t="s">
        <v>6697</v>
      </c>
      <c r="B76">
        <v>1.4465670016551699</v>
      </c>
      <c r="C76">
        <v>146376828.98572901</v>
      </c>
      <c r="D76">
        <f t="shared" si="2"/>
        <v>8.0586752634912474E-3</v>
      </c>
      <c r="E76">
        <f t="shared" si="3"/>
        <v>814604.95189698576</v>
      </c>
    </row>
    <row r="77" spans="1:5" x14ac:dyDescent="0.3">
      <c r="A77" t="s">
        <v>6787</v>
      </c>
      <c r="B77">
        <v>1.4455743063191699</v>
      </c>
      <c r="C77">
        <v>146276734.93734199</v>
      </c>
      <c r="D77">
        <f t="shared" si="2"/>
        <v>7.0194160373785374E-4</v>
      </c>
      <c r="E77">
        <f t="shared" si="3"/>
        <v>70777.180370876842</v>
      </c>
    </row>
    <row r="78" spans="1:5" x14ac:dyDescent="0.3">
      <c r="A78" t="s">
        <v>6876</v>
      </c>
      <c r="B78">
        <v>1.4453876169756401</v>
      </c>
      <c r="C78">
        <v>146258751.74641699</v>
      </c>
      <c r="D78">
        <f t="shared" si="2"/>
        <v>1.320093007852101E-4</v>
      </c>
      <c r="E78">
        <f t="shared" si="3"/>
        <v>12716.036250441366</v>
      </c>
    </row>
    <row r="79" spans="1:5" x14ac:dyDescent="0.3">
      <c r="A79" t="s">
        <v>6966</v>
      </c>
      <c r="B79">
        <v>1.44467869274049</v>
      </c>
      <c r="C79">
        <v>146186342.558801</v>
      </c>
      <c r="D79">
        <f t="shared" si="2"/>
        <v>5.0128513402213732E-4</v>
      </c>
      <c r="E79">
        <f t="shared" si="3"/>
        <v>51201.02758347596</v>
      </c>
    </row>
    <row r="80" spans="1:5" x14ac:dyDescent="0.3">
      <c r="A80" t="s">
        <v>7055</v>
      </c>
      <c r="B80">
        <v>1.4446071120955599</v>
      </c>
      <c r="C80">
        <v>146179289.56424001</v>
      </c>
      <c r="D80">
        <f t="shared" si="2"/>
        <v>5.0615159431758481E-5</v>
      </c>
      <c r="E80">
        <f t="shared" si="3"/>
        <v>4987.2202817455727</v>
      </c>
    </row>
    <row r="81" spans="1:5" x14ac:dyDescent="0.3">
      <c r="A81" t="s">
        <v>7144</v>
      </c>
      <c r="B81">
        <v>1.4498371092143001</v>
      </c>
      <c r="C81">
        <v>146709080.45505801</v>
      </c>
      <c r="D81">
        <f t="shared" si="2"/>
        <v>3.6981664282472798E-3</v>
      </c>
      <c r="E81">
        <f t="shared" si="3"/>
        <v>374618.7315082695</v>
      </c>
    </row>
    <row r="82" spans="1:5" x14ac:dyDescent="0.3">
      <c r="A82" t="s">
        <v>7234</v>
      </c>
      <c r="B82">
        <v>1.4329905205942499</v>
      </c>
      <c r="C82">
        <v>145004021.11622399</v>
      </c>
      <c r="D82">
        <f t="shared" si="2"/>
        <v>1.19123370530976E-2</v>
      </c>
      <c r="E82">
        <f t="shared" si="3"/>
        <v>1205659.020814985</v>
      </c>
    </row>
    <row r="83" spans="1:5" x14ac:dyDescent="0.3">
      <c r="A83" t="s">
        <v>7324</v>
      </c>
      <c r="B83">
        <v>1.4293947627130099</v>
      </c>
      <c r="C83">
        <v>144641626.72444299</v>
      </c>
      <c r="D83">
        <f t="shared" si="2"/>
        <v>2.5425847813297783E-3</v>
      </c>
      <c r="E83">
        <f t="shared" si="3"/>
        <v>256251.53189232116</v>
      </c>
    </row>
    <row r="84" spans="1:5" x14ac:dyDescent="0.3">
      <c r="A84" t="s">
        <v>7414</v>
      </c>
      <c r="B84">
        <v>1.4318095394502</v>
      </c>
      <c r="C84">
        <v>144884874.73483399</v>
      </c>
      <c r="D84">
        <f t="shared" si="2"/>
        <v>1.7075050059186018E-3</v>
      </c>
      <c r="E84">
        <f t="shared" si="3"/>
        <v>172002.3176576097</v>
      </c>
    </row>
    <row r="85" spans="1:5" x14ac:dyDescent="0.3">
      <c r="A85" t="s">
        <v>7503</v>
      </c>
      <c r="B85">
        <v>1.4288753145136801</v>
      </c>
      <c r="C85">
        <v>144587814.66840401</v>
      </c>
      <c r="D85">
        <f t="shared" si="2"/>
        <v>2.074810350139851E-3</v>
      </c>
      <c r="E85">
        <f t="shared" si="3"/>
        <v>210053.18739235995</v>
      </c>
    </row>
    <row r="86" spans="1:5" x14ac:dyDescent="0.3">
      <c r="A86" t="s">
        <v>7593</v>
      </c>
      <c r="B86">
        <v>1.42912528558371</v>
      </c>
      <c r="C86">
        <v>144612940.08880401</v>
      </c>
      <c r="D86">
        <f t="shared" si="2"/>
        <v>1.7675623871858995E-4</v>
      </c>
      <c r="E86">
        <f t="shared" si="3"/>
        <v>17766.355144998332</v>
      </c>
    </row>
    <row r="87" spans="1:5" x14ac:dyDescent="0.3">
      <c r="A87" t="s">
        <v>7683</v>
      </c>
      <c r="B87">
        <v>1.4334110063977801</v>
      </c>
      <c r="C87">
        <v>145046771.09521201</v>
      </c>
      <c r="D87">
        <f t="shared" si="2"/>
        <v>3.0304622499012857E-3</v>
      </c>
      <c r="E87">
        <f t="shared" si="3"/>
        <v>306764.84652008559</v>
      </c>
    </row>
    <row r="88" spans="1:5" x14ac:dyDescent="0.3">
      <c r="A88" t="s">
        <v>7773</v>
      </c>
      <c r="B88">
        <v>1.4248505789585599</v>
      </c>
      <c r="C88">
        <v>144179854.343007</v>
      </c>
      <c r="D88">
        <f t="shared" si="2"/>
        <v>6.0531362921279544E-3</v>
      </c>
      <c r="E88">
        <f t="shared" si="3"/>
        <v>613002.71420838346</v>
      </c>
    </row>
    <row r="89" spans="1:5" x14ac:dyDescent="0.3">
      <c r="A89" t="s">
        <v>7862</v>
      </c>
      <c r="B89">
        <v>1.40324101094825</v>
      </c>
      <c r="C89">
        <v>141993461.73062</v>
      </c>
      <c r="D89">
        <f t="shared" si="2"/>
        <v>1.528027207860201E-2</v>
      </c>
      <c r="E89">
        <f t="shared" si="3"/>
        <v>1546013.0425550195</v>
      </c>
    </row>
    <row r="90" spans="1:5" x14ac:dyDescent="0.3">
      <c r="A90" t="s">
        <v>7952</v>
      </c>
      <c r="B90">
        <v>1.4020962828722401</v>
      </c>
      <c r="C90">
        <v>141877268.69242501</v>
      </c>
      <c r="D90">
        <f t="shared" si="2"/>
        <v>8.0944498516127221E-4</v>
      </c>
      <c r="E90">
        <f t="shared" si="3"/>
        <v>82160.885234340851</v>
      </c>
    </row>
    <row r="91" spans="1:5" x14ac:dyDescent="0.3">
      <c r="A91" t="s">
        <v>8042</v>
      </c>
      <c r="B91">
        <v>1.39974141205502</v>
      </c>
      <c r="C91">
        <v>141639483.195048</v>
      </c>
      <c r="D91">
        <f t="shared" si="2"/>
        <v>1.6651451236746242E-3</v>
      </c>
      <c r="E91">
        <f t="shared" si="3"/>
        <v>168139.73766309852</v>
      </c>
    </row>
    <row r="92" spans="1:5" x14ac:dyDescent="0.3">
      <c r="A92" t="s">
        <v>8131</v>
      </c>
      <c r="B92">
        <v>1.40441278671675</v>
      </c>
      <c r="C92">
        <v>142111634.51052901</v>
      </c>
      <c r="D92">
        <f t="shared" si="2"/>
        <v>3.3031607007722652E-3</v>
      </c>
      <c r="E92">
        <f t="shared" si="3"/>
        <v>333861.39692276908</v>
      </c>
    </row>
    <row r="93" spans="1:5" x14ac:dyDescent="0.3">
      <c r="A93" t="s">
        <v>8221</v>
      </c>
      <c r="B93">
        <v>1.39349554540198</v>
      </c>
      <c r="C93">
        <v>141008484.327279</v>
      </c>
      <c r="D93">
        <f t="shared" si="2"/>
        <v>7.7196553655238132E-3</v>
      </c>
      <c r="E93">
        <f t="shared" si="3"/>
        <v>780044.97524326469</v>
      </c>
    </row>
    <row r="94" spans="1:5" x14ac:dyDescent="0.3">
      <c r="A94" t="s">
        <v>8311</v>
      </c>
      <c r="B94">
        <v>1.3936334593561901</v>
      </c>
      <c r="C94">
        <v>141021410.376838</v>
      </c>
      <c r="D94">
        <f t="shared" si="2"/>
        <v>9.7519892242244429E-5</v>
      </c>
      <c r="E94">
        <f t="shared" si="3"/>
        <v>9140.09729712027</v>
      </c>
    </row>
    <row r="95" spans="1:5" x14ac:dyDescent="0.3">
      <c r="A95" t="s">
        <v>8401</v>
      </c>
      <c r="B95">
        <v>1.3905801095913199</v>
      </c>
      <c r="C95">
        <v>140713629.48611501</v>
      </c>
      <c r="D95">
        <f t="shared" si="2"/>
        <v>2.1590443240740338E-3</v>
      </c>
      <c r="E95">
        <f t="shared" si="3"/>
        <v>217633.954949862</v>
      </c>
    </row>
    <row r="96" spans="1:5" x14ac:dyDescent="0.3">
      <c r="A96" t="s">
        <v>8491</v>
      </c>
      <c r="B96">
        <v>1.38200187591983</v>
      </c>
      <c r="C96">
        <v>139844286.69236201</v>
      </c>
      <c r="D96">
        <f t="shared" si="2"/>
        <v>6.0657271997132901E-3</v>
      </c>
      <c r="E96">
        <f t="shared" si="3"/>
        <v>614718.18463840312</v>
      </c>
    </row>
    <row r="97" spans="1:5" x14ac:dyDescent="0.3">
      <c r="A97" t="s">
        <v>8581</v>
      </c>
      <c r="B97">
        <v>1.38287465998577</v>
      </c>
      <c r="C97">
        <v>139932423.90242499</v>
      </c>
      <c r="D97">
        <f t="shared" si="2"/>
        <v>6.1715153153769529E-4</v>
      </c>
      <c r="E97">
        <f t="shared" si="3"/>
        <v>62322.418910396831</v>
      </c>
    </row>
    <row r="98" spans="1:5" x14ac:dyDescent="0.3">
      <c r="A98" t="s">
        <v>8670</v>
      </c>
      <c r="B98">
        <v>1.4014238150851399</v>
      </c>
      <c r="C98">
        <v>141809688.15831301</v>
      </c>
      <c r="D98">
        <f t="shared" si="2"/>
        <v>1.3116233356045512E-2</v>
      </c>
      <c r="E98">
        <f t="shared" si="3"/>
        <v>1327426.2854175335</v>
      </c>
    </row>
    <row r="99" spans="1:5" x14ac:dyDescent="0.3">
      <c r="A99" t="s">
        <v>8760</v>
      </c>
      <c r="B99">
        <v>1.4037370152852</v>
      </c>
      <c r="C99">
        <v>142045191.53885001</v>
      </c>
      <c r="D99">
        <f t="shared" si="2"/>
        <v>1.6356795477045715E-3</v>
      </c>
      <c r="E99">
        <f t="shared" si="3"/>
        <v>166526.03737007102</v>
      </c>
    </row>
    <row r="100" spans="1:5" x14ac:dyDescent="0.3">
      <c r="A100" t="s">
        <v>8850</v>
      </c>
      <c r="B100">
        <v>1.3995010019799199</v>
      </c>
      <c r="C100">
        <v>141615342.24096799</v>
      </c>
      <c r="D100">
        <f t="shared" si="2"/>
        <v>2.9953137333600119E-3</v>
      </c>
      <c r="E100">
        <f t="shared" si="3"/>
        <v>303949.35342065297</v>
      </c>
    </row>
    <row r="101" spans="1:5" x14ac:dyDescent="0.3">
      <c r="A101" t="s">
        <v>8939</v>
      </c>
      <c r="B101">
        <v>1.3982271541846401</v>
      </c>
      <c r="C101">
        <v>141486354.913241</v>
      </c>
      <c r="D101">
        <f t="shared" si="2"/>
        <v>9.0074641424190533E-4</v>
      </c>
      <c r="E101">
        <f t="shared" si="3"/>
        <v>91207.814122886208</v>
      </c>
    </row>
    <row r="102" spans="1:5" x14ac:dyDescent="0.3">
      <c r="A102" t="s">
        <v>9029</v>
      </c>
      <c r="B102">
        <v>1.39711426423394</v>
      </c>
      <c r="C102">
        <v>141373637.06672999</v>
      </c>
      <c r="D102">
        <f t="shared" si="2"/>
        <v>7.8693203085434984E-4</v>
      </c>
      <c r="E102">
        <f t="shared" si="3"/>
        <v>79703.553628677022</v>
      </c>
    </row>
    <row r="103" spans="1:5" x14ac:dyDescent="0.3">
      <c r="A103" t="s">
        <v>9119</v>
      </c>
      <c r="B103">
        <v>1.3992236642342899</v>
      </c>
      <c r="C103">
        <v>141587902.84500101</v>
      </c>
      <c r="D103">
        <f t="shared" si="2"/>
        <v>1.4915710444822991E-3</v>
      </c>
      <c r="E103">
        <f t="shared" si="3"/>
        <v>151508.78479165107</v>
      </c>
    </row>
    <row r="104" spans="1:5" x14ac:dyDescent="0.3">
      <c r="A104" t="s">
        <v>9209</v>
      </c>
      <c r="B104">
        <v>1.4029591217245001</v>
      </c>
      <c r="C104">
        <v>141964171.07908201</v>
      </c>
      <c r="D104">
        <f t="shared" si="2"/>
        <v>2.6413673221617161E-3</v>
      </c>
      <c r="E104">
        <f t="shared" si="3"/>
        <v>266061.81986376236</v>
      </c>
    </row>
    <row r="105" spans="1:5" x14ac:dyDescent="0.3">
      <c r="A105" t="s">
        <v>9298</v>
      </c>
      <c r="B105">
        <v>1.40908128541205</v>
      </c>
      <c r="C105">
        <v>142585210.969823</v>
      </c>
      <c r="D105">
        <f t="shared" si="2"/>
        <v>4.329023459000588E-3</v>
      </c>
      <c r="E105">
        <f t="shared" si="3"/>
        <v>439141.51813030709</v>
      </c>
    </row>
    <row r="106" spans="1:5" x14ac:dyDescent="0.3">
      <c r="A106" t="s">
        <v>9388</v>
      </c>
      <c r="B106">
        <v>1.4065426019068901</v>
      </c>
      <c r="C106">
        <v>142327901.29124701</v>
      </c>
      <c r="D106">
        <f t="shared" si="2"/>
        <v>1.7951203217850382E-3</v>
      </c>
      <c r="E106">
        <f t="shared" si="3"/>
        <v>181945.41858601526</v>
      </c>
    </row>
    <row r="107" spans="1:5" x14ac:dyDescent="0.3">
      <c r="A107" t="s">
        <v>9478</v>
      </c>
      <c r="B107">
        <v>1.4094008064804899</v>
      </c>
      <c r="C107">
        <v>142618081.16509199</v>
      </c>
      <c r="D107">
        <f t="shared" si="2"/>
        <v>2.0210558360108694E-3</v>
      </c>
      <c r="E107">
        <f t="shared" si="3"/>
        <v>205188.15655964307</v>
      </c>
    </row>
    <row r="108" spans="1:5" x14ac:dyDescent="0.3">
      <c r="A108" t="s">
        <v>9567</v>
      </c>
      <c r="B108">
        <v>1.4138000366937</v>
      </c>
      <c r="C108">
        <v>143062303.53276899</v>
      </c>
      <c r="D108">
        <f t="shared" si="2"/>
        <v>3.1107255157615979E-3</v>
      </c>
      <c r="E108">
        <f t="shared" si="3"/>
        <v>314112.64853915269</v>
      </c>
    </row>
    <row r="109" spans="1:5" x14ac:dyDescent="0.3">
      <c r="A109" t="s">
        <v>9657</v>
      </c>
      <c r="B109">
        <v>1.4121957085478301</v>
      </c>
      <c r="C109">
        <v>142900758.04266</v>
      </c>
      <c r="D109">
        <f t="shared" si="2"/>
        <v>1.1344313111930971E-3</v>
      </c>
      <c r="E109">
        <f t="shared" si="3"/>
        <v>114229.91152617586</v>
      </c>
    </row>
    <row r="110" spans="1:5" x14ac:dyDescent="0.3">
      <c r="A110" t="s">
        <v>9747</v>
      </c>
      <c r="B110">
        <v>1.4187868432163799</v>
      </c>
      <c r="C110">
        <v>143567130.82597801</v>
      </c>
      <c r="D110">
        <f t="shared" si="2"/>
        <v>4.6606360198453677E-3</v>
      </c>
      <c r="E110">
        <f t="shared" si="3"/>
        <v>471196.71388232085</v>
      </c>
    </row>
    <row r="111" spans="1:5" x14ac:dyDescent="0.3">
      <c r="A111" t="s">
        <v>9836</v>
      </c>
      <c r="B111">
        <v>1.4262249401998599</v>
      </c>
      <c r="C111">
        <v>144318004.15756699</v>
      </c>
      <c r="D111">
        <f t="shared" si="2"/>
        <v>5.2595288161418896E-3</v>
      </c>
      <c r="E111">
        <f t="shared" si="3"/>
        <v>530947.62457870541</v>
      </c>
    </row>
    <row r="112" spans="1:5" x14ac:dyDescent="0.3">
      <c r="A112" t="s">
        <v>9926</v>
      </c>
      <c r="B112">
        <v>1.4184259438519899</v>
      </c>
      <c r="C112">
        <v>143530070.08351001</v>
      </c>
      <c r="D112">
        <f t="shared" si="2"/>
        <v>5.5147232040279656E-3</v>
      </c>
      <c r="E112">
        <f t="shared" si="3"/>
        <v>557153.52689363598</v>
      </c>
    </row>
    <row r="113" spans="1:5" x14ac:dyDescent="0.3">
      <c r="A113" t="s">
        <v>10016</v>
      </c>
      <c r="B113">
        <v>1.42141280233039</v>
      </c>
      <c r="C113">
        <v>143831228.30981001</v>
      </c>
      <c r="D113">
        <f t="shared" si="2"/>
        <v>2.1120278845212287E-3</v>
      </c>
      <c r="E113">
        <f t="shared" si="3"/>
        <v>212951.02402684366</v>
      </c>
    </row>
    <row r="114" spans="1:5" x14ac:dyDescent="0.3">
      <c r="A114" t="s">
        <v>10105</v>
      </c>
      <c r="B114">
        <v>1.4255551835053799</v>
      </c>
      <c r="C114">
        <v>144251032.41918999</v>
      </c>
      <c r="D114">
        <f t="shared" si="2"/>
        <v>2.9291058190948458E-3</v>
      </c>
      <c r="E114">
        <f t="shared" si="3"/>
        <v>296846.33251256082</v>
      </c>
    </row>
    <row r="115" spans="1:5" x14ac:dyDescent="0.3">
      <c r="A115" t="s">
        <v>10195</v>
      </c>
      <c r="B115">
        <v>1.41717779681713</v>
      </c>
      <c r="C115">
        <v>143404820.70905799</v>
      </c>
      <c r="D115">
        <f t="shared" si="2"/>
        <v>5.9237069358834488E-3</v>
      </c>
      <c r="E115">
        <f t="shared" si="3"/>
        <v>598362.03855380428</v>
      </c>
    </row>
    <row r="116" spans="1:5" x14ac:dyDescent="0.3">
      <c r="A116" t="s">
        <v>10285</v>
      </c>
      <c r="B116">
        <v>1.42026097820248</v>
      </c>
      <c r="C116">
        <v>143716485.347646</v>
      </c>
      <c r="D116">
        <f t="shared" si="2"/>
        <v>2.1801384652091332E-3</v>
      </c>
      <c r="E116">
        <f t="shared" si="3"/>
        <v>220380.17940163729</v>
      </c>
    </row>
    <row r="117" spans="1:5" x14ac:dyDescent="0.3">
      <c r="A117" t="s">
        <v>10375</v>
      </c>
      <c r="B117">
        <v>1.4183028324606699</v>
      </c>
      <c r="C117">
        <v>143517489.25422299</v>
      </c>
      <c r="D117">
        <f t="shared" si="2"/>
        <v>1.38461813258547E-3</v>
      </c>
      <c r="E117">
        <f t="shared" si="3"/>
        <v>140711.48708904133</v>
      </c>
    </row>
    <row r="118" spans="1:5" x14ac:dyDescent="0.3">
      <c r="A118" t="s">
        <v>10465</v>
      </c>
      <c r="B118">
        <v>1.4075196767598399</v>
      </c>
      <c r="C118">
        <v>142427182.95003399</v>
      </c>
      <c r="D118">
        <f t="shared" si="2"/>
        <v>7.6248425186472672E-3</v>
      </c>
      <c r="E118">
        <f t="shared" si="3"/>
        <v>770962.98126248212</v>
      </c>
    </row>
    <row r="119" spans="1:5" x14ac:dyDescent="0.3">
      <c r="A119" t="s">
        <v>10554</v>
      </c>
      <c r="B119">
        <v>1.4212830333067701</v>
      </c>
      <c r="C119">
        <v>143819643.866409</v>
      </c>
      <c r="D119">
        <f t="shared" si="2"/>
        <v>9.7321627462225897E-3</v>
      </c>
      <c r="E119">
        <f t="shared" si="3"/>
        <v>984618.55650600453</v>
      </c>
    </row>
    <row r="120" spans="1:5" x14ac:dyDescent="0.3">
      <c r="A120" t="s">
        <v>10644</v>
      </c>
      <c r="B120">
        <v>1.43343875063632</v>
      </c>
      <c r="C120">
        <v>145048605.313492</v>
      </c>
      <c r="D120">
        <f t="shared" si="2"/>
        <v>8.5953901539115637E-3</v>
      </c>
      <c r="E120">
        <f t="shared" si="3"/>
        <v>869006.97304921912</v>
      </c>
    </row>
    <row r="121" spans="1:5" x14ac:dyDescent="0.3">
      <c r="A121" t="s">
        <v>10734</v>
      </c>
      <c r="B121">
        <v>1.4383579062066201</v>
      </c>
      <c r="C121">
        <v>145547923.17407501</v>
      </c>
      <c r="D121">
        <f t="shared" si="2"/>
        <v>3.4783682614707742E-3</v>
      </c>
      <c r="E121">
        <f t="shared" si="3"/>
        <v>353071.04518580361</v>
      </c>
    </row>
    <row r="122" spans="1:5" x14ac:dyDescent="0.3">
      <c r="A122" t="s">
        <v>10824</v>
      </c>
      <c r="B122">
        <v>1.44151533689617</v>
      </c>
      <c r="C122">
        <v>145867919.50851601</v>
      </c>
      <c r="D122">
        <f t="shared" si="2"/>
        <v>2.2326406517072356E-3</v>
      </c>
      <c r="E122">
        <f t="shared" si="3"/>
        <v>226271.57803807384</v>
      </c>
    </row>
    <row r="123" spans="1:5" x14ac:dyDescent="0.3">
      <c r="A123" t="s">
        <v>10913</v>
      </c>
      <c r="B123">
        <v>1.4498510288958599</v>
      </c>
      <c r="C123">
        <v>146709637.87108701</v>
      </c>
      <c r="D123">
        <f t="shared" si="2"/>
        <v>5.8942243388632343E-3</v>
      </c>
      <c r="E123">
        <f t="shared" si="3"/>
        <v>595184.7620231919</v>
      </c>
    </row>
    <row r="124" spans="1:5" x14ac:dyDescent="0.3">
      <c r="A124" t="s">
        <v>11003</v>
      </c>
      <c r="B124">
        <v>1.45998111274106</v>
      </c>
      <c r="C124">
        <v>147734515.25447401</v>
      </c>
      <c r="D124">
        <f t="shared" si="2"/>
        <v>7.1630509809292794E-3</v>
      </c>
      <c r="E124">
        <f t="shared" si="3"/>
        <v>724697.74767767231</v>
      </c>
    </row>
    <row r="125" spans="1:5" x14ac:dyDescent="0.3">
      <c r="A125" t="s">
        <v>11092</v>
      </c>
      <c r="B125">
        <v>1.4584929691911499</v>
      </c>
      <c r="C125">
        <v>147583701.478212</v>
      </c>
      <c r="D125">
        <f t="shared" si="2"/>
        <v>1.0522763955204636E-3</v>
      </c>
      <c r="E125">
        <f t="shared" si="3"/>
        <v>106641.44389122164</v>
      </c>
    </row>
    <row r="126" spans="1:5" x14ac:dyDescent="0.3">
      <c r="A126" t="s">
        <v>11181</v>
      </c>
      <c r="B126">
        <v>1.4543108694778999</v>
      </c>
      <c r="C126">
        <v>147161210.96292701</v>
      </c>
      <c r="D126">
        <f t="shared" si="2"/>
        <v>2.9571910668373977E-3</v>
      </c>
      <c r="E126">
        <f t="shared" si="3"/>
        <v>298745.90834501182</v>
      </c>
    </row>
    <row r="127" spans="1:5" x14ac:dyDescent="0.3">
      <c r="A127" t="s">
        <v>11271</v>
      </c>
      <c r="B127">
        <v>1.4597238997868001</v>
      </c>
      <c r="C127">
        <v>147707807.201749</v>
      </c>
      <c r="D127">
        <f t="shared" si="2"/>
        <v>3.8275904381916211E-3</v>
      </c>
      <c r="E127">
        <f t="shared" si="3"/>
        <v>386501.90704208601</v>
      </c>
    </row>
    <row r="128" spans="1:5" x14ac:dyDescent="0.3">
      <c r="A128" t="s">
        <v>11360</v>
      </c>
      <c r="B128">
        <v>1.4565345054988299</v>
      </c>
      <c r="C128">
        <v>147386388.975196</v>
      </c>
      <c r="D128">
        <f t="shared" si="2"/>
        <v>2.2552423289013404E-3</v>
      </c>
      <c r="E128">
        <f t="shared" si="3"/>
        <v>227277.00759257542</v>
      </c>
    </row>
    <row r="129" spans="1:5" x14ac:dyDescent="0.3">
      <c r="A129" t="s">
        <v>11449</v>
      </c>
      <c r="B129">
        <v>1.4518132662296099</v>
      </c>
      <c r="C129">
        <v>146909490.13952601</v>
      </c>
      <c r="D129">
        <f t="shared" si="2"/>
        <v>3.3384203028696594E-3</v>
      </c>
      <c r="E129">
        <f t="shared" si="3"/>
        <v>337218.40064222197</v>
      </c>
    </row>
    <row r="130" spans="1:5" x14ac:dyDescent="0.3">
      <c r="A130" t="s">
        <v>11539</v>
      </c>
      <c r="B130">
        <v>1.4267078207130499</v>
      </c>
      <c r="C130">
        <v>144367523.30130601</v>
      </c>
      <c r="D130">
        <f t="shared" si="2"/>
        <v>1.7752230769468996E-2</v>
      </c>
      <c r="E130">
        <f t="shared" si="3"/>
        <v>1797441.9888566898</v>
      </c>
    </row>
    <row r="131" spans="1:5" x14ac:dyDescent="0.3">
      <c r="A131" t="s">
        <v>11628</v>
      </c>
      <c r="B131">
        <v>1.4202193662622999</v>
      </c>
      <c r="C131">
        <v>143711024.858731</v>
      </c>
      <c r="D131">
        <f t="shared" si="2"/>
        <v>4.5880301415453387E-3</v>
      </c>
      <c r="E131">
        <f t="shared" si="3"/>
        <v>464214.50058319519</v>
      </c>
    </row>
    <row r="132" spans="1:5" x14ac:dyDescent="0.3">
      <c r="A132" t="s">
        <v>11718</v>
      </c>
      <c r="B132">
        <v>1.42295332012527</v>
      </c>
      <c r="C132">
        <v>143988812.94263399</v>
      </c>
      <c r="D132">
        <f t="shared" ref="D132:D181" si="4">STDEV(B131:B132)</f>
        <v>1.9331973159572723E-3</v>
      </c>
      <c r="E132">
        <f t="shared" ref="E132:E181" si="5">STDEV(C131:C132)</f>
        <v>196425.83786061822</v>
      </c>
    </row>
    <row r="133" spans="1:5" x14ac:dyDescent="0.3">
      <c r="A133" t="s">
        <v>11808</v>
      </c>
      <c r="B133">
        <v>1.4268107373477701</v>
      </c>
      <c r="C133">
        <v>144379684.429654</v>
      </c>
      <c r="D133">
        <f t="shared" si="4"/>
        <v>2.7276058758956005E-3</v>
      </c>
      <c r="E133">
        <f t="shared" si="5"/>
        <v>276387.8790443227</v>
      </c>
    </row>
    <row r="134" spans="1:5" x14ac:dyDescent="0.3">
      <c r="A134" t="s">
        <v>11897</v>
      </c>
      <c r="B134">
        <v>1.4174513309907399</v>
      </c>
      <c r="C134">
        <v>143432658.81648901</v>
      </c>
      <c r="D134">
        <f t="shared" si="4"/>
        <v>6.6180997029364952E-3</v>
      </c>
      <c r="E134">
        <f t="shared" si="5"/>
        <v>669648.23302631336</v>
      </c>
    </row>
    <row r="135" spans="1:5" x14ac:dyDescent="0.3">
      <c r="A135" t="s">
        <v>11985</v>
      </c>
      <c r="B135">
        <v>1.4091297143728001</v>
      </c>
      <c r="C135">
        <v>142589215.85383901</v>
      </c>
      <c r="D135">
        <f t="shared" si="4"/>
        <v>5.8842715409799257E-3</v>
      </c>
      <c r="E135">
        <f t="shared" si="5"/>
        <v>596404.2384338876</v>
      </c>
    </row>
    <row r="136" spans="1:5" x14ac:dyDescent="0.3">
      <c r="A136" t="s">
        <v>12075</v>
      </c>
      <c r="B136">
        <v>1.40868183567107</v>
      </c>
      <c r="C136">
        <v>142544967.42991599</v>
      </c>
      <c r="D136">
        <f t="shared" si="4"/>
        <v>3.1669806714240283E-4</v>
      </c>
      <c r="E136">
        <f t="shared" si="5"/>
        <v>31288.360612781384</v>
      </c>
    </row>
    <row r="137" spans="1:5" x14ac:dyDescent="0.3">
      <c r="A137" t="s">
        <v>12163</v>
      </c>
      <c r="B137">
        <v>1.4039106998372901</v>
      </c>
      <c r="C137">
        <v>142062144.66907799</v>
      </c>
      <c r="D137">
        <f t="shared" si="4"/>
        <v>3.3737025020278717E-3</v>
      </c>
      <c r="E137">
        <f t="shared" si="5"/>
        <v>341407.24829976179</v>
      </c>
    </row>
    <row r="138" spans="1:5" x14ac:dyDescent="0.3">
      <c r="A138" t="s">
        <v>12253</v>
      </c>
      <c r="B138">
        <v>1.40997262513642</v>
      </c>
      <c r="C138">
        <v>142676609.95187199</v>
      </c>
      <c r="D138">
        <f t="shared" si="4"/>
        <v>4.2864284860610119E-3</v>
      </c>
      <c r="E138">
        <f t="shared" si="5"/>
        <v>434492.56826734613</v>
      </c>
    </row>
    <row r="139" spans="1:5" x14ac:dyDescent="0.3">
      <c r="A139" t="s">
        <v>12342</v>
      </c>
      <c r="B139">
        <v>1.4088389156835299</v>
      </c>
      <c r="C139">
        <v>142560431.777309</v>
      </c>
      <c r="D139">
        <f t="shared" si="4"/>
        <v>8.0165364203383912E-4</v>
      </c>
      <c r="E139">
        <f t="shared" si="5"/>
        <v>82150.375059365164</v>
      </c>
    </row>
    <row r="140" spans="1:5" x14ac:dyDescent="0.3">
      <c r="A140" t="s">
        <v>12432</v>
      </c>
      <c r="B140">
        <v>1.40943857339344</v>
      </c>
      <c r="C140">
        <v>142619747.850912</v>
      </c>
      <c r="D140">
        <f t="shared" si="4"/>
        <v>4.2402203306823177E-4</v>
      </c>
      <c r="E140">
        <f t="shared" si="5"/>
        <v>41942.79787804465</v>
      </c>
    </row>
    <row r="141" spans="1:5" x14ac:dyDescent="0.3">
      <c r="A141" t="s">
        <v>12522</v>
      </c>
      <c r="B141">
        <v>1.4094554306382401</v>
      </c>
      <c r="C141">
        <v>142623777.12846899</v>
      </c>
      <c r="D141">
        <f t="shared" si="4"/>
        <v>1.191987211023727E-5</v>
      </c>
      <c r="E141">
        <f t="shared" si="5"/>
        <v>2849.1294838272952</v>
      </c>
    </row>
    <row r="142" spans="1:5" x14ac:dyDescent="0.3">
      <c r="A142" t="s">
        <v>12611</v>
      </c>
      <c r="B142">
        <v>1.4094310851517</v>
      </c>
      <c r="C142">
        <v>142619762.88086301</v>
      </c>
      <c r="D142">
        <f t="shared" si="4"/>
        <v>1.7214858623767326E-5</v>
      </c>
      <c r="E142">
        <f t="shared" si="5"/>
        <v>2838.5017035499282</v>
      </c>
    </row>
    <row r="143" spans="1:5" x14ac:dyDescent="0.3">
      <c r="A143" t="s">
        <v>12700</v>
      </c>
      <c r="B143">
        <v>1.4116058778490399</v>
      </c>
      <c r="C143">
        <v>142840545.18790299</v>
      </c>
      <c r="D143">
        <f t="shared" si="4"/>
        <v>1.5378106639640182E-3</v>
      </c>
      <c r="E143">
        <f t="shared" si="5"/>
        <v>156116.66647397753</v>
      </c>
    </row>
    <row r="144" spans="1:5" x14ac:dyDescent="0.3">
      <c r="A144" t="s">
        <v>12790</v>
      </c>
      <c r="B144">
        <v>1.41303064910746</v>
      </c>
      <c r="C144">
        <v>142984551.04707399</v>
      </c>
      <c r="D144">
        <f t="shared" si="4"/>
        <v>1.0074654184685507E-3</v>
      </c>
      <c r="E144">
        <f t="shared" si="5"/>
        <v>101827.51955041126</v>
      </c>
    </row>
    <row r="145" spans="1:5" x14ac:dyDescent="0.3">
      <c r="A145" t="s">
        <v>12880</v>
      </c>
      <c r="B145">
        <v>1.4056647414613801</v>
      </c>
      <c r="C145">
        <v>142239317.60091799</v>
      </c>
      <c r="D145">
        <f t="shared" si="4"/>
        <v>5.2084832461369492E-3</v>
      </c>
      <c r="E145">
        <f t="shared" si="5"/>
        <v>526959.62334392406</v>
      </c>
    </row>
    <row r="146" spans="1:5" x14ac:dyDescent="0.3">
      <c r="A146" t="s">
        <v>12970</v>
      </c>
      <c r="B146">
        <v>1.40828136655086</v>
      </c>
      <c r="C146">
        <v>142503837.68424299</v>
      </c>
      <c r="D146">
        <f t="shared" si="4"/>
        <v>1.8502333445940989E-3</v>
      </c>
      <c r="E146">
        <f t="shared" si="5"/>
        <v>187043.94467913712</v>
      </c>
    </row>
    <row r="147" spans="1:5" x14ac:dyDescent="0.3">
      <c r="A147" t="s">
        <v>13059</v>
      </c>
      <c r="B147">
        <v>1.4202068551366001</v>
      </c>
      <c r="C147">
        <v>143710699.78593901</v>
      </c>
      <c r="D147">
        <f t="shared" si="4"/>
        <v>8.432593847939561E-3</v>
      </c>
      <c r="E147">
        <f t="shared" si="5"/>
        <v>853380.37606630055</v>
      </c>
    </row>
    <row r="148" spans="1:5" x14ac:dyDescent="0.3">
      <c r="A148" t="s">
        <v>13147</v>
      </c>
      <c r="B148">
        <v>1.4164494350880701</v>
      </c>
      <c r="C148">
        <v>143329313.62762201</v>
      </c>
      <c r="D148">
        <f t="shared" si="4"/>
        <v>2.6568971960818275E-3</v>
      </c>
      <c r="E148">
        <f t="shared" si="5"/>
        <v>269680.73879663664</v>
      </c>
    </row>
    <row r="149" spans="1:5" x14ac:dyDescent="0.3">
      <c r="A149" t="s">
        <v>13236</v>
      </c>
      <c r="B149">
        <v>1.41082795572786</v>
      </c>
      <c r="C149">
        <v>142761785.988895</v>
      </c>
      <c r="D149">
        <f t="shared" si="4"/>
        <v>3.9749861759047541E-3</v>
      </c>
      <c r="E149">
        <f t="shared" si="5"/>
        <v>401302.64185465738</v>
      </c>
    </row>
    <row r="150" spans="1:5" x14ac:dyDescent="0.3">
      <c r="A150" t="s">
        <v>13326</v>
      </c>
      <c r="B150">
        <v>1.4100203095923201</v>
      </c>
      <c r="C150">
        <v>142680538.30554101</v>
      </c>
      <c r="D150">
        <f t="shared" si="4"/>
        <v>5.7109205923941756E-4</v>
      </c>
      <c r="E150">
        <f t="shared" si="5"/>
        <v>57450.787855303926</v>
      </c>
    </row>
    <row r="151" spans="1:5" x14ac:dyDescent="0.3">
      <c r="A151" t="s">
        <v>13415</v>
      </c>
      <c r="B151">
        <v>1.4171165200418301</v>
      </c>
      <c r="C151">
        <v>143398812.77093601</v>
      </c>
      <c r="D151">
        <f t="shared" si="4"/>
        <v>5.0177785295753823E-3</v>
      </c>
      <c r="E151">
        <f t="shared" si="5"/>
        <v>507896.74523394916</v>
      </c>
    </row>
    <row r="152" spans="1:5" x14ac:dyDescent="0.3">
      <c r="A152" t="s">
        <v>13504</v>
      </c>
      <c r="B152">
        <v>1.4199675866664001</v>
      </c>
      <c r="C152">
        <v>143686476.36934701</v>
      </c>
      <c r="D152">
        <f t="shared" si="4"/>
        <v>2.0160085438481017E-3</v>
      </c>
      <c r="E152">
        <f t="shared" si="5"/>
        <v>203408.88113693747</v>
      </c>
    </row>
    <row r="153" spans="1:5" x14ac:dyDescent="0.3">
      <c r="A153" t="s">
        <v>13593</v>
      </c>
      <c r="B153">
        <v>1.4227735869315099</v>
      </c>
      <c r="C153">
        <v>143969280.43240499</v>
      </c>
      <c r="D153">
        <f t="shared" si="4"/>
        <v>1.9841418154703883E-3</v>
      </c>
      <c r="E153">
        <f t="shared" si="5"/>
        <v>199972.67073541193</v>
      </c>
    </row>
    <row r="154" spans="1:5" x14ac:dyDescent="0.3">
      <c r="A154" t="s">
        <v>13682</v>
      </c>
      <c r="B154">
        <v>1.4218336293382801</v>
      </c>
      <c r="C154">
        <v>143874295.88446301</v>
      </c>
      <c r="D154">
        <f t="shared" si="4"/>
        <v>6.6465038820061014E-4</v>
      </c>
      <c r="E154">
        <f t="shared" si="5"/>
        <v>67164.217957714733</v>
      </c>
    </row>
    <row r="155" spans="1:5" x14ac:dyDescent="0.3">
      <c r="A155" t="s">
        <v>13772</v>
      </c>
      <c r="B155">
        <v>1.42890811351382</v>
      </c>
      <c r="C155">
        <v>144591365.206541</v>
      </c>
      <c r="D155">
        <f t="shared" si="4"/>
        <v>5.0024157339211908E-3</v>
      </c>
      <c r="E155">
        <f t="shared" si="5"/>
        <v>507044.58022218698</v>
      </c>
    </row>
    <row r="156" spans="1:5" x14ac:dyDescent="0.3">
      <c r="A156" t="s">
        <v>13861</v>
      </c>
      <c r="B156">
        <v>1.4353326896879799</v>
      </c>
      <c r="C156">
        <v>145241792.07787201</v>
      </c>
      <c r="D156">
        <f t="shared" si="4"/>
        <v>4.5428613789980079E-3</v>
      </c>
      <c r="E156">
        <f t="shared" si="5"/>
        <v>459921.25138410454</v>
      </c>
    </row>
    <row r="157" spans="1:5" x14ac:dyDescent="0.3">
      <c r="A157" t="s">
        <v>13950</v>
      </c>
      <c r="B157">
        <v>1.42218034200351</v>
      </c>
      <c r="C157">
        <v>143910042.60616401</v>
      </c>
      <c r="D157">
        <f t="shared" si="4"/>
        <v>9.3001142362118764E-3</v>
      </c>
      <c r="E157">
        <f t="shared" si="5"/>
        <v>941689.08228632878</v>
      </c>
    </row>
    <row r="158" spans="1:5" x14ac:dyDescent="0.3">
      <c r="A158" t="s">
        <v>14038</v>
      </c>
      <c r="B158">
        <v>1.43008020415366</v>
      </c>
      <c r="C158">
        <v>144709292.127572</v>
      </c>
      <c r="D158">
        <f t="shared" si="4"/>
        <v>5.5860460968100321E-3</v>
      </c>
      <c r="E158">
        <f t="shared" si="5"/>
        <v>565154.75644769357</v>
      </c>
    </row>
    <row r="159" spans="1:5" x14ac:dyDescent="0.3">
      <c r="A159" t="s">
        <v>14128</v>
      </c>
      <c r="B159">
        <v>1.42448877064448</v>
      </c>
      <c r="C159">
        <v>144141508.24496299</v>
      </c>
      <c r="D159">
        <f t="shared" si="4"/>
        <v>3.9537405508948791E-3</v>
      </c>
      <c r="E159">
        <f t="shared" si="5"/>
        <v>401483.83364125743</v>
      </c>
    </row>
    <row r="160" spans="1:5" x14ac:dyDescent="0.3">
      <c r="A160" t="s">
        <v>14216</v>
      </c>
      <c r="B160">
        <v>1.4133773317842699</v>
      </c>
      <c r="C160">
        <v>143020117.59176201</v>
      </c>
      <c r="D160">
        <f t="shared" si="4"/>
        <v>7.8569737667942442E-3</v>
      </c>
      <c r="E160">
        <f t="shared" si="5"/>
        <v>792942.93523762783</v>
      </c>
    </row>
    <row r="161" spans="1:5" x14ac:dyDescent="0.3">
      <c r="A161" t="s">
        <v>14305</v>
      </c>
      <c r="B161">
        <v>1.41492827254956</v>
      </c>
      <c r="C161">
        <v>143176458.96282101</v>
      </c>
      <c r="D161">
        <f t="shared" si="4"/>
        <v>1.0966807323552509E-3</v>
      </c>
      <c r="E161">
        <f t="shared" si="5"/>
        <v>110550.0436558215</v>
      </c>
    </row>
    <row r="162" spans="1:5" x14ac:dyDescent="0.3">
      <c r="A162" t="s">
        <v>14394</v>
      </c>
      <c r="B162">
        <v>1.41670507226067</v>
      </c>
      <c r="C162">
        <v>143355900.999661</v>
      </c>
      <c r="D162">
        <f t="shared" si="4"/>
        <v>1.2563871245361794E-3</v>
      </c>
      <c r="E162">
        <f t="shared" si="5"/>
        <v>126884.68107948449</v>
      </c>
    </row>
    <row r="163" spans="1:5" x14ac:dyDescent="0.3">
      <c r="A163" t="s">
        <v>14483</v>
      </c>
      <c r="B163">
        <v>1.4235920255158401</v>
      </c>
      <c r="C163">
        <v>144052053.16699699</v>
      </c>
      <c r="D163">
        <f t="shared" si="4"/>
        <v>4.869811348445531E-3</v>
      </c>
      <c r="E163">
        <f t="shared" si="5"/>
        <v>492253.91826098866</v>
      </c>
    </row>
    <row r="164" spans="1:5" x14ac:dyDescent="0.3">
      <c r="A164" t="s">
        <v>14572</v>
      </c>
      <c r="B164">
        <v>1.4243313317652</v>
      </c>
      <c r="C164">
        <v>144128154.53891701</v>
      </c>
      <c r="D164">
        <f t="shared" si="4"/>
        <v>5.2276846229598974E-4</v>
      </c>
      <c r="E164">
        <f t="shared" si="5"/>
        <v>53811.796142245221</v>
      </c>
    </row>
    <row r="165" spans="1:5" x14ac:dyDescent="0.3">
      <c r="A165" t="s">
        <v>14662</v>
      </c>
      <c r="B165">
        <v>1.42294979387995</v>
      </c>
      <c r="C165">
        <v>143987696.677055</v>
      </c>
      <c r="D165">
        <f t="shared" si="4"/>
        <v>9.7689480712637817E-4</v>
      </c>
      <c r="E165">
        <f t="shared" si="5"/>
        <v>99318.706593586234</v>
      </c>
    </row>
    <row r="166" spans="1:5" x14ac:dyDescent="0.3">
      <c r="A166" t="s">
        <v>14751</v>
      </c>
      <c r="B166">
        <v>1.4204965536068299</v>
      </c>
      <c r="C166">
        <v>143740754.58376899</v>
      </c>
      <c r="D166">
        <f t="shared" si="4"/>
        <v>1.7347028330031644E-3</v>
      </c>
      <c r="E166">
        <f t="shared" si="5"/>
        <v>174614.42872293701</v>
      </c>
    </row>
    <row r="167" spans="1:5" x14ac:dyDescent="0.3">
      <c r="A167" t="s">
        <v>14840</v>
      </c>
      <c r="B167">
        <v>1.41640407264416</v>
      </c>
      <c r="C167">
        <v>143326488.27994701</v>
      </c>
      <c r="D167">
        <f t="shared" si="4"/>
        <v>2.8938210405807349E-3</v>
      </c>
      <c r="E167">
        <f t="shared" si="5"/>
        <v>292930.5126496093</v>
      </c>
    </row>
    <row r="168" spans="1:5" x14ac:dyDescent="0.3">
      <c r="A168" t="s">
        <v>14929</v>
      </c>
      <c r="B168">
        <v>1.42826931943469</v>
      </c>
      <c r="C168">
        <v>144525929.91872099</v>
      </c>
      <c r="D168">
        <f t="shared" si="4"/>
        <v>8.3899964660356999E-3</v>
      </c>
      <c r="E168">
        <f t="shared" si="5"/>
        <v>848133.3164145851</v>
      </c>
    </row>
    <row r="169" spans="1:5" x14ac:dyDescent="0.3">
      <c r="A169" t="s">
        <v>15018</v>
      </c>
      <c r="B169">
        <v>1.43241768902413</v>
      </c>
      <c r="C169">
        <v>144946039.06312501</v>
      </c>
      <c r="D169">
        <f t="shared" si="4"/>
        <v>2.9333402675610653E-3</v>
      </c>
      <c r="E169">
        <f t="shared" si="5"/>
        <v>297062.02484656381</v>
      </c>
    </row>
    <row r="170" spans="1:5" x14ac:dyDescent="0.3">
      <c r="A170" t="s">
        <v>15107</v>
      </c>
      <c r="B170">
        <v>1.43387214421001</v>
      </c>
      <c r="C170">
        <v>145093757.089762</v>
      </c>
      <c r="D170">
        <f t="shared" si="4"/>
        <v>1.0284551248676487E-3</v>
      </c>
      <c r="E170">
        <f t="shared" si="5"/>
        <v>104452.41833850922</v>
      </c>
    </row>
    <row r="171" spans="1:5" x14ac:dyDescent="0.3">
      <c r="A171" t="s">
        <v>15197</v>
      </c>
      <c r="B171">
        <v>1.43709449492744</v>
      </c>
      <c r="C171">
        <v>145419962.490953</v>
      </c>
      <c r="D171">
        <f t="shared" si="4"/>
        <v>2.278546043656121E-3</v>
      </c>
      <c r="E171">
        <f t="shared" si="5"/>
        <v>230662.05124183168</v>
      </c>
    </row>
    <row r="172" spans="1:5" x14ac:dyDescent="0.3">
      <c r="A172" t="s">
        <v>15286</v>
      </c>
      <c r="B172">
        <v>1.43641773574533</v>
      </c>
      <c r="C172">
        <v>145351525.07361501</v>
      </c>
      <c r="D172">
        <f t="shared" si="4"/>
        <v>4.7854100690021789E-4</v>
      </c>
      <c r="E172">
        <f t="shared" si="5"/>
        <v>48392.561886582174</v>
      </c>
    </row>
    <row r="173" spans="1:5" x14ac:dyDescent="0.3">
      <c r="A173" t="s">
        <v>15375</v>
      </c>
      <c r="B173">
        <v>1.4225901151389999</v>
      </c>
      <c r="C173">
        <v>143951618.04581901</v>
      </c>
      <c r="D173">
        <f t="shared" si="4"/>
        <v>9.7776042984108798E-3</v>
      </c>
      <c r="E173">
        <f t="shared" si="5"/>
        <v>989883.75238525646</v>
      </c>
    </row>
    <row r="174" spans="1:5" x14ac:dyDescent="0.3">
      <c r="A174" t="s">
        <v>15464</v>
      </c>
      <c r="B174">
        <v>1.4117198634997701</v>
      </c>
      <c r="C174">
        <v>142852122.60538599</v>
      </c>
      <c r="D174">
        <f t="shared" si="4"/>
        <v>7.6864286473035991E-3</v>
      </c>
      <c r="E174">
        <f t="shared" si="5"/>
        <v>777460.68181388197</v>
      </c>
    </row>
    <row r="175" spans="1:5" x14ac:dyDescent="0.3">
      <c r="A175" t="s">
        <v>15553</v>
      </c>
      <c r="B175">
        <v>1.40701537752983</v>
      </c>
      <c r="C175">
        <v>142377276.38635901</v>
      </c>
      <c r="D175">
        <f t="shared" si="4"/>
        <v>3.326573931341623E-3</v>
      </c>
      <c r="E175">
        <f t="shared" si="5"/>
        <v>335766.98149477213</v>
      </c>
    </row>
    <row r="176" spans="1:5" x14ac:dyDescent="0.3">
      <c r="A176" t="s">
        <v>15642</v>
      </c>
      <c r="B176">
        <v>1.4095449007927501</v>
      </c>
      <c r="C176">
        <v>142632140.949406</v>
      </c>
      <c r="D176">
        <f t="shared" si="4"/>
        <v>1.7886430523799306E-3</v>
      </c>
      <c r="E176">
        <f t="shared" si="5"/>
        <v>180216.4608146743</v>
      </c>
    </row>
    <row r="177" spans="1:5" x14ac:dyDescent="0.3">
      <c r="A177" t="s">
        <v>15731</v>
      </c>
      <c r="B177">
        <v>1.4126991452365101</v>
      </c>
      <c r="C177">
        <v>142951178.85602799</v>
      </c>
      <c r="D177">
        <f t="shared" si="4"/>
        <v>2.2303876357026866E-3</v>
      </c>
      <c r="E177">
        <f t="shared" si="5"/>
        <v>225593.8672279715</v>
      </c>
    </row>
    <row r="178" spans="1:5" x14ac:dyDescent="0.3">
      <c r="A178" t="s">
        <v>15821</v>
      </c>
      <c r="B178">
        <v>1.41857976736227</v>
      </c>
      <c r="C178">
        <v>143545732.12757099</v>
      </c>
      <c r="D178">
        <f t="shared" si="4"/>
        <v>4.1582277827204792E-3</v>
      </c>
      <c r="E178">
        <f t="shared" si="5"/>
        <v>420412.65008469939</v>
      </c>
    </row>
    <row r="179" spans="1:5" x14ac:dyDescent="0.3">
      <c r="A179" t="s">
        <v>15911</v>
      </c>
      <c r="B179">
        <v>1.4218161677535099</v>
      </c>
      <c r="C179">
        <v>143873476.18844101</v>
      </c>
      <c r="D179">
        <f t="shared" si="4"/>
        <v>2.2884806632805696E-3</v>
      </c>
      <c r="E179">
        <f t="shared" si="5"/>
        <v>231750.04793480888</v>
      </c>
    </row>
    <row r="180" spans="1:5" x14ac:dyDescent="0.3">
      <c r="A180" t="s">
        <v>16001</v>
      </c>
      <c r="B180">
        <v>1.42688631866807</v>
      </c>
      <c r="C180">
        <v>144386469.53036401</v>
      </c>
      <c r="D180">
        <f t="shared" si="4"/>
        <v>3.5851380933246153E-3</v>
      </c>
      <c r="E180">
        <f t="shared" si="5"/>
        <v>362741.07077730139</v>
      </c>
    </row>
    <row r="181" spans="1:5" x14ac:dyDescent="0.3">
      <c r="A181" t="s">
        <v>16091</v>
      </c>
      <c r="B181">
        <v>0.92114893377256002</v>
      </c>
      <c r="C181">
        <v>93211831.163801804</v>
      </c>
      <c r="D181">
        <f t="shared" si="4"/>
        <v>0.35761033435916584</v>
      </c>
      <c r="E181">
        <f t="shared" si="5"/>
        <v>36185933.813765317</v>
      </c>
    </row>
    <row r="182" spans="1:5" x14ac:dyDescent="0.3">
      <c r="A182" s="3" t="s">
        <v>16180</v>
      </c>
      <c r="B182" s="4">
        <f>MIN($B$2:B181)</f>
        <v>0.92114893377256002</v>
      </c>
      <c r="C182" s="3">
        <f>MIN($C$2:C181)</f>
        <v>93211831.163801804</v>
      </c>
    </row>
    <row r="183" spans="1:5" x14ac:dyDescent="0.3">
      <c r="A183" s="3" t="s">
        <v>16181</v>
      </c>
      <c r="B183" s="4">
        <f>MAX($B$2:B181)</f>
        <v>1.509513461956</v>
      </c>
      <c r="C183" s="3">
        <f>MAX($C$2:C181)</f>
        <v>151784412.346003</v>
      </c>
    </row>
    <row r="184" spans="1:5" x14ac:dyDescent="0.3">
      <c r="A184" s="3" t="s">
        <v>16182</v>
      </c>
      <c r="B184" s="4">
        <f>AVERAGE($B$2:B181)</f>
        <v>1.4345652300815779</v>
      </c>
      <c r="C184" s="3">
        <f>AVERAGE($C$2:C181)</f>
        <v>145074406.94029945</v>
      </c>
    </row>
    <row r="185" spans="1:5" x14ac:dyDescent="0.3">
      <c r="A185" s="3" t="s">
        <v>16183</v>
      </c>
      <c r="B185" s="4">
        <f>AVERAGE($D$2:D181)</f>
        <v>5.8072830784587116E-3</v>
      </c>
      <c r="C185" s="3">
        <f>AVERAGE($E$2:E181)</f>
        <v>582348.76207061915</v>
      </c>
    </row>
    <row r="186" spans="1:5" x14ac:dyDescent="0.3">
      <c r="A186" s="3" t="s">
        <v>16184</v>
      </c>
      <c r="B186" s="4">
        <f>-1.96*B185</f>
        <v>-1.1382274833779075E-2</v>
      </c>
      <c r="C186" s="3">
        <f>-1.96*C185</f>
        <v>-1141403.5736584135</v>
      </c>
    </row>
    <row r="187" spans="1:5" x14ac:dyDescent="0.3">
      <c r="A187" s="3"/>
      <c r="B187" s="4">
        <f>B186/B184</f>
        <v>-7.9343027386296061E-3</v>
      </c>
      <c r="C187" s="3">
        <f>C186/C184</f>
        <v>-7.8677114573911036E-3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extreme_test_180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u3546092@connect.hku.hk</cp:lastModifiedBy>
  <dcterms:created xsi:type="dcterms:W3CDTF">2026-02-21T06:26:52Z</dcterms:created>
  <dcterms:modified xsi:type="dcterms:W3CDTF">2026-02-21T14:37:03Z</dcterms:modified>
</cp:coreProperties>
</file>