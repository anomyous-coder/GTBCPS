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80FE934B-AF13-4FA1-A6CC-3568BF511507}" xr6:coauthVersionLast="47" xr6:coauthVersionMax="47" xr10:uidLastSave="{00000000-0000-0000-0000-000000000000}"/>
  <bookViews>
    <workbookView xWindow="1296" yWindow="4884" windowWidth="21204" windowHeight="8880" activeTab="1" xr2:uid="{21916E14-16E5-40F1-8EAC-E2EEE4712EAF}"/>
  </bookViews>
  <sheets>
    <sheet name="test_7" sheetId="1" r:id="rId1"/>
    <sheet name="Sheet1" sheetId="2" r:id="rId2"/>
  </sheets>
  <definedNames>
    <definedName name="_xlnm._FilterDatabase" localSheetId="0" hidden="1">test_7!$A$1:$D$476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D11" i="2"/>
  <c r="C11" i="2"/>
  <c r="B11" i="2"/>
  <c r="E10" i="2"/>
  <c r="D10" i="2"/>
  <c r="C10" i="2"/>
  <c r="B10" i="2"/>
  <c r="E9" i="2"/>
  <c r="D9" i="2"/>
  <c r="C9" i="2"/>
  <c r="B9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I3" i="2"/>
  <c r="H3" i="2"/>
  <c r="G3" i="2"/>
  <c r="F3" i="2"/>
  <c r="B12" i="2" s="1"/>
  <c r="B13" i="2" s="1"/>
  <c r="B14" i="2" s="1"/>
  <c r="D12" i="2" l="1"/>
  <c r="D13" i="2" s="1"/>
  <c r="D14" i="2" s="1"/>
  <c r="E12" i="2"/>
  <c r="E13" i="2" s="1"/>
  <c r="E14" i="2" s="1"/>
  <c r="C12" i="2"/>
  <c r="C13" i="2" s="1"/>
  <c r="C14" i="2" s="1"/>
</calcChain>
</file>

<file path=xl/sharedStrings.xml><?xml version="1.0" encoding="utf-8"?>
<sst xmlns="http://schemas.openxmlformats.org/spreadsheetml/2006/main" count="1153" uniqueCount="630">
  <si>
    <t>string</t>
  </si>
  <si>
    <t>name</t>
  </si>
  <si>
    <t>value</t>
  </si>
  <si>
    <t xml:space="preserve">date is: 2023-08-23 00:00:00
</t>
  </si>
  <si>
    <t>date is</t>
  </si>
  <si>
    <t xml:space="preserve"> 2023-08-23 00</t>
  </si>
  <si>
    <t>current price of gold is: 1915.48</t>
  </si>
  <si>
    <t>current price of gold is</t>
  </si>
  <si>
    <t xml:space="preserve"> predicted price of gold is: 1909.6688805724827</t>
  </si>
  <si>
    <t xml:space="preserve"> predicted price of gold is</t>
  </si>
  <si>
    <t xml:space="preserve">profit is: -5.811119427517269
</t>
  </si>
  <si>
    <t>profit is</t>
  </si>
  <si>
    <t xml:space="preserve"> -5.811119427517269
</t>
  </si>
  <si>
    <t>current price of tb is: 90.31640625</t>
  </si>
  <si>
    <t>current price of tb is</t>
  </si>
  <si>
    <t xml:space="preserve"> current price of tb option is: 4.196083681867483</t>
  </si>
  <si>
    <t xml:space="preserve"> current price of tb option is</t>
  </si>
  <si>
    <t>predicted price of tb is: 90.6323122333988</t>
  </si>
  <si>
    <t>predicted price of tb is</t>
  </si>
  <si>
    <t xml:space="preserve">profit is: 4.5119896652662845
</t>
  </si>
  <si>
    <t xml:space="preserve"> 4.5119896652662845
</t>
  </si>
  <si>
    <t>current price of reit is: 37.4</t>
  </si>
  <si>
    <t>current price of reit is</t>
  </si>
  <si>
    <t xml:space="preserve"> current price of reit option is: 6.4034909088090615</t>
  </si>
  <si>
    <t xml:space="preserve"> current price of reit option is</t>
  </si>
  <si>
    <t>predicted price of reit is: 37.85993129418935</t>
  </si>
  <si>
    <t>predicted price of reit is</t>
  </si>
  <si>
    <t xml:space="preserve">profit is: 6.863422202998414
</t>
  </si>
  <si>
    <t xml:space="preserve"> 6.863422202998414
</t>
  </si>
  <si>
    <t>value_ratio_tb_to_total is: 0.8108829133826414</t>
  </si>
  <si>
    <t>value_ratio_tb_to_total is</t>
  </si>
  <si>
    <t xml:space="preserve"> risk_ratio_tb_to_gold is: 0.3426231739257566
</t>
  </si>
  <si>
    <t xml:space="preserve"> risk_ratio_tb_to_gold is</t>
  </si>
  <si>
    <t xml:space="preserve"> 0.3426231739257566
</t>
  </si>
  <si>
    <t>value_ratio_gold_to_total is: -1.0443590967581646</t>
  </si>
  <si>
    <t>value_ratio_gold_to_total is</t>
  </si>
  <si>
    <t xml:space="preserve"> risk_ratio_gold_to_total is: 0.6163841388087224
</t>
  </si>
  <si>
    <t xml:space="preserve"> risk_ratio_gold_to_total is</t>
  </si>
  <si>
    <t xml:space="preserve"> 0.6163841388087224
</t>
  </si>
  <si>
    <t>value_ratio_reit_to_total is: 1.2334761833755232</t>
  </si>
  <si>
    <t>value_ratio_reit_to_total is</t>
  </si>
  <si>
    <t xml:space="preserve"> risk_ratio_reit_to_gold is: 0.27974173950742626
</t>
  </si>
  <si>
    <t xml:space="preserve"> risk_ratio_reit_to_gold is</t>
  </si>
  <si>
    <t xml:space="preserve"> 0.27974173950742626
</t>
  </si>
  <si>
    <t>average_risk_gold is: 0.005764253751592932</t>
  </si>
  <si>
    <t>average_risk_gold is</t>
  </si>
  <si>
    <t xml:space="preserve"> average_risk_tb is: 0.9112619303244184</t>
  </si>
  <si>
    <t xml:space="preserve"> average_risk_tb is</t>
  </si>
  <si>
    <t xml:space="preserve"> average_risk_reit is: 0.7440185513869717
</t>
  </si>
  <si>
    <t xml:space="preserve"> average_risk_reit is</t>
  </si>
  <si>
    <t xml:space="preserve"> 0.7440185513869717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</si>
  <si>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</si>
  <si>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</si>
  <si>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</si>
  <si>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</si>
  <si>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</si>
  <si>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</si>
  <si>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</si>
  <si>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</si>
  <si>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</si>
  <si>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</si>
  <si>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</si>
  <si>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</si>
  <si>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</si>
  <si>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</si>
  <si>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</si>
  <si>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</si>
  <si>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</si>
  <si>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</si>
  <si>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</si>
  <si>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</si>
  <si>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</si>
  <si>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</si>
  <si>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</si>
  <si>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</si>
  <si>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</si>
  <si>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</si>
  <si>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</si>
  <si>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</si>
  <si>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</si>
  <si>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0.006911402327341762
</t>
  </si>
  <si>
    <t>stdev_gtbcps is</t>
  </si>
  <si>
    <t xml:space="preserve"> 0.006911402327341762
</t>
  </si>
  <si>
    <t>predicted price of GTBCPS is: 1.0000104835899233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</si>
  <si>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</si>
  <si>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</si>
  <si>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</si>
  <si>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</si>
  <si>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99998951.65199812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</si>
  <si>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</si>
  <si>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</si>
  <si>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</si>
  <si>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</si>
  <si>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</si>
  <si>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</si>
  <si>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</si>
  <si>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</si>
  <si>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</si>
  <si>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</si>
  <si>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</si>
  <si>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</si>
  <si>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</si>
  <si>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0.007129913402239286</t>
  </si>
  <si>
    <t>predicted stdevs of gold is</t>
  </si>
  <si>
    <t xml:space="preserve"> predicted stdevs of tb is: 0.00197496691568422</t>
  </si>
  <si>
    <t xml:space="preserve"> predicted stdevs of tb is</t>
  </si>
  <si>
    <t xml:space="preserve"> predicted stdevs of reit is: 0.012910620009825085</t>
  </si>
  <si>
    <t xml:space="preserve"> predicted stdevs of reit is</t>
  </si>
  <si>
    <t xml:space="preserve"> predicted stdevs of GTBCPS is: 0.006911402327341762.
</t>
  </si>
  <si>
    <t xml:space="preserve"> predicted stdevs of GTBCPS is</t>
  </si>
  <si>
    <t xml:space="preserve"> 0.006911402327341762.
</t>
  </si>
  <si>
    <t>payout of tranche of gold is: 279.5594671673861</t>
  </si>
  <si>
    <t>payout of tranche of gold is</t>
  </si>
  <si>
    <t xml:space="preserve"> payout of tranche of Treausry Bill Option is: 54.66940691273328</t>
  </si>
  <si>
    <t xml:space="preserve"> payout of tranche of Treausry Bill Option is</t>
  </si>
  <si>
    <t xml:space="preserve"> payout of tranche of Collar of REIT is: 28.56476511190314
</t>
  </si>
  <si>
    <t xml:space="preserve"> payout of tranche of Collar of REIT is</t>
  </si>
  <si>
    <t xml:space="preserve"> 28.56476511190314
</t>
  </si>
  <si>
    <t>Collateral size of tranche of gold is: 80000279.55946717</t>
  </si>
  <si>
    <t>Collateral size of tranche of gold is</t>
  </si>
  <si>
    <t xml:space="preserve"> collateral size of tranche of Treausry Bill Option is: 40000054.66940691</t>
  </si>
  <si>
    <t xml:space="preserve"> collateral size of tranche of Treausry Bill Option is</t>
  </si>
  <si>
    <t xml:space="preserve"> collateral size of tranche of Collar of REIT is: 30000028.56476511
</t>
  </si>
  <si>
    <t xml:space="preserve"> collateral size of tranche of Collar of REIT is</t>
  </si>
  <si>
    <t xml:space="preserve"> 30000028.56476511
</t>
  </si>
  <si>
    <t>Collateral ratio of tranche of gold is: 0.8000027955946717</t>
  </si>
  <si>
    <t>Collateral ratio of tranche of gold is</t>
  </si>
  <si>
    <t xml:space="preserve"> collateral ratio of tranche of Treausry Bill Option is: 0.40000054669406915</t>
  </si>
  <si>
    <t xml:space="preserve"> collateral ratio of tranche of Treausry Bill Option is</t>
  </si>
  <si>
    <t xml:space="preserve"> collateral ratio of tranche of Collar of REIT is: 0.30000028564765113
</t>
  </si>
  <si>
    <t xml:space="preserve"> collateral ratio of tranche of Collar of REIT is</t>
  </si>
  <si>
    <t xml:space="preserve"> 0.30000028564765113
</t>
  </si>
  <si>
    <t xml:space="preserve"> predicted price of gold is: 1909.6688805724827
</t>
  </si>
  <si>
    <t xml:space="preserve"> 1909.6688805724827
</t>
  </si>
  <si>
    <t xml:space="preserve"> predicted price of tb is: 90.6323122333988
</t>
  </si>
  <si>
    <t xml:space="preserve"> predicted price of tb is</t>
  </si>
  <si>
    <t xml:space="preserve"> 90.6323122333988
</t>
  </si>
  <si>
    <t xml:space="preserve"> current price of reit option is: 6.398627847488335</t>
  </si>
  <si>
    <t xml:space="preserve"> predicted price of reit is: 37.9306551632259
</t>
  </si>
  <si>
    <t xml:space="preserve"> predicted price of reit is</t>
  </si>
  <si>
    <t xml:space="preserve"> 37.9306551632259
</t>
  </si>
  <si>
    <t>value_ratio_gold_to_total is: -1.032142318524529</t>
  </si>
  <si>
    <t xml:space="preserve"> risk_ratio_to_gold is: 0.6165606190630829</t>
  </si>
  <si>
    <t xml:space="preserve"> risk_ratio_to_gold is</t>
  </si>
  <si>
    <t xml:space="preserve"> risk_ratio_to_gold_before is: 0.6163841388087224
</t>
  </si>
  <si>
    <t xml:space="preserve"> risk_ratio_to_gold_before is</t>
  </si>
  <si>
    <t>value_ratio_tb_to_total is: 0.8013973094778247</t>
  </si>
  <si>
    <t xml:space="preserve"> risk_ratio_tb_to_gold is: 0.3422276854891332</t>
  </si>
  <si>
    <t xml:space="preserve"> risk_ratio_tb_to_gold_before is: 0.3426231739257566
</t>
  </si>
  <si>
    <t xml:space="preserve"> risk_ratio_tb_to_gold_before is</t>
  </si>
  <si>
    <t>value_ratio_reit_to_total is: 1.2307450090467043</t>
  </si>
  <si>
    <t xml:space="preserve"> risk_ratio_reit_to_gold is: 0.2796728528871036</t>
  </si>
  <si>
    <t xml:space="preserve"> risk_ratio_reit_to_gold_before is: 0.27974173950742626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</si>
  <si>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</si>
  <si>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</si>
  <si>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</si>
  <si>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</si>
  <si>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</si>
  <si>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0.9998889800511368
</t>
  </si>
  <si>
    <t xml:space="preserve"> delta_reit is</t>
  </si>
  <si>
    <t xml:space="preserve"> 0.9998889800511368
</t>
  </si>
  <si>
    <t>delta_gold_risk is: 1.0001091821245478</t>
  </si>
  <si>
    <t>delta_gold_risk is</t>
  </si>
  <si>
    <t xml:space="preserve"> delta_tb_risk is: 0.9997054360119028</t>
  </si>
  <si>
    <t xml:space="preserve"> delta_tb_risk is</t>
  </si>
  <si>
    <t xml:space="preserve"> delta_reit_risk is: 0.9999461714671046
</t>
  </si>
  <si>
    <t xml:space="preserve"> delta_reit_risk is</t>
  </si>
  <si>
    <t xml:space="preserve"> 0.9999461714671046
</t>
  </si>
  <si>
    <t xml:space="preserve">collateral_ratio_tranche_gold is: 0.7999154591253858
</t>
  </si>
  <si>
    <t xml:space="preserve"> 0.7999154591253858
</t>
  </si>
  <si>
    <t xml:space="preserve">collateral_ratio_tranche_tb is: 0.4001184071677956
</t>
  </si>
  <si>
    <t xml:space="preserve"> 0.4001184071677956
</t>
  </si>
  <si>
    <t xml:space="preserve">collateral_ratio_tranche_reit is: 0.2999831272829146
</t>
  </si>
  <si>
    <t xml:space="preserve"> 0.2999831272829146
</t>
  </si>
  <si>
    <t>Total plot size is: 149996669.4015341</t>
  </si>
  <si>
    <t xml:space="preserve"> plot size of REIT is: 29996669.401534103
</t>
  </si>
  <si>
    <t xml:space="preserve"> 29996669.401534103
</t>
  </si>
  <si>
    <t xml:space="preserve">collateral ratio is: 1.499966694015341
</t>
  </si>
  <si>
    <t xml:space="preserve"> 1.499966694015341
</t>
  </si>
  <si>
    <t>S_gtbcps_0 is: 1.0000104835899233</t>
  </si>
  <si>
    <t xml:space="preserve">stdev_gtbcps is: 0.006924329445170089
</t>
  </si>
  <si>
    <t xml:space="preserve"> 0.006924329445170089
</t>
  </si>
  <si>
    <t>predicted price of GTBCPS is: 0.9999882822758933</t>
  </si>
  <si>
    <t xml:space="preserve"> actual price is: 1.0000104835899233
</t>
  </si>
  <si>
    <t xml:space="preserve"> 1.0000104835899233
</t>
  </si>
  <si>
    <t>predicted amount of GTBCPS is: 100001171.78614134</t>
  </si>
  <si>
    <t xml:space="preserve"> actual amount is: 99998951.65199812
</t>
  </si>
  <si>
    <t xml:space="preserve"> 99998951.65199812
</t>
  </si>
  <si>
    <t xml:space="preserve"> plot sizes of reit is: 29996669.401534103</t>
  </si>
  <si>
    <t xml:space="preserve"> plot sizes of total is: 149996669.4015341.
</t>
  </si>
  <si>
    <t xml:space="preserve"> 149996669.4015341.
</t>
  </si>
  <si>
    <t>predicted stdevs of gold is: 0.007129403412146156</t>
  </si>
  <si>
    <t xml:space="preserve"> predicted stdevs of tb is: 0.0019781351391468327</t>
  </si>
  <si>
    <t xml:space="preserve"> predicted stdevs of reit is: 0.01297306280466651</t>
  </si>
  <si>
    <t xml:space="preserve"> predicted stdevs of GTBCPS is: 0.006924329445170089.
</t>
  </si>
  <si>
    <t xml:space="preserve"> 0.006924329445170089.
</t>
  </si>
  <si>
    <t>total_value_of_collaterals is: 149995901.0525514</t>
  </si>
  <si>
    <t>total_value_of_collaterals is</t>
  </si>
  <si>
    <t xml:space="preserve"> createdtionValue_gold is: 1776.0733583752867</t>
  </si>
  <si>
    <t xml:space="preserve"> createdtionValue_gold is</t>
  </si>
  <si>
    <t xml:space="preserve"> createdValue_tb is: 888.0406801747698</t>
  </si>
  <si>
    <t xml:space="preserve"> createdValue_tb is</t>
  </si>
  <si>
    <t xml:space="preserve"> createdValue_reit is: 665.9571528330036
</t>
  </si>
  <si>
    <t xml:space="preserve"> createdValue_reit is</t>
  </si>
  <si>
    <t xml:space="preserve"> 665.9571528330036
</t>
  </si>
  <si>
    <t>plotValue_gold_after_creation is: 79997631.87151746</t>
  </si>
  <si>
    <t>plotValue_gold_after_creation is</t>
  </si>
  <si>
    <t xml:space="preserve"> plotValue_tb_after_creation  is: 39998996.1476254</t>
  </si>
  <si>
    <t xml:space="preserve"> plotValue_tb_after_creation  is</t>
  </si>
  <si>
    <t xml:space="preserve"> plotValue_reit_after_creation  is: 29995942.962217126</t>
  </si>
  <si>
    <t xml:space="preserve"> plotValue_reit_after_creation  is</t>
  </si>
  <si>
    <t xml:space="preserve">total_value_after_creation is: 149992570.98136
</t>
  </si>
  <si>
    <t>total_value_after_creation is</t>
  </si>
  <si>
    <t xml:space="preserve"> 149992570.98136
</t>
  </si>
  <si>
    <t>total_amount_gtncps_before_creation is: 99998951.65199812</t>
  </si>
  <si>
    <t>total_amount_gtncps_before_creation is</t>
  </si>
  <si>
    <t>creation_amount_gtbcps is: 2220.134143218398</t>
  </si>
  <si>
    <t>creation_amount_gtbcps is</t>
  </si>
  <si>
    <t xml:space="preserve">total_amount_gtbcps_new is: 100001171.78614134
</t>
  </si>
  <si>
    <t>total_amount_gtbcps_new is</t>
  </si>
  <si>
    <t xml:space="preserve"> 100001171.78614134
</t>
  </si>
  <si>
    <t>payout of tranche of gold is: -592.0551241696329</t>
  </si>
  <si>
    <t xml:space="preserve"> payout of tranche of Treausry Bill Option is: -115.81169442344604</t>
  </si>
  <si>
    <t xml:space="preserve"> payout of tranche of Collar of REIT is: -60.48216414608097
</t>
  </si>
  <si>
    <t xml:space="preserve"> -60.48216414608097
</t>
  </si>
  <si>
    <t>Collateral size of tranche of gold is: 79997631.87151746</t>
  </si>
  <si>
    <t xml:space="preserve"> collateral size of tranche of Treausry Bill Option is: 39998996.1476254</t>
  </si>
  <si>
    <t xml:space="preserve"> collateral size of tranche of Collar of REIT is: 29995942.962217126
</t>
  </si>
  <si>
    <t xml:space="preserve"> 29995942.962217126
</t>
  </si>
  <si>
    <t>Collateral ratio of tranche of gold is: 0.7999940794487583</t>
  </si>
  <si>
    <t xml:space="preserve"> collateral ratio of tranche of Treausry Bill Option is: 0.3999988418830558</t>
  </si>
  <si>
    <t xml:space="preserve"> collateral ratio of tranche of Collar of REIT is: 0.2999660891936996
</t>
  </si>
  <si>
    <t xml:space="preserve"> 0.2999660891936996
</t>
  </si>
  <si>
    <t xml:space="preserve"> current price of reit option is: 6.395368251267996</t>
  </si>
  <si>
    <t xml:space="preserve"> predicted price of reit is: 37.97968703256048
</t>
  </si>
  <si>
    <t xml:space="preserve"> 37.97968703256048
</t>
  </si>
  <si>
    <t>value_ratio_gold_to_total is: -1.02381883014952</t>
  </si>
  <si>
    <t xml:space="preserve"> risk_ratio_to_gold is: 0.6228900539023127</t>
  </si>
  <si>
    <t xml:space="preserve"> risk_ratio_to_gold_before is: 0.6165606190630829
</t>
  </si>
  <si>
    <t xml:space="preserve"> 0.6165606190630829
</t>
  </si>
  <si>
    <t>value_ratio_tb_to_total is: 0.7949346142956935</t>
  </si>
  <si>
    <t xml:space="preserve"> risk_ratio_tb_to_gold is: 0.33306428973978947</t>
  </si>
  <si>
    <t xml:space="preserve"> risk_ratio_tb_to_gold_before is: 0.3422276854891332
</t>
  </si>
  <si>
    <t xml:space="preserve"> 0.3422276854891332
</t>
  </si>
  <si>
    <t>value_ratio_reit_to_total is: 1.2288842158538265</t>
  </si>
  <si>
    <t xml:space="preserve"> risk_ratio_reit_to_gold is: 0.2723554689080651</t>
  </si>
  <si>
    <t xml:space="preserve"> risk_ratio_reit_to_gold_before is: 0.2796728528871036
</t>
  </si>
  <si>
    <t xml:space="preserve"> 0.2796728528871036
</t>
  </si>
  <si>
    <t xml:space="preserve"> delta_reit is: 0.9999255776634901
</t>
  </si>
  <si>
    <t xml:space="preserve"> 0.9999255776634901
</t>
  </si>
  <si>
    <t>delta_gold_risk is: 1.0039153711680162</t>
  </si>
  <si>
    <t xml:space="preserve"> delta_tb_risk is: 0.9931729945310996</t>
  </si>
  <si>
    <t xml:space="preserve"> delta_reit_risk is: 0.9942818322960205
</t>
  </si>
  <si>
    <t xml:space="preserve"> 0.9942818322960205
</t>
  </si>
  <si>
    <t xml:space="preserve">collateral_ratio_tranche_gold is: 0.7968740218789524
</t>
  </si>
  <si>
    <t xml:space="preserve"> 0.7968740218789524
</t>
  </si>
  <si>
    <t xml:space="preserve">collateral_ratio_tranche_tb is: 0.4027484074633993
</t>
  </si>
  <si>
    <t xml:space="preserve"> 0.4027484074633993
</t>
  </si>
  <si>
    <t xml:space="preserve">collateral_ratio_tranche_reit is: 0.30166875756326594
</t>
  </si>
  <si>
    <t xml:space="preserve"> 0.30166875756326594
</t>
  </si>
  <si>
    <t>Total plot size is: 149990338.61319894</t>
  </si>
  <si>
    <t xml:space="preserve"> plot size of gold is: 79997631.87151746</t>
  </si>
  <si>
    <t xml:space="preserve"> plot size of TB is: 39998996.1476254</t>
  </si>
  <si>
    <t xml:space="preserve"> plot size of REIT is: 29993710.59405606
</t>
  </si>
  <si>
    <t xml:space="preserve"> 29993710.59405606
</t>
  </si>
  <si>
    <t xml:space="preserve">collateral ratio is: 1.4999033861319893
</t>
  </si>
  <si>
    <t xml:space="preserve"> 1.4999033861319893
</t>
  </si>
  <si>
    <t>S_gtbcps_0 is: 0.9999882822758933</t>
  </si>
  <si>
    <t xml:space="preserve">stdev_gtbcps is: 0.006892066994878631
</t>
  </si>
  <si>
    <t xml:space="preserve"> 0.006892066994878631
</t>
  </si>
  <si>
    <t>predicted price of GTBCPS is: 0.9999675652973908</t>
  </si>
  <si>
    <t xml:space="preserve"> actual price is: 0.9999882822758933
</t>
  </si>
  <si>
    <t xml:space="preserve"> 0.9999882822758933
</t>
  </si>
  <si>
    <t>predicted amount of GTBCPS is: 100003243.57546532</t>
  </si>
  <si>
    <t xml:space="preserve"> actual amount is: 100001171.78614134
</t>
  </si>
  <si>
    <t>plot sizes of gold is: 79997631.87151746</t>
  </si>
  <si>
    <t xml:space="preserve"> plot sizes of tb is: 39998996.1476254 </t>
  </si>
  <si>
    <t xml:space="preserve"> plot sizes of reit is: 29993710.59405606</t>
  </si>
  <si>
    <t xml:space="preserve"> plot sizes of total is: 149990338.61319894.
</t>
  </si>
  <si>
    <t xml:space="preserve"> 149990338.61319894.
</t>
  </si>
  <si>
    <t>predicted stdevs of gold is: 0.007085256163538932</t>
  </si>
  <si>
    <t xml:space="preserve"> predicted stdevs of tb is: 0.0019144029313592032</t>
  </si>
  <si>
    <t xml:space="preserve"> predicted stdevs of reit is: 0.013014913620638559</t>
  </si>
  <si>
    <t xml:space="preserve"> predicted stdevs of GTBCPS is: 0.006892066994878631.
</t>
  </si>
  <si>
    <t xml:space="preserve"> 0.006892066994878631.
</t>
  </si>
  <si>
    <t>total_value_of_collaterals is: 149989620.7526858</t>
  </si>
  <si>
    <t xml:space="preserve"> createdtionValue_gold is: 1657.3171937945149</t>
  </si>
  <si>
    <t xml:space="preserve"> createdValue_tb is: 828.6658016514466</t>
  </si>
  <si>
    <t xml:space="preserve"> createdValue_reit is: 621.385164563382
</t>
  </si>
  <si>
    <t xml:space="preserve"> 621.385164563382
</t>
  </si>
  <si>
    <t>plotValue_gold_after_creation is: 79995422.06441295</t>
  </si>
  <si>
    <t xml:space="preserve"> plotValue_tb_after_creation  is: 39998058.79143711</t>
  </si>
  <si>
    <t xml:space="preserve"> plotValue_reit_after_creation  is: 29993032.528675716</t>
  </si>
  <si>
    <t xml:space="preserve">total_value_after_creation is: 149986513.38452578
</t>
  </si>
  <si>
    <t xml:space="preserve"> 149986513.38452578
</t>
  </si>
  <si>
    <t>total_amount_gtncps_before_creation is: 100001171.78614134</t>
  </si>
  <si>
    <t>creation_amount_gtbcps is: 2071.7893239855766</t>
  </si>
  <si>
    <t xml:space="preserve">total_amount_gtbcps_new is: 100003243.57546532
</t>
  </si>
  <si>
    <t xml:space="preserve"> 100003243.57546532
</t>
  </si>
  <si>
    <t>payout of tranche of gold is: -552.4899107270641</t>
  </si>
  <si>
    <t xml:space="preserve"> payout of tranche of Treausry Bill Option is: -108.69038663493504</t>
  </si>
  <si>
    <t xml:space="preserve"> payout of tranche of Collar of REIT is: -56.68021577974944
</t>
  </si>
  <si>
    <t xml:space="preserve"> -56.68021577974944
</t>
  </si>
  <si>
    <t>Collateral size of tranche of gold is: 79995422.06441295</t>
  </si>
  <si>
    <t xml:space="preserve"> collateral size of tranche of Treausry Bill Option is: 39998058.79143711</t>
  </si>
  <si>
    <t xml:space="preserve"> collateral size of tranche of Collar of REIT is: 29993032.528675716
</t>
  </si>
  <si>
    <t xml:space="preserve"> 29993032.528675716
</t>
  </si>
  <si>
    <t>Collateral ratio of tranche of gold is: 0.7999707938160674</t>
  </si>
  <si>
    <t xml:space="preserve"> collateral ratio of tranche of Treausry Bill Option is: 0.39998887457238763</t>
  </si>
  <si>
    <t xml:space="preserve"> collateral ratio of tranche of Collar of REIT is: 0.2999365391384028
</t>
  </si>
  <si>
    <t xml:space="preserve"> 0.2999365391384028
</t>
  </si>
  <si>
    <t xml:space="preserve"> current price of reit option is: 6.39038075878598</t>
  </si>
  <si>
    <t xml:space="preserve"> predicted price of reit is: 37.9343772474542
</t>
  </si>
  <si>
    <t xml:space="preserve"> 37.9343772474542
</t>
  </si>
  <si>
    <t>value_ratio_gold_to_total is: -1.0329725277752335</t>
  </si>
  <si>
    <t xml:space="preserve"> risk_ratio_to_gold is: 0.623783413221722</t>
  </si>
  <si>
    <t xml:space="preserve"> risk_ratio_to_gold_before is: 0.6228900539023127
</t>
  </si>
  <si>
    <t xml:space="preserve"> 0.6228900539023127
</t>
  </si>
  <si>
    <t>value_ratio_tb_to_total is: 0.8020419177337571</t>
  </si>
  <si>
    <t xml:space="preserve"> risk_ratio_tb_to_gold is: 0.33187062897818925</t>
  </si>
  <si>
    <t xml:space="preserve"> risk_ratio_tb_to_gold_before is: 0.33306428973978947
</t>
  </si>
  <si>
    <t xml:space="preserve"> 0.33306428973978947
</t>
  </si>
  <si>
    <t>value_ratio_reit_to_total is: 1.2309306100414763</t>
  </si>
  <si>
    <t xml:space="preserve"> risk_ratio_reit_to_gold is: 0.27124990741951843</t>
  </si>
  <si>
    <t xml:space="preserve"> risk_ratio_reit_to_gold_before is: 0.2723554689080651
</t>
  </si>
  <si>
    <t xml:space="preserve"> 0.2723554689080651
</t>
  </si>
  <si>
    <t xml:space="preserve"> delta_reit is: 0.9998861182658997
</t>
  </si>
  <si>
    <t xml:space="preserve"> 0.9998861182658997
</t>
  </si>
  <si>
    <t>delta_gold_risk is: 1.0005504743326643</t>
  </si>
  <si>
    <t xml:space="preserve"> delta_tb_risk is: 0.9991045737472771</t>
  </si>
  <si>
    <t xml:space="preserve"> delta_reit_risk is: 0.999131090708876
</t>
  </si>
  <si>
    <t xml:space="preserve"> 0.999131090708876
</t>
  </si>
  <si>
    <t xml:space="preserve">collateral_ratio_tranche_gold is: 0.7995306727025668
</t>
  </si>
  <si>
    <t xml:space="preserve"> 0.7995306727025668
</t>
  </si>
  <si>
    <t xml:space="preserve">collateral_ratio_tranche_tb is: 0.40034735610525246
</t>
  </si>
  <si>
    <t xml:space="preserve"> 0.40034735610525246
</t>
  </si>
  <si>
    <t xml:space="preserve">collateral_ratio_tranche_reit is: 0.3001631964354419
</t>
  </si>
  <si>
    <t xml:space="preserve"> 0.3001631964354419
</t>
  </si>
  <si>
    <t>Total plot size is: 149983097.72597048</t>
  </si>
  <si>
    <t xml:space="preserve"> plot size of gold is: 79995422.06441295</t>
  </si>
  <si>
    <t xml:space="preserve"> plot size of TB is: 39998058.79143711</t>
  </si>
  <si>
    <t xml:space="preserve"> plot size of REIT is: 29989616.870120425
</t>
  </si>
  <si>
    <t xml:space="preserve"> 29989616.870120425
</t>
  </si>
  <si>
    <t xml:space="preserve">collateral ratio is: 1.4998309772597047
</t>
  </si>
  <si>
    <t xml:space="preserve"> 1.4998309772597047
</t>
  </si>
  <si>
    <t>S_gtbcps_0 is: 0.9999675652973908</t>
  </si>
  <si>
    <t>change_of_collaterals is: 2.220446049250313e-16</t>
  </si>
  <si>
    <t xml:space="preserve">stdev_gtbcps is: 0.006889948118050902
</t>
  </si>
  <si>
    <t xml:space="preserve"> 0.006889948118050902
</t>
  </si>
  <si>
    <t>predicted price of GTBCPS is: 0.9999561565073384</t>
  </si>
  <si>
    <t xml:space="preserve"> actual price is: 0.9999675652973908
</t>
  </si>
  <si>
    <t xml:space="preserve"> 0.9999675652973908
</t>
  </si>
  <si>
    <t>predicted amount of GTBCPS is: 100004384.54149981</t>
  </si>
  <si>
    <t xml:space="preserve"> actual amount is: 100003243.57546532
</t>
  </si>
  <si>
    <t>plot sizes of gold is: 79995422.06441295</t>
  </si>
  <si>
    <t xml:space="preserve"> plot sizes of tb is: 39998058.79143711 </t>
  </si>
  <si>
    <t xml:space="preserve"> plot sizes of reit is: 29989616.870120425</t>
  </si>
  <si>
    <t xml:space="preserve"> plot sizes of total is: 149983097.7259705.
</t>
  </si>
  <si>
    <t xml:space="preserve"> 149983097.7259705.
</t>
  </si>
  <si>
    <t>predicted stdevs of gold is: 0.0070628303469331515</t>
  </si>
  <si>
    <t xml:space="preserve"> predicted stdevs of tb is: 0.0019038207157361787</t>
  </si>
  <si>
    <t xml:space="preserve"> predicted stdevs of reit is: 0.013078944493574217</t>
  </si>
  <si>
    <t xml:space="preserve"> predicted stdevs of GTBCPS is: 0.006889948118050902.
</t>
  </si>
  <si>
    <t xml:space="preserve"> 0.006889948118050902.
</t>
  </si>
  <si>
    <t>total_value_of_collaterals is: 149982702.81799778</t>
  </si>
  <si>
    <t xml:space="preserve"> createdtionValue_gold is: 912.6771066369662</t>
  </si>
  <si>
    <t xml:space="preserve"> createdValue_tb is: 456.34357724575835</t>
  </si>
  <si>
    <t xml:space="preserve"> createdValue_reit is: 342.1559856248324
</t>
  </si>
  <si>
    <t xml:space="preserve"> 342.1559856248324
</t>
  </si>
  <si>
    <t>plotValue_gold_after_creation is: 79994205.12269087</t>
  </si>
  <si>
    <t xml:space="preserve"> plotValue_tb_after_creation  is: 39997542.897874154</t>
  </si>
  <si>
    <t xml:space="preserve"> plotValue_reit_after_creation  is: 29989243.620763265</t>
  </si>
  <si>
    <t xml:space="preserve">total_value_after_creation is: 149980991.6413283
</t>
  </si>
  <si>
    <t xml:space="preserve"> 149980991.6413283
</t>
  </si>
  <si>
    <t>total_amount_gtncps_before_creation is: 100003243.57546532</t>
  </si>
  <si>
    <t>creation_amount_gtbcps is: 1140.9660344868898</t>
  </si>
  <si>
    <t xml:space="preserve">total_amount_gtbcps_new is: 100004384.54149981
</t>
  </si>
  <si>
    <t xml:space="preserve"> 100004384.54149981
</t>
  </si>
  <si>
    <t>payout of tranche of gold is: -304.2646154432036</t>
  </si>
  <si>
    <t xml:space="preserve"> payout of tranche of Treausry Bill Option is: -59.549985714136305</t>
  </si>
  <si>
    <t xml:space="preserve"> payout of tranche of Collar of REIT is: -31.093371537123915
</t>
  </si>
  <si>
    <t xml:space="preserve"> -31.093371537123915
</t>
  </si>
  <si>
    <t>Collateral size of tranche of gold is: 79994205.12269087</t>
  </si>
  <si>
    <t xml:space="preserve"> collateral size of tranche of Treausry Bill Option is: 39997542.897874154</t>
  </si>
  <si>
    <t xml:space="preserve"> collateral size of tranche of Collar of REIT is: 29989243.620763265
</t>
  </si>
  <si>
    <t xml:space="preserve"> 29989243.620763265
</t>
  </si>
  <si>
    <t>Collateral ratio of tranche of gold is: 0.7999511779979748</t>
  </si>
  <si>
    <t xml:space="preserve"> collateral ratio of tranche of Treausry Bill Option is: 0.3999799924145139</t>
  </si>
  <si>
    <t xml:space="preserve"> collateral ratio of tranche of Collar of REIT is: 0.2998958577674888
</t>
  </si>
  <si>
    <t xml:space="preserve"> 0.2998958577674888
</t>
  </si>
  <si>
    <t xml:space="preserve"> current price of reit option is: 6.385067322046325</t>
  </si>
  <si>
    <t xml:space="preserve"> predicted price of reit is: 37.893258295954865
</t>
  </si>
  <si>
    <t xml:space="preserve"> 37.893258295954865
</t>
  </si>
  <si>
    <t>value_ratio_gold_to_total is: -1.0415693547535223</t>
  </si>
  <si>
    <t xml:space="preserve"> risk_ratio_to_gold is: 0.6239525941530977</t>
  </si>
  <si>
    <t xml:space="preserve"> risk_ratio_to_gold_before is: 0.623783413221722
</t>
  </si>
  <si>
    <t xml:space="preserve"> 0.623783413221722
</t>
  </si>
  <si>
    <t>value_ratio_tb_to_total is: 0.8087168441337286</t>
  </si>
  <si>
    <t xml:space="preserve"> risk_ratio_tb_to_gold is: 0.33169423881028387</t>
  </si>
  <si>
    <t xml:space="preserve"> risk_ratio_tb_to_gold_before is: 0.33187062897818925
</t>
  </si>
  <si>
    <t xml:space="preserve"> 0.33187062897818925
</t>
  </si>
  <si>
    <t>value_ratio_reit_to_total is: 1.2328525106197938</t>
  </si>
  <si>
    <t xml:space="preserve"> risk_ratio_reit_to_gold is: 0.2709916212546437</t>
  </si>
  <si>
    <t xml:space="preserve"> risk_ratio_reit_to_gold_before is: 0.27124990741951843
</t>
  </si>
  <si>
    <t xml:space="preserve"> 0.27124990741951843
</t>
  </si>
  <si>
    <t xml:space="preserve"> delta_reit is: 0.9998786620109809
</t>
  </si>
  <si>
    <t xml:space="preserve"> 0.9998786620109809
</t>
  </si>
  <si>
    <t>delta_gold_risk is: 1.000104189345696</t>
  </si>
  <si>
    <t xml:space="preserve"> delta_tb_risk is: 0.9998675620859357</t>
  </si>
  <si>
    <t xml:space="preserve"> delta_reit_risk is: 0.9997968250275833
</t>
  </si>
  <si>
    <t xml:space="preserve"> 0.9997968250275833
</t>
  </si>
  <si>
    <t xml:space="preserve">collateral_ratio_tranche_gold is: 0.7998678402910516
</t>
  </si>
  <si>
    <t xml:space="preserve"> 0.7998678402910516
</t>
  </si>
  <si>
    <t xml:space="preserve">collateral_ratio_tranche_tb is: 0.4000329719468754
</t>
  </si>
  <si>
    <t xml:space="preserve"> 0.4000329719468754
</t>
  </si>
  <si>
    <t xml:space="preserve">collateral_ratio_tranche_reit is: 0.29992040532727166
</t>
  </si>
  <si>
    <t xml:space="preserve"> 0.29992040532727166
</t>
  </si>
  <si>
    <t>Total plot size is: 149977352.80681515</t>
  </si>
  <si>
    <t xml:space="preserve"> plot size of gold is: 79994205.12269087</t>
  </si>
  <si>
    <t xml:space="preserve"> plot size of TB is: 39997542.897874154</t>
  </si>
  <si>
    <t xml:space="preserve"> plot size of REIT is: 29985604.786250114
</t>
  </si>
  <si>
    <t xml:space="preserve"> 29985604.786250114
</t>
  </si>
  <si>
    <t xml:space="preserve">collateral ratio is: 1.499773528068151
</t>
  </si>
  <si>
    <t xml:space="preserve"> 1.499773528068151
</t>
  </si>
  <si>
    <t>S_gtbcps_0 is: 0.9999561565073384</t>
  </si>
  <si>
    <t xml:space="preserve">stdev_gtbcps is: 0.006919294202533155
</t>
  </si>
  <si>
    <t xml:space="preserve"> 0.006919294202533155
</t>
  </si>
  <si>
    <t>predicted price of GTBCPS is: 0.9999798278990021</t>
  </si>
  <si>
    <t xml:space="preserve"> actual price is: 0.9999561565073384
</t>
  </si>
  <si>
    <t xml:space="preserve"> 0.9999561565073384
</t>
  </si>
  <si>
    <t>predicted amount of GTBCPS is: 100002017.25079201</t>
  </si>
  <si>
    <t xml:space="preserve"> actual amount is: 100004384.54149981
</t>
  </si>
  <si>
    <t>plot sizes of gold is: 79994205.12269087</t>
  </si>
  <si>
    <t xml:space="preserve"> plot sizes of tb is: 39997542.897874154 </t>
  </si>
  <si>
    <t xml:space="preserve"> plot sizes of reit is: 29985604.786250114</t>
  </si>
  <si>
    <t xml:space="preserve"> plot sizes of total is: 149977352.80681515.
</t>
  </si>
  <si>
    <t xml:space="preserve"> 149977352.80681515.
</t>
  </si>
  <si>
    <t>predicted stdevs of gold is: 0.007087619142455801</t>
  </si>
  <si>
    <t xml:space="preserve"> predicted stdevs of tb is: 0.0019137080617042982</t>
  </si>
  <si>
    <t xml:space="preserve"> predicted stdevs of reit is: 0.013147153468890263</t>
  </si>
  <si>
    <t xml:space="preserve"> predicted stdevs of GTBCPS is: 0.006919294202533155.
</t>
  </si>
  <si>
    <t xml:space="preserve"> 0.006919294202533155.
</t>
  </si>
  <si>
    <t>total_value_of_collaterals is: 149978172.0488758</t>
  </si>
  <si>
    <t xml:space="preserve"> createdtionValue_gold is: -1893.6715317304859</t>
  </si>
  <si>
    <t xml:space="preserve"> createdValue_tb is: -946.8418223832597</t>
  </si>
  <si>
    <t xml:space="preserve"> createdValue_reit is: -709.8343571054838
</t>
  </si>
  <si>
    <t xml:space="preserve"> -709.8343571054838
</t>
  </si>
  <si>
    <t>plotValue_gold_after_creation is: 79996704.85367395</t>
  </si>
  <si>
    <t xml:space="preserve"> plotValue_tb_after_creation  is: 39998608.27980625</t>
  </si>
  <si>
    <t xml:space="preserve"> plotValue_reit_after_creation  is: 29986409.26310685</t>
  </si>
  <si>
    <t xml:space="preserve">total_value_after_creation is: 149981722.39658704
</t>
  </si>
  <si>
    <t xml:space="preserve"> 149981722.39658704
</t>
  </si>
  <si>
    <t>total_amount_gtncps_before_creation is: 100004384.54149981</t>
  </si>
  <si>
    <t>creation_amount_gtbcps is: -2367.290707796812</t>
  </si>
  <si>
    <t xml:space="preserve">total_amount_gtbcps_new is: 100002017.25079201
</t>
  </si>
  <si>
    <t xml:space="preserve"> 100002017.25079201
</t>
  </si>
  <si>
    <t>payout of tranche of gold is: 606.0594513489942</t>
  </si>
  <si>
    <t xml:space="preserve"> payout of tranche of Treausry Bill Option is: 118.54010970943678</t>
  </si>
  <si>
    <t xml:space="preserve"> payout of tranche of Collar of REIT is: 94.64249963117996
</t>
  </si>
  <si>
    <t xml:space="preserve"> 94.64249963117996
</t>
  </si>
  <si>
    <t>Collateral size of tranche of gold is: 79996704.85367395</t>
  </si>
  <si>
    <t xml:space="preserve"> collateral size of tranche of Treausry Bill Option is: 39998608.27980625</t>
  </si>
  <si>
    <t xml:space="preserve"> collateral size of tranche of Collar of REIT is: 29986409.26310685
</t>
  </si>
  <si>
    <t xml:space="preserve"> 29986409.26310685
</t>
  </si>
  <si>
    <t>Collateral ratio of tranche of gold is: 0.7999481118214219</t>
  </si>
  <si>
    <t xml:space="preserve"> collateral ratio of tranche of Treausry Bill Option is: 0.3999766143798385</t>
  </si>
  <si>
    <t xml:space="preserve"> collateral ratio of tranche of Collar of REIT is: 0.29985699428749735
</t>
  </si>
  <si>
    <t xml:space="preserve"> 0.29985699428749735
</t>
  </si>
  <si>
    <t xml:space="preserve"> current price of reit option is: 6.38583313312045</t>
  </si>
  <si>
    <t xml:space="preserve"> predicted price of reit is: 37.92682019405549
</t>
  </si>
  <si>
    <t xml:space="preserve"> 37.92682019405549
</t>
  </si>
  <si>
    <t>value_ratio_gold_to_total is: -1.0351999702694679</t>
  </si>
  <si>
    <t xml:space="preserve"> risk_ratio_to_gold is: 0.6223671258492165</t>
  </si>
  <si>
    <t xml:space="preserve"> risk_ratio_to_gold_before is: 0.6239525941530977
</t>
  </si>
  <si>
    <t xml:space="preserve"> 0.6239525941530977
</t>
  </si>
  <si>
    <t>value_ratio_tb_to_total is: 0.8037713947543755</t>
  </si>
  <si>
    <t xml:space="preserve"> risk_ratio_tb_to_gold is: 0.3338826793397067</t>
  </si>
  <si>
    <t xml:space="preserve"> risk_ratio_tb_to_gold_before is: 0.33169423881028387
</t>
  </si>
  <si>
    <t xml:space="preserve"> 0.33169423881028387
</t>
  </si>
  <si>
    <t>value_ratio_reit_to_total is: 1.2314285755150922</t>
  </si>
  <si>
    <t xml:space="preserve"> risk_ratio_reit_to_gold is: 0.2728859921827577</t>
  </si>
  <si>
    <t xml:space="preserve"> risk_ratio_reit_to_gold_before is: 0.2709916212546437
</t>
  </si>
  <si>
    <t xml:space="preserve"> 0.2709916212546437
</t>
  </si>
  <si>
    <t xml:space="preserve"> delta_reit is: 1.0000174902340218
</t>
  </si>
  <si>
    <t xml:space="preserve"> 1.0000174902340218
</t>
  </si>
  <si>
    <t>delta_gold_risk is: 0.9990236979148348</t>
  </si>
  <si>
    <t xml:space="preserve"> delta_tb_risk is: 1.001643350602296</t>
  </si>
  <si>
    <t xml:space="preserve"> delta_reit_risk is: 1.0014904668893443
</t>
  </si>
  <si>
    <t xml:space="preserve"> 1.0014904668893443
</t>
  </si>
  <si>
    <t xml:space="preserve">collateral_ratio_tranche_gold is: 0.8007298660593095
</t>
  </si>
  <si>
    <t xml:space="preserve"> 0.8007298660593095
</t>
  </si>
  <si>
    <t xml:space="preserve">collateral_ratio_tranche_tb is: 0.399320390974821
</t>
  </si>
  <si>
    <t xml:space="preserve"> 0.399320390974821
</t>
  </si>
  <si>
    <t xml:space="preserve">collateral_ratio_tranche_reit is: 0.2994159692681654
</t>
  </si>
  <si>
    <t xml:space="preserve"> 0.2994159692681654
</t>
  </si>
  <si>
    <t>Total plot size is: 149982246.86590254</t>
  </si>
  <si>
    <t xml:space="preserve"> plot size of gold is: 79996704.85367395</t>
  </si>
  <si>
    <t xml:space="preserve"> plot size of TB is: 39998608.27980625</t>
  </si>
  <si>
    <t xml:space="preserve"> plot size of REIT is: 29986933.732422333
</t>
  </si>
  <si>
    <t xml:space="preserve"> 29986933.732422333
</t>
  </si>
  <si>
    <t xml:space="preserve">collateral ratio is: 1.499822468659025
</t>
  </si>
  <si>
    <t xml:space="preserve"> 1.499822468659025
</t>
  </si>
  <si>
    <t>S_gtbcps_0 is: 0.9999798278990021</t>
  </si>
  <si>
    <t>change_of_collaterals is: -2.220446049250313e-16</t>
  </si>
  <si>
    <t xml:space="preserve">stdev_gtbcps is: 0.006912052473468535
</t>
  </si>
  <si>
    <t xml:space="preserve"> 0.006912052473468535
</t>
  </si>
  <si>
    <t>predicted price of GTBCPS is: 0.9999896697970347</t>
  </si>
  <si>
    <t xml:space="preserve"> actual price is: 0.9999798278990021
</t>
  </si>
  <si>
    <t xml:space="preserve"> 0.9999798278990021
</t>
  </si>
  <si>
    <t>predicted amount of GTBCPS is: 100001033.03096797</t>
  </si>
  <si>
    <t xml:space="preserve"> actual amount is: 100002017.25079201
</t>
  </si>
  <si>
    <t>plot sizes of gold is: 79996704.85367395</t>
  </si>
  <si>
    <t xml:space="preserve"> plot sizes of tb is: 39998608.27980625 </t>
  </si>
  <si>
    <t xml:space="preserve"> plot sizes of reit is: 29986933.732422333</t>
  </si>
  <si>
    <t xml:space="preserve"> plot sizes of total is: 149982246.8659025.
</t>
  </si>
  <si>
    <t xml:space="preserve"> 149982246.8659025.
</t>
  </si>
  <si>
    <t>predicted stdevs of gold is: 0.007072623398053931</t>
  </si>
  <si>
    <t xml:space="preserve"> predicted stdevs of tb is: 0.0019238308474790048</t>
  </si>
  <si>
    <t xml:space="preserve"> predicted stdevs of reit is: 0.01313732310748591</t>
  </si>
  <si>
    <t xml:space="preserve"> predicted stdevs of GTBCPS is: 0.006912052473468535.
</t>
  </si>
  <si>
    <t xml:space="preserve"> 0.006912052473468535.
</t>
  </si>
  <si>
    <t>total_value_of_collaterals is: 149982587.36512783</t>
  </si>
  <si>
    <t xml:space="preserve"> createdtionValue_gold is: -787.3378776262538</t>
  </si>
  <si>
    <t xml:space="preserve"> createdValue_tb is: -393.67066978465874</t>
  </si>
  <si>
    <t xml:space="preserve"> createdValue_reit is: -295.13456103819016
</t>
  </si>
  <si>
    <t xml:space="preserve"> -295.13456103819016
</t>
  </si>
  <si>
    <t>plotValue_gold_after_creation is: 79997754.66513157</t>
  </si>
  <si>
    <t xml:space="preserve"> plotValue_tb_after_creation  is: 39999053.20856499</t>
  </si>
  <si>
    <t xml:space="preserve"> plotValue_reit_after_creation  is: 29987255.634539735</t>
  </si>
  <si>
    <t xml:space="preserve">total_value_after_creation is: 149984063.5082363
</t>
  </si>
  <si>
    <t xml:space="preserve"> 149984063.5082363
</t>
  </si>
  <si>
    <t>total_amount_gtncps_before_creation is: 100002017.25079201</t>
  </si>
  <si>
    <t>creation_amount_gtbcps is: -984.2198240458965</t>
  </si>
  <si>
    <t xml:space="preserve">total_amount_gtbcps_new is: 100001033.03096797
</t>
  </si>
  <si>
    <t xml:space="preserve"> 100001033.03096797
</t>
  </si>
  <si>
    <t>payout of tranche of gold is: 262.4735799817144</t>
  </si>
  <si>
    <t xml:space="preserve"> payout of tranche of Treausry Bill Option is: 51.25808895348888</t>
  </si>
  <si>
    <t xml:space="preserve"> payout of tranche of Collar of REIT is: 26.767556360050133
</t>
  </si>
  <si>
    <t xml:space="preserve"> 26.767556360050133
</t>
  </si>
  <si>
    <t>Collateral size of tranche of gold is: 79997754.66513157</t>
  </si>
  <si>
    <t xml:space="preserve"> collateral size of tranche of Treausry Bill Option is: 39999053.20856499</t>
  </si>
  <si>
    <t xml:space="preserve"> collateral size of tranche of Collar of REIT is: 29987255.634539735
</t>
  </si>
  <si>
    <t xml:space="preserve"> 29987255.634539735
</t>
  </si>
  <si>
    <t>Collateral ratio of tranche of gold is: 0.7999696732725392</t>
  </si>
  <si>
    <t xml:space="preserve"> collateral ratio of tranche of Treausry Bill Option is: 0.399986595378952</t>
  </si>
  <si>
    <t xml:space="preserve"> collateral ratio of tranche of Collar of REIT is: 0.29986960499978693
</t>
  </si>
  <si>
    <t xml:space="preserve"> 0.29986960499978693
</t>
  </si>
  <si>
    <t xml:space="preserve"> current price of reit option is: 6.381168284879614</t>
  </si>
  <si>
    <t xml:space="preserve"> predicted price of reit is: 37.81761884242402
</t>
  </si>
  <si>
    <t xml:space="preserve"> 37.81761884242402
</t>
  </si>
  <si>
    <t>value_ratio_gold_to_total is: -1.0566329939831878</t>
  </si>
  <si>
    <t xml:space="preserve"> risk_ratio_to_gold is: 0.6261503506570855</t>
  </si>
  <si>
    <t xml:space="preserve"> risk_ratio_to_gold_before is: 0.6223671258492165
</t>
  </si>
  <si>
    <t xml:space="preserve"> 0.6223671258492165
</t>
  </si>
  <si>
    <t>value_ratio_tb_to_total is: 0.8204128667974011</t>
  </si>
  <si>
    <t xml:space="preserve"> risk_ratio_tb_to_gold is: 0.32872355771008543</t>
  </si>
  <si>
    <t xml:space="preserve"> risk_ratio_tb_to_gold_before is: 0.3338826793397067
</t>
  </si>
  <si>
    <t xml:space="preserve"> 0.3338826793397067
</t>
  </si>
  <si>
    <t>value_ratio_reit_to_total is: 1.2362201271857867</t>
  </si>
  <si>
    <t xml:space="preserve"> risk_ratio_reit_to_gold is: 0.26833695491375137</t>
  </si>
  <si>
    <t xml:space="preserve"> risk_ratio_reit_to_gold_before is: 0.2728859921827577
</t>
  </si>
  <si>
    <t xml:space="preserve"> 0.2728859921827577
</t>
  </si>
  <si>
    <t xml:space="preserve"> delta_reit is: 0.9998934621564319
</t>
  </si>
  <si>
    <t xml:space="preserve"> 0.9998934621564319
</t>
  </si>
  <si>
    <t>delta_gold_risk is: 1.002331916585088</t>
  </si>
  <si>
    <t xml:space="preserve"> delta_tb_risk is: 0.9961322523265875</t>
  </si>
  <si>
    <t xml:space="preserve"> delta_reit_risk is: 0.996426202113195
</t>
  </si>
  <si>
    <t xml:space="preserve"> 0.996426202113195
</t>
  </si>
  <si>
    <t xml:space="preserve">collateral_ratio_tranche_gold is: 0.7981085507064464
</t>
  </si>
  <si>
    <t xml:space="preserve"> 0.7981085507064464
</t>
  </si>
  <si>
    <t xml:space="preserve">collateral_ratio_tranche_tb is: 0.4015396494237937
</t>
  </si>
  <si>
    <t xml:space="preserve"> 0.4015396494237937
</t>
  </si>
  <si>
    <t xml:space="preserve">collateral_ratio_tranche_reit is: 0.3009130599966467
</t>
  </si>
  <si>
    <t xml:space="preserve"> 0.3009130599966467
</t>
  </si>
  <si>
    <t>Total plot size is: 149980868.73068646</t>
  </si>
  <si>
    <t xml:space="preserve"> plot size of gold is: 79997754.66513157</t>
  </si>
  <si>
    <t xml:space="preserve"> plot size of TB is: 39999053.20856499</t>
  </si>
  <si>
    <t xml:space="preserve"> plot size of REIT is: 29984060.856989905
</t>
  </si>
  <si>
    <t xml:space="preserve"> 29984060.856989905
</t>
  </si>
  <si>
    <t xml:space="preserve">collateral ratio is: 1.4998086873068643
</t>
  </si>
  <si>
    <t xml:space="preserve"> 1.4998086873068643
</t>
  </si>
  <si>
    <t>S_gtbcps_0 is: 0.9999896697970347</t>
  </si>
  <si>
    <t xml:space="preserve">stdev_gtbcps is: 0.006928113815451695
</t>
  </si>
  <si>
    <t xml:space="preserve"> 0.006928113815451695
</t>
  </si>
  <si>
    <t>predicted price of GTBCPS is: 0.9999893494036194</t>
  </si>
  <si>
    <t xml:space="preserve"> actual price is: 0.9999896697970347
</t>
  </si>
  <si>
    <t xml:space="preserve"> 0.9999896697970347
</t>
  </si>
  <si>
    <t>predicted amount of GTBCPS is: 100001065.07098173</t>
  </si>
  <si>
    <t xml:space="preserve"> actual amount is: 100001033.03096797
</t>
  </si>
  <si>
    <t>plot sizes of gold is: 79997754.66513157</t>
  </si>
  <si>
    <t xml:space="preserve"> plot sizes of tb is: 39999053.20856499 </t>
  </si>
  <si>
    <t xml:space="preserve"> plot sizes of reit is: 29984060.856989905</t>
  </si>
  <si>
    <t xml:space="preserve"> plot sizes of total is: 149980868.7306865.
</t>
  </si>
  <si>
    <t xml:space="preserve"> 149980868.7306865.
</t>
  </si>
  <si>
    <t>predicted stdevs of gold is: 0.007090314447928499</t>
  </si>
  <si>
    <t xml:space="preserve"> predicted stdevs of tb is: 0.0019042851119510746</t>
  </si>
  <si>
    <t xml:space="preserve"> predicted stdevs of reit is: 0.01319720145221884</t>
  </si>
  <si>
    <t xml:space="preserve"> predicted stdevs of GTBCPS is: 0.006928113815451695.
</t>
  </si>
  <si>
    <t xml:space="preserve"> 0.006928113815451695.
</t>
  </si>
  <si>
    <t>total_value_of_collaterals is: 149980857.6344906</t>
  </si>
  <si>
    <t xml:space="preserve"> createdtionValue_gold is: 25.63101587640538</t>
  </si>
  <si>
    <t xml:space="preserve"> createdValue_tb is: 12.815565119936313</t>
  </si>
  <si>
    <t xml:space="preserve"> createdValue_reit is: 9.606794625047991
</t>
  </si>
  <si>
    <t xml:space="preserve"> 9.606794625047991
</t>
  </si>
  <si>
    <t>plotValue_gold_after_creation is: 79997720.48935026</t>
  </si>
  <si>
    <t xml:space="preserve"> plotValue_tb_after_creation  is: 39999038.71627242</t>
  </si>
  <si>
    <t xml:space="preserve"> plotValue_reit_after_creation  is: 29984050.37549229</t>
  </si>
  <si>
    <t xml:space="preserve">total_value_after_creation is: 149980809.58111495
</t>
  </si>
  <si>
    <t xml:space="preserve"> 149980809.58111495
</t>
  </si>
  <si>
    <t>total_amount_gtncps_before_creation is: 100001033.03096797</t>
  </si>
  <si>
    <t>creation_amount_gtbcps is: 32.04001376032829</t>
  </si>
  <si>
    <t xml:space="preserve">total_amount_gtbcps_new is: 100001065.07098173
</t>
  </si>
  <si>
    <t xml:space="preserve"> 100001065.07098173
</t>
  </si>
  <si>
    <t>payout of tranche of gold is: -8.544765422566881</t>
  </si>
  <si>
    <t xml:space="preserve"> payout of tranche of Treausry Bill Option is: -1.6767274479973566</t>
  </si>
  <si>
    <t xml:space="preserve"> payout of tranche of Collar of REIT is: -0.8747029885378448
</t>
  </si>
  <si>
    <t xml:space="preserve"> -0.8747029885378448
</t>
  </si>
  <si>
    <t>Collateral size of tranche of gold is: 79997720.48935026</t>
  </si>
  <si>
    <t xml:space="preserve"> collateral size of tranche of Treausry Bill Option is: 39999038.71627242</t>
  </si>
  <si>
    <t xml:space="preserve"> collateral size of tranche of Collar of REIT is: 29984050.37549229
</t>
  </si>
  <si>
    <t xml:space="preserve"> 29984050.37549229
</t>
  </si>
  <si>
    <t>Collateral ratio of tranche of gold is: 0.7999774612036612</t>
  </si>
  <si>
    <t xml:space="preserve"> collateral ratio of tranche of Treausry Bill Option is: 0.39999051531837526</t>
  </si>
  <si>
    <t xml:space="preserve"> collateral ratio of tranche of Collar of REIT is: 0.29984059982286904
</t>
  </si>
  <si>
    <t xml:space="preserve"> 0.29984059982286904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</si>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</sst>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1E44-659E-47CD-975F-6BB2C55D8EFC}">
  <sheetPr filterMode="1"/>
  <dimension ref="A1:D476"/>
  <sheetViews>
    <sheetView workbookViewId="0">
      <selection activeCell="C112" sqref="C112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1915.48</v>
      </c>
    </row>
    <row r="4" spans="1:4" hidden="1" x14ac:dyDescent="0.3">
      <c r="A4">
        <v>2</v>
      </c>
      <c r="B4" t="s">
        <v>8</v>
      </c>
      <c r="C4" t="s">
        <v>9</v>
      </c>
      <c r="D4">
        <v>1909.66888057248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90.31640625</v>
      </c>
    </row>
    <row r="7" spans="1:4" hidden="1" x14ac:dyDescent="0.3">
      <c r="A7">
        <v>5</v>
      </c>
      <c r="B7" t="s">
        <v>15</v>
      </c>
      <c r="C7" t="s">
        <v>16</v>
      </c>
      <c r="D7">
        <v>4.1960836818674796</v>
      </c>
    </row>
    <row r="8" spans="1:4" hidden="1" x14ac:dyDescent="0.3">
      <c r="A8">
        <v>6</v>
      </c>
      <c r="B8" t="s">
        <v>17</v>
      </c>
      <c r="C8" t="s">
        <v>18</v>
      </c>
      <c r="D8">
        <v>90.632312233398807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37.4</v>
      </c>
    </row>
    <row r="11" spans="1:4" hidden="1" x14ac:dyDescent="0.3">
      <c r="A11">
        <v>9</v>
      </c>
      <c r="B11" t="s">
        <v>23</v>
      </c>
      <c r="C11" t="s">
        <v>24</v>
      </c>
      <c r="D11">
        <v>6.4034909088090597</v>
      </c>
    </row>
    <row r="12" spans="1:4" hidden="1" x14ac:dyDescent="0.3">
      <c r="A12">
        <v>10</v>
      </c>
      <c r="B12" t="s">
        <v>25</v>
      </c>
      <c r="C12" t="s">
        <v>26</v>
      </c>
      <c r="D12">
        <v>37.859931294189302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0.81088291338264096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-1.04435909675816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1.2334761833755199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5.7642537515929298E-3</v>
      </c>
    </row>
    <row r="21" spans="1:4" hidden="1" x14ac:dyDescent="0.3">
      <c r="A21">
        <v>19</v>
      </c>
      <c r="B21" t="s">
        <v>46</v>
      </c>
      <c r="C21" t="s">
        <v>47</v>
      </c>
      <c r="D21">
        <v>0.91126193032441805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0.81088291338264096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-1.04435909675816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1.2334761833755199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1.00001048358992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99998951.651998103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7.12991340223928E-3</v>
      </c>
    </row>
    <row r="51" spans="1:4" hidden="1" x14ac:dyDescent="0.3">
      <c r="A51">
        <v>49</v>
      </c>
      <c r="B51" t="s">
        <v>104</v>
      </c>
      <c r="C51" t="s">
        <v>105</v>
      </c>
      <c r="D51">
        <v>1.9749669156842202E-3</v>
      </c>
    </row>
    <row r="52" spans="1:4" hidden="1" x14ac:dyDescent="0.3">
      <c r="A52">
        <v>50</v>
      </c>
      <c r="B52" t="s">
        <v>106</v>
      </c>
      <c r="C52" t="s">
        <v>107</v>
      </c>
      <c r="D52">
        <v>1.2910620009825E-2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279.559467167386</v>
      </c>
    </row>
    <row r="55" spans="1:4" hidden="1" x14ac:dyDescent="0.3">
      <c r="A55">
        <v>53</v>
      </c>
      <c r="B55" t="s">
        <v>113</v>
      </c>
      <c r="C55" t="s">
        <v>114</v>
      </c>
      <c r="D55">
        <v>54.669406912733201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80000279.559467107</v>
      </c>
    </row>
    <row r="58" spans="1:4" hidden="1" x14ac:dyDescent="0.3">
      <c r="A58">
        <v>56</v>
      </c>
      <c r="B58" t="s">
        <v>120</v>
      </c>
      <c r="C58" t="s">
        <v>121</v>
      </c>
      <c r="D58">
        <v>40000054.669406898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0.80000279559467102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0.40000054669406898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1915.48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90.31640625</v>
      </c>
    </row>
    <row r="67" spans="1:4" hidden="1" x14ac:dyDescent="0.3">
      <c r="A67">
        <v>65</v>
      </c>
      <c r="B67" t="s">
        <v>15</v>
      </c>
      <c r="C67" t="s">
        <v>16</v>
      </c>
      <c r="D67">
        <v>4.1960836818674796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37.4</v>
      </c>
    </row>
    <row r="70" spans="1:4" hidden="1" x14ac:dyDescent="0.3">
      <c r="A70">
        <v>68</v>
      </c>
      <c r="B70" t="s">
        <v>137</v>
      </c>
      <c r="C70" t="s">
        <v>24</v>
      </c>
      <c r="D70">
        <v>6.3986278474883296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-1.03214231852452</v>
      </c>
    </row>
    <row r="73" spans="1:4" hidden="1" x14ac:dyDescent="0.3">
      <c r="A73">
        <v>71</v>
      </c>
      <c r="B73" t="s">
        <v>142</v>
      </c>
      <c r="C73" t="s">
        <v>143</v>
      </c>
      <c r="D73">
        <v>0.61656061906308202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0.80139730947782395</v>
      </c>
    </row>
    <row r="76" spans="1:4" hidden="1" x14ac:dyDescent="0.3">
      <c r="A76">
        <v>74</v>
      </c>
      <c r="B76" t="s">
        <v>147</v>
      </c>
      <c r="C76" t="s">
        <v>32</v>
      </c>
      <c r="D76">
        <v>0.34222768548913302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1.2307450090467</v>
      </c>
    </row>
    <row r="79" spans="1:4" hidden="1" x14ac:dyDescent="0.3">
      <c r="A79">
        <v>77</v>
      </c>
      <c r="B79" t="s">
        <v>151</v>
      </c>
      <c r="C79" t="s">
        <v>42</v>
      </c>
      <c r="D79">
        <v>0.27967285288710297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1.00010918212454</v>
      </c>
    </row>
    <row r="85" spans="1:4" hidden="1" x14ac:dyDescent="0.3">
      <c r="A85">
        <v>83</v>
      </c>
      <c r="B85" t="s">
        <v>163</v>
      </c>
      <c r="C85" t="s">
        <v>164</v>
      </c>
      <c r="D85">
        <v>0.99970543601190198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149996669.40153399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1.00001048358992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0.99998828227589298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100001171.78614099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29996669.401534099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7.12940341214615E-3</v>
      </c>
    </row>
    <row r="109" spans="1:4" hidden="1" x14ac:dyDescent="0.3">
      <c r="A109">
        <v>107</v>
      </c>
      <c r="B109" t="s">
        <v>192</v>
      </c>
      <c r="C109" t="s">
        <v>105</v>
      </c>
      <c r="D109">
        <v>1.9781351391468301E-3</v>
      </c>
    </row>
    <row r="110" spans="1:4" hidden="1" x14ac:dyDescent="0.3">
      <c r="A110">
        <v>108</v>
      </c>
      <c r="B110" t="s">
        <v>193</v>
      </c>
      <c r="C110" t="s">
        <v>107</v>
      </c>
      <c r="D110">
        <v>1.2973062804666501E-2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x14ac:dyDescent="0.3">
      <c r="A112">
        <v>110</v>
      </c>
      <c r="B112" t="s">
        <v>196</v>
      </c>
      <c r="C112" t="s">
        <v>197</v>
      </c>
      <c r="D112">
        <v>149995901.052551</v>
      </c>
    </row>
    <row r="113" spans="1:4" hidden="1" x14ac:dyDescent="0.3">
      <c r="A113">
        <v>111</v>
      </c>
      <c r="B113" t="s">
        <v>198</v>
      </c>
      <c r="C113" t="s">
        <v>199</v>
      </c>
      <c r="D113">
        <v>1776.0733583752799</v>
      </c>
    </row>
    <row r="114" spans="1:4" hidden="1" x14ac:dyDescent="0.3">
      <c r="A114">
        <v>112</v>
      </c>
      <c r="B114" t="s">
        <v>200</v>
      </c>
      <c r="C114" t="s">
        <v>201</v>
      </c>
      <c r="D114">
        <v>888.04068017476902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79997631.871517405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39998996.147625402</v>
      </c>
    </row>
    <row r="118" spans="1:4" hidden="1" x14ac:dyDescent="0.3">
      <c r="A118">
        <v>116</v>
      </c>
      <c r="B118" t="s">
        <v>209</v>
      </c>
      <c r="C118" t="s">
        <v>210</v>
      </c>
      <c r="D118">
        <v>29995942.9622171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99998951.651998103</v>
      </c>
    </row>
    <row r="121" spans="1:4" hidden="1" x14ac:dyDescent="0.3">
      <c r="A121">
        <v>119</v>
      </c>
      <c r="B121" t="s">
        <v>216</v>
      </c>
      <c r="C121" t="s">
        <v>217</v>
      </c>
      <c r="D121">
        <v>2220.1341432183899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-592.05512416963199</v>
      </c>
    </row>
    <row r="124" spans="1:4" hidden="1" x14ac:dyDescent="0.3">
      <c r="A124">
        <v>122</v>
      </c>
      <c r="B124" t="s">
        <v>222</v>
      </c>
      <c r="C124" t="s">
        <v>114</v>
      </c>
      <c r="D124">
        <v>-115.811694423446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79997631.871517405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39998996.147625402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0.799994079448758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0.39999884188305501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1915.48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90.31640625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4.1960836818674796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37.4</v>
      </c>
    </row>
    <row r="139" spans="1:4" hidden="1" x14ac:dyDescent="0.3">
      <c r="A139">
        <v>137</v>
      </c>
      <c r="B139" t="s">
        <v>233</v>
      </c>
      <c r="C139" t="s">
        <v>24</v>
      </c>
      <c r="D139">
        <v>6.3953682512679899</v>
      </c>
    </row>
    <row r="140" spans="1:4" hidden="1" x14ac:dyDescent="0.3">
      <c r="A140">
        <v>138</v>
      </c>
      <c r="B140" s="1" t="s">
        <v>234</v>
      </c>
      <c r="C140" t="s">
        <v>139</v>
      </c>
      <c r="D140" s="1" t="s">
        <v>235</v>
      </c>
    </row>
    <row r="141" spans="1:4" hidden="1" x14ac:dyDescent="0.3">
      <c r="A141">
        <v>139</v>
      </c>
      <c r="B141" t="s">
        <v>236</v>
      </c>
      <c r="C141" t="s">
        <v>35</v>
      </c>
      <c r="D141">
        <v>-1.0238188301495199</v>
      </c>
    </row>
    <row r="142" spans="1:4" hidden="1" x14ac:dyDescent="0.3">
      <c r="A142">
        <v>140</v>
      </c>
      <c r="B142" t="s">
        <v>237</v>
      </c>
      <c r="C142" t="s">
        <v>143</v>
      </c>
      <c r="D142">
        <v>0.622890053902312</v>
      </c>
    </row>
    <row r="143" spans="1:4" hidden="1" x14ac:dyDescent="0.3">
      <c r="A143">
        <v>141</v>
      </c>
      <c r="B143" s="1" t="s">
        <v>238</v>
      </c>
      <c r="C143" t="s">
        <v>145</v>
      </c>
      <c r="D143" s="1" t="s">
        <v>239</v>
      </c>
    </row>
    <row r="144" spans="1:4" hidden="1" x14ac:dyDescent="0.3">
      <c r="A144">
        <v>142</v>
      </c>
      <c r="B144" t="s">
        <v>240</v>
      </c>
      <c r="C144" t="s">
        <v>30</v>
      </c>
      <c r="D144">
        <v>0.79493461429569301</v>
      </c>
    </row>
    <row r="145" spans="1:4" hidden="1" x14ac:dyDescent="0.3">
      <c r="A145">
        <v>143</v>
      </c>
      <c r="B145" t="s">
        <v>241</v>
      </c>
      <c r="C145" t="s">
        <v>32</v>
      </c>
      <c r="D145">
        <v>0.33306428973978902</v>
      </c>
    </row>
    <row r="146" spans="1:4" hidden="1" x14ac:dyDescent="0.3">
      <c r="A146">
        <v>144</v>
      </c>
      <c r="B146" s="1" t="s">
        <v>242</v>
      </c>
      <c r="C146" t="s">
        <v>149</v>
      </c>
      <c r="D146" s="1" t="s">
        <v>243</v>
      </c>
    </row>
    <row r="147" spans="1:4" hidden="1" x14ac:dyDescent="0.3">
      <c r="A147">
        <v>145</v>
      </c>
      <c r="B147" t="s">
        <v>244</v>
      </c>
      <c r="C147" t="s">
        <v>40</v>
      </c>
      <c r="D147">
        <v>1.22888421585382</v>
      </c>
    </row>
    <row r="148" spans="1:4" hidden="1" x14ac:dyDescent="0.3">
      <c r="A148">
        <v>146</v>
      </c>
      <c r="B148" t="s">
        <v>245</v>
      </c>
      <c r="C148" t="s">
        <v>42</v>
      </c>
      <c r="D148">
        <v>0.272355468908065</v>
      </c>
    </row>
    <row r="149" spans="1:4" hidden="1" x14ac:dyDescent="0.3">
      <c r="A149">
        <v>147</v>
      </c>
      <c r="B149" s="1" t="s">
        <v>246</v>
      </c>
      <c r="C149" t="s">
        <v>153</v>
      </c>
      <c r="D149" s="1" t="s">
        <v>247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248</v>
      </c>
      <c r="C152" t="s">
        <v>159</v>
      </c>
      <c r="D152" s="1" t="s">
        <v>249</v>
      </c>
    </row>
    <row r="153" spans="1:4" hidden="1" x14ac:dyDescent="0.3">
      <c r="A153">
        <v>151</v>
      </c>
      <c r="B153" t="s">
        <v>250</v>
      </c>
      <c r="C153" t="s">
        <v>162</v>
      </c>
      <c r="D153">
        <v>1.00391537116801</v>
      </c>
    </row>
    <row r="154" spans="1:4" hidden="1" x14ac:dyDescent="0.3">
      <c r="A154">
        <v>152</v>
      </c>
      <c r="B154" t="s">
        <v>251</v>
      </c>
      <c r="C154" t="s">
        <v>164</v>
      </c>
      <c r="D154">
        <v>0.99317299453109897</v>
      </c>
    </row>
    <row r="155" spans="1:4" hidden="1" x14ac:dyDescent="0.3">
      <c r="A155">
        <v>153</v>
      </c>
      <c r="B155" s="1" t="s">
        <v>252</v>
      </c>
      <c r="C155" t="s">
        <v>166</v>
      </c>
      <c r="D155" s="1" t="s">
        <v>253</v>
      </c>
    </row>
    <row r="156" spans="1:4" hidden="1" x14ac:dyDescent="0.3">
      <c r="A156">
        <v>154</v>
      </c>
      <c r="B156" s="1" t="s">
        <v>254</v>
      </c>
      <c r="C156" t="s">
        <v>55</v>
      </c>
      <c r="D156" s="1" t="s">
        <v>255</v>
      </c>
    </row>
    <row r="157" spans="1:4" hidden="1" x14ac:dyDescent="0.3">
      <c r="A157">
        <v>155</v>
      </c>
      <c r="B157" s="1" t="s">
        <v>256</v>
      </c>
      <c r="C157" t="s">
        <v>52</v>
      </c>
      <c r="D157" s="1" t="s">
        <v>257</v>
      </c>
    </row>
    <row r="158" spans="1:4" hidden="1" x14ac:dyDescent="0.3">
      <c r="A158">
        <v>156</v>
      </c>
      <c r="B158" s="1" t="s">
        <v>258</v>
      </c>
      <c r="C158" t="s">
        <v>58</v>
      </c>
      <c r="D158" s="1" t="s">
        <v>259</v>
      </c>
    </row>
    <row r="159" spans="1:4" hidden="1" x14ac:dyDescent="0.3">
      <c r="A159">
        <v>157</v>
      </c>
      <c r="B159" t="s">
        <v>260</v>
      </c>
      <c r="C159" t="s">
        <v>61</v>
      </c>
      <c r="D159">
        <v>149990338.61319801</v>
      </c>
    </row>
    <row r="160" spans="1:4" hidden="1" x14ac:dyDescent="0.3">
      <c r="A160">
        <v>158</v>
      </c>
      <c r="B160" t="s">
        <v>261</v>
      </c>
      <c r="C160" t="s">
        <v>63</v>
      </c>
      <c r="D160">
        <v>79997631.871517405</v>
      </c>
    </row>
    <row r="161" spans="1:4" hidden="1" x14ac:dyDescent="0.3">
      <c r="A161">
        <v>159</v>
      </c>
      <c r="B161" t="s">
        <v>262</v>
      </c>
      <c r="C161" t="s">
        <v>65</v>
      </c>
      <c r="D161">
        <v>39998996.147625402</v>
      </c>
    </row>
    <row r="162" spans="1:4" hidden="1" x14ac:dyDescent="0.3">
      <c r="A162">
        <v>160</v>
      </c>
      <c r="B162" s="1" t="s">
        <v>263</v>
      </c>
      <c r="C162" t="s">
        <v>67</v>
      </c>
      <c r="D162" s="1" t="s">
        <v>264</v>
      </c>
    </row>
    <row r="163" spans="1:4" hidden="1" x14ac:dyDescent="0.3">
      <c r="A163">
        <v>161</v>
      </c>
      <c r="B163" s="1" t="s">
        <v>265</v>
      </c>
      <c r="C163" t="s">
        <v>70</v>
      </c>
      <c r="D163" s="1" t="s">
        <v>266</v>
      </c>
    </row>
    <row r="164" spans="1:4" hidden="1" x14ac:dyDescent="0.3">
      <c r="A164">
        <v>162</v>
      </c>
      <c r="B164" t="s">
        <v>267</v>
      </c>
      <c r="C164" t="s">
        <v>73</v>
      </c>
      <c r="D164">
        <v>0.99998828227589298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268</v>
      </c>
      <c r="C168" t="s">
        <v>81</v>
      </c>
      <c r="D168" s="1" t="s">
        <v>269</v>
      </c>
    </row>
    <row r="169" spans="1:4" hidden="1" x14ac:dyDescent="0.3">
      <c r="A169">
        <v>167</v>
      </c>
      <c r="B169" t="s">
        <v>270</v>
      </c>
      <c r="C169" t="s">
        <v>84</v>
      </c>
      <c r="D169">
        <v>0.99996756529738995</v>
      </c>
    </row>
    <row r="170" spans="1:4" hidden="1" x14ac:dyDescent="0.3">
      <c r="A170">
        <v>168</v>
      </c>
      <c r="B170" s="1" t="s">
        <v>271</v>
      </c>
      <c r="C170" t="s">
        <v>86</v>
      </c>
      <c r="D170" s="1" t="s">
        <v>272</v>
      </c>
    </row>
    <row r="171" spans="1:4" hidden="1" x14ac:dyDescent="0.3">
      <c r="A171">
        <v>169</v>
      </c>
      <c r="B171" t="s">
        <v>273</v>
      </c>
      <c r="C171" t="s">
        <v>89</v>
      </c>
      <c r="D171">
        <v>100003243.57546499</v>
      </c>
    </row>
    <row r="172" spans="1:4" hidden="1" x14ac:dyDescent="0.3">
      <c r="A172">
        <v>170</v>
      </c>
      <c r="B172" s="1" t="s">
        <v>274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275</v>
      </c>
      <c r="C173" t="s">
        <v>94</v>
      </c>
      <c r="D173">
        <v>79997631.871517405</v>
      </c>
    </row>
    <row r="174" spans="1:4" hidden="1" x14ac:dyDescent="0.3">
      <c r="A174">
        <v>172</v>
      </c>
      <c r="B174" t="s">
        <v>276</v>
      </c>
      <c r="C174" t="s">
        <v>96</v>
      </c>
      <c r="D174">
        <v>39998996.147625402</v>
      </c>
    </row>
    <row r="175" spans="1:4" hidden="1" x14ac:dyDescent="0.3">
      <c r="A175">
        <v>173</v>
      </c>
      <c r="B175" t="s">
        <v>277</v>
      </c>
      <c r="C175" t="s">
        <v>98</v>
      </c>
      <c r="D175">
        <v>29993710.594055999</v>
      </c>
    </row>
    <row r="176" spans="1:4" hidden="1" x14ac:dyDescent="0.3">
      <c r="A176">
        <v>174</v>
      </c>
      <c r="B176" s="1" t="s">
        <v>278</v>
      </c>
      <c r="C176" t="s">
        <v>100</v>
      </c>
      <c r="D176" s="1" t="s">
        <v>279</v>
      </c>
    </row>
    <row r="177" spans="1:4" hidden="1" x14ac:dyDescent="0.3">
      <c r="A177">
        <v>175</v>
      </c>
      <c r="B177" t="s">
        <v>280</v>
      </c>
      <c r="C177" t="s">
        <v>103</v>
      </c>
      <c r="D177">
        <v>7.0852561635389296E-3</v>
      </c>
    </row>
    <row r="178" spans="1:4" hidden="1" x14ac:dyDescent="0.3">
      <c r="A178">
        <v>176</v>
      </c>
      <c r="B178" t="s">
        <v>281</v>
      </c>
      <c r="C178" t="s">
        <v>105</v>
      </c>
      <c r="D178">
        <v>1.9144029313592E-3</v>
      </c>
    </row>
    <row r="179" spans="1:4" hidden="1" x14ac:dyDescent="0.3">
      <c r="A179">
        <v>177</v>
      </c>
      <c r="B179" t="s">
        <v>282</v>
      </c>
      <c r="C179" t="s">
        <v>107</v>
      </c>
      <c r="D179">
        <v>1.30149136206385E-2</v>
      </c>
    </row>
    <row r="180" spans="1:4" hidden="1" x14ac:dyDescent="0.3">
      <c r="A180">
        <v>178</v>
      </c>
      <c r="B180" s="1" t="s">
        <v>283</v>
      </c>
      <c r="C180" t="s">
        <v>109</v>
      </c>
      <c r="D180" s="1" t="s">
        <v>284</v>
      </c>
    </row>
    <row r="181" spans="1:4" x14ac:dyDescent="0.3">
      <c r="A181">
        <v>179</v>
      </c>
      <c r="B181" t="s">
        <v>285</v>
      </c>
      <c r="C181" t="s">
        <v>197</v>
      </c>
      <c r="D181">
        <v>149989620.75268501</v>
      </c>
    </row>
    <row r="182" spans="1:4" hidden="1" x14ac:dyDescent="0.3">
      <c r="A182">
        <v>180</v>
      </c>
      <c r="B182" t="s">
        <v>286</v>
      </c>
      <c r="C182" t="s">
        <v>199</v>
      </c>
      <c r="D182">
        <v>1657.3171937945101</v>
      </c>
    </row>
    <row r="183" spans="1:4" hidden="1" x14ac:dyDescent="0.3">
      <c r="A183">
        <v>181</v>
      </c>
      <c r="B183" t="s">
        <v>287</v>
      </c>
      <c r="C183" t="s">
        <v>201</v>
      </c>
      <c r="D183">
        <v>828.66580165144603</v>
      </c>
    </row>
    <row r="184" spans="1:4" hidden="1" x14ac:dyDescent="0.3">
      <c r="A184">
        <v>182</v>
      </c>
      <c r="B184" s="1" t="s">
        <v>288</v>
      </c>
      <c r="C184" t="s">
        <v>203</v>
      </c>
      <c r="D184" s="1" t="s">
        <v>289</v>
      </c>
    </row>
    <row r="185" spans="1:4" hidden="1" x14ac:dyDescent="0.3">
      <c r="A185">
        <v>183</v>
      </c>
      <c r="B185" t="s">
        <v>290</v>
      </c>
      <c r="C185" t="s">
        <v>206</v>
      </c>
      <c r="D185">
        <v>79995422.064412907</v>
      </c>
    </row>
    <row r="186" spans="1:4" hidden="1" x14ac:dyDescent="0.3">
      <c r="A186">
        <v>184</v>
      </c>
      <c r="B186" t="s">
        <v>291</v>
      </c>
      <c r="C186" t="s">
        <v>208</v>
      </c>
      <c r="D186">
        <v>39998058.791437097</v>
      </c>
    </row>
    <row r="187" spans="1:4" hidden="1" x14ac:dyDescent="0.3">
      <c r="A187">
        <v>185</v>
      </c>
      <c r="B187" t="s">
        <v>292</v>
      </c>
      <c r="C187" t="s">
        <v>210</v>
      </c>
      <c r="D187">
        <v>29993032.528675701</v>
      </c>
    </row>
    <row r="188" spans="1:4" hidden="1" x14ac:dyDescent="0.3">
      <c r="A188">
        <v>186</v>
      </c>
      <c r="B188" s="1" t="s">
        <v>293</v>
      </c>
      <c r="C188" t="s">
        <v>212</v>
      </c>
      <c r="D188" s="1" t="s">
        <v>294</v>
      </c>
    </row>
    <row r="189" spans="1:4" hidden="1" x14ac:dyDescent="0.3">
      <c r="A189">
        <v>187</v>
      </c>
      <c r="B189" t="s">
        <v>295</v>
      </c>
      <c r="C189" t="s">
        <v>215</v>
      </c>
      <c r="D189">
        <v>100001171.78614099</v>
      </c>
    </row>
    <row r="190" spans="1:4" hidden="1" x14ac:dyDescent="0.3">
      <c r="A190">
        <v>188</v>
      </c>
      <c r="B190" t="s">
        <v>296</v>
      </c>
      <c r="C190" t="s">
        <v>217</v>
      </c>
      <c r="D190">
        <v>2071.7893239855698</v>
      </c>
    </row>
    <row r="191" spans="1:4" hidden="1" x14ac:dyDescent="0.3">
      <c r="A191">
        <v>189</v>
      </c>
      <c r="B191" s="1" t="s">
        <v>297</v>
      </c>
      <c r="C191" t="s">
        <v>219</v>
      </c>
      <c r="D191" s="1" t="s">
        <v>298</v>
      </c>
    </row>
    <row r="192" spans="1:4" hidden="1" x14ac:dyDescent="0.3">
      <c r="A192">
        <v>190</v>
      </c>
      <c r="B192" t="s">
        <v>299</v>
      </c>
      <c r="C192" t="s">
        <v>112</v>
      </c>
      <c r="D192">
        <v>-552.48991072706394</v>
      </c>
    </row>
    <row r="193" spans="1:4" hidden="1" x14ac:dyDescent="0.3">
      <c r="A193">
        <v>191</v>
      </c>
      <c r="B193" t="s">
        <v>300</v>
      </c>
      <c r="C193" t="s">
        <v>114</v>
      </c>
      <c r="D193">
        <v>-108.690386634935</v>
      </c>
    </row>
    <row r="194" spans="1:4" hidden="1" x14ac:dyDescent="0.3">
      <c r="A194">
        <v>192</v>
      </c>
      <c r="B194" s="1" t="s">
        <v>301</v>
      </c>
      <c r="C194" t="s">
        <v>116</v>
      </c>
      <c r="D194" s="1" t="s">
        <v>302</v>
      </c>
    </row>
    <row r="195" spans="1:4" hidden="1" x14ac:dyDescent="0.3">
      <c r="A195">
        <v>193</v>
      </c>
      <c r="B195" t="s">
        <v>303</v>
      </c>
      <c r="C195" t="s">
        <v>119</v>
      </c>
      <c r="D195">
        <v>79995422.064412907</v>
      </c>
    </row>
    <row r="196" spans="1:4" hidden="1" x14ac:dyDescent="0.3">
      <c r="A196">
        <v>194</v>
      </c>
      <c r="B196" t="s">
        <v>304</v>
      </c>
      <c r="C196" t="s">
        <v>121</v>
      </c>
      <c r="D196">
        <v>39998058.791437097</v>
      </c>
    </row>
    <row r="197" spans="1:4" hidden="1" x14ac:dyDescent="0.3">
      <c r="A197">
        <v>195</v>
      </c>
      <c r="B197" s="1" t="s">
        <v>305</v>
      </c>
      <c r="C197" t="s">
        <v>123</v>
      </c>
      <c r="D197" s="1" t="s">
        <v>306</v>
      </c>
    </row>
    <row r="198" spans="1:4" hidden="1" x14ac:dyDescent="0.3">
      <c r="A198">
        <v>196</v>
      </c>
      <c r="B198" t="s">
        <v>307</v>
      </c>
      <c r="C198" t="s">
        <v>126</v>
      </c>
      <c r="D198">
        <v>0.79997079381606695</v>
      </c>
    </row>
    <row r="199" spans="1:4" hidden="1" x14ac:dyDescent="0.3">
      <c r="A199">
        <v>197</v>
      </c>
      <c r="B199" t="s">
        <v>308</v>
      </c>
      <c r="C199" t="s">
        <v>128</v>
      </c>
      <c r="D199">
        <v>0.39998887457238702</v>
      </c>
    </row>
    <row r="200" spans="1:4" hidden="1" x14ac:dyDescent="0.3">
      <c r="A200">
        <v>198</v>
      </c>
      <c r="B200" s="1" t="s">
        <v>309</v>
      </c>
      <c r="C200" t="s">
        <v>130</v>
      </c>
      <c r="D200" s="1" t="s">
        <v>310</v>
      </c>
    </row>
    <row r="201" spans="1:4" hidden="1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1915.48</v>
      </c>
    </row>
    <row r="203" spans="1:4" hidden="1" x14ac:dyDescent="0.3">
      <c r="A203">
        <v>201</v>
      </c>
      <c r="B203" s="1" t="s">
        <v>132</v>
      </c>
      <c r="C203" t="s">
        <v>9</v>
      </c>
      <c r="D203" s="1" t="s">
        <v>133</v>
      </c>
    </row>
    <row r="204" spans="1:4" hidden="1" x14ac:dyDescent="0.3">
      <c r="A204">
        <v>202</v>
      </c>
      <c r="B204" t="s">
        <v>13</v>
      </c>
      <c r="C204" t="s">
        <v>14</v>
      </c>
      <c r="D204">
        <v>90.31640625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4.1960836818674796</v>
      </c>
    </row>
    <row r="206" spans="1:4" hidden="1" x14ac:dyDescent="0.3">
      <c r="A206">
        <v>204</v>
      </c>
      <c r="B206" s="1" t="s">
        <v>134</v>
      </c>
      <c r="C206" t="s">
        <v>135</v>
      </c>
      <c r="D206" s="1" t="s">
        <v>136</v>
      </c>
    </row>
    <row r="207" spans="1:4" hidden="1" x14ac:dyDescent="0.3">
      <c r="A207">
        <v>205</v>
      </c>
      <c r="B207" t="s">
        <v>21</v>
      </c>
      <c r="C207" t="s">
        <v>22</v>
      </c>
      <c r="D207">
        <v>37.4</v>
      </c>
    </row>
    <row r="208" spans="1:4" hidden="1" x14ac:dyDescent="0.3">
      <c r="A208">
        <v>206</v>
      </c>
      <c r="B208" t="s">
        <v>311</v>
      </c>
      <c r="C208" t="s">
        <v>24</v>
      </c>
      <c r="D208">
        <v>6.3903807587859802</v>
      </c>
    </row>
    <row r="209" spans="1:4" hidden="1" x14ac:dyDescent="0.3">
      <c r="A209">
        <v>207</v>
      </c>
      <c r="B209" s="1" t="s">
        <v>312</v>
      </c>
      <c r="C209" t="s">
        <v>139</v>
      </c>
      <c r="D209" s="1" t="s">
        <v>313</v>
      </c>
    </row>
    <row r="210" spans="1:4" hidden="1" x14ac:dyDescent="0.3">
      <c r="A210">
        <v>208</v>
      </c>
      <c r="B210" t="s">
        <v>314</v>
      </c>
      <c r="C210" t="s">
        <v>35</v>
      </c>
      <c r="D210">
        <v>-1.03297252777523</v>
      </c>
    </row>
    <row r="211" spans="1:4" hidden="1" x14ac:dyDescent="0.3">
      <c r="A211">
        <v>209</v>
      </c>
      <c r="B211" t="s">
        <v>315</v>
      </c>
      <c r="C211" t="s">
        <v>143</v>
      </c>
      <c r="D211">
        <v>0.62378341322172204</v>
      </c>
    </row>
    <row r="212" spans="1:4" hidden="1" x14ac:dyDescent="0.3">
      <c r="A212">
        <v>210</v>
      </c>
      <c r="B212" s="1" t="s">
        <v>316</v>
      </c>
      <c r="C212" t="s">
        <v>145</v>
      </c>
      <c r="D212" s="1" t="s">
        <v>317</v>
      </c>
    </row>
    <row r="213" spans="1:4" hidden="1" x14ac:dyDescent="0.3">
      <c r="A213">
        <v>211</v>
      </c>
      <c r="B213" t="s">
        <v>318</v>
      </c>
      <c r="C213" t="s">
        <v>30</v>
      </c>
      <c r="D213">
        <v>0.80204191773375699</v>
      </c>
    </row>
    <row r="214" spans="1:4" hidden="1" x14ac:dyDescent="0.3">
      <c r="A214">
        <v>212</v>
      </c>
      <c r="B214" t="s">
        <v>319</v>
      </c>
      <c r="C214" t="s">
        <v>32</v>
      </c>
      <c r="D214">
        <v>0.33187062897818898</v>
      </c>
    </row>
    <row r="215" spans="1:4" hidden="1" x14ac:dyDescent="0.3">
      <c r="A215">
        <v>213</v>
      </c>
      <c r="B215" s="1" t="s">
        <v>320</v>
      </c>
      <c r="C215" t="s">
        <v>149</v>
      </c>
      <c r="D215" s="1" t="s">
        <v>321</v>
      </c>
    </row>
    <row r="216" spans="1:4" hidden="1" x14ac:dyDescent="0.3">
      <c r="A216">
        <v>214</v>
      </c>
      <c r="B216" t="s">
        <v>322</v>
      </c>
      <c r="C216" t="s">
        <v>40</v>
      </c>
      <c r="D216">
        <v>1.2309306100414701</v>
      </c>
    </row>
    <row r="217" spans="1:4" hidden="1" x14ac:dyDescent="0.3">
      <c r="A217">
        <v>215</v>
      </c>
      <c r="B217" t="s">
        <v>323</v>
      </c>
      <c r="C217" t="s">
        <v>42</v>
      </c>
      <c r="D217">
        <v>0.27124990741951799</v>
      </c>
    </row>
    <row r="218" spans="1:4" hidden="1" x14ac:dyDescent="0.3">
      <c r="A218">
        <v>216</v>
      </c>
      <c r="B218" s="1" t="s">
        <v>324</v>
      </c>
      <c r="C218" t="s">
        <v>153</v>
      </c>
      <c r="D218" s="1" t="s">
        <v>325</v>
      </c>
    </row>
    <row r="219" spans="1:4" hidden="1" x14ac:dyDescent="0.3">
      <c r="A219">
        <v>217</v>
      </c>
      <c r="B219" t="s">
        <v>154</v>
      </c>
      <c r="C219" t="s">
        <v>155</v>
      </c>
      <c r="D219">
        <v>1</v>
      </c>
    </row>
    <row r="220" spans="1:4" hidden="1" x14ac:dyDescent="0.3">
      <c r="A220">
        <v>218</v>
      </c>
      <c r="B220" t="s">
        <v>156</v>
      </c>
      <c r="C220" t="s">
        <v>157</v>
      </c>
      <c r="D220">
        <v>1</v>
      </c>
    </row>
    <row r="221" spans="1:4" hidden="1" x14ac:dyDescent="0.3">
      <c r="A221">
        <v>219</v>
      </c>
      <c r="B221" s="1" t="s">
        <v>326</v>
      </c>
      <c r="C221" t="s">
        <v>159</v>
      </c>
      <c r="D221" s="1" t="s">
        <v>327</v>
      </c>
    </row>
    <row r="222" spans="1:4" hidden="1" x14ac:dyDescent="0.3">
      <c r="A222">
        <v>220</v>
      </c>
      <c r="B222" t="s">
        <v>328</v>
      </c>
      <c r="C222" t="s">
        <v>162</v>
      </c>
      <c r="D222">
        <v>1.0005504743326601</v>
      </c>
    </row>
    <row r="223" spans="1:4" hidden="1" x14ac:dyDescent="0.3">
      <c r="A223">
        <v>221</v>
      </c>
      <c r="B223" t="s">
        <v>329</v>
      </c>
      <c r="C223" t="s">
        <v>164</v>
      </c>
      <c r="D223">
        <v>0.99910457374727701</v>
      </c>
    </row>
    <row r="224" spans="1:4" hidden="1" x14ac:dyDescent="0.3">
      <c r="A224">
        <v>222</v>
      </c>
      <c r="B224" s="1" t="s">
        <v>330</v>
      </c>
      <c r="C224" t="s">
        <v>166</v>
      </c>
      <c r="D224" s="1" t="s">
        <v>331</v>
      </c>
    </row>
    <row r="225" spans="1:4" hidden="1" x14ac:dyDescent="0.3">
      <c r="A225">
        <v>223</v>
      </c>
      <c r="B225" s="1" t="s">
        <v>332</v>
      </c>
      <c r="C225" t="s">
        <v>55</v>
      </c>
      <c r="D225" s="1" t="s">
        <v>333</v>
      </c>
    </row>
    <row r="226" spans="1:4" hidden="1" x14ac:dyDescent="0.3">
      <c r="A226">
        <v>224</v>
      </c>
      <c r="B226" s="1" t="s">
        <v>334</v>
      </c>
      <c r="C226" t="s">
        <v>52</v>
      </c>
      <c r="D226" s="1" t="s">
        <v>335</v>
      </c>
    </row>
    <row r="227" spans="1:4" hidden="1" x14ac:dyDescent="0.3">
      <c r="A227">
        <v>225</v>
      </c>
      <c r="B227" s="1" t="s">
        <v>336</v>
      </c>
      <c r="C227" t="s">
        <v>58</v>
      </c>
      <c r="D227" s="1" t="s">
        <v>337</v>
      </c>
    </row>
    <row r="228" spans="1:4" hidden="1" x14ac:dyDescent="0.3">
      <c r="A228">
        <v>226</v>
      </c>
      <c r="B228" t="s">
        <v>338</v>
      </c>
      <c r="C228" t="s">
        <v>61</v>
      </c>
      <c r="D228">
        <v>149983097.72597</v>
      </c>
    </row>
    <row r="229" spans="1:4" hidden="1" x14ac:dyDescent="0.3">
      <c r="A229">
        <v>227</v>
      </c>
      <c r="B229" t="s">
        <v>339</v>
      </c>
      <c r="C229" t="s">
        <v>63</v>
      </c>
      <c r="D229">
        <v>79995422.064412907</v>
      </c>
    </row>
    <row r="230" spans="1:4" hidden="1" x14ac:dyDescent="0.3">
      <c r="A230">
        <v>228</v>
      </c>
      <c r="B230" t="s">
        <v>340</v>
      </c>
      <c r="C230" t="s">
        <v>65</v>
      </c>
      <c r="D230">
        <v>39998058.791437097</v>
      </c>
    </row>
    <row r="231" spans="1:4" hidden="1" x14ac:dyDescent="0.3">
      <c r="A231">
        <v>229</v>
      </c>
      <c r="B231" s="1" t="s">
        <v>341</v>
      </c>
      <c r="C231" t="s">
        <v>67</v>
      </c>
      <c r="D231" s="1" t="s">
        <v>342</v>
      </c>
    </row>
    <row r="232" spans="1:4" hidden="1" x14ac:dyDescent="0.3">
      <c r="A232">
        <v>230</v>
      </c>
      <c r="B232" s="1" t="s">
        <v>343</v>
      </c>
      <c r="C232" t="s">
        <v>70</v>
      </c>
      <c r="D232" s="1" t="s">
        <v>344</v>
      </c>
    </row>
    <row r="233" spans="1:4" hidden="1" x14ac:dyDescent="0.3">
      <c r="A233">
        <v>231</v>
      </c>
      <c r="B233" t="s">
        <v>345</v>
      </c>
      <c r="C233" t="s">
        <v>73</v>
      </c>
      <c r="D233">
        <v>0.99996756529738995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346</v>
      </c>
      <c r="C236" t="s">
        <v>79</v>
      </c>
      <c r="D236" s="2">
        <v>2.2204460492503101E-16</v>
      </c>
    </row>
    <row r="237" spans="1:4" hidden="1" x14ac:dyDescent="0.3">
      <c r="A237">
        <v>235</v>
      </c>
      <c r="B237" s="1" t="s">
        <v>347</v>
      </c>
      <c r="C237" t="s">
        <v>81</v>
      </c>
      <c r="D237" s="1" t="s">
        <v>348</v>
      </c>
    </row>
    <row r="238" spans="1:4" hidden="1" x14ac:dyDescent="0.3">
      <c r="A238">
        <v>236</v>
      </c>
      <c r="B238" t="s">
        <v>349</v>
      </c>
      <c r="C238" t="s">
        <v>84</v>
      </c>
      <c r="D238">
        <v>0.99995615650733805</v>
      </c>
    </row>
    <row r="239" spans="1:4" hidden="1" x14ac:dyDescent="0.3">
      <c r="A239">
        <v>237</v>
      </c>
      <c r="B239" s="1" t="s">
        <v>350</v>
      </c>
      <c r="C239" t="s">
        <v>86</v>
      </c>
      <c r="D239" s="1" t="s">
        <v>351</v>
      </c>
    </row>
    <row r="240" spans="1:4" hidden="1" x14ac:dyDescent="0.3">
      <c r="A240">
        <v>238</v>
      </c>
      <c r="B240" t="s">
        <v>352</v>
      </c>
      <c r="C240" t="s">
        <v>89</v>
      </c>
      <c r="D240">
        <v>100004384.541499</v>
      </c>
    </row>
    <row r="241" spans="1:4" hidden="1" x14ac:dyDescent="0.3">
      <c r="A241">
        <v>239</v>
      </c>
      <c r="B241" s="1" t="s">
        <v>353</v>
      </c>
      <c r="C241" t="s">
        <v>91</v>
      </c>
      <c r="D241" s="1" t="s">
        <v>298</v>
      </c>
    </row>
    <row r="242" spans="1:4" hidden="1" x14ac:dyDescent="0.3">
      <c r="A242">
        <v>240</v>
      </c>
      <c r="B242" t="s">
        <v>354</v>
      </c>
      <c r="C242" t="s">
        <v>94</v>
      </c>
      <c r="D242">
        <v>79995422.064412907</v>
      </c>
    </row>
    <row r="243" spans="1:4" hidden="1" x14ac:dyDescent="0.3">
      <c r="A243">
        <v>241</v>
      </c>
      <c r="B243" t="s">
        <v>355</v>
      </c>
      <c r="C243" t="s">
        <v>96</v>
      </c>
      <c r="D243">
        <v>39998058.791437097</v>
      </c>
    </row>
    <row r="244" spans="1:4" hidden="1" x14ac:dyDescent="0.3">
      <c r="A244">
        <v>242</v>
      </c>
      <c r="B244" t="s">
        <v>356</v>
      </c>
      <c r="C244" t="s">
        <v>98</v>
      </c>
      <c r="D244">
        <v>29989616.870120399</v>
      </c>
    </row>
    <row r="245" spans="1:4" hidden="1" x14ac:dyDescent="0.3">
      <c r="A245">
        <v>243</v>
      </c>
      <c r="B245" s="1" t="s">
        <v>357</v>
      </c>
      <c r="C245" t="s">
        <v>100</v>
      </c>
      <c r="D245" s="1" t="s">
        <v>358</v>
      </c>
    </row>
    <row r="246" spans="1:4" hidden="1" x14ac:dyDescent="0.3">
      <c r="A246">
        <v>244</v>
      </c>
      <c r="B246" t="s">
        <v>359</v>
      </c>
      <c r="C246" t="s">
        <v>103</v>
      </c>
      <c r="D246">
        <v>7.0628303469331497E-3</v>
      </c>
    </row>
    <row r="247" spans="1:4" hidden="1" x14ac:dyDescent="0.3">
      <c r="A247">
        <v>245</v>
      </c>
      <c r="B247" t="s">
        <v>360</v>
      </c>
      <c r="C247" t="s">
        <v>105</v>
      </c>
      <c r="D247">
        <v>1.9038207157361701E-3</v>
      </c>
    </row>
    <row r="248" spans="1:4" hidden="1" x14ac:dyDescent="0.3">
      <c r="A248">
        <v>246</v>
      </c>
      <c r="B248" t="s">
        <v>361</v>
      </c>
      <c r="C248" t="s">
        <v>107</v>
      </c>
      <c r="D248">
        <v>1.3078944493574199E-2</v>
      </c>
    </row>
    <row r="249" spans="1:4" hidden="1" x14ac:dyDescent="0.3">
      <c r="A249">
        <v>247</v>
      </c>
      <c r="B249" s="1" t="s">
        <v>362</v>
      </c>
      <c r="C249" t="s">
        <v>109</v>
      </c>
      <c r="D249" s="1" t="s">
        <v>363</v>
      </c>
    </row>
    <row r="250" spans="1:4" x14ac:dyDescent="0.3">
      <c r="A250">
        <v>248</v>
      </c>
      <c r="B250" t="s">
        <v>364</v>
      </c>
      <c r="C250" t="s">
        <v>197</v>
      </c>
      <c r="D250">
        <v>149982702.81799701</v>
      </c>
    </row>
    <row r="251" spans="1:4" hidden="1" x14ac:dyDescent="0.3">
      <c r="A251">
        <v>249</v>
      </c>
      <c r="B251" t="s">
        <v>365</v>
      </c>
      <c r="C251" t="s">
        <v>199</v>
      </c>
      <c r="D251">
        <v>912.67710663696596</v>
      </c>
    </row>
    <row r="252" spans="1:4" hidden="1" x14ac:dyDescent="0.3">
      <c r="A252">
        <v>250</v>
      </c>
      <c r="B252" t="s">
        <v>366</v>
      </c>
      <c r="C252" t="s">
        <v>201</v>
      </c>
      <c r="D252">
        <v>456.34357724575801</v>
      </c>
    </row>
    <row r="253" spans="1:4" hidden="1" x14ac:dyDescent="0.3">
      <c r="A253">
        <v>251</v>
      </c>
      <c r="B253" s="1" t="s">
        <v>367</v>
      </c>
      <c r="C253" t="s">
        <v>203</v>
      </c>
      <c r="D253" s="1" t="s">
        <v>368</v>
      </c>
    </row>
    <row r="254" spans="1:4" hidden="1" x14ac:dyDescent="0.3">
      <c r="A254">
        <v>252</v>
      </c>
      <c r="B254" t="s">
        <v>369</v>
      </c>
      <c r="C254" t="s">
        <v>206</v>
      </c>
      <c r="D254">
        <v>79994205.122690797</v>
      </c>
    </row>
    <row r="255" spans="1:4" hidden="1" x14ac:dyDescent="0.3">
      <c r="A255">
        <v>253</v>
      </c>
      <c r="B255" t="s">
        <v>370</v>
      </c>
      <c r="C255" t="s">
        <v>208</v>
      </c>
      <c r="D255">
        <v>39997542.897874102</v>
      </c>
    </row>
    <row r="256" spans="1:4" hidden="1" x14ac:dyDescent="0.3">
      <c r="A256">
        <v>254</v>
      </c>
      <c r="B256" t="s">
        <v>371</v>
      </c>
      <c r="C256" t="s">
        <v>210</v>
      </c>
      <c r="D256">
        <v>29989243.620763201</v>
      </c>
    </row>
    <row r="257" spans="1:4" hidden="1" x14ac:dyDescent="0.3">
      <c r="A257">
        <v>255</v>
      </c>
      <c r="B257" s="1" t="s">
        <v>372</v>
      </c>
      <c r="C257" t="s">
        <v>212</v>
      </c>
      <c r="D257" s="1" t="s">
        <v>373</v>
      </c>
    </row>
    <row r="258" spans="1:4" hidden="1" x14ac:dyDescent="0.3">
      <c r="A258">
        <v>256</v>
      </c>
      <c r="B258" t="s">
        <v>374</v>
      </c>
      <c r="C258" t="s">
        <v>215</v>
      </c>
      <c r="D258">
        <v>100003243.57546499</v>
      </c>
    </row>
    <row r="259" spans="1:4" hidden="1" x14ac:dyDescent="0.3">
      <c r="A259">
        <v>257</v>
      </c>
      <c r="B259" t="s">
        <v>375</v>
      </c>
      <c r="C259" t="s">
        <v>217</v>
      </c>
      <c r="D259">
        <v>1140.9660344868801</v>
      </c>
    </row>
    <row r="260" spans="1:4" hidden="1" x14ac:dyDescent="0.3">
      <c r="A260">
        <v>258</v>
      </c>
      <c r="B260" s="1" t="s">
        <v>376</v>
      </c>
      <c r="C260" t="s">
        <v>219</v>
      </c>
      <c r="D260" s="1" t="s">
        <v>377</v>
      </c>
    </row>
    <row r="261" spans="1:4" hidden="1" x14ac:dyDescent="0.3">
      <c r="A261">
        <v>259</v>
      </c>
      <c r="B261" t="s">
        <v>378</v>
      </c>
      <c r="C261" t="s">
        <v>112</v>
      </c>
      <c r="D261">
        <v>-304.26461544320301</v>
      </c>
    </row>
    <row r="262" spans="1:4" hidden="1" x14ac:dyDescent="0.3">
      <c r="A262">
        <v>260</v>
      </c>
      <c r="B262" t="s">
        <v>379</v>
      </c>
      <c r="C262" t="s">
        <v>114</v>
      </c>
      <c r="D262">
        <v>-59.549985714136298</v>
      </c>
    </row>
    <row r="263" spans="1:4" hidden="1" x14ac:dyDescent="0.3">
      <c r="A263">
        <v>261</v>
      </c>
      <c r="B263" s="1" t="s">
        <v>380</v>
      </c>
      <c r="C263" t="s">
        <v>116</v>
      </c>
      <c r="D263" s="1" t="s">
        <v>381</v>
      </c>
    </row>
    <row r="264" spans="1:4" hidden="1" x14ac:dyDescent="0.3">
      <c r="A264">
        <v>262</v>
      </c>
      <c r="B264" t="s">
        <v>382</v>
      </c>
      <c r="C264" t="s">
        <v>119</v>
      </c>
      <c r="D264">
        <v>79994205.122690797</v>
      </c>
    </row>
    <row r="265" spans="1:4" hidden="1" x14ac:dyDescent="0.3">
      <c r="A265">
        <v>263</v>
      </c>
      <c r="B265" t="s">
        <v>383</v>
      </c>
      <c r="C265" t="s">
        <v>121</v>
      </c>
      <c r="D265">
        <v>39997542.897874102</v>
      </c>
    </row>
    <row r="266" spans="1:4" hidden="1" x14ac:dyDescent="0.3">
      <c r="A266">
        <v>264</v>
      </c>
      <c r="B266" s="1" t="s">
        <v>384</v>
      </c>
      <c r="C266" t="s">
        <v>123</v>
      </c>
      <c r="D266" s="1" t="s">
        <v>385</v>
      </c>
    </row>
    <row r="267" spans="1:4" hidden="1" x14ac:dyDescent="0.3">
      <c r="A267">
        <v>265</v>
      </c>
      <c r="B267" t="s">
        <v>386</v>
      </c>
      <c r="C267" t="s">
        <v>126</v>
      </c>
      <c r="D267">
        <v>0.79995117799797399</v>
      </c>
    </row>
    <row r="268" spans="1:4" hidden="1" x14ac:dyDescent="0.3">
      <c r="A268">
        <v>266</v>
      </c>
      <c r="B268" t="s">
        <v>387</v>
      </c>
      <c r="C268" t="s">
        <v>128</v>
      </c>
      <c r="D268">
        <v>0.39997999241451299</v>
      </c>
    </row>
    <row r="269" spans="1:4" hidden="1" x14ac:dyDescent="0.3">
      <c r="A269">
        <v>267</v>
      </c>
      <c r="B269" s="1" t="s">
        <v>388</v>
      </c>
      <c r="C269" t="s">
        <v>130</v>
      </c>
      <c r="D269" s="1" t="s">
        <v>389</v>
      </c>
    </row>
    <row r="270" spans="1:4" hidden="1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1915.48</v>
      </c>
    </row>
    <row r="272" spans="1:4" hidden="1" x14ac:dyDescent="0.3">
      <c r="A272">
        <v>270</v>
      </c>
      <c r="B272" s="1" t="s">
        <v>132</v>
      </c>
      <c r="C272" t="s">
        <v>9</v>
      </c>
      <c r="D272" s="1" t="s">
        <v>133</v>
      </c>
    </row>
    <row r="273" spans="1:4" hidden="1" x14ac:dyDescent="0.3">
      <c r="A273">
        <v>271</v>
      </c>
      <c r="B273" t="s">
        <v>13</v>
      </c>
      <c r="C273" t="s">
        <v>14</v>
      </c>
      <c r="D273">
        <v>90.31640625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4.1960836818674796</v>
      </c>
    </row>
    <row r="275" spans="1:4" hidden="1" x14ac:dyDescent="0.3">
      <c r="A275">
        <v>273</v>
      </c>
      <c r="B275" s="1" t="s">
        <v>134</v>
      </c>
      <c r="C275" t="s">
        <v>135</v>
      </c>
      <c r="D275" s="1" t="s">
        <v>136</v>
      </c>
    </row>
    <row r="276" spans="1:4" hidden="1" x14ac:dyDescent="0.3">
      <c r="A276">
        <v>274</v>
      </c>
      <c r="B276" t="s">
        <v>21</v>
      </c>
      <c r="C276" t="s">
        <v>22</v>
      </c>
      <c r="D276">
        <v>37.4</v>
      </c>
    </row>
    <row r="277" spans="1:4" hidden="1" x14ac:dyDescent="0.3">
      <c r="A277">
        <v>275</v>
      </c>
      <c r="B277" t="s">
        <v>390</v>
      </c>
      <c r="C277" t="s">
        <v>24</v>
      </c>
      <c r="D277">
        <v>6.3850673220463197</v>
      </c>
    </row>
    <row r="278" spans="1:4" hidden="1" x14ac:dyDescent="0.3">
      <c r="A278">
        <v>276</v>
      </c>
      <c r="B278" s="1" t="s">
        <v>391</v>
      </c>
      <c r="C278" t="s">
        <v>139</v>
      </c>
      <c r="D278" s="1" t="s">
        <v>392</v>
      </c>
    </row>
    <row r="279" spans="1:4" hidden="1" x14ac:dyDescent="0.3">
      <c r="A279">
        <v>277</v>
      </c>
      <c r="B279" t="s">
        <v>393</v>
      </c>
      <c r="C279" t="s">
        <v>35</v>
      </c>
      <c r="D279">
        <v>-1.0415693547535201</v>
      </c>
    </row>
    <row r="280" spans="1:4" hidden="1" x14ac:dyDescent="0.3">
      <c r="A280">
        <v>278</v>
      </c>
      <c r="B280" t="s">
        <v>394</v>
      </c>
      <c r="C280" t="s">
        <v>143</v>
      </c>
      <c r="D280">
        <v>0.62395259415309701</v>
      </c>
    </row>
    <row r="281" spans="1:4" hidden="1" x14ac:dyDescent="0.3">
      <c r="A281">
        <v>279</v>
      </c>
      <c r="B281" s="1" t="s">
        <v>395</v>
      </c>
      <c r="C281" t="s">
        <v>145</v>
      </c>
      <c r="D281" s="1" t="s">
        <v>396</v>
      </c>
    </row>
    <row r="282" spans="1:4" hidden="1" x14ac:dyDescent="0.3">
      <c r="A282">
        <v>280</v>
      </c>
      <c r="B282" t="s">
        <v>397</v>
      </c>
      <c r="C282" t="s">
        <v>30</v>
      </c>
      <c r="D282">
        <v>0.80871684413372802</v>
      </c>
    </row>
    <row r="283" spans="1:4" hidden="1" x14ac:dyDescent="0.3">
      <c r="A283">
        <v>281</v>
      </c>
      <c r="B283" t="s">
        <v>398</v>
      </c>
      <c r="C283" t="s">
        <v>32</v>
      </c>
      <c r="D283">
        <v>0.33169423881028298</v>
      </c>
    </row>
    <row r="284" spans="1:4" hidden="1" x14ac:dyDescent="0.3">
      <c r="A284">
        <v>282</v>
      </c>
      <c r="B284" s="1" t="s">
        <v>399</v>
      </c>
      <c r="C284" t="s">
        <v>149</v>
      </c>
      <c r="D284" s="1" t="s">
        <v>400</v>
      </c>
    </row>
    <row r="285" spans="1:4" hidden="1" x14ac:dyDescent="0.3">
      <c r="A285">
        <v>283</v>
      </c>
      <c r="B285" t="s">
        <v>401</v>
      </c>
      <c r="C285" t="s">
        <v>40</v>
      </c>
      <c r="D285">
        <v>1.2328525106197901</v>
      </c>
    </row>
    <row r="286" spans="1:4" hidden="1" x14ac:dyDescent="0.3">
      <c r="A286">
        <v>284</v>
      </c>
      <c r="B286" t="s">
        <v>402</v>
      </c>
      <c r="C286" t="s">
        <v>42</v>
      </c>
      <c r="D286">
        <v>0.27099162125464299</v>
      </c>
    </row>
    <row r="287" spans="1:4" hidden="1" x14ac:dyDescent="0.3">
      <c r="A287">
        <v>285</v>
      </c>
      <c r="B287" s="1" t="s">
        <v>403</v>
      </c>
      <c r="C287" t="s">
        <v>153</v>
      </c>
      <c r="D287" s="1" t="s">
        <v>404</v>
      </c>
    </row>
    <row r="288" spans="1:4" hidden="1" x14ac:dyDescent="0.3">
      <c r="A288">
        <v>286</v>
      </c>
      <c r="B288" t="s">
        <v>154</v>
      </c>
      <c r="C288" t="s">
        <v>155</v>
      </c>
      <c r="D288">
        <v>1</v>
      </c>
    </row>
    <row r="289" spans="1:4" hidden="1" x14ac:dyDescent="0.3">
      <c r="A289">
        <v>287</v>
      </c>
      <c r="B289" t="s">
        <v>156</v>
      </c>
      <c r="C289" t="s">
        <v>157</v>
      </c>
      <c r="D289">
        <v>1</v>
      </c>
    </row>
    <row r="290" spans="1:4" hidden="1" x14ac:dyDescent="0.3">
      <c r="A290">
        <v>288</v>
      </c>
      <c r="B290" s="1" t="s">
        <v>405</v>
      </c>
      <c r="C290" t="s">
        <v>159</v>
      </c>
      <c r="D290" s="1" t="s">
        <v>406</v>
      </c>
    </row>
    <row r="291" spans="1:4" hidden="1" x14ac:dyDescent="0.3">
      <c r="A291">
        <v>289</v>
      </c>
      <c r="B291" t="s">
        <v>407</v>
      </c>
      <c r="C291" t="s">
        <v>162</v>
      </c>
      <c r="D291">
        <v>1.0001041893456899</v>
      </c>
    </row>
    <row r="292" spans="1:4" hidden="1" x14ac:dyDescent="0.3">
      <c r="A292">
        <v>290</v>
      </c>
      <c r="B292" t="s">
        <v>408</v>
      </c>
      <c r="C292" t="s">
        <v>164</v>
      </c>
      <c r="D292">
        <v>0.99986756208593497</v>
      </c>
    </row>
    <row r="293" spans="1:4" hidden="1" x14ac:dyDescent="0.3">
      <c r="A293">
        <v>291</v>
      </c>
      <c r="B293" s="1" t="s">
        <v>409</v>
      </c>
      <c r="C293" t="s">
        <v>166</v>
      </c>
      <c r="D293" s="1" t="s">
        <v>410</v>
      </c>
    </row>
    <row r="294" spans="1:4" hidden="1" x14ac:dyDescent="0.3">
      <c r="A294">
        <v>292</v>
      </c>
      <c r="B294" s="1" t="s">
        <v>411</v>
      </c>
      <c r="C294" t="s">
        <v>55</v>
      </c>
      <c r="D294" s="1" t="s">
        <v>412</v>
      </c>
    </row>
    <row r="295" spans="1:4" hidden="1" x14ac:dyDescent="0.3">
      <c r="A295">
        <v>293</v>
      </c>
      <c r="B295" s="1" t="s">
        <v>413</v>
      </c>
      <c r="C295" t="s">
        <v>52</v>
      </c>
      <c r="D295" s="1" t="s">
        <v>414</v>
      </c>
    </row>
    <row r="296" spans="1:4" hidden="1" x14ac:dyDescent="0.3">
      <c r="A296">
        <v>294</v>
      </c>
      <c r="B296" s="1" t="s">
        <v>415</v>
      </c>
      <c r="C296" t="s">
        <v>58</v>
      </c>
      <c r="D296" s="1" t="s">
        <v>416</v>
      </c>
    </row>
    <row r="297" spans="1:4" hidden="1" x14ac:dyDescent="0.3">
      <c r="A297">
        <v>295</v>
      </c>
      <c r="B297" t="s">
        <v>417</v>
      </c>
      <c r="C297" t="s">
        <v>61</v>
      </c>
      <c r="D297">
        <v>149977352.806815</v>
      </c>
    </row>
    <row r="298" spans="1:4" hidden="1" x14ac:dyDescent="0.3">
      <c r="A298">
        <v>296</v>
      </c>
      <c r="B298" t="s">
        <v>418</v>
      </c>
      <c r="C298" t="s">
        <v>63</v>
      </c>
      <c r="D298">
        <v>79994205.122690797</v>
      </c>
    </row>
    <row r="299" spans="1:4" hidden="1" x14ac:dyDescent="0.3">
      <c r="A299">
        <v>297</v>
      </c>
      <c r="B299" t="s">
        <v>419</v>
      </c>
      <c r="C299" t="s">
        <v>65</v>
      </c>
      <c r="D299">
        <v>39997542.897874102</v>
      </c>
    </row>
    <row r="300" spans="1:4" hidden="1" x14ac:dyDescent="0.3">
      <c r="A300">
        <v>298</v>
      </c>
      <c r="B300" s="1" t="s">
        <v>420</v>
      </c>
      <c r="C300" t="s">
        <v>67</v>
      </c>
      <c r="D300" s="1" t="s">
        <v>421</v>
      </c>
    </row>
    <row r="301" spans="1:4" hidden="1" x14ac:dyDescent="0.3">
      <c r="A301">
        <v>299</v>
      </c>
      <c r="B301" s="1" t="s">
        <v>422</v>
      </c>
      <c r="C301" t="s">
        <v>70</v>
      </c>
      <c r="D301" s="1" t="s">
        <v>423</v>
      </c>
    </row>
    <row r="302" spans="1:4" hidden="1" x14ac:dyDescent="0.3">
      <c r="A302">
        <v>300</v>
      </c>
      <c r="B302" t="s">
        <v>424</v>
      </c>
      <c r="C302" t="s">
        <v>73</v>
      </c>
      <c r="D302">
        <v>0.99995615650733805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425</v>
      </c>
      <c r="C306" t="s">
        <v>81</v>
      </c>
      <c r="D306" s="1" t="s">
        <v>426</v>
      </c>
    </row>
    <row r="307" spans="1:4" hidden="1" x14ac:dyDescent="0.3">
      <c r="A307">
        <v>305</v>
      </c>
      <c r="B307" t="s">
        <v>427</v>
      </c>
      <c r="C307" t="s">
        <v>84</v>
      </c>
      <c r="D307">
        <v>0.99997982789900197</v>
      </c>
    </row>
    <row r="308" spans="1:4" hidden="1" x14ac:dyDescent="0.3">
      <c r="A308">
        <v>306</v>
      </c>
      <c r="B308" s="1" t="s">
        <v>428</v>
      </c>
      <c r="C308" t="s">
        <v>86</v>
      </c>
      <c r="D308" s="1" t="s">
        <v>429</v>
      </c>
    </row>
    <row r="309" spans="1:4" hidden="1" x14ac:dyDescent="0.3">
      <c r="A309">
        <v>307</v>
      </c>
      <c r="B309" t="s">
        <v>430</v>
      </c>
      <c r="C309" t="s">
        <v>89</v>
      </c>
      <c r="D309">
        <v>100002017.250792</v>
      </c>
    </row>
    <row r="310" spans="1:4" hidden="1" x14ac:dyDescent="0.3">
      <c r="A310">
        <v>308</v>
      </c>
      <c r="B310" s="1" t="s">
        <v>431</v>
      </c>
      <c r="C310" t="s">
        <v>91</v>
      </c>
      <c r="D310" s="1" t="s">
        <v>377</v>
      </c>
    </row>
    <row r="311" spans="1:4" hidden="1" x14ac:dyDescent="0.3">
      <c r="A311">
        <v>309</v>
      </c>
      <c r="B311" t="s">
        <v>432</v>
      </c>
      <c r="C311" t="s">
        <v>94</v>
      </c>
      <c r="D311">
        <v>79994205.122690797</v>
      </c>
    </row>
    <row r="312" spans="1:4" hidden="1" x14ac:dyDescent="0.3">
      <c r="A312">
        <v>310</v>
      </c>
      <c r="B312" t="s">
        <v>433</v>
      </c>
      <c r="C312" t="s">
        <v>96</v>
      </c>
      <c r="D312">
        <v>39997542.897874102</v>
      </c>
    </row>
    <row r="313" spans="1:4" hidden="1" x14ac:dyDescent="0.3">
      <c r="A313">
        <v>311</v>
      </c>
      <c r="B313" t="s">
        <v>434</v>
      </c>
      <c r="C313" t="s">
        <v>98</v>
      </c>
      <c r="D313">
        <v>29985604.7862501</v>
      </c>
    </row>
    <row r="314" spans="1:4" hidden="1" x14ac:dyDescent="0.3">
      <c r="A314">
        <v>312</v>
      </c>
      <c r="B314" s="1" t="s">
        <v>435</v>
      </c>
      <c r="C314" t="s">
        <v>100</v>
      </c>
      <c r="D314" s="1" t="s">
        <v>436</v>
      </c>
    </row>
    <row r="315" spans="1:4" hidden="1" x14ac:dyDescent="0.3">
      <c r="A315">
        <v>313</v>
      </c>
      <c r="B315" t="s">
        <v>437</v>
      </c>
      <c r="C315" t="s">
        <v>103</v>
      </c>
      <c r="D315">
        <v>7.0876191424557996E-3</v>
      </c>
    </row>
    <row r="316" spans="1:4" hidden="1" x14ac:dyDescent="0.3">
      <c r="A316">
        <v>314</v>
      </c>
      <c r="B316" t="s">
        <v>438</v>
      </c>
      <c r="C316" t="s">
        <v>105</v>
      </c>
      <c r="D316">
        <v>1.91370806170429E-3</v>
      </c>
    </row>
    <row r="317" spans="1:4" hidden="1" x14ac:dyDescent="0.3">
      <c r="A317">
        <v>315</v>
      </c>
      <c r="B317" t="s">
        <v>439</v>
      </c>
      <c r="C317" t="s">
        <v>107</v>
      </c>
      <c r="D317">
        <v>1.3147153468890199E-2</v>
      </c>
    </row>
    <row r="318" spans="1:4" hidden="1" x14ac:dyDescent="0.3">
      <c r="A318">
        <v>316</v>
      </c>
      <c r="B318" s="1" t="s">
        <v>440</v>
      </c>
      <c r="C318" t="s">
        <v>109</v>
      </c>
      <c r="D318" s="1" t="s">
        <v>441</v>
      </c>
    </row>
    <row r="319" spans="1:4" x14ac:dyDescent="0.3">
      <c r="A319">
        <v>317</v>
      </c>
      <c r="B319" t="s">
        <v>442</v>
      </c>
      <c r="C319" t="s">
        <v>197</v>
      </c>
      <c r="D319">
        <v>149978172.048875</v>
      </c>
    </row>
    <row r="320" spans="1:4" hidden="1" x14ac:dyDescent="0.3">
      <c r="A320">
        <v>318</v>
      </c>
      <c r="B320" t="s">
        <v>443</v>
      </c>
      <c r="C320" t="s">
        <v>199</v>
      </c>
      <c r="D320">
        <v>-1893.67153173048</v>
      </c>
    </row>
    <row r="321" spans="1:4" hidden="1" x14ac:dyDescent="0.3">
      <c r="A321">
        <v>319</v>
      </c>
      <c r="B321" t="s">
        <v>444</v>
      </c>
      <c r="C321" t="s">
        <v>201</v>
      </c>
      <c r="D321">
        <v>-946.841822383259</v>
      </c>
    </row>
    <row r="322" spans="1:4" hidden="1" x14ac:dyDescent="0.3">
      <c r="A322">
        <v>320</v>
      </c>
      <c r="B322" s="1" t="s">
        <v>445</v>
      </c>
      <c r="C322" t="s">
        <v>203</v>
      </c>
      <c r="D322" s="1" t="s">
        <v>446</v>
      </c>
    </row>
    <row r="323" spans="1:4" hidden="1" x14ac:dyDescent="0.3">
      <c r="A323">
        <v>321</v>
      </c>
      <c r="B323" t="s">
        <v>447</v>
      </c>
      <c r="C323" t="s">
        <v>206</v>
      </c>
      <c r="D323">
        <v>79996704.853673905</v>
      </c>
    </row>
    <row r="324" spans="1:4" hidden="1" x14ac:dyDescent="0.3">
      <c r="A324">
        <v>322</v>
      </c>
      <c r="B324" t="s">
        <v>448</v>
      </c>
      <c r="C324" t="s">
        <v>208</v>
      </c>
      <c r="D324">
        <v>39998608.279806197</v>
      </c>
    </row>
    <row r="325" spans="1:4" hidden="1" x14ac:dyDescent="0.3">
      <c r="A325">
        <v>323</v>
      </c>
      <c r="B325" t="s">
        <v>449</v>
      </c>
      <c r="C325" t="s">
        <v>210</v>
      </c>
      <c r="D325">
        <v>29986409.263106801</v>
      </c>
    </row>
    <row r="326" spans="1:4" hidden="1" x14ac:dyDescent="0.3">
      <c r="A326">
        <v>324</v>
      </c>
      <c r="B326" s="1" t="s">
        <v>450</v>
      </c>
      <c r="C326" t="s">
        <v>212</v>
      </c>
      <c r="D326" s="1" t="s">
        <v>451</v>
      </c>
    </row>
    <row r="327" spans="1:4" hidden="1" x14ac:dyDescent="0.3">
      <c r="A327">
        <v>325</v>
      </c>
      <c r="B327" t="s">
        <v>452</v>
      </c>
      <c r="C327" t="s">
        <v>215</v>
      </c>
      <c r="D327">
        <v>100004384.541499</v>
      </c>
    </row>
    <row r="328" spans="1:4" hidden="1" x14ac:dyDescent="0.3">
      <c r="A328">
        <v>326</v>
      </c>
      <c r="B328" t="s">
        <v>453</v>
      </c>
      <c r="C328" t="s">
        <v>217</v>
      </c>
      <c r="D328">
        <v>-2367.2907077968098</v>
      </c>
    </row>
    <row r="329" spans="1:4" hidden="1" x14ac:dyDescent="0.3">
      <c r="A329">
        <v>327</v>
      </c>
      <c r="B329" s="1" t="s">
        <v>454</v>
      </c>
      <c r="C329" t="s">
        <v>219</v>
      </c>
      <c r="D329" s="1" t="s">
        <v>455</v>
      </c>
    </row>
    <row r="330" spans="1:4" hidden="1" x14ac:dyDescent="0.3">
      <c r="A330">
        <v>328</v>
      </c>
      <c r="B330" t="s">
        <v>456</v>
      </c>
      <c r="C330" t="s">
        <v>112</v>
      </c>
      <c r="D330">
        <v>606.059451348994</v>
      </c>
    </row>
    <row r="331" spans="1:4" hidden="1" x14ac:dyDescent="0.3">
      <c r="A331">
        <v>329</v>
      </c>
      <c r="B331" t="s">
        <v>457</v>
      </c>
      <c r="C331" t="s">
        <v>114</v>
      </c>
      <c r="D331">
        <v>118.540109709436</v>
      </c>
    </row>
    <row r="332" spans="1:4" hidden="1" x14ac:dyDescent="0.3">
      <c r="A332">
        <v>330</v>
      </c>
      <c r="B332" s="1" t="s">
        <v>458</v>
      </c>
      <c r="C332" t="s">
        <v>116</v>
      </c>
      <c r="D332" s="1" t="s">
        <v>459</v>
      </c>
    </row>
    <row r="333" spans="1:4" hidden="1" x14ac:dyDescent="0.3">
      <c r="A333">
        <v>331</v>
      </c>
      <c r="B333" t="s">
        <v>460</v>
      </c>
      <c r="C333" t="s">
        <v>119</v>
      </c>
      <c r="D333">
        <v>79996704.853673905</v>
      </c>
    </row>
    <row r="334" spans="1:4" hidden="1" x14ac:dyDescent="0.3">
      <c r="A334">
        <v>332</v>
      </c>
      <c r="B334" t="s">
        <v>461</v>
      </c>
      <c r="C334" t="s">
        <v>121</v>
      </c>
      <c r="D334">
        <v>39998608.279806197</v>
      </c>
    </row>
    <row r="335" spans="1:4" hidden="1" x14ac:dyDescent="0.3">
      <c r="A335">
        <v>333</v>
      </c>
      <c r="B335" s="1" t="s">
        <v>462</v>
      </c>
      <c r="C335" t="s">
        <v>123</v>
      </c>
      <c r="D335" s="1" t="s">
        <v>463</v>
      </c>
    </row>
    <row r="336" spans="1:4" hidden="1" x14ac:dyDescent="0.3">
      <c r="A336">
        <v>334</v>
      </c>
      <c r="B336" t="s">
        <v>464</v>
      </c>
      <c r="C336" t="s">
        <v>126</v>
      </c>
      <c r="D336">
        <v>0.799948111821421</v>
      </c>
    </row>
    <row r="337" spans="1:4" hidden="1" x14ac:dyDescent="0.3">
      <c r="A337">
        <v>335</v>
      </c>
      <c r="B337" t="s">
        <v>465</v>
      </c>
      <c r="C337" t="s">
        <v>128</v>
      </c>
      <c r="D337">
        <v>0.399976614379838</v>
      </c>
    </row>
    <row r="338" spans="1:4" hidden="1" x14ac:dyDescent="0.3">
      <c r="A338">
        <v>336</v>
      </c>
      <c r="B338" s="1" t="s">
        <v>466</v>
      </c>
      <c r="C338" t="s">
        <v>130</v>
      </c>
      <c r="D338" s="1" t="s">
        <v>467</v>
      </c>
    </row>
    <row r="339" spans="1:4" hidden="1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1915.48</v>
      </c>
    </row>
    <row r="341" spans="1:4" hidden="1" x14ac:dyDescent="0.3">
      <c r="A341">
        <v>339</v>
      </c>
      <c r="B341" s="1" t="s">
        <v>132</v>
      </c>
      <c r="C341" t="s">
        <v>9</v>
      </c>
      <c r="D341" s="1" t="s">
        <v>133</v>
      </c>
    </row>
    <row r="342" spans="1:4" hidden="1" x14ac:dyDescent="0.3">
      <c r="A342">
        <v>340</v>
      </c>
      <c r="B342" t="s">
        <v>13</v>
      </c>
      <c r="C342" t="s">
        <v>14</v>
      </c>
      <c r="D342">
        <v>90.31640625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4.1960836818674796</v>
      </c>
    </row>
    <row r="344" spans="1:4" hidden="1" x14ac:dyDescent="0.3">
      <c r="A344">
        <v>342</v>
      </c>
      <c r="B344" s="1" t="s">
        <v>134</v>
      </c>
      <c r="C344" t="s">
        <v>135</v>
      </c>
      <c r="D344" s="1" t="s">
        <v>136</v>
      </c>
    </row>
    <row r="345" spans="1:4" hidden="1" x14ac:dyDescent="0.3">
      <c r="A345">
        <v>343</v>
      </c>
      <c r="B345" t="s">
        <v>21</v>
      </c>
      <c r="C345" t="s">
        <v>22</v>
      </c>
      <c r="D345">
        <v>37.4</v>
      </c>
    </row>
    <row r="346" spans="1:4" hidden="1" x14ac:dyDescent="0.3">
      <c r="A346">
        <v>344</v>
      </c>
      <c r="B346" t="s">
        <v>468</v>
      </c>
      <c r="C346" t="s">
        <v>24</v>
      </c>
      <c r="D346">
        <v>6.3858331331204496</v>
      </c>
    </row>
    <row r="347" spans="1:4" hidden="1" x14ac:dyDescent="0.3">
      <c r="A347">
        <v>345</v>
      </c>
      <c r="B347" s="1" t="s">
        <v>469</v>
      </c>
      <c r="C347" t="s">
        <v>139</v>
      </c>
      <c r="D347" s="1" t="s">
        <v>470</v>
      </c>
    </row>
    <row r="348" spans="1:4" hidden="1" x14ac:dyDescent="0.3">
      <c r="A348">
        <v>346</v>
      </c>
      <c r="B348" t="s">
        <v>471</v>
      </c>
      <c r="C348" t="s">
        <v>35</v>
      </c>
      <c r="D348">
        <v>-1.0351999702694601</v>
      </c>
    </row>
    <row r="349" spans="1:4" hidden="1" x14ac:dyDescent="0.3">
      <c r="A349">
        <v>347</v>
      </c>
      <c r="B349" t="s">
        <v>472</v>
      </c>
      <c r="C349" t="s">
        <v>143</v>
      </c>
      <c r="D349">
        <v>0.62236712584921605</v>
      </c>
    </row>
    <row r="350" spans="1:4" hidden="1" x14ac:dyDescent="0.3">
      <c r="A350">
        <v>348</v>
      </c>
      <c r="B350" s="1" t="s">
        <v>473</v>
      </c>
      <c r="C350" t="s">
        <v>145</v>
      </c>
      <c r="D350" s="1" t="s">
        <v>474</v>
      </c>
    </row>
    <row r="351" spans="1:4" hidden="1" x14ac:dyDescent="0.3">
      <c r="A351">
        <v>349</v>
      </c>
      <c r="B351" t="s">
        <v>475</v>
      </c>
      <c r="C351" t="s">
        <v>30</v>
      </c>
      <c r="D351">
        <v>0.80377139475437498</v>
      </c>
    </row>
    <row r="352" spans="1:4" hidden="1" x14ac:dyDescent="0.3">
      <c r="A352">
        <v>350</v>
      </c>
      <c r="B352" t="s">
        <v>476</v>
      </c>
      <c r="C352" t="s">
        <v>32</v>
      </c>
      <c r="D352">
        <v>0.333882679339706</v>
      </c>
    </row>
    <row r="353" spans="1:4" hidden="1" x14ac:dyDescent="0.3">
      <c r="A353">
        <v>351</v>
      </c>
      <c r="B353" s="1" t="s">
        <v>477</v>
      </c>
      <c r="C353" t="s">
        <v>149</v>
      </c>
      <c r="D353" s="1" t="s">
        <v>478</v>
      </c>
    </row>
    <row r="354" spans="1:4" hidden="1" x14ac:dyDescent="0.3">
      <c r="A354">
        <v>352</v>
      </c>
      <c r="B354" t="s">
        <v>479</v>
      </c>
      <c r="C354" t="s">
        <v>40</v>
      </c>
      <c r="D354">
        <v>1.23142857551509</v>
      </c>
    </row>
    <row r="355" spans="1:4" hidden="1" x14ac:dyDescent="0.3">
      <c r="A355">
        <v>353</v>
      </c>
      <c r="B355" t="s">
        <v>480</v>
      </c>
      <c r="C355" t="s">
        <v>42</v>
      </c>
      <c r="D355">
        <v>0.272885992182757</v>
      </c>
    </row>
    <row r="356" spans="1:4" hidden="1" x14ac:dyDescent="0.3">
      <c r="A356">
        <v>354</v>
      </c>
      <c r="B356" s="1" t="s">
        <v>481</v>
      </c>
      <c r="C356" t="s">
        <v>153</v>
      </c>
      <c r="D356" s="1" t="s">
        <v>482</v>
      </c>
    </row>
    <row r="357" spans="1:4" hidden="1" x14ac:dyDescent="0.3">
      <c r="A357">
        <v>355</v>
      </c>
      <c r="B357" t="s">
        <v>154</v>
      </c>
      <c r="C357" t="s">
        <v>155</v>
      </c>
      <c r="D357">
        <v>1</v>
      </c>
    </row>
    <row r="358" spans="1:4" hidden="1" x14ac:dyDescent="0.3">
      <c r="A358">
        <v>356</v>
      </c>
      <c r="B358" t="s">
        <v>156</v>
      </c>
      <c r="C358" t="s">
        <v>157</v>
      </c>
      <c r="D358">
        <v>1</v>
      </c>
    </row>
    <row r="359" spans="1:4" hidden="1" x14ac:dyDescent="0.3">
      <c r="A359">
        <v>357</v>
      </c>
      <c r="B359" s="1" t="s">
        <v>483</v>
      </c>
      <c r="C359" t="s">
        <v>159</v>
      </c>
      <c r="D359" s="1" t="s">
        <v>484</v>
      </c>
    </row>
    <row r="360" spans="1:4" hidden="1" x14ac:dyDescent="0.3">
      <c r="A360">
        <v>358</v>
      </c>
      <c r="B360" t="s">
        <v>485</v>
      </c>
      <c r="C360" t="s">
        <v>162</v>
      </c>
      <c r="D360">
        <v>0.99902369791483403</v>
      </c>
    </row>
    <row r="361" spans="1:4" hidden="1" x14ac:dyDescent="0.3">
      <c r="A361">
        <v>359</v>
      </c>
      <c r="B361" t="s">
        <v>486</v>
      </c>
      <c r="C361" t="s">
        <v>164</v>
      </c>
      <c r="D361">
        <v>1.0016433506022899</v>
      </c>
    </row>
    <row r="362" spans="1:4" hidden="1" x14ac:dyDescent="0.3">
      <c r="A362">
        <v>360</v>
      </c>
      <c r="B362" s="1" t="s">
        <v>487</v>
      </c>
      <c r="C362" t="s">
        <v>166</v>
      </c>
      <c r="D362" s="1" t="s">
        <v>488</v>
      </c>
    </row>
    <row r="363" spans="1:4" hidden="1" x14ac:dyDescent="0.3">
      <c r="A363">
        <v>361</v>
      </c>
      <c r="B363" s="1" t="s">
        <v>489</v>
      </c>
      <c r="C363" t="s">
        <v>55</v>
      </c>
      <c r="D363" s="1" t="s">
        <v>490</v>
      </c>
    </row>
    <row r="364" spans="1:4" hidden="1" x14ac:dyDescent="0.3">
      <c r="A364">
        <v>362</v>
      </c>
      <c r="B364" s="1" t="s">
        <v>491</v>
      </c>
      <c r="C364" t="s">
        <v>52</v>
      </c>
      <c r="D364" s="1" t="s">
        <v>492</v>
      </c>
    </row>
    <row r="365" spans="1:4" hidden="1" x14ac:dyDescent="0.3">
      <c r="A365">
        <v>363</v>
      </c>
      <c r="B365" s="1" t="s">
        <v>493</v>
      </c>
      <c r="C365" t="s">
        <v>58</v>
      </c>
      <c r="D365" s="1" t="s">
        <v>494</v>
      </c>
    </row>
    <row r="366" spans="1:4" hidden="1" x14ac:dyDescent="0.3">
      <c r="A366">
        <v>364</v>
      </c>
      <c r="B366" t="s">
        <v>495</v>
      </c>
      <c r="C366" t="s">
        <v>61</v>
      </c>
      <c r="D366">
        <v>149982246.86590201</v>
      </c>
    </row>
    <row r="367" spans="1:4" hidden="1" x14ac:dyDescent="0.3">
      <c r="A367">
        <v>365</v>
      </c>
      <c r="B367" t="s">
        <v>496</v>
      </c>
      <c r="C367" t="s">
        <v>63</v>
      </c>
      <c r="D367">
        <v>79996704.853673905</v>
      </c>
    </row>
    <row r="368" spans="1:4" hidden="1" x14ac:dyDescent="0.3">
      <c r="A368">
        <v>366</v>
      </c>
      <c r="B368" t="s">
        <v>497</v>
      </c>
      <c r="C368" t="s">
        <v>65</v>
      </c>
      <c r="D368">
        <v>39998608.279806197</v>
      </c>
    </row>
    <row r="369" spans="1:4" hidden="1" x14ac:dyDescent="0.3">
      <c r="A369">
        <v>367</v>
      </c>
      <c r="B369" s="1" t="s">
        <v>498</v>
      </c>
      <c r="C369" t="s">
        <v>67</v>
      </c>
      <c r="D369" s="1" t="s">
        <v>499</v>
      </c>
    </row>
    <row r="370" spans="1:4" hidden="1" x14ac:dyDescent="0.3">
      <c r="A370">
        <v>368</v>
      </c>
      <c r="B370" s="1" t="s">
        <v>500</v>
      </c>
      <c r="C370" t="s">
        <v>70</v>
      </c>
      <c r="D370" s="1" t="s">
        <v>501</v>
      </c>
    </row>
    <row r="371" spans="1:4" hidden="1" x14ac:dyDescent="0.3">
      <c r="A371">
        <v>369</v>
      </c>
      <c r="B371" t="s">
        <v>502</v>
      </c>
      <c r="C371" t="s">
        <v>73</v>
      </c>
      <c r="D371">
        <v>0.99997982789900197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503</v>
      </c>
      <c r="C374" t="s">
        <v>79</v>
      </c>
      <c r="D374" s="2">
        <v>-2.2204460492503101E-16</v>
      </c>
    </row>
    <row r="375" spans="1:4" hidden="1" x14ac:dyDescent="0.3">
      <c r="A375">
        <v>373</v>
      </c>
      <c r="B375" s="1" t="s">
        <v>504</v>
      </c>
      <c r="C375" t="s">
        <v>81</v>
      </c>
      <c r="D375" s="1" t="s">
        <v>505</v>
      </c>
    </row>
    <row r="376" spans="1:4" hidden="1" x14ac:dyDescent="0.3">
      <c r="A376">
        <v>374</v>
      </c>
      <c r="B376" t="s">
        <v>506</v>
      </c>
      <c r="C376" t="s">
        <v>84</v>
      </c>
      <c r="D376">
        <v>0.99998966979703396</v>
      </c>
    </row>
    <row r="377" spans="1:4" hidden="1" x14ac:dyDescent="0.3">
      <c r="A377">
        <v>375</v>
      </c>
      <c r="B377" s="1" t="s">
        <v>507</v>
      </c>
      <c r="C377" t="s">
        <v>86</v>
      </c>
      <c r="D377" s="1" t="s">
        <v>508</v>
      </c>
    </row>
    <row r="378" spans="1:4" hidden="1" x14ac:dyDescent="0.3">
      <c r="A378">
        <v>376</v>
      </c>
      <c r="B378" t="s">
        <v>509</v>
      </c>
      <c r="C378" t="s">
        <v>89</v>
      </c>
      <c r="D378">
        <v>100001033.030967</v>
      </c>
    </row>
    <row r="379" spans="1:4" hidden="1" x14ac:dyDescent="0.3">
      <c r="A379">
        <v>377</v>
      </c>
      <c r="B379" s="1" t="s">
        <v>510</v>
      </c>
      <c r="C379" t="s">
        <v>91</v>
      </c>
      <c r="D379" s="1" t="s">
        <v>455</v>
      </c>
    </row>
    <row r="380" spans="1:4" hidden="1" x14ac:dyDescent="0.3">
      <c r="A380">
        <v>378</v>
      </c>
      <c r="B380" t="s">
        <v>511</v>
      </c>
      <c r="C380" t="s">
        <v>94</v>
      </c>
      <c r="D380">
        <v>79996704.853673905</v>
      </c>
    </row>
    <row r="381" spans="1:4" hidden="1" x14ac:dyDescent="0.3">
      <c r="A381">
        <v>379</v>
      </c>
      <c r="B381" t="s">
        <v>512</v>
      </c>
      <c r="C381" t="s">
        <v>96</v>
      </c>
      <c r="D381">
        <v>39998608.279806197</v>
      </c>
    </row>
    <row r="382" spans="1:4" hidden="1" x14ac:dyDescent="0.3">
      <c r="A382">
        <v>380</v>
      </c>
      <c r="B382" t="s">
        <v>513</v>
      </c>
      <c r="C382" t="s">
        <v>98</v>
      </c>
      <c r="D382">
        <v>29986933.7324223</v>
      </c>
    </row>
    <row r="383" spans="1:4" hidden="1" x14ac:dyDescent="0.3">
      <c r="A383">
        <v>381</v>
      </c>
      <c r="B383" s="1" t="s">
        <v>514</v>
      </c>
      <c r="C383" t="s">
        <v>100</v>
      </c>
      <c r="D383" s="1" t="s">
        <v>515</v>
      </c>
    </row>
    <row r="384" spans="1:4" hidden="1" x14ac:dyDescent="0.3">
      <c r="A384">
        <v>382</v>
      </c>
      <c r="B384" t="s">
        <v>516</v>
      </c>
      <c r="C384" t="s">
        <v>103</v>
      </c>
      <c r="D384">
        <v>7.0726233980539302E-3</v>
      </c>
    </row>
    <row r="385" spans="1:4" hidden="1" x14ac:dyDescent="0.3">
      <c r="A385">
        <v>383</v>
      </c>
      <c r="B385" t="s">
        <v>517</v>
      </c>
      <c r="C385" t="s">
        <v>105</v>
      </c>
      <c r="D385">
        <v>1.923830847479E-3</v>
      </c>
    </row>
    <row r="386" spans="1:4" hidden="1" x14ac:dyDescent="0.3">
      <c r="A386">
        <v>384</v>
      </c>
      <c r="B386" t="s">
        <v>518</v>
      </c>
      <c r="C386" t="s">
        <v>107</v>
      </c>
      <c r="D386">
        <v>1.31373231074859E-2</v>
      </c>
    </row>
    <row r="387" spans="1:4" hidden="1" x14ac:dyDescent="0.3">
      <c r="A387">
        <v>385</v>
      </c>
      <c r="B387" s="1" t="s">
        <v>519</v>
      </c>
      <c r="C387" t="s">
        <v>109</v>
      </c>
      <c r="D387" s="1" t="s">
        <v>520</v>
      </c>
    </row>
    <row r="388" spans="1:4" x14ac:dyDescent="0.3">
      <c r="A388">
        <v>386</v>
      </c>
      <c r="B388" t="s">
        <v>521</v>
      </c>
      <c r="C388" t="s">
        <v>197</v>
      </c>
      <c r="D388">
        <v>149982587.365127</v>
      </c>
    </row>
    <row r="389" spans="1:4" hidden="1" x14ac:dyDescent="0.3">
      <c r="A389">
        <v>387</v>
      </c>
      <c r="B389" t="s">
        <v>522</v>
      </c>
      <c r="C389" t="s">
        <v>199</v>
      </c>
      <c r="D389">
        <v>-787.33787762625298</v>
      </c>
    </row>
    <row r="390" spans="1:4" hidden="1" x14ac:dyDescent="0.3">
      <c r="A390">
        <v>388</v>
      </c>
      <c r="B390" t="s">
        <v>523</v>
      </c>
      <c r="C390" t="s">
        <v>201</v>
      </c>
      <c r="D390">
        <v>-393.670669784658</v>
      </c>
    </row>
    <row r="391" spans="1:4" hidden="1" x14ac:dyDescent="0.3">
      <c r="A391">
        <v>389</v>
      </c>
      <c r="B391" s="1" t="s">
        <v>524</v>
      </c>
      <c r="C391" t="s">
        <v>203</v>
      </c>
      <c r="D391" s="1" t="s">
        <v>525</v>
      </c>
    </row>
    <row r="392" spans="1:4" hidden="1" x14ac:dyDescent="0.3">
      <c r="A392">
        <v>390</v>
      </c>
      <c r="B392" t="s">
        <v>526</v>
      </c>
      <c r="C392" t="s">
        <v>206</v>
      </c>
      <c r="D392">
        <v>79997754.665131494</v>
      </c>
    </row>
    <row r="393" spans="1:4" hidden="1" x14ac:dyDescent="0.3">
      <c r="A393">
        <v>391</v>
      </c>
      <c r="B393" t="s">
        <v>527</v>
      </c>
      <c r="C393" t="s">
        <v>208</v>
      </c>
      <c r="D393">
        <v>39999053.2085649</v>
      </c>
    </row>
    <row r="394" spans="1:4" hidden="1" x14ac:dyDescent="0.3">
      <c r="A394">
        <v>392</v>
      </c>
      <c r="B394" t="s">
        <v>528</v>
      </c>
      <c r="C394" t="s">
        <v>210</v>
      </c>
      <c r="D394">
        <v>29987255.634539701</v>
      </c>
    </row>
    <row r="395" spans="1:4" hidden="1" x14ac:dyDescent="0.3">
      <c r="A395">
        <v>393</v>
      </c>
      <c r="B395" s="1" t="s">
        <v>529</v>
      </c>
      <c r="C395" t="s">
        <v>212</v>
      </c>
      <c r="D395" s="1" t="s">
        <v>530</v>
      </c>
    </row>
    <row r="396" spans="1:4" hidden="1" x14ac:dyDescent="0.3">
      <c r="A396">
        <v>394</v>
      </c>
      <c r="B396" t="s">
        <v>531</v>
      </c>
      <c r="C396" t="s">
        <v>215</v>
      </c>
      <c r="D396">
        <v>100002017.250792</v>
      </c>
    </row>
    <row r="397" spans="1:4" hidden="1" x14ac:dyDescent="0.3">
      <c r="A397">
        <v>395</v>
      </c>
      <c r="B397" t="s">
        <v>532</v>
      </c>
      <c r="C397" t="s">
        <v>217</v>
      </c>
      <c r="D397">
        <v>-984.21982404589596</v>
      </c>
    </row>
    <row r="398" spans="1:4" hidden="1" x14ac:dyDescent="0.3">
      <c r="A398">
        <v>396</v>
      </c>
      <c r="B398" s="1" t="s">
        <v>533</v>
      </c>
      <c r="C398" t="s">
        <v>219</v>
      </c>
      <c r="D398" s="1" t="s">
        <v>534</v>
      </c>
    </row>
    <row r="399" spans="1:4" hidden="1" x14ac:dyDescent="0.3">
      <c r="A399">
        <v>397</v>
      </c>
      <c r="B399" t="s">
        <v>535</v>
      </c>
      <c r="C399" t="s">
        <v>112</v>
      </c>
      <c r="D399">
        <v>262.47357998171401</v>
      </c>
    </row>
    <row r="400" spans="1:4" hidden="1" x14ac:dyDescent="0.3">
      <c r="A400">
        <v>398</v>
      </c>
      <c r="B400" t="s">
        <v>536</v>
      </c>
      <c r="C400" t="s">
        <v>114</v>
      </c>
      <c r="D400">
        <v>51.258088953488802</v>
      </c>
    </row>
    <row r="401" spans="1:4" hidden="1" x14ac:dyDescent="0.3">
      <c r="A401">
        <v>399</v>
      </c>
      <c r="B401" s="1" t="s">
        <v>537</v>
      </c>
      <c r="C401" t="s">
        <v>116</v>
      </c>
      <c r="D401" s="1" t="s">
        <v>538</v>
      </c>
    </row>
    <row r="402" spans="1:4" hidden="1" x14ac:dyDescent="0.3">
      <c r="A402">
        <v>400</v>
      </c>
      <c r="B402" t="s">
        <v>539</v>
      </c>
      <c r="C402" t="s">
        <v>119</v>
      </c>
      <c r="D402">
        <v>79997754.665131494</v>
      </c>
    </row>
    <row r="403" spans="1:4" hidden="1" x14ac:dyDescent="0.3">
      <c r="A403">
        <v>401</v>
      </c>
      <c r="B403" t="s">
        <v>540</v>
      </c>
      <c r="C403" t="s">
        <v>121</v>
      </c>
      <c r="D403">
        <v>39999053.2085649</v>
      </c>
    </row>
    <row r="404" spans="1:4" hidden="1" x14ac:dyDescent="0.3">
      <c r="A404">
        <v>402</v>
      </c>
      <c r="B404" s="1" t="s">
        <v>541</v>
      </c>
      <c r="C404" t="s">
        <v>123</v>
      </c>
      <c r="D404" s="1" t="s">
        <v>542</v>
      </c>
    </row>
    <row r="405" spans="1:4" hidden="1" x14ac:dyDescent="0.3">
      <c r="A405">
        <v>403</v>
      </c>
      <c r="B405" t="s">
        <v>543</v>
      </c>
      <c r="C405" t="s">
        <v>126</v>
      </c>
      <c r="D405">
        <v>0.79996967327253898</v>
      </c>
    </row>
    <row r="406" spans="1:4" hidden="1" x14ac:dyDescent="0.3">
      <c r="A406">
        <v>404</v>
      </c>
      <c r="B406" t="s">
        <v>544</v>
      </c>
      <c r="C406" t="s">
        <v>128</v>
      </c>
      <c r="D406">
        <v>0.39998659537895198</v>
      </c>
    </row>
    <row r="407" spans="1:4" hidden="1" x14ac:dyDescent="0.3">
      <c r="A407">
        <v>405</v>
      </c>
      <c r="B407" s="1" t="s">
        <v>545</v>
      </c>
      <c r="C407" t="s">
        <v>130</v>
      </c>
      <c r="D407" s="1" t="s">
        <v>546</v>
      </c>
    </row>
    <row r="408" spans="1:4" hidden="1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1915.48</v>
      </c>
    </row>
    <row r="410" spans="1:4" hidden="1" x14ac:dyDescent="0.3">
      <c r="A410">
        <v>408</v>
      </c>
      <c r="B410" s="1" t="s">
        <v>132</v>
      </c>
      <c r="C410" t="s">
        <v>9</v>
      </c>
      <c r="D410" s="1" t="s">
        <v>133</v>
      </c>
    </row>
    <row r="411" spans="1:4" hidden="1" x14ac:dyDescent="0.3">
      <c r="A411">
        <v>409</v>
      </c>
      <c r="B411" t="s">
        <v>13</v>
      </c>
      <c r="C411" t="s">
        <v>14</v>
      </c>
      <c r="D411">
        <v>90.31640625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4.1960836818674796</v>
      </c>
    </row>
    <row r="413" spans="1:4" hidden="1" x14ac:dyDescent="0.3">
      <c r="A413">
        <v>411</v>
      </c>
      <c r="B413" s="1" t="s">
        <v>134</v>
      </c>
      <c r="C413" t="s">
        <v>135</v>
      </c>
      <c r="D413" s="1" t="s">
        <v>136</v>
      </c>
    </row>
    <row r="414" spans="1:4" hidden="1" x14ac:dyDescent="0.3">
      <c r="A414">
        <v>412</v>
      </c>
      <c r="B414" t="s">
        <v>21</v>
      </c>
      <c r="C414" t="s">
        <v>22</v>
      </c>
      <c r="D414">
        <v>37.4</v>
      </c>
    </row>
    <row r="415" spans="1:4" hidden="1" x14ac:dyDescent="0.3">
      <c r="A415">
        <v>413</v>
      </c>
      <c r="B415" t="s">
        <v>547</v>
      </c>
      <c r="C415" t="s">
        <v>24</v>
      </c>
      <c r="D415">
        <v>6.3811682848796103</v>
      </c>
    </row>
    <row r="416" spans="1:4" hidden="1" x14ac:dyDescent="0.3">
      <c r="A416">
        <v>414</v>
      </c>
      <c r="B416" s="1" t="s">
        <v>548</v>
      </c>
      <c r="C416" t="s">
        <v>139</v>
      </c>
      <c r="D416" s="1" t="s">
        <v>549</v>
      </c>
    </row>
    <row r="417" spans="1:4" hidden="1" x14ac:dyDescent="0.3">
      <c r="A417">
        <v>415</v>
      </c>
      <c r="B417" t="s">
        <v>550</v>
      </c>
      <c r="C417" t="s">
        <v>35</v>
      </c>
      <c r="D417">
        <v>-1.05663299398318</v>
      </c>
    </row>
    <row r="418" spans="1:4" hidden="1" x14ac:dyDescent="0.3">
      <c r="A418">
        <v>416</v>
      </c>
      <c r="B418" t="s">
        <v>551</v>
      </c>
      <c r="C418" t="s">
        <v>143</v>
      </c>
      <c r="D418">
        <v>0.62615035065708502</v>
      </c>
    </row>
    <row r="419" spans="1:4" hidden="1" x14ac:dyDescent="0.3">
      <c r="A419">
        <v>417</v>
      </c>
      <c r="B419" s="1" t="s">
        <v>552</v>
      </c>
      <c r="C419" t="s">
        <v>145</v>
      </c>
      <c r="D419" s="1" t="s">
        <v>553</v>
      </c>
    </row>
    <row r="420" spans="1:4" hidden="1" x14ac:dyDescent="0.3">
      <c r="A420">
        <v>418</v>
      </c>
      <c r="B420" t="s">
        <v>554</v>
      </c>
      <c r="C420" t="s">
        <v>30</v>
      </c>
      <c r="D420">
        <v>0.820412866797401</v>
      </c>
    </row>
    <row r="421" spans="1:4" hidden="1" x14ac:dyDescent="0.3">
      <c r="A421">
        <v>419</v>
      </c>
      <c r="B421" t="s">
        <v>555</v>
      </c>
      <c r="C421" t="s">
        <v>32</v>
      </c>
      <c r="D421">
        <v>0.32872355771008499</v>
      </c>
    </row>
    <row r="422" spans="1:4" hidden="1" x14ac:dyDescent="0.3">
      <c r="A422">
        <v>420</v>
      </c>
      <c r="B422" s="1" t="s">
        <v>556</v>
      </c>
      <c r="C422" t="s">
        <v>149</v>
      </c>
      <c r="D422" s="1" t="s">
        <v>557</v>
      </c>
    </row>
    <row r="423" spans="1:4" hidden="1" x14ac:dyDescent="0.3">
      <c r="A423">
        <v>421</v>
      </c>
      <c r="B423" t="s">
        <v>558</v>
      </c>
      <c r="C423" t="s">
        <v>40</v>
      </c>
      <c r="D423">
        <v>1.23622012718578</v>
      </c>
    </row>
    <row r="424" spans="1:4" hidden="1" x14ac:dyDescent="0.3">
      <c r="A424">
        <v>422</v>
      </c>
      <c r="B424" t="s">
        <v>559</v>
      </c>
      <c r="C424" t="s">
        <v>42</v>
      </c>
      <c r="D424">
        <v>0.26833695491375098</v>
      </c>
    </row>
    <row r="425" spans="1:4" hidden="1" x14ac:dyDescent="0.3">
      <c r="A425">
        <v>423</v>
      </c>
      <c r="B425" s="1" t="s">
        <v>560</v>
      </c>
      <c r="C425" t="s">
        <v>153</v>
      </c>
      <c r="D425" s="1" t="s">
        <v>561</v>
      </c>
    </row>
    <row r="426" spans="1:4" hidden="1" x14ac:dyDescent="0.3">
      <c r="A426">
        <v>424</v>
      </c>
      <c r="B426" t="s">
        <v>154</v>
      </c>
      <c r="C426" t="s">
        <v>155</v>
      </c>
      <c r="D426">
        <v>1</v>
      </c>
    </row>
    <row r="427" spans="1:4" hidden="1" x14ac:dyDescent="0.3">
      <c r="A427">
        <v>425</v>
      </c>
      <c r="B427" t="s">
        <v>156</v>
      </c>
      <c r="C427" t="s">
        <v>157</v>
      </c>
      <c r="D427">
        <v>1</v>
      </c>
    </row>
    <row r="428" spans="1:4" hidden="1" x14ac:dyDescent="0.3">
      <c r="A428">
        <v>426</v>
      </c>
      <c r="B428" s="1" t="s">
        <v>562</v>
      </c>
      <c r="C428" t="s">
        <v>159</v>
      </c>
      <c r="D428" s="1" t="s">
        <v>563</v>
      </c>
    </row>
    <row r="429" spans="1:4" hidden="1" x14ac:dyDescent="0.3">
      <c r="A429">
        <v>427</v>
      </c>
      <c r="B429" t="s">
        <v>564</v>
      </c>
      <c r="C429" t="s">
        <v>162</v>
      </c>
      <c r="D429">
        <v>1.0023319165850799</v>
      </c>
    </row>
    <row r="430" spans="1:4" hidden="1" x14ac:dyDescent="0.3">
      <c r="A430">
        <v>428</v>
      </c>
      <c r="B430" t="s">
        <v>565</v>
      </c>
      <c r="C430" t="s">
        <v>164</v>
      </c>
      <c r="D430">
        <v>0.99613225232658698</v>
      </c>
    </row>
    <row r="431" spans="1:4" hidden="1" x14ac:dyDescent="0.3">
      <c r="A431">
        <v>429</v>
      </c>
      <c r="B431" s="1" t="s">
        <v>566</v>
      </c>
      <c r="C431" t="s">
        <v>166</v>
      </c>
      <c r="D431" s="1" t="s">
        <v>567</v>
      </c>
    </row>
    <row r="432" spans="1:4" hidden="1" x14ac:dyDescent="0.3">
      <c r="A432">
        <v>430</v>
      </c>
      <c r="B432" s="1" t="s">
        <v>568</v>
      </c>
      <c r="C432" t="s">
        <v>55</v>
      </c>
      <c r="D432" s="1" t="s">
        <v>569</v>
      </c>
    </row>
    <row r="433" spans="1:4" hidden="1" x14ac:dyDescent="0.3">
      <c r="A433">
        <v>431</v>
      </c>
      <c r="B433" s="1" t="s">
        <v>570</v>
      </c>
      <c r="C433" t="s">
        <v>52</v>
      </c>
      <c r="D433" s="1" t="s">
        <v>571</v>
      </c>
    </row>
    <row r="434" spans="1:4" hidden="1" x14ac:dyDescent="0.3">
      <c r="A434">
        <v>432</v>
      </c>
      <c r="B434" s="1" t="s">
        <v>572</v>
      </c>
      <c r="C434" t="s">
        <v>58</v>
      </c>
      <c r="D434" s="1" t="s">
        <v>573</v>
      </c>
    </row>
    <row r="435" spans="1:4" hidden="1" x14ac:dyDescent="0.3">
      <c r="A435">
        <v>433</v>
      </c>
      <c r="B435" t="s">
        <v>574</v>
      </c>
      <c r="C435" t="s">
        <v>61</v>
      </c>
      <c r="D435">
        <v>149980868.73068601</v>
      </c>
    </row>
    <row r="436" spans="1:4" hidden="1" x14ac:dyDescent="0.3">
      <c r="A436">
        <v>434</v>
      </c>
      <c r="B436" t="s">
        <v>575</v>
      </c>
      <c r="C436" t="s">
        <v>63</v>
      </c>
      <c r="D436">
        <v>79997754.665131494</v>
      </c>
    </row>
    <row r="437" spans="1:4" hidden="1" x14ac:dyDescent="0.3">
      <c r="A437">
        <v>435</v>
      </c>
      <c r="B437" t="s">
        <v>576</v>
      </c>
      <c r="C437" t="s">
        <v>65</v>
      </c>
      <c r="D437">
        <v>39999053.2085649</v>
      </c>
    </row>
    <row r="438" spans="1:4" hidden="1" x14ac:dyDescent="0.3">
      <c r="A438">
        <v>436</v>
      </c>
      <c r="B438" s="1" t="s">
        <v>577</v>
      </c>
      <c r="C438" t="s">
        <v>67</v>
      </c>
      <c r="D438" s="1" t="s">
        <v>578</v>
      </c>
    </row>
    <row r="439" spans="1:4" hidden="1" x14ac:dyDescent="0.3">
      <c r="A439">
        <v>437</v>
      </c>
      <c r="B439" s="1" t="s">
        <v>579</v>
      </c>
      <c r="C439" t="s">
        <v>70</v>
      </c>
      <c r="D439" s="1" t="s">
        <v>580</v>
      </c>
    </row>
    <row r="440" spans="1:4" hidden="1" x14ac:dyDescent="0.3">
      <c r="A440">
        <v>438</v>
      </c>
      <c r="B440" t="s">
        <v>581</v>
      </c>
      <c r="C440" t="s">
        <v>73</v>
      </c>
      <c r="D440">
        <v>0.99998966979703396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346</v>
      </c>
      <c r="C443" t="s">
        <v>79</v>
      </c>
      <c r="D443" s="2">
        <v>2.2204460492503101E-16</v>
      </c>
    </row>
    <row r="444" spans="1:4" hidden="1" x14ac:dyDescent="0.3">
      <c r="A444">
        <v>442</v>
      </c>
      <c r="B444" s="1" t="s">
        <v>582</v>
      </c>
      <c r="C444" t="s">
        <v>81</v>
      </c>
      <c r="D444" s="1" t="s">
        <v>583</v>
      </c>
    </row>
    <row r="445" spans="1:4" hidden="1" x14ac:dyDescent="0.3">
      <c r="A445">
        <v>443</v>
      </c>
      <c r="B445" t="s">
        <v>584</v>
      </c>
      <c r="C445" t="s">
        <v>84</v>
      </c>
      <c r="D445">
        <v>0.99998934940361905</v>
      </c>
    </row>
    <row r="446" spans="1:4" hidden="1" x14ac:dyDescent="0.3">
      <c r="A446">
        <v>444</v>
      </c>
      <c r="B446" s="1" t="s">
        <v>585</v>
      </c>
      <c r="C446" t="s">
        <v>86</v>
      </c>
      <c r="D446" s="1" t="s">
        <v>586</v>
      </c>
    </row>
    <row r="447" spans="1:4" hidden="1" x14ac:dyDescent="0.3">
      <c r="A447">
        <v>445</v>
      </c>
      <c r="B447" t="s">
        <v>587</v>
      </c>
      <c r="C447" t="s">
        <v>89</v>
      </c>
      <c r="D447">
        <v>100001065.070981</v>
      </c>
    </row>
    <row r="448" spans="1:4" hidden="1" x14ac:dyDescent="0.3">
      <c r="A448">
        <v>446</v>
      </c>
      <c r="B448" s="1" t="s">
        <v>588</v>
      </c>
      <c r="C448" t="s">
        <v>91</v>
      </c>
      <c r="D448" s="1" t="s">
        <v>534</v>
      </c>
    </row>
    <row r="449" spans="1:4" hidden="1" x14ac:dyDescent="0.3">
      <c r="A449">
        <v>447</v>
      </c>
      <c r="B449" t="s">
        <v>589</v>
      </c>
      <c r="C449" t="s">
        <v>94</v>
      </c>
      <c r="D449">
        <v>79997754.665131494</v>
      </c>
    </row>
    <row r="450" spans="1:4" hidden="1" x14ac:dyDescent="0.3">
      <c r="A450">
        <v>448</v>
      </c>
      <c r="B450" t="s">
        <v>590</v>
      </c>
      <c r="C450" t="s">
        <v>96</v>
      </c>
      <c r="D450">
        <v>39999053.2085649</v>
      </c>
    </row>
    <row r="451" spans="1:4" hidden="1" x14ac:dyDescent="0.3">
      <c r="A451">
        <v>449</v>
      </c>
      <c r="B451" t="s">
        <v>591</v>
      </c>
      <c r="C451" t="s">
        <v>98</v>
      </c>
      <c r="D451">
        <v>29984060.856989902</v>
      </c>
    </row>
    <row r="452" spans="1:4" hidden="1" x14ac:dyDescent="0.3">
      <c r="A452">
        <v>450</v>
      </c>
      <c r="B452" s="1" t="s">
        <v>592</v>
      </c>
      <c r="C452" t="s">
        <v>100</v>
      </c>
      <c r="D452" s="1" t="s">
        <v>593</v>
      </c>
    </row>
    <row r="453" spans="1:4" hidden="1" x14ac:dyDescent="0.3">
      <c r="A453">
        <v>451</v>
      </c>
      <c r="B453" t="s">
        <v>594</v>
      </c>
      <c r="C453" t="s">
        <v>103</v>
      </c>
      <c r="D453">
        <v>7.0903144479284898E-3</v>
      </c>
    </row>
    <row r="454" spans="1:4" hidden="1" x14ac:dyDescent="0.3">
      <c r="A454">
        <v>452</v>
      </c>
      <c r="B454" t="s">
        <v>595</v>
      </c>
      <c r="C454" t="s">
        <v>105</v>
      </c>
      <c r="D454">
        <v>1.9042851119510701E-3</v>
      </c>
    </row>
    <row r="455" spans="1:4" hidden="1" x14ac:dyDescent="0.3">
      <c r="A455">
        <v>453</v>
      </c>
      <c r="B455" t="s">
        <v>596</v>
      </c>
      <c r="C455" t="s">
        <v>107</v>
      </c>
      <c r="D455">
        <v>1.3197201452218799E-2</v>
      </c>
    </row>
    <row r="456" spans="1:4" hidden="1" x14ac:dyDescent="0.3">
      <c r="A456">
        <v>454</v>
      </c>
      <c r="B456" s="1" t="s">
        <v>597</v>
      </c>
      <c r="C456" t="s">
        <v>109</v>
      </c>
      <c r="D456" s="1" t="s">
        <v>598</v>
      </c>
    </row>
    <row r="457" spans="1:4" x14ac:dyDescent="0.3">
      <c r="A457">
        <v>455</v>
      </c>
      <c r="B457" t="s">
        <v>599</v>
      </c>
      <c r="C457" t="s">
        <v>197</v>
      </c>
      <c r="D457">
        <v>149980857.63449001</v>
      </c>
    </row>
    <row r="458" spans="1:4" hidden="1" x14ac:dyDescent="0.3">
      <c r="A458">
        <v>456</v>
      </c>
      <c r="B458" t="s">
        <v>600</v>
      </c>
      <c r="C458" t="s">
        <v>199</v>
      </c>
      <c r="D458">
        <v>25.6310158764053</v>
      </c>
    </row>
    <row r="459" spans="1:4" hidden="1" x14ac:dyDescent="0.3">
      <c r="A459">
        <v>457</v>
      </c>
      <c r="B459" t="s">
        <v>601</v>
      </c>
      <c r="C459" t="s">
        <v>201</v>
      </c>
      <c r="D459">
        <v>12.8155651199363</v>
      </c>
    </row>
    <row r="460" spans="1:4" hidden="1" x14ac:dyDescent="0.3">
      <c r="A460">
        <v>458</v>
      </c>
      <c r="B460" s="1" t="s">
        <v>602</v>
      </c>
      <c r="C460" t="s">
        <v>203</v>
      </c>
      <c r="D460" s="1" t="s">
        <v>603</v>
      </c>
    </row>
    <row r="461" spans="1:4" hidden="1" x14ac:dyDescent="0.3">
      <c r="A461">
        <v>459</v>
      </c>
      <c r="B461" t="s">
        <v>604</v>
      </c>
      <c r="C461" t="s">
        <v>206</v>
      </c>
      <c r="D461">
        <v>79997720.4893502</v>
      </c>
    </row>
    <row r="462" spans="1:4" hidden="1" x14ac:dyDescent="0.3">
      <c r="A462">
        <v>460</v>
      </c>
      <c r="B462" t="s">
        <v>605</v>
      </c>
      <c r="C462" t="s">
        <v>208</v>
      </c>
      <c r="D462">
        <v>39999038.716272399</v>
      </c>
    </row>
    <row r="463" spans="1:4" hidden="1" x14ac:dyDescent="0.3">
      <c r="A463">
        <v>461</v>
      </c>
      <c r="B463" t="s">
        <v>606</v>
      </c>
      <c r="C463" t="s">
        <v>210</v>
      </c>
      <c r="D463">
        <v>29984050.3754922</v>
      </c>
    </row>
    <row r="464" spans="1:4" hidden="1" x14ac:dyDescent="0.3">
      <c r="A464">
        <v>462</v>
      </c>
      <c r="B464" s="1" t="s">
        <v>607</v>
      </c>
      <c r="C464" t="s">
        <v>212</v>
      </c>
      <c r="D464" s="1" t="s">
        <v>608</v>
      </c>
    </row>
    <row r="465" spans="1:4" hidden="1" x14ac:dyDescent="0.3">
      <c r="A465">
        <v>463</v>
      </c>
      <c r="B465" t="s">
        <v>609</v>
      </c>
      <c r="C465" t="s">
        <v>215</v>
      </c>
      <c r="D465">
        <v>100001033.030967</v>
      </c>
    </row>
    <row r="466" spans="1:4" hidden="1" x14ac:dyDescent="0.3">
      <c r="A466">
        <v>464</v>
      </c>
      <c r="B466" t="s">
        <v>610</v>
      </c>
      <c r="C466" t="s">
        <v>217</v>
      </c>
      <c r="D466">
        <v>32.0400137603282</v>
      </c>
    </row>
    <row r="467" spans="1:4" hidden="1" x14ac:dyDescent="0.3">
      <c r="A467">
        <v>465</v>
      </c>
      <c r="B467" s="1" t="s">
        <v>611</v>
      </c>
      <c r="C467" t="s">
        <v>219</v>
      </c>
      <c r="D467" s="1" t="s">
        <v>612</v>
      </c>
    </row>
    <row r="468" spans="1:4" hidden="1" x14ac:dyDescent="0.3">
      <c r="A468">
        <v>466</v>
      </c>
      <c r="B468" t="s">
        <v>613</v>
      </c>
      <c r="C468" t="s">
        <v>112</v>
      </c>
      <c r="D468">
        <v>-8.5447654225668792</v>
      </c>
    </row>
    <row r="469" spans="1:4" hidden="1" x14ac:dyDescent="0.3">
      <c r="A469">
        <v>467</v>
      </c>
      <c r="B469" t="s">
        <v>614</v>
      </c>
      <c r="C469" t="s">
        <v>114</v>
      </c>
      <c r="D469">
        <v>-1.67672744799735</v>
      </c>
    </row>
    <row r="470" spans="1:4" hidden="1" x14ac:dyDescent="0.3">
      <c r="A470">
        <v>468</v>
      </c>
      <c r="B470" s="1" t="s">
        <v>615</v>
      </c>
      <c r="C470" t="s">
        <v>116</v>
      </c>
      <c r="D470" s="1" t="s">
        <v>616</v>
      </c>
    </row>
    <row r="471" spans="1:4" hidden="1" x14ac:dyDescent="0.3">
      <c r="A471">
        <v>469</v>
      </c>
      <c r="B471" t="s">
        <v>617</v>
      </c>
      <c r="C471" t="s">
        <v>119</v>
      </c>
      <c r="D471">
        <v>79997720.4893502</v>
      </c>
    </row>
    <row r="472" spans="1:4" hidden="1" x14ac:dyDescent="0.3">
      <c r="A472">
        <v>470</v>
      </c>
      <c r="B472" t="s">
        <v>618</v>
      </c>
      <c r="C472" t="s">
        <v>121</v>
      </c>
      <c r="D472">
        <v>39999038.716272399</v>
      </c>
    </row>
    <row r="473" spans="1:4" hidden="1" x14ac:dyDescent="0.3">
      <c r="A473">
        <v>471</v>
      </c>
      <c r="B473" s="1" t="s">
        <v>619</v>
      </c>
      <c r="C473" t="s">
        <v>123</v>
      </c>
      <c r="D473" s="1" t="s">
        <v>620</v>
      </c>
    </row>
    <row r="474" spans="1:4" hidden="1" x14ac:dyDescent="0.3">
      <c r="A474">
        <v>472</v>
      </c>
      <c r="B474" t="s">
        <v>621</v>
      </c>
      <c r="C474" t="s">
        <v>126</v>
      </c>
      <c r="D474">
        <v>0.79997746120366098</v>
      </c>
    </row>
    <row r="475" spans="1:4" hidden="1" x14ac:dyDescent="0.3">
      <c r="A475">
        <v>473</v>
      </c>
      <c r="B475" t="s">
        <v>622</v>
      </c>
      <c r="C475" t="s">
        <v>128</v>
      </c>
      <c r="D475">
        <v>0.39999051531837498</v>
      </c>
    </row>
    <row r="476" spans="1:4" hidden="1" x14ac:dyDescent="0.3">
      <c r="A476">
        <v>474</v>
      </c>
      <c r="B476" s="1" t="s">
        <v>623</v>
      </c>
      <c r="C476" t="s">
        <v>130</v>
      </c>
      <c r="D476" s="1" t="s">
        <v>624</v>
      </c>
    </row>
  </sheetData>
  <autoFilter ref="A1:D476" xr:uid="{15141E44-659E-47CD-975F-6BB2C55D8EFC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D6D5-95A1-44EB-B007-4F57572F6F6A}">
  <dimension ref="A1:P14"/>
  <sheetViews>
    <sheetView tabSelected="1" workbookViewId="0">
      <selection activeCell="L7" sqref="L7"/>
    </sheetView>
  </sheetViews>
  <sheetFormatPr defaultRowHeight="14.4" x14ac:dyDescent="0.3"/>
  <cols>
    <col min="2" max="2" width="13.21875" customWidth="1"/>
    <col min="5" max="5" width="14.21875" customWidth="1"/>
    <col min="12" max="13" width="10" bestFit="1" customWidth="1"/>
    <col min="14" max="14" width="12" bestFit="1" customWidth="1"/>
    <col min="15" max="15" width="9" bestFit="1" customWidth="1"/>
    <col min="16" max="16" width="12.6640625" bestFit="1" customWidth="1"/>
    <col min="17" max="17" width="9" bestFit="1" customWidth="1"/>
  </cols>
  <sheetData>
    <row r="1" spans="1:16" x14ac:dyDescent="0.3">
      <c r="B1" t="s">
        <v>91</v>
      </c>
      <c r="C1" t="s">
        <v>86</v>
      </c>
      <c r="D1" t="s">
        <v>70</v>
      </c>
      <c r="E1" t="s">
        <v>197</v>
      </c>
      <c r="K1" t="s">
        <v>2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</row>
    <row r="2" spans="1:16" x14ac:dyDescent="0.3">
      <c r="A2" t="s">
        <v>5</v>
      </c>
      <c r="B2" s="1">
        <v>100000000</v>
      </c>
      <c r="C2">
        <v>1</v>
      </c>
      <c r="D2">
        <v>1.5</v>
      </c>
      <c r="E2">
        <v>150000000</v>
      </c>
      <c r="K2" t="s">
        <v>91</v>
      </c>
      <c r="L2">
        <v>99998951.651998103</v>
      </c>
      <c r="M2">
        <v>100004384.541499</v>
      </c>
      <c r="N2">
        <v>100001543.11955173</v>
      </c>
      <c r="O2">
        <v>1158.8004688515591</v>
      </c>
      <c r="P2">
        <v>-2271.2489189490557</v>
      </c>
    </row>
    <row r="3" spans="1:16" x14ac:dyDescent="0.3">
      <c r="A3" t="s">
        <v>5</v>
      </c>
      <c r="B3" s="1">
        <v>99998951.651998103</v>
      </c>
      <c r="C3">
        <v>1.00001048358992</v>
      </c>
      <c r="D3">
        <v>1.49996669401534</v>
      </c>
      <c r="E3">
        <v>149995901.052551</v>
      </c>
      <c r="F3">
        <f>STDEV(B2:B3)</f>
        <v>741.29398118497318</v>
      </c>
      <c r="G3">
        <f t="shared" ref="G3:H3" si="0">STDEV(C2:C3)</f>
        <v>7.4130175235768499E-6</v>
      </c>
      <c r="H3">
        <f t="shared" si="0"/>
        <v>2.3550887607183726E-5</v>
      </c>
      <c r="I3">
        <f>STDEV(E2:E3)</f>
        <v>2898.3935369142737</v>
      </c>
      <c r="K3" t="s">
        <v>86</v>
      </c>
      <c r="L3">
        <v>0.99995615650733805</v>
      </c>
      <c r="M3">
        <v>1.00001048358992</v>
      </c>
      <c r="N3">
        <v>0.99998456933808233</v>
      </c>
      <c r="O3">
        <v>1.1587590070529664E-5</v>
      </c>
      <c r="P3">
        <v>-2.2711676538238141E-5</v>
      </c>
    </row>
    <row r="4" spans="1:16" x14ac:dyDescent="0.3">
      <c r="A4" t="s">
        <v>5</v>
      </c>
      <c r="B4" s="1">
        <v>100001171.78614099</v>
      </c>
      <c r="C4">
        <v>0.99998828227589298</v>
      </c>
      <c r="D4">
        <v>1.4999033861319799</v>
      </c>
      <c r="E4">
        <v>149989620.75268501</v>
      </c>
      <c r="F4">
        <f t="shared" ref="F4:F8" si="1">STDEV(B3:B4)</f>
        <v>1569.8719075817073</v>
      </c>
      <c r="G4">
        <f t="shared" ref="G4:G8" si="2">STDEV(C3:C4)</f>
        <v>1.5698699699722903E-5</v>
      </c>
      <c r="H4">
        <f t="shared" ref="H4:H8" si="3">STDEV(D3:D4)</f>
        <v>4.4765433626468401E-5</v>
      </c>
      <c r="I4">
        <f t="shared" ref="I4:I8" si="4">STDEV(E3:E4)</f>
        <v>4440.8426231271151</v>
      </c>
      <c r="K4" t="s">
        <v>70</v>
      </c>
      <c r="L4">
        <v>1.4997735280681499</v>
      </c>
      <c r="M4">
        <v>1.5</v>
      </c>
      <c r="N4">
        <v>1.4998722487772926</v>
      </c>
      <c r="O4">
        <v>3.408182500091892E-5</v>
      </c>
      <c r="P4">
        <v>-6.6800377001801086E-5</v>
      </c>
    </row>
    <row r="5" spans="1:16" x14ac:dyDescent="0.3">
      <c r="A5" t="s">
        <v>5</v>
      </c>
      <c r="B5" s="1">
        <v>100003243.57546499</v>
      </c>
      <c r="C5">
        <v>0.99996756529738995</v>
      </c>
      <c r="D5">
        <v>1.4998309772597</v>
      </c>
      <c r="E5">
        <v>149982702.81799701</v>
      </c>
      <c r="F5">
        <f t="shared" si="1"/>
        <v>1464.9762801906311</v>
      </c>
      <c r="G5">
        <f t="shared" si="2"/>
        <v>1.4649115985190251E-5</v>
      </c>
      <c r="H5">
        <f t="shared" si="3"/>
        <v>5.1200804607176063E-5</v>
      </c>
      <c r="I5">
        <f t="shared" si="4"/>
        <v>4891.718529691766</v>
      </c>
      <c r="K5" t="s">
        <v>197</v>
      </c>
      <c r="L5">
        <v>149978172.048875</v>
      </c>
      <c r="M5">
        <v>150000000</v>
      </c>
      <c r="N5">
        <v>149987120.23881787</v>
      </c>
      <c r="O5">
        <v>3296.6494309663831</v>
      </c>
      <c r="P5">
        <v>-6461.4328846941107</v>
      </c>
    </row>
    <row r="6" spans="1:16" x14ac:dyDescent="0.3">
      <c r="A6" t="s">
        <v>5</v>
      </c>
      <c r="B6" s="1">
        <v>100004384.541499</v>
      </c>
      <c r="C6">
        <v>0.99995615650733805</v>
      </c>
      <c r="D6">
        <v>1.4997735280681499</v>
      </c>
      <c r="E6">
        <v>149978172.048875</v>
      </c>
      <c r="F6">
        <f t="shared" si="1"/>
        <v>806.78481975202919</v>
      </c>
      <c r="G6">
        <f t="shared" si="2"/>
        <v>8.0672328108344594E-6</v>
      </c>
      <c r="H6">
        <f t="shared" si="3"/>
        <v>4.0622712918797257E-5</v>
      </c>
      <c r="I6">
        <f t="shared" si="4"/>
        <v>3203.7375701600085</v>
      </c>
    </row>
    <row r="7" spans="1:16" x14ac:dyDescent="0.3">
      <c r="A7" t="s">
        <v>5</v>
      </c>
      <c r="B7" s="1">
        <v>100002017.250792</v>
      </c>
      <c r="C7">
        <v>0.99997982789900197</v>
      </c>
      <c r="D7">
        <v>1.49982246865902</v>
      </c>
      <c r="E7">
        <v>149982587.365127</v>
      </c>
      <c r="F7">
        <f t="shared" si="1"/>
        <v>1673.9273119645818</v>
      </c>
      <c r="G7">
        <f t="shared" si="2"/>
        <v>1.673820156568507E-5</v>
      </c>
      <c r="H7">
        <f t="shared" si="3"/>
        <v>3.4606223679543888E-5</v>
      </c>
      <c r="I7">
        <f t="shared" si="4"/>
        <v>3122.1000628675483</v>
      </c>
    </row>
    <row r="8" spans="1:16" x14ac:dyDescent="0.3">
      <c r="A8" t="s">
        <v>5</v>
      </c>
      <c r="B8" s="1">
        <v>100001033.030967</v>
      </c>
      <c r="C8">
        <v>0.99998966979703396</v>
      </c>
      <c r="D8">
        <v>1.4998086873068599</v>
      </c>
      <c r="E8">
        <v>149980857.63449001</v>
      </c>
      <c r="F8">
        <f t="shared" si="1"/>
        <v>695.9485124354336</v>
      </c>
      <c r="G8">
        <f t="shared" si="2"/>
        <v>6.9592728381684583E-6</v>
      </c>
      <c r="H8">
        <f t="shared" si="3"/>
        <v>9.7448875663441788E-6</v>
      </c>
      <c r="I8">
        <f t="shared" si="4"/>
        <v>1223.1042630375905</v>
      </c>
    </row>
    <row r="9" spans="1:16" x14ac:dyDescent="0.3">
      <c r="A9" t="s">
        <v>625</v>
      </c>
      <c r="B9">
        <f>MIN($B$2:B8)</f>
        <v>99998951.651998103</v>
      </c>
      <c r="C9">
        <f>MIN($C$2:C8)</f>
        <v>0.99995615650733805</v>
      </c>
      <c r="D9">
        <f>MIN($D$2:D8)</f>
        <v>1.4997735280681499</v>
      </c>
      <c r="E9">
        <f>MIN($E$2:E8)</f>
        <v>149978172.048875</v>
      </c>
    </row>
    <row r="10" spans="1:16" x14ac:dyDescent="0.3">
      <c r="A10" t="s">
        <v>626</v>
      </c>
      <c r="B10">
        <f>MAX($B$2:B8)</f>
        <v>100004384.541499</v>
      </c>
      <c r="C10">
        <f>MAX($C$2:C8)</f>
        <v>1.00001048358992</v>
      </c>
      <c r="D10">
        <f>MAX($D$2:D8)</f>
        <v>1.5</v>
      </c>
      <c r="E10">
        <f>MAX($E$2:E8)</f>
        <v>150000000</v>
      </c>
    </row>
    <row r="11" spans="1:16" x14ac:dyDescent="0.3">
      <c r="A11" t="s">
        <v>627</v>
      </c>
      <c r="B11">
        <f>AVERAGE($B$2:B8)</f>
        <v>100001543.11955173</v>
      </c>
      <c r="C11">
        <f>AVERAGE($C$2:C8)</f>
        <v>0.99998456933808233</v>
      </c>
      <c r="D11">
        <f>AVERAGE($D$2:D8)</f>
        <v>1.4998722487772926</v>
      </c>
      <c r="E11" s="3">
        <f>AVERAGE($E$2:E8)</f>
        <v>149987120.23881787</v>
      </c>
    </row>
    <row r="12" spans="1:16" x14ac:dyDescent="0.3">
      <c r="A12" t="s">
        <v>628</v>
      </c>
      <c r="B12">
        <f>AVERAGE($F$2:F8)</f>
        <v>1158.8004688515591</v>
      </c>
      <c r="C12">
        <f>AVERAGE($G$2:G8)</f>
        <v>1.1587590070529664E-5</v>
      </c>
      <c r="D12">
        <f>AVERAGE($H$2:H8)</f>
        <v>3.408182500091892E-5</v>
      </c>
      <c r="E12" s="3">
        <f>AVERAGE($I$2:I8)</f>
        <v>3296.6494309663831</v>
      </c>
    </row>
    <row r="13" spans="1:16" x14ac:dyDescent="0.3">
      <c r="A13" t="s">
        <v>629</v>
      </c>
      <c r="B13">
        <f>-1.96*B12</f>
        <v>-2271.2489189490557</v>
      </c>
      <c r="C13">
        <f>-1.96*C12</f>
        <v>-2.2711676538238141E-5</v>
      </c>
      <c r="D13">
        <f t="shared" ref="D13:E13" si="5">-1.96*D12</f>
        <v>-6.6800377001801086E-5</v>
      </c>
      <c r="E13" s="3">
        <f t="shared" si="5"/>
        <v>-6461.4328846941107</v>
      </c>
    </row>
    <row r="14" spans="1:16" x14ac:dyDescent="0.3">
      <c r="B14">
        <f>B13/B11</f>
        <v>-2.2712138714037444E-5</v>
      </c>
      <c r="C14">
        <f>C13/C11</f>
        <v>-2.2712026999848241E-5</v>
      </c>
      <c r="D14">
        <f t="shared" ref="D14:E14" si="6">D13/D11</f>
        <v>-4.4537377804181166E-5</v>
      </c>
      <c r="E14">
        <f t="shared" si="6"/>
        <v>-4.307991829168969E-5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2026-02-21T11:15:48Z</dcterms:created>
  <dcterms:modified xsi:type="dcterms:W3CDTF">2026-02-21T15:03:07Z</dcterms:modified>
</cp:coreProperties>
</file>