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ile\Documents\GitHub\GTBCPS\log\test\template\"/>
    </mc:Choice>
  </mc:AlternateContent>
  <xr:revisionPtr revIDLastSave="0" documentId="13_ncr:1_{3104F367-3FBD-43CC-B411-7BCB8E73CD71}" xr6:coauthVersionLast="47" xr6:coauthVersionMax="47" xr10:uidLastSave="{00000000-0000-0000-0000-000000000000}"/>
  <bookViews>
    <workbookView xWindow="-108" yWindow="-108" windowWidth="23256" windowHeight="12456" activeTab="1" xr2:uid="{EB75FA02-601E-4878-BE9F-3E0AF58284A5}"/>
  </bookViews>
  <sheets>
    <sheet name="test_90_" sheetId="1" r:id="rId1"/>
    <sheet name="Sheet1" sheetId="2" r:id="rId2"/>
    <sheet name="Sheet2" sheetId="3" r:id="rId3"/>
  </sheets>
  <definedNames>
    <definedName name="_xlnm._FilterDatabase" localSheetId="0" hidden="1">test_90_!$A$1:$D$6203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F3" i="3"/>
  <c r="G3" i="3"/>
  <c r="H3" i="3"/>
  <c r="E4" i="3"/>
  <c r="F4" i="3"/>
  <c r="G4" i="3"/>
  <c r="H4" i="3"/>
  <c r="E5" i="3"/>
  <c r="F5" i="3"/>
  <c r="G5" i="3"/>
  <c r="H5" i="3"/>
  <c r="E6" i="3"/>
  <c r="F6" i="3"/>
  <c r="G6" i="3"/>
  <c r="H6" i="3"/>
  <c r="E7" i="3"/>
  <c r="F7" i="3"/>
  <c r="G7" i="3"/>
  <c r="H7" i="3"/>
  <c r="E8" i="3"/>
  <c r="F8" i="3"/>
  <c r="G8" i="3"/>
  <c r="H8" i="3"/>
  <c r="E9" i="3"/>
  <c r="F9" i="3"/>
  <c r="G9" i="3"/>
  <c r="H9" i="3"/>
  <c r="E10" i="3"/>
  <c r="F10" i="3"/>
  <c r="G10" i="3"/>
  <c r="H10" i="3"/>
  <c r="E11" i="3"/>
  <c r="F11" i="3"/>
  <c r="G11" i="3"/>
  <c r="H11" i="3"/>
  <c r="E12" i="3"/>
  <c r="F12" i="3"/>
  <c r="G12" i="3"/>
  <c r="H12" i="3"/>
  <c r="E13" i="3"/>
  <c r="F13" i="3"/>
  <c r="G13" i="3"/>
  <c r="H13" i="3"/>
  <c r="E14" i="3"/>
  <c r="F14" i="3"/>
  <c r="G14" i="3"/>
  <c r="H14" i="3"/>
  <c r="E15" i="3"/>
  <c r="F15" i="3"/>
  <c r="G15" i="3"/>
  <c r="H15" i="3"/>
  <c r="E16" i="3"/>
  <c r="F16" i="3"/>
  <c r="G16" i="3"/>
  <c r="H16" i="3"/>
  <c r="E17" i="3"/>
  <c r="F17" i="3"/>
  <c r="G17" i="3"/>
  <c r="H17" i="3"/>
  <c r="E18" i="3"/>
  <c r="F18" i="3"/>
  <c r="G18" i="3"/>
  <c r="H18" i="3"/>
  <c r="E19" i="3"/>
  <c r="F19" i="3"/>
  <c r="G19" i="3"/>
  <c r="H19" i="3"/>
  <c r="E20" i="3"/>
  <c r="F20" i="3"/>
  <c r="G20" i="3"/>
  <c r="H20" i="3"/>
  <c r="E21" i="3"/>
  <c r="F21" i="3"/>
  <c r="G21" i="3"/>
  <c r="H21" i="3"/>
  <c r="E22" i="3"/>
  <c r="F22" i="3"/>
  <c r="G22" i="3"/>
  <c r="H22" i="3"/>
  <c r="E23" i="3"/>
  <c r="F23" i="3"/>
  <c r="G23" i="3"/>
  <c r="H23" i="3"/>
  <c r="E24" i="3"/>
  <c r="F24" i="3"/>
  <c r="G24" i="3"/>
  <c r="H24" i="3"/>
  <c r="E25" i="3"/>
  <c r="F25" i="3"/>
  <c r="G25" i="3"/>
  <c r="H25" i="3"/>
  <c r="E26" i="3"/>
  <c r="F26" i="3"/>
  <c r="G26" i="3"/>
  <c r="H26" i="3"/>
  <c r="E27" i="3"/>
  <c r="F27" i="3"/>
  <c r="G27" i="3"/>
  <c r="H27" i="3"/>
  <c r="E28" i="3"/>
  <c r="F28" i="3"/>
  <c r="G28" i="3"/>
  <c r="H28" i="3"/>
  <c r="E29" i="3"/>
  <c r="F29" i="3"/>
  <c r="G29" i="3"/>
  <c r="H29" i="3"/>
  <c r="E30" i="3"/>
  <c r="F30" i="3"/>
  <c r="G30" i="3"/>
  <c r="H30" i="3"/>
  <c r="E31" i="3"/>
  <c r="F31" i="3"/>
  <c r="G31" i="3"/>
  <c r="H31" i="3"/>
  <c r="E32" i="3"/>
  <c r="F32" i="3"/>
  <c r="G32" i="3"/>
  <c r="H32" i="3"/>
  <c r="E33" i="3"/>
  <c r="F33" i="3"/>
  <c r="G33" i="3"/>
  <c r="H33" i="3"/>
  <c r="E34" i="3"/>
  <c r="F34" i="3"/>
  <c r="G34" i="3"/>
  <c r="H34" i="3"/>
  <c r="E35" i="3"/>
  <c r="F35" i="3"/>
  <c r="G35" i="3"/>
  <c r="H35" i="3"/>
  <c r="E36" i="3"/>
  <c r="F36" i="3"/>
  <c r="G36" i="3"/>
  <c r="H36" i="3"/>
  <c r="E37" i="3"/>
  <c r="F37" i="3"/>
  <c r="G37" i="3"/>
  <c r="H37" i="3"/>
  <c r="E38" i="3"/>
  <c r="F38" i="3"/>
  <c r="G38" i="3"/>
  <c r="H38" i="3"/>
  <c r="E39" i="3"/>
  <c r="F39" i="3"/>
  <c r="G39" i="3"/>
  <c r="H39" i="3"/>
  <c r="E40" i="3"/>
  <c r="F40" i="3"/>
  <c r="G40" i="3"/>
  <c r="H40" i="3"/>
  <c r="E41" i="3"/>
  <c r="F41" i="3"/>
  <c r="G41" i="3"/>
  <c r="H41" i="3"/>
  <c r="E42" i="3"/>
  <c r="F42" i="3"/>
  <c r="G42" i="3"/>
  <c r="H42" i="3"/>
  <c r="E43" i="3"/>
  <c r="F43" i="3"/>
  <c r="G43" i="3"/>
  <c r="H43" i="3"/>
  <c r="E44" i="3"/>
  <c r="F44" i="3"/>
  <c r="G44" i="3"/>
  <c r="H44" i="3"/>
  <c r="E45" i="3"/>
  <c r="F45" i="3"/>
  <c r="G45" i="3"/>
  <c r="H45" i="3"/>
  <c r="E46" i="3"/>
  <c r="F46" i="3"/>
  <c r="G46" i="3"/>
  <c r="H46" i="3"/>
  <c r="E47" i="3"/>
  <c r="F47" i="3"/>
  <c r="G47" i="3"/>
  <c r="H47" i="3"/>
  <c r="E48" i="3"/>
  <c r="F48" i="3"/>
  <c r="G48" i="3"/>
  <c r="H48" i="3"/>
  <c r="E49" i="3"/>
  <c r="F49" i="3"/>
  <c r="G49" i="3"/>
  <c r="H49" i="3"/>
  <c r="E50" i="3"/>
  <c r="F50" i="3"/>
  <c r="G50" i="3"/>
  <c r="H50" i="3"/>
  <c r="E51" i="3"/>
  <c r="F51" i="3"/>
  <c r="G51" i="3"/>
  <c r="H51" i="3"/>
  <c r="E52" i="3"/>
  <c r="F52" i="3"/>
  <c r="G52" i="3"/>
  <c r="H52" i="3"/>
  <c r="E53" i="3"/>
  <c r="F53" i="3"/>
  <c r="G53" i="3"/>
  <c r="H53" i="3"/>
  <c r="E54" i="3"/>
  <c r="F54" i="3"/>
  <c r="G54" i="3"/>
  <c r="H54" i="3"/>
  <c r="E55" i="3"/>
  <c r="F55" i="3"/>
  <c r="G55" i="3"/>
  <c r="H55" i="3"/>
  <c r="E56" i="3"/>
  <c r="F56" i="3"/>
  <c r="G56" i="3"/>
  <c r="H56" i="3"/>
  <c r="E57" i="3"/>
  <c r="F57" i="3"/>
  <c r="G57" i="3"/>
  <c r="H57" i="3"/>
  <c r="E58" i="3"/>
  <c r="F58" i="3"/>
  <c r="G58" i="3"/>
  <c r="H58" i="3"/>
  <c r="E59" i="3"/>
  <c r="F59" i="3"/>
  <c r="G59" i="3"/>
  <c r="H59" i="3"/>
  <c r="E60" i="3"/>
  <c r="F60" i="3"/>
  <c r="G60" i="3"/>
  <c r="H60" i="3"/>
  <c r="E61" i="3"/>
  <c r="F61" i="3"/>
  <c r="G61" i="3"/>
  <c r="H61" i="3"/>
  <c r="E62" i="3"/>
  <c r="F62" i="3"/>
  <c r="G62" i="3"/>
  <c r="H62" i="3"/>
  <c r="E63" i="3"/>
  <c r="F63" i="3"/>
  <c r="G63" i="3"/>
  <c r="H63" i="3"/>
  <c r="E64" i="3"/>
  <c r="F64" i="3"/>
  <c r="G64" i="3"/>
  <c r="H64" i="3"/>
  <c r="E65" i="3"/>
  <c r="F65" i="3"/>
  <c r="G65" i="3"/>
  <c r="H65" i="3"/>
  <c r="E66" i="3"/>
  <c r="F66" i="3"/>
  <c r="G66" i="3"/>
  <c r="H66" i="3"/>
  <c r="E67" i="3"/>
  <c r="F67" i="3"/>
  <c r="G67" i="3"/>
  <c r="H67" i="3"/>
  <c r="E68" i="3"/>
  <c r="F68" i="3"/>
  <c r="G68" i="3"/>
  <c r="H68" i="3"/>
  <c r="E69" i="3"/>
  <c r="F69" i="3"/>
  <c r="G69" i="3"/>
  <c r="H69" i="3"/>
  <c r="E70" i="3"/>
  <c r="F70" i="3"/>
  <c r="G70" i="3"/>
  <c r="H70" i="3"/>
  <c r="E71" i="3"/>
  <c r="F71" i="3"/>
  <c r="G71" i="3"/>
  <c r="H71" i="3"/>
  <c r="E72" i="3"/>
  <c r="F72" i="3"/>
  <c r="G72" i="3"/>
  <c r="H72" i="3"/>
  <c r="E73" i="3"/>
  <c r="F73" i="3"/>
  <c r="G73" i="3"/>
  <c r="H73" i="3"/>
  <c r="E74" i="3"/>
  <c r="F74" i="3"/>
  <c r="G74" i="3"/>
  <c r="H74" i="3"/>
  <c r="E75" i="3"/>
  <c r="F75" i="3"/>
  <c r="G75" i="3"/>
  <c r="H75" i="3"/>
  <c r="E76" i="3"/>
  <c r="F76" i="3"/>
  <c r="G76" i="3"/>
  <c r="H76" i="3"/>
  <c r="E77" i="3"/>
  <c r="F77" i="3"/>
  <c r="G77" i="3"/>
  <c r="H77" i="3"/>
  <c r="E78" i="3"/>
  <c r="F78" i="3"/>
  <c r="G78" i="3"/>
  <c r="H78" i="3"/>
  <c r="E79" i="3"/>
  <c r="F79" i="3"/>
  <c r="G79" i="3"/>
  <c r="H79" i="3"/>
  <c r="E80" i="3"/>
  <c r="F80" i="3"/>
  <c r="G80" i="3"/>
  <c r="H80" i="3"/>
  <c r="E81" i="3"/>
  <c r="F81" i="3"/>
  <c r="G81" i="3"/>
  <c r="H81" i="3"/>
  <c r="E82" i="3"/>
  <c r="F82" i="3"/>
  <c r="G82" i="3"/>
  <c r="H82" i="3"/>
  <c r="E83" i="3"/>
  <c r="F83" i="3"/>
  <c r="G83" i="3"/>
  <c r="H83" i="3"/>
  <c r="E84" i="3"/>
  <c r="F84" i="3"/>
  <c r="G84" i="3"/>
  <c r="H84" i="3"/>
  <c r="E85" i="3"/>
  <c r="F85" i="3"/>
  <c r="G85" i="3"/>
  <c r="H85" i="3"/>
  <c r="E86" i="3"/>
  <c r="F86" i="3"/>
  <c r="G86" i="3"/>
  <c r="H86" i="3"/>
  <c r="E87" i="3"/>
  <c r="F87" i="3"/>
  <c r="G87" i="3"/>
  <c r="H87" i="3"/>
  <c r="E88" i="3"/>
  <c r="F88" i="3"/>
  <c r="G88" i="3"/>
  <c r="H88" i="3"/>
  <c r="E89" i="3"/>
  <c r="F89" i="3"/>
  <c r="G89" i="3"/>
  <c r="H89" i="3"/>
  <c r="E90" i="3"/>
  <c r="F90" i="3"/>
  <c r="G90" i="3"/>
  <c r="H90" i="3"/>
  <c r="E91" i="3"/>
  <c r="F91" i="3"/>
  <c r="G91" i="3"/>
  <c r="H91" i="3"/>
  <c r="F2" i="3"/>
  <c r="G2" i="3"/>
  <c r="H2" i="3"/>
  <c r="E2" i="3"/>
  <c r="B92" i="2"/>
  <c r="B93" i="2"/>
  <c r="B94" i="2"/>
  <c r="E94" i="2"/>
  <c r="D94" i="2"/>
  <c r="C94" i="2"/>
  <c r="E93" i="2"/>
  <c r="D93" i="2"/>
  <c r="C93" i="2"/>
  <c r="E92" i="2"/>
  <c r="D92" i="2"/>
  <c r="C92" i="2"/>
  <c r="F4" i="2"/>
  <c r="G4" i="2"/>
  <c r="H4" i="2"/>
  <c r="I4" i="2"/>
  <c r="F5" i="2"/>
  <c r="G5" i="2"/>
  <c r="H5" i="2"/>
  <c r="I5" i="2"/>
  <c r="F6" i="2"/>
  <c r="G6" i="2"/>
  <c r="H6" i="2"/>
  <c r="I6" i="2"/>
  <c r="F7" i="2"/>
  <c r="G7" i="2"/>
  <c r="H7" i="2"/>
  <c r="I7" i="2"/>
  <c r="F8" i="2"/>
  <c r="G8" i="2"/>
  <c r="H8" i="2"/>
  <c r="I8" i="2"/>
  <c r="F9" i="2"/>
  <c r="G9" i="2"/>
  <c r="H9" i="2"/>
  <c r="I9" i="2"/>
  <c r="F10" i="2"/>
  <c r="G10" i="2"/>
  <c r="H10" i="2"/>
  <c r="I10" i="2"/>
  <c r="F11" i="2"/>
  <c r="G11" i="2"/>
  <c r="H11" i="2"/>
  <c r="I11" i="2"/>
  <c r="F12" i="2"/>
  <c r="G12" i="2"/>
  <c r="H12" i="2"/>
  <c r="I12" i="2"/>
  <c r="F13" i="2"/>
  <c r="G13" i="2"/>
  <c r="H13" i="2"/>
  <c r="I13" i="2"/>
  <c r="F14" i="2"/>
  <c r="G14" i="2"/>
  <c r="H14" i="2"/>
  <c r="I14" i="2"/>
  <c r="F15" i="2"/>
  <c r="G15" i="2"/>
  <c r="H15" i="2"/>
  <c r="I15" i="2"/>
  <c r="F16" i="2"/>
  <c r="G16" i="2"/>
  <c r="H16" i="2"/>
  <c r="I16" i="2"/>
  <c r="F17" i="2"/>
  <c r="G17" i="2"/>
  <c r="H17" i="2"/>
  <c r="I17" i="2"/>
  <c r="F18" i="2"/>
  <c r="G18" i="2"/>
  <c r="H18" i="2"/>
  <c r="I18" i="2"/>
  <c r="F19" i="2"/>
  <c r="G19" i="2"/>
  <c r="H19" i="2"/>
  <c r="I19" i="2"/>
  <c r="F20" i="2"/>
  <c r="G20" i="2"/>
  <c r="H20" i="2"/>
  <c r="I20" i="2"/>
  <c r="F21" i="2"/>
  <c r="G21" i="2"/>
  <c r="H21" i="2"/>
  <c r="I21" i="2"/>
  <c r="F22" i="2"/>
  <c r="G22" i="2"/>
  <c r="H22" i="2"/>
  <c r="I22" i="2"/>
  <c r="F23" i="2"/>
  <c r="G23" i="2"/>
  <c r="H23" i="2"/>
  <c r="I23" i="2"/>
  <c r="F24" i="2"/>
  <c r="G24" i="2"/>
  <c r="H24" i="2"/>
  <c r="I24" i="2"/>
  <c r="F25" i="2"/>
  <c r="G25" i="2"/>
  <c r="H25" i="2"/>
  <c r="I25" i="2"/>
  <c r="F26" i="2"/>
  <c r="G26" i="2"/>
  <c r="H26" i="2"/>
  <c r="I26" i="2"/>
  <c r="F27" i="2"/>
  <c r="G27" i="2"/>
  <c r="H27" i="2"/>
  <c r="I27" i="2"/>
  <c r="F28" i="2"/>
  <c r="G28" i="2"/>
  <c r="H28" i="2"/>
  <c r="I28" i="2"/>
  <c r="F29" i="2"/>
  <c r="G29" i="2"/>
  <c r="H29" i="2"/>
  <c r="I29" i="2"/>
  <c r="F30" i="2"/>
  <c r="G30" i="2"/>
  <c r="H30" i="2"/>
  <c r="I30" i="2"/>
  <c r="F31" i="2"/>
  <c r="G31" i="2"/>
  <c r="H31" i="2"/>
  <c r="I31" i="2"/>
  <c r="F32" i="2"/>
  <c r="G32" i="2"/>
  <c r="H32" i="2"/>
  <c r="I32" i="2"/>
  <c r="F33" i="2"/>
  <c r="G33" i="2"/>
  <c r="H33" i="2"/>
  <c r="I33" i="2"/>
  <c r="F34" i="2"/>
  <c r="G34" i="2"/>
  <c r="H34" i="2"/>
  <c r="I34" i="2"/>
  <c r="F35" i="2"/>
  <c r="G35" i="2"/>
  <c r="H35" i="2"/>
  <c r="I35" i="2"/>
  <c r="F36" i="2"/>
  <c r="G36" i="2"/>
  <c r="H36" i="2"/>
  <c r="I36" i="2"/>
  <c r="F37" i="2"/>
  <c r="G37" i="2"/>
  <c r="H37" i="2"/>
  <c r="I37" i="2"/>
  <c r="F38" i="2"/>
  <c r="G38" i="2"/>
  <c r="H38" i="2"/>
  <c r="I38" i="2"/>
  <c r="F39" i="2"/>
  <c r="G39" i="2"/>
  <c r="H39" i="2"/>
  <c r="I39" i="2"/>
  <c r="F40" i="2"/>
  <c r="G40" i="2"/>
  <c r="H40" i="2"/>
  <c r="I40" i="2"/>
  <c r="F41" i="2"/>
  <c r="G41" i="2"/>
  <c r="H41" i="2"/>
  <c r="I41" i="2"/>
  <c r="F42" i="2"/>
  <c r="G42" i="2"/>
  <c r="H42" i="2"/>
  <c r="I42" i="2"/>
  <c r="F43" i="2"/>
  <c r="G43" i="2"/>
  <c r="H43" i="2"/>
  <c r="I43" i="2"/>
  <c r="F44" i="2"/>
  <c r="G44" i="2"/>
  <c r="H44" i="2"/>
  <c r="I44" i="2"/>
  <c r="F45" i="2"/>
  <c r="G45" i="2"/>
  <c r="H45" i="2"/>
  <c r="I45" i="2"/>
  <c r="F46" i="2"/>
  <c r="G46" i="2"/>
  <c r="H46" i="2"/>
  <c r="I46" i="2"/>
  <c r="F47" i="2"/>
  <c r="G47" i="2"/>
  <c r="H47" i="2"/>
  <c r="I47" i="2"/>
  <c r="F48" i="2"/>
  <c r="G48" i="2"/>
  <c r="H48" i="2"/>
  <c r="I48" i="2"/>
  <c r="F49" i="2"/>
  <c r="G49" i="2"/>
  <c r="H49" i="2"/>
  <c r="I49" i="2"/>
  <c r="F50" i="2"/>
  <c r="G50" i="2"/>
  <c r="H50" i="2"/>
  <c r="I50" i="2"/>
  <c r="F51" i="2"/>
  <c r="G51" i="2"/>
  <c r="H51" i="2"/>
  <c r="I51" i="2"/>
  <c r="F52" i="2"/>
  <c r="G52" i="2"/>
  <c r="H52" i="2"/>
  <c r="I52" i="2"/>
  <c r="F53" i="2"/>
  <c r="G53" i="2"/>
  <c r="H53" i="2"/>
  <c r="I53" i="2"/>
  <c r="F54" i="2"/>
  <c r="G54" i="2"/>
  <c r="H54" i="2"/>
  <c r="I54" i="2"/>
  <c r="F55" i="2"/>
  <c r="G55" i="2"/>
  <c r="H55" i="2"/>
  <c r="I55" i="2"/>
  <c r="F56" i="2"/>
  <c r="G56" i="2"/>
  <c r="H56" i="2"/>
  <c r="I56" i="2"/>
  <c r="F57" i="2"/>
  <c r="G57" i="2"/>
  <c r="H57" i="2"/>
  <c r="I57" i="2"/>
  <c r="F58" i="2"/>
  <c r="G58" i="2"/>
  <c r="H58" i="2"/>
  <c r="I58" i="2"/>
  <c r="F59" i="2"/>
  <c r="G59" i="2"/>
  <c r="H59" i="2"/>
  <c r="I59" i="2"/>
  <c r="F60" i="2"/>
  <c r="G60" i="2"/>
  <c r="H60" i="2"/>
  <c r="I60" i="2"/>
  <c r="F61" i="2"/>
  <c r="G61" i="2"/>
  <c r="H61" i="2"/>
  <c r="I61" i="2"/>
  <c r="F62" i="2"/>
  <c r="G62" i="2"/>
  <c r="H62" i="2"/>
  <c r="I62" i="2"/>
  <c r="F63" i="2"/>
  <c r="G63" i="2"/>
  <c r="H63" i="2"/>
  <c r="I63" i="2"/>
  <c r="F64" i="2"/>
  <c r="G64" i="2"/>
  <c r="H64" i="2"/>
  <c r="I64" i="2"/>
  <c r="F65" i="2"/>
  <c r="G65" i="2"/>
  <c r="H65" i="2"/>
  <c r="I65" i="2"/>
  <c r="F66" i="2"/>
  <c r="G66" i="2"/>
  <c r="H66" i="2"/>
  <c r="I66" i="2"/>
  <c r="F67" i="2"/>
  <c r="G67" i="2"/>
  <c r="H67" i="2"/>
  <c r="I67" i="2"/>
  <c r="F68" i="2"/>
  <c r="G68" i="2"/>
  <c r="H68" i="2"/>
  <c r="I68" i="2"/>
  <c r="F69" i="2"/>
  <c r="G69" i="2"/>
  <c r="H69" i="2"/>
  <c r="I69" i="2"/>
  <c r="F70" i="2"/>
  <c r="G70" i="2"/>
  <c r="H70" i="2"/>
  <c r="I70" i="2"/>
  <c r="F71" i="2"/>
  <c r="G71" i="2"/>
  <c r="H71" i="2"/>
  <c r="I71" i="2"/>
  <c r="F72" i="2"/>
  <c r="G72" i="2"/>
  <c r="H72" i="2"/>
  <c r="I72" i="2"/>
  <c r="F73" i="2"/>
  <c r="G73" i="2"/>
  <c r="H73" i="2"/>
  <c r="I73" i="2"/>
  <c r="F74" i="2"/>
  <c r="G74" i="2"/>
  <c r="H74" i="2"/>
  <c r="I74" i="2"/>
  <c r="F75" i="2"/>
  <c r="G75" i="2"/>
  <c r="H75" i="2"/>
  <c r="I75" i="2"/>
  <c r="F76" i="2"/>
  <c r="G76" i="2"/>
  <c r="H76" i="2"/>
  <c r="I76" i="2"/>
  <c r="F77" i="2"/>
  <c r="G77" i="2"/>
  <c r="H77" i="2"/>
  <c r="I77" i="2"/>
  <c r="F78" i="2"/>
  <c r="G78" i="2"/>
  <c r="H78" i="2"/>
  <c r="I78" i="2"/>
  <c r="F79" i="2"/>
  <c r="G79" i="2"/>
  <c r="H79" i="2"/>
  <c r="I79" i="2"/>
  <c r="F80" i="2"/>
  <c r="G80" i="2"/>
  <c r="H80" i="2"/>
  <c r="I80" i="2"/>
  <c r="F81" i="2"/>
  <c r="G81" i="2"/>
  <c r="H81" i="2"/>
  <c r="I81" i="2"/>
  <c r="F82" i="2"/>
  <c r="G82" i="2"/>
  <c r="H82" i="2"/>
  <c r="I82" i="2"/>
  <c r="F83" i="2"/>
  <c r="G83" i="2"/>
  <c r="H83" i="2"/>
  <c r="I83" i="2"/>
  <c r="F84" i="2"/>
  <c r="G84" i="2"/>
  <c r="H84" i="2"/>
  <c r="I84" i="2"/>
  <c r="F85" i="2"/>
  <c r="G85" i="2"/>
  <c r="H85" i="2"/>
  <c r="I85" i="2"/>
  <c r="F86" i="2"/>
  <c r="G86" i="2"/>
  <c r="H86" i="2"/>
  <c r="I86" i="2"/>
  <c r="F87" i="2"/>
  <c r="G87" i="2"/>
  <c r="H87" i="2"/>
  <c r="I87" i="2"/>
  <c r="F88" i="2"/>
  <c r="G88" i="2"/>
  <c r="H88" i="2"/>
  <c r="I88" i="2"/>
  <c r="F89" i="2"/>
  <c r="G89" i="2"/>
  <c r="H89" i="2"/>
  <c r="I89" i="2"/>
  <c r="F90" i="2"/>
  <c r="G90" i="2"/>
  <c r="H90" i="2"/>
  <c r="I90" i="2"/>
  <c r="F91" i="2"/>
  <c r="G91" i="2"/>
  <c r="H91" i="2"/>
  <c r="I91" i="2"/>
  <c r="I3" i="2"/>
  <c r="H3" i="2"/>
  <c r="G3" i="2"/>
  <c r="F3" i="2"/>
  <c r="B95" i="2" s="1"/>
  <c r="B96" i="2" s="1"/>
  <c r="B97" i="2" s="1"/>
  <c r="E95" i="2" l="1"/>
  <c r="E96" i="2" s="1"/>
  <c r="E97" i="2" s="1"/>
  <c r="D95" i="2"/>
  <c r="D96" i="2" s="1"/>
  <c r="D97" i="2" s="1"/>
  <c r="C95" i="2"/>
  <c r="C96" i="2" s="1"/>
  <c r="C97" i="2" s="1"/>
</calcChain>
</file>

<file path=xl/sharedStrings.xml><?xml version="1.0" encoding="utf-8"?>
<sst xmlns="http://schemas.openxmlformats.org/spreadsheetml/2006/main" count="15039" uniqueCount="7370">
  <si>
    <t>string</t>
  </si>
  <si>
    <t>name</t>
  </si>
  <si>
    <t>value</t>
  </si>
  <si>
    <t xml:space="preserve">date is: 2023-12-11 00:00:00
</t>
  </si>
  <si>
    <t>date is</t>
  </si>
  <si>
    <t xml:space="preserve"> 2023-12-11 00</t>
  </si>
  <si>
    <t>current price of gold is: 1981.95</t>
  </si>
  <si>
    <t>current price of gold is</t>
  </si>
  <si>
    <t xml:space="preserve"> predicted price of gold is: 1994.7272181489523</t>
  </si>
  <si>
    <t xml:space="preserve"> predicted price of gold is</t>
  </si>
  <si>
    <t xml:space="preserve">profit is: 12.777218148952215
</t>
  </si>
  <si>
    <t>profit is</t>
  </si>
  <si>
    <t xml:space="preserve"> 12.777218148952215
</t>
  </si>
  <si>
    <t>current price of tb is: 91.74609375</t>
  </si>
  <si>
    <t>current price of tb is</t>
  </si>
  <si>
    <t xml:space="preserve"> current price of tb option is: 4.1883572307132875</t>
  </si>
  <si>
    <t xml:space="preserve"> current price of tb option is</t>
  </si>
  <si>
    <t>predicted price of tb is: 92.07006940208896</t>
  </si>
  <si>
    <t>predicted price of tb is</t>
  </si>
  <si>
    <t xml:space="preserve">profit is: 4.512332882802255
</t>
  </si>
  <si>
    <t xml:space="preserve"> 4.512332882802255
</t>
  </si>
  <si>
    <t>current price of reit is: 38.25</t>
  </si>
  <si>
    <t>current price of reit is</t>
  </si>
  <si>
    <t xml:space="preserve"> current price of reit option is: 5.836054800645044</t>
  </si>
  <si>
    <t xml:space="preserve"> current price of reit option is</t>
  </si>
  <si>
    <t>predicted price of reit is: 38.715813316252394</t>
  </si>
  <si>
    <t>predicted price of reit is</t>
  </si>
  <si>
    <t xml:space="preserve">profit is: 6.301868116897438
</t>
  </si>
  <si>
    <t xml:space="preserve"> 6.301868116897438
</t>
  </si>
  <si>
    <t>value_ratio_tb_to_total is: 0.1912700908058812</t>
  </si>
  <si>
    <t>value_ratio_tb_to_total is</t>
  </si>
  <si>
    <t xml:space="preserve"> risk_ratio_tb_to_gold is: 0.25240479656573583
</t>
  </si>
  <si>
    <t xml:space="preserve"> risk_ratio_tb_to_gold is</t>
  </si>
  <si>
    <t xml:space="preserve"> 0.25240479656573583
</t>
  </si>
  <si>
    <t>value_ratio_gold_to_total is: 0.5416044735775188</t>
  </si>
  <si>
    <t>value_ratio_gold_to_total is</t>
  </si>
  <si>
    <t xml:space="preserve"> risk_ratio_gold_to_total is: 0.6868107058018242
</t>
  </si>
  <si>
    <t xml:space="preserve"> risk_ratio_gold_to_total is</t>
  </si>
  <si>
    <t xml:space="preserve"> 0.6868107058018242
</t>
  </si>
  <si>
    <t>value_ratio_reit_to_total is: 0.2671254356165999</t>
  </si>
  <si>
    <t>value_ratio_reit_to_total is</t>
  </si>
  <si>
    <t xml:space="preserve"> risk_ratio_reit_to_gold is: 0.20360046303856758
</t>
  </si>
  <si>
    <t xml:space="preserve"> risk_ratio_reit_to_gold is</t>
  </si>
  <si>
    <t xml:space="preserve"> 0.20360046303856758
</t>
  </si>
  <si>
    <t>average_risk_gold is: 0.005879332836288713</t>
  </si>
  <si>
    <t>average_risk_gold is</t>
  </si>
  <si>
    <t xml:space="preserve"> average_risk_tb is: 0.9161295584551876</t>
  </si>
  <si>
    <t xml:space="preserve"> average_risk_tb is</t>
  </si>
  <si>
    <t xml:space="preserve"> average_risk_reit is: 0.7389891350825284
</t>
  </si>
  <si>
    <t xml:space="preserve"> average_risk_reit is</t>
  </si>
  <si>
    <t xml:space="preserve"> 0.7389891350825284
</t>
  </si>
  <si>
    <t xml:space="preserve">collateral_ratio_tranche_tb is: 0.35
</t>
  </si>
  <si>
    <t>collateral_ratio_tranche_tb is</t>
  </si>
  <si>
    <t xml:space="preserve"> 0.35
</t>
  </si>
  <si>
    <t xml:space="preserve">collateral_ratio_tranche_gold is: 0.8
</t>
  </si>
  <si>
    <t>collateral_ratio_tranche_gold is</t>
  </si>
  <si>
    <t xml:space="preserve"> 0.8
</t>
  </si>
  <si>
    <t xml:space="preserve">collateral_ratio_tranche_reit is: 0.35
</t>
  </si>
  <si>
    <t>collateral_ratio_tranche_reit is</t>
  </si>
  <si>
    <t>Total plot size is: 150000000.0</t>
  </si>
  <si>
    <t>Total plot size is</t>
  </si>
  <si>
    <t xml:space="preserve"> plot size of gold is: 80000000.0</t>
  </si>
  <si>
    <t xml:space="preserve"> plot size of gold is</t>
  </si>
  <si>
    <t xml:space="preserve"> plot size of TB is: 35000000.0</t>
  </si>
  <si>
    <t xml:space="preserve"> plot size of TB is</t>
  </si>
  <si>
    <t xml:space="preserve"> plot size of REIT is: 35000000.0
</t>
  </si>
  <si>
    <t xml:space="preserve"> plot size of REIT is</t>
  </si>
  <si>
    <t xml:space="preserve"> 35000000.0
</t>
  </si>
  <si>
    <t xml:space="preserve">collateral ratio is: 1.5
</t>
  </si>
  <si>
    <t>collateral ratio is</t>
  </si>
  <si>
    <t xml:space="preserve"> 1.5
</t>
  </si>
  <si>
    <t>S_gtbcps_0 is: 1.0</t>
  </si>
  <si>
    <t>S_gtbcps_0 is</t>
  </si>
  <si>
    <t>T is: 0.0027397260273972603</t>
  </si>
  <si>
    <t>T is</t>
  </si>
  <si>
    <t>t is: 0.0</t>
  </si>
  <si>
    <t>t is</t>
  </si>
  <si>
    <t>change_of_collaterals is: 0.0</t>
  </si>
  <si>
    <t>change_of_collaterals is</t>
  </si>
  <si>
    <t xml:space="preserve">stdev_gtbcps is: 0.008856261842126963
</t>
  </si>
  <si>
    <t>stdev_gtbcps is</t>
  </si>
  <si>
    <t xml:space="preserve"> 0.008856261842126963
</t>
  </si>
  <si>
    <t>predicted price of GTBCPS is: 0.9999698459765335</t>
  </si>
  <si>
    <t>predicted price of GTBCPS is</t>
  </si>
  <si>
    <t xml:space="preserve"> actual price is: 1.0
</t>
  </si>
  <si>
    <t xml:space="preserve"> actual price is</t>
  </si>
  <si>
    <t xml:space="preserve"> 1.0
</t>
  </si>
  <si>
    <t>predicted amount of GTBCPS is: 100003015.49327591</t>
  </si>
  <si>
    <t>predicted amount of GTBCPS is</t>
  </si>
  <si>
    <t xml:space="preserve"> actual amount is: 100000000
</t>
  </si>
  <si>
    <t xml:space="preserve"> actual amount is</t>
  </si>
  <si>
    <t xml:space="preserve"> 100000000
</t>
  </si>
  <si>
    <t>plot sizes of gold is: 80000000.0</t>
  </si>
  <si>
    <t>plot sizes of gold is</t>
  </si>
  <si>
    <t xml:space="preserve"> plot sizes of tb is: 35000000.0 </t>
  </si>
  <si>
    <t xml:space="preserve"> plot sizes of tb is</t>
  </si>
  <si>
    <t xml:space="preserve"> plot sizes of reit is: 35000000.0</t>
  </si>
  <si>
    <t xml:space="preserve"> plot sizes of reit is</t>
  </si>
  <si>
    <t xml:space="preserve"> plot sizes of total is: 150000000.0.
</t>
  </si>
  <si>
    <t xml:space="preserve"> plot sizes of total is</t>
  </si>
  <si>
    <t xml:space="preserve"> 150000000.0.
</t>
  </si>
  <si>
    <t>predicted stdevs of gold is: 0.007617921144689001</t>
  </si>
  <si>
    <t>predicted stdevs of gold is</t>
  </si>
  <si>
    <t xml:space="preserve"> predicted stdevs of tb is: 0.0014839718084857032</t>
  </si>
  <si>
    <t xml:space="preserve"> predicted stdevs of tb is</t>
  </si>
  <si>
    <t xml:space="preserve"> predicted stdevs of reit is: 0.019059044898483566</t>
  </si>
  <si>
    <t xml:space="preserve"> predicted stdevs of reit is</t>
  </si>
  <si>
    <t xml:space="preserve"> predicted stdevs of GTBCPS is: 0.008856261842126963.
</t>
  </si>
  <si>
    <t xml:space="preserve"> predicted stdevs of GTBCPS is</t>
  </si>
  <si>
    <t xml:space="preserve"> 0.008856261842126963.
</t>
  </si>
  <si>
    <t>payout of tranche of gold is: -804.1315402416272</t>
  </si>
  <si>
    <t>payout of tranche of gold is</t>
  </si>
  <si>
    <t xml:space="preserve"> payout of tranche of Treausry Bill Option is: -120.39636116395475</t>
  </si>
  <si>
    <t xml:space="preserve"> payout of tranche of Treausry Bill Option is</t>
  </si>
  <si>
    <t xml:space="preserve"> payout of tranche of Collar of REIT is: -113.84144816725055
</t>
  </si>
  <si>
    <t xml:space="preserve"> payout of tranche of Collar of REIT is</t>
  </si>
  <si>
    <t xml:space="preserve"> -113.84144816725055
</t>
  </si>
  <si>
    <t>Collateral size of tranche of gold is: 79999195.86845976</t>
  </si>
  <si>
    <t>Collateral size of tranche of gold is</t>
  </si>
  <si>
    <t xml:space="preserve"> collateral size of tranche of Treausry Bill Option is: 34999879.603638835</t>
  </si>
  <si>
    <t xml:space="preserve"> collateral size of tranche of Treausry Bill Option is</t>
  </si>
  <si>
    <t xml:space="preserve"> collateral size of tranche of Collar of REIT is: 34999886.158551835
</t>
  </si>
  <si>
    <t xml:space="preserve"> collateral size of tranche of Collar of REIT is</t>
  </si>
  <si>
    <t xml:space="preserve"> 34999886.158551835
</t>
  </si>
  <si>
    <t>Collateral ratio of tranche of gold is: 0.7999919586845976</t>
  </si>
  <si>
    <t>Collateral ratio of tranche of gold is</t>
  </si>
  <si>
    <t xml:space="preserve"> collateral ratio of tranche of Treausry Bill Option is: 0.34999879603638834</t>
  </si>
  <si>
    <t xml:space="preserve"> collateral ratio of tranche of Treausry Bill Option is</t>
  </si>
  <si>
    <t xml:space="preserve"> collateral ratio of tranche of Collar of REIT is: 0.34999886158551835
</t>
  </si>
  <si>
    <t xml:space="preserve"> collateral ratio of tranche of Collar of REIT is</t>
  </si>
  <si>
    <t xml:space="preserve"> 0.34999886158551835
</t>
  </si>
  <si>
    <t xml:space="preserve"> predicted price of gold is: 1994.7272181489523
</t>
  </si>
  <si>
    <t xml:space="preserve"> 1994.7272181489523
</t>
  </si>
  <si>
    <t xml:space="preserve"> predicted price of tb is: 92.07006940208896
</t>
  </si>
  <si>
    <t xml:space="preserve"> predicted price of tb is</t>
  </si>
  <si>
    <t xml:space="preserve"> 92.07006940208896
</t>
  </si>
  <si>
    <t xml:space="preserve"> current price of reit option is: 5.828514226567755</t>
  </si>
  <si>
    <t xml:space="preserve"> predicted price of reit is: 38.53531736464446
</t>
  </si>
  <si>
    <t xml:space="preserve"> predicted price of reit is</t>
  </si>
  <si>
    <t xml:space="preserve"> 38.53531736464446
</t>
  </si>
  <si>
    <t>value_ratio_gold_to_total is: 0.5459560421156133</t>
  </si>
  <si>
    <t xml:space="preserve"> risk_ratio_to_gold is: 0.6910261047227821</t>
  </si>
  <si>
    <t xml:space="preserve"> risk_ratio_to_gold is</t>
  </si>
  <si>
    <t xml:space="preserve"> risk_ratio_to_gold_before is: 0.6868107058018242
</t>
  </si>
  <si>
    <t xml:space="preserve"> risk_ratio_to_gold_before is</t>
  </si>
  <si>
    <t>value_ratio_tb_to_total is: 0.19280686708826952</t>
  </si>
  <si>
    <t xml:space="preserve"> risk_ratio_tb_to_gold is: 0.2472482141105644</t>
  </si>
  <si>
    <t xml:space="preserve"> risk_ratio_tb_to_gold_before is: 0.25240479656573583
</t>
  </si>
  <si>
    <t xml:space="preserve"> risk_ratio_tb_to_gold_before is</t>
  </si>
  <si>
    <t>value_ratio_reit_to_total is: 0.2612370907961171</t>
  </si>
  <si>
    <t xml:space="preserve"> risk_ratio_reit_to_gold is: 0.19987511909718544</t>
  </si>
  <si>
    <t xml:space="preserve"> risk_ratio_reit_to_gold_before is: 0.20360046303856758
</t>
  </si>
  <si>
    <t xml:space="preserve"> risk_ratio_reit_to_gold_before is</t>
  </si>
  <si>
    <t>delta_gold is: 1.0</t>
  </si>
  <si>
    <t>delta_gold is</t>
  </si>
  <si>
    <t xml:space="preserve"> delta_tb is: 1.0</t>
  </si>
  <si>
    <t xml:space="preserve"> delta_tb is</t>
  </si>
  <si>
    <t xml:space="preserve"> delta_reit is: 0.9998289578391311
</t>
  </si>
  <si>
    <t xml:space="preserve"> delta_reit is</t>
  </si>
  <si>
    <t xml:space="preserve"> 0.9998289578391311
</t>
  </si>
  <si>
    <t>delta_gold_risk is: 1.002499034957781</t>
  </si>
  <si>
    <t>delta_gold_risk is</t>
  </si>
  <si>
    <t xml:space="preserve"> delta_tb_risk is: 0.9958826551372914</t>
  </si>
  <si>
    <t xml:space="preserve"> delta_tb_risk is</t>
  </si>
  <si>
    <t xml:space="preserve"> delta_reit_risk is: 0.9969048334096041
</t>
  </si>
  <si>
    <t xml:space="preserve"> delta_reit_risk is</t>
  </si>
  <si>
    <t xml:space="preserve"> 0.9969048334096041
</t>
  </si>
  <si>
    <t xml:space="preserve">collateral_ratio_tranche_gold is: 0.7979977344499771
</t>
  </si>
  <si>
    <t xml:space="preserve"> 0.7979977344499771
</t>
  </si>
  <si>
    <t xml:space="preserve">collateral_ratio_tranche_tb is: 0.351445819676554
</t>
  </si>
  <si>
    <t xml:space="preserve"> 0.351445819676554
</t>
  </si>
  <si>
    <t xml:space="preserve">collateral_ratio_tranche_reit is: 0.351025479360024
</t>
  </si>
  <si>
    <t xml:space="preserve"> 0.351025479360024
</t>
  </si>
  <si>
    <t>Total plot size is: 149994013.5243696</t>
  </si>
  <si>
    <t xml:space="preserve"> plot size of REIT is: 34994013.52436959
</t>
  </si>
  <si>
    <t xml:space="preserve"> 34994013.52436959
</t>
  </si>
  <si>
    <t xml:space="preserve">collateral ratio is: 1.499940135243696
</t>
  </si>
  <si>
    <t xml:space="preserve"> 1.499940135243696
</t>
  </si>
  <si>
    <t>S_gtbcps_0 is: 0.9999698459765335</t>
  </si>
  <si>
    <t xml:space="preserve">stdev_gtbcps is: 0.008890128390873775
</t>
  </si>
  <si>
    <t xml:space="preserve"> 0.008890128390873775
</t>
  </si>
  <si>
    <t>predicted price of GTBCPS is: 0.9999874151895985</t>
  </si>
  <si>
    <t xml:space="preserve"> actual price is: 0.9999698459765335
</t>
  </si>
  <si>
    <t xml:space="preserve"> 0.9999698459765335
</t>
  </si>
  <si>
    <t>predicted amount of GTBCPS is: 100001258.49687809</t>
  </si>
  <si>
    <t xml:space="preserve"> actual amount is: 100003015.49327591
</t>
  </si>
  <si>
    <t xml:space="preserve"> 100003015.49327591
</t>
  </si>
  <si>
    <t xml:space="preserve"> plot sizes of reit is: 34994013.52436959</t>
  </si>
  <si>
    <t xml:space="preserve"> plot sizes of total is: 149994013.5243696.
</t>
  </si>
  <si>
    <t xml:space="preserve"> 149994013.5243696.
</t>
  </si>
  <si>
    <t>predicted stdevs of gold is: 0.00765112844612897</t>
  </si>
  <si>
    <t xml:space="preserve"> predicted stdevs of tb is: 0.0014611641764846442</t>
  </si>
  <si>
    <t xml:space="preserve"> predicted stdevs of reit is: 0.019152847836675722</t>
  </si>
  <si>
    <t xml:space="preserve"> predicted stdevs of GTBCPS is: 0.008890128390873775.
</t>
  </si>
  <si>
    <t xml:space="preserve"> 0.008890128390873775.
</t>
  </si>
  <si>
    <t>total_value_of_collaterals is: 149994618.95598698</t>
  </si>
  <si>
    <t>total_value_of_collaterals is</t>
  </si>
  <si>
    <t xml:space="preserve"> createdtionValue_gold is: -1405.5872118544598</t>
  </si>
  <si>
    <t xml:space="preserve"> createdtionValue_gold is</t>
  </si>
  <si>
    <t xml:space="preserve"> createdValue_tb is: -614.9421699091281</t>
  </si>
  <si>
    <t xml:space="preserve"> createdValue_tb is</t>
  </si>
  <si>
    <t xml:space="preserve"> createdValue_reit is: -614.8375042115946
</t>
  </si>
  <si>
    <t xml:space="preserve"> createdValue_reit is</t>
  </si>
  <si>
    <t xml:space="preserve"> -614.8375042115946
</t>
  </si>
  <si>
    <t>plotValue_gold_after_creation is: 80001848.55153283</t>
  </si>
  <si>
    <t>plotValue_gold_after_creation is</t>
  </si>
  <si>
    <t xml:space="preserve"> plotValue_tb_after_creation  is: 35000681.5159578</t>
  </si>
  <si>
    <t xml:space="preserve"> plotValue_tb_after_creation  is</t>
  </si>
  <si>
    <t xml:space="preserve"> plotValue_reit_after_creation  is: 34994724.255382285</t>
  </si>
  <si>
    <t xml:space="preserve"> plotValue_reit_after_creation  is</t>
  </si>
  <si>
    <t xml:space="preserve">total_value_after_creation is: 149997254.32287294
</t>
  </si>
  <si>
    <t>total_value_after_creation is</t>
  </si>
  <si>
    <t xml:space="preserve"> 149997254.32287294
</t>
  </si>
  <si>
    <t>total_amount_gtncps_before_creation is: 100003015.49327591</t>
  </si>
  <si>
    <t>total_amount_gtncps_before_creation is</t>
  </si>
  <si>
    <t>creation_amount_gtbcps is: -1756.9963978230953</t>
  </si>
  <si>
    <t>creation_amount_gtbcps is</t>
  </si>
  <si>
    <t xml:space="preserve">total_amount_gtbcps_new is: 100001258.49687809
</t>
  </si>
  <si>
    <t>total_amount_gtbcps_new is</t>
  </si>
  <si>
    <t xml:space="preserve"> 100001258.49687809
</t>
  </si>
  <si>
    <t>payout of tranche of gold is: 442.9643209860399</t>
  </si>
  <si>
    <t xml:space="preserve"> payout of tranche of Treausry Bill Option is: 66.57378788856222</t>
  </si>
  <si>
    <t xml:space="preserve"> payout of tranche of Collar of REIT is: 95.89350848602624
</t>
  </si>
  <si>
    <t xml:space="preserve"> 95.89350848602624
</t>
  </si>
  <si>
    <t>Collateral size of tranche of gold is: 80001848.55153283</t>
  </si>
  <si>
    <t xml:space="preserve"> collateral size of tranche of Treausry Bill Option is: 35000681.5159578</t>
  </si>
  <si>
    <t xml:space="preserve"> collateral size of tranche of Collar of REIT is: 34994724.255382285
</t>
  </si>
  <si>
    <t xml:space="preserve"> 34994724.255382285
</t>
  </si>
  <si>
    <t>Collateral ratio of tranche of gold is: 0.8000044296432098</t>
  </si>
  <si>
    <t xml:space="preserve"> collateral ratio of tranche of Treausry Bill Option is: 0.3500006657378789</t>
  </si>
  <si>
    <t xml:space="preserve"> collateral ratio of tranche of Collar of REIT is: 0.3499410941787808
</t>
  </si>
  <si>
    <t xml:space="preserve"> 0.3499410941787808
</t>
  </si>
  <si>
    <t xml:space="preserve"> current price of reit option is: 5.824013950926634</t>
  </si>
  <si>
    <t xml:space="preserve"> predicted price of reit is: 38.71842905269572
</t>
  </si>
  <si>
    <t xml:space="preserve"> 38.71842905269572
</t>
  </si>
  <si>
    <t>value_ratio_gold_to_total is: 0.541820938881772</t>
  </si>
  <si>
    <t xml:space="preserve"> risk_ratio_to_gold is: 0.6891198452388606</t>
  </si>
  <si>
    <t xml:space="preserve"> risk_ratio_to_gold_before is: 0.6910261047227821
</t>
  </si>
  <si>
    <t xml:space="preserve"> 0.6910261047227821
</t>
  </si>
  <si>
    <t>value_ratio_tb_to_total is: 0.19134653651565778</t>
  </si>
  <si>
    <t xml:space="preserve"> risk_ratio_tb_to_gold is: 0.24957614955230858</t>
  </si>
  <si>
    <t xml:space="preserve"> risk_ratio_tb_to_gold_before is: 0.2472482141105644
</t>
  </si>
  <si>
    <t xml:space="preserve"> 0.2472482141105644
</t>
  </si>
  <si>
    <t>value_ratio_reit_to_total is: 0.26683252460257034</t>
  </si>
  <si>
    <t xml:space="preserve"> risk_ratio_reit_to_gold is: 0.20155025017194134</t>
  </si>
  <si>
    <t xml:space="preserve"> risk_ratio_reit_to_gold_before is: 0.19987511909718544
</t>
  </si>
  <si>
    <t xml:space="preserve"> 0.19987511909718544
</t>
  </si>
  <si>
    <t xml:space="preserve"> delta_reit is: 0.9998979031911559
</t>
  </si>
  <si>
    <t xml:space="preserve"> 0.9998979031911559
</t>
  </si>
  <si>
    <t>delta_gold_risk is: 0.9988727202503865</t>
  </si>
  <si>
    <t xml:space="preserve"> delta_tb_risk is: 1.0018664572259215</t>
  </si>
  <si>
    <t xml:space="preserve"> delta_reit_risk is: 1.0013960878495558
</t>
  </si>
  <si>
    <t xml:space="preserve"> 1.0013960878495558
</t>
  </si>
  <si>
    <t xml:space="preserve">collateral_ratio_tranche_gold is: 0.8009072761969849
</t>
  </si>
  <si>
    <t xml:space="preserve"> 0.8009072761969849
</t>
  </si>
  <si>
    <t xml:space="preserve">collateral_ratio_tranche_tb is: 0.3493486214789538
</t>
  </si>
  <si>
    <t xml:space="preserve"> 0.3493486214789538
</t>
  </si>
  <si>
    <t xml:space="preserve">collateral_ratio_tranche_reit is: 0.3494175487155983
</t>
  </si>
  <si>
    <t xml:space="preserve"> 0.3494175487155983
</t>
  </si>
  <si>
    <t>Total plot size is: 149993681.47320008</t>
  </si>
  <si>
    <t xml:space="preserve"> plot size of gold is: 80001848.55153283</t>
  </si>
  <si>
    <t xml:space="preserve"> plot size of TB is: 35000681.5159578</t>
  </si>
  <si>
    <t xml:space="preserve"> plot size of REIT is: 34991151.40570943
</t>
  </si>
  <si>
    <t xml:space="preserve"> 34991151.40570943
</t>
  </si>
  <si>
    <t xml:space="preserve">collateral ratio is: 1.499936814732001
</t>
  </si>
  <si>
    <t xml:space="preserve"> 1.499936814732001
</t>
  </si>
  <si>
    <t>S_gtbcps_0 is: 0.9999874151895985</t>
  </si>
  <si>
    <t xml:space="preserve">stdev_gtbcps is: 0.008875153619838656
</t>
  </si>
  <si>
    <t xml:space="preserve"> 0.008875153619838656
</t>
  </si>
  <si>
    <t>predicted price of GTBCPS is: 0.9999990835040878</t>
  </si>
  <si>
    <t xml:space="preserve"> actual price is: 0.9999874151895985
</t>
  </si>
  <si>
    <t xml:space="preserve"> 0.9999874151895985
</t>
  </si>
  <si>
    <t>predicted amount of GTBCPS is: 100000091.6496752</t>
  </si>
  <si>
    <t xml:space="preserve"> actual amount is: 100001258.49687809
</t>
  </si>
  <si>
    <t>plot sizes of gold is: 80001848.55153283</t>
  </si>
  <si>
    <t xml:space="preserve"> plot sizes of tb is: 35000681.5159578 </t>
  </si>
  <si>
    <t xml:space="preserve"> plot sizes of reit is: 34991151.40570943</t>
  </si>
  <si>
    <t xml:space="preserve"> plot sizes of total is: 149993681.47320008.
</t>
  </si>
  <si>
    <t xml:space="preserve"> 149993681.47320008.
</t>
  </si>
  <si>
    <t>predicted stdevs of gold is: 0.007596018597137948</t>
  </si>
  <si>
    <t xml:space="preserve"> predicted stdevs of tb is: 0.0014680445378417617</t>
  </si>
  <si>
    <t xml:space="preserve"> predicted stdevs of reit is: 0.019208824212827384</t>
  </si>
  <si>
    <t xml:space="preserve"> predicted stdevs of GTBCPS is: 0.008875153619838656.
</t>
  </si>
  <si>
    <t xml:space="preserve"> 0.008875153619838656.
</t>
  </si>
  <si>
    <t>total_value_of_collaterals is: 149994083.1413269</t>
  </si>
  <si>
    <t xml:space="preserve"> createdtionValue_gold is: -933.5019101131803</t>
  </si>
  <si>
    <t xml:space="preserve"> createdValue_tb is: -408.4046121823749</t>
  </si>
  <si>
    <t xml:space="preserve"> createdValue_reit is: -408.2936372750132
</t>
  </si>
  <si>
    <t xml:space="preserve"> -408.2936372750132
</t>
  </si>
  <si>
    <t>plotValue_gold_after_creation is: 80003076.3153694</t>
  </si>
  <si>
    <t xml:space="preserve"> plotValue_tb_after_creation  is: 35001133.90449725</t>
  </si>
  <si>
    <t xml:space="preserve"> plotValue_reit_after_creation  is: 34991623.12161983</t>
  </si>
  <si>
    <t xml:space="preserve">total_value_after_creation is: 149995833.34148648
</t>
  </si>
  <si>
    <t xml:space="preserve"> 149995833.34148648
</t>
  </si>
  <si>
    <t>total_amount_gtncps_before_creation is: 100001258.49687809</t>
  </si>
  <si>
    <t>creation_amount_gtbcps is: -1166.8472028821707</t>
  </si>
  <si>
    <t xml:space="preserve">total_amount_gtbcps_new is: 100000091.6496752
</t>
  </si>
  <si>
    <t xml:space="preserve"> 100000091.6496752
</t>
  </si>
  <si>
    <t>payout of tranche of gold is: 294.2619264351564</t>
  </si>
  <si>
    <t xml:space="preserve"> payout of tranche of Treausry Bill Option is: 43.9839272634715</t>
  </si>
  <si>
    <t xml:space="preserve"> payout of tranche of Collar of REIT is: 63.42227312467535
</t>
  </si>
  <si>
    <t xml:space="preserve"> 63.42227312467535
</t>
  </si>
  <si>
    <t>Collateral size of tranche of gold is: 80003076.3153694</t>
  </si>
  <si>
    <t xml:space="preserve"> collateral size of tranche of Treausry Bill Option is: 35001133.90449725</t>
  </si>
  <si>
    <t xml:space="preserve"> collateral size of tranche of Collar of REIT is: 34991623.12161983
</t>
  </si>
  <si>
    <t xml:space="preserve"> 34991623.12161983
</t>
  </si>
  <si>
    <t>Collateral ratio of tranche of gold is: 0.8000214281345928</t>
  </si>
  <si>
    <t xml:space="preserve"> collateral ratio of tranche of Treausry Bill Option is: 0.35000725499885066</t>
  </si>
  <si>
    <t xml:space="preserve"> collateral ratio of tranche of Collar of REIT is: 0.34991214827982553
</t>
  </si>
  <si>
    <t xml:space="preserve"> 0.34991214827982553
</t>
  </si>
  <si>
    <t xml:space="preserve"> current price of reit option is: 5.816015152228488</t>
  </si>
  <si>
    <t xml:space="preserve"> predicted price of reit is: 38.862746857731516
</t>
  </si>
  <si>
    <t xml:space="preserve"> 38.862746857731516
</t>
  </si>
  <si>
    <t>value_ratio_gold_to_total is: 0.538706868674865</t>
  </si>
  <si>
    <t xml:space="preserve"> risk_ratio_to_gold is: 0.6887823967232736</t>
  </si>
  <si>
    <t xml:space="preserve"> risk_ratio_to_gold_before is: 0.6891198452388606
</t>
  </si>
  <si>
    <t xml:space="preserve"> 0.6891198452388606
</t>
  </si>
  <si>
    <t>value_ratio_tb_to_total is: 0.1902467884147667</t>
  </si>
  <si>
    <t xml:space="preserve"> risk_ratio_tb_to_gold is: 0.24997491650599474</t>
  </si>
  <si>
    <t xml:space="preserve"> risk_ratio_tb_to_gold_before is: 0.24957614955230858
</t>
  </si>
  <si>
    <t xml:space="preserve"> 0.24957614955230858
</t>
  </si>
  <si>
    <t>value_ratio_reit_to_total is: 0.2710463429103684</t>
  </si>
  <si>
    <t xml:space="preserve"> risk_ratio_reit_to_gold is: 0.20186241957761253</t>
  </si>
  <si>
    <t xml:space="preserve"> risk_ratio_reit_to_gold_before is: 0.20155025017194134
</t>
  </si>
  <si>
    <t xml:space="preserve"> 0.20155025017194134
</t>
  </si>
  <si>
    <t xml:space="preserve"> delta_reit is: 0.9998185144038151
</t>
  </si>
  <si>
    <t xml:space="preserve"> 0.9998185144038151
</t>
  </si>
  <si>
    <t>delta_gold_risk is: 0.9998002222775737</t>
  </si>
  <si>
    <t xml:space="preserve"> delta_tb_risk is: 1.0003191217708733</t>
  </si>
  <si>
    <t xml:space="preserve"> delta_reit_risk is: 1.0002598055350798
</t>
  </si>
  <si>
    <t xml:space="preserve"> 1.0002598055350798
</t>
  </si>
  <si>
    <t xml:space="preserve">collateral_ratio_tranche_gold is: 0.8001812865295438
</t>
  </si>
  <si>
    <t xml:space="preserve"> 0.8001812865295438
</t>
  </si>
  <si>
    <t xml:space="preserve">collateral_ratio_tranche_tb is: 0.3498955956967311
</t>
  </si>
  <si>
    <t xml:space="preserve"> 0.3498955956967311
</t>
  </si>
  <si>
    <t xml:space="preserve">collateral_ratio_tranche_reit is: 0.3497577752590331
</t>
  </si>
  <si>
    <t xml:space="preserve"> 0.3497577752590331
</t>
  </si>
  <si>
    <t>Total plot size is: 149989482.86590278</t>
  </si>
  <si>
    <t xml:space="preserve"> plot size of gold is: 80003076.3153694</t>
  </si>
  <si>
    <t xml:space="preserve"> plot size of TB is: 35001133.90449725</t>
  </si>
  <si>
    <t xml:space="preserve"> plot size of REIT is: 34985272.646036126
</t>
  </si>
  <si>
    <t xml:space="preserve"> 34985272.646036126
</t>
  </si>
  <si>
    <t xml:space="preserve">collateral ratio is: 1.499894828659028
</t>
  </si>
  <si>
    <t xml:space="preserve"> 1.499894828659028
</t>
  </si>
  <si>
    <t>S_gtbcps_0 is: 0.9999990835040878</t>
  </si>
  <si>
    <t xml:space="preserve">stdev_gtbcps is: 0.008920412278846507
</t>
  </si>
  <si>
    <t xml:space="preserve"> 0.008920412278846507
</t>
  </si>
  <si>
    <t>predicted price of GTBCPS is: 0.9999892924305167</t>
  </si>
  <si>
    <t xml:space="preserve"> actual price is: 0.9999990835040878
</t>
  </si>
  <si>
    <t xml:space="preserve"> 0.9999990835040878
</t>
  </si>
  <si>
    <t>predicted amount of GTBCPS is: 100001070.76841366</t>
  </si>
  <si>
    <t xml:space="preserve"> actual amount is: 100000091.6496752
</t>
  </si>
  <si>
    <t>plot sizes of gold is: 80003076.3153694</t>
  </si>
  <si>
    <t xml:space="preserve"> plot sizes of tb is: 35001133.90449725 </t>
  </si>
  <si>
    <t xml:space="preserve"> plot sizes of reit is: 34985272.646036126</t>
  </si>
  <si>
    <t xml:space="preserve"> plot sizes of total is: 149989482.86590278.
</t>
  </si>
  <si>
    <t xml:space="preserve"> 149989482.86590278.
</t>
  </si>
  <si>
    <t>predicted stdevs of gold is: 0.007634863611226908</t>
  </si>
  <si>
    <t xml:space="preserve"> predicted stdevs of tb is: 0.001475641019981126</t>
  </si>
  <si>
    <t xml:space="preserve"> predicted stdevs of reit is: 0.01930830570930598</t>
  </si>
  <si>
    <t xml:space="preserve"> predicted stdevs of GTBCPS is: 0.008920412278846507.
</t>
  </si>
  <si>
    <t xml:space="preserve"> 0.008920412278846507.
</t>
  </si>
  <si>
    <t>total_value_of_collaterals is: 149989145.72407264</t>
  </si>
  <si>
    <t xml:space="preserve"> createdtionValue_gold is: 783.3141673276969</t>
  </si>
  <si>
    <t xml:space="preserve"> createdValue_tb is: 342.69860851205027</t>
  </si>
  <si>
    <t xml:space="preserve"> createdValue_reit is: 342.54333076213874
</t>
  </si>
  <si>
    <t xml:space="preserve"> 342.54333076213874
</t>
  </si>
  <si>
    <t>plotValue_gold_after_creation is: 80002031.87476219</t>
  </si>
  <si>
    <t xml:space="preserve"> plotValue_tb_after_creation  is: 35000752.11859159</t>
  </si>
  <si>
    <t xml:space="preserve"> plotValue_reit_after_creation  is: 34984893.17461227</t>
  </si>
  <si>
    <t xml:space="preserve">total_value_after_creation is: 149987677.16796607
</t>
  </si>
  <si>
    <t xml:space="preserve"> 149987677.16796607
</t>
  </si>
  <si>
    <t>total_amount_gtncps_before_creation is: 100000091.6496752</t>
  </si>
  <si>
    <t>creation_amount_gtbcps is: 979.1187384575605</t>
  </si>
  <si>
    <t xml:space="preserve">total_amount_gtbcps_new is: 100001070.76841366
</t>
  </si>
  <si>
    <t xml:space="preserve"> 100001070.76841366
</t>
  </si>
  <si>
    <t>payout of tranche of gold is: -261.1264398855356</t>
  </si>
  <si>
    <t xml:space="preserve"> payout of tranche of Treausry Bill Option is: -39.087297147178916</t>
  </si>
  <si>
    <t xml:space="preserve"> payout of tranche of Collar of REIT is: -36.92809309816994
</t>
  </si>
  <si>
    <t xml:space="preserve"> -36.92809309816994
</t>
  </si>
  <si>
    <t>Collateral size of tranche of gold is: 80002031.87476219</t>
  </si>
  <si>
    <t xml:space="preserve"> collateral size of tranche of Treausry Bill Option is: 35000752.11859159</t>
  </si>
  <si>
    <t xml:space="preserve"> collateral size of tranche of Collar of REIT is: 34984893.17461227
</t>
  </si>
  <si>
    <t xml:space="preserve"> 34984893.17461227
</t>
  </si>
  <si>
    <t>Collateral ratio of tranche of gold is: 0.8000281518892951</t>
  </si>
  <si>
    <t xml:space="preserve"> collateral ratio of tranche of Treausry Bill Option is: 0.350010948172001</t>
  </si>
  <si>
    <t xml:space="preserve"> collateral ratio of tranche of Collar of REIT is: 0.34985235717943025
</t>
  </si>
  <si>
    <t xml:space="preserve"> 0.34985235717943025
</t>
  </si>
  <si>
    <t xml:space="preserve"> current price of reit option is: 5.815383942979253</t>
  </si>
  <si>
    <t xml:space="preserve"> predicted price of reit is: 38.711306256722125
</t>
  </si>
  <si>
    <t xml:space="preserve"> 38.711306256722125
</t>
  </si>
  <si>
    <t>value_ratio_gold_to_total is: 0.5421831179381031</t>
  </si>
  <si>
    <t xml:space="preserve"> risk_ratio_to_gold is: 0.6914202906719267</t>
  </si>
  <si>
    <t xml:space="preserve"> risk_ratio_to_gold_before is: 0.6887823967232736
</t>
  </si>
  <si>
    <t xml:space="preserve"> 0.6887823967232736
</t>
  </si>
  <si>
    <t>value_ratio_tb_to_total is: 0.19147444170177058</t>
  </si>
  <si>
    <t xml:space="preserve"> risk_ratio_tb_to_gold is: 0.24680432807063035</t>
  </si>
  <si>
    <t xml:space="preserve"> risk_ratio_tb_to_gold_before is: 0.24997491650599474
</t>
  </si>
  <si>
    <t xml:space="preserve"> 0.24997491650599474
</t>
  </si>
  <si>
    <t>value_ratio_reit_to_total is: 0.2663424403601263</t>
  </si>
  <si>
    <t xml:space="preserve"> risk_ratio_reit_to_gold is: 0.19949398496874204</t>
  </si>
  <si>
    <t xml:space="preserve"> risk_ratio_reit_to_gold_before is: 0.20186241957761253
</t>
  </si>
  <si>
    <t xml:space="preserve"> 0.20186241957761253
</t>
  </si>
  <si>
    <t xml:space="preserve"> delta_reit is: 0.9999856758264378
</t>
  </si>
  <si>
    <t xml:space="preserve"> 0.9999856758264378
</t>
  </si>
  <si>
    <t>delta_gold_risk is: 1.0015620093824826</t>
  </si>
  <si>
    <t xml:space="preserve"> delta_tb_risk is: 0.9974634783518479</t>
  </si>
  <si>
    <t xml:space="preserve"> delta_reit_risk is: 0.9980293629534546
</t>
  </si>
  <si>
    <t xml:space="preserve"> 0.9980293629534546
</t>
  </si>
  <si>
    <t xml:space="preserve">collateral_ratio_tranche_gold is: 0.7987804493328934
</t>
  </si>
  <si>
    <t xml:space="preserve"> 0.7987804493328934
</t>
  </si>
  <si>
    <t xml:space="preserve">collateral_ratio_tranche_tb is: 0.3509010161959406
</t>
  </si>
  <si>
    <t xml:space="preserve"> 0.3509010161959406
</t>
  </si>
  <si>
    <t xml:space="preserve">collateral_ratio_tranche_reit is: 0.350538129257286
</t>
  </si>
  <si>
    <t xml:space="preserve"> 0.350538129257286
</t>
  </si>
  <si>
    <t>Total plot size is: 149987176.03828418</t>
  </si>
  <si>
    <t xml:space="preserve"> plot size of gold is: 80002031.87476219</t>
  </si>
  <si>
    <t xml:space="preserve"> plot size of TB is: 35000752.11859159</t>
  </si>
  <si>
    <t xml:space="preserve"> plot size of REIT is: 34984392.04493038
</t>
  </si>
  <si>
    <t xml:space="preserve"> 34984392.04493038
</t>
  </si>
  <si>
    <t xml:space="preserve">collateral ratio is: 1.4998717603828418
</t>
  </si>
  <si>
    <t xml:space="preserve"> 1.4998717603828418
</t>
  </si>
  <si>
    <t>S_gtbcps_0 is: 0.9999892924305167</t>
  </si>
  <si>
    <t xml:space="preserve">stdev_gtbcps is: 0.008936039522202191
</t>
  </si>
  <si>
    <t xml:space="preserve"> 0.008936039522202191
</t>
  </si>
  <si>
    <t>predicted price of GTBCPS is: 0.9999727417747916</t>
  </si>
  <si>
    <t xml:space="preserve"> actual price is: 0.9999892924305167
</t>
  </si>
  <si>
    <t xml:space="preserve"> 0.9999892924305167
</t>
  </si>
  <si>
    <t>predicted amount of GTBCPS is: 100002725.89682396</t>
  </si>
  <si>
    <t xml:space="preserve"> actual amount is: 100001070.76841366
</t>
  </si>
  <si>
    <t>plot sizes of gold is: 80002031.87476219</t>
  </si>
  <si>
    <t xml:space="preserve"> plot sizes of tb is: 35000752.11859159 </t>
  </si>
  <si>
    <t xml:space="preserve"> plot sizes of reit is: 34984392.04493038</t>
  </si>
  <si>
    <t xml:space="preserve"> plot sizes of total is: 149987176.03828418.
</t>
  </si>
  <si>
    <t xml:space="preserve"> 149987176.03828418.
</t>
  </si>
  <si>
    <t>predicted stdevs of gold is: 0.007665383581762342</t>
  </si>
  <si>
    <t xml:space="preserve"> predicted stdevs of tb is: 0.0014651432211851597</t>
  </si>
  <si>
    <t xml:space="preserve"> predicted stdevs of reit is: 0.01931615549272248</t>
  </si>
  <si>
    <t xml:space="preserve"> predicted stdevs of GTBCPS is: 0.008936039522202191.
</t>
  </si>
  <si>
    <t xml:space="preserve"> 0.008936039522202191.
</t>
  </si>
  <si>
    <t>total_value_of_collaterals is: 149986605.84308374</t>
  </si>
  <si>
    <t xml:space="preserve"> createdtionValue_gold is: 1324.0929590321857</t>
  </si>
  <si>
    <t xml:space="preserve"> createdValue_tb is: 579.2905048028325</t>
  </si>
  <si>
    <t xml:space="preserve"> createdValue_reit is: 579.0197933589739
</t>
  </si>
  <si>
    <t xml:space="preserve"> 579.0197933589739
</t>
  </si>
  <si>
    <t>plotValue_gold_after_creation is: 80000266.37000547</t>
  </si>
  <si>
    <t xml:space="preserve"> plotValue_tb_after_creation  is: 35000106.581425466</t>
  </si>
  <si>
    <t xml:space="preserve"> plotValue_reit_after_creation  is: 34983750.48839562</t>
  </si>
  <si>
    <t xml:space="preserve">total_value_after_creation is: 149984123.43982655
</t>
  </si>
  <si>
    <t xml:space="preserve"> 149984123.43982655
</t>
  </si>
  <si>
    <t>total_amount_gtncps_before_creation is: 100001070.76841366</t>
  </si>
  <si>
    <t>creation_amount_gtbcps is: 1655.128410294652</t>
  </si>
  <si>
    <t xml:space="preserve">total_amount_gtbcps_new is: 100002725.89682396
</t>
  </si>
  <si>
    <t xml:space="preserve"> 100002725.89682396
</t>
  </si>
  <si>
    <t>payout of tranche of gold is: -441.41179768391186</t>
  </si>
  <si>
    <t xml:space="preserve"> payout of tranche of Treausry Bill Option is: -66.24666131690736</t>
  </si>
  <si>
    <t xml:space="preserve"> payout of tranche of Collar of REIT is: -62.53674140827867
</t>
  </si>
  <si>
    <t xml:space="preserve"> -62.53674140827867
</t>
  </si>
  <si>
    <t>Collateral size of tranche of gold is: 80000266.37000547</t>
  </si>
  <si>
    <t xml:space="preserve"> collateral size of tranche of Treausry Bill Option is: 35000106.581425466</t>
  </si>
  <si>
    <t xml:space="preserve"> collateral size of tranche of Collar of REIT is: 34983750.48839562
</t>
  </si>
  <si>
    <t xml:space="preserve"> 34983750.48839562
</t>
  </si>
  <si>
    <t>Collateral ratio of tranche of gold is: 0.800015904629645</t>
  </si>
  <si>
    <t xml:space="preserve"> collateral ratio of tranche of Treausry Bill Option is: 0.3500068587193027</t>
  </si>
  <si>
    <t xml:space="preserve"> collateral ratio of tranche of Collar of REIT is: 0.34984329508188977
</t>
  </si>
  <si>
    <t xml:space="preserve"> 0.34984329508188977
</t>
  </si>
  <si>
    <t xml:space="preserve"> current price of reit option is: 5.808221620812311</t>
  </si>
  <si>
    <t xml:space="preserve"> predicted price of reit is: 38.603783347957645
</t>
  </si>
  <si>
    <t xml:space="preserve"> 38.603783347957645
</t>
  </si>
  <si>
    <t>value_ratio_gold_to_total is: 0.5448345580423956</t>
  </si>
  <si>
    <t xml:space="preserve"> risk_ratio_to_gold is: 0.691389723952042</t>
  </si>
  <si>
    <t xml:space="preserve"> risk_ratio_to_gold_before is: 0.6914202906719267
</t>
  </si>
  <si>
    <t xml:space="preserve"> 0.6914202906719267
</t>
  </si>
  <si>
    <t>value_ratio_tb_to_total is: 0.1924108098712661</t>
  </si>
  <si>
    <t xml:space="preserve"> risk_ratio_tb_to_gold is: 0.24665160822678447</t>
  </si>
  <si>
    <t xml:space="preserve"> risk_ratio_tb_to_gold_before is: 0.24680432807063035
</t>
  </si>
  <si>
    <t xml:space="preserve"> 0.24680432807063035
</t>
  </si>
  <si>
    <t>value_ratio_reit_to_total is: 0.26275463208633837</t>
  </si>
  <si>
    <t xml:space="preserve"> risk_ratio_reit_to_gold is: 0.19971064645631323</t>
  </si>
  <si>
    <t xml:space="preserve"> risk_ratio_reit_to_gold_before is: 0.19949398496874204
</t>
  </si>
  <si>
    <t xml:space="preserve"> 0.19949398496874204
</t>
  </si>
  <si>
    <t xml:space="preserve"> delta_reit is: 0.9998374614827773
</t>
  </si>
  <si>
    <t xml:space="preserve"> 0.9998374614827773
</t>
  </si>
  <si>
    <t>delta_gold_risk is: 0.999981928371054</t>
  </si>
  <si>
    <t xml:space="preserve"> delta_tb_risk is: 0.9998775109771377</t>
  </si>
  <si>
    <t xml:space="preserve"> delta_reit_risk is: 1.0001806274064615
</t>
  </si>
  <si>
    <t xml:space="preserve"> 1.0001806274064615
</t>
  </si>
  <si>
    <t xml:space="preserve">collateral_ratio_tranche_gold is: 0.8000303624815013
</t>
  </si>
  <si>
    <t xml:space="preserve"> 0.8000303624815013
</t>
  </si>
  <si>
    <t xml:space="preserve">collateral_ratio_tranche_tb is: 0.35004973596941485
</t>
  </si>
  <si>
    <t xml:space="preserve"> 0.35004973596941485
</t>
  </si>
  <si>
    <t xml:space="preserve">collateral_ratio_tranche_reit is: 0.34972326246556845
</t>
  </si>
  <si>
    <t xml:space="preserve"> 0.34972326246556845
</t>
  </si>
  <si>
    <t>Total plot size is: 149978437.23289528</t>
  </si>
  <si>
    <t xml:space="preserve"> plot size of gold is: 80000266.37000547</t>
  </si>
  <si>
    <t xml:space="preserve"> plot size of TB is: 35000106.581425466</t>
  </si>
  <si>
    <t xml:space="preserve"> plot size of REIT is: 34978064.281464346
</t>
  </si>
  <si>
    <t xml:space="preserve"> 34978064.281464346
</t>
  </si>
  <si>
    <t xml:space="preserve">collateral ratio is: 1.4997843723289528
</t>
  </si>
  <si>
    <t xml:space="preserve"> 1.4997843723289528
</t>
  </si>
  <si>
    <t>S_gtbcps_0 is: 0.9999727417747916</t>
  </si>
  <si>
    <t xml:space="preserve">stdev_gtbcps is: 0.008973856253759682
</t>
  </si>
  <si>
    <t xml:space="preserve"> 0.008973856253759682
</t>
  </si>
  <si>
    <t>predicted price of GTBCPS is: 0.9999884883977838</t>
  </si>
  <si>
    <t xml:space="preserve"> actual price is: 0.9999727417747916
</t>
  </si>
  <si>
    <t xml:space="preserve"> 0.9999727417747916
</t>
  </si>
  <si>
    <t>predicted amount of GTBCPS is: 100001151.17347348</t>
  </si>
  <si>
    <t xml:space="preserve"> actual amount is: 100002725.89682396
</t>
  </si>
  <si>
    <t>plot sizes of gold is: 80000266.37000547</t>
  </si>
  <si>
    <t xml:space="preserve"> plot sizes of tb is: 35000106.581425466 </t>
  </si>
  <si>
    <t xml:space="preserve"> plot sizes of reit is: 34978064.281464346</t>
  </si>
  <si>
    <t xml:space="preserve"> plot sizes of total is: 149978437.23289528.
</t>
  </si>
  <si>
    <t xml:space="preserve"> 149978437.23289528.
</t>
  </si>
  <si>
    <t>predicted stdevs of gold is: 0.007694789278680915</t>
  </si>
  <si>
    <t xml:space="preserve"> predicted stdevs of tb is: 0.0014726437221734608</t>
  </si>
  <si>
    <t xml:space="preserve"> predicted stdevs of reit is: 0.019405220718950306</t>
  </si>
  <si>
    <t xml:space="preserve"> predicted stdevs of GTBCPS is: 0.008973856253759682.
</t>
  </si>
  <si>
    <t xml:space="preserve"> 0.008973856253759682.
</t>
  </si>
  <si>
    <t>total_value_of_collaterals is: 149978979.47816172</t>
  </si>
  <si>
    <t xml:space="preserve"> createdtionValue_gold is: -1259.7746265970275</t>
  </si>
  <si>
    <t xml:space="preserve"> createdValue_tb is: -551.1494428848052</t>
  </si>
  <si>
    <t xml:space="preserve"> createdValue_reit is: -550.8027535999821
</t>
  </si>
  <si>
    <t xml:space="preserve"> -550.8027535999821
</t>
  </si>
  <si>
    <t>plotValue_gold_after_creation is: 80001923.28191453</t>
  </si>
  <si>
    <t xml:space="preserve"> plotValue_tb_after_creation  is: 35000717.20419279</t>
  </si>
  <si>
    <t xml:space="preserve"> plotValue_reit_after_creation  is: 34978700.71887747</t>
  </si>
  <si>
    <t xml:space="preserve">total_value_after_creation is: 149981341.20498478
</t>
  </si>
  <si>
    <t xml:space="preserve"> 149981341.20498478
</t>
  </si>
  <si>
    <t>total_amount_gtncps_before_creation is: 100002725.89682396</t>
  </si>
  <si>
    <t>creation_amount_gtbcps is: -1574.7233504801989</t>
  </si>
  <si>
    <t xml:space="preserve">total_amount_gtbcps_new is: 100001151.17347348
</t>
  </si>
  <si>
    <t xml:space="preserve"> 100001151.17347348
</t>
  </si>
  <si>
    <t>payout of tranche of gold is: 397.1372824579013</t>
  </si>
  <si>
    <t xml:space="preserve"> payout of tranche of Treausry Bill Option is: 59.47332444106297</t>
  </si>
  <si>
    <t xml:space="preserve"> payout of tranche of Collar of REIT is: 85.63465952957807
</t>
  </si>
  <si>
    <t xml:space="preserve"> 85.63465952957807
</t>
  </si>
  <si>
    <t>Collateral size of tranche of gold is: 80001923.28191453</t>
  </si>
  <si>
    <t xml:space="preserve"> collateral size of tranche of Treausry Bill Option is: 35000717.20419279</t>
  </si>
  <si>
    <t xml:space="preserve"> collateral size of tranche of Collar of REIT is: 34978700.71887747
</t>
  </si>
  <si>
    <t xml:space="preserve"> 34978700.71887747
</t>
  </si>
  <si>
    <t>Collateral ratio of tranche of gold is: 0.8000066350728794</t>
  </si>
  <si>
    <t xml:space="preserve"> collateral ratio of tranche of Treausry Bill Option is: 0.35000166054749904</t>
  </si>
  <si>
    <t xml:space="preserve"> collateral ratio of tranche of Collar of REIT is: 0.34978149916123874
</t>
  </si>
  <si>
    <t xml:space="preserve"> 0.34978149916123874
</t>
  </si>
  <si>
    <t xml:space="preserve"> current price of reit option is: 5.809002707763312</t>
  </si>
  <si>
    <t xml:space="preserve"> predicted price of reit is: 38.62142426494096
</t>
  </si>
  <si>
    <t xml:space="preserve"> 38.62142426494096
</t>
  </si>
  <si>
    <t>value_ratio_gold_to_total is: 0.544406907689681</t>
  </si>
  <si>
    <t xml:space="preserve"> risk_ratio_to_gold is: 0.6930668126677548</t>
  </si>
  <si>
    <t xml:space="preserve"> risk_ratio_to_gold_before is: 0.691389723952042
</t>
  </si>
  <si>
    <t xml:space="preserve"> 0.691389723952042
</t>
  </si>
  <si>
    <t>value_ratio_tb_to_total is: 0.19225978319813583</t>
  </si>
  <si>
    <t xml:space="preserve"> risk_ratio_tb_to_gold is: 0.24474627561237663</t>
  </si>
  <si>
    <t xml:space="preserve"> risk_ratio_tb_to_gold_before is: 0.24665160822678447
</t>
  </si>
  <si>
    <t xml:space="preserve"> 0.24665160822678447
</t>
  </si>
  <si>
    <t>value_ratio_reit_to_total is: 0.26333330911218317</t>
  </si>
  <si>
    <t xml:space="preserve"> risk_ratio_reit_to_gold is: 0.1981160599116647</t>
  </si>
  <si>
    <t xml:space="preserve"> risk_ratio_reit_to_gold_before is: 0.19971064645631323
</t>
  </si>
  <si>
    <t xml:space="preserve"> 0.19971064645631323
</t>
  </si>
  <si>
    <t xml:space="preserve"> delta_reit is: 1.000017728517454
</t>
  </si>
  <si>
    <t xml:space="preserve"> 1.000017728517454
</t>
  </si>
  <si>
    <t>delta_gold_risk is: 1.0009915448178284</t>
  </si>
  <si>
    <t xml:space="preserve"> delta_tb_risk is: 0.9984716398696842</t>
  </si>
  <si>
    <t xml:space="preserve"> delta_reit_risk is: 0.9986708573860217
</t>
  </si>
  <si>
    <t xml:space="preserve"> 0.9986708573860217
</t>
  </si>
  <si>
    <t xml:space="preserve">collateral_ratio_tranche_gold is: 0.7992141783959559
</t>
  </si>
  <si>
    <t xml:space="preserve"> 0.7992141783959559
</t>
  </si>
  <si>
    <t xml:space="preserve">collateral_ratio_tranche_tb is: 0.350537407945988
</t>
  </si>
  <si>
    <t xml:space="preserve"> 0.350537407945988
</t>
  </si>
  <si>
    <t xml:space="preserve">collateral_ratio_tranche_reit is: 0.3502532367713283
</t>
  </si>
  <si>
    <t xml:space="preserve"> 0.3502532367713283
</t>
  </si>
  <si>
    <t>Total plot size is: 149981961.325491</t>
  </si>
  <si>
    <t xml:space="preserve"> plot size of gold is: 80001923.28191453</t>
  </si>
  <si>
    <t xml:space="preserve"> plot size of TB is: 35000717.20419279</t>
  </si>
  <si>
    <t xml:space="preserve"> plot size of REIT is: 34979320.839383684
</t>
  </si>
  <si>
    <t xml:space="preserve"> 34979320.839383684
</t>
  </si>
  <si>
    <t xml:space="preserve">collateral ratio is: 1.4998196132549102
</t>
  </si>
  <si>
    <t xml:space="preserve"> 1.4998196132549102
</t>
  </si>
  <si>
    <t>S_gtbcps_0 is: 0.9999884883977838</t>
  </si>
  <si>
    <t xml:space="preserve">stdev_gtbcps is: 0.008987332293716604
</t>
  </si>
  <si>
    <t xml:space="preserve"> 0.008987332293716604
</t>
  </si>
  <si>
    <t>predicted price of GTBCPS is: 1.0000319000333944</t>
  </si>
  <si>
    <t xml:space="preserve"> actual price is: 0.9999884883977838
</t>
  </si>
  <si>
    <t xml:space="preserve"> 0.9999884883977838
</t>
  </si>
  <si>
    <t>predicted amount of GTBCPS is: 99996810.09841853</t>
  </si>
  <si>
    <t xml:space="preserve"> actual amount is: 100001151.17347348
</t>
  </si>
  <si>
    <t>plot sizes of gold is: 80001923.28191453</t>
  </si>
  <si>
    <t xml:space="preserve"> plot sizes of tb is: 35000717.20419279 </t>
  </si>
  <si>
    <t xml:space="preserve"> plot sizes of reit is: 34979320.839383684</t>
  </si>
  <si>
    <t xml:space="preserve"> plot sizes of total is: 149981961.325491.
</t>
  </si>
  <si>
    <t xml:space="preserve"> 149981961.325491.
</t>
  </si>
  <si>
    <t>predicted stdevs of gold is: 0.00772548601999586</t>
  </si>
  <si>
    <t xml:space="preserve"> predicted stdevs of tb is: 0.0014697492625460509</t>
  </si>
  <si>
    <t xml:space="preserve"> predicted stdevs of reit is: 0.019395508261127136</t>
  </si>
  <si>
    <t xml:space="preserve"> predicted stdevs of GTBCPS is: 0.008987332293716604.
</t>
  </si>
  <si>
    <t xml:space="preserve"> 0.008987332293716604.
</t>
  </si>
  <si>
    <t>total_value_of_collaterals is: 149983456.5992103</t>
  </si>
  <si>
    <t xml:space="preserve"> createdtionValue_gold is: -3473.1045835117666</t>
  </si>
  <si>
    <t xml:space="preserve"> createdValue_tb is: -1519.4634091107262</t>
  </si>
  <si>
    <t xml:space="preserve"> createdValue_reit is: -1518.5341260973837
</t>
  </si>
  <si>
    <t xml:space="preserve"> -1518.5341260973837
</t>
  </si>
  <si>
    <t>plotValue_gold_after_creation is: 80006554.16024806</t>
  </si>
  <si>
    <t xml:space="preserve"> plotValue_tb_after_creation  is: 35002410.267937325</t>
  </si>
  <si>
    <t xml:space="preserve"> plotValue_reit_after_creation  is: 34981003.273143634</t>
  </si>
  <si>
    <t xml:space="preserve">total_value_after_creation is: 149989967.701329
</t>
  </si>
  <si>
    <t xml:space="preserve"> 149989967.701329
</t>
  </si>
  <si>
    <t>total_amount_gtncps_before_creation is: 100001151.17347348</t>
  </si>
  <si>
    <t>creation_amount_gtbcps is: -4341.075054943562</t>
  </si>
  <si>
    <t xml:space="preserve">total_amount_gtbcps_new is: 99996810.09841853
</t>
  </si>
  <si>
    <t xml:space="preserve"> 99996810.09841853
</t>
  </si>
  <si>
    <t>payout of tranche of gold is: 1157.7737499999662</t>
  </si>
  <si>
    <t xml:space="preserve"> payout of tranche of Treausry Bill Option is: 173.60033542890685</t>
  </si>
  <si>
    <t xml:space="preserve"> payout of tranche of Collar of REIT is: 163.8996338544731
</t>
  </si>
  <si>
    <t xml:space="preserve"> 163.8996338544731
</t>
  </si>
  <si>
    <t>Collateral size of tranche of gold is: 80006554.16024806</t>
  </si>
  <si>
    <t xml:space="preserve"> collateral size of tranche of Treausry Bill Option is: 35002410.267937325</t>
  </si>
  <si>
    <t xml:space="preserve"> collateral size of tranche of Collar of REIT is: 34981003.273143634
</t>
  </si>
  <si>
    <t xml:space="preserve"> 34981003.273143634
</t>
  </si>
  <si>
    <t>Collateral ratio of tranche of gold is: 0.8000308105566454</t>
  </si>
  <si>
    <t xml:space="preserve"> collateral ratio of tranche of Treausry Bill Option is: 0.3500089080452821</t>
  </si>
  <si>
    <t xml:space="preserve"> collateral ratio of tranche of Collar of REIT is: 0.3497948473901754
</t>
  </si>
  <si>
    <t xml:space="preserve"> 0.3497948473901754
</t>
  </si>
  <si>
    <t xml:space="preserve"> current price of reit option is: 5.8049017136042025</t>
  </si>
  <si>
    <t xml:space="preserve"> predicted price of reit is: 38.64198353319912
</t>
  </si>
  <si>
    <t xml:space="preserve"> 38.64198353319912
</t>
  </si>
  <si>
    <t>value_ratio_gold_to_total is: 0.544025410982309</t>
  </si>
  <si>
    <t xml:space="preserve"> risk_ratio_to_gold is: 0.6924343901975584</t>
  </si>
  <si>
    <t xml:space="preserve"> risk_ratio_to_gold_before is: 0.6930668126677548
</t>
  </si>
  <si>
    <t xml:space="preserve"> 0.6930668126677548
</t>
  </si>
  <si>
    <t>value_ratio_tb_to_total is: 0.19212505589542508</t>
  </si>
  <si>
    <t xml:space="preserve"> risk_ratio_tb_to_gold is: 0.24544647865557875</t>
  </si>
  <si>
    <t xml:space="preserve"> risk_ratio_tb_to_gold_before is: 0.24474627561237663
</t>
  </si>
  <si>
    <t xml:space="preserve"> 0.24474627561237663
</t>
  </si>
  <si>
    <t>value_ratio_reit_to_total is: 0.26384953312226583</t>
  </si>
  <si>
    <t xml:space="preserve"> risk_ratio_reit_to_gold is: 0.19873366917718563</t>
  </si>
  <si>
    <t xml:space="preserve"> risk_ratio_reit_to_gold_before is: 0.1981160599116647
</t>
  </si>
  <si>
    <t xml:space="preserve"> 0.1981160599116647
</t>
  </si>
  <si>
    <t xml:space="preserve"> delta_reit is: 0.9999069204042972
</t>
  </si>
  <si>
    <t xml:space="preserve"> 0.9999069204042972
</t>
  </si>
  <si>
    <t>delta_gold_risk is: 0.9996264633708105</t>
  </si>
  <si>
    <t xml:space="preserve"> delta_tb_risk is: 1.0005625267228517</t>
  </si>
  <si>
    <t xml:space="preserve"> delta_reit_risk is: 1.0005154836715624
</t>
  </si>
  <si>
    <t xml:space="preserve"> 1.0005154836715624
</t>
  </si>
  <si>
    <t xml:space="preserve">collateral_ratio_tranche_gold is: 0.8003297630385707
</t>
  </si>
  <si>
    <t xml:space="preserve"> 0.8003297630385707
</t>
  </si>
  <si>
    <t xml:space="preserve">collateral_ratio_tranche_tb is: 0.34981212937453127
</t>
  </si>
  <si>
    <t xml:space="preserve"> 0.34981212937453127
</t>
  </si>
  <si>
    <t xml:space="preserve">collateral_ratio_tranche_reit is: 0.3495820847706314
</t>
  </si>
  <si>
    <t xml:space="preserve"> 0.3495820847706314
</t>
  </si>
  <si>
    <t>Total plot size is: 149986711.68368706</t>
  </si>
  <si>
    <t xml:space="preserve"> plot size of gold is: 80006554.16024806</t>
  </si>
  <si>
    <t xml:space="preserve"> plot size of TB is: 35002410.267937325</t>
  </si>
  <si>
    <t xml:space="preserve"> plot size of REIT is: 34977747.25550169
</t>
  </si>
  <si>
    <t xml:space="preserve"> 34977747.25550169
</t>
  </si>
  <si>
    <t xml:space="preserve">collateral ratio is: 1.4998671168368707
</t>
  </si>
  <si>
    <t xml:space="preserve"> 1.4998671168368707
</t>
  </si>
  <si>
    <t>S_gtbcps_0 is: 1.0000319000333944</t>
  </si>
  <si>
    <t xml:space="preserve">stdev_gtbcps is: 0.009013987373314552
</t>
  </si>
  <si>
    <t xml:space="preserve"> 0.009013987373314552
</t>
  </si>
  <si>
    <t>predicted price of GTBCPS is: 1.000072016201866</t>
  </si>
  <si>
    <t xml:space="preserve"> actual price is: 1.0000319000333944
</t>
  </si>
  <si>
    <t xml:space="preserve"> 1.0000319000333944
</t>
  </si>
  <si>
    <t>predicted amount of GTBCPS is: 99992798.8984094</t>
  </si>
  <si>
    <t xml:space="preserve"> actual amount is: 99996810.09841853
</t>
  </si>
  <si>
    <t>plot sizes of gold is: 80006554.16024806</t>
  </si>
  <si>
    <t xml:space="preserve"> plot sizes of tb is: 35002410.267937325 </t>
  </si>
  <si>
    <t xml:space="preserve"> plot sizes of reit is: 34977747.25550169</t>
  </si>
  <si>
    <t xml:space="preserve"> plot sizes of total is: 149986711.68368706.
</t>
  </si>
  <si>
    <t xml:space="preserve"> 149986711.68368706.
</t>
  </si>
  <si>
    <t>predicted stdevs of gold is: 0.00775042102522436</t>
  </si>
  <si>
    <t xml:space="preserve"> predicted stdevs of tb is: 0.001477014223409146</t>
  </si>
  <si>
    <t xml:space="preserve"> predicted stdevs of reit is: 0.019446500741583727</t>
  </si>
  <si>
    <t xml:space="preserve"> predicted stdevs of GTBCPS is: 0.009013987373314552.
</t>
  </si>
  <si>
    <t xml:space="preserve"> 0.009013987373314552.
</t>
  </si>
  <si>
    <t>total_value_of_collaterals is: 149988092.8612484</t>
  </si>
  <si>
    <t xml:space="preserve"> createdtionValue_gold is: -3209.494608549116</t>
  </si>
  <si>
    <t xml:space="preserve"> createdValue_tb is: -1404.1238696489893</t>
  </si>
  <si>
    <t xml:space="preserve"> createdValue_reit is: -1403.1371890453477
</t>
  </si>
  <si>
    <t xml:space="preserve"> -1403.1371890453477
</t>
  </si>
  <si>
    <t>plotValue_gold_after_creation is: 80010775.36694612</t>
  </si>
  <si>
    <t xml:space="preserve"> plotValue_tb_after_creation  is: 35003965.802777626</t>
  </si>
  <si>
    <t xml:space="preserve"> plotValue_reit_after_creation  is: 34979368.44719192</t>
  </si>
  <si>
    <t xml:space="preserve">total_value_after_creation is: 149994109.61691567
</t>
  </si>
  <si>
    <t xml:space="preserve"> 149994109.61691567
</t>
  </si>
  <si>
    <t>total_amount_gtncps_before_creation is: 99996810.09841853</t>
  </si>
  <si>
    <t>creation_amount_gtbcps is: -4011.200009137392</t>
  </si>
  <si>
    <t xml:space="preserve">total_amount_gtbcps_new is: 99992798.8984094
</t>
  </si>
  <si>
    <t xml:space="preserve"> 99992798.8984094
</t>
  </si>
  <si>
    <t>payout of tranche of gold is: 1011.7120895060685</t>
  </si>
  <si>
    <t xml:space="preserve"> payout of tranche of Treausry Bill Option is: 151.41097065012596</t>
  </si>
  <si>
    <t xml:space="preserve"> payout of tranche of Collar of REIT is: 218.0545011860841
</t>
  </si>
  <si>
    <t xml:space="preserve"> 218.0545011860841
</t>
  </si>
  <si>
    <t>Collateral size of tranche of gold is: 80010775.36694612</t>
  </si>
  <si>
    <t xml:space="preserve"> collateral size of tranche of Treausry Bill Option is: 35003965.802777626</t>
  </si>
  <si>
    <t xml:space="preserve"> collateral size of tranche of Collar of REIT is: 34979368.44719192
</t>
  </si>
  <si>
    <t xml:space="preserve"> 34979368.44719192
</t>
  </si>
  <si>
    <t>Collateral ratio of tranche of gold is: 0.8000756587233756</t>
  </si>
  <si>
    <t xml:space="preserve"> collateral ratio of tranche of Treausry Bill Option is: 0.35002561678907973</t>
  </si>
  <si>
    <t xml:space="preserve"> collateral ratio of tranche of Collar of REIT is: 0.34977965310002873
</t>
  </si>
  <si>
    <t xml:space="preserve"> 0.34977965310002873
</t>
  </si>
  <si>
    <t xml:space="preserve"> current price of reit option is: 5.797841593964826</t>
  </si>
  <si>
    <t xml:space="preserve"> predicted price of reit is: 38.616958756358
</t>
  </si>
  <si>
    <t xml:space="preserve"> 38.616958756358
</t>
  </si>
  <si>
    <t>value_ratio_gold_to_total is: 0.5447696225236891</t>
  </si>
  <si>
    <t xml:space="preserve"> risk_ratio_to_gold is: 0.692105598368584</t>
  </si>
  <si>
    <t xml:space="preserve"> risk_ratio_to_gold_before is: 0.6924343901975584
</t>
  </si>
  <si>
    <t xml:space="preserve"> 0.6924343901975584
</t>
  </si>
  <si>
    <t>value_ratio_tb_to_total is: 0.1923878775965796</t>
  </si>
  <si>
    <t xml:space="preserve"> risk_ratio_tb_to_gold is: 0.24571031705166516</t>
  </si>
  <si>
    <t xml:space="preserve"> risk_ratio_tb_to_gold_before is: 0.24544647865557875
</t>
  </si>
  <si>
    <t xml:space="preserve"> 0.24544647865557875
</t>
  </si>
  <si>
    <t>value_ratio_reit_to_total is: 0.2628424998797313</t>
  </si>
  <si>
    <t xml:space="preserve"> risk_ratio_reit_to_gold is: 0.19915590330138191</t>
  </si>
  <si>
    <t xml:space="preserve"> risk_ratio_reit_to_gold_before is: 0.19873366917718563
</t>
  </si>
  <si>
    <t xml:space="preserve"> 0.19873366917718563
</t>
  </si>
  <si>
    <t xml:space="preserve"> delta_reit is: 0.999839742699115
</t>
  </si>
  <si>
    <t xml:space="preserve"> 0.999839742699115
</t>
  </si>
  <si>
    <t>delta_gold_risk is: 0.9998057284637569</t>
  </si>
  <si>
    <t xml:space="preserve"> delta_tb_risk is: 1.0002118424200543</t>
  </si>
  <si>
    <t xml:space="preserve"> delta_reit_risk is: 1.000352233473584
</t>
  </si>
  <si>
    <t xml:space="preserve"> 1.000352233473584
</t>
  </si>
  <si>
    <t xml:space="preserve">collateral_ratio_tranche_gold is: 0.8002311208525731
</t>
  </si>
  <si>
    <t xml:space="preserve"> 0.8002311208525731
</t>
  </si>
  <si>
    <t xml:space="preserve">collateral_ratio_tranche_tb is: 0.34995148222018463
</t>
  </si>
  <si>
    <t xml:space="preserve"> 0.34995148222018463
</t>
  </si>
  <si>
    <t xml:space="preserve">collateral_ratio_tranche_reit is: 0.34960045737345125
</t>
  </si>
  <si>
    <t xml:space="preserve"> 0.34960045737345125
</t>
  </si>
  <si>
    <t>Total plot size is: 149988503.91774166</t>
  </si>
  <si>
    <t xml:space="preserve"> plot size of gold is: 80010775.36694612</t>
  </si>
  <si>
    <t xml:space="preserve"> plot size of TB is: 35003965.802777626</t>
  </si>
  <si>
    <t xml:space="preserve"> plot size of REIT is: 34973762.74801791
</t>
  </si>
  <si>
    <t xml:space="preserve"> 34973762.74801791
</t>
  </si>
  <si>
    <t xml:space="preserve">collateral ratio is: 1.4998850391774166
</t>
  </si>
  <si>
    <t xml:space="preserve"> 1.4998850391774166
</t>
  </si>
  <si>
    <t>S_gtbcps_0 is: 1.000072016201866</t>
  </si>
  <si>
    <t xml:space="preserve">stdev_gtbcps is: 0.009053971558193851
</t>
  </si>
  <si>
    <t xml:space="preserve"> 0.009053971558193851
</t>
  </si>
  <si>
    <t>predicted price of GTBCPS is: 1.0000927343472414</t>
  </si>
  <si>
    <t xml:space="preserve"> actual price is: 1.000072016201866
</t>
  </si>
  <si>
    <t xml:space="preserve"> 1.000072016201866
</t>
  </si>
  <si>
    <t>predicted amount of GTBCPS is: 99990727.42516203</t>
  </si>
  <si>
    <t xml:space="preserve"> actual amount is: 99992798.8984094
</t>
  </si>
  <si>
    <t>plot sizes of gold is: 80010775.36694612</t>
  </si>
  <si>
    <t xml:space="preserve"> plot sizes of tb is: 35003965.802777626 </t>
  </si>
  <si>
    <t xml:space="preserve"> plot sizes of reit is: 34973762.74801791</t>
  </si>
  <si>
    <t xml:space="preserve"> plot sizes of total is: 149988503.91774166.
</t>
  </si>
  <si>
    <t xml:space="preserve"> 149988503.91774166.
</t>
  </si>
  <si>
    <t>predicted stdevs of gold is: 0.007785176658615662</t>
  </si>
  <si>
    <t xml:space="preserve"> predicted stdevs of tb is: 0.001482871822845804</t>
  </si>
  <si>
    <t xml:space="preserve"> predicted stdevs of reit is: 0.01953427882633852</t>
  </si>
  <si>
    <t xml:space="preserve"> predicted stdevs of GTBCPS is: 0.009053971558193851.
</t>
  </si>
  <si>
    <t xml:space="preserve"> 0.009053971558193851.
</t>
  </si>
  <si>
    <t>total_value_of_collaterals is: 149989217.25925854</t>
  </si>
  <si>
    <t xml:space="preserve"> createdtionValue_gold is: -1657.5663296003547</t>
  </si>
  <si>
    <t xml:space="preserve"> createdValue_tb is: -725.1666491532662</t>
  </si>
  <si>
    <t xml:space="preserve"> createdValue_reit is: -724.5416550686738
</t>
  </si>
  <si>
    <t xml:space="preserve"> -724.5416550686738
</t>
  </si>
  <si>
    <t>plotValue_gold_after_creation is: 80012955.44965592</t>
  </si>
  <si>
    <t xml:space="preserve"> plotValue_tb_after_creation  is: 35004769.194525115</t>
  </si>
  <si>
    <t xml:space="preserve"> plotValue_reit_after_creation  is: 34974599.88971132</t>
  </si>
  <si>
    <t xml:space="preserve">total_value_after_creation is: 149992324.53389236
</t>
  </si>
  <si>
    <t xml:space="preserve"> 149992324.53389236
</t>
  </si>
  <si>
    <t>total_amount_gtncps_before_creation is: 99992798.8984094</t>
  </si>
  <si>
    <t>creation_amount_gtbcps is: -2071.4732473641634</t>
  </si>
  <si>
    <t xml:space="preserve">total_amount_gtbcps_new is: 99990727.42516203
</t>
  </si>
  <si>
    <t xml:space="preserve"> 99990727.42516203
</t>
  </si>
  <si>
    <t>payout of tranche of gold is: 522.5163802010255</t>
  </si>
  <si>
    <t xml:space="preserve"> payout of tranche of Treausry Bill Option is: 78.2250983333215</t>
  </si>
  <si>
    <t xml:space="preserve"> payout of tranche of Collar of REIT is: 112.60003834053495
</t>
  </si>
  <si>
    <t xml:space="preserve"> 112.60003834053495
</t>
  </si>
  <si>
    <t>Collateral size of tranche of gold is: 80012955.44965592</t>
  </si>
  <si>
    <t xml:space="preserve"> collateral size of tranche of Treausry Bill Option is: 35004769.194525115</t>
  </si>
  <si>
    <t xml:space="preserve"> collateral size of tranche of Collar of REIT is: 34974599.88971132
</t>
  </si>
  <si>
    <t xml:space="preserve"> 34974599.88971132
</t>
  </si>
  <si>
    <t>Collateral ratio of tranche of gold is: 0.8001129788332633</t>
  </si>
  <si>
    <t xml:space="preserve"> collateral ratio of tranche of Treausry Bill Option is: 0.3500404402787596</t>
  </si>
  <si>
    <t xml:space="preserve"> collateral ratio of tranche of Collar of REIT is: 0.3497387534805625
</t>
  </si>
  <si>
    <t xml:space="preserve"> 0.3497387534805625
</t>
  </si>
  <si>
    <t xml:space="preserve"> current price of reit option is: 5.797927199358654</t>
  </si>
  <si>
    <t xml:space="preserve"> predicted price of reit is: 38.78757268717827
</t>
  </si>
  <si>
    <t xml:space="preserve"> 38.78757268717827
</t>
  </si>
  <si>
    <t>value_ratio_gold_to_total is: 0.5408334650004761</t>
  </si>
  <si>
    <t xml:space="preserve"> risk_ratio_to_gold is: 0.6901117439409378</t>
  </si>
  <si>
    <t xml:space="preserve"> risk_ratio_to_gold_before is: 0.692105598368584
</t>
  </si>
  <si>
    <t xml:space="preserve"> 0.692105598368584
</t>
  </si>
  <si>
    <t>value_ratio_tb_to_total is: 0.1909978056093263</t>
  </si>
  <si>
    <t xml:space="preserve"> risk_ratio_tb_to_gold is: 0.2481863386050115</t>
  </si>
  <si>
    <t xml:space="preserve"> risk_ratio_tb_to_gold_before is: 0.24571031705166516
</t>
  </si>
  <si>
    <t xml:space="preserve"> 0.24571031705166516
</t>
  </si>
  <si>
    <t>value_ratio_reit_to_total is: 0.26816872939019754</t>
  </si>
  <si>
    <t xml:space="preserve"> risk_ratio_reit_to_gold is: 0.20085435484764702</t>
  </si>
  <si>
    <t xml:space="preserve"> risk_ratio_reit_to_gold_before is: 0.19915590330138191
</t>
  </si>
  <si>
    <t xml:space="preserve"> 0.19915590330138191
</t>
  </si>
  <si>
    <t xml:space="preserve"> delta_reit is: 1.0000019434639866
</t>
  </si>
  <si>
    <t xml:space="preserve"> 1.0000019434639866
</t>
  </si>
  <si>
    <t>delta_gold_risk is: 0.9988216725779002</t>
  </si>
  <si>
    <t xml:space="preserve"> delta_tb_risk is: 1.001987638313221</t>
  </si>
  <si>
    <t xml:space="preserve"> delta_reit_risk is: 1.0014163725847398
</t>
  </si>
  <si>
    <t xml:space="preserve"> 1.0014163725847398
</t>
  </si>
  <si>
    <t xml:space="preserve">collateral_ratio_tranche_gold is: 0.8010568861288507
</t>
  </si>
  <si>
    <t xml:space="preserve"> 0.8010568861288507
</t>
  </si>
  <si>
    <t xml:space="preserve">collateral_ratio_tranche_tb is: 0.3493460666521088
</t>
  </si>
  <si>
    <t xml:space="preserve"> 0.3493460666521088
</t>
  </si>
  <si>
    <t xml:space="preserve">collateral_ratio_tranche_reit is: 0.3492447724641527
</t>
  </si>
  <si>
    <t xml:space="preserve"> 0.3492447724641527
</t>
  </si>
  <si>
    <t>Total plot size is: 149992392.5057677</t>
  </si>
  <si>
    <t xml:space="preserve"> plot size of gold is: 80012955.44965592</t>
  </si>
  <si>
    <t xml:space="preserve"> plot size of TB is: 35004769.194525115</t>
  </si>
  <si>
    <t xml:space="preserve"> plot size of REIT is: 34974667.86158665
</t>
  </si>
  <si>
    <t xml:space="preserve"> 34974667.86158665
</t>
  </si>
  <si>
    <t xml:space="preserve">collateral ratio is: 1.499923925057677
</t>
  </si>
  <si>
    <t xml:space="preserve"> 1.499923925057677
</t>
  </si>
  <si>
    <t>S_gtbcps_0 is: 1.0000927343472414</t>
  </si>
  <si>
    <t xml:space="preserve">stdev_gtbcps is: 0.00900401134080412
</t>
  </si>
  <si>
    <t xml:space="preserve"> 0.00900401134080412
</t>
  </si>
  <si>
    <t>predicted price of GTBCPS is: 1.0001185086881292</t>
  </si>
  <si>
    <t xml:space="preserve"> actual price is: 1.0000927343472414
</t>
  </si>
  <si>
    <t xml:space="preserve"> 1.0000927343472414
</t>
  </si>
  <si>
    <t>predicted amount of GTBCPS is: 99988150.53545158</t>
  </si>
  <si>
    <t xml:space="preserve"> actual amount is: 99990727.42516203
</t>
  </si>
  <si>
    <t>plot sizes of gold is: 80012955.44965592</t>
  </si>
  <si>
    <t xml:space="preserve"> plot sizes of tb is: 35004769.194525115 </t>
  </si>
  <si>
    <t xml:space="preserve"> plot sizes of reit is: 34974667.86158665</t>
  </si>
  <si>
    <t xml:space="preserve"> plot sizes of total is: 149992392.5057677.
</t>
  </si>
  <si>
    <t xml:space="preserve"> 149992392.5057677.
</t>
  </si>
  <si>
    <t>predicted stdevs of gold is: 0.007696754531590975</t>
  </si>
  <si>
    <t xml:space="preserve"> predicted stdevs of tb is: 0.0014719546856892696</t>
  </si>
  <si>
    <t xml:space="preserve"> predicted stdevs of reit is: 0.01953321456488034</t>
  </si>
  <si>
    <t xml:space="preserve"> predicted stdevs of GTBCPS is: 0.00900401134080412.
</t>
  </si>
  <si>
    <t xml:space="preserve"> 0.00900401134080412.
</t>
  </si>
  <si>
    <t>total_value_of_collaterals is: 149993279.66394454</t>
  </si>
  <si>
    <t xml:space="preserve"> createdtionValue_gold is: -2062.1076777688186</t>
  </si>
  <si>
    <t xml:space="preserve"> createdValue_tb is: -902.1438421866504</t>
  </si>
  <si>
    <t xml:space="preserve"> createdValue_reit is: -901.3679252861496
</t>
  </si>
  <si>
    <t xml:space="preserve"> -901.3679252861496
</t>
  </si>
  <si>
    <t>plotValue_gold_after_creation is: 80015704.93780196</t>
  </si>
  <si>
    <t xml:space="preserve"> plotValue_tb_after_creation  is: 35005774.07575835</t>
  </si>
  <si>
    <t xml:space="preserve"> plotValue_reit_after_creation  is: 34975666.269829474</t>
  </si>
  <si>
    <t xml:space="preserve">total_value_after_creation is: 149997145.28338978
</t>
  </si>
  <si>
    <t xml:space="preserve"> 149997145.28338978
</t>
  </si>
  <si>
    <t>total_amount_gtncps_before_creation is: 99990727.42516203</t>
  </si>
  <si>
    <t>creation_amount_gtbcps is: -2576.889710456133</t>
  </si>
  <si>
    <t xml:space="preserve">total_amount_gtbcps_new is: 99988150.53545158
</t>
  </si>
  <si>
    <t xml:space="preserve"> 99988150.53545158
</t>
  </si>
  <si>
    <t>payout of tranche of gold is: 687.3804682600163</t>
  </si>
  <si>
    <t xml:space="preserve"> payout of tranche of Treausry Bill Option is: 102.73739105382046</t>
  </si>
  <si>
    <t xml:space="preserve"> payout of tranche of Collar of REIT is: 97.04031753331978
</t>
  </si>
  <si>
    <t xml:space="preserve"> 97.04031753331978
</t>
  </si>
  <si>
    <t>Collateral size of tranche of gold is: 80015704.93780196</t>
  </si>
  <si>
    <t xml:space="preserve"> collateral size of tranche of Treausry Bill Option is: 35005774.07575835</t>
  </si>
  <si>
    <t xml:space="preserve"> collateral size of tranche of Collar of REIT is: 34975666.269829474
</t>
  </si>
  <si>
    <t xml:space="preserve"> 34975666.269829474
</t>
  </si>
  <si>
    <t>Collateral ratio of tranche of gold is: 0.8001364283012419</t>
  </si>
  <si>
    <t xml:space="preserve"> collateral ratio of tranche of Treausry Bill Option is: 0.3500487193191617</t>
  </si>
  <si>
    <t xml:space="preserve"> collateral ratio of tranche of Collar of REIT is: 0.3497476490190419
</t>
  </si>
  <si>
    <t xml:space="preserve"> 0.3497476490190419
</t>
  </si>
  <si>
    <t xml:space="preserve"> current price of reit option is: 5.794470033593406</t>
  </si>
  <si>
    <t xml:space="preserve"> predicted price of reit is: 38.6850682050001
</t>
  </si>
  <si>
    <t xml:space="preserve"> 38.6850682050001
</t>
  </si>
  <si>
    <t>value_ratio_gold_to_total is: 0.5432701071916621</t>
  </si>
  <si>
    <t xml:space="preserve"> risk_ratio_to_gold is: 0.6904796475771877</t>
  </si>
  <si>
    <t xml:space="preserve"> risk_ratio_to_gold_before is: 0.6901117439409378
</t>
  </si>
  <si>
    <t xml:space="preserve"> 0.6901117439409378
</t>
  </si>
  <si>
    <t>value_ratio_tb_to_total is: 0.1918583169158358</t>
  </si>
  <si>
    <t xml:space="preserve"> risk_ratio_tb_to_gold is: 0.2476238620024457</t>
  </si>
  <si>
    <t xml:space="preserve"> risk_ratio_tb_to_gold_before is: 0.2481863386050115
</t>
  </si>
  <si>
    <t xml:space="preserve"> 0.2481863386050115
</t>
  </si>
  <si>
    <t>value_ratio_reit_to_total is: 0.2648715758925021</t>
  </si>
  <si>
    <t xml:space="preserve"> risk_ratio_reit_to_gold is: 0.2006447488232071</t>
  </si>
  <si>
    <t xml:space="preserve"> risk_ratio_reit_to_gold_before is: 0.20085435484764702
</t>
  </si>
  <si>
    <t xml:space="preserve"> 0.20085435484764702
</t>
  </si>
  <si>
    <t xml:space="preserve"> delta_reit is: 0.9999215135425192
</t>
  </si>
  <si>
    <t xml:space="preserve"> 0.9999215135425192
</t>
  </si>
  <si>
    <t>delta_gold_risk is: 1.0002176800661666</t>
  </si>
  <si>
    <t xml:space="preserve"> delta_tb_risk is: 0.9995493648783287</t>
  </si>
  <si>
    <t xml:space="preserve"> delta_reit_risk is: 0.9998254525841591
</t>
  </si>
  <si>
    <t xml:space="preserve"> 0.9998254525841591
</t>
  </si>
  <si>
    <t xml:space="preserve">collateral_ratio_tranche_gold is: 0.7999622924564892
</t>
  </si>
  <si>
    <t xml:space="preserve"> 0.7999622924564892
</t>
  </si>
  <si>
    <t xml:space="preserve">collateral_ratio_tranche_tb is: 0.3502065346835289
</t>
  </si>
  <si>
    <t xml:space="preserve"> 0.3502065346835289
</t>
  </si>
  <si>
    <t xml:space="preserve">collateral_ratio_tranche_reit is: 0.3497812519787006
</t>
  </si>
  <si>
    <t xml:space="preserve"> 0.3497812519787006
</t>
  </si>
  <si>
    <t>Total plot size is: 149994400.16724622</t>
  </si>
  <si>
    <t xml:space="preserve"> plot size of gold is: 80015704.93780196</t>
  </si>
  <si>
    <t xml:space="preserve"> plot size of TB is: 35005774.07575835</t>
  </si>
  <si>
    <t xml:space="preserve"> plot size of REIT is: 34972921.15368593
</t>
  </si>
  <si>
    <t xml:space="preserve"> 34972921.15368593
</t>
  </si>
  <si>
    <t xml:space="preserve">collateral ratio is: 1.4999440016724623
</t>
  </si>
  <si>
    <t xml:space="preserve"> 1.4999440016724623
</t>
  </si>
  <si>
    <t>S_gtbcps_0 is: 1.0001185086881292</t>
  </si>
  <si>
    <t xml:space="preserve">stdev_gtbcps is: 0.009019527788758988
</t>
  </si>
  <si>
    <t xml:space="preserve"> 0.009019527788758988
</t>
  </si>
  <si>
    <t>predicted price of GTBCPS is: 1.0001347971747483</t>
  </si>
  <si>
    <t xml:space="preserve"> actual price is: 1.0001185086881292
</t>
  </si>
  <si>
    <t xml:space="preserve"> 1.0001185086881292
</t>
  </si>
  <si>
    <t>predicted amount of GTBCPS is: 99986522.0993081</t>
  </si>
  <si>
    <t xml:space="preserve"> actual amount is: 99988150.53545158
</t>
  </si>
  <si>
    <t>plot sizes of gold is: 80015704.93780196</t>
  </si>
  <si>
    <t xml:space="preserve"> plot sizes of tb is: 35005774.07575835 </t>
  </si>
  <si>
    <t xml:space="preserve"> plot sizes of reit is: 34972921.15368593</t>
  </si>
  <si>
    <t xml:space="preserve"> plot sizes of total is: 149994400.16724622.
</t>
  </si>
  <si>
    <t xml:space="preserve"> 149994400.16724622.
</t>
  </si>
  <si>
    <t>predicted stdevs of gold is: 0.007708261584703533</t>
  </si>
  <si>
    <t xml:space="preserve"> predicted stdevs of tb is: 0.0014700434346539594</t>
  </si>
  <si>
    <t xml:space="preserve"> predicted stdevs of reit is: 0.019576193379959528</t>
  </si>
  <si>
    <t xml:space="preserve"> predicted stdevs of GTBCPS is: 0.009019527788758988.
</t>
  </si>
  <si>
    <t xml:space="preserve"> 0.009019527788758988.
</t>
  </si>
  <si>
    <t>total_value_of_collaterals is: 149994961.03705287</t>
  </si>
  <si>
    <t xml:space="preserve"> createdtionValue_gold is: -1303.1869912518296</t>
  </si>
  <si>
    <t xml:space="preserve"> createdValue_tb is: -570.12452021964</t>
  </si>
  <si>
    <t xml:space="preserve"> createdValue_reit is: -569.5898992699698
</t>
  </si>
  <si>
    <t xml:space="preserve"> -569.5898992699698
</t>
  </si>
  <si>
    <t>plotValue_gold_after_creation is: 80017418.90796307</t>
  </si>
  <si>
    <t xml:space="preserve"> plotValue_tb_after_creation  is: 35006405.734831914</t>
  </si>
  <si>
    <t xml:space="preserve"> plotValue_reit_after_creation  is: 34973579.29566862</t>
  </si>
  <si>
    <t xml:space="preserve">total_value_after_creation is: 149997403.9384636
</t>
  </si>
  <si>
    <t xml:space="preserve"> 149997403.9384636
</t>
  </si>
  <si>
    <t>total_amount_gtncps_before_creation is: 99988150.53545158</t>
  </si>
  <si>
    <t>creation_amount_gtbcps is: -1628.4361434727907</t>
  </si>
  <si>
    <t xml:space="preserve">total_amount_gtbcps_new is: 99986522.0993081
</t>
  </si>
  <si>
    <t xml:space="preserve"> 99986522.0993081
</t>
  </si>
  <si>
    <t>payout of tranche of gold is: 410.783169863485</t>
  </si>
  <si>
    <t xml:space="preserve"> payout of tranche of Treausry Bill Option is: 61.53455334336531</t>
  </si>
  <si>
    <t xml:space="preserve"> payout of tranche of Collar of REIT is: 88.55208341577612
</t>
  </si>
  <si>
    <t xml:space="preserve"> 88.55208341577612
</t>
  </si>
  <si>
    <t>Collateral size of tranche of gold is: 80017418.90796307</t>
  </si>
  <si>
    <t xml:space="preserve"> collateral size of tranche of Treausry Bill Option is: 35006405.734831914</t>
  </si>
  <si>
    <t xml:space="preserve"> collateral size of tranche of Collar of REIT is: 34973579.29566862
</t>
  </si>
  <si>
    <t xml:space="preserve"> 34973579.29566862
</t>
  </si>
  <si>
    <t>Collateral ratio of tranche of gold is: 0.8001611572097183</t>
  </si>
  <si>
    <t xml:space="preserve"> collateral ratio of tranche of Treausry Bill Option is: 0.3500583561031169</t>
  </si>
  <si>
    <t xml:space="preserve"> collateral ratio of tranche of Collar of REIT is: 0.3497300970576935
</t>
  </si>
  <si>
    <t xml:space="preserve"> 0.3497300970576935
</t>
  </si>
  <si>
    <t xml:space="preserve"> current price of reit option is: 5.787365514798758</t>
  </si>
  <si>
    <t xml:space="preserve"> predicted price of reit is: 38.7214345000388
</t>
  </si>
  <si>
    <t xml:space="preserve"> 38.7214345000388
</t>
  </si>
  <si>
    <t>value_ratio_gold_to_total is: 0.5425950260241837</t>
  </si>
  <si>
    <t xml:space="preserve"> risk_ratio_to_gold is: 0.6899742969518058</t>
  </si>
  <si>
    <t xml:space="preserve"> risk_ratio_to_gold_before is: 0.6904796475771877
</t>
  </si>
  <si>
    <t xml:space="preserve"> 0.6904796475771877
</t>
  </si>
  <si>
    <t>value_ratio_tb_to_total is: 0.19161990892161815</t>
  </si>
  <si>
    <t xml:space="preserve"> risk_ratio_tb_to_gold is: 0.24816139482214156</t>
  </si>
  <si>
    <t xml:space="preserve"> risk_ratio_tb_to_gold_before is: 0.2476238620024457
</t>
  </si>
  <si>
    <t xml:space="preserve"> 0.2476238620024457
</t>
  </si>
  <si>
    <t>value_ratio_reit_to_total is: 0.2657850650541981</t>
  </si>
  <si>
    <t xml:space="preserve"> risk_ratio_reit_to_gold is: 0.20116795616649297</t>
  </si>
  <si>
    <t xml:space="preserve"> risk_ratio_reit_to_gold_before is: 0.2006447488232071
</t>
  </si>
  <si>
    <t xml:space="preserve"> 0.2006447488232071
</t>
  </si>
  <si>
    <t xml:space="preserve"> delta_reit is: 0.9998386966902035
</t>
  </si>
  <si>
    <t xml:space="preserve"> 0.9998386966902035
</t>
  </si>
  <si>
    <t>delta_gold_risk is: 0.9997010608047803</t>
  </si>
  <si>
    <t xml:space="preserve"> delta_tb_risk is: 1.0004308452539799</t>
  </si>
  <si>
    <t xml:space="preserve"> delta_reit_risk is: 1.0004357719831771
</t>
  </si>
  <si>
    <t xml:space="preserve"> 1.0004357719831771
</t>
  </si>
  <si>
    <t xml:space="preserve">collateral_ratio_tranche_gold is: 0.8004004282695987
</t>
  </si>
  <si>
    <t xml:space="preserve"> 0.8004004282695987
</t>
  </si>
  <si>
    <t xml:space="preserve">collateral_ratio_tranche_tb is: 0.34990760007429345
</t>
  </si>
  <si>
    <t xml:space="preserve"> 0.34990760007429345
</t>
  </si>
  <si>
    <t xml:space="preserve">collateral_ratio_tranche_reit is: 0.3495213728137088
</t>
  </si>
  <si>
    <t xml:space="preserve"> 0.3495213728137088
</t>
  </si>
  <si>
    <t>Total plot size is: 149991762.58436775</t>
  </si>
  <si>
    <t xml:space="preserve"> plot size of gold is: 80017418.90796307</t>
  </si>
  <si>
    <t xml:space="preserve"> plot size of TB is: 35006405.734831914</t>
  </si>
  <si>
    <t xml:space="preserve"> plot size of REIT is: 34967937.94157279
</t>
  </si>
  <si>
    <t xml:space="preserve"> 34967937.94157279
</t>
  </si>
  <si>
    <t xml:space="preserve">collateral ratio is: 1.4999176258436775
</t>
  </si>
  <si>
    <t xml:space="preserve"> 1.4999176258436775
</t>
  </si>
  <si>
    <t>S_gtbcps_0 is: 1.0001347971747483</t>
  </si>
  <si>
    <t>change_of_collaterals is: 2.220446049250313e-16</t>
  </si>
  <si>
    <t xml:space="preserve">stdev_gtbcps is: 0.009062524003981191
</t>
  </si>
  <si>
    <t xml:space="preserve"> 0.009062524003981191
</t>
  </si>
  <si>
    <t>predicted price of GTBCPS is: 1.0001505012755363</t>
  </si>
  <si>
    <t xml:space="preserve"> actual price is: 1.0001347971747483
</t>
  </si>
  <si>
    <t xml:space="preserve"> 1.0001347971747483
</t>
  </si>
  <si>
    <t>predicted amount of GTBCPS is: 99984952.13716894</t>
  </si>
  <si>
    <t xml:space="preserve"> actual amount is: 99986522.0993081
</t>
  </si>
  <si>
    <t>plot sizes of gold is: 80017418.90796307</t>
  </si>
  <si>
    <t xml:space="preserve"> plot sizes of tb is: 35006405.734831914 </t>
  </si>
  <si>
    <t xml:space="preserve"> plot sizes of reit is: 34967937.94157279</t>
  </si>
  <si>
    <t xml:space="preserve"> plot sizes of total is: 149991762.58436778.
</t>
  </si>
  <si>
    <t xml:space="preserve"> 149991762.58436778.
</t>
  </si>
  <si>
    <t>predicted stdevs of gold is: 0.00774748397434093</t>
  </si>
  <si>
    <t xml:space="preserve"> predicted stdevs of tb is: 0.0014781012926170232</t>
  </si>
  <si>
    <t xml:space="preserve"> predicted stdevs of reit is: 0.019664507119210844</t>
  </si>
  <si>
    <t xml:space="preserve"> predicted stdevs of GTBCPS is: 0.009062524003981191.
</t>
  </si>
  <si>
    <t xml:space="preserve"> 0.009062524003981191.
</t>
  </si>
  <si>
    <t>total_value_of_collaterals is: 149992303.24746662</t>
  </si>
  <si>
    <t xml:space="preserve"> createdtionValue_gold is: -1256.438466914024</t>
  </si>
  <si>
    <t xml:space="preserve"> createdValue_tb is: -549.6709607862111</t>
  </si>
  <si>
    <t xml:space="preserve"> createdValue_reit is: -549.0673487089504
</t>
  </si>
  <si>
    <t xml:space="preserve"> -549.0673487089504
</t>
  </si>
  <si>
    <t>plotValue_gold_after_creation is: 80019071.41899653</t>
  </si>
  <si>
    <t xml:space="preserve"> plotValue_tb_after_creation  is: 35007014.68980894</t>
  </si>
  <si>
    <t xml:space="preserve"> plotValue_reit_after_creation  is: 34968572.31543757</t>
  </si>
  <si>
    <t xml:space="preserve">total_value_after_creation is: 149994658.42424303
</t>
  </si>
  <si>
    <t xml:space="preserve"> 149994658.42424303
</t>
  </si>
  <si>
    <t>total_amount_gtncps_before_creation is: 99986522.0993081</t>
  </si>
  <si>
    <t>creation_amount_gtbcps is: -1569.962139159441</t>
  </si>
  <si>
    <t xml:space="preserve">total_amount_gtbcps_new is: 99984952.13716894
</t>
  </si>
  <si>
    <t xml:space="preserve"> 99984952.13716894
</t>
  </si>
  <si>
    <t>payout of tranche of gold is: 396.07256653553856</t>
  </si>
  <si>
    <t xml:space="preserve"> payout of tranche of Treausry Bill Option is: 59.2840162405162</t>
  </si>
  <si>
    <t xml:space="preserve"> payout of tranche of Collar of REIT is: 85.3065160698693
</t>
  </si>
  <si>
    <t xml:space="preserve"> 85.3065160698693
</t>
  </si>
  <si>
    <t>Collateral size of tranche of gold is: 80019071.41899653</t>
  </si>
  <si>
    <t xml:space="preserve"> collateral size of tranche of Treausry Bill Option is: 35007014.68980894</t>
  </si>
  <si>
    <t xml:space="preserve"> collateral size of tranche of Collar of REIT is: 34968572.31543757
</t>
  </si>
  <si>
    <t xml:space="preserve"> 34968572.31543757
</t>
  </si>
  <si>
    <t>Collateral ratio of tranche of gold is: 0.8001781498052959</t>
  </si>
  <si>
    <t xml:space="preserve"> collateral ratio of tranche of Treausry Bill Option is: 0.35006465018848154</t>
  </si>
  <si>
    <t xml:space="preserve"> collateral ratio of tranche of Collar of REIT is: 0.34968023248088853
</t>
  </si>
  <si>
    <t xml:space="preserve"> 0.34968023248088853
</t>
  </si>
  <si>
    <t xml:space="preserve"> current price of reit option is: 5.780216320395013</t>
  </si>
  <si>
    <t xml:space="preserve"> predicted price of reit is: 38.679792678494465
</t>
  </si>
  <si>
    <t xml:space="preserve"> 38.679792678494465
</t>
  </si>
  <si>
    <t>value_ratio_gold_to_total is: 0.5437215902038353</t>
  </si>
  <si>
    <t xml:space="preserve"> risk_ratio_to_gold is: 0.6874602219558439</t>
  </si>
  <si>
    <t xml:space="preserve"> risk_ratio_to_gold_before is: 0.6899742969518058
</t>
  </si>
  <si>
    <t xml:space="preserve"> 0.6899742969518058
</t>
  </si>
  <si>
    <t>value_ratio_tb_to_total is: 0.19201776020138558</t>
  </si>
  <si>
    <t xml:space="preserve"> risk_ratio_tb_to_gold is: 0.2509514410950683</t>
  </si>
  <si>
    <t xml:space="preserve"> risk_ratio_tb_to_gold_before is: 0.24816139482214156
</t>
  </si>
  <si>
    <t xml:space="preserve"> 0.24816139482214156
</t>
  </si>
  <si>
    <t>value_ratio_reit_to_total is: 0.26426064959477913</t>
  </si>
  <si>
    <t xml:space="preserve"> risk_ratio_reit_to_gold is: 0.20367817682663722</t>
  </si>
  <si>
    <t xml:space="preserve"> risk_ratio_reit_to_gold_before is: 0.20116795616649297
</t>
  </si>
  <si>
    <t xml:space="preserve"> 0.20116795616649297
</t>
  </si>
  <si>
    <t xml:space="preserve"> delta_reit is: 0.9998376561740202
</t>
  </si>
  <si>
    <t xml:space="preserve"> 0.9998376561740202
</t>
  </si>
  <si>
    <t>delta_gold_risk is: 0.9985123590338052</t>
  </si>
  <si>
    <t xml:space="preserve"> delta_tb_risk is: 1.0022353249223224</t>
  </si>
  <si>
    <t xml:space="preserve"> delta_reit_risk is: 1.0020898165383594
</t>
  </si>
  <si>
    <t xml:space="preserve"> 1.0020898165383594
</t>
  </si>
  <si>
    <t xml:space="preserve">collateral_ratio_tranche_gold is: 0.8013703010942956
</t>
  </si>
  <si>
    <t xml:space="preserve"> 0.8013703010942956
</t>
  </si>
  <si>
    <t xml:space="preserve">collateral_ratio_tranche_tb is: 0.3492838872104344
</t>
  </si>
  <si>
    <t xml:space="preserve"> 0.3492838872104344
</t>
  </si>
  <si>
    <t xml:space="preserve">collateral_ratio_tranche_reit is: 0.3488943388945164
</t>
  </si>
  <si>
    <t xml:space="preserve"> 0.3488943388945164
</t>
  </si>
  <si>
    <t>Total plot size is: 149988981.4924243</t>
  </si>
  <si>
    <t xml:space="preserve"> plot size of gold is: 80019071.41899653</t>
  </si>
  <si>
    <t xml:space="preserve"> plot size of TB is: 35007014.68980894</t>
  </si>
  <si>
    <t xml:space="preserve"> plot size of REIT is: 34962895.38361883
</t>
  </si>
  <si>
    <t xml:space="preserve"> 34962895.38361883
</t>
  </si>
  <si>
    <t xml:space="preserve">collateral ratio is: 1.4998898149242428
</t>
  </si>
  <si>
    <t xml:space="preserve"> 1.4998898149242428
</t>
  </si>
  <si>
    <t>S_gtbcps_0 is: 1.0001505012755363</t>
  </si>
  <si>
    <t xml:space="preserve">stdev_gtbcps is: 0.009060646390788065
</t>
  </si>
  <si>
    <t xml:space="preserve"> 0.009060646390788065
</t>
  </si>
  <si>
    <t>predicted price of GTBCPS is: 1.0001654020295807</t>
  </si>
  <si>
    <t xml:space="preserve"> actual price is: 1.0001505012755363
</t>
  </si>
  <si>
    <t xml:space="preserve"> 1.0001505012755363
</t>
  </si>
  <si>
    <t>predicted amount of GTBCPS is: 99983462.53237265</t>
  </si>
  <si>
    <t xml:space="preserve"> actual amount is: 99984952.13716894
</t>
  </si>
  <si>
    <t>plot sizes of gold is: 80019071.41899653</t>
  </si>
  <si>
    <t xml:space="preserve"> plot sizes of tb is: 35007014.68980894 </t>
  </si>
  <si>
    <t xml:space="preserve"> plot sizes of reit is: 34962895.38361883</t>
  </si>
  <si>
    <t xml:space="preserve"> plot sizes of total is: 149988981.4924243.
</t>
  </si>
  <si>
    <t xml:space="preserve"> 149988981.4924243.
</t>
  </si>
  <si>
    <t>predicted stdevs of gold is: 0.007703131737556432</t>
  </si>
  <si>
    <t xml:space="preserve"> predicted stdevs of tb is: 0.001484412255137584</t>
  </si>
  <si>
    <t xml:space="preserve"> predicted stdevs of reit is: 0.019753364987674753</t>
  </si>
  <si>
    <t xml:space="preserve"> predicted stdevs of GTBCPS is: 0.009060646390788065.
</t>
  </si>
  <si>
    <t xml:space="preserve"> 0.009060646390788065.
</t>
  </si>
  <si>
    <t>total_value_of_collaterals is: 149989494.3191044</t>
  </si>
  <si>
    <t xml:space="preserve"> createdtionValue_gold is: -1192.1706794422414</t>
  </si>
  <si>
    <t xml:space="preserve"> createdValue_tb is: -521.553258233222</t>
  </si>
  <si>
    <t xml:space="preserve"> createdValue_reit is: -520.8963132342178
</t>
  </si>
  <si>
    <t xml:space="preserve"> -520.8963132342178
</t>
  </si>
  <si>
    <t>plotValue_gold_after_creation is: 80020639.4475994</t>
  </si>
  <si>
    <t xml:space="preserve"> plotValue_tb_after_creation  is: 35007592.4106162</t>
  </si>
  <si>
    <t xml:space="preserve"> plotValue_reit_after_creation  is: 34963497.081139706</t>
  </si>
  <si>
    <t xml:space="preserve">total_value_after_creation is: 149991728.9393553
</t>
  </si>
  <si>
    <t xml:space="preserve"> 149991728.9393553
</t>
  </si>
  <si>
    <t>total_amount_gtncps_before_creation is: 99984952.13716894</t>
  </si>
  <si>
    <t>creation_amount_gtbcps is: -1489.6047962903976</t>
  </si>
  <si>
    <t xml:space="preserve">total_amount_gtbcps_new is: 99983462.53237265
</t>
  </si>
  <si>
    <t xml:space="preserve"> 99983462.53237265
</t>
  </si>
  <si>
    <t>payout of tranche of gold is: 375.85792343683283</t>
  </si>
  <si>
    <t xml:space="preserve"> payout of tranche of Treausry Bill Option is: 56.167549023691656</t>
  </si>
  <si>
    <t xml:space="preserve"> payout of tranche of Collar of REIT is: 80.80120763958904
</t>
  </si>
  <si>
    <t xml:space="preserve"> 80.80120763958904
</t>
  </si>
  <si>
    <t>Collateral size of tranche of gold is: 80020639.4475994</t>
  </si>
  <si>
    <t xml:space="preserve"> collateral size of tranche of Treausry Bill Option is: 35007592.4106162</t>
  </si>
  <si>
    <t xml:space="preserve"> collateral size of tranche of Collar of REIT is: 34963497.081139706
</t>
  </si>
  <si>
    <t xml:space="preserve"> 34963497.081139706
</t>
  </si>
  <si>
    <t>Collateral ratio of tranche of gold is: 0.8001944727691995</t>
  </si>
  <si>
    <t xml:space="preserve"> collateral ratio of tranche of Treausry Bill Option is: 0.3500707085735796</t>
  </si>
  <si>
    <t xml:space="preserve"> collateral ratio of tranche of Collar of REIT is: 0.34962976184826466
</t>
  </si>
  <si>
    <t xml:space="preserve"> 0.34962976184826466
</t>
  </si>
  <si>
    <t xml:space="preserve"> current price of reit option is: 5.776370569954743</t>
  </si>
  <si>
    <t xml:space="preserve"> predicted price of reit is: 38.73323343047859
</t>
  </si>
  <si>
    <t xml:space="preserve"> 38.73323343047859
</t>
  </si>
  <si>
    <t>value_ratio_gold_to_total is: 0.5425765014280923</t>
  </si>
  <si>
    <t xml:space="preserve"> risk_ratio_to_gold is: 0.68757928611926</t>
  </si>
  <si>
    <t xml:space="preserve"> risk_ratio_to_gold_before is: 0.6874602219558439
</t>
  </si>
  <si>
    <t xml:space="preserve"> 0.6874602219558439
</t>
  </si>
  <si>
    <t>value_ratio_tb_to_total is: 0.1916133668759937</t>
  </si>
  <si>
    <t xml:space="preserve"> risk_ratio_tb_to_gold is: 0.2508258824870087</t>
  </si>
  <si>
    <t xml:space="preserve"> risk_ratio_tb_to_gold_before is: 0.2509514410950683
</t>
  </si>
  <si>
    <t xml:space="preserve"> 0.2509514410950683
</t>
  </si>
  <si>
    <t>value_ratio_reit_to_total is: 0.26581013169591394</t>
  </si>
  <si>
    <t xml:space="preserve"> risk_ratio_reit_to_gold is: 0.20355184556245268</t>
  </si>
  <si>
    <t xml:space="preserve"> risk_ratio_reit_to_gold_before is: 0.20367817682663722
</t>
  </si>
  <si>
    <t xml:space="preserve"> 0.20367817682663722
</t>
  </si>
  <si>
    <t xml:space="preserve"> delta_reit is: 0.9999126565626595
</t>
  </si>
  <si>
    <t xml:space="preserve"> 0.9999126565626595
</t>
  </si>
  <si>
    <t>delta_gold_risk is: 1.000070558204494</t>
  </si>
  <si>
    <t xml:space="preserve"> delta_tb_risk is: 0.9998996295108389</t>
  </si>
  <si>
    <t xml:space="preserve"> delta_reit_risk is: 0.9998950456470703
</t>
  </si>
  <si>
    <t xml:space="preserve"> 0.9998950456470703
</t>
  </si>
  <si>
    <t xml:space="preserve">collateral_ratio_tranche_gold is: 0.8001380164674102
</t>
  </si>
  <si>
    <t xml:space="preserve"> 0.8001380164674102
</t>
  </si>
  <si>
    <t xml:space="preserve">collateral_ratio_tranche_tb is: 0.35010584886888874
</t>
  </si>
  <si>
    <t xml:space="preserve"> 0.35010584886888874
</t>
  </si>
  <si>
    <t xml:space="preserve">collateral_ratio_tranche_reit is: 0.3496359197947913
</t>
  </si>
  <si>
    <t xml:space="preserve"> 0.3496359197947913
</t>
  </si>
  <si>
    <t>Total plot size is: 149988675.1073388</t>
  </si>
  <si>
    <t xml:space="preserve"> plot size of gold is: 80020639.4475994</t>
  </si>
  <si>
    <t xml:space="preserve"> plot size of TB is: 35007592.4106162</t>
  </si>
  <si>
    <t xml:space="preserve"> plot size of REIT is: 34960443.24912319
</t>
  </si>
  <si>
    <t xml:space="preserve"> 34960443.24912319
</t>
  </si>
  <si>
    <t xml:space="preserve">collateral ratio is: 1.4998867510733875
</t>
  </si>
  <si>
    <t xml:space="preserve"> 1.4998867510733875
</t>
  </si>
  <si>
    <t>S_gtbcps_0 is: 1.0001654020295807</t>
  </si>
  <si>
    <t xml:space="preserve">stdev_gtbcps is: 0.009085313600782442
</t>
  </si>
  <si>
    <t xml:space="preserve"> 0.009085313600782442
</t>
  </si>
  <si>
    <t>predicted price of GTBCPS is: 1.0001425835913798</t>
  </si>
  <si>
    <t xml:space="preserve"> actual price is: 1.0001654020295807
</t>
  </si>
  <si>
    <t xml:space="preserve"> 1.0001654020295807
</t>
  </si>
  <si>
    <t>predicted amount of GTBCPS is: 99985743.67358026</t>
  </si>
  <si>
    <t xml:space="preserve"> actual amount is: 99983462.53237265
</t>
  </si>
  <si>
    <t>plot sizes of gold is: 80020639.4475994</t>
  </si>
  <si>
    <t xml:space="preserve"> plot sizes of tb is: 35007592.4106162 </t>
  </si>
  <si>
    <t xml:space="preserve"> plot sizes of reit is: 34960443.24912319</t>
  </si>
  <si>
    <t xml:space="preserve"> plot sizes of total is: 149988675.1073388.
</t>
  </si>
  <si>
    <t xml:space="preserve"> 149988675.1073388.
</t>
  </si>
  <si>
    <t>predicted stdevs of gold is: 0.007725495448483671</t>
  </si>
  <si>
    <t xml:space="preserve"> predicted stdevs of tb is: 0.001492183528760037</t>
  </si>
  <si>
    <t xml:space="preserve"> predicted stdevs of reit is: 0.019801159452392168</t>
  </si>
  <si>
    <t xml:space="preserve"> predicted stdevs of GTBCPS is: 0.009085313600782442.
</t>
  </si>
  <si>
    <t xml:space="preserve"> 0.009085313600782442.
</t>
  </si>
  <si>
    <t>total_value_of_collaterals is: 149987889.41223285</t>
  </si>
  <si>
    <t xml:space="preserve"> createdtionValue_gold is: 1825.6301656198493</t>
  </si>
  <si>
    <t xml:space="preserve"> createdValue_tb is: 798.6844002423873</t>
  </si>
  <si>
    <t xml:space="preserve"> createdValue_reit is: 797.6088265067737
</t>
  </si>
  <si>
    <t xml:space="preserve"> 797.6088265067737
</t>
  </si>
  <si>
    <t>plotValue_gold_after_creation is: 80018205.20958325</t>
  </si>
  <si>
    <t xml:space="preserve"> plotValue_tb_after_creation  is: 35006702.58403042</t>
  </si>
  <si>
    <t xml:space="preserve"> plotValue_reit_after_creation  is: 34959559.695226796</t>
  </si>
  <si>
    <t xml:space="preserve">total_value_after_creation is: 149984467.48884046
</t>
  </si>
  <si>
    <t xml:space="preserve"> 149984467.48884046
</t>
  </si>
  <si>
    <t>total_amount_gtncps_before_creation is: 99983462.53237265</t>
  </si>
  <si>
    <t>creation_amount_gtbcps is: 2281.1412076056004</t>
  </si>
  <si>
    <t xml:space="preserve">total_amount_gtbcps_new is: 99985743.67358026
</t>
  </si>
  <si>
    <t xml:space="preserve"> 99985743.67358026
</t>
  </si>
  <si>
    <t>payout of tranche of gold is: -608.6078505277654</t>
  </si>
  <si>
    <t xml:space="preserve"> payout of tranche of Treausry Bill Option is: -91.1421855280278</t>
  </si>
  <si>
    <t xml:space="preserve"> payout of tranche of Collar of REIT is: -85.94506989730455
</t>
  </si>
  <si>
    <t xml:space="preserve"> -85.94506989730455
</t>
  </si>
  <si>
    <t>Collateral size of tranche of gold is: 80018205.20958325</t>
  </si>
  <si>
    <t xml:space="preserve"> collateral size of tranche of Treausry Bill Option is: 35006702.58403042</t>
  </si>
  <si>
    <t xml:space="preserve"> collateral size of tranche of Collar of REIT is: 34959559.695226796
</t>
  </si>
  <si>
    <t xml:space="preserve"> 34959559.695226796
</t>
  </si>
  <si>
    <t>Collateral ratio of tranche of gold is: 0.8002003083974886</t>
  </si>
  <si>
    <t xml:space="preserve"> collateral ratio of tranche of Treausry Bill Option is: 0.3500750126843066</t>
  </si>
  <si>
    <t xml:space="preserve"> collateral ratio of tranche of Collar of REIT is: 0.34960357304053297
</t>
  </si>
  <si>
    <t xml:space="preserve"> 0.34960357304053297
</t>
  </si>
  <si>
    <t xml:space="preserve"> current price of reit option is: 5.767349694343437</t>
  </si>
  <si>
    <t xml:space="preserve"> predicted price of reit is: 38.89711090565003
</t>
  </si>
  <si>
    <t xml:space="preserve"> 38.89711090565003
</t>
  </si>
  <si>
    <t>value_ratio_gold_to_total is: 0.5390318882496271</t>
  </si>
  <si>
    <t xml:space="preserve"> risk_ratio_to_gold is: 0.687053691037903</t>
  </si>
  <si>
    <t xml:space="preserve"> risk_ratio_to_gold_before is: 0.68757928611926
</t>
  </si>
  <si>
    <t xml:space="preserve"> 0.68757928611926
</t>
  </si>
  <si>
    <t>value_ratio_tb_to_total is: 0.19036157056043068</t>
  </si>
  <si>
    <t xml:space="preserve"> risk_ratio_tb_to_gold is: 0.2514929400813425</t>
  </si>
  <si>
    <t xml:space="preserve"> risk_ratio_tb_to_gold_before is: 0.2508258824870087
</t>
  </si>
  <si>
    <t xml:space="preserve"> 0.2508258824870087
</t>
  </si>
  <si>
    <t>value_ratio_reit_to_total is: 0.2706065411899422</t>
  </si>
  <si>
    <t xml:space="preserve"> risk_ratio_reit_to_gold is: 0.20399738482957136</t>
  </si>
  <si>
    <t xml:space="preserve"> risk_ratio_reit_to_gold_before is: 0.20355184556245268
</t>
  </si>
  <si>
    <t xml:space="preserve"> 0.20355184556245268
</t>
  </si>
  <si>
    <t xml:space="preserve"> delta_reit is: 0.9997951029009541
</t>
  </si>
  <si>
    <t xml:space="preserve"> 0.9997951029009541
</t>
  </si>
  <si>
    <t>delta_gold_risk is: 0.9996885508813245</t>
  </si>
  <si>
    <t xml:space="preserve"> delta_tb_risk is: 1.0005332937251086</t>
  </si>
  <si>
    <t xml:space="preserve"> delta_reit_risk is: 1.0003701870166717
</t>
  </si>
  <si>
    <t xml:space="preserve"> 1.0003701870166717
</t>
  </si>
  <si>
    <t xml:space="preserve">collateral_ratio_tranche_gold is: 0.8004496077223578
</t>
  </si>
  <si>
    <t xml:space="preserve"> 0.8004496077223578
</t>
  </si>
  <si>
    <t xml:space="preserve">collateral_ratio_tranche_tb is: 0.34988841938576
</t>
  </si>
  <si>
    <t xml:space="preserve"> 0.34988841938576
</t>
  </si>
  <si>
    <t xml:space="preserve">collateral_ratio_tranche_reit is: 0.34940259597797846
</t>
  </si>
  <si>
    <t xml:space="preserve"> 0.34940259597797846
</t>
  </si>
  <si>
    <t>Total plot size is: 149977304.37647498</t>
  </si>
  <si>
    <t xml:space="preserve"> plot size of gold is: 80018205.20958325</t>
  </si>
  <si>
    <t xml:space="preserve"> plot size of TB is: 35006702.58403042</t>
  </si>
  <si>
    <t xml:space="preserve"> plot size of REIT is: 34952396.58286132
</t>
  </si>
  <si>
    <t xml:space="preserve"> 34952396.58286132
</t>
  </si>
  <si>
    <t xml:space="preserve">collateral ratio is: 1.4997730437647496
</t>
  </si>
  <si>
    <t xml:space="preserve"> 1.4997730437647496
</t>
  </si>
  <si>
    <t>S_gtbcps_0 is: 1.0001425835913798</t>
  </si>
  <si>
    <t xml:space="preserve">stdev_gtbcps is: 0.009137078049163205
</t>
  </si>
  <si>
    <t xml:space="preserve"> 0.009137078049163205
</t>
  </si>
  <si>
    <t>predicted price of GTBCPS is: 1.0001677398776234</t>
  </si>
  <si>
    <t xml:space="preserve"> actual price is: 1.0001425835913798
</t>
  </si>
  <si>
    <t xml:space="preserve"> 1.0001425835913798
</t>
  </si>
  <si>
    <t>predicted amount of GTBCPS is: 99983228.82543245</t>
  </si>
  <si>
    <t xml:space="preserve"> actual amount is: 99985743.67358026
</t>
  </si>
  <si>
    <t>plot sizes of gold is: 80018205.20958325</t>
  </si>
  <si>
    <t xml:space="preserve"> plot sizes of tb is: 35006702.58403042 </t>
  </si>
  <si>
    <t xml:space="preserve"> plot sizes of reit is: 34952396.58286132</t>
  </si>
  <si>
    <t xml:space="preserve"> plot sizes of total is: 149977304.37647498.
</t>
  </si>
  <si>
    <t xml:space="preserve"> 149977304.37647498.
</t>
  </si>
  <si>
    <t>predicted stdevs of gold is: 0.00777101613515455</t>
  </si>
  <si>
    <t xml:space="preserve"> predicted stdevs of tb is: 0.0015001561286330611</t>
  </si>
  <si>
    <t xml:space="preserve"> predicted stdevs of reit is: 0.019913256901468033</t>
  </si>
  <si>
    <t xml:space="preserve"> predicted stdevs of GTBCPS is: 0.009137078049163205.
</t>
  </si>
  <si>
    <t xml:space="preserve"> 0.009137078049163205.
</t>
  </si>
  <si>
    <t>total_value_of_collaterals is: 149978170.46042845</t>
  </si>
  <si>
    <t xml:space="preserve"> createdtionValue_gold is: -2012.6898612014015</t>
  </si>
  <si>
    <t xml:space="preserve"> createdValue_tb is: -880.5154728112242</t>
  </si>
  <si>
    <t xml:space="preserve"> createdValue_reit is: -879.1505763250744
</t>
  </si>
  <si>
    <t xml:space="preserve"> -879.1505763250744
</t>
  </si>
  <si>
    <t>plotValue_gold_after_creation is: 80020852.44462271</t>
  </si>
  <si>
    <t xml:space="preserve"> plotValue_tb_after_creation  is: 35007678.07464181</t>
  </si>
  <si>
    <t xml:space="preserve"> plotValue_reit_after_creation  is: 34953412.29707427</t>
  </si>
  <si>
    <t xml:space="preserve">total_value_after_creation is: 149981942.81633878
</t>
  </si>
  <si>
    <t xml:space="preserve"> 149981942.81633878
</t>
  </si>
  <si>
    <t>total_amount_gtncps_before_creation is: 99985743.67358026</t>
  </si>
  <si>
    <t>creation_amount_gtbcps is: -2514.8481478095055</t>
  </si>
  <si>
    <t xml:space="preserve">total_amount_gtbcps_new is: 99983228.82543245
</t>
  </si>
  <si>
    <t xml:space="preserve"> 99983228.82543245
</t>
  </si>
  <si>
    <t>payout of tranche of gold is: 634.545178247169</t>
  </si>
  <si>
    <t xml:space="preserve"> payout of tranche of Treausry Bill Option is: 94.97513857629998</t>
  </si>
  <si>
    <t xml:space="preserve"> payout of tranche of Collar of REIT is: 136.56363663262917
</t>
  </si>
  <si>
    <t xml:space="preserve"> 136.56363663262917
</t>
  </si>
  <si>
    <t>Collateral size of tranche of gold is: 80020852.44462271</t>
  </si>
  <si>
    <t xml:space="preserve"> collateral size of tranche of Treausry Bill Option is: 35007678.07464181</t>
  </si>
  <si>
    <t xml:space="preserve"> collateral size of tranche of Collar of REIT is: 34953412.29707427
</t>
  </si>
  <si>
    <t xml:space="preserve"> 34953412.29707427
</t>
  </si>
  <si>
    <t>Collateral ratio of tranche of gold is: 0.800188397547615</t>
  </si>
  <si>
    <t xml:space="preserve"> collateral ratio of tranche of Treausry Bill Option is: 0.3500679755916899</t>
  </si>
  <si>
    <t xml:space="preserve"> collateral ratio of tranche of Collar of REIT is: 0.34952533146497944
</t>
  </si>
  <si>
    <t xml:space="preserve"> 0.34952533146497944
</t>
  </si>
  <si>
    <t xml:space="preserve"> current price of reit option is: 5.758740379754393</t>
  </si>
  <si>
    <t xml:space="preserve"> predicted price of reit is: 38.73173426174294
</t>
  </si>
  <si>
    <t xml:space="preserve"> 38.73173426174294
</t>
  </si>
  <si>
    <t>value_ratio_gold_to_total is: 0.5430176033967083</t>
  </si>
  <si>
    <t xml:space="preserve"> risk_ratio_to_gold is: 0.6915697718313034</t>
  </si>
  <si>
    <t xml:space="preserve"> risk_ratio_to_gold_before is: 0.687053691037903
</t>
  </si>
  <si>
    <t xml:space="preserve"> 0.687053691037903
</t>
  </si>
  <si>
    <t>value_ratio_tb_to_total is: 0.19176914404864986</t>
  </si>
  <si>
    <t xml:space="preserve"> risk_ratio_tb_to_gold is: 0.24596927393807672</t>
  </si>
  <si>
    <t xml:space="preserve"> risk_ratio_tb_to_gold_before is: 0.2514929400813425
</t>
  </si>
  <si>
    <t xml:space="preserve"> 0.2514929400813425
</t>
  </si>
  <si>
    <t>value_ratio_reit_to_total is: 0.2652132525546418</t>
  </si>
  <si>
    <t xml:space="preserve"> risk_ratio_reit_to_gold is: 0.20001642516493864</t>
  </si>
  <si>
    <t xml:space="preserve"> risk_ratio_reit_to_gold_before is: 0.20399738482957136
</t>
  </si>
  <si>
    <t xml:space="preserve"> 0.20399738482957136
</t>
  </si>
  <si>
    <t xml:space="preserve"> delta_reit is: 0.9998044108823264
</t>
  </si>
  <si>
    <t xml:space="preserve"> 0.9998044108823264
</t>
  </si>
  <si>
    <t>delta_gold_risk is: 1.0026769040116452</t>
  </si>
  <si>
    <t xml:space="preserve"> delta_tb_risk is: 0.9955863385510536</t>
  </si>
  <si>
    <t xml:space="preserve"> delta_reit_risk is: 0.9966935479139797
</t>
  </si>
  <si>
    <t xml:space="preserve"> 0.9966935479139797
</t>
  </si>
  <si>
    <t xml:space="preserve">collateral_ratio_tranche_gold is: 0.7980520887098457
</t>
  </si>
  <si>
    <t xml:space="preserve"> 0.7980520887098457
</t>
  </si>
  <si>
    <t xml:space="preserve">collateral_ratio_tranche_tb is: 0.35161990681909944
</t>
  </si>
  <si>
    <t xml:space="preserve"> 0.35161990681909944
</t>
  </si>
  <si>
    <t xml:space="preserve">collateral_ratio_tranche_reit is: 0.35061626399126017
</t>
  </si>
  <si>
    <t xml:space="preserve"> 0.35061626399126017
</t>
  </si>
  <si>
    <t>Total plot size is: 149975106.30926794</t>
  </si>
  <si>
    <t xml:space="preserve"> plot size of gold is: 80020852.44462271</t>
  </si>
  <si>
    <t xml:space="preserve"> plot size of TB is: 35007678.07464181</t>
  </si>
  <si>
    <t xml:space="preserve"> plot size of REIT is: 34946575.790003404
</t>
  </si>
  <si>
    <t xml:space="preserve"> 34946575.790003404
</t>
  </si>
  <si>
    <t xml:space="preserve">collateral ratio is: 1.4997510630926791
</t>
  </si>
  <si>
    <t xml:space="preserve"> 1.4997510630926791
</t>
  </si>
  <si>
    <t>S_gtbcps_0 is: 1.0001677398776234</t>
  </si>
  <si>
    <t xml:space="preserve">stdev_gtbcps is: 0.009172617556877007
</t>
  </si>
  <si>
    <t xml:space="preserve"> 0.009172617556877007
</t>
  </si>
  <si>
    <t>predicted price of GTBCPS is: 1.0001908123957823</t>
  </si>
  <si>
    <t xml:space="preserve"> actual price is: 1.0001677398776234
</t>
  </si>
  <si>
    <t xml:space="preserve"> 1.0001677398776234
</t>
  </si>
  <si>
    <t>predicted amount of GTBCPS is: 99980922.40066421</t>
  </si>
  <si>
    <t xml:space="preserve"> actual amount is: 99983228.82543245
</t>
  </si>
  <si>
    <t>plot sizes of gold is: 80020852.44462271</t>
  </si>
  <si>
    <t xml:space="preserve"> plot sizes of tb is: 35007678.07464181 </t>
  </si>
  <si>
    <t xml:space="preserve"> plot sizes of reit is: 34946575.790003404</t>
  </si>
  <si>
    <t xml:space="preserve"> plot sizes of total is: 149975106.30926794.
</t>
  </si>
  <si>
    <t xml:space="preserve"> 149975106.30926794.
</t>
  </si>
  <si>
    <t>predicted stdevs of gold is: 0.007804447915137033</t>
  </si>
  <si>
    <t xml:space="preserve"> predicted stdevs of tb is: 0.001471319039136848</t>
  </si>
  <si>
    <t xml:space="preserve"> predicted stdevs of reit is: 0.020020223415734565</t>
  </si>
  <si>
    <t xml:space="preserve"> predicted stdevs of GTBCPS is: 0.009172617556877007.
</t>
  </si>
  <si>
    <t xml:space="preserve"> 0.009172617556877007.
</t>
  </si>
  <si>
    <t>total_value_of_collaterals is: 149975901.3202637</t>
  </si>
  <si>
    <t xml:space="preserve"> createdtionValue_gold is: -1845.9863514950564</t>
  </si>
  <si>
    <t xml:space="preserve"> createdValue_tb is: -807.5818430766309</t>
  </si>
  <si>
    <t xml:space="preserve"> createdValue_reit is: -806.173175465576
</t>
  </si>
  <si>
    <t xml:space="preserve"> -806.173175465576
</t>
  </si>
  <si>
    <t>plotValue_gold_after_creation is: 80023280.33055924</t>
  </si>
  <si>
    <t xml:space="preserve"> plotValue_tb_after_creation  is: 35008573.14901118</t>
  </si>
  <si>
    <t xml:space="preserve"> plotValue_reit_after_creation  is: 34947507.58206334</t>
  </si>
  <si>
    <t xml:space="preserve">total_value_after_creation is: 149979361.06163377
</t>
  </si>
  <si>
    <t xml:space="preserve"> 149979361.06163377
</t>
  </si>
  <si>
    <t>total_amount_gtncps_before_creation is: 99983228.82543245</t>
  </si>
  <si>
    <t>creation_amount_gtbcps is: -2306.4247682392597</t>
  </si>
  <si>
    <t xml:space="preserve">total_amount_gtbcps_new is: 99980922.40066421
</t>
  </si>
  <si>
    <t xml:space="preserve"> 99980922.40066421
</t>
  </si>
  <si>
    <t>payout of tranche of gold is: 581.8995850386825</t>
  </si>
  <si>
    <t xml:space="preserve"> payout of tranche of Treausry Bill Option is: 87.49252629373308</t>
  </si>
  <si>
    <t xml:space="preserve"> payout of tranche of Collar of REIT is: 125.61888446358479
</t>
  </si>
  <si>
    <t xml:space="preserve"> 125.61888446358479
</t>
  </si>
  <si>
    <t>Collateral size of tranche of gold is: 80023280.33055924</t>
  </si>
  <si>
    <t xml:space="preserve"> collateral size of tranche of Treausry Bill Option is: 35008573.14901118</t>
  </si>
  <si>
    <t xml:space="preserve"> collateral size of tranche of Collar of REIT is: 34947507.58206334
</t>
  </si>
  <si>
    <t xml:space="preserve"> 34947507.58206334
</t>
  </si>
  <si>
    <t>Collateral ratio of tranche of gold is: 0.8002143434420773</t>
  </si>
  <si>
    <t xml:space="preserve"> collateral ratio of tranche of Treausry Bill Option is: 0.350077655671681</t>
  </si>
  <si>
    <t xml:space="preserve"> collateral ratio of tranche of Collar of REIT is: 0.34946701408887865
</t>
  </si>
  <si>
    <t xml:space="preserve"> 0.34946701408887865
</t>
  </si>
  <si>
    <t xml:space="preserve"> current price of reit option is: 5.751145938386301</t>
  </si>
  <si>
    <t xml:space="preserve"> predicted price of reit is: 38.709672382015164
</t>
  </si>
  <si>
    <t xml:space="preserve"> 38.709672382015164
</t>
  </si>
  <si>
    <t>value_ratio_gold_to_total is: 0.5437028651543312</t>
  </si>
  <si>
    <t xml:space="preserve"> risk_ratio_to_gold is: 0.6915877090730934</t>
  </si>
  <si>
    <t xml:space="preserve"> risk_ratio_to_gold_before is: 0.6915697718313034
</t>
  </si>
  <si>
    <t xml:space="preserve"> 0.6915697718313034
</t>
  </si>
  <si>
    <t>value_ratio_tb_to_total is: 0.19201114736472394</t>
  </si>
  <si>
    <t xml:space="preserve"> risk_ratio_tb_to_gold is: 0.24581991618160817</t>
  </si>
  <si>
    <t xml:space="preserve"> risk_ratio_tb_to_gold_before is: 0.24596927393807672
</t>
  </si>
  <si>
    <t xml:space="preserve"> 0.24596927393807672
</t>
  </si>
  <si>
    <t>value_ratio_reit_to_total is: 0.2642859874809449</t>
  </si>
  <si>
    <t xml:space="preserve"> risk_ratio_reit_to_gold is: 0.20012827937013034</t>
  </si>
  <si>
    <t xml:space="preserve"> risk_ratio_reit_to_gold_before is: 0.20001642516493864
</t>
  </si>
  <si>
    <t xml:space="preserve"> 0.20001642516493864
</t>
  </si>
  <si>
    <t xml:space="preserve"> delta_reit is: 0.9998274333393194
</t>
  </si>
  <si>
    <t xml:space="preserve"> 0.9998274333393194
</t>
  </si>
  <si>
    <t>delta_gold_risk is: 1.000010603903007</t>
  </si>
  <si>
    <t xml:space="preserve"> delta_tb_risk is: 0.9998801272554687</t>
  </si>
  <si>
    <t xml:space="preserve"> delta_reit_risk is: 1.0000932105618274
</t>
  </si>
  <si>
    <t xml:space="preserve"> 1.0000932105618274
</t>
  </si>
  <si>
    <t xml:space="preserve">collateral_ratio_tranche_gold is: 0.800205858136772
</t>
  </si>
  <si>
    <t xml:space="preserve"> 0.800205858136772
</t>
  </si>
  <si>
    <t xml:space="preserve">collateral_ratio_tranche_tb is: 0.35011962547210057
</t>
  </si>
  <si>
    <t xml:space="preserve"> 0.35011962547210057
</t>
  </si>
  <si>
    <t xml:space="preserve">collateral_ratio_tranche_reit is: 0.34937414237314074
</t>
  </si>
  <si>
    <t xml:space="preserve"> 0.34937414237314074
</t>
  </si>
  <si>
    <t>Total plot size is: 149973330.2869512</t>
  </si>
  <si>
    <t xml:space="preserve"> plot size of gold is: 80023280.33055924</t>
  </si>
  <si>
    <t xml:space="preserve"> plot size of TB is: 35008573.14901118</t>
  </si>
  <si>
    <t xml:space="preserve"> plot size of REIT is: 34941476.807380795
</t>
  </si>
  <si>
    <t xml:space="preserve"> 34941476.807380795
</t>
  </si>
  <si>
    <t xml:space="preserve">collateral ratio is: 1.499733302869512
</t>
  </si>
  <si>
    <t xml:space="preserve"> 1.499733302869512
</t>
  </si>
  <si>
    <t>S_gtbcps_0 is: 1.0001908123957823</t>
  </si>
  <si>
    <t xml:space="preserve">stdev_gtbcps is: 0.0092157924083482
</t>
  </si>
  <si>
    <t xml:space="preserve"> 0.0092157924083482
</t>
  </si>
  <si>
    <t>predicted price of GTBCPS is: 1.0002193848824952</t>
  </si>
  <si>
    <t xml:space="preserve"> actual price is: 1.0001908123957823
</t>
  </si>
  <si>
    <t xml:space="preserve"> 1.0001908123957823
</t>
  </si>
  <si>
    <t>predicted amount of GTBCPS is: 99978066.3236675</t>
  </si>
  <si>
    <t xml:space="preserve"> actual amount is: 99980922.40066421
</t>
  </si>
  <si>
    <t>plot sizes of gold is: 80023280.33055924</t>
  </si>
  <si>
    <t xml:space="preserve"> plot sizes of tb is: 35008573.14901118 </t>
  </si>
  <si>
    <t xml:space="preserve"> plot sizes of reit is: 34941476.807380795</t>
  </si>
  <si>
    <t xml:space="preserve"> plot sizes of total is: 149973330.2869512.
</t>
  </si>
  <si>
    <t xml:space="preserve"> 149973330.2869512.
</t>
  </si>
  <si>
    <t>predicted stdevs of gold is: 0.007841264647009148</t>
  </si>
  <si>
    <t xml:space="preserve"> predicted stdevs of tb is: 0.0014798283754854876</t>
  </si>
  <si>
    <t xml:space="preserve"> predicted stdevs of reit is: 0.020114567099231415</t>
  </si>
  <si>
    <t xml:space="preserve"> predicted stdevs of GTBCPS is: 0.0092157924083482.
</t>
  </si>
  <si>
    <t xml:space="preserve"> 0.0092157924083482.
</t>
  </si>
  <si>
    <t>total_value_of_collaterals is: 149974314.04108799</t>
  </si>
  <si>
    <t xml:space="preserve"> createdtionValue_gold is: -2286.048501404983</t>
  </si>
  <si>
    <t xml:space="preserve"> createdValue_tb is: -1000.09424511476</t>
  </si>
  <si>
    <t xml:space="preserve"> createdValue_reit is: -998.1788470185705
</t>
  </si>
  <si>
    <t xml:space="preserve"> -998.1788470185705
</t>
  </si>
  <si>
    <t>plotValue_gold_after_creation is: 80026287.13655218</t>
  </si>
  <si>
    <t xml:space="preserve"> plotValue_tb_after_creation  is: 35009681.19179413</t>
  </si>
  <si>
    <t xml:space="preserve"> plotValue_reit_after_creation  is: 34942630.03433519</t>
  </si>
  <si>
    <t xml:space="preserve">total_value_after_creation is: 149978598.3626815
</t>
  </si>
  <si>
    <t xml:space="preserve"> 149978598.3626815
</t>
  </si>
  <si>
    <t>total_amount_gtncps_before_creation is: 99980922.40066421</t>
  </si>
  <si>
    <t>creation_amount_gtbcps is: -2856.0769967138767</t>
  </si>
  <si>
    <t xml:space="preserve">total_amount_gtbcps_new is: 99978066.3236675
</t>
  </si>
  <si>
    <t xml:space="preserve"> 99978066.3236675
</t>
  </si>
  <si>
    <t>payout of tranche of gold is: 720.7574915394644</t>
  </si>
  <si>
    <t xml:space="preserve"> payout of tranche of Treausry Bill Option is: 107.94853783330171</t>
  </si>
  <si>
    <t xml:space="preserve"> payout of tranche of Collar of REIT is: 155.04810737984917
</t>
  </si>
  <si>
    <t xml:space="preserve"> 155.04810737984917
</t>
  </si>
  <si>
    <t>Collateral size of tranche of gold is: 80026287.13655218</t>
  </si>
  <si>
    <t xml:space="preserve"> collateral size of tranche of Treausry Bill Option is: 35009681.19179413</t>
  </si>
  <si>
    <t xml:space="preserve"> collateral size of tranche of Collar of REIT is: 34942630.03433519
</t>
  </si>
  <si>
    <t xml:space="preserve"> 34942630.03433519
</t>
  </si>
  <si>
    <t>Collateral ratio of tranche of gold is: 0.8002400108805077</t>
  </si>
  <si>
    <t xml:space="preserve"> collateral ratio of tranche of Treausry Bill Option is: 0.3500868109754901</t>
  </si>
  <si>
    <t xml:space="preserve"> collateral ratio of tranche of Collar of REIT is: 0.3494163185548817
</t>
  </si>
  <si>
    <t xml:space="preserve"> 0.3494163185548817
</t>
  </si>
  <si>
    <t xml:space="preserve"> current price of reit option is: 5.744818878926928</t>
  </si>
  <si>
    <t xml:space="preserve"> predicted price of reit is: 38.78259353226537
</t>
  </si>
  <si>
    <t xml:space="preserve"> 38.78259353226537
</t>
  </si>
  <si>
    <t>value_ratio_gold_to_total is: 0.5421665026928295</t>
  </si>
  <si>
    <t xml:space="preserve"> risk_ratio_to_gold is: 0.691709054683408</t>
  </si>
  <si>
    <t xml:space="preserve"> risk_ratio_to_gold_before is: 0.6915877090730934
</t>
  </si>
  <si>
    <t xml:space="preserve"> 0.6915877090730934
</t>
  </si>
  <si>
    <t>value_ratio_tb_to_total is: 0.19146857395209846</t>
  </si>
  <si>
    <t xml:space="preserve"> risk_ratio_tb_to_gold is: 0.2456934795936473</t>
  </si>
  <si>
    <t xml:space="preserve"> risk_ratio_tb_to_gold_before is: 0.24581991618160817
</t>
  </si>
  <si>
    <t xml:space="preserve"> 0.24581991618160817
</t>
  </si>
  <si>
    <t>value_ratio_reit_to_total is: 0.26636492335507206</t>
  </si>
  <si>
    <t xml:space="preserve"> risk_ratio_reit_to_gold is: 0.200001055166629</t>
  </si>
  <si>
    <t xml:space="preserve"> risk_ratio_reit_to_gold_before is: 0.20012827937013034
</t>
  </si>
  <si>
    <t xml:space="preserve"> 0.20012827937013034
</t>
  </si>
  <si>
    <t xml:space="preserve"> delta_reit is: 0.9998562069390594
</t>
  </si>
  <si>
    <t xml:space="preserve"> 0.9998562069390594
</t>
  </si>
  <si>
    <t>delta_gold_risk is: 1.000071734743439</t>
  </si>
  <si>
    <t xml:space="preserve"> delta_tb_risk is: 0.9998985113447628</t>
  </si>
  <si>
    <t xml:space="preserve"> delta_reit_risk is: 0.9998939911627045
</t>
  </si>
  <si>
    <t xml:space="preserve"> 0.9998939911627045
</t>
  </si>
  <si>
    <t xml:space="preserve">collateral_ratio_tranche_gold is: 0.8001826099862761
</t>
  </si>
  <si>
    <t xml:space="preserve"> 0.8001826099862761
</t>
  </si>
  <si>
    <t xml:space="preserve">collateral_ratio_tranche_tb is: 0.35012234442139395
</t>
  </si>
  <si>
    <t xml:space="preserve"> 0.35012234442139395
</t>
  </si>
  <si>
    <t xml:space="preserve">collateral_ratio_tranche_reit is: 0.34940311473083413
</t>
  </si>
  <si>
    <t xml:space="preserve"> 0.34940311473083413
</t>
  </si>
  <si>
    <t>Total plot size is: 149973573.85495156</t>
  </si>
  <si>
    <t xml:space="preserve"> plot size of gold is: 80026287.13655218</t>
  </si>
  <si>
    <t xml:space="preserve"> plot size of TB is: 35009681.19179413</t>
  </si>
  <si>
    <t xml:space="preserve"> plot size of REIT is: 34937605.52660523
</t>
  </si>
  <si>
    <t xml:space="preserve"> 34937605.52660523
</t>
  </si>
  <si>
    <t xml:space="preserve">collateral ratio is: 1.4997357385495154
</t>
  </si>
  <si>
    <t xml:space="preserve"> 1.4997357385495154
</t>
  </si>
  <si>
    <t>S_gtbcps_0 is: 1.0002193848824952</t>
  </si>
  <si>
    <t xml:space="preserve">stdev_gtbcps is: 0.009244361064575032
</t>
  </si>
  <si>
    <t xml:space="preserve"> 0.009244361064575032
</t>
  </si>
  <si>
    <t>predicted price of GTBCPS is: 1.000199555511107</t>
  </si>
  <si>
    <t xml:space="preserve"> actual price is: 1.0002193848824952
</t>
  </si>
  <si>
    <t xml:space="preserve"> 1.0002193848824952
</t>
  </si>
  <si>
    <t>predicted amount of GTBCPS is: 99980048.430335</t>
  </si>
  <si>
    <t xml:space="preserve"> actual amount is: 99978066.3236675
</t>
  </si>
  <si>
    <t>plot sizes of gold is: 80026287.13655218</t>
  </si>
  <si>
    <t xml:space="preserve"> plot sizes of tb is: 35009681.19179413 </t>
  </si>
  <si>
    <t xml:space="preserve"> plot sizes of reit is: 34937605.52660523</t>
  </si>
  <si>
    <t xml:space="preserve"> plot sizes of total is: 149973573.85495156.
</t>
  </si>
  <si>
    <t xml:space="preserve"> 149973573.85495156.
</t>
  </si>
  <si>
    <t>predicted stdevs of gold is: 0.007858042602907145</t>
  </si>
  <si>
    <t xml:space="preserve"> predicted stdevs of tb is: 0.001486998628636494</t>
  </si>
  <si>
    <t xml:space="preserve"> predicted stdevs of reit is: 0.020193156761413793</t>
  </si>
  <si>
    <t xml:space="preserve"> predicted stdevs of GTBCPS is: 0.009244361064575032.
</t>
  </si>
  <si>
    <t xml:space="preserve"> 0.009244361064575032.
</t>
  </si>
  <si>
    <t>total_value_of_collaterals is: 149972891.09699458</t>
  </si>
  <si>
    <t xml:space="preserve"> createdtionValue_gold is: 1586.512422973591</t>
  </si>
  <si>
    <t xml:space="preserve"> createdValue_tb is: 694.0661320530063</t>
  </si>
  <si>
    <t xml:space="preserve"> createdValue_reit is: 692.6373220920316
</t>
  </si>
  <si>
    <t xml:space="preserve"> 692.6373220920316
</t>
  </si>
  <si>
    <t>plotValue_gold_after_creation is: 80024171.6794885</t>
  </si>
  <si>
    <t xml:space="preserve"> plotValue_tb_after_creation  is: 35008907.90645442</t>
  </si>
  <si>
    <t xml:space="preserve"> plotValue_reit_after_creation  is: 34936838.29517455</t>
  </si>
  <si>
    <t xml:space="preserve">total_value_after_creation is: 149969917.88111746
</t>
  </si>
  <si>
    <t xml:space="preserve"> 149969917.88111746
</t>
  </si>
  <si>
    <t>total_amount_gtncps_before_creation is: 99978066.3236675</t>
  </si>
  <si>
    <t>creation_amount_gtbcps is: 1982.1066675037146</t>
  </si>
  <si>
    <t xml:space="preserve">total_amount_gtbcps_new is: 99980048.430335
</t>
  </si>
  <si>
    <t xml:space="preserve"> 99980048.430335
</t>
  </si>
  <si>
    <t>payout of tranche of gold is: -528.9446407135337</t>
  </si>
  <si>
    <t xml:space="preserve"> payout of tranche of Treausry Bill Option is: -79.21920765181387</t>
  </si>
  <si>
    <t xml:space="preserve"> payout of tranche of Collar of REIT is: -74.59410859690045
</t>
  </si>
  <si>
    <t xml:space="preserve"> -74.59410859690045
</t>
  </si>
  <si>
    <t>Collateral size of tranche of gold is: 80024171.6794885</t>
  </si>
  <si>
    <t xml:space="preserve"> collateral size of tranche of Treausry Bill Option is: 35008907.90645442</t>
  </si>
  <si>
    <t xml:space="preserve"> collateral size of tranche of Collar of REIT is: 34936838.29517455
</t>
  </si>
  <si>
    <t xml:space="preserve"> 34936838.29517455
</t>
  </si>
  <si>
    <t>Collateral ratio of tranche of gold is: 0.8002575819191147</t>
  </si>
  <si>
    <t xml:space="preserve"> collateral ratio of tranche of Treausry Bill Option is: 0.3500960197258647</t>
  </si>
  <si>
    <t xml:space="preserve"> collateral ratio of tranche of Collar of REIT is: 0.3493753093249663
</t>
  </si>
  <si>
    <t xml:space="preserve"> 0.3493753093249663
</t>
  </si>
  <si>
    <t xml:space="preserve"> current price of reit option is: 5.737857914232627</t>
  </si>
  <si>
    <t xml:space="preserve"> predicted price of reit is: 38.864727756278256
</t>
  </si>
  <si>
    <t xml:space="preserve"> 38.864727756278256
</t>
  </si>
  <si>
    <t>value_ratio_gold_to_total is: 0.5404426135361919</t>
  </si>
  <si>
    <t xml:space="preserve"> risk_ratio_to_gold is: 0.6926554542775247</t>
  </si>
  <si>
    <t xml:space="preserve"> risk_ratio_to_gold_before is: 0.691709054683408
</t>
  </si>
  <si>
    <t xml:space="preserve"> 0.691709054683408
</t>
  </si>
  <si>
    <t>value_ratio_tb_to_total is: 0.19085977463153278</t>
  </si>
  <si>
    <t xml:space="preserve"> risk_ratio_tb_to_gold is: 0.24461519929965433</t>
  </si>
  <si>
    <t xml:space="preserve"> risk_ratio_tb_to_gold_before is: 0.2456934795936473
</t>
  </si>
  <si>
    <t xml:space="preserve"> 0.2456934795936473
</t>
  </si>
  <si>
    <t>value_ratio_reit_to_total is: 0.26869761183227525</t>
  </si>
  <si>
    <t xml:space="preserve"> risk_ratio_reit_to_gold is: 0.19910403199269347</t>
  </si>
  <si>
    <t xml:space="preserve"> risk_ratio_reit_to_gold_before is: 0.200001055166629
</t>
  </si>
  <si>
    <t xml:space="preserve"> 0.200001055166629
</t>
  </si>
  <si>
    <t xml:space="preserve"> delta_reit is: 0.9998417776258278
</t>
  </si>
  <si>
    <t xml:space="preserve"> 0.9998417776258278
</t>
  </si>
  <si>
    <t>delta_gold_risk is: 1.0005594340182178</t>
  </si>
  <si>
    <t xml:space="preserve"> delta_tb_risk is: 0.9991343935633792</t>
  </si>
  <si>
    <t xml:space="preserve"> delta_reit_risk is: 0.9992524813456845
</t>
  </si>
  <si>
    <t xml:space="preserve"> 0.9992524813456845
</t>
  </si>
  <si>
    <t xml:space="preserve">collateral_ratio_tranche_gold is: 0.7998101409181695
</t>
  </si>
  <si>
    <t xml:space="preserve"> 0.7998101409181695
</t>
  </si>
  <si>
    <t xml:space="preserve">collateral_ratio_tranche_tb is: 0.35039932763925685
</t>
  </si>
  <si>
    <t xml:space="preserve"> 0.35039932763925685
</t>
  </si>
  <si>
    <t xml:space="preserve">collateral_ratio_tranche_reit is: 0.34958134891356146
</t>
  </si>
  <si>
    <t xml:space="preserve"> 0.34958134891356146
</t>
  </si>
  <si>
    <t>Total plot size is: 149964390.09161633</t>
  </si>
  <si>
    <t xml:space="preserve"> plot size of gold is: 80024171.6794885</t>
  </si>
  <si>
    <t xml:space="preserve"> plot size of TB is: 35008907.90645442</t>
  </si>
  <si>
    <t xml:space="preserve"> plot size of REIT is: 34931310.505673416
</t>
  </si>
  <si>
    <t xml:space="preserve"> 34931310.505673416
</t>
  </si>
  <si>
    <t xml:space="preserve">collateral ratio is: 1.499643900916163
</t>
  </si>
  <si>
    <t xml:space="preserve"> 1.499643900916163
</t>
  </si>
  <si>
    <t>S_gtbcps_0 is: 1.000199555511107</t>
  </si>
  <si>
    <t xml:space="preserve">stdev_gtbcps is: 0.00927460558893544
</t>
  </si>
  <si>
    <t xml:space="preserve"> 0.00927460558893544
</t>
  </si>
  <si>
    <t>predicted price of GTBCPS is: 1.0002140146418705</t>
  </si>
  <si>
    <t xml:space="preserve"> actual price is: 1.000199555511107
</t>
  </si>
  <si>
    <t xml:space="preserve"> 1.000199555511107
</t>
  </si>
  <si>
    <t>predicted amount of GTBCPS is: 99978603.11505963</t>
  </si>
  <si>
    <t xml:space="preserve"> actual amount is: 99980048.430335
</t>
  </si>
  <si>
    <t>plot sizes of gold is: 80024171.6794885</t>
  </si>
  <si>
    <t xml:space="preserve"> plot sizes of tb is: 35008907.90645442 </t>
  </si>
  <si>
    <t xml:space="preserve"> plot sizes of reit is: 34931310.505673416</t>
  </si>
  <si>
    <t xml:space="preserve"> plot sizes of total is: 149964390.09161633.
</t>
  </si>
  <si>
    <t xml:space="preserve"> 149964390.09161633.
</t>
  </si>
  <si>
    <t>predicted stdevs of gold is: 0.007876879120292186</t>
  </si>
  <si>
    <t xml:space="preserve"> predicted stdevs of tb is: 0.0014889491956774016</t>
  </si>
  <si>
    <t xml:space="preserve"> predicted stdevs of reit is: 0.020279610124568474</t>
  </si>
  <si>
    <t xml:space="preserve"> predicted stdevs of GTBCPS is: 0.00927460558893544.
</t>
  </si>
  <si>
    <t xml:space="preserve"> 0.00927460558893544.
</t>
  </si>
  <si>
    <t>total_value_of_collaterals is: 149964888.00874844</t>
  </si>
  <si>
    <t xml:space="preserve"> createdtionValue_gold is: -1156.854380025671</t>
  </si>
  <si>
    <t xml:space="preserve"> createdValue_tb is: -506.09817310282637</t>
  </si>
  <si>
    <t xml:space="preserve"> createdValue_reit is: -504.97675029371084
</t>
  </si>
  <si>
    <t xml:space="preserve"> -504.97675029371084
</t>
  </si>
  <si>
    <t>plotValue_gold_after_creation is: 80025693.29526822</t>
  </si>
  <si>
    <t xml:space="preserve"> plotValue_tb_after_creation  is: 35009468.67411577</t>
  </si>
  <si>
    <t xml:space="preserve"> plotValue_reit_after_creation  is: 34931893.96866787</t>
  </si>
  <si>
    <t xml:space="preserve">total_value_after_creation is: 149967055.93805185
</t>
  </si>
  <si>
    <t xml:space="preserve"> 149967055.93805185
</t>
  </si>
  <si>
    <t>total_amount_gtncps_before_creation is: 99980048.430335</t>
  </si>
  <si>
    <t>creation_amount_gtbcps is: -1445.3152753710747</t>
  </si>
  <si>
    <t xml:space="preserve">total_amount_gtbcps_new is: 99978603.11505963
</t>
  </si>
  <si>
    <t xml:space="preserve"> 99978603.11505963
</t>
  </si>
  <si>
    <t>payout of tranche of gold is: 364.7613997060996</t>
  </si>
  <si>
    <t xml:space="preserve"> payout of tranche of Treausry Bill Option is: 54.66948824414584</t>
  </si>
  <si>
    <t xml:space="preserve"> payout of tranche of Collar of REIT is: 78.48624416522226
</t>
  </si>
  <si>
    <t xml:space="preserve"> 78.48624416522226
</t>
  </si>
  <si>
    <t>Collateral size of tranche of gold is: 80025693.29526822</t>
  </si>
  <si>
    <t xml:space="preserve"> collateral size of tranche of Treausry Bill Option is: 35009468.67411577</t>
  </si>
  <si>
    <t xml:space="preserve"> collateral size of tranche of Collar of REIT is: 34931893.96866787
</t>
  </si>
  <si>
    <t xml:space="preserve"> 34931893.96866787
</t>
  </si>
  <si>
    <t>Collateral ratio of tranche of gold is: 0.8002453644088818</t>
  </si>
  <si>
    <t xml:space="preserve"> collateral ratio of tranche of Treausry Bill Option is: 0.3500896257594266</t>
  </si>
  <si>
    <t xml:space="preserve"> collateral ratio of tranche of Collar of REIT is: 0.3493138899191757
</t>
  </si>
  <si>
    <t xml:space="preserve"> 0.3493138899191757
</t>
  </si>
  <si>
    <t xml:space="preserve"> current price of reit option is: 5.736371824005801</t>
  </si>
  <si>
    <t xml:space="preserve"> predicted price of reit is: 38.70248928632262
</t>
  </si>
  <si>
    <t xml:space="preserve"> 38.70248928632262
</t>
  </si>
  <si>
    <t>value_ratio_gold_to_total is: 0.5442113406830537</t>
  </si>
  <si>
    <t xml:space="preserve"> risk_ratio_to_gold is: 0.6930752863834702</t>
  </si>
  <si>
    <t xml:space="preserve"> risk_ratio_to_gold_before is: 0.6926554542775247
</t>
  </si>
  <si>
    <t xml:space="preserve"> 0.6926554542775247
</t>
  </si>
  <si>
    <t>value_ratio_tb_to_total is: 0.1921907178175101</t>
  </si>
  <si>
    <t xml:space="preserve"> risk_ratio_tb_to_gold is: 0.24389945317016634</t>
  </si>
  <si>
    <t xml:space="preserve"> risk_ratio_tb_to_gold_before is: 0.24461519929965433
</t>
  </si>
  <si>
    <t xml:space="preserve"> 0.24461519929965433
</t>
  </si>
  <si>
    <t>value_ratio_reit_to_total is: 0.2635979414994362</t>
  </si>
  <si>
    <t xml:space="preserve"> risk_ratio_reit_to_gold is: 0.19894524154992801</t>
  </si>
  <si>
    <t xml:space="preserve"> risk_ratio_reit_to_gold_before is: 0.19910403199269347
</t>
  </si>
  <si>
    <t xml:space="preserve"> 0.19910403199269347
</t>
  </si>
  <si>
    <t xml:space="preserve"> delta_reit is: 0.9999662158991756
</t>
  </si>
  <si>
    <t xml:space="preserve"> 0.9999662158991756
</t>
  </si>
  <si>
    <t>delta_gold_risk is: 1.000248031638621</t>
  </si>
  <si>
    <t xml:space="preserve"> delta_tb_risk is: 0.9994249257683091</t>
  </si>
  <si>
    <t xml:space="preserve"> delta_reit_risk is: 0.9998675757577917
</t>
  </si>
  <si>
    <t xml:space="preserve"> 0.9998675757577917
</t>
  </si>
  <si>
    <t xml:space="preserve">collateral_ratio_tranche_gold is: 0.8000469274584906
</t>
  </si>
  <si>
    <t xml:space="preserve"> 0.8000469274584906
</t>
  </si>
  <si>
    <t xml:space="preserve">collateral_ratio_tranche_tb is: 0.35029106912687286
</t>
  </si>
  <si>
    <t xml:space="preserve"> 0.35029106912687286
</t>
  </si>
  <si>
    <t xml:space="preserve">collateral_ratio_tranche_reit is: 0.3493483508541279
</t>
  </si>
  <si>
    <t xml:space="preserve"> 0.3493483508541279
</t>
  </si>
  <si>
    <t>Total plot size is: 149965875.79542404</t>
  </si>
  <si>
    <t xml:space="preserve"> plot size of gold is: 80025693.29526822</t>
  </si>
  <si>
    <t xml:space="preserve"> plot size of TB is: 35009468.67411577</t>
  </si>
  <si>
    <t xml:space="preserve"> plot size of REIT is: 34930713.826040044
</t>
  </si>
  <si>
    <t xml:space="preserve"> 34930713.826040044
</t>
  </si>
  <si>
    <t xml:space="preserve">collateral ratio is: 1.4996587579542402
</t>
  </si>
  <si>
    <t xml:space="preserve"> 1.4996587579542402
</t>
  </si>
  <si>
    <t>S_gtbcps_0 is: 1.0002140146418705</t>
  </si>
  <si>
    <t xml:space="preserve">stdev_gtbcps is: 0.009304706707039905
</t>
  </si>
  <si>
    <t xml:space="preserve"> 0.009304706707039905
</t>
  </si>
  <si>
    <t>predicted price of GTBCPS is: 1.0001819412801558</t>
  </si>
  <si>
    <t xml:space="preserve"> actual price is: 1.0002140146418705
</t>
  </si>
  <si>
    <t xml:space="preserve"> 1.0002140146418705
</t>
  </si>
  <si>
    <t>predicted amount of GTBCPS is: 99981809.18164521</t>
  </si>
  <si>
    <t xml:space="preserve"> actual amount is: 99978603.11505963
</t>
  </si>
  <si>
    <t>plot sizes of gold is: 80025693.29526822</t>
  </si>
  <si>
    <t xml:space="preserve"> plot sizes of tb is: 35009468.67411577 </t>
  </si>
  <si>
    <t xml:space="preserve"> plot sizes of reit is: 34930713.826040044</t>
  </si>
  <si>
    <t xml:space="preserve"> plot sizes of total is: 149965875.79542404.
</t>
  </si>
  <si>
    <t xml:space="preserve"> 149965875.79542404.
</t>
  </si>
  <si>
    <t>predicted stdevs of gold is: 0.007924398800873861</t>
  </si>
  <si>
    <t xml:space="preserve"> predicted stdevs of tb is: 0.0014912269079364784</t>
  </si>
  <si>
    <t xml:space="preserve"> predicted stdevs of reit is: 0.020298065598210287</t>
  </si>
  <si>
    <t xml:space="preserve"> predicted stdevs of GTBCPS is: 0.009304706707039905.
</t>
  </si>
  <si>
    <t xml:space="preserve"> 0.009304706707039905.
</t>
  </si>
  <si>
    <t>total_value_of_collaterals is: 149964771.37277383</t>
  </si>
  <si>
    <t xml:space="preserve"> createdtionValue_gold is: 2566.116378978972</t>
  </si>
  <si>
    <t xml:space="preserve"> createdValue_tb is: 1122.6269816779925</t>
  </si>
  <si>
    <t xml:space="preserve"> createdValue_reit is: 1120.101832769288
</t>
  </si>
  <si>
    <t xml:space="preserve"> 1120.101832769288
</t>
  </si>
  <si>
    <t>plotValue_gold_after_creation is: 80022271.57554233</t>
  </si>
  <si>
    <t xml:space="preserve"> plotValue_tb_after_creation  is: 35008217.843031764</t>
  </si>
  <si>
    <t xml:space="preserve"> plotValue_reit_after_creation  is: 34929473.109006315</t>
  </si>
  <si>
    <t xml:space="preserve">total_value_after_creation is: 149959962.5275804
</t>
  </si>
  <si>
    <t xml:space="preserve"> 149959962.5275804
</t>
  </si>
  <si>
    <t>total_amount_gtncps_before_creation is: 99978603.11505963</t>
  </si>
  <si>
    <t>creation_amount_gtbcps is: 3206.066585585475</t>
  </si>
  <si>
    <t xml:space="preserve">total_amount_gtbcps_new is: 99981809.18164521
</t>
  </si>
  <si>
    <t xml:space="preserve"> 99981809.18164521
</t>
  </si>
  <si>
    <t>payout of tranche of gold is: -855.603346913927</t>
  </si>
  <si>
    <t xml:space="preserve"> payout of tranche of Treausry Bill Option is: -128.20410233225272</t>
  </si>
  <si>
    <t xml:space="preserve"> payout of tranche of Collar of REIT is: -120.61520096244803
</t>
  </si>
  <si>
    <t xml:space="preserve"> -120.61520096244803
</t>
  </si>
  <si>
    <t>Collateral size of tranche of gold is: 80022271.57554233</t>
  </si>
  <si>
    <t xml:space="preserve"> collateral size of tranche of Treausry Bill Option is: 35008217.843031764</t>
  </si>
  <si>
    <t xml:space="preserve"> collateral size of tranche of Collar of REIT is: 34929473.109006315
</t>
  </si>
  <si>
    <t xml:space="preserve"> 34929473.109006315
</t>
  </si>
  <si>
    <t>Collateral ratio of tranche of gold is: 0.800248376919213</t>
  </si>
  <si>
    <t xml:space="preserve"> collateral ratio of tranche of Treausry Bill Option is: 0.35009340470013434</t>
  </si>
  <si>
    <t xml:space="preserve"> collateral ratio of tranche of Collar of REIT is: 0.3493059321083908
</t>
  </si>
  <si>
    <t xml:space="preserve"> 0.3493059321083908
</t>
  </si>
  <si>
    <t xml:space="preserve"> current price of reit option is: 5.735443085888647</t>
  </si>
  <si>
    <t xml:space="preserve"> predicted price of reit is: 38.77685274286148
</t>
  </si>
  <si>
    <t xml:space="preserve"> 38.77685274286148
</t>
  </si>
  <si>
    <t>value_ratio_gold_to_total is: 0.5425144883384514</t>
  </si>
  <si>
    <t xml:space="preserve"> risk_ratio_to_gold is: 0.6934746119094669</t>
  </si>
  <si>
    <t xml:space="preserve"> risk_ratio_to_gold_before is: 0.6930752863834702
</t>
  </si>
  <si>
    <t xml:space="preserve"> 0.6930752863834702
</t>
  </si>
  <si>
    <t>value_ratio_tb_to_total is: 0.1915914666704647</t>
  </si>
  <si>
    <t xml:space="preserve"> risk_ratio_tb_to_gold is: 0.24353566163695278</t>
  </si>
  <si>
    <t xml:space="preserve"> risk_ratio_tb_to_gold_before is: 0.24389945317016634
</t>
  </si>
  <si>
    <t xml:space="preserve"> 0.24389945317016634
</t>
  </si>
  <si>
    <t>value_ratio_reit_to_total is: 0.2658940449910839</t>
  </si>
  <si>
    <t xml:space="preserve"> risk_ratio_reit_to_gold is: 0.19847819557769306</t>
  </si>
  <si>
    <t xml:space="preserve"> risk_ratio_reit_to_gold_before is: 0.19894524154992801
</t>
  </si>
  <si>
    <t xml:space="preserve"> 0.19894524154992801
</t>
  </si>
  <si>
    <t xml:space="preserve"> delta_reit is: 0.9999788857757838
</t>
  </si>
  <si>
    <t xml:space="preserve"> 0.9999788857757838
</t>
  </si>
  <si>
    <t>delta_gold_risk is: 1.0002358581034219</t>
  </si>
  <si>
    <t xml:space="preserve"> delta_tb_risk is: 0.9997075394379454</t>
  </si>
  <si>
    <t xml:space="preserve"> delta_reit_risk is: 0.9996104526244826
</t>
  </si>
  <si>
    <t xml:space="preserve"> 0.9996104526244826
</t>
  </si>
  <si>
    <t xml:space="preserve">collateral_ratio_tranche_gold is: 0.8000596763613221
</t>
  </si>
  <si>
    <t xml:space="preserve"> 0.8000596763613221
</t>
  </si>
  <si>
    <t xml:space="preserve">collateral_ratio_tranche_tb is: 0.35019582316740705
</t>
  </si>
  <si>
    <t xml:space="preserve"> 0.35019582316740705
</t>
  </si>
  <si>
    <t xml:space="preserve">collateral_ratio_tranche_reit is: 0.3494346781464069
</t>
  </si>
  <si>
    <t xml:space="preserve"> 0.3494346781464069
</t>
  </si>
  <si>
    <t>Total plot size is: 149959225.01885343</t>
  </si>
  <si>
    <t xml:space="preserve"> plot size of gold is: 80022271.57554233</t>
  </si>
  <si>
    <t xml:space="preserve"> plot size of TB is: 35008217.843031764</t>
  </si>
  <si>
    <t xml:space="preserve"> plot size of REIT is: 34928735.60027934
</t>
  </si>
  <si>
    <t xml:space="preserve"> 34928735.60027934
</t>
  </si>
  <si>
    <t xml:space="preserve">collateral ratio is: 1.499592250188534
</t>
  </si>
  <si>
    <t xml:space="preserve"> 1.499592250188534
</t>
  </si>
  <si>
    <t>S_gtbcps_0 is: 1.0001819412801558</t>
  </si>
  <si>
    <t xml:space="preserve">stdev_gtbcps is: 0.009335284669344926
</t>
  </si>
  <si>
    <t xml:space="preserve"> 0.009335284669344926
</t>
  </si>
  <si>
    <t>predicted price of GTBCPS is: 1.0001877305476343</t>
  </si>
  <si>
    <t xml:space="preserve"> actual price is: 1.0001819412801558
</t>
  </si>
  <si>
    <t xml:space="preserve"> 1.0001819412801558
</t>
  </si>
  <si>
    <t>predicted amount of GTBCPS is: 99981230.46885094</t>
  </si>
  <si>
    <t xml:space="preserve"> actual amount is: 99981809.18164521
</t>
  </si>
  <si>
    <t>plot sizes of gold is: 80022271.57554233</t>
  </si>
  <si>
    <t xml:space="preserve"> plot sizes of tb is: 35008217.843031764 </t>
  </si>
  <si>
    <t xml:space="preserve"> plot sizes of reit is: 34928735.60027934</t>
  </si>
  <si>
    <t xml:space="preserve"> plot sizes of total is: 149959225.01885343.
</t>
  </si>
  <si>
    <t xml:space="preserve"> 149959225.01885343.
</t>
  </si>
  <si>
    <t>predicted stdevs of gold is: 0.007975033020586888</t>
  </si>
  <si>
    <t xml:space="preserve"> predicted stdevs of tb is: 0.0014951682673415765</t>
  </si>
  <si>
    <t xml:space="preserve"> predicted stdevs of reit is: 0.020309599175049185</t>
  </si>
  <si>
    <t xml:space="preserve"> predicted stdevs of GTBCPS is: 0.009335284669344926.
</t>
  </si>
  <si>
    <t xml:space="preserve"> 0.009335284669344926.
</t>
  </si>
  <si>
    <t>total_value_of_collaterals is: 149959424.36633098</t>
  </si>
  <si>
    <t xml:space="preserve"> createdtionValue_gold is: -463.18690712562363</t>
  </si>
  <si>
    <t xml:space="preserve"> createdValue_tb is: -202.6351959982695</t>
  </si>
  <si>
    <t xml:space="preserve"> createdValue_reit is: -202.1751909263238
</t>
  </si>
  <si>
    <t xml:space="preserve"> -202.1751909263238
</t>
  </si>
  <si>
    <t>plotValue_gold_after_creation is: 80022880.8173488</t>
  </si>
  <si>
    <t xml:space="preserve"> plotValue_tb_after_creation  is: 35008442.35731332</t>
  </si>
  <si>
    <t xml:space="preserve"> plotValue_reit_after_creation  is: 34928969.18896294</t>
  </si>
  <si>
    <t xml:space="preserve">total_value_after_creation is: 149960292.36362505
</t>
  </si>
  <si>
    <t xml:space="preserve"> 149960292.36362505
</t>
  </si>
  <si>
    <t>total_amount_gtncps_before_creation is: 99981809.18164521</t>
  </si>
  <si>
    <t>creation_amount_gtbcps is: -578.7127942740917</t>
  </si>
  <si>
    <t xml:space="preserve">total_amount_gtbcps_new is: 99981230.46885094
</t>
  </si>
  <si>
    <t xml:space="preserve"> 99981230.46885094
</t>
  </si>
  <si>
    <t>payout of tranche of gold is: 146.05489933855625</t>
  </si>
  <si>
    <t xml:space="preserve"> payout of tranche of Treausry Bill Option is: 21.87908555240663</t>
  </si>
  <si>
    <t xml:space="preserve"> payout of tranche of Collar of REIT is: 31.413492674488488
</t>
  </si>
  <si>
    <t xml:space="preserve"> 31.413492674488488
</t>
  </si>
  <si>
    <t>Collateral size of tranche of gold is: 80022880.8173488</t>
  </si>
  <si>
    <t xml:space="preserve"> collateral size of tranche of Treausry Bill Option is: 35008442.35731332</t>
  </si>
  <si>
    <t xml:space="preserve"> collateral size of tranche of Collar of REIT is: 34928969.18896294
</t>
  </si>
  <si>
    <t xml:space="preserve"> 34928969.18896294
</t>
  </si>
  <si>
    <t>Collateral ratio of tranche of gold is: 0.8002241763044166</t>
  </si>
  <si>
    <t xml:space="preserve"> collateral ratio of tranche of Treausry Bill Option is: 0.3500823972211731</t>
  </si>
  <si>
    <t xml:space="preserve"> collateral ratio of tranche of Collar of REIT is: 0.34928767013772005
</t>
  </si>
  <si>
    <t xml:space="preserve"> 0.34928767013772005
</t>
  </si>
  <si>
    <t xml:space="preserve"> current price of reit option is: 5.754368928926922</t>
  </si>
  <si>
    <t xml:space="preserve"> predicted price of reit is: 38.69123763229171
</t>
  </si>
  <si>
    <t xml:space="preserve"> 38.69123763229171
</t>
  </si>
  <si>
    <t>value_ratio_gold_to_total is: 0.5440550312838963</t>
  </si>
  <si>
    <t xml:space="preserve"> risk_ratio_to_gold is: 0.6954869698891791</t>
  </si>
  <si>
    <t xml:space="preserve"> risk_ratio_to_gold_before is: 0.6934746119094669
</t>
  </si>
  <si>
    <t xml:space="preserve"> 0.6934746119094669
</t>
  </si>
  <si>
    <t>value_ratio_tb_to_total is: 0.1921355164400673</t>
  </si>
  <si>
    <t xml:space="preserve"> risk_ratio_tb_to_gold is: 0.24136842682474288</t>
  </si>
  <si>
    <t xml:space="preserve"> risk_ratio_tb_to_gold_before is: 0.24353566163695278
</t>
  </si>
  <si>
    <t xml:space="preserve"> 0.24353566163695278
</t>
  </si>
  <si>
    <t>value_ratio_reit_to_total is: 0.2638094522760364</t>
  </si>
  <si>
    <t xml:space="preserve"> risk_ratio_reit_to_gold is: 0.196473032892817</t>
  </si>
  <si>
    <t xml:space="preserve"> risk_ratio_reit_to_gold_before is: 0.19847819557769306
</t>
  </si>
  <si>
    <t xml:space="preserve"> 0.19847819557769306
</t>
  </si>
  <si>
    <t xml:space="preserve"> delta_reit is: 1.0004302751481058
</t>
  </si>
  <si>
    <t xml:space="preserve"> 1.0004302751481058
</t>
  </si>
  <si>
    <t>delta_gold_risk is: 1.0011883012390976</t>
  </si>
  <si>
    <t xml:space="preserve"> delta_tb_risk is: 0.9982571993075317</t>
  </si>
  <si>
    <t xml:space="preserve"> delta_reit_risk is: 0.9983269093319553
</t>
  </si>
  <si>
    <t xml:space="preserve"> 0.9983269093319553
</t>
  </si>
  <si>
    <t xml:space="preserve">collateral_ratio_tranche_gold is: 0.7992743975474319
</t>
  </si>
  <si>
    <t xml:space="preserve"> 0.7992743975474319
</t>
  </si>
  <si>
    <t xml:space="preserve">collateral_ratio_tranche_tb is: 0.3506935862461271
</t>
  </si>
  <si>
    <t xml:space="preserve"> 0.3506935862461271
</t>
  </si>
  <si>
    <t xml:space="preserve">collateral_ratio_tranche_reit is: 0.3500235811289024
</t>
  </si>
  <si>
    <t xml:space="preserve"> 0.3500235811289024
</t>
  </si>
  <si>
    <t>Total plot size is: 149975321.43101603</t>
  </si>
  <si>
    <t xml:space="preserve"> plot size of gold is: 80022880.8173488</t>
  </si>
  <si>
    <t xml:space="preserve"> plot size of TB is: 35008442.35731332</t>
  </si>
  <si>
    <t xml:space="preserve"> plot size of REIT is: 34943998.2563539
</t>
  </si>
  <si>
    <t xml:space="preserve"> 34943998.2563539
</t>
  </si>
  <si>
    <t xml:space="preserve">collateral ratio is: 1.49975321431016
</t>
  </si>
  <si>
    <t xml:space="preserve"> 1.49975321431016
</t>
  </si>
  <si>
    <t>S_gtbcps_0 is: 1.0001877305476343</t>
  </si>
  <si>
    <t xml:space="preserve">stdev_gtbcps is: 0.009301055607726434
</t>
  </si>
  <si>
    <t xml:space="preserve"> 0.009301055607726434
</t>
  </si>
  <si>
    <t>predicted price of GTBCPS is: 1.0001988604727856</t>
  </si>
  <si>
    <t xml:space="preserve"> actual price is: 1.0001877305476343
</t>
  </si>
  <si>
    <t xml:space="preserve"> 1.0001877305476343
</t>
  </si>
  <si>
    <t>predicted amount of GTBCPS is: 99980117.90648396</t>
  </si>
  <si>
    <t xml:space="preserve"> actual amount is: 99981230.46885094
</t>
  </si>
  <si>
    <t>plot sizes of gold is: 80022880.8173488</t>
  </si>
  <si>
    <t xml:space="preserve"> plot sizes of tb is: 35008442.35731332 </t>
  </si>
  <si>
    <t xml:space="preserve"> plot sizes of reit is: 34943998.2563539</t>
  </si>
  <si>
    <t xml:space="preserve"> plot sizes of total is: 149975321.43101603.
</t>
  </si>
  <si>
    <t xml:space="preserve"> 149975321.43101603.
</t>
  </si>
  <si>
    <t>predicted stdevs of gold is: 0.008012817943381543</t>
  </si>
  <si>
    <t xml:space="preserve"> predicted stdevs of tb is: 0.0014920880053937002</t>
  </si>
  <si>
    <t xml:space="preserve"> predicted stdevs of reit is: 0.02007453031124666</t>
  </si>
  <si>
    <t xml:space="preserve"> predicted stdevs of GTBCPS is: 0.009301055607726434.
</t>
  </si>
  <si>
    <t xml:space="preserve"> 0.009301055607726434.
</t>
  </si>
  <si>
    <t>total_value_of_collaterals is: 149975704.77083713</t>
  </si>
  <si>
    <t xml:space="preserve"> createdtionValue_gold is: -890.4848068610129</t>
  </si>
  <si>
    <t xml:space="preserve"> createdValue_tb is: -389.5687047426171</t>
  </si>
  <si>
    <t xml:space="preserve"> createdValue_reit is: -388.85155255128274
</t>
  </si>
  <si>
    <t xml:space="preserve"> -388.85155255128274
</t>
  </si>
  <si>
    <t>plotValue_gold_after_creation is: 80024068.17486304</t>
  </si>
  <si>
    <t xml:space="preserve"> plotValue_tb_after_creation  is: 35008876.4535003</t>
  </si>
  <si>
    <t xml:space="preserve"> plotValue_reit_after_creation  is: 34944429.04753794</t>
  </si>
  <si>
    <t xml:space="preserve">total_value_after_creation is: 149977373.6759013
</t>
  </si>
  <si>
    <t xml:space="preserve"> 149977373.6759013
</t>
  </si>
  <si>
    <t>total_amount_gtncps_before_creation is: 99981230.46885094</t>
  </si>
  <si>
    <t>creation_amount_gtbcps is: -1112.562366977334</t>
  </si>
  <si>
    <t xml:space="preserve">total_amount_gtbcps_new is: 99980117.90648396
</t>
  </si>
  <si>
    <t xml:space="preserve"> 99980117.90648396
</t>
  </si>
  <si>
    <t>payout of tranche of gold is: 296.87270738567537</t>
  </si>
  <si>
    <t xml:space="preserve"> payout of tranche of Treausry Bill Option is: 44.5274822437645</t>
  </si>
  <si>
    <t xml:space="preserve"> payout of tranche of Collar of REIT is: 41.93963148216586
</t>
  </si>
  <si>
    <t xml:space="preserve"> 41.93963148216586
</t>
  </si>
  <si>
    <t>Collateral size of tranche of gold is: 80024068.17486304</t>
  </si>
  <si>
    <t xml:space="preserve"> collateral size of tranche of Treausry Bill Option is: 35008876.4535003</t>
  </si>
  <si>
    <t xml:space="preserve"> collateral size of tranche of Collar of REIT is: 34944429.04753794
</t>
  </si>
  <si>
    <t xml:space="preserve"> 34944429.04753794
</t>
  </si>
  <si>
    <t>Collateral ratio of tranche of gold is: 0.8002317769005616</t>
  </si>
  <si>
    <t xml:space="preserve"> collateral ratio of tranche of Treausry Bill Option is: 0.3500848688479556</t>
  </si>
  <si>
    <t xml:space="preserve"> collateral ratio of tranche of Collar of REIT is: 0.34944040195985376
</t>
  </si>
  <si>
    <t xml:space="preserve"> 0.34944040195985376
</t>
  </si>
  <si>
    <t xml:space="preserve"> current price of reit option is: 5.745445554359762</t>
  </si>
  <si>
    <t xml:space="preserve"> predicted price of reit is: 38.67614883609249
</t>
  </si>
  <si>
    <t xml:space="preserve"> 38.67614883609249
</t>
  </si>
  <si>
    <t>value_ratio_gold_to_total is: 0.5446118643831503</t>
  </si>
  <si>
    <t xml:space="preserve"> risk_ratio_to_gold is: 0.6953930487509742</t>
  </si>
  <si>
    <t xml:space="preserve"> risk_ratio_to_gold_before is: 0.6954869698891791
</t>
  </si>
  <si>
    <t xml:space="preserve"> 0.6954869698891791
</t>
  </si>
  <si>
    <t>value_ratio_tb_to_total is: 0.19233216458950844</t>
  </si>
  <si>
    <t xml:space="preserve"> risk_ratio_tb_to_gold is: 0.24133478977163544</t>
  </si>
  <si>
    <t xml:space="preserve"> risk_ratio_tb_to_gold_before is: 0.24136842682474288
</t>
  </si>
  <si>
    <t xml:space="preserve"> 0.24136842682474288
</t>
  </si>
  <si>
    <t>value_ratio_reit_to_total is: 0.2630559710273412</t>
  </si>
  <si>
    <t xml:space="preserve"> risk_ratio_reit_to_gold is: 0.19670086761111186</t>
  </si>
  <si>
    <t xml:space="preserve"> risk_ratio_reit_to_gold_before is: 0.196473032892817
</t>
  </si>
  <si>
    <t xml:space="preserve"> 0.196473032892817
</t>
  </si>
  <si>
    <t xml:space="preserve"> delta_reit is: 0.9997972161677497
</t>
  </si>
  <si>
    <t xml:space="preserve"> 0.9997972161677497
</t>
  </si>
  <si>
    <t>delta_gold_risk is: 0.9999446052137982</t>
  </si>
  <si>
    <t xml:space="preserve"> delta_tb_risk is: 0.9999729032474319</t>
  </si>
  <si>
    <t xml:space="preserve"> delta_reit_risk is: 1.0001904219418503
</t>
  </si>
  <si>
    <t xml:space="preserve"> 1.0001904219418503
</t>
  </si>
  <si>
    <t xml:space="preserve">collateral_ratio_tranche_gold is: 0.8002761080244679
</t>
  </si>
  <si>
    <t xml:space="preserve"> 0.8002761080244679
</t>
  </si>
  <si>
    <t xml:space="preserve">collateral_ratio_tranche_tb is: 0.35009435526807575
</t>
  </si>
  <si>
    <t xml:space="preserve"> 0.35009435526807575
</t>
  </si>
  <si>
    <t xml:space="preserve">collateral_ratio_tranche_reit is: 0.3493030261354704
</t>
  </si>
  <si>
    <t xml:space="preserve"> 0.3493030261354704
</t>
  </si>
  <si>
    <t>Total plot size is: 149970287.5106632</t>
  </si>
  <si>
    <t xml:space="preserve"> plot size of gold is: 80024068.17486304</t>
  </si>
  <si>
    <t xml:space="preserve"> plot size of TB is: 35008876.4535003</t>
  </si>
  <si>
    <t xml:space="preserve"> plot size of REIT is: 34937342.88229988
</t>
  </si>
  <si>
    <t xml:space="preserve"> 34937342.88229988
</t>
  </si>
  <si>
    <t xml:space="preserve">collateral ratio is: 1.499702875106632
</t>
  </si>
  <si>
    <t xml:space="preserve"> 1.499702875106632
</t>
  </si>
  <si>
    <t>S_gtbcps_0 is: 1.0001988604727856</t>
  </si>
  <si>
    <t xml:space="preserve">stdev_gtbcps is: 0.009351686110209072
</t>
  </si>
  <si>
    <t xml:space="preserve"> 0.009351686110209072
</t>
  </si>
  <si>
    <t>predicted price of GTBCPS is: 1.000186562368718</t>
  </si>
  <si>
    <t xml:space="preserve"> actual price is: 1.0001988604727856
</t>
  </si>
  <si>
    <t xml:space="preserve"> 1.0001988604727856
</t>
  </si>
  <si>
    <t>predicted amount of GTBCPS is: 99981347.24303073</t>
  </si>
  <si>
    <t xml:space="preserve"> actual amount is: 99980117.90648396
</t>
  </si>
  <si>
    <t>plot sizes of gold is: 80024068.17486304</t>
  </si>
  <si>
    <t xml:space="preserve"> plot sizes of tb is: 35008876.4535003 </t>
  </si>
  <si>
    <t xml:space="preserve"> plot sizes of reit is: 34937342.88229988</t>
  </si>
  <si>
    <t xml:space="preserve"> plot sizes of total is: 149970287.5106632.
</t>
  </si>
  <si>
    <t xml:space="preserve"> 149970287.5106632.
</t>
  </si>
  <si>
    <t>predicted stdevs of gold is: 0.008056057311964166</t>
  </si>
  <si>
    <t xml:space="preserve"> predicted stdevs of tb is: 0.0015017126923648051</t>
  </si>
  <si>
    <t xml:space="preserve"> predicted stdevs of reit is: 0.02018537309389767</t>
  </si>
  <si>
    <t xml:space="preserve"> predicted stdevs of GTBCPS is: 0.009351686110209072.
</t>
  </si>
  <si>
    <t xml:space="preserve"> 0.009351686110209072.
</t>
  </si>
  <si>
    <t>total_value_of_collaterals is: 149969864.07707804</t>
  </si>
  <si>
    <t xml:space="preserve"> createdtionValue_gold is: 983.9446162168573</t>
  </si>
  <si>
    <t xml:space="preserve"> createdValue_tb is: 430.4566009127154</t>
  </si>
  <si>
    <t xml:space="preserve"> createdValue_reit is: 429.5770838929656
</t>
  </si>
  <si>
    <t xml:space="preserve"> 429.5770838929656
</t>
  </si>
  <si>
    <t>plotValue_gold_after_creation is: 80022756.17834915</t>
  </si>
  <si>
    <t xml:space="preserve"> plotValue_tb_after_creation  is: 35008396.8675401</t>
  </si>
  <si>
    <t xml:space="preserve"> plotValue_reit_after_creation  is: 34936867.052887775</t>
  </si>
  <si>
    <t xml:space="preserve">total_value_after_creation is: 149968020.09877703
</t>
  </si>
  <si>
    <t xml:space="preserve"> 149968020.09877703
</t>
  </si>
  <si>
    <t>total_amount_gtncps_before_creation is: 99980117.90648396</t>
  </si>
  <si>
    <t>creation_amount_gtbcps is: 1229.3365467637777</t>
  </si>
  <si>
    <t xml:space="preserve">total_amount_gtbcps_new is: 99981347.24303073
</t>
  </si>
  <si>
    <t xml:space="preserve"> 99981347.24303073
</t>
  </si>
  <si>
    <t>payout of tranche of gold is: -328.05189768193924</t>
  </si>
  <si>
    <t xml:space="preserve"> payout of tranche of Treausry Bill Option is: -49.129359286525194</t>
  </si>
  <si>
    <t xml:space="preserve"> payout of tranche of Collar of REIT is: -46.25232820980229
</t>
  </si>
  <si>
    <t xml:space="preserve"> -46.25232820980229
</t>
  </si>
  <si>
    <t>Collateral size of tranche of gold is: 80022756.17834915</t>
  </si>
  <si>
    <t xml:space="preserve"> collateral size of tranche of Treausry Bill Option is: 35008396.8675401</t>
  </si>
  <si>
    <t xml:space="preserve"> collateral size of tranche of Collar of REIT is: 34936867.052887775
</t>
  </si>
  <si>
    <t xml:space="preserve"> 34936867.052887775
</t>
  </si>
  <si>
    <t>Collateral ratio of tranche of gold is: 0.8002374012296536</t>
  </si>
  <si>
    <t xml:space="preserve"> collateral ratio of tranche of Treausry Bill Option is: 0.35008827324141006</t>
  </si>
  <si>
    <t xml:space="preserve"> collateral ratio of tranche of Collar of REIT is: 0.34937296629971665
</t>
  </si>
  <si>
    <t xml:space="preserve"> 0.34937296629971665
</t>
  </si>
  <si>
    <t xml:space="preserve"> current price of reit option is: 5.7383312371846955</t>
  </si>
  <si>
    <t xml:space="preserve"> predicted price of reit is: 38.771483146634935
</t>
  </si>
  <si>
    <t xml:space="preserve"> 38.771483146634935
</t>
  </si>
  <si>
    <t>value_ratio_gold_to_total is: 0.5425716542027137</t>
  </si>
  <si>
    <t xml:space="preserve"> risk_ratio_to_gold is: 0.6955917694940517</t>
  </si>
  <si>
    <t xml:space="preserve"> risk_ratio_to_gold_before is: 0.6953930487509742
</t>
  </si>
  <si>
    <t xml:space="preserve"> 0.6953930487509742
</t>
  </si>
  <si>
    <t>value_ratio_tb_to_total is: 0.1916116550562367</t>
  </si>
  <si>
    <t xml:space="preserve"> risk_ratio_tb_to_gold is: 0.24114774960041457</t>
  </si>
  <si>
    <t xml:space="preserve"> risk_ratio_tb_to_gold_before is: 0.24133478977163544
</t>
  </si>
  <si>
    <t xml:space="preserve"> 0.24133478977163544
</t>
  </si>
  <si>
    <t>value_ratio_reit_to_total is: 0.26581669074104963</t>
  </si>
  <si>
    <t xml:space="preserve"> risk_ratio_reit_to_gold is: 0.1964770813077544</t>
  </si>
  <si>
    <t xml:space="preserve"> risk_ratio_reit_to_gold_before is: 0.19670086761111186
</t>
  </si>
  <si>
    <t xml:space="preserve"> 0.19670086761111186
</t>
  </si>
  <si>
    <t xml:space="preserve"> delta_reit is: 0.9998382942351095
</t>
  </si>
  <si>
    <t xml:space="preserve"> 0.9998382942351095
</t>
  </si>
  <si>
    <t>delta_gold_risk is: 1.0001172121964426</t>
  </si>
  <si>
    <t xml:space="preserve"> delta_tb_risk is: 0.9998493233471245</t>
  </si>
  <si>
    <t xml:space="preserve"> delta_reit_risk is: 0.9998129972916253
</t>
  </si>
  <si>
    <t xml:space="preserve"> 0.9998129972916253
</t>
  </si>
  <si>
    <t xml:space="preserve">collateral_ratio_tranche_gold is: 0.8001436146391122
</t>
  </si>
  <si>
    <t xml:space="preserve"> 0.8001436146391122
</t>
  </si>
  <si>
    <t xml:space="preserve">collateral_ratio_tranche_tb is: 0.35014103132004376
</t>
  </si>
  <si>
    <t xml:space="preserve"> 0.35014103132004376
</t>
  </si>
  <si>
    <t xml:space="preserve">collateral_ratio_tranche_reit is: 0.3493818060209518
</t>
  </si>
  <si>
    <t xml:space="preserve"> 0.3493818060209518
</t>
  </si>
  <si>
    <t>Total plot size is: 149962370.60596734</t>
  </si>
  <si>
    <t xml:space="preserve"> plot size of gold is: 80022756.17834915</t>
  </si>
  <si>
    <t xml:space="preserve"> plot size of TB is: 35008396.8675401</t>
  </si>
  <si>
    <t xml:space="preserve"> plot size of REIT is: 34931217.56007811
</t>
  </si>
  <si>
    <t xml:space="preserve"> 34931217.56007811
</t>
  </si>
  <si>
    <t xml:space="preserve">collateral ratio is: 1.499623706059673
</t>
  </si>
  <si>
    <t xml:space="preserve"> 1.499623706059673
</t>
  </si>
  <si>
    <t>S_gtbcps_0 is: 1.000186562368718</t>
  </si>
  <si>
    <t xml:space="preserve">stdev_gtbcps is: 0.009385974714643898
</t>
  </si>
  <si>
    <t xml:space="preserve"> 0.009385974714643898
</t>
  </si>
  <si>
    <t>predicted price of GTBCPS is: 1.000132548008981</t>
  </si>
  <si>
    <t xml:space="preserve"> actual price is: 1.000186562368718
</t>
  </si>
  <si>
    <t xml:space="preserve"> 1.000186562368718
</t>
  </si>
  <si>
    <t>predicted amount of GTBCPS is: 99986746.95576656</t>
  </si>
  <si>
    <t xml:space="preserve"> actual amount is: 99981347.24303073
</t>
  </si>
  <si>
    <t>plot sizes of gold is: 80022756.17834915</t>
  </si>
  <si>
    <t xml:space="preserve"> plot sizes of tb is: 35008396.8675401 </t>
  </si>
  <si>
    <t xml:space="preserve"> plot sizes of reit is: 34931217.56007811</t>
  </si>
  <si>
    <t xml:space="preserve"> plot sizes of total is: 149962370.60596737.
</t>
  </si>
  <si>
    <t xml:space="preserve"> 149962370.60596737.
</t>
  </si>
  <si>
    <t>predicted stdevs of gold is: 0.008078715216759536</t>
  </si>
  <si>
    <t xml:space="preserve"> predicted stdevs of tb is: 0.001510375370025432</t>
  </si>
  <si>
    <t xml:space="preserve"> predicted stdevs of reit is: 0.02027373191443396</t>
  </si>
  <si>
    <t xml:space="preserve"> predicted stdevs of GTBCPS is: 0.009385974714643898.
</t>
  </si>
  <si>
    <t xml:space="preserve"> 0.009385974714643898.
</t>
  </si>
  <si>
    <t>total_value_of_collaterals is: 149960510.64289305</t>
  </si>
  <si>
    <t xml:space="preserve"> createdtionValue_gold is: 4321.493878548743</t>
  </si>
  <si>
    <t xml:space="preserve"> createdValue_tb is: 1890.5917711656477</t>
  </si>
  <si>
    <t xml:space="preserve"> createdValue_reit is: 1886.4244413128258
</t>
  </si>
  <si>
    <t xml:space="preserve"> 1886.4244413128258
</t>
  </si>
  <si>
    <t>plotValue_gold_after_creation is: 80016993.72128923</t>
  </si>
  <si>
    <t xml:space="preserve"> plotValue_tb_after_creation  is: 35006290.44826643</t>
  </si>
  <si>
    <t xml:space="preserve"> plotValue_reit_after_creation  is: 34929127.96324637</t>
  </si>
  <si>
    <t xml:space="preserve">total_value_after_creation is: 149952412.13280204
</t>
  </si>
  <si>
    <t xml:space="preserve"> 149952412.13280204
</t>
  </si>
  <si>
    <t>total_amount_gtncps_before_creation is: 99981347.24303073</t>
  </si>
  <si>
    <t>creation_amount_gtbcps is: 5399.7127358317375</t>
  </si>
  <si>
    <t xml:space="preserve">total_amount_gtbcps_new is: 99986746.95576656
</t>
  </si>
  <si>
    <t xml:space="preserve"> 99986746.95576656
</t>
  </si>
  <si>
    <t>payout of tranche of gold is: -1440.9631813754684</t>
  </si>
  <si>
    <t xml:space="preserve"> payout of tranche of Treausry Bill Option is: -215.82750250693297</t>
  </si>
  <si>
    <t xml:space="preserve"> payout of tranche of Collar of REIT is: -203.17239042560746
</t>
  </si>
  <si>
    <t xml:space="preserve"> -203.17239042560746
</t>
  </si>
  <si>
    <t>Collateral size of tranche of gold is: 80016993.72128923</t>
  </si>
  <si>
    <t xml:space="preserve"> collateral size of tranche of Treausry Bill Option is: 35006290.44826643</t>
  </si>
  <si>
    <t xml:space="preserve"> collateral size of tranche of Collar of REIT is: 34929127.96324637
</t>
  </si>
  <si>
    <t xml:space="preserve"> 34929127.96324637
</t>
  </si>
  <si>
    <t>Collateral ratio of tranche of gold is: 0.8002131521516774</t>
  </si>
  <si>
    <t xml:space="preserve"> collateral ratio of tranche of Treausry Bill Option is: 0.3500818104003758</t>
  </si>
  <si>
    <t xml:space="preserve"> collateral ratio of tranche of Collar of REIT is: 0.3493101438768767
</t>
  </si>
  <si>
    <t xml:space="preserve"> 0.3493101438768767
</t>
  </si>
  <si>
    <t xml:space="preserve"> current price of reit option is: 5.727893073851902</t>
  </si>
  <si>
    <t xml:space="preserve"> predicted price of reit is: 38.85167403194152
</t>
  </si>
  <si>
    <t xml:space="preserve"> 38.85167403194152
</t>
  </si>
  <si>
    <t>value_ratio_gold_to_total is: 0.540969314541848</t>
  </si>
  <si>
    <t xml:space="preserve"> risk_ratio_to_gold is: 0.6953840018118448</t>
  </si>
  <si>
    <t xml:space="preserve"> risk_ratio_to_gold_before is: 0.6955917694940517
</t>
  </si>
  <si>
    <t xml:space="preserve"> 0.6955917694940517
</t>
  </si>
  <si>
    <t>value_ratio_tb_to_total is: 0.19104578149464813</t>
  </si>
  <si>
    <t xml:space="preserve"> risk_ratio_tb_to_gold is: 0.24135345071645561</t>
  </si>
  <si>
    <t xml:space="preserve"> risk_ratio_tb_to_gold_before is: 0.24114774960041457
</t>
  </si>
  <si>
    <t xml:space="preserve"> 0.24114774960041457
</t>
  </si>
  <si>
    <t>value_ratio_reit_to_total is: 0.2679849039635038</t>
  </si>
  <si>
    <t xml:space="preserve"> risk_ratio_reit_to_gold is: 0.196700915496268</t>
  </si>
  <si>
    <t xml:space="preserve"> risk_ratio_reit_to_gold_before is: 0.1964770813077544
</t>
  </si>
  <si>
    <t xml:space="preserve"> 0.1964770813077544
</t>
  </si>
  <si>
    <t xml:space="preserve"> delta_reit is: 0.999762706085018
</t>
  </si>
  <si>
    <t xml:space="preserve"> 0.999762706085018
</t>
  </si>
  <si>
    <t>delta_gold_risk is: 0.9998774659762184</t>
  </si>
  <si>
    <t xml:space="preserve"> delta_tb_risk is: 1.0001657345921202</t>
  </si>
  <si>
    <t xml:space="preserve"> delta_reit_risk is: 1.0001870777067197
</t>
  </si>
  <si>
    <t xml:space="preserve"> 1.0001870777067197
</t>
  </si>
  <si>
    <t xml:space="preserve">collateral_ratio_tranche_gold is: 0.8003112175054359
</t>
  </si>
  <si>
    <t xml:space="preserve"> 0.8003112175054359
</t>
  </si>
  <si>
    <t xml:space="preserve">collateral_ratio_tranche_tb is: 0.3500237993487584
</t>
  </si>
  <si>
    <t xml:space="preserve"> 0.3500237993487584
</t>
  </si>
  <si>
    <t xml:space="preserve">collateral_ratio_tranche_reit is: 0.3491619342913522
</t>
  </si>
  <si>
    <t xml:space="preserve"> 0.3491619342913522
</t>
  </si>
  <si>
    <t>Total plot size is: 149944123.66328073</t>
  </si>
  <si>
    <t xml:space="preserve"> plot size of gold is: 80016993.72128923</t>
  </si>
  <si>
    <t xml:space="preserve"> plot size of TB is: 35006290.44826643</t>
  </si>
  <si>
    <t xml:space="preserve"> plot size of REIT is: 34920839.49372506
</t>
  </si>
  <si>
    <t xml:space="preserve"> 34920839.49372506
</t>
  </si>
  <si>
    <t xml:space="preserve">collateral ratio is: 1.4994412366328065
</t>
  </si>
  <si>
    <t xml:space="preserve"> 1.4994412366328065
</t>
  </si>
  <si>
    <t>S_gtbcps_0 is: 1.000132548008981</t>
  </si>
  <si>
    <t xml:space="preserve">stdev_gtbcps is: 0.009444756654965724
</t>
  </si>
  <si>
    <t xml:space="preserve"> 0.009444756654965724
</t>
  </si>
  <si>
    <t>predicted price of GTBCPS is: 1.0001347340076958</t>
  </si>
  <si>
    <t xml:space="preserve"> actual price is: 1.000132548008981
</t>
  </si>
  <si>
    <t xml:space="preserve"> 1.000132548008981
</t>
  </si>
  <si>
    <t>predicted amount of GTBCPS is: 99986528.4143112</t>
  </si>
  <si>
    <t xml:space="preserve"> actual amount is: 99986746.95576656
</t>
  </si>
  <si>
    <t>plot sizes of gold is: 80016993.72128923</t>
  </si>
  <si>
    <t xml:space="preserve"> plot sizes of tb is: 35006290.44826643 </t>
  </si>
  <si>
    <t xml:space="preserve"> plot sizes of reit is: 34920839.49372506</t>
  </si>
  <si>
    <t xml:space="preserve"> plot sizes of total is: 149944123.66328073.
</t>
  </si>
  <si>
    <t xml:space="preserve"> 149944123.66328073.
</t>
  </si>
  <si>
    <t>predicted stdevs of gold is: 0.008129532143149347</t>
  </si>
  <si>
    <t xml:space="preserve"> predicted stdevs of tb is: 0.0015192368381407731</t>
  </si>
  <si>
    <t xml:space="preserve"> predicted stdevs of reit is: 0.020403352316279273</t>
  </si>
  <si>
    <t xml:space="preserve"> predicted stdevs of GTBCPS is: 0.009444756654965724.
</t>
  </si>
  <si>
    <t xml:space="preserve"> 0.009444756654965724.
</t>
  </si>
  <si>
    <t>total_value_of_collaterals is: 149944198.9326942</t>
  </si>
  <si>
    <t xml:space="preserve"> createdtionValue_gold is: -174.8939841460797</t>
  </si>
  <si>
    <t xml:space="preserve"> createdValue_tb is: -76.51358225585284</t>
  </si>
  <si>
    <t xml:space="preserve"> createdValue_reit is: -76.32681918945885
</t>
  </si>
  <si>
    <t xml:space="preserve"> -76.32681918945885
</t>
  </si>
  <si>
    <t>plotValue_gold_after_creation is: 80017223.77217814</t>
  </si>
  <si>
    <t xml:space="preserve"> plotValue_tb_after_creation  is: 35006375.22136734</t>
  </si>
  <si>
    <t xml:space="preserve"> plotValue_reit_after_creation  is: 34920927.673534326</t>
  </si>
  <si>
    <t xml:space="preserve">total_value_after_creation is: 149944526.6670798
</t>
  </si>
  <si>
    <t xml:space="preserve"> 149944526.6670798
</t>
  </si>
  <si>
    <t>total_amount_gtncps_before_creation is: 99986746.95576656</t>
  </si>
  <si>
    <t>creation_amount_gtbcps is: -218.54145535826683</t>
  </si>
  <si>
    <t xml:space="preserve">total_amount_gtbcps_new is: 99986528.4143112
</t>
  </si>
  <si>
    <t xml:space="preserve"> 99986528.4143112
</t>
  </si>
  <si>
    <t>payout of tranche of gold is: 55.15690477315542</t>
  </si>
  <si>
    <t xml:space="preserve"> payout of tranche of Treausry Bill Option is: 8.259518644002886</t>
  </si>
  <si>
    <t xml:space="preserve"> payout of tranche of Collar of REIT is: 11.852990077670574
</t>
  </si>
  <si>
    <t xml:space="preserve"> 11.852990077670574
</t>
  </si>
  <si>
    <t>Collateral size of tranche of gold is: 80017223.77217814</t>
  </si>
  <si>
    <t xml:space="preserve"> collateral size of tranche of Treausry Bill Option is: 35006375.22136734</t>
  </si>
  <si>
    <t xml:space="preserve"> collateral size of tranche of Collar of REIT is: 34920927.673534326
</t>
  </si>
  <si>
    <t xml:space="preserve"> 34920927.673534326
</t>
  </si>
  <si>
    <t>Collateral ratio of tranche of gold is: 0.8001704887819396</t>
  </si>
  <si>
    <t xml:space="preserve"> collateral ratio of tranche of Treausry Bill Option is: 0.3500629870778506</t>
  </si>
  <si>
    <t xml:space="preserve"> collateral ratio of tranche of Collar of REIT is: 0.3492085134671512
</t>
  </si>
  <si>
    <t xml:space="preserve"> 0.3492085134671512
</t>
  </si>
  <si>
    <t xml:space="preserve"> current price of reit option is: 5.732452765499197</t>
  </si>
  <si>
    <t xml:space="preserve"> predicted price of reit is: 38.727160069453745
</t>
  </si>
  <si>
    <t xml:space="preserve"> 38.727160069453745
</t>
  </si>
  <si>
    <t>value_ratio_gold_to_total is: 0.5437307566102136</t>
  </si>
  <si>
    <t xml:space="preserve"> risk_ratio_to_gold is: 0.6943443532447212</t>
  </si>
  <si>
    <t xml:space="preserve"> risk_ratio_to_gold_before is: 0.6953840018118448
</t>
  </si>
  <si>
    <t xml:space="preserve"> 0.6953840018118448
</t>
  </si>
  <si>
    <t>value_ratio_tb_to_total is: 0.192020997359618</t>
  </si>
  <si>
    <t xml:space="preserve"> risk_ratio_tb_to_gold is: 0.24243053266361447</t>
  </si>
  <si>
    <t xml:space="preserve"> risk_ratio_tb_to_gold_before is: 0.24135345071645561
</t>
  </si>
  <si>
    <t xml:space="preserve"> 0.24135345071645561
</t>
  </si>
  <si>
    <t>value_ratio_reit_to_total is: 0.26424824603016833</t>
  </si>
  <si>
    <t xml:space="preserve"> risk_ratio_reit_to_gold is: 0.19777704636677304</t>
  </si>
  <si>
    <t xml:space="preserve"> risk_ratio_reit_to_gold_before is: 0.196700915496268
</t>
  </si>
  <si>
    <t xml:space="preserve"> 0.196700915496268
</t>
  </si>
  <si>
    <t xml:space="preserve"> delta_reit is: 1.0001036814483049
</t>
  </si>
  <si>
    <t xml:space="preserve"> 1.0001036814483049
</t>
  </si>
  <si>
    <t>delta_gold_risk is: 0.9993867769390223</t>
  </si>
  <si>
    <t xml:space="preserve"> delta_tb_risk is: 1.000867667421021</t>
  </si>
  <si>
    <t xml:space="preserve"> delta_reit_risk is: 1.0008992479712935
</t>
  </si>
  <si>
    <t xml:space="preserve"> 1.0008992479712935
</t>
  </si>
  <si>
    <t xml:space="preserve">collateral_ratio_tranche_gold is: 0.8006614728611343
</t>
  </si>
  <si>
    <t xml:space="preserve"> 0.8006614728611343
</t>
  </si>
  <si>
    <t xml:space="preserve">collateral_ratio_tranche_tb is: 0.34975951214397105
</t>
  </si>
  <si>
    <t xml:space="preserve"> 0.34975951214397105
</t>
  </si>
  <si>
    <t xml:space="preserve">collateral_ratio_tranche_reit is: 0.3489309444676538
</t>
  </si>
  <si>
    <t xml:space="preserve"> 0.3489309444676538
</t>
  </si>
  <si>
    <t>Total plot size is: 149948147.31943715</t>
  </si>
  <si>
    <t xml:space="preserve"> plot size of gold is: 80017223.77217814</t>
  </si>
  <si>
    <t xml:space="preserve"> plot size of TB is: 35006375.22136734</t>
  </si>
  <si>
    <t xml:space="preserve"> plot size of REIT is: 34924548.325891666
</t>
  </si>
  <si>
    <t xml:space="preserve"> 34924548.325891666
</t>
  </si>
  <si>
    <t xml:space="preserve">collateral ratio is: 1.4994814731943709
</t>
  </si>
  <si>
    <t xml:space="preserve"> 1.4994814731943709
</t>
  </si>
  <si>
    <t>S_gtbcps_0 is: 1.0001347340076958</t>
  </si>
  <si>
    <t xml:space="preserve">stdev_gtbcps is: 0.009463452994441145
</t>
  </si>
  <si>
    <t xml:space="preserve"> 0.009463452994441145
</t>
  </si>
  <si>
    <t>predicted price of GTBCPS is: 1.0000943027977243</t>
  </si>
  <si>
    <t xml:space="preserve"> actual price is: 1.0001347340076958
</t>
  </si>
  <si>
    <t xml:space="preserve"> 1.0001347340076958
</t>
  </si>
  <si>
    <t>predicted amount of GTBCPS is: 99990570.60944553</t>
  </si>
  <si>
    <t xml:space="preserve"> actual amount is: 99986528.4143112
</t>
  </si>
  <si>
    <t>plot sizes of gold is: 80017223.77217814</t>
  </si>
  <si>
    <t xml:space="preserve"> plot sizes of tb is: 35006375.22136734 </t>
  </si>
  <si>
    <t xml:space="preserve"> plot sizes of reit is: 34924548.325891666</t>
  </si>
  <si>
    <t xml:space="preserve"> plot sizes of total is: 149948147.31943715.
</t>
  </si>
  <si>
    <t xml:space="preserve"> 149948147.31943715.
</t>
  </si>
  <si>
    <t>predicted stdevs of gold is: 0.008184342260600587</t>
  </si>
  <si>
    <t xml:space="preserve"> predicted stdevs of tb is: 0.00152939075410593</t>
  </si>
  <si>
    <t xml:space="preserve"> predicted stdevs of reit is: 0.020346733318847964</t>
  </si>
  <si>
    <t xml:space="preserve"> predicted stdevs of GTBCPS is: 0.009463452994441145.
</t>
  </si>
  <si>
    <t xml:space="preserve"> 0.009463452994441145.
</t>
  </si>
  <si>
    <t>total_value_of_collaterals is: 149946755.31650653</t>
  </si>
  <si>
    <t xml:space="preserve"> createdtionValue_gold is: 3234.7161014206854</t>
  </si>
  <si>
    <t xml:space="preserve"> createdValue_tb is: 1415.1532649449837</t>
  </si>
  <si>
    <t xml:space="preserve"> createdValue_reit is: 1411.8426636206889
</t>
  </si>
  <si>
    <t xml:space="preserve"> 1411.8426636206889
</t>
  </si>
  <si>
    <t>plotValue_gold_after_creation is: 80012968.854556</t>
  </si>
  <si>
    <t xml:space="preserve"> plotValue_tb_after_creation  is: 35004807.39646221</t>
  </si>
  <si>
    <t xml:space="preserve"> plotValue_reit_after_creation  is: 34922917.35345834</t>
  </si>
  <si>
    <t xml:space="preserve">total_value_after_creation is: 149940693.60447654
</t>
  </si>
  <si>
    <t xml:space="preserve"> 149940693.60447654
</t>
  </si>
  <si>
    <t>total_amount_gtncps_before_creation is: 99986528.4143112</t>
  </si>
  <si>
    <t>creation_amount_gtbcps is: 4042.1951343268156</t>
  </si>
  <si>
    <t xml:space="preserve">total_amount_gtbcps_new is: 99990570.60944553
</t>
  </si>
  <si>
    <t xml:space="preserve"> 99990570.60944553
</t>
  </si>
  <si>
    <t>payout of tranche of gold is: -1020.2015207236819</t>
  </si>
  <si>
    <t xml:space="preserve"> payout of tranche of Treausry Bill Option is: -152.67164018166218</t>
  </si>
  <si>
    <t xml:space="preserve"> payout of tranche of Collar of REIT is: -219.12976970180137
</t>
  </si>
  <si>
    <t xml:space="preserve"> -219.12976970180137
</t>
  </si>
  <si>
    <t>Collateral size of tranche of gold is: 80012968.854556</t>
  </si>
  <si>
    <t xml:space="preserve"> collateral size of tranche of Treausry Bill Option is: 35004807.39646221</t>
  </si>
  <si>
    <t xml:space="preserve"> collateral size of tranche of Collar of REIT is: 34922917.35345834
</t>
  </si>
  <si>
    <t xml:space="preserve"> 34922917.35345834
</t>
  </si>
  <si>
    <t>Collateral ratio of tranche of gold is: 0.8001620357065738</t>
  </si>
  <si>
    <t xml:space="preserve"> collateral ratio of tranche of Treausry Bill Option is: 0.3500622254972714</t>
  </si>
  <si>
    <t xml:space="preserve"> collateral ratio of tranche of Collar of REIT is: 0.34924329196121945
</t>
  </si>
  <si>
    <t xml:space="preserve"> 0.34924329196121945
</t>
  </si>
  <si>
    <t xml:space="preserve"> current price of reit option is: 5.724355772413766</t>
  </si>
  <si>
    <t xml:space="preserve"> predicted price of reit is: 38.63902964191545
</t>
  </si>
  <si>
    <t xml:space="preserve"> 38.63902964191545
</t>
  </si>
  <si>
    <t>value_ratio_gold_to_total is: 0.5459664507652154</t>
  </si>
  <si>
    <t xml:space="preserve"> risk_ratio_to_gold is: 0.6949080926519046</t>
  </si>
  <si>
    <t xml:space="preserve"> risk_ratio_to_gold_before is: 0.6943443532447212
</t>
  </si>
  <si>
    <t xml:space="preserve"> 0.6943443532447212
</t>
  </si>
  <si>
    <t>value_ratio_tb_to_total is: 0.1928105429503639</t>
  </si>
  <si>
    <t xml:space="preserve"> risk_ratio_tb_to_gold is: 0.24153070847528735</t>
  </si>
  <si>
    <t xml:space="preserve"> risk_ratio_tb_to_gold_before is: 0.24243053266361447
</t>
  </si>
  <si>
    <t xml:space="preserve"> 0.24243053266361447
</t>
  </si>
  <si>
    <t>value_ratio_reit_to_total is: 0.26122300628442063</t>
  </si>
  <si>
    <t xml:space="preserve"> risk_ratio_reit_to_gold is: 0.1975085120694113</t>
  </si>
  <si>
    <t xml:space="preserve"> risk_ratio_reit_to_gold_before is: 0.19777704636677304
</t>
  </si>
  <si>
    <t xml:space="preserve"> 0.19777704636677304
</t>
  </si>
  <si>
    <t xml:space="preserve"> delta_reit is: 0.9998159040122523
</t>
  </si>
  <si>
    <t xml:space="preserve"> 0.9998159040122523
</t>
  </si>
  <si>
    <t>delta_gold_risk is: 1.0003327183202777</t>
  </si>
  <si>
    <t xml:space="preserve"> delta_tb_risk is: 0.9992757549298165</t>
  </si>
  <si>
    <t xml:space="preserve"> delta_reit_risk is: 0.9997758061083436
</t>
  </si>
  <si>
    <t xml:space="preserve"> 0.9997758061083436
</t>
  </si>
  <si>
    <t xml:space="preserve">collateral_ratio_tranche_gold is: 0.7998958956877635
</t>
  </si>
  <si>
    <t xml:space="preserve"> 0.7998958956877635
</t>
  </si>
  <si>
    <t xml:space="preserve">collateral_ratio_tranche_tb is: 0.35031594008988826
</t>
  </si>
  <si>
    <t xml:space="preserve"> 0.35031594008988826
</t>
  </si>
  <si>
    <t xml:space="preserve">collateral_ratio_tranche_reit is: 0.34925729902547953
</t>
  </si>
  <si>
    <t xml:space="preserve"> 0.34925729902547953
</t>
  </si>
  <si>
    <t>Total plot size is: 149934264.43551132</t>
  </si>
  <si>
    <t xml:space="preserve"> plot size of gold is: 80012968.854556</t>
  </si>
  <si>
    <t xml:space="preserve"> plot size of TB is: 35004807.39646221</t>
  </si>
  <si>
    <t xml:space="preserve"> plot size of REIT is: 34916488.184493124
</t>
  </si>
  <si>
    <t xml:space="preserve"> 34916488.184493124
</t>
  </si>
  <si>
    <t xml:space="preserve">collateral ratio is: 1.4993426443551126
</t>
  </si>
  <si>
    <t xml:space="preserve"> 1.4993426443551126
</t>
  </si>
  <si>
    <t>S_gtbcps_0 is: 1.0000943027977243</t>
  </si>
  <si>
    <t xml:space="preserve">stdev_gtbcps is: 0.009514721861141783
</t>
  </si>
  <si>
    <t xml:space="preserve"> 0.009514721861141783
</t>
  </si>
  <si>
    <t>predicted price of GTBCPS is: 1.0001285575966494</t>
  </si>
  <si>
    <t xml:space="preserve"> actual price is: 1.0000943027977243
</t>
  </si>
  <si>
    <t xml:space="preserve"> 1.0000943027977243
</t>
  </si>
  <si>
    <t>predicted amount of GTBCPS is: 99987145.89282823</t>
  </si>
  <si>
    <t xml:space="preserve"> actual amount is: 99990570.60944553
</t>
  </si>
  <si>
    <t>plot sizes of gold is: 80012968.854556</t>
  </si>
  <si>
    <t xml:space="preserve"> plot sizes of tb is: 35004807.39646221 </t>
  </si>
  <si>
    <t xml:space="preserve"> plot sizes of reit is: 34916488.184493124</t>
  </si>
  <si>
    <t xml:space="preserve"> plot sizes of total is: 149934264.43551132.
</t>
  </si>
  <si>
    <t xml:space="preserve"> 149934264.43551132.
</t>
  </si>
  <si>
    <t>predicted stdevs of gold is: 0.008237108191358809</t>
  </si>
  <si>
    <t xml:space="preserve"> predicted stdevs of tb is: 0.0015300864436928513</t>
  </si>
  <si>
    <t xml:space="preserve"> predicted stdevs of reit is: 0.02044727285740149</t>
  </si>
  <si>
    <t xml:space="preserve"> predicted stdevs of GTBCPS is: 0.009514721861141783.
</t>
  </si>
  <si>
    <t xml:space="preserve"> 0.009514721861141783.
</t>
  </si>
  <si>
    <t>total_value_of_collaterals is: 149935444.07741907</t>
  </si>
  <si>
    <t xml:space="preserve"> createdtionValue_gold is: -2740.5993204724464</t>
  </si>
  <si>
    <t xml:space="preserve"> createdValue_tb is: -1198.9740095158286</t>
  </si>
  <si>
    <t xml:space="preserve"> createdValue_reit is: -1195.9508643390748
</t>
  </si>
  <si>
    <t xml:space="preserve"> -1195.9508643390748
</t>
  </si>
  <si>
    <t>plotValue_gold_after_creation is: 80016573.7747536</t>
  </si>
  <si>
    <t xml:space="preserve"> plotValue_tb_after_creation  is: 35006135.90968011</t>
  </si>
  <si>
    <t xml:space="preserve"> plotValue_reit_after_creation  is: 34917869.91717968</t>
  </si>
  <si>
    <t xml:space="preserve">total_value_after_creation is: 149940579.6016134
</t>
  </si>
  <si>
    <t xml:space="preserve"> 149940579.6016134
</t>
  </si>
  <si>
    <t>total_amount_gtncps_before_creation is: 99990570.60944553</t>
  </si>
  <si>
    <t>creation_amount_gtbcps is: -3424.7166173011065</t>
  </si>
  <si>
    <t xml:space="preserve">total_amount_gtbcps_new is: 99987145.89282823
</t>
  </si>
  <si>
    <t xml:space="preserve"> 99987145.89282823
</t>
  </si>
  <si>
    <t>payout of tranche of gold is: 864.3208771305766</t>
  </si>
  <si>
    <t xml:space="preserve"> payout of tranche of Treausry Bill Option is: 129.5392083915364</t>
  </si>
  <si>
    <t xml:space="preserve"> payout of tranche of Collar of REIT is: 185.7818222224492
</t>
  </si>
  <si>
    <t xml:space="preserve"> 185.7818222224492
</t>
  </si>
  <si>
    <t>Collateral size of tranche of gold is: 80016573.7747536</t>
  </si>
  <si>
    <t xml:space="preserve"> collateral size of tranche of Treausry Bill Option is: 35006135.90968011</t>
  </si>
  <si>
    <t xml:space="preserve"> collateral size of tranche of Collar of REIT is: 34917869.91717968
</t>
  </si>
  <si>
    <t xml:space="preserve"> 34917869.91717968
</t>
  </si>
  <si>
    <t>Collateral ratio of tranche of gold is: 0.8001383317543309</t>
  </si>
  <si>
    <t xml:space="preserve"> collateral ratio of tranche of Treausry Bill Option is: 0.35004936935670583</t>
  </si>
  <si>
    <t xml:space="preserve"> collateral ratio of tranche of Collar of REIT is: 0.34916673966315326
</t>
  </si>
  <si>
    <t xml:space="preserve"> 0.34916673966315326
</t>
  </si>
  <si>
    <t xml:space="preserve"> current price of reit option is: 5.714281170454754</t>
  </si>
  <si>
    <t xml:space="preserve"> predicted price of reit is: 38.73642636632564
</t>
  </si>
  <si>
    <t xml:space="preserve"> 38.73642636632564
</t>
  </si>
  <si>
    <t>value_ratio_gold_to_total is: 0.543936888207236</t>
  </si>
  <si>
    <t xml:space="preserve"> risk_ratio_to_gold is: 0.6951290863332802</t>
  </si>
  <si>
    <t xml:space="preserve"> risk_ratio_to_gold_before is: 0.6949080926519046
</t>
  </si>
  <si>
    <t xml:space="preserve"> 0.6949080926519046
</t>
  </si>
  <si>
    <t>value_ratio_tb_to_total is: 0.1920937936735406</t>
  </si>
  <si>
    <t xml:space="preserve"> risk_ratio_tb_to_gold is: 0.24129962407775543</t>
  </si>
  <si>
    <t xml:space="preserve"> risk_ratio_tb_to_gold_before is: 0.24153070847528735
</t>
  </si>
  <si>
    <t xml:space="preserve"> 0.24153070847528735
</t>
  </si>
  <si>
    <t>value_ratio_reit_to_total is: 0.26396931811922336</t>
  </si>
  <si>
    <t xml:space="preserve"> risk_ratio_reit_to_gold is: 0.19728210075680166</t>
  </si>
  <si>
    <t xml:space="preserve"> risk_ratio_reit_to_gold_before is: 0.1975085120694113
</t>
  </si>
  <si>
    <t xml:space="preserve"> 0.1975085120694113
</t>
  </si>
  <si>
    <t xml:space="preserve"> delta_reit is: 0.9997708982478072
</t>
  </si>
  <si>
    <t xml:space="preserve"> 0.9997708982478072
</t>
  </si>
  <si>
    <t>delta_gold_risk is: 1.0001303868229396</t>
  </si>
  <si>
    <t xml:space="preserve"> delta_tb_risk is: 0.9998138713799389</t>
  </si>
  <si>
    <t xml:space="preserve"> delta_reit_risk is: 0.9998109313542847
</t>
  </si>
  <si>
    <t xml:space="preserve"> 0.9998109313542847
</t>
  </si>
  <si>
    <t xml:space="preserve">collateral_ratio_tranche_gold is: 0.8000340178604984
</t>
  </si>
  <si>
    <t xml:space="preserve"> 0.8000340178604984
</t>
  </si>
  <si>
    <t xml:space="preserve">collateral_ratio_tranche_tb is: 0.3501145356920975
</t>
  </si>
  <si>
    <t xml:space="preserve"> 0.3501145356920975
</t>
  </si>
  <si>
    <t xml:space="preserve">collateral_ratio_tranche_reit is: 0.34915275879054125
</t>
  </si>
  <si>
    <t xml:space="preserve"> 0.34915275879054125
</t>
  </si>
  <si>
    <t>Total plot size is: 149932579.85643253</t>
  </si>
  <si>
    <t xml:space="preserve"> plot size of gold is: 80016573.7747536</t>
  </si>
  <si>
    <t xml:space="preserve"> plot size of TB is: 35006135.90968011</t>
  </si>
  <si>
    <t xml:space="preserve"> plot size of REIT is: 34909870.171998814
</t>
  </si>
  <si>
    <t xml:space="preserve"> 34909870.171998814
</t>
  </si>
  <si>
    <t xml:space="preserve">collateral ratio is: 1.4993257985643247
</t>
  </si>
  <si>
    <t xml:space="preserve"> 1.4993257985643247
</t>
  </si>
  <si>
    <t>S_gtbcps_0 is: 1.0001285575966494</t>
  </si>
  <si>
    <t xml:space="preserve">stdev_gtbcps is: 0.009575260350589811
</t>
  </si>
  <si>
    <t xml:space="preserve"> 0.009575260350589811
</t>
  </si>
  <si>
    <t>predicted price of GTBCPS is: 1.0001400766214465</t>
  </si>
  <si>
    <t xml:space="preserve"> actual price is: 1.0001285575966494
</t>
  </si>
  <si>
    <t xml:space="preserve"> 1.0001285575966494
</t>
  </si>
  <si>
    <t>predicted amount of GTBCPS is: 99985994.29972656</t>
  </si>
  <si>
    <t xml:space="preserve"> actual amount is: 99987145.89282823
</t>
  </si>
  <si>
    <t>plot sizes of gold is: 80016573.7747536</t>
  </si>
  <si>
    <t xml:space="preserve"> plot sizes of tb is: 35006135.90968011 </t>
  </si>
  <si>
    <t xml:space="preserve"> plot sizes of reit is: 34909870.171998814</t>
  </si>
  <si>
    <t xml:space="preserve"> plot sizes of total is: 149932579.85643253.
</t>
  </si>
  <si>
    <t xml:space="preserve"> 149932579.85643253.
</t>
  </si>
  <si>
    <t>predicted stdevs of gold is: 0.00829467158271559</t>
  </si>
  <si>
    <t xml:space="preserve"> predicted stdevs of tb is: 0.0015355675465182838</t>
  </si>
  <si>
    <t xml:space="preserve"> predicted stdevs of reit is: 0.02057234807104387</t>
  </si>
  <si>
    <t xml:space="preserve"> predicted stdevs of GTBCPS is: 0.009575260350589811.
</t>
  </si>
  <si>
    <t xml:space="preserve"> 0.009575260350589811.
</t>
  </si>
  <si>
    <t>total_value_of_collaterals is: 149932976.51728377</t>
  </si>
  <si>
    <t xml:space="preserve"> createdtionValue_gold is: -921.5977673175137</t>
  </si>
  <si>
    <t xml:space="preserve"> createdValue_tb is: -403.1852166381184</t>
  </si>
  <si>
    <t xml:space="preserve"> createdValue_reit is: -402.07668952898945
</t>
  </si>
  <si>
    <t xml:space="preserve"> -402.07668952898945
</t>
  </si>
  <si>
    <t>plotValue_gold_after_creation is: 80017786.04093857</t>
  </si>
  <si>
    <t xml:space="preserve"> plotValue_tb_after_creation  is: 35006582.63715536</t>
  </si>
  <si>
    <t xml:space="preserve"> plotValue_reit_after_creation  is: 34910334.69886332</t>
  </si>
  <si>
    <t xml:space="preserve">total_value_after_creation is: 149934703.37695727
</t>
  </si>
  <si>
    <t xml:space="preserve"> 149934703.37695727
</t>
  </si>
  <si>
    <t>total_amount_gtncps_before_creation is: 99987145.89282823</t>
  </si>
  <si>
    <t>creation_amount_gtbcps is: -1151.5931016653776</t>
  </si>
  <si>
    <t xml:space="preserve">total_amount_gtbcps_new is: 99985994.29972656
</t>
  </si>
  <si>
    <t xml:space="preserve"> 99985994.29972656
</t>
  </si>
  <si>
    <t>payout of tranche of gold is: 290.6684176468323</t>
  </si>
  <si>
    <t xml:space="preserve"> payout of tranche of Treausry Bill Option is: 43.542258612248276</t>
  </si>
  <si>
    <t xml:space="preserve"> payout of tranche of Collar of REIT is: 62.45017497954196
</t>
  </si>
  <si>
    <t xml:space="preserve"> 62.45017497954196
</t>
  </si>
  <si>
    <t>Collateral size of tranche of gold is: 80017786.04093857</t>
  </si>
  <si>
    <t xml:space="preserve"> collateral size of tranche of Treausry Bill Option is: 35006582.63715536</t>
  </si>
  <si>
    <t xml:space="preserve"> collateral size of tranche of Collar of REIT is: 34910334.69886332
</t>
  </si>
  <si>
    <t xml:space="preserve"> 34910334.69886332
</t>
  </si>
  <si>
    <t>Collateral ratio of tranche of gold is: 0.8001686444317121</t>
  </si>
  <si>
    <t xml:space="preserve"> collateral ratio of tranche of Treausry Bill Option is: 0.3500617945193871</t>
  </si>
  <si>
    <t xml:space="preserve"> collateral ratio of tranche of Collar of REIT is: 0.3490993262217378
</t>
  </si>
  <si>
    <t xml:space="preserve"> 0.3490993262217378
</t>
  </si>
  <si>
    <t xml:space="preserve"> current price of reit option is: 5.704039150570374</t>
  </si>
  <si>
    <t xml:space="preserve"> predicted price of reit is: 38.6436143329838
</t>
  </si>
  <si>
    <t xml:space="preserve"> 38.6436143329838
</t>
  </si>
  <si>
    <t>value_ratio_gold_to_total is: 0.5463337074163176</t>
  </si>
  <si>
    <t xml:space="preserve"> risk_ratio_to_gold is: 0.695409653479279</t>
  </si>
  <si>
    <t xml:space="preserve"> risk_ratio_to_gold_before is: 0.6951290863332802
</t>
  </si>
  <si>
    <t xml:space="preserve"> 0.6951290863332802
</t>
  </si>
  <si>
    <t>value_ratio_tb_to_total is: 0.19294024131223556</t>
  </si>
  <si>
    <t xml:space="preserve"> risk_ratio_tb_to_gold is: 0.24066802142042157</t>
  </si>
  <si>
    <t xml:space="preserve"> risk_ratio_tb_to_gold_before is: 0.24129962407775543
</t>
  </si>
  <si>
    <t xml:space="preserve"> 0.24129962407775543
</t>
  </si>
  <si>
    <t>value_ratio_reit_to_total is: 0.2607260512714469</t>
  </si>
  <si>
    <t xml:space="preserve"> risk_ratio_reit_to_gold is: 0.197333299091585</t>
  </si>
  <si>
    <t xml:space="preserve"> risk_ratio_reit_to_gold_before is: 0.19728210075680166
</t>
  </si>
  <si>
    <t xml:space="preserve"> 0.19728210075680166
</t>
  </si>
  <si>
    <t xml:space="preserve"> delta_reit is: 0.999767037703979
</t>
  </si>
  <si>
    <t xml:space="preserve"> 0.999767037703979
</t>
  </si>
  <si>
    <t>delta_gold_risk is: 1.0001655137347714</t>
  </si>
  <si>
    <t xml:space="preserve"> delta_tb_risk is: 0.9994911763082156</t>
  </si>
  <si>
    <t xml:space="preserve"> delta_reit_risk is: 1.0000427621316237
</t>
  </si>
  <si>
    <t xml:space="preserve"> 1.0000427621316237
</t>
  </si>
  <si>
    <t xml:space="preserve">collateral_ratio_tranche_gold is: 0.8000362274477548
</t>
  </si>
  <si>
    <t xml:space="preserve"> 0.8000362274477548
</t>
  </si>
  <si>
    <t xml:space="preserve">collateral_ratio_tranche_tb is: 0.35024000493170704
</t>
  </si>
  <si>
    <t xml:space="preserve"> 0.35024000493170704
</t>
  </si>
  <si>
    <t xml:space="preserve">collateral_ratio_tranche_reit is: 0.3490030751257262
</t>
  </si>
  <si>
    <t xml:space="preserve"> 0.3490030751257262
</t>
  </si>
  <si>
    <t>Total plot size is: 149926570.58523095</t>
  </si>
  <si>
    <t xml:space="preserve"> plot size of gold is: 80017786.04093857</t>
  </si>
  <si>
    <t xml:space="preserve"> plot size of TB is: 35006582.63715536</t>
  </si>
  <si>
    <t xml:space="preserve"> plot size of REIT is: 34902201.907137014
</t>
  </si>
  <si>
    <t xml:space="preserve"> 34902201.907137014
</t>
  </si>
  <si>
    <t xml:space="preserve">collateral ratio is: 1.499265705852309
</t>
  </si>
  <si>
    <t xml:space="preserve"> 1.499265705852309
</t>
  </si>
  <si>
    <t>S_gtbcps_0 is: 1.0001400766214465</t>
  </si>
  <si>
    <t xml:space="preserve">stdev_gtbcps is: 0.009599653137592794
</t>
  </si>
  <si>
    <t xml:space="preserve"> 0.009599653137592794
</t>
  </si>
  <si>
    <t>predicted price of GTBCPS is: 1.0001255332870256</t>
  </si>
  <si>
    <t xml:space="preserve"> actual price is: 1.0001400766214465
</t>
  </si>
  <si>
    <t xml:space="preserve"> 1.0001400766214465
</t>
  </si>
  <si>
    <t>predicted amount of GTBCPS is: 99987448.2469603</t>
  </si>
  <si>
    <t xml:space="preserve"> actual amount is: 99985994.29972656
</t>
  </si>
  <si>
    <t>plot sizes of gold is: 80017786.04093857</t>
  </si>
  <si>
    <t xml:space="preserve"> plot sizes of tb is: 35006582.63715536 </t>
  </si>
  <si>
    <t xml:space="preserve"> plot sizes of reit is: 34902201.907137014</t>
  </si>
  <si>
    <t xml:space="preserve"> plot sizes of total is: 149926570.58523095.
</t>
  </si>
  <si>
    <t xml:space="preserve"> 149926570.58523095.
</t>
  </si>
  <si>
    <t>predicted stdevs of gold is: 0.008288143718410987</t>
  </si>
  <si>
    <t xml:space="preserve"> predicted stdevs of tb is: 0.001530762668700062</t>
  </si>
  <si>
    <t xml:space="preserve"> predicted stdevs of reit is: 0.02069947893411352</t>
  </si>
  <si>
    <t xml:space="preserve"> predicted stdevs of GTBCPS is: 0.009599653137592794.
</t>
  </si>
  <si>
    <t xml:space="preserve"> 0.009599653137592794.
</t>
  </si>
  <si>
    <t>total_value_of_collaterals is: 149926069.76400763</t>
  </si>
  <si>
    <t xml:space="preserve"> createdtionValue_gold is: 1163.5567913758055</t>
  </si>
  <si>
    <t xml:space="preserve"> createdValue_tb is: 509.0402878822461</t>
  </si>
  <si>
    <t xml:space="preserve"> createdValue_reit is: 507.52250795217174
</t>
  </si>
  <si>
    <t xml:space="preserve"> 507.52250795217174
</t>
  </si>
  <si>
    <t>plotValue_gold_after_creation is: 80016234.43440072</t>
  </si>
  <si>
    <t xml:space="preserve"> plotValue_tb_after_creation  is: 35006015.446464956</t>
  </si>
  <si>
    <t xml:space="preserve"> plotValue_reit_after_creation  is: 34901639.763554744</t>
  </si>
  <si>
    <t xml:space="preserve">total_value_after_creation is: 149923889.64442042
</t>
  </si>
  <si>
    <t xml:space="preserve"> 149923889.64442042
</t>
  </si>
  <si>
    <t>total_amount_gtncps_before_creation is: 99985994.29972656</t>
  </si>
  <si>
    <t>creation_amount_gtbcps is: 1453.947233736515</t>
  </si>
  <si>
    <t xml:space="preserve">total_amount_gtbcps_new is: 99987448.2469603
</t>
  </si>
  <si>
    <t xml:space="preserve"> 99987448.2469603
</t>
  </si>
  <si>
    <t>payout of tranche of gold is: -388.049746464519</t>
  </si>
  <si>
    <t xml:space="preserve"> payout of tranche of Treausry Bill Option is: -58.15040252346217</t>
  </si>
  <si>
    <t xml:space="preserve"> payout of tranche of Collar of REIT is: -54.62107432003015
</t>
  </si>
  <si>
    <t xml:space="preserve"> -54.62107432003015
</t>
  </si>
  <si>
    <t>Collateral size of tranche of gold is: 80016234.43440072</t>
  </si>
  <si>
    <t xml:space="preserve"> collateral size of tranche of Treausry Bill Option is: 35006015.446464956</t>
  </si>
  <si>
    <t xml:space="preserve"> collateral size of tranche of Collar of REIT is: 34901639.763554744
</t>
  </si>
  <si>
    <t xml:space="preserve"> 34901639.763554744
</t>
  </si>
  <si>
    <t>Collateral ratio of tranche of gold is: 0.8001739799119206</t>
  </si>
  <si>
    <t xml:space="preserve"> collateral ratio of tranche of Treausry Bill Option is: 0.3500652448675282</t>
  </si>
  <si>
    <t xml:space="preserve"> collateral ratio of tranche of Collar of REIT is: 0.3490214728606268
</t>
  </si>
  <si>
    <t xml:space="preserve"> 0.3490214728606268
</t>
  </si>
  <si>
    <t xml:space="preserve"> current price of reit option is: 5.727965782749841</t>
  </si>
  <si>
    <t xml:space="preserve"> predicted price of reit is: 38.703414736068645
</t>
  </si>
  <si>
    <t xml:space="preserve"> 38.703414736068645
</t>
  </si>
  <si>
    <t>value_ratio_gold_to_total is: 0.5443847902423927</t>
  </si>
  <si>
    <t xml:space="preserve"> risk_ratio_to_gold is: 0.6963992955388536</t>
  </si>
  <si>
    <t xml:space="preserve"> risk_ratio_to_gold_before is: 0.695409653479279
</t>
  </si>
  <si>
    <t xml:space="preserve"> 0.695409653479279
</t>
  </si>
  <si>
    <t>value_ratio_tb_to_total is: 0.19225197232071956</t>
  </si>
  <si>
    <t xml:space="preserve"> risk_ratio_tb_to_gold is: 0.23999306576268956</t>
  </si>
  <si>
    <t xml:space="preserve"> risk_ratio_tb_to_gold_before is: 0.24066802142042157
</t>
  </si>
  <si>
    <t xml:space="preserve"> 0.24066802142042157
</t>
  </si>
  <si>
    <t>value_ratio_reit_to_total is: 0.2633632374368878</t>
  </si>
  <si>
    <t xml:space="preserve"> risk_ratio_reit_to_gold is: 0.19596473374402706</t>
  </si>
  <si>
    <t xml:space="preserve"> risk_ratio_reit_to_gold_before is: 0.197333299091585
</t>
  </si>
  <si>
    <t xml:space="preserve"> 0.197333299091585
</t>
  </si>
  <si>
    <t xml:space="preserve"> delta_reit is: 1.000544355709779
</t>
  </si>
  <si>
    <t xml:space="preserve"> 1.000544355709779
</t>
  </si>
  <si>
    <t>delta_gold_risk is: 1.0005837185470448</t>
  </si>
  <si>
    <t xml:space="preserve"> delta_tb_risk is: 0.9994559740026513</t>
  </si>
  <si>
    <t xml:space="preserve"> delta_reit_risk is: 0.9988569888195741
</t>
  </si>
  <si>
    <t xml:space="preserve"> 0.9988569888195741
</t>
  </si>
  <si>
    <t xml:space="preserve">collateral_ratio_tranche_gold is: 0.799707176001084
</t>
  </si>
  <si>
    <t xml:space="preserve"> 0.799707176001084
</t>
  </si>
  <si>
    <t xml:space="preserve">collateral_ratio_tranche_tb is: 0.35025579312471006
</t>
  </si>
  <si>
    <t xml:space="preserve"> 0.35025579312471006
</t>
  </si>
  <si>
    <t xml:space="preserve">collateral_ratio_tranche_reit is: 0.3496110740586637
</t>
  </si>
  <si>
    <t xml:space="preserve"> 0.3496110740586637
</t>
  </si>
  <si>
    <t>Total plot size is: 149942888.55130637</t>
  </si>
  <si>
    <t xml:space="preserve"> plot size of gold is: 80016234.43440072</t>
  </si>
  <si>
    <t xml:space="preserve"> plot size of TB is: 35006015.446464956</t>
  </si>
  <si>
    <t xml:space="preserve"> plot size of REIT is: 34920638.67044069
</t>
  </si>
  <si>
    <t xml:space="preserve"> 34920638.67044069
</t>
  </si>
  <si>
    <t xml:space="preserve">collateral ratio is: 1.499428885513063
</t>
  </si>
  <si>
    <t xml:space="preserve"> 1.499428885513063
</t>
  </si>
  <si>
    <t>S_gtbcps_0 is: 1.0001255332870256</t>
  </si>
  <si>
    <t xml:space="preserve">stdev_gtbcps is: 0.009564493199525886
</t>
  </si>
  <si>
    <t xml:space="preserve"> 0.009564493199525886
</t>
  </si>
  <si>
    <t>predicted price of GTBCPS is: 1.000117806567096</t>
  </si>
  <si>
    <t xml:space="preserve"> actual price is: 1.0001255332870256
</t>
  </si>
  <si>
    <t xml:space="preserve"> 1.0001255332870256
</t>
  </si>
  <si>
    <t>predicted amount of GTBCPS is: 99988220.7309657</t>
  </si>
  <si>
    <t xml:space="preserve"> actual amount is: 99987448.2469603
</t>
  </si>
  <si>
    <t>plot sizes of gold is: 80016234.43440072</t>
  </si>
  <si>
    <t xml:space="preserve"> plot sizes of tb is: 35006015.446464956 </t>
  </si>
  <si>
    <t xml:space="preserve"> plot sizes of reit is: 34920638.67044069</t>
  </si>
  <si>
    <t xml:space="preserve"> plot sizes of total is: 149942888.55130637.
</t>
  </si>
  <si>
    <t xml:space="preserve"> 149942888.55130637.
</t>
  </si>
  <si>
    <t>predicted stdevs of gold is: 0.008347983303271134</t>
  </si>
  <si>
    <t xml:space="preserve"> predicted stdevs of tb is: 0.001533650173567983</t>
  </si>
  <si>
    <t xml:space="preserve"> predicted stdevs of reit is: 0.020402449504880314</t>
  </si>
  <si>
    <t xml:space="preserve"> predicted stdevs of GTBCPS is: 0.009564493199525886.
</t>
  </si>
  <si>
    <t xml:space="preserve"> 0.009564493199525886.
</t>
  </si>
  <si>
    <t>total_value_of_collaterals is: 149942622.44290954</t>
  </si>
  <si>
    <t xml:space="preserve"> createdtionValue_gold is: 618.1839243315686</t>
  </si>
  <si>
    <t xml:space="preserve"> createdValue_tb is: 270.44750134467387</t>
  </si>
  <si>
    <t xml:space="preserve"> createdValue_reit is: 269.78780329981515
</t>
  </si>
  <si>
    <t xml:space="preserve"> 269.78780329981515
</t>
  </si>
  <si>
    <t>plotValue_gold_after_creation is: 80015421.30141498</t>
  </si>
  <si>
    <t xml:space="preserve"> plotValue_tb_after_creation  is: 35005715.7882389</t>
  </si>
  <si>
    <t xml:space="preserve"> plotValue_reit_after_creation  is: 34920326.93402667</t>
  </si>
  <si>
    <t xml:space="preserve">total_value_after_creation is: 149941464.02368057
</t>
  </si>
  <si>
    <t xml:space="preserve"> 149941464.02368057
</t>
  </si>
  <si>
    <t>total_amount_gtncps_before_creation is: 99987448.2469603</t>
  </si>
  <si>
    <t>creation_amount_gtbcps is: 772.4840054064989</t>
  </si>
  <si>
    <t xml:space="preserve">total_amount_gtbcps_new is: 99988220.7309657
</t>
  </si>
  <si>
    <t xml:space="preserve"> 99988220.7309657
</t>
  </si>
  <si>
    <t>payout of tranche of gold is: -194.94906140210824</t>
  </si>
  <si>
    <t xml:space="preserve"> payout of tranche of Treausry Bill Option is: -29.21072471063226</t>
  </si>
  <si>
    <t xml:space="preserve"> payout of tranche of Collar of REIT is: -41.94861071839668
</t>
  </si>
  <si>
    <t xml:space="preserve"> -41.94861071839668
</t>
  </si>
  <si>
    <t>Collateral size of tranche of gold is: 80015421.30141498</t>
  </si>
  <si>
    <t xml:space="preserve"> collateral size of tranche of Treausry Bill Option is: 35005715.7882389</t>
  </si>
  <si>
    <t xml:space="preserve"> collateral size of tranche of Collar of REIT is: 34920326.93402667
</t>
  </si>
  <si>
    <t xml:space="preserve"> 34920326.93402667
</t>
  </si>
  <si>
    <t>Collateral ratio of tranche of gold is: 0.8001603948533927</t>
  </si>
  <si>
    <t xml:space="preserve"> collateral ratio of tranche of Treausry Bill Option is: 0.3500598623574023</t>
  </si>
  <si>
    <t xml:space="preserve"> collateral ratio of tranche of Collar of REIT is: 0.34920596721829955
</t>
  </si>
  <si>
    <t xml:space="preserve"> 0.34920596721829955
</t>
  </si>
  <si>
    <t xml:space="preserve"> current price of reit option is: 5.717308476193338</t>
  </si>
  <si>
    <t xml:space="preserve"> predicted price of reit is: 38.78313073488836
</t>
  </si>
  <si>
    <t xml:space="preserve"> 38.78313073488836
</t>
  </si>
  <si>
    <t>value_ratio_gold_to_total is: 0.5427877419295302</t>
  </si>
  <si>
    <t xml:space="preserve"> risk_ratio_to_gold is: 0.6962104884718661</t>
  </si>
  <si>
    <t xml:space="preserve"> risk_ratio_to_gold_before is: 0.6963992955388536
</t>
  </si>
  <si>
    <t xml:space="preserve"> 0.6963992955388536
</t>
  </si>
  <si>
    <t>value_ratio_tb_to_total is: 0.19168796742281893</t>
  </si>
  <si>
    <t xml:space="preserve"> risk_ratio_tb_to_gold is: 0.24018325358117884</t>
  </si>
  <si>
    <t xml:space="preserve"> risk_ratio_tb_to_gold_before is: 0.23999306576268956
</t>
  </si>
  <si>
    <t xml:space="preserve"> 0.23999306576268956
</t>
  </si>
  <si>
    <t>value_ratio_reit_to_total is: 0.26552429064765093</t>
  </si>
  <si>
    <t xml:space="preserve"> risk_ratio_reit_to_gold is: 0.19616396691952212</t>
  </si>
  <si>
    <t xml:space="preserve"> risk_ratio_reit_to_gold_before is: 0.19596473374402706
</t>
  </si>
  <si>
    <t xml:space="preserve"> 0.19596473374402706
</t>
  </si>
  <si>
    <t xml:space="preserve"> delta_reit is: 0.9997576671324647
</t>
  </si>
  <si>
    <t xml:space="preserve"> 0.9997576671324647
</t>
  </si>
  <si>
    <t>delta_gold_risk is: 0.9998887012818951</t>
  </si>
  <si>
    <t xml:space="preserve"> delta_tb_risk is: 1.000153378130685</t>
  </si>
  <si>
    <t xml:space="preserve"> delta_reit_risk is: 1.000166587834803
</t>
  </si>
  <si>
    <t xml:space="preserve"> 1.000166587834803
</t>
  </si>
  <si>
    <t xml:space="preserve">collateral_ratio_tranche_gold is: 0.8002494615926322
</t>
  </si>
  <si>
    <t xml:space="preserve"> 0.8002494615926322
</t>
  </si>
  <si>
    <t xml:space="preserve">collateral_ratio_tranche_tb is: 0.3500061790639292
</t>
  </si>
  <si>
    <t xml:space="preserve"> 0.3500061790639292
</t>
  </si>
  <si>
    <t xml:space="preserve">collateral_ratio_tranche_reit is: 0.3490631934532963
</t>
  </si>
  <si>
    <t xml:space="preserve"> 0.3490631934532963
</t>
  </si>
  <si>
    <t>Total plot size is: 149933001.68071938</t>
  </si>
  <si>
    <t xml:space="preserve"> plot size of gold is: 80015421.30141498</t>
  </si>
  <si>
    <t xml:space="preserve"> plot size of TB is: 35005715.7882389</t>
  </si>
  <si>
    <t xml:space="preserve"> plot size of REIT is: 34911864.59106548
</t>
  </si>
  <si>
    <t xml:space="preserve"> 34911864.59106548
</t>
  </si>
  <si>
    <t xml:space="preserve">collateral ratio is: 1.499330016807193
</t>
  </si>
  <si>
    <t xml:space="preserve"> 1.499330016807193
</t>
  </si>
  <si>
    <t>S_gtbcps_0 is: 1.000117806567096</t>
  </si>
  <si>
    <t xml:space="preserve">stdev_gtbcps is: 0.009627826704394922
</t>
  </si>
  <si>
    <t xml:space="preserve"> 0.009627826704394922
</t>
  </si>
  <si>
    <t>predicted price of GTBCPS is: 1.0001232136035798</t>
  </si>
  <si>
    <t xml:space="preserve"> actual price is: 1.000117806567096
</t>
  </si>
  <si>
    <t xml:space="preserve"> 1.000117806567096
</t>
  </si>
  <si>
    <t>predicted amount of GTBCPS is: 99987680.15761425</t>
  </si>
  <si>
    <t xml:space="preserve"> actual amount is: 99988220.7309657
</t>
  </si>
  <si>
    <t>plot sizes of gold is: 80015421.30141498</t>
  </si>
  <si>
    <t xml:space="preserve"> plot sizes of tb is: 35005715.7882389 </t>
  </si>
  <si>
    <t xml:space="preserve"> plot sizes of reit is: 34911864.59106548</t>
  </si>
  <si>
    <t xml:space="preserve"> plot sizes of total is: 149933001.68071938.
</t>
  </si>
  <si>
    <t xml:space="preserve"> 149933001.68071938.
</t>
  </si>
  <si>
    <t>predicted stdevs of gold is: 0.008406574190102307</t>
  </si>
  <si>
    <t xml:space="preserve"> predicted stdevs of tb is: 0.0015416450194324942</t>
  </si>
  <si>
    <t xml:space="preserve"> predicted stdevs of reit is: 0.020534766702662494</t>
  </si>
  <si>
    <t xml:space="preserve"> predicted stdevs of GTBCPS is: 0.009627826704394922.
</t>
  </si>
  <si>
    <t xml:space="preserve"> 0.009627826704394922.
</t>
  </si>
  <si>
    <t>total_value_of_collaterals is: 149933187.86324245</t>
  </si>
  <si>
    <t xml:space="preserve"> createdtionValue_gold is: -432.59607733355585</t>
  </si>
  <si>
    <t xml:space="preserve"> createdValue_tb is: -189.25499740890967</t>
  </si>
  <si>
    <t xml:space="preserve"> createdValue_reit is: -188.7476483223188
</t>
  </si>
  <si>
    <t xml:space="preserve"> -188.7476483223188
</t>
  </si>
  <si>
    <t>plotValue_gold_after_creation is: 80015990.3390298</t>
  </si>
  <si>
    <t xml:space="preserve"> plotValue_tb_after_creation  is: 35005925.47585215</t>
  </si>
  <si>
    <t xml:space="preserve"> plotValue_reit_after_creation  is: 34912082.647083566</t>
  </si>
  <si>
    <t xml:space="preserve">total_value_after_creation is: 149933998.4619655
</t>
  </si>
  <si>
    <t xml:space="preserve"> 149933998.4619655
</t>
  </si>
  <si>
    <t>total_amount_gtncps_before_creation is: 99988220.7309657</t>
  </si>
  <si>
    <t>creation_amount_gtbcps is: -540.573351457715</t>
  </si>
  <si>
    <t xml:space="preserve">total_amount_gtbcps_new is: 99987680.15761425
</t>
  </si>
  <si>
    <t xml:space="preserve"> 99987680.15761425
</t>
  </si>
  <si>
    <t>payout of tranche of gold is: 136.44153748013068</t>
  </si>
  <si>
    <t xml:space="preserve"> payout of tranche of Treausry Bill Option is: 20.432615840137828</t>
  </si>
  <si>
    <t xml:space="preserve"> payout of tranche of Collar of REIT is: 29.308369761238236
</t>
  </si>
  <si>
    <t xml:space="preserve"> 29.308369761238236
</t>
  </si>
  <si>
    <t>Collateral size of tranche of gold is: 80015990.3390298</t>
  </si>
  <si>
    <t xml:space="preserve"> collateral size of tranche of Treausry Bill Option is: 35005925.47585215</t>
  </si>
  <si>
    <t xml:space="preserve"> collateral size of tranche of Collar of REIT is: 34912082.647083566
</t>
  </si>
  <si>
    <t xml:space="preserve"> 34912082.647083566
</t>
  </si>
  <si>
    <t>Collateral ratio of tranche of gold is: 0.8001555774295243</t>
  </si>
  <si>
    <t xml:space="preserve"> collateral ratio of tranche of Treausry Bill Option is: 0.3500573622085472</t>
  </si>
  <si>
    <t xml:space="preserve"> collateral ratio of tranche of Collar of REIT is: 0.3491189389943523
</t>
  </si>
  <si>
    <t xml:space="preserve"> 0.3491189389943523
</t>
  </si>
  <si>
    <t xml:space="preserve"> current price of reit option is: 5.707653835622416</t>
  </si>
  <si>
    <t xml:space="preserve"> predicted price of reit is: 38.627938887620424
</t>
  </si>
  <si>
    <t xml:space="preserve"> 38.627938887620424
</t>
  </si>
  <si>
    <t>value_ratio_gold_to_total is: 0.5466155965873197</t>
  </si>
  <si>
    <t xml:space="preserve"> risk_ratio_to_gold is: 0.6955283581034151</t>
  </si>
  <si>
    <t xml:space="preserve"> risk_ratio_to_gold_before is: 0.6962104884718661
</t>
  </si>
  <si>
    <t xml:space="preserve"> 0.6962104884718661
</t>
  </si>
  <si>
    <t>value_ratio_tb_to_total is: 0.19303979175903785</t>
  </si>
  <si>
    <t xml:space="preserve"> risk_ratio_tb_to_gold is: 0.24055733399742432</t>
  </si>
  <si>
    <t xml:space="preserve"> risk_ratio_tb_to_gold_before is: 0.24018325358117884
</t>
  </si>
  <si>
    <t xml:space="preserve"> 0.24018325358117884
</t>
  </si>
  <si>
    <t>value_ratio_reit_to_total is: 0.2603446116536424</t>
  </si>
  <si>
    <t xml:space="preserve"> risk_ratio_reit_to_gold is: 0.1971985653117371</t>
  </si>
  <si>
    <t xml:space="preserve"> risk_ratio_reit_to_gold_before is: 0.19616396691952212
</t>
  </si>
  <si>
    <t xml:space="preserve"> 0.19616396691952212
</t>
  </si>
  <si>
    <t xml:space="preserve"> delta_reit is: 0.999780413200045
</t>
  </si>
  <si>
    <t xml:space="preserve"> 0.999780413200045
</t>
  </si>
  <si>
    <t>delta_gold_risk is: 0.9995978504005918</t>
  </si>
  <si>
    <t xml:space="preserve"> delta_tb_risk is: 1.0003016331781334</t>
  </si>
  <si>
    <t xml:space="preserve"> delta_reit_risk is: 1.0008649302443706
</t>
  </si>
  <si>
    <t xml:space="preserve"> 1.0008649302443706
</t>
  </si>
  <si>
    <t xml:space="preserve">collateral_ratio_tranche_gold is: 0.8004774891311137
</t>
  </si>
  <si>
    <t xml:space="preserve"> 0.8004774891311137
</t>
  </si>
  <si>
    <t xml:space="preserve">collateral_ratio_tranche_tb is: 0.3499518051333713
</t>
  </si>
  <si>
    <t xml:space="preserve"> 0.3499518051333713
</t>
  </si>
  <si>
    <t xml:space="preserve">collateral_ratio_tranche_reit is: 0.34874064075610367
</t>
  </si>
  <si>
    <t xml:space="preserve"> 0.34874064075610367
</t>
  </si>
  <si>
    <t>Total plot size is: 149926332.22945726</t>
  </si>
  <si>
    <t xml:space="preserve"> plot size of gold is: 80015990.3390298</t>
  </si>
  <si>
    <t xml:space="preserve"> plot size of TB is: 35005925.47585215</t>
  </si>
  <si>
    <t xml:space="preserve"> plot size of REIT is: 34904416.41457532
</t>
  </si>
  <si>
    <t xml:space="preserve"> 34904416.41457532
</t>
  </si>
  <si>
    <t xml:space="preserve">collateral ratio is: 1.499263322294572
</t>
  </si>
  <si>
    <t xml:space="preserve"> 1.499263322294572
</t>
  </si>
  <si>
    <t>S_gtbcps_0 is: 1.0001232136035798</t>
  </si>
  <si>
    <t xml:space="preserve">stdev_gtbcps is: 0.009688810267369986
</t>
  </si>
  <si>
    <t xml:space="preserve"> 0.009688810267369986
</t>
  </si>
  <si>
    <t>predicted price of GTBCPS is: 1.0001572951995779</t>
  </si>
  <si>
    <t xml:space="preserve"> actual price is: 1.0001232136035798
</t>
  </si>
  <si>
    <t xml:space="preserve"> 1.0001232136035798
</t>
  </si>
  <si>
    <t>predicted amount of GTBCPS is: 99984272.95383112</t>
  </si>
  <si>
    <t xml:space="preserve"> actual amount is: 99987680.15761425
</t>
  </si>
  <si>
    <t>plot sizes of gold is: 80015990.3390298</t>
  </si>
  <si>
    <t xml:space="preserve"> plot sizes of tb is: 35005925.47585215 </t>
  </si>
  <si>
    <t xml:space="preserve"> plot sizes of reit is: 34904416.41457532</t>
  </si>
  <si>
    <t xml:space="preserve"> plot sizes of total is: 149926332.22945726.
</t>
  </si>
  <si>
    <t xml:space="preserve"> 149926332.22945726.
</t>
  </si>
  <si>
    <t>predicted stdevs of gold is: 0.00846545627581262</t>
  </si>
  <si>
    <t xml:space="preserve"> predicted stdevs of tb is: 0.0015511283582287524</t>
  </si>
  <si>
    <t xml:space="preserve"> predicted stdevs of reit is: 0.020654613651133934</t>
  </si>
  <si>
    <t xml:space="preserve"> predicted stdevs of GTBCPS is: 0.009688810267369986.
</t>
  </si>
  <si>
    <t xml:space="preserve"> 0.009688810267369986.
</t>
  </si>
  <si>
    <t>total_value_of_collaterals is: 149927505.64790377</t>
  </si>
  <si>
    <t xml:space="preserve"> createdtionValue_gold is: -2726.765994409825</t>
  </si>
  <si>
    <t xml:space="preserve"> createdValue_tb is: -1192.9152156137663</t>
  </si>
  <si>
    <t xml:space="preserve"> createdValue_reit is: -1189.4579510309534
</t>
  </si>
  <si>
    <t xml:space="preserve"> -1189.4579510309534
</t>
  </si>
  <si>
    <t>plotValue_gold_after_creation is: 80019577.18644951</t>
  </si>
  <si>
    <t xml:space="preserve"> plotValue_tb_after_creation  is: 35007247.18160357</t>
  </si>
  <si>
    <t xml:space="preserve"> plotValue_reit_after_creation  is: 34905790.41901173</t>
  </si>
  <si>
    <t xml:space="preserve">total_value_after_creation is: 149932614.7870648
</t>
  </si>
  <si>
    <t xml:space="preserve"> 149932614.7870648
</t>
  </si>
  <si>
    <t>total_amount_gtncps_before_creation is: 99987680.15761425</t>
  </si>
  <si>
    <t>creation_amount_gtbcps is: -3407.2037831246853</t>
  </si>
  <si>
    <t xml:space="preserve">total_amount_gtbcps_new is: 99984272.95383112
</t>
  </si>
  <si>
    <t xml:space="preserve"> 99984272.95383112
</t>
  </si>
  <si>
    <t>payout of tranche of gold is: 860.0814252870547</t>
  </si>
  <si>
    <t xml:space="preserve"> payout of tranche of Treausry Bill Option is: 128.79053581466218</t>
  </si>
  <si>
    <t xml:space="preserve"> payout of tranche of Collar of REIT is: 184.54648536838226
</t>
  </si>
  <si>
    <t xml:space="preserve"> 184.54648536838226
</t>
  </si>
  <si>
    <t>Collateral size of tranche of gold is: 80019577.18644951</t>
  </si>
  <si>
    <t xml:space="preserve"> collateral size of tranche of Treausry Bill Option is: 35007247.18160357</t>
  </si>
  <si>
    <t xml:space="preserve"> collateral size of tranche of Collar of REIT is: 34905790.41901173
</t>
  </si>
  <si>
    <t xml:space="preserve"> 34905790.41901173
</t>
  </si>
  <si>
    <t>Collateral ratio of tranche of gold is: 0.8001685042045507</t>
  </si>
  <si>
    <t xml:space="preserve"> collateral ratio of tranche of Treausry Bill Option is: 0.3500605426638795</t>
  </si>
  <si>
    <t xml:space="preserve"> collateral ratio of tranche of Collar of REIT is: 0.3490460096106068
</t>
  </si>
  <si>
    <t xml:space="preserve"> 0.3490460096106068
</t>
  </si>
  <si>
    <t xml:space="preserve"> current price of reit option is: 5.700134570935695</t>
  </si>
  <si>
    <t xml:space="preserve"> predicted price of reit is: 38.76192314938498
</t>
  </si>
  <si>
    <t xml:space="preserve"> 38.76192314938498
</t>
  </si>
  <si>
    <t>value_ratio_gold_to_total is: 0.5436741919986228</t>
  </si>
  <si>
    <t xml:space="preserve"> risk_ratio_to_gold is: 0.6989715392119209</t>
  </si>
  <si>
    <t xml:space="preserve"> risk_ratio_to_gold_before is: 0.6955283581034151
</t>
  </si>
  <si>
    <t xml:space="preserve"> 0.6955283581034151
</t>
  </si>
  <si>
    <t>value_ratio_tb_to_total is: 0.19200102130896998</t>
  </si>
  <si>
    <t xml:space="preserve"> risk_ratio_tb_to_gold is: 0.23679433148117535</t>
  </si>
  <si>
    <t xml:space="preserve"> risk_ratio_tb_to_gold_before is: 0.24055733399742432
</t>
  </si>
  <si>
    <t xml:space="preserve"> 0.24055733399742432
</t>
  </si>
  <si>
    <t>value_ratio_reit_to_total is: 0.2643247866924072</t>
  </si>
  <si>
    <t xml:space="preserve"> risk_ratio_reit_to_gold is: 0.19387908496076411</t>
  </si>
  <si>
    <t xml:space="preserve"> risk_ratio_reit_to_gold_before is: 0.1971985653117371
</t>
  </si>
  <si>
    <t xml:space="preserve"> 0.1971985653117371
</t>
  </si>
  <si>
    <t xml:space="preserve"> delta_reit is: 0.9998289429932989
</t>
  </si>
  <si>
    <t xml:space="preserve"> 0.9998289429932989
</t>
  </si>
  <si>
    <t>delta_gold_risk is: 1.0020307422710153</t>
  </si>
  <si>
    <t xml:space="preserve"> delta_tb_risk is: 0.9969666839144601</t>
  </si>
  <si>
    <t xml:space="preserve"> delta_reit_risk is: 0.9972272934105056
</t>
  </si>
  <si>
    <t xml:space="preserve"> 0.9972272934105056
</t>
  </si>
  <si>
    <t xml:space="preserve">collateral_ratio_tranche_gold is: 0.7985468613378454
</t>
  </si>
  <si>
    <t xml:space="preserve"> 0.7985468613378454
</t>
  </si>
  <si>
    <t xml:space="preserve">collateral_ratio_tranche_tb is: 0.3511256176479361
</t>
  </si>
  <si>
    <t xml:space="preserve"> 0.3511256176479361
</t>
  </si>
  <si>
    <t xml:space="preserve">collateral_ratio_tranche_reit is: 0.3499566298987593
</t>
  </si>
  <si>
    <t xml:space="preserve"> 0.3499566298987593
</t>
  </si>
  <si>
    <t>Total plot size is: 149926643.9070392</t>
  </si>
  <si>
    <t xml:space="preserve"> plot size of gold is: 80019577.18644951</t>
  </si>
  <si>
    <t xml:space="preserve"> plot size of TB is: 35007247.18160357</t>
  </si>
  <si>
    <t xml:space="preserve"> plot size of REIT is: 34899819.53898612
</t>
  </si>
  <si>
    <t xml:space="preserve"> 34899819.53898612
</t>
  </si>
  <si>
    <t xml:space="preserve">collateral ratio is: 1.4992664390703914
</t>
  </si>
  <si>
    <t xml:space="preserve"> 1.4992664390703914
</t>
  </si>
  <si>
    <t>S_gtbcps_0 is: 1.0001572951995779</t>
  </si>
  <si>
    <t xml:space="preserve">stdev_gtbcps is: 0.009704727645353942
</t>
  </si>
  <si>
    <t xml:space="preserve"> 0.009704727645353942
</t>
  </si>
  <si>
    <t>predicted price of GTBCPS is: 1.0001960974668802</t>
  </si>
  <si>
    <t xml:space="preserve"> actual price is: 1.0001572951995779
</t>
  </si>
  <si>
    <t xml:space="preserve"> 1.0001572951995779
</t>
  </si>
  <si>
    <t>predicted amount of GTBCPS is: 99980394.09797974</t>
  </si>
  <si>
    <t xml:space="preserve"> actual amount is: 99984272.95383112
</t>
  </si>
  <si>
    <t>plot sizes of gold is: 80019577.18644951</t>
  </si>
  <si>
    <t xml:space="preserve"> plot sizes of tb is: 35007247.18160357 </t>
  </si>
  <si>
    <t xml:space="preserve"> plot sizes of reit is: 34899819.53898612</t>
  </si>
  <si>
    <t xml:space="preserve"> plot sizes of total is: 149926643.9070392.
</t>
  </si>
  <si>
    <t xml:space="preserve"> 149926643.9070392.
</t>
  </si>
  <si>
    <t>predicted stdevs of gold is: 0.008465983413217667</t>
  </si>
  <si>
    <t xml:space="preserve"> predicted stdevs of tb is: 0.0015269267001197602</t>
  </si>
  <si>
    <t xml:space="preserve"> predicted stdevs of reit is: 0.02074793915419656</t>
  </si>
  <si>
    <t xml:space="preserve"> predicted stdevs of GTBCPS is: 0.009704727645353942.
</t>
  </si>
  <si>
    <t xml:space="preserve"> 0.009704727645353942.
</t>
  </si>
  <si>
    <t>total_value_of_collaterals is: 149927980.73987353</t>
  </si>
  <si>
    <t xml:space="preserve"> createdtionValue_gold is: -3104.4906911017474</t>
  </si>
  <si>
    <t xml:space="preserve"> createdValue_tb is: -1358.1526375594192</t>
  </si>
  <si>
    <t xml:space="preserve"> createdValue_reit is: -1353.9873280337529
</t>
  </si>
  <si>
    <t xml:space="preserve"> -1353.9873280337529
</t>
  </si>
  <si>
    <t>plotValue_gold_after_creation is: 80023660.72231089</t>
  </si>
  <si>
    <t xml:space="preserve"> plotValue_tb_after_creation  is: 35008752.38205203</t>
  </si>
  <si>
    <t xml:space="preserve"> plotValue_reit_after_creation  is: 34901384.26616728</t>
  </si>
  <si>
    <t xml:space="preserve">total_value_after_creation is: 149933797.3705302
</t>
  </si>
  <si>
    <t xml:space="preserve"> 149933797.3705302
</t>
  </si>
  <si>
    <t>total_amount_gtncps_before_creation is: 99984272.95383112</t>
  </si>
  <si>
    <t>creation_amount_gtbcps is: -3878.855851382017</t>
  </si>
  <si>
    <t xml:space="preserve">total_amount_gtbcps_new is: 99980394.09797974
</t>
  </si>
  <si>
    <t xml:space="preserve"> 99980394.09797974
</t>
  </si>
  <si>
    <t>payout of tranche of gold is: 979.0451702800983</t>
  </si>
  <si>
    <t xml:space="preserve"> payout of tranche of Treausry Bill Option is: 147.04781089745225</t>
  </si>
  <si>
    <t xml:space="preserve"> payout of tranche of Collar of REIT is: 210.73985313890614
</t>
  </si>
  <si>
    <t xml:space="preserve"> 210.73985313890614
</t>
  </si>
  <si>
    <t>Collateral size of tranche of gold is: 80023660.72231089</t>
  </si>
  <si>
    <t xml:space="preserve"> collateral size of tranche of Treausry Bill Option is: 35008752.38205203</t>
  </si>
  <si>
    <t xml:space="preserve"> collateral size of tranche of Collar of REIT is: 34901384.26616728
</t>
  </si>
  <si>
    <t xml:space="preserve"> 34901384.26616728
</t>
  </si>
  <si>
    <t>Collateral ratio of tranche of gold is: 0.8002055623161975</t>
  </si>
  <si>
    <t xml:space="preserve"> collateral ratio of tranche of Treausry Bill Option is: 0.35007394229414457</t>
  </si>
  <si>
    <t xml:space="preserve"> collateral ratio of tranche of Collar of REIT is: 0.3490003027883924
</t>
  </si>
  <si>
    <t xml:space="preserve"> 0.3490003027883924
</t>
  </si>
  <si>
    <t xml:space="preserve"> current price of reit option is: 5.703586049778323</t>
  </si>
  <si>
    <t xml:space="preserve"> predicted price of reit is: 38.68402986233972
</t>
  </si>
  <si>
    <t xml:space="preserve"> 38.68402986233972
</t>
  </si>
  <si>
    <t>value_ratio_gold_to_total is: 0.5454017628151216</t>
  </si>
  <si>
    <t xml:space="preserve"> risk_ratio_to_gold is: 0.6983383524807024</t>
  </si>
  <si>
    <t xml:space="preserve"> risk_ratio_to_gold_before is: 0.6989715392119209
</t>
  </si>
  <si>
    <t xml:space="preserve"> 0.6989715392119209
</t>
  </si>
  <si>
    <t>value_ratio_tb_to_total is: 0.19261112082451254</t>
  </si>
  <si>
    <t xml:space="preserve"> risk_ratio_tb_to_gold is: 0.23742245781036075</t>
  </si>
  <si>
    <t xml:space="preserve"> risk_ratio_tb_to_gold_before is: 0.23679433148117535
</t>
  </si>
  <si>
    <t xml:space="preserve"> 0.23679433148117535
</t>
  </si>
  <si>
    <t>value_ratio_reit_to_total is: 0.2619871163603658</t>
  </si>
  <si>
    <t xml:space="preserve"> risk_ratio_reit_to_gold is: 0.1945481570752561</t>
  </si>
  <si>
    <t xml:space="preserve"> risk_ratio_reit_to_gold_before is: 0.19387908496076411
</t>
  </si>
  <si>
    <t xml:space="preserve"> 0.19387908496076411
</t>
  </si>
  <si>
    <t xml:space="preserve"> delta_reit is: 1.0000785317013547
</t>
  </si>
  <si>
    <t xml:space="preserve"> 1.0000785317013547
</t>
  </si>
  <si>
    <t>delta_gold_risk is: 0.999627311749135</t>
  </si>
  <si>
    <t xml:space="preserve"> delta_tb_risk is: 1.0005078664359928</t>
  </si>
  <si>
    <t xml:space="preserve"> delta_reit_risk is: 1.000560418657903
</t>
  </si>
  <si>
    <t xml:space="preserve"> 1.000560418657903
</t>
  </si>
  <si>
    <t xml:space="preserve">collateral_ratio_tranche_gold is: 0.8005039007147655
</t>
  </si>
  <si>
    <t xml:space="preserve"> 0.8005039007147655
</t>
  </si>
  <si>
    <t xml:space="preserve">collateral_ratio_tranche_tb is: 0.3498962417368864
</t>
  </si>
  <si>
    <t xml:space="preserve"> 0.3498962417368864
</t>
  </si>
  <si>
    <t xml:space="preserve">collateral_ratio_tranche_reit is: 0.34883221829233496
</t>
  </si>
  <si>
    <t xml:space="preserve"> 0.34883221829233496
</t>
  </si>
  <si>
    <t>Total plot size is: 149936538.23561627</t>
  </si>
  <si>
    <t xml:space="preserve"> plot size of gold is: 80023660.72231089</t>
  </si>
  <si>
    <t xml:space="preserve"> plot size of TB is: 35008752.38205203</t>
  </si>
  <si>
    <t xml:space="preserve"> plot size of REIT is: 34904125.13125334
</t>
  </si>
  <si>
    <t xml:space="preserve"> 34904125.13125334
</t>
  </si>
  <si>
    <t xml:space="preserve">collateral ratio is: 1.499365382356162
</t>
  </si>
  <si>
    <t xml:space="preserve"> 1.499365382356162
</t>
  </si>
  <si>
    <t>S_gtbcps_0 is: 1.0001960974668802</t>
  </si>
  <si>
    <t>change_of_collaterals is: -2.220446049250313e-16</t>
  </si>
  <si>
    <t xml:space="preserve">stdev_gtbcps is: 0.00973043951604163
</t>
  </si>
  <si>
    <t xml:space="preserve"> 0.00973043951604163
</t>
  </si>
  <si>
    <t>predicted price of GTBCPS is: 1.0002104871665976</t>
  </si>
  <si>
    <t xml:space="preserve"> actual price is: 1.0001960974668802
</t>
  </si>
  <si>
    <t xml:space="preserve"> 1.0001960974668802
</t>
  </si>
  <si>
    <t>predicted amount of GTBCPS is: 99978955.71289264</t>
  </si>
  <si>
    <t xml:space="preserve"> actual amount is: 99980394.09797974
</t>
  </si>
  <si>
    <t>plot sizes of gold is: 80023660.72231089</t>
  </si>
  <si>
    <t xml:space="preserve"> plot sizes of tb is: 35008752.38205203 </t>
  </si>
  <si>
    <t xml:space="preserve"> plot sizes of reit is: 34904125.13125334</t>
  </si>
  <si>
    <t xml:space="preserve"> plot sizes of total is: 149936538.23561624.
</t>
  </si>
  <si>
    <t xml:space="preserve"> 149936538.23561624.
</t>
  </si>
  <si>
    <t>predicted stdevs of gold is: 0.008527498838803143</t>
  </si>
  <si>
    <t xml:space="preserve"> predicted stdevs of tb is: 0.0015382796343143138</t>
  </si>
  <si>
    <t xml:space="preserve"> predicted stdevs of reit is: 0.020705102595477382</t>
  </si>
  <si>
    <t xml:space="preserve"> predicted stdevs of GTBCPS is: 0.00973043951604163.
</t>
  </si>
  <si>
    <t xml:space="preserve"> 0.00973043951604163.
</t>
  </si>
  <si>
    <t>total_value_of_collaterals is: 149937033.64916342</t>
  </si>
  <si>
    <t xml:space="preserve"> createdtionValue_gold is: -1151.2962063172183</t>
  </si>
  <si>
    <t xml:space="preserve"> createdValue_tb is: -503.66749340584687</t>
  </si>
  <si>
    <t xml:space="preserve"> createdValue_reit is: -502.1621840948442
</t>
  </si>
  <si>
    <t xml:space="preserve"> -502.1621840948442
</t>
  </si>
  <si>
    <t>plotValue_gold_after_creation is: 80025195.93898554</t>
  </si>
  <si>
    <t xml:space="preserve"> plotValue_tb_after_creation  is: 35009313.52569315</t>
  </si>
  <si>
    <t xml:space="preserve"> plotValue_reit_after_creation  is: 34904681.31036856</t>
  </si>
  <si>
    <t xml:space="preserve">total_value_after_creation is: 149939190.77504724
</t>
  </si>
  <si>
    <t xml:space="preserve"> 149939190.77504724
</t>
  </si>
  <si>
    <t>total_amount_gtncps_before_creation is: 99980394.09797974</t>
  </si>
  <si>
    <t>creation_amount_gtbcps is: -1438.3850871026516</t>
  </si>
  <si>
    <t xml:space="preserve">total_amount_gtbcps_new is: 99978955.71289264
</t>
  </si>
  <si>
    <t xml:space="preserve"> 99978955.71289264
</t>
  </si>
  <si>
    <t>payout of tranche of gold is: 383.9204683517578</t>
  </si>
  <si>
    <t xml:space="preserve"> payout of tranche of Treausry Bill Option is: 57.476147722381484</t>
  </si>
  <si>
    <t xml:space="preserve"> payout of tranche of Collar of REIT is: 54.01693112127333
</t>
  </si>
  <si>
    <t xml:space="preserve"> 54.01693112127333
</t>
  </si>
  <si>
    <t>Collateral size of tranche of gold is: 80025195.93898554</t>
  </si>
  <si>
    <t xml:space="preserve"> collateral size of tranche of Treausry Bill Option is: 35009313.52569315</t>
  </si>
  <si>
    <t xml:space="preserve"> collateral size of tranche of Collar of REIT is: 34904681.31036856
</t>
  </si>
  <si>
    <t xml:space="preserve"> 34904681.31036856
</t>
  </si>
  <si>
    <t>Collateral ratio of tranche of gold is: 0.800240446427792</t>
  </si>
  <si>
    <t xml:space="preserve"> collateral ratio of tranche of Treausry Bill Option is: 0.35008809858199735</t>
  </si>
  <si>
    <t xml:space="preserve"> collateral ratio of tranche of Collar of REIT is: 0.34904179148184455
</t>
  </si>
  <si>
    <t xml:space="preserve"> 0.34904179148184455
</t>
  </si>
  <si>
    <t xml:space="preserve"> current price of reit option is: 5.698679867796862</t>
  </si>
  <si>
    <t xml:space="preserve"> predicted price of reit is: 38.627135075858234
</t>
  </si>
  <si>
    <t xml:space="preserve"> 38.627135075858234
</t>
  </si>
  <si>
    <t>value_ratio_gold_to_total is: 0.5468443405679737</t>
  </si>
  <si>
    <t xml:space="preserve"> risk_ratio_to_gold is: 0.6976117183230156</t>
  </si>
  <si>
    <t xml:space="preserve"> risk_ratio_to_gold_before is: 0.6983383524807024
</t>
  </si>
  <si>
    <t xml:space="preserve"> 0.6983383524807024
</t>
  </si>
  <si>
    <t>value_ratio_tb_to_total is: 0.19312057373940444</t>
  </si>
  <si>
    <t xml:space="preserve"> risk_ratio_tb_to_gold is: 0.23806129073675972</t>
  </si>
  <si>
    <t xml:space="preserve"> risk_ratio_tb_to_gold_before is: 0.23742245781036075
</t>
  </si>
  <si>
    <t xml:space="preserve"> 0.23742245781036075
</t>
  </si>
  <si>
    <t>value_ratio_reit_to_total is: 0.2600350856926218</t>
  </si>
  <si>
    <t xml:space="preserve"> risk_ratio_reit_to_gold is: 0.1954008684194736</t>
  </si>
  <si>
    <t xml:space="preserve"> risk_ratio_reit_to_gold_before is: 0.1945481570752561
</t>
  </si>
  <si>
    <t xml:space="preserve"> 0.1945481570752561
</t>
  </si>
  <si>
    <t xml:space="preserve"> delta_reit is: 0.99988837811832
</t>
  </si>
  <si>
    <t xml:space="preserve"> 0.99988837811832
</t>
  </si>
  <si>
    <t>delta_gold_risk is: 0.9995721499449002</t>
  </si>
  <si>
    <t xml:space="preserve"> delta_tb_risk is: 1.0005162609764893</t>
  </si>
  <si>
    <t xml:space="preserve"> delta_reit_risk is: 1.0007138358877932
</t>
  </si>
  <si>
    <t xml:space="preserve"> 1.0007138358877932
</t>
  </si>
  <si>
    <t xml:space="preserve">collateral_ratio_tranche_gold is: 0.800582975898142
</t>
  </si>
  <si>
    <t xml:space="preserve"> 0.800582975898142
</t>
  </si>
  <si>
    <t xml:space="preserve">collateral_ratio_tranche_tb is: 0.34990745501758913
</t>
  </si>
  <si>
    <t xml:space="preserve"> 0.34990745501758913
</t>
  </si>
  <si>
    <t xml:space="preserve">collateral_ratio_tranche_reit is: 0.348753877746352
</t>
  </si>
  <si>
    <t xml:space="preserve"> 0.348753877746352
</t>
  </si>
  <si>
    <t>Total plot size is: 149935294.64883995</t>
  </si>
  <si>
    <t xml:space="preserve"> plot size of gold is: 80025195.93898554</t>
  </si>
  <si>
    <t xml:space="preserve"> plot size of TB is: 35009313.52569315</t>
  </si>
  <si>
    <t xml:space="preserve"> plot size of REIT is: 34900785.18416125
</t>
  </si>
  <si>
    <t xml:space="preserve"> 34900785.18416125
</t>
  </si>
  <si>
    <t xml:space="preserve">collateral ratio is: 1.499352946488399
</t>
  </si>
  <si>
    <t xml:space="preserve"> 1.499352946488399
</t>
  </si>
  <si>
    <t>S_gtbcps_0 is: 1.0002104871665976</t>
  </si>
  <si>
    <t xml:space="preserve">stdev_gtbcps is: 0.009781087740608402
</t>
  </si>
  <si>
    <t xml:space="preserve"> 0.009781087740608402
</t>
  </si>
  <si>
    <t>predicted price of GTBCPS is: 1.0002180808167727</t>
  </si>
  <si>
    <t xml:space="preserve"> actual price is: 1.0002104871665976
</t>
  </si>
  <si>
    <t xml:space="preserve"> 1.0002104871665976
</t>
  </si>
  <si>
    <t>predicted amount of GTBCPS is: 99978196.67321008</t>
  </si>
  <si>
    <t xml:space="preserve"> actual amount is: 99978955.71289264
</t>
  </si>
  <si>
    <t>plot sizes of gold is: 80025195.93898554</t>
  </si>
  <si>
    <t xml:space="preserve"> plot sizes of tb is: 35009313.52569315 </t>
  </si>
  <si>
    <t xml:space="preserve"> plot sizes of reit is: 34900785.18416125</t>
  </si>
  <si>
    <t xml:space="preserve"> plot sizes of total is: 149935294.64883995.
</t>
  </si>
  <si>
    <t xml:space="preserve"> 149935294.64883995.
</t>
  </si>
  <si>
    <t>predicted stdevs of gold is: 0.008591441235309956</t>
  </si>
  <si>
    <t xml:space="preserve"> predicted stdevs of tb is: 0.0015495605259550655</t>
  </si>
  <si>
    <t xml:space="preserve"> predicted stdevs of reit is: 0.02076599279975587</t>
  </si>
  <si>
    <t xml:space="preserve"> predicted stdevs of GTBCPS is: 0.009781087740608402.
</t>
  </si>
  <si>
    <t xml:space="preserve"> 0.009781087740608402.
</t>
  </si>
  <si>
    <t>total_value_of_collaterals is: 149935556.08091146</t>
  </si>
  <si>
    <t xml:space="preserve"> createdtionValue_gold is: -607.5569154136533</t>
  </si>
  <si>
    <t xml:space="preserve"> createdValue_tb is: -265.79275167622865</t>
  </si>
  <si>
    <t xml:space="preserve"> createdValue_reit is: -264.96889313516795
</t>
  </si>
  <si>
    <t xml:space="preserve"> -264.96889313516795
</t>
  </si>
  <si>
    <t>plotValue_gold_after_creation is: 80025995.12974012</t>
  </si>
  <si>
    <t xml:space="preserve"> plotValue_tb_after_creation  is: 35009608.00796787</t>
  </si>
  <si>
    <t xml:space="preserve"> plotValue_reit_after_creation  is: 34901091.261763714</t>
  </si>
  <si>
    <t xml:space="preserve">total_value_after_creation is: 149936694.3994717
</t>
  </si>
  <si>
    <t xml:space="preserve"> 149936694.3994717
</t>
  </si>
  <si>
    <t>total_amount_gtncps_before_creation is: 99978955.71289264</t>
  </si>
  <si>
    <t>creation_amount_gtbcps is: -759.0396825522184</t>
  </si>
  <si>
    <t xml:space="preserve">total_amount_gtbcps_new is: 99978196.67321008
</t>
  </si>
  <si>
    <t xml:space="preserve"> 99978196.67321008
</t>
  </si>
  <si>
    <t>payout of tranche of gold is: 191.63383915891512</t>
  </si>
  <si>
    <t xml:space="preserve"> payout of tranche of Treausry Bill Option is: 28.68952303844071</t>
  </si>
  <si>
    <t xml:space="preserve"> payout of tranche of Collar of REIT is: 41.10870933134536
</t>
  </si>
  <si>
    <t xml:space="preserve"> 41.10870933134536
</t>
  </si>
  <si>
    <t>Collateral size of tranche of gold is: 80025995.12974012</t>
  </si>
  <si>
    <t xml:space="preserve"> collateral size of tranche of Treausry Bill Option is: 35009608.00796787</t>
  </si>
  <si>
    <t xml:space="preserve"> collateral size of tranche of Collar of REIT is: 34901091.261763714
</t>
  </si>
  <si>
    <t xml:space="preserve"> 34901091.261763714
</t>
  </si>
  <si>
    <t>Collateral ratio of tranche of gold is: 0.8002538757282468</t>
  </si>
  <si>
    <t xml:space="preserve"> collateral ratio of tranche of Treausry Bill Option is: 0.35009342215216177</t>
  </si>
  <si>
    <t xml:space="preserve"> collateral ratio of tranche of Collar of REIT is: 0.3490082629287057
</t>
  </si>
  <si>
    <t xml:space="preserve"> 0.3490082629287057
</t>
  </si>
  <si>
    <t xml:space="preserve"> current price of reit option is: 5.685656626894968</t>
  </si>
  <si>
    <t xml:space="preserve"> predicted price of reit is: 38.71915004524262
</t>
  </si>
  <si>
    <t xml:space="preserve"> 38.71915004524262
</t>
  </si>
  <si>
    <t>value_ratio_gold_to_total is: 0.5450018426749663</t>
  </si>
  <si>
    <t xml:space="preserve"> risk_ratio_to_gold is: 0.6995580116492521</t>
  </si>
  <si>
    <t xml:space="preserve"> risk_ratio_to_gold_before is: 0.6976117183230156
</t>
  </si>
  <si>
    <t xml:space="preserve"> 0.6976117183230156
</t>
  </si>
  <si>
    <t>value_ratio_tb_to_total is: 0.1924698872024611</t>
  </si>
  <si>
    <t xml:space="preserve"> risk_ratio_tb_to_gold is: 0.23585427257638053</t>
  </si>
  <si>
    <t xml:space="preserve"> risk_ratio_tb_to_gold_before is: 0.23806129073675972
</t>
  </si>
  <si>
    <t xml:space="preserve"> 0.23806129073675972
</t>
  </si>
  <si>
    <t>value_ratio_reit_to_total is: 0.2625282701225725</t>
  </si>
  <si>
    <t xml:space="preserve"> risk_ratio_reit_to_gold is: 0.19361974294155596</t>
  </si>
  <si>
    <t xml:space="preserve"> risk_ratio_reit_to_gold_before is: 0.1954008684194736
</t>
  </si>
  <si>
    <t xml:space="preserve"> 0.1954008684194736
</t>
  </si>
  <si>
    <t xml:space="preserve"> delta_reit is: 0.999703671624698
</t>
  </si>
  <si>
    <t xml:space="preserve"> 0.999703671624698
</t>
  </si>
  <si>
    <t>delta_gold_risk is: 1.0011464890971413</t>
  </si>
  <si>
    <t xml:space="preserve"> delta_tb_risk is: 0.9982173595306694</t>
  </si>
  <si>
    <t xml:space="preserve"> delta_reit_risk is: 0.9985100182499678
</t>
  </si>
  <si>
    <t xml:space="preserve"> 0.9985100182499678
</t>
  </si>
  <si>
    <t xml:space="preserve">collateral_ratio_tranche_gold is: 0.799337444063691
</t>
  </si>
  <si>
    <t xml:space="preserve"> 0.799337444063691
</t>
  </si>
  <si>
    <t xml:space="preserve">collateral_ratio_tranche_tb is: 0.35071862737066084
</t>
  </si>
  <si>
    <t xml:space="preserve"> 0.35071862737066084
</t>
  </si>
  <si>
    <t xml:space="preserve">collateral_ratio_tranche_reit is: 0.3494254794645836
</t>
  </si>
  <si>
    <t xml:space="preserve"> 0.3494254794645836
</t>
  </si>
  <si>
    <t>Total plot size is: 149926352.21580184</t>
  </si>
  <si>
    <t xml:space="preserve"> plot size of gold is: 80025995.12974012</t>
  </si>
  <si>
    <t xml:space="preserve"> plot size of TB is: 35009608.00796787</t>
  </si>
  <si>
    <t xml:space="preserve"> plot size of REIT is: 34890749.07809385
</t>
  </si>
  <si>
    <t xml:space="preserve"> 34890749.07809385
</t>
  </si>
  <si>
    <t xml:space="preserve">collateral ratio is: 1.499263522158018
</t>
  </si>
  <si>
    <t xml:space="preserve"> 1.499263522158018
</t>
  </si>
  <si>
    <t>S_gtbcps_0 is: 1.0002180808167727</t>
  </si>
  <si>
    <t xml:space="preserve">stdev_gtbcps is: 0.009822468863368303
</t>
  </si>
  <si>
    <t xml:space="preserve"> 0.009822468863368303
</t>
  </si>
  <si>
    <t>predicted price of GTBCPS is: 1.0001797825230159</t>
  </si>
  <si>
    <t xml:space="preserve"> actual price is: 1.0002180808167727
</t>
  </si>
  <si>
    <t xml:space="preserve"> 1.0002180808167727
</t>
  </si>
  <si>
    <t>predicted amount of GTBCPS is: 99982024.97929302</t>
  </si>
  <si>
    <t xml:space="preserve"> actual amount is: 99978196.67321008
</t>
  </si>
  <si>
    <t>plot sizes of gold is: 80025995.12974012</t>
  </si>
  <si>
    <t xml:space="preserve"> plot sizes of tb is: 35009608.00796787 </t>
  </si>
  <si>
    <t xml:space="preserve"> plot sizes of reit is: 34890749.07809385</t>
  </si>
  <si>
    <t xml:space="preserve"> plot sizes of total is: 149926352.21580184.
</t>
  </si>
  <si>
    <t xml:space="preserve"> 149926352.21580184.
</t>
  </si>
  <si>
    <t>predicted stdevs of gold is: 0.008602532446293382</t>
  </si>
  <si>
    <t xml:space="preserve"> predicted stdevs of tb is: 0.0015436091848726303</t>
  </si>
  <si>
    <t xml:space="preserve"> predicted stdevs of reit is: 0.020927597532325575</t>
  </si>
  <si>
    <t xml:space="preserve"> predicted stdevs of GTBCPS is: 0.009822468863368303.
</t>
  </si>
  <si>
    <t xml:space="preserve"> 0.009822468863368303.
</t>
  </si>
  <si>
    <t>total_value_of_collaterals is: 149925033.03519616</t>
  </si>
  <si>
    <t xml:space="preserve"> createdtionValue_gold is: 3064.151698475375</t>
  </si>
  <si>
    <t xml:space="preserve"> createdValue_tb is: 1340.5100403516844</t>
  </si>
  <si>
    <t xml:space="preserve"> createdValue_reit is: 1335.9592985205486
</t>
  </si>
  <si>
    <t xml:space="preserve"> 1335.9592985205486
</t>
  </si>
  <si>
    <t>plotValue_gold_after_creation is: 80021909.04023175</t>
  </si>
  <si>
    <t xml:space="preserve"> plotValue_tb_after_creation  is: 35008114.177217185</t>
  </si>
  <si>
    <t xml:space="preserve"> plotValue_reit_after_creation  is: 34889269.19670988</t>
  </si>
  <si>
    <t xml:space="preserve">total_value_after_creation is: 149919292.41415882
</t>
  </si>
  <si>
    <t xml:space="preserve"> 149919292.41415882
</t>
  </si>
  <si>
    <t>total_amount_gtncps_before_creation is: 99978196.67321008</t>
  </si>
  <si>
    <t>creation_amount_gtbcps is: 3828.306082934141</t>
  </si>
  <si>
    <t xml:space="preserve">total_amount_gtbcps_new is: 99982024.97929302
</t>
  </si>
  <si>
    <t xml:space="preserve"> 99982024.97929302
</t>
  </si>
  <si>
    <t>payout of tranche of gold is: -1021.9378099038281</t>
  </si>
  <si>
    <t xml:space="preserve"> payout of tranche of Treausry Bill Option is: -153.32071033041396</t>
  </si>
  <si>
    <t xml:space="preserve"> payout of tranche of Collar of REIT is: -143.92208544763778
</t>
  </si>
  <si>
    <t xml:space="preserve"> -143.92208544763778
</t>
  </si>
  <si>
    <t>Collateral size of tranche of gold is: 80021909.04023175</t>
  </si>
  <si>
    <t xml:space="preserve"> collateral size of tranche of Treausry Bill Option is: 35008114.177217185</t>
  </si>
  <si>
    <t xml:space="preserve"> collateral size of tranche of Collar of REIT is: 34889269.19670988
</t>
  </si>
  <si>
    <t xml:space="preserve"> 34889269.19670988
</t>
  </si>
  <si>
    <t>Collateral ratio of tranche of gold is: 0.8002497319193019</t>
  </si>
  <si>
    <t xml:space="preserve"> collateral ratio of tranche of Treausry Bill Option is: 0.35009454687257524</t>
  </si>
  <si>
    <t xml:space="preserve"> collateral ratio of tranche of Collar of REIT is: 0.3489060515600839
</t>
  </si>
  <si>
    <t xml:space="preserve"> 0.3489060515600839
</t>
  </si>
  <si>
    <t xml:space="preserve"> current price of reit option is: 5.672768838784542</t>
  </si>
  <si>
    <t xml:space="preserve"> predicted price of reit is: 38.76205523491393
</t>
  </si>
  <si>
    <t xml:space="preserve"> 38.76205523491393
</t>
  </si>
  <si>
    <t>value_ratio_gold_to_total is: 0.5443049321463791</t>
  </si>
  <si>
    <t xml:space="preserve"> risk_ratio_to_gold is: 0.7012727621750978</t>
  </si>
  <si>
    <t xml:space="preserve"> risk_ratio_to_gold_before is: 0.6995580116492521
</t>
  </si>
  <si>
    <t xml:space="preserve"> 0.6995580116492521
</t>
  </si>
  <si>
    <t>value_ratio_tb_to_total is: 0.19222377006977578</t>
  </si>
  <si>
    <t xml:space="preserve"> risk_ratio_tb_to_gold is: 0.2338273600998041</t>
  </si>
  <si>
    <t xml:space="preserve"> risk_ratio_tb_to_gold_before is: 0.23585427257638053
</t>
  </si>
  <si>
    <t xml:space="preserve"> 0.23585427257638053
</t>
  </si>
  <si>
    <t>value_ratio_reit_to_total is: 0.2634712977838451</t>
  </si>
  <si>
    <t xml:space="preserve"> risk_ratio_reit_to_gold is: 0.19215130888251453</t>
  </si>
  <si>
    <t xml:space="preserve"> risk_ratio_reit_to_gold_before is: 0.19361974294155596
</t>
  </si>
  <si>
    <t xml:space="preserve"> 0.19361974294155596
</t>
  </si>
  <si>
    <t xml:space="preserve"> delta_reit is: 0.9997066667690921
</t>
  </si>
  <si>
    <t xml:space="preserve"> 0.9997066667690921
</t>
  </si>
  <si>
    <t>delta_gold_risk is: 1.0010089390971608</t>
  </si>
  <si>
    <t xml:space="preserve"> delta_tb_risk is: 0.9983599098036445</t>
  </si>
  <si>
    <t xml:space="preserve"> delta_reit_risk is: 0.9987697639321694
</t>
  </si>
  <si>
    <t xml:space="preserve"> 0.9987697639321694
</t>
  </si>
  <si>
    <t xml:space="preserve">collateral_ratio_tranche_gold is: 0.7994431424768998
</t>
  </si>
  <si>
    <t xml:space="preserve"> 0.7994431424768998
</t>
  </si>
  <si>
    <t xml:space="preserve">collateral_ratio_tranche_tb is: 0.3506696767716075
</t>
  </si>
  <si>
    <t xml:space="preserve"> 0.3506696767716075
</t>
  </si>
  <si>
    <t xml:space="preserve">collateral_ratio_tranche_reit is: 0.34923334527814676
</t>
  </si>
  <si>
    <t xml:space="preserve"> 0.34923334527814676
</t>
  </si>
  <si>
    <t>Total plot size is: 149909058.23210132</t>
  </si>
  <si>
    <t xml:space="preserve"> plot size of gold is: 80021909.04023175</t>
  </si>
  <si>
    <t xml:space="preserve"> plot size of TB is: 35008114.177217185</t>
  </si>
  <si>
    <t xml:space="preserve"> plot size of REIT is: 34879035.014652394
</t>
  </si>
  <si>
    <t xml:space="preserve"> 34879035.014652394
</t>
  </si>
  <si>
    <t xml:space="preserve">collateral ratio is: 1.4990905823210128
</t>
  </si>
  <si>
    <t xml:space="preserve"> 1.4990905823210128
</t>
  </si>
  <si>
    <t>S_gtbcps_0 is: 1.0001797825230159</t>
  </si>
  <si>
    <t xml:space="preserve">stdev_gtbcps is: 0.009879635260055183
</t>
  </si>
  <si>
    <t xml:space="preserve"> 0.009879635260055183
</t>
  </si>
  <si>
    <t>predicted price of GTBCPS is: 1.0001789742425837</t>
  </si>
  <si>
    <t xml:space="preserve"> actual price is: 1.0001797825230159
</t>
  </si>
  <si>
    <t xml:space="preserve"> 1.0001797825230159
</t>
  </si>
  <si>
    <t>predicted amount of GTBCPS is: 99982105.77834642</t>
  </si>
  <si>
    <t xml:space="preserve"> actual amount is: 99982024.97929302
</t>
  </si>
  <si>
    <t>plot sizes of gold is: 80021909.04023175</t>
  </si>
  <si>
    <t xml:space="preserve"> plot sizes of tb is: 35008114.177217185 </t>
  </si>
  <si>
    <t xml:space="preserve"> plot sizes of reit is: 34879035.014652394</t>
  </si>
  <si>
    <t xml:space="preserve"> plot sizes of total is: 149909058.23210132.
</t>
  </si>
  <si>
    <t xml:space="preserve"> 149909058.23210132.
</t>
  </si>
  <si>
    <t>predicted stdevs of gold is: 0.008641573446620109</t>
  </si>
  <si>
    <t xml:space="preserve"> predicted stdevs of tb is: 0.0015430848520904524</t>
  </si>
  <si>
    <t xml:space="preserve"> predicted stdevs of reit is: 0.02108748485173166</t>
  </si>
  <si>
    <t xml:space="preserve"> predicted stdevs of GTBCPS is: 0.009879635260055183.
</t>
  </si>
  <si>
    <t xml:space="preserve"> 0.009879635260055183.
</t>
  </si>
  <si>
    <t>total_value_of_collaterals is: 149909030.3917</t>
  </si>
  <si>
    <t xml:space="preserve"> createdtionValue_gold is: 64.66849951460024</t>
  </si>
  <si>
    <t xml:space="preserve"> createdValue_tb is: 28.291284759341817</t>
  </si>
  <si>
    <t xml:space="preserve"> createdValue_reit is: 28.18697151380835
</t>
  </si>
  <si>
    <t xml:space="preserve"> 28.18697151380835
</t>
  </si>
  <si>
    <t>plotValue_gold_after_creation is: 80021822.80246551</t>
  </si>
  <si>
    <t xml:space="preserve"> plotValue_tb_after_creation  is: 35008082.650116496</t>
  </si>
  <si>
    <t xml:space="preserve"> plotValue_reit_after_creation  is: 34879003.7923622</t>
  </si>
  <si>
    <t xml:space="preserve">total_value_after_creation is: 149908909.2449442
</t>
  </si>
  <si>
    <t xml:space="preserve"> 149908909.2449442
</t>
  </si>
  <si>
    <t>total_amount_gtncps_before_creation is: 99982024.97929302</t>
  </si>
  <si>
    <t>creation_amount_gtbcps is: 80.79905340075493</t>
  </si>
  <si>
    <t xml:space="preserve">total_amount_gtbcps_new is: 99982105.77834642
</t>
  </si>
  <si>
    <t xml:space="preserve"> 99982105.77834642
</t>
  </si>
  <si>
    <t>payout of tranche of gold is: -21.569266718842496</t>
  </si>
  <si>
    <t xml:space="preserve"> payout of tranche of Treausry Bill Option is: -3.2358159268204</t>
  </si>
  <si>
    <t xml:space="preserve"> payout of tranche of Collar of REIT is: -3.035318680674308
</t>
  </si>
  <si>
    <t xml:space="preserve"> -3.035318680674308
</t>
  </si>
  <si>
    <t>Collateral size of tranche of gold is: 80021822.80246551</t>
  </si>
  <si>
    <t xml:space="preserve"> collateral size of tranche of Treausry Bill Option is: 35008082.650116496</t>
  </si>
  <si>
    <t xml:space="preserve"> collateral size of tranche of Collar of REIT is: 34879003.7923622
</t>
  </si>
  <si>
    <t xml:space="preserve"> 34879003.7923622
</t>
  </si>
  <si>
    <t>Collateral ratio of tranche of gold is: 0.80021887470965</t>
  </si>
  <si>
    <t xml:space="preserve"> collateral ratio of tranche of Treausry Bill Option is: 0.3500811094140125</t>
  </si>
  <si>
    <t xml:space="preserve"> collateral ratio of tranche of Collar of REIT is: 0.348790319793337
</t>
  </si>
  <si>
    <t xml:space="preserve"> 0.348790319793337
</t>
  </si>
  <si>
    <t xml:space="preserve"> current price of reit option is: 5.6599457489672105</t>
  </si>
  <si>
    <t xml:space="preserve"> predicted price of reit is: 38.49916650809011
</t>
  </si>
  <si>
    <t xml:space="preserve"> 38.49916650809011
</t>
  </si>
  <si>
    <t>value_ratio_gold_to_total is: 0.5507738954560536</t>
  </si>
  <si>
    <t xml:space="preserve"> risk_ratio_to_gold is: 0.7013008428807166</t>
  </si>
  <si>
    <t xml:space="preserve"> risk_ratio_to_gold_before is: 0.7012727621750978
</t>
  </si>
  <si>
    <t xml:space="preserve"> 0.7012727621750978
</t>
  </si>
  <si>
    <t>value_ratio_tb_to_total is: 0.19450831397593732</t>
  </si>
  <si>
    <t xml:space="preserve"> risk_ratio_tb_to_gold is: 0.23301249967510523</t>
  </si>
  <si>
    <t xml:space="preserve"> risk_ratio_tb_to_gold_before is: 0.2338273600998041
</t>
  </si>
  <si>
    <t xml:space="preserve"> 0.2338273600998041
</t>
  </si>
  <si>
    <t>value_ratio_reit_to_total is: 0.2547177905680091</t>
  </si>
  <si>
    <t xml:space="preserve"> risk_ratio_reit_to_gold is: 0.19290907186090506</t>
  </si>
  <si>
    <t xml:space="preserve"> risk_ratio_reit_to_gold_before is: 0.19215130888251453
</t>
  </si>
  <si>
    <t xml:space="preserve"> 0.19215130888251453
</t>
  </si>
  <si>
    <t xml:space="preserve"> delta_reit is: 0.9997080537007037
</t>
  </si>
  <si>
    <t xml:space="preserve"> 0.9997080537007037
</t>
  </si>
  <si>
    <t>delta_gold_risk is: 1.0000165057045778</t>
  </si>
  <si>
    <t xml:space="preserve"> delta_tb_risk is: 0.9993395669029151</t>
  </si>
  <si>
    <t xml:space="preserve"> delta_reit_risk is: 1.000635626512125
</t>
  </si>
  <si>
    <t xml:space="preserve"> 1.000635626512125
</t>
  </si>
  <si>
    <t xml:space="preserve">collateral_ratio_tranche_gold is: 0.8002056667513131
</t>
  </si>
  <si>
    <t xml:space="preserve"> 0.8002056667513131
</t>
  </si>
  <si>
    <t xml:space="preserve">collateral_ratio_tranche_tb is: 0.3503124673617796
</t>
  </si>
  <si>
    <t xml:space="preserve"> 0.3503124673617796
</t>
  </si>
  <si>
    <t xml:space="preserve">collateral_ratio_tranche_reit is: 0.34846699688842014
</t>
  </si>
  <si>
    <t xml:space="preserve"> 0.34846699688842014
</t>
  </si>
  <si>
    <t>Total plot size is: 149898726.4488639</t>
  </si>
  <si>
    <t xml:space="preserve"> plot size of gold is: 80021822.80246551</t>
  </si>
  <si>
    <t xml:space="preserve"> plot size of TB is: 35008082.650116496</t>
  </si>
  <si>
    <t xml:space="preserve"> plot size of REIT is: 34868820.99628188
</t>
  </si>
  <si>
    <t xml:space="preserve"> 34868820.99628188
</t>
  </si>
  <si>
    <t xml:space="preserve">collateral ratio is: 1.4989872644886384
</t>
  </si>
  <si>
    <t xml:space="preserve"> 1.4989872644886384
</t>
  </si>
  <si>
    <t>S_gtbcps_0 is: 1.0001789742425837</t>
  </si>
  <si>
    <t xml:space="preserve">stdev_gtbcps is: 0.009953792385661353
</t>
  </si>
  <si>
    <t xml:space="preserve"> 0.009953792385661353
</t>
  </si>
  <si>
    <t>predicted price of GTBCPS is: 1.0001697822526148</t>
  </si>
  <si>
    <t xml:space="preserve"> actual price is: 1.0001789742425837
</t>
  </si>
  <si>
    <t xml:space="preserve"> 1.0001789742425837
</t>
  </si>
  <si>
    <t>predicted amount of GTBCPS is: 99983024.65685053</t>
  </si>
  <si>
    <t xml:space="preserve"> actual amount is: 99982105.77834642
</t>
  </si>
  <si>
    <t>plot sizes of gold is: 80021822.80246551</t>
  </si>
  <si>
    <t xml:space="preserve"> plot sizes of tb is: 35008082.650116496 </t>
  </si>
  <si>
    <t xml:space="preserve"> plot sizes of reit is: 34868820.99628188</t>
  </si>
  <si>
    <t xml:space="preserve"> plot sizes of total is: 149898726.44886386.
</t>
  </si>
  <si>
    <t xml:space="preserve"> 149898726.44886386.
</t>
  </si>
  <si>
    <t>predicted stdevs of gold is: 0.00871140164357068</t>
  </si>
  <si>
    <t xml:space="preserve"> predicted stdevs of tb is: 0.0015458428070262032</t>
  </si>
  <si>
    <t xml:space="preserve"> predicted stdevs of reit is: 0.02124653341707915</t>
  </si>
  <si>
    <t xml:space="preserve"> predicted stdevs of GTBCPS is: 0.009953792385661353.
</t>
  </si>
  <si>
    <t xml:space="preserve"> 0.009953792385661353.
</t>
  </si>
  <si>
    <t>total_value_of_collaterals is: 149898409.92216384</t>
  </si>
  <si>
    <t xml:space="preserve"> createdtionValue_gold is: 735.4259152971063</t>
  </si>
  <si>
    <t xml:space="preserve"> createdValue_tb is: 321.73602407885704</t>
  </si>
  <si>
    <t xml:space="preserve"> createdValue_reit is: 320.45618280856354
</t>
  </si>
  <si>
    <t xml:space="preserve"> 320.45618280856354
</t>
  </si>
  <si>
    <t>plotValue_gold_after_creation is: 80020842.06595081</t>
  </si>
  <si>
    <t xml:space="preserve"> plotValue_tb_after_creation  is: 35007724.14219337</t>
  </si>
  <si>
    <t xml:space="preserve"> plotValue_reit_after_creation  is: 34868466.09589748</t>
  </si>
  <si>
    <t xml:space="preserve">total_value_after_creation is: 149897032.30404168
</t>
  </si>
  <si>
    <t xml:space="preserve"> 149897032.30404168
</t>
  </si>
  <si>
    <t>total_amount_gtncps_before_creation is: 99982105.77834642</t>
  </si>
  <si>
    <t>creation_amount_gtbcps is: 918.8785041123629</t>
  </si>
  <si>
    <t xml:space="preserve">total_amount_gtbcps_new is: 99983024.65685053
</t>
  </si>
  <si>
    <t xml:space="preserve"> 99983024.65685053
</t>
  </si>
  <si>
    <t>payout of tranche of gold is: -245.3105994033138</t>
  </si>
  <si>
    <t xml:space="preserve"> payout of tranche of Treausry Bill Option is: -36.77189904125649</t>
  </si>
  <si>
    <t xml:space="preserve"> payout of tranche of Collar of REIT is: -34.444201591276034
</t>
  </si>
  <si>
    <t xml:space="preserve"> -34.444201591276034
</t>
  </si>
  <si>
    <t>Collateral size of tranche of gold is: 80020842.06595081</t>
  </si>
  <si>
    <t xml:space="preserve"> collateral size of tranche of Treausry Bill Option is: 35007724.14219337</t>
  </si>
  <si>
    <t xml:space="preserve"> collateral size of tranche of Collar of REIT is: 34868466.09589748
</t>
  </si>
  <si>
    <t xml:space="preserve"> 34868466.09589748
</t>
  </si>
  <si>
    <t>Collateral ratio of tranche of gold is: 0.800215774918661</t>
  </si>
  <si>
    <t xml:space="preserve"> collateral ratio of tranche of Treausry Bill Option is: 0.3500804587821745</t>
  </si>
  <si>
    <t xml:space="preserve"> collateral ratio of tranche of Collar of REIT is: 0.34868786552080283
</t>
  </si>
  <si>
    <t xml:space="preserve"> 0.34868786552080283
</t>
  </si>
  <si>
    <t xml:space="preserve"> current price of reit option is: 5.659649153188475</t>
  </si>
  <si>
    <t xml:space="preserve"> predicted price of reit is: 38.73055208687492
</t>
  </si>
  <si>
    <t xml:space="preserve"> 38.73055208687492
</t>
  </si>
  <si>
    <t>value_ratio_gold_to_total is: 0.5453415811110006</t>
  </si>
  <si>
    <t xml:space="preserve"> risk_ratio_to_gold is: 0.7014792085984662</t>
  </si>
  <si>
    <t xml:space="preserve"> risk_ratio_to_gold_before is: 0.7013008428807166
</t>
  </si>
  <si>
    <t xml:space="preserve"> 0.7013008428807166
</t>
  </si>
  <si>
    <t>value_ratio_tb_to_total is: 0.19258986738113523</t>
  </si>
  <si>
    <t xml:space="preserve"> risk_ratio_tb_to_gold is: 0.23334308352260466</t>
  </si>
  <si>
    <t xml:space="preserve"> risk_ratio_tb_to_gold_before is: 0.23301249967510523
</t>
  </si>
  <si>
    <t xml:space="preserve"> 0.23301249967510523
</t>
  </si>
  <si>
    <t>value_ratio_reit_to_total is: 0.2620685515078641</t>
  </si>
  <si>
    <t xml:space="preserve"> risk_ratio_reit_to_gold is: 0.1922159177170314</t>
  </si>
  <si>
    <t xml:space="preserve"> risk_ratio_reit_to_gold_before is: 0.19290907186090506
</t>
  </si>
  <si>
    <t xml:space="preserve"> 0.19290907186090506
</t>
  </si>
  <si>
    <t xml:space="preserve"> delta_reit is: 0.999993245362214
</t>
  </si>
  <si>
    <t xml:space="preserve"> 0.999993245362214
</t>
  </si>
  <si>
    <t>delta_gold_risk is: 1.0001048407860937</t>
  </si>
  <si>
    <t xml:space="preserve"> delta_tb_risk is: 1.0002681107025164</t>
  </si>
  <si>
    <t xml:space="preserve"> delta_reit_risk is: 0.9994189379893034
</t>
  </si>
  <si>
    <t xml:space="preserve"> 0.9994189379893034
</t>
  </si>
  <si>
    <t xml:space="preserve">collateral_ratio_tranche_gold is: 0.8001318884624959
</t>
  </si>
  <si>
    <t xml:space="preserve"> 0.8001318884624959
</t>
  </si>
  <si>
    <t xml:space="preserve">collateral_ratio_tranche_tb is: 0.34998662362264366
</t>
  </si>
  <si>
    <t xml:space="preserve"> 0.34998662362264366
</t>
  </si>
  <si>
    <t xml:space="preserve">collateral_ratio_tranche_reit is: 0.3488882359604664
</t>
  </si>
  <si>
    <t xml:space="preserve"> 0.3488882359604664
</t>
  </si>
  <si>
    <t>Total plot size is: 149896796.78018305</t>
  </si>
  <si>
    <t xml:space="preserve"> plot size of gold is: 80020842.06595081</t>
  </si>
  <si>
    <t xml:space="preserve"> plot size of TB is: 35007724.14219337</t>
  </si>
  <si>
    <t xml:space="preserve"> plot size of REIT is: 34868230.57203885
</t>
  </si>
  <si>
    <t xml:space="preserve"> 34868230.57203885
</t>
  </si>
  <si>
    <t xml:space="preserve">collateral ratio is: 1.4989679678018302
</t>
  </si>
  <si>
    <t xml:space="preserve"> 1.4989679678018302
</t>
  </si>
  <si>
    <t>S_gtbcps_0 is: 1.0001697822526148</t>
  </si>
  <si>
    <t xml:space="preserve">stdev_gtbcps is: 0.009995502049179684
</t>
  </si>
  <si>
    <t xml:space="preserve"> 0.009995502049179684
</t>
  </si>
  <si>
    <t>predicted price of GTBCPS is: 1.0001588663807761</t>
  </si>
  <si>
    <t xml:space="preserve"> actual price is: 1.0001697822526148
</t>
  </si>
  <si>
    <t xml:space="preserve"> 1.0001697822526148
</t>
  </si>
  <si>
    <t>predicted amount of GTBCPS is: 99984115.8853742</t>
  </si>
  <si>
    <t xml:space="preserve"> actual amount is: 99983024.65685053
</t>
  </si>
  <si>
    <t>plot sizes of gold is: 80020842.06595081</t>
  </si>
  <si>
    <t xml:space="preserve"> plot sizes of tb is: 35007724.14219337 </t>
  </si>
  <si>
    <t xml:space="preserve"> plot sizes of reit is: 34868230.57203885</t>
  </si>
  <si>
    <t xml:space="preserve"> plot sizes of total is: 149896796.78018305.
</t>
  </si>
  <si>
    <t xml:space="preserve"> 149896796.78018305.
</t>
  </si>
  <si>
    <t>predicted stdevs of gold is: 0.008783329919532953</t>
  </si>
  <si>
    <t xml:space="preserve"> predicted stdevs of tb is: 0.0015564279368710191</t>
  </si>
  <si>
    <t xml:space="preserve"> predicted stdevs of reit is: 0.021250211756104996</t>
  </si>
  <si>
    <t xml:space="preserve"> predicted stdevs of GTBCPS is: 0.009995502049179684.
</t>
  </si>
  <si>
    <t xml:space="preserve"> 0.009995502049179684.
</t>
  </si>
  <si>
    <t>total_value_of_collaterals is: 149896420.87746498</t>
  </si>
  <si>
    <t xml:space="preserve"> createdtionValue_gold is: 873.3457977872272</t>
  </si>
  <si>
    <t xml:space="preserve"> createdValue_tb is: 382.07448440123403</t>
  </si>
  <si>
    <t xml:space="preserve"> createdValue_reit is: 380.5520781142651
</t>
  </si>
  <si>
    <t xml:space="preserve"> 380.5520781142651
</t>
  </si>
  <si>
    <t>plotValue_gold_after_creation is: 80019677.40021561</t>
  </si>
  <si>
    <t xml:space="preserve"> plotValue_tb_after_creation  is: 35007298.440209664</t>
  </si>
  <si>
    <t xml:space="preserve"> plotValue_reit_after_creation  is: 34867809.06467941</t>
  </si>
  <si>
    <t xml:space="preserve">total_value_after_creation is: 149894784.9051047
</t>
  </si>
  <si>
    <t xml:space="preserve"> 149894784.9051047
</t>
  </si>
  <si>
    <t>total_amount_gtncps_before_creation is: 99983024.65685053</t>
  </si>
  <si>
    <t>creation_amount_gtbcps is: 1091.228523671627</t>
  </si>
  <si>
    <t xml:space="preserve">total_amount_gtbcps_new is: 99984115.8853742
</t>
  </si>
  <si>
    <t xml:space="preserve"> 99984115.8853742
</t>
  </si>
  <si>
    <t>payout of tranche of gold is: -291.31993740620607</t>
  </si>
  <si>
    <t xml:space="preserve"> payout of tranche of Treausry Bill Option is: -43.627499302584326</t>
  </si>
  <si>
    <t xml:space="preserve"> payout of tranche of Collar of REIT is: -40.95528133197737
</t>
  </si>
  <si>
    <t xml:space="preserve"> -40.95528133197737
</t>
  </si>
  <si>
    <t>Collateral size of tranche of gold is: 80019677.40021561</t>
  </si>
  <si>
    <t xml:space="preserve"> collateral size of tranche of Treausry Bill Option is: 35007298.440209664</t>
  </si>
  <si>
    <t xml:space="preserve"> collateral size of tranche of Collar of REIT is: 34867809.06467941
</t>
  </si>
  <si>
    <t xml:space="preserve"> 34867809.06467941
</t>
  </si>
  <si>
    <t>Collateral ratio of tranche of gold is: 0.8002055074601339</t>
  </si>
  <si>
    <t xml:space="preserve"> collateral ratio of tranche of Treausry Bill Option is: 0.3500768051469406</t>
  </si>
  <si>
    <t xml:space="preserve"> collateral ratio of tranche of Collar of REIT is: 0.34868189616757517
</t>
  </si>
  <si>
    <t xml:space="preserve"> 0.34868189616757517
</t>
  </si>
  <si>
    <t xml:space="preserve"> current price of reit option is: 5.646048812252111</t>
  </si>
  <si>
    <t xml:space="preserve"> predicted price of reit is: 38.62954522905423
</t>
  </si>
  <si>
    <t xml:space="preserve"> 38.62954522905423
</t>
  </si>
  <si>
    <t>value_ratio_gold_to_total is: 0.5480222451506634</t>
  </si>
  <si>
    <t xml:space="preserve"> risk_ratio_to_gold is: 0.701760813100482</t>
  </si>
  <si>
    <t xml:space="preserve"> risk_ratio_to_gold_before is: 0.7014792085984662
</t>
  </si>
  <si>
    <t xml:space="preserve"> 0.7014792085984662
</t>
  </si>
  <si>
    <t>value_ratio_tb_to_total is: 0.19353655611673515</t>
  </si>
  <si>
    <t xml:space="preserve"> risk_ratio_tb_to_gold is: 0.23259667307444792</t>
  </si>
  <si>
    <t xml:space="preserve"> risk_ratio_tb_to_gold_before is: 0.23334308352260466
</t>
  </si>
  <si>
    <t xml:space="preserve"> 0.23334308352260466
</t>
  </si>
  <si>
    <t>value_ratio_reit_to_total is: 0.2584411987326014</t>
  </si>
  <si>
    <t xml:space="preserve"> risk_ratio_reit_to_gold is: 0.19239027594291558</t>
  </si>
  <si>
    <t xml:space="preserve"> risk_ratio_reit_to_gold_before is: 0.1922159177170314
</t>
  </si>
  <si>
    <t xml:space="preserve"> 0.1922159177170314
</t>
  </si>
  <si>
    <t xml:space="preserve"> delta_reit is: 0.9996902653243956
</t>
  </si>
  <si>
    <t xml:space="preserve"> 0.9996902653243956
</t>
  </si>
  <si>
    <t>delta_gold_risk is: 1.0001655056968035</t>
  </si>
  <si>
    <t xml:space="preserve"> delta_tb_risk is: 0.9993948071237203</t>
  </si>
  <si>
    <t xml:space="preserve"> delta_reit_risk is: 1.0001462471883602
</t>
  </si>
  <si>
    <t xml:space="preserve"> 1.0001462471883602
</t>
  </si>
  <si>
    <t xml:space="preserve">collateral_ratio_tranche_gold is: 0.8000730908057463
</t>
  </si>
  <si>
    <t xml:space="preserve"> 0.8000730908057463
</t>
  </si>
  <si>
    <t xml:space="preserve">collateral_ratio_tranche_tb is: 0.3502887974317869
</t>
  </si>
  <si>
    <t xml:space="preserve"> 0.3502887974317869
</t>
  </si>
  <si>
    <t xml:space="preserve">collateral_ratio_tranche_reit is: 0.3485229267954537
</t>
  </si>
  <si>
    <t xml:space="preserve"> 0.3485229267954537
</t>
  </si>
  <si>
    <t>Total plot size is: 149883985.135575</t>
  </si>
  <si>
    <t xml:space="preserve"> plot size of gold is: 80019677.40021561</t>
  </si>
  <si>
    <t xml:space="preserve"> plot size of TB is: 35007298.440209664</t>
  </si>
  <si>
    <t xml:space="preserve"> plot size of REIT is: 34857009.29514972
</t>
  </si>
  <si>
    <t xml:space="preserve"> 34857009.29514972
</t>
  </si>
  <si>
    <t xml:space="preserve">collateral ratio is: 1.4988398513557497
</t>
  </si>
  <si>
    <t xml:space="preserve"> 1.4988398513557497
</t>
  </si>
  <si>
    <t>S_gtbcps_0 is: 1.0001588663807761</t>
  </si>
  <si>
    <t xml:space="preserve">stdev_gtbcps is: 0.010061295963479475
</t>
  </si>
  <si>
    <t xml:space="preserve"> 0.010061295963479475
</t>
  </si>
  <si>
    <t>predicted price of GTBCPS is: 1.0001458835696102</t>
  </si>
  <si>
    <t xml:space="preserve"> actual price is: 1.0001588663807761
</t>
  </si>
  <si>
    <t xml:space="preserve"> 1.0001588663807761
</t>
  </si>
  <si>
    <t>predicted amount of GTBCPS is: 99985413.77093016</t>
  </si>
  <si>
    <t xml:space="preserve"> actual amount is: 99984115.8853742
</t>
  </si>
  <si>
    <t>plot sizes of gold is: 80019677.40021561</t>
  </si>
  <si>
    <t xml:space="preserve"> plot sizes of tb is: 35007298.440209664 </t>
  </si>
  <si>
    <t xml:space="preserve"> plot sizes of reit is: 34857009.29514972</t>
  </si>
  <si>
    <t xml:space="preserve"> plot sizes of total is: 149883985.135575.
</t>
  </si>
  <si>
    <t xml:space="preserve"> 149883985.135575.
</t>
  </si>
  <si>
    <t>predicted stdevs of gold is: 0.008830825301333167</t>
  </si>
  <si>
    <t xml:space="preserve"> predicted stdevs of tb is: 0.0015650999266011028</t>
  </si>
  <si>
    <t xml:space="preserve"> predicted stdevs of reit is: 0.021418860588508632</t>
  </si>
  <si>
    <t xml:space="preserve"> predicted stdevs of GTBCPS is: 0.010061295963479475.
</t>
  </si>
  <si>
    <t xml:space="preserve"> 0.010061295963479475.
</t>
  </si>
  <si>
    <t>total_value_of_collaterals is: 149883538.03581563</t>
  </si>
  <si>
    <t xml:space="preserve"> createdtionValue_gold is: 1038.7108463253237</t>
  </si>
  <si>
    <t xml:space="preserve"> createdValue_tb is: 454.420278637906</t>
  </si>
  <si>
    <t xml:space="preserve"> createdValue_reit is: 452.46945571210523
</t>
  </si>
  <si>
    <t xml:space="preserve"> 452.46945571210523
</t>
  </si>
  <si>
    <t>plotValue_gold_after_creation is: 80018292.1784239</t>
  </si>
  <si>
    <t xml:space="preserve"> plotValue_tb_after_creation  is: 35006792.07932351</t>
  </si>
  <si>
    <t xml:space="preserve"> plotValue_reit_after_creation  is: 34856508.17748756</t>
  </si>
  <si>
    <t xml:space="preserve">total_value_after_creation is: 149881592.43523496
</t>
  </si>
  <si>
    <t xml:space="preserve"> 149881592.43523496
</t>
  </si>
  <si>
    <t>total_amount_gtncps_before_creation is: 99984115.8853742</t>
  </si>
  <si>
    <t>creation_amount_gtbcps is: 1297.8855559527874</t>
  </si>
  <si>
    <t xml:space="preserve">total_amount_gtbcps_new is: 99985413.77093016
</t>
  </si>
  <si>
    <t xml:space="preserve"> 99985413.77093016
</t>
  </si>
  <si>
    <t>payout of tranche of gold is: -346.51094539385684</t>
  </si>
  <si>
    <t xml:space="preserve"> payout of tranche of Treausry Bill Option is: -51.94060751738081</t>
  </si>
  <si>
    <t xml:space="preserve"> payout of tranche of Collar of REIT is: -48.648206451419725
</t>
  </si>
  <si>
    <t xml:space="preserve"> -48.648206451419725
</t>
  </si>
  <si>
    <t>Collateral size of tranche of gold is: 80018292.1784239</t>
  </si>
  <si>
    <t xml:space="preserve"> collateral size of tranche of Treausry Bill Option is: 35006792.07932351</t>
  </si>
  <si>
    <t xml:space="preserve"> collateral size of tranche of Collar of REIT is: 34856508.17748756
</t>
  </si>
  <si>
    <t xml:space="preserve"> 34856508.17748756
</t>
  </si>
  <si>
    <t>Collateral ratio of tranche of gold is: 0.800193308892702</t>
  </si>
  <si>
    <t xml:space="preserve"> collateral ratio of tranche of Treausry Bill Option is: 0.3500724649960214</t>
  </si>
  <si>
    <t xml:space="preserve"> collateral ratio of tranche of Collar of REIT is: 0.34856960646943264
</t>
  </si>
  <si>
    <t xml:space="preserve"> 0.34856960646943264
</t>
  </si>
  <si>
    <t xml:space="preserve"> current price of reit option is: 5.636737074416985</t>
  </si>
  <si>
    <t xml:space="preserve"> predicted price of reit is: 38.94345159881142
</t>
  </si>
  <si>
    <t xml:space="preserve"> 38.94345159881142
</t>
  </si>
  <si>
    <t>value_ratio_gold_to_total is: 0.5409550786140418</t>
  </si>
  <si>
    <t xml:space="preserve"> risk_ratio_to_gold is: 0.7030192985335483</t>
  </si>
  <si>
    <t xml:space="preserve"> risk_ratio_to_gold_before is: 0.701760813100482
</t>
  </si>
  <si>
    <t xml:space="preserve"> 0.701760813100482
</t>
  </si>
  <si>
    <t>value_ratio_tb_to_total is: 0.19104075401179474</t>
  </si>
  <si>
    <t xml:space="preserve"> risk_ratio_tb_to_gold is: 0.23169526486439668</t>
  </si>
  <si>
    <t xml:space="preserve"> risk_ratio_tb_to_gold_before is: 0.23259667307444792
</t>
  </si>
  <si>
    <t xml:space="preserve"> 0.23259667307444792
</t>
  </si>
  <si>
    <t>value_ratio_reit_to_total is: 0.2680041673741635</t>
  </si>
  <si>
    <t xml:space="preserve"> risk_ratio_reit_to_gold is: 0.19074079355666496</t>
  </si>
  <si>
    <t xml:space="preserve"> risk_ratio_reit_to_gold_before is: 0.19239027594291558
</t>
  </si>
  <si>
    <t xml:space="preserve"> 0.19239027594291558
</t>
  </si>
  <si>
    <t xml:space="preserve"> delta_reit is: 0.9997878684280912
</t>
  </si>
  <si>
    <t xml:space="preserve"> 0.9997878684280912
</t>
  </si>
  <si>
    <t>delta_gold_risk is: 1.0007395195748887</t>
  </si>
  <si>
    <t xml:space="preserve"> delta_tb_risk is: 0.9992686916736494</t>
  </si>
  <si>
    <t xml:space="preserve"> delta_reit_risk is: 0.9986166589752282
</t>
  </si>
  <si>
    <t xml:space="preserve"> 0.9986166589752282
</t>
  </si>
  <si>
    <t xml:space="preserve">collateral_ratio_tranche_gold is: 0.7996019875707735
</t>
  </si>
  <si>
    <t xml:space="preserve"> 0.7996019875707735
</t>
  </si>
  <si>
    <t xml:space="preserve">collateral_ratio_tranche_tb is: 0.3503286632644259
</t>
  </si>
  <si>
    <t xml:space="preserve"> 0.3503286632644259
</t>
  </si>
  <si>
    <t xml:space="preserve">collateral_ratio_tranche_reit is: 0.3489784200160609
</t>
  </si>
  <si>
    <t xml:space="preserve"> 0.3489784200160609
</t>
  </si>
  <si>
    <t>Total plot size is: 149874198.26936403</t>
  </si>
  <si>
    <t xml:space="preserve"> plot size of gold is: 80018292.1784239</t>
  </si>
  <si>
    <t xml:space="preserve"> plot size of TB is: 35006792.07932351</t>
  </si>
  <si>
    <t xml:space="preserve"> plot size of REIT is: 34849114.01161662
</t>
  </si>
  <si>
    <t xml:space="preserve"> 34849114.01161662
</t>
  </si>
  <si>
    <t xml:space="preserve">collateral ratio is: 1.4987419826936401
</t>
  </si>
  <si>
    <t xml:space="preserve"> 1.4987419826936401
</t>
  </si>
  <si>
    <t>S_gtbcps_0 is: 1.0001458835696102</t>
  </si>
  <si>
    <t xml:space="preserve">stdev_gtbcps is: 0.010122321107831272
</t>
  </si>
  <si>
    <t xml:space="preserve"> 0.010122321107831272
</t>
  </si>
  <si>
    <t>predicted price of GTBCPS is: 1.0001752891329143</t>
  </si>
  <si>
    <t xml:space="preserve"> actual price is: 1.0001458835696102
</t>
  </si>
  <si>
    <t xml:space="preserve"> 1.0001458835696102
</t>
  </si>
  <si>
    <t>predicted amount of GTBCPS is: 99982474.1587981</t>
  </si>
  <si>
    <t xml:space="preserve"> actual amount is: 99985413.77093016
</t>
  </si>
  <si>
    <t>plot sizes of gold is: 80018292.1784239</t>
  </si>
  <si>
    <t xml:space="preserve"> plot sizes of tb is: 35006792.07932351 </t>
  </si>
  <si>
    <t xml:space="preserve"> plot sizes of reit is: 34849114.01161662</t>
  </si>
  <si>
    <t xml:space="preserve"> plot sizes of total is: 149874198.26936403.
</t>
  </si>
  <si>
    <t xml:space="preserve"> 149874198.26936403.
</t>
  </si>
  <si>
    <t>predicted stdevs of gold is: 0.008892943123162515</t>
  </si>
  <si>
    <t xml:space="preserve"> predicted stdevs of tb is: 0.001571842285122059</t>
  </si>
  <si>
    <t xml:space="preserve"> predicted stdevs of reit is: 0.021534305956789505</t>
  </si>
  <si>
    <t xml:space="preserve"> predicted stdevs of GTBCPS is: 0.010122321107831272.
</t>
  </si>
  <si>
    <t xml:space="preserve"> 0.010122321107831272.
</t>
  </si>
  <si>
    <t>total_value_of_collaterals is: 149875211.0778172</t>
  </si>
  <si>
    <t xml:space="preserve"> createdtionValue_gold is: -2352.6615709683156</t>
  </si>
  <si>
    <t xml:space="preserve"> createdValue_tb is: -1029.2475626777632</t>
  </si>
  <si>
    <t xml:space="preserve"> createdValue_reit is: -1024.61303422196
</t>
  </si>
  <si>
    <t xml:space="preserve"> -1024.61303422196
</t>
  </si>
  <si>
    <t>plotValue_gold_after_creation is: 80021387.1996731</t>
  </si>
  <si>
    <t xml:space="preserve"> plotValue_tb_after_creation  is: 35007932.61287401</t>
  </si>
  <si>
    <t xml:space="preserve"> plotValue_reit_after_creation  is: 34850297.787437946</t>
  </si>
  <si>
    <t xml:space="preserve">total_value_after_creation is: 149879617.59998506
</t>
  </si>
  <si>
    <t xml:space="preserve"> 149879617.59998506
</t>
  </si>
  <si>
    <t>total_amount_gtncps_before_creation is: 99985413.77093016</t>
  </si>
  <si>
    <t>creation_amount_gtbcps is: -2939.6121320575476</t>
  </si>
  <si>
    <t xml:space="preserve">total_amount_gtbcps_new is: 99982474.1587981
</t>
  </si>
  <si>
    <t xml:space="preserve"> 99982474.1587981
</t>
  </si>
  <si>
    <t>payout of tranche of gold is: 742.3596782323546</t>
  </si>
  <si>
    <t xml:space="preserve"> payout of tranche of Treausry Bill Option is: 111.28598782451101</t>
  </si>
  <si>
    <t xml:space="preserve"> payout of tranche of Collar of REIT is: 159.16278711287634
</t>
  </si>
  <si>
    <t xml:space="preserve"> 159.16278711287634
</t>
  </si>
  <si>
    <t>Collateral size of tranche of gold is: 80021387.1996731</t>
  </si>
  <si>
    <t xml:space="preserve"> collateral size of tranche of Treausry Bill Option is: 35007932.61287401</t>
  </si>
  <si>
    <t xml:space="preserve"> collateral size of tranche of Collar of REIT is: 34850297.787437946
</t>
  </si>
  <si>
    <t xml:space="preserve"> 34850297.787437946
</t>
  </si>
  <si>
    <t>Collateral ratio of tranche of gold is: 0.8001903453810212</t>
  </si>
  <si>
    <t xml:space="preserve"> collateral ratio of tranche of Treausry Bill Option is: 0.35006903365311326</t>
  </si>
  <si>
    <t xml:space="preserve"> collateral ratio of tranche of Collar of REIT is: 0.3484927317440372
</t>
  </si>
  <si>
    <t xml:space="preserve"> 0.3484927317440372
</t>
  </si>
  <si>
    <t xml:space="preserve"> current price of reit option is: 5.636657923946288</t>
  </si>
  <si>
    <t xml:space="preserve"> predicted price of reit is: 38.66991442918728
</t>
  </si>
  <si>
    <t xml:space="preserve"> 38.66991442918728
</t>
  </si>
  <si>
    <t>value_ratio_gold_to_total is: 0.5472950664358657</t>
  </si>
  <si>
    <t xml:space="preserve"> risk_ratio_to_gold is: 0.7028795207856173</t>
  </si>
  <si>
    <t xml:space="preserve"> risk_ratio_to_gold_before is: 0.7030192985335483
</t>
  </si>
  <si>
    <t xml:space="preserve"> 0.7030192985335483
</t>
  </si>
  <si>
    <t>value_ratio_tb_to_total is: 0.193279749635997</t>
  </si>
  <si>
    <t xml:space="preserve"> risk_ratio_tb_to_gold is: 0.2313004973680529</t>
  </si>
  <si>
    <t xml:space="preserve"> risk_ratio_tb_to_gold_before is: 0.23169526486439668
</t>
  </si>
  <si>
    <t xml:space="preserve"> 0.23169526486439668
</t>
  </si>
  <si>
    <t>value_ratio_reit_to_total is: 0.25942518392813735</t>
  </si>
  <si>
    <t xml:space="preserve"> risk_ratio_reit_to_gold is: 0.19141843301462144</t>
  </si>
  <si>
    <t xml:space="preserve"> risk_ratio_reit_to_gold_before is: 0.19074079355666496
</t>
  </si>
  <si>
    <t xml:space="preserve"> 0.19074079355666496
</t>
  </si>
  <si>
    <t xml:space="preserve"> delta_reit is: 0.9999981964831297
</t>
  </si>
  <si>
    <t xml:space="preserve"> 0.9999981964831297
</t>
  </si>
  <si>
    <t>delta_gold_risk is: 0.9999179235678354</t>
  </si>
  <si>
    <t xml:space="preserve"> delta_tb_risk is: 0.9996794925598848</t>
  </si>
  <si>
    <t xml:space="preserve"> delta_reit_risk is: 1.0005690906548454
</t>
  </si>
  <si>
    <t xml:space="preserve"> 1.0005690906548454
</t>
  </si>
  <si>
    <t xml:space="preserve">collateral_ratio_tranche_gold is: 0.8002560275405799
</t>
  </si>
  <si>
    <t xml:space="preserve"> 0.8002560275405799
</t>
  </si>
  <si>
    <t xml:space="preserve">collateral_ratio_tranche_tb is: 0.3501812693553306
</t>
  </si>
  <si>
    <t xml:space="preserve"> 0.3501812693553306
</t>
  </si>
  <si>
    <t xml:space="preserve">collateral_ratio_tranche_reit is: 0.34829389243219344
</t>
  </si>
  <si>
    <t xml:space="preserve"> 0.34829389243219344
</t>
  </si>
  <si>
    <t>Total plot size is: 149879554.74688506</t>
  </si>
  <si>
    <t xml:space="preserve"> plot size of gold is: 80021387.1996731</t>
  </si>
  <si>
    <t xml:space="preserve"> plot size of TB is: 35007932.61287401</t>
  </si>
  <si>
    <t xml:space="preserve"> plot size of REIT is: 34850234.93433795
</t>
  </si>
  <si>
    <t xml:space="preserve"> 34850234.93433795
</t>
  </si>
  <si>
    <t xml:space="preserve">collateral ratio is: 1.4987955474688504
</t>
  </si>
  <si>
    <t xml:space="preserve"> 1.4987955474688504
</t>
  </si>
  <si>
    <t>S_gtbcps_0 is: 1.0001752891329143</t>
  </si>
  <si>
    <t xml:space="preserve">stdev_gtbcps is: 0.010165340240288433
</t>
  </si>
  <si>
    <t xml:space="preserve"> 0.010165340240288433
</t>
  </si>
  <si>
    <t>predicted price of GTBCPS is: 1.0001676950955474</t>
  </si>
  <si>
    <t xml:space="preserve"> actual price is: 1.0001752891329143
</t>
  </si>
  <si>
    <t xml:space="preserve"> 1.0001752891329143
</t>
  </si>
  <si>
    <t>predicted amount of GTBCPS is: 99983233.30213828</t>
  </si>
  <si>
    <t xml:space="preserve"> actual amount is: 99982474.1587981
</t>
  </si>
  <si>
    <t>plot sizes of gold is: 80021387.1996731</t>
  </si>
  <si>
    <t xml:space="preserve"> plot sizes of tb is: 35007932.61287401 </t>
  </si>
  <si>
    <t xml:space="preserve"> plot sizes of reit is: 34850234.93433795</t>
  </si>
  <si>
    <t xml:space="preserve"> plot sizes of total is: 149879554.74688506.
</t>
  </si>
  <si>
    <t xml:space="preserve"> 149879554.74688506.
</t>
  </si>
  <si>
    <t>predicted stdevs of gold is: 0.008970354913881987</t>
  </si>
  <si>
    <t xml:space="preserve"> predicted stdevs of tb is: 0.0015781168384579785</t>
  </si>
  <si>
    <t xml:space="preserve"> predicted stdevs of reit is: 0.021535287169824127</t>
  </si>
  <si>
    <t xml:space="preserve"> predicted stdevs of GTBCPS is: 0.010165340240288433.
</t>
  </si>
  <si>
    <t xml:space="preserve"> 0.010165340240288433.
</t>
  </si>
  <si>
    <t>total_value_of_collaterals is: 149879293.24621704</t>
  </si>
  <si>
    <t xml:space="preserve"> createdtionValue_gold is: 607.5773635988932</t>
  </si>
  <si>
    <t xml:space="preserve"> createdValue_tb is: 265.80472504772223</t>
  </si>
  <si>
    <t xml:space="preserve"> createdValue_reit is: 264.60738760599577
</t>
  </si>
  <si>
    <t xml:space="preserve"> 264.60738760599577
</t>
  </si>
  <si>
    <t>plotValue_gold_after_creation is: 80020576.93171678</t>
  </si>
  <si>
    <t xml:space="preserve"> plotValue_tb_after_creation  is: 35007636.432513446</t>
  </si>
  <si>
    <t xml:space="preserve"> plotValue_reit_after_creation  is: 34849941.892510556</t>
  </si>
  <si>
    <t xml:space="preserve">total_value_after_creation is: 149878155.25674078
</t>
  </si>
  <si>
    <t xml:space="preserve"> 149878155.25674078
</t>
  </si>
  <si>
    <t>total_amount_gtncps_before_creation is: 99982474.1587981</t>
  </si>
  <si>
    <t>creation_amount_gtbcps is: 759.1433401852846</t>
  </si>
  <si>
    <t xml:space="preserve">total_amount_gtbcps_new is: 99983233.30213828
</t>
  </si>
  <si>
    <t xml:space="preserve"> 99983233.30213828
</t>
  </si>
  <si>
    <t>payout of tranche of gold is: -202.69059272268458</t>
  </si>
  <si>
    <t xml:space="preserve"> payout of tranche of Treausry Bill Option is: -30.375635508993614</t>
  </si>
  <si>
    <t xml:space="preserve"> payout of tranche of Collar of REIT is: -28.434439796775717
</t>
  </si>
  <si>
    <t xml:space="preserve"> -28.434439796775717
</t>
  </si>
  <si>
    <t>Collateral size of tranche of gold is: 80020576.93171678</t>
  </si>
  <si>
    <t xml:space="preserve"> collateral size of tranche of Treausry Bill Option is: 35007636.432513446</t>
  </si>
  <si>
    <t xml:space="preserve"> collateral size of tranche of Collar of REIT is: 34849941.892510556
</t>
  </si>
  <si>
    <t xml:space="preserve"> 34849941.892510556
</t>
  </si>
  <si>
    <t>Collateral ratio of tranche of gold is: 0.8002118450908037</t>
  </si>
  <si>
    <t xml:space="preserve"> collateral ratio of tranche of Treausry Bill Option is: 0.3500790223723849</t>
  </si>
  <si>
    <t xml:space="preserve"> collateral ratio of tranche of Collar of REIT is: 0.3485020649989815
</t>
  </si>
  <si>
    <t xml:space="preserve"> 0.3485020649989815
</t>
  </si>
  <si>
    <t xml:space="preserve"> current price of reit option is: 5.628069323375051</t>
  </si>
  <si>
    <t xml:space="preserve"> predicted price of reit is: 38.768002177841
</t>
  </si>
  <si>
    <t xml:space="preserve"> 38.768002177841
</t>
  </si>
  <si>
    <t>value_ratio_gold_to_total is: 0.5452049814753811</t>
  </si>
  <si>
    <t xml:space="preserve"> risk_ratio_to_gold is: 0.701971082151154</t>
  </si>
  <si>
    <t xml:space="preserve"> risk_ratio_to_gold_before is: 0.7028795207856173
</t>
  </si>
  <si>
    <t xml:space="preserve"> 0.7028795207856173
</t>
  </si>
  <si>
    <t>value_ratio_tb_to_total is: 0.1925416265966077</t>
  </si>
  <si>
    <t xml:space="preserve"> risk_ratio_tb_to_gold is: 0.23239456774134712</t>
  </si>
  <si>
    <t xml:space="preserve"> risk_ratio_tb_to_gold_before is: 0.2313004973680529
</t>
  </si>
  <si>
    <t xml:space="preserve"> 0.2313004973680529
</t>
  </si>
  <si>
    <t>value_ratio_reit_to_total is: 0.2622533919280112</t>
  </si>
  <si>
    <t xml:space="preserve"> risk_ratio_reit_to_gold is: 0.19216553940088998</t>
  </si>
  <si>
    <t xml:space="preserve"> risk_ratio_reit_to_gold_before is: 0.19141843301462144
</t>
  </si>
  <si>
    <t xml:space="preserve"> 0.19141843301462144
</t>
  </si>
  <si>
    <t xml:space="preserve"> delta_reit is: 0.9998043004189082
</t>
  </si>
  <si>
    <t xml:space="preserve"> 0.9998043004189082
</t>
  </si>
  <si>
    <t>delta_gold_risk is: 0.9994665279467074</t>
  </si>
  <si>
    <t xml:space="preserve"> delta_tb_risk is: 1.0008885486326309</t>
  </si>
  <si>
    <t xml:space="preserve"> delta_reit_risk is: 1.0006270730463505
</t>
  </si>
  <si>
    <t xml:space="preserve"> 1.0006270730463505
</t>
  </si>
  <si>
    <t xml:space="preserve">collateral_ratio_tranche_gold is: 0.8006389636026628
</t>
  </si>
  <si>
    <t xml:space="preserve"> 0.8006389636026628
</t>
  </si>
  <si>
    <t xml:space="preserve">collateral_ratio_tranche_tb is: 0.34976823628429676
</t>
  </si>
  <si>
    <t xml:space="preserve"> 0.34976823628429676
</t>
  </si>
  <si>
    <t xml:space="preserve">collateral_ratio_tranche_reit is: 0.34821550673225854
</t>
  </si>
  <si>
    <t xml:space="preserve"> 0.34821550673225854
</t>
  </si>
  <si>
    <t>Total plot size is: 149871335.13771135</t>
  </si>
  <si>
    <t xml:space="preserve"> plot size of gold is: 80020576.93171678</t>
  </si>
  <si>
    <t xml:space="preserve"> plot size of TB is: 35007636.432513446</t>
  </si>
  <si>
    <t xml:space="preserve"> plot size of REIT is: 34843121.773481116
</t>
  </si>
  <si>
    <t xml:space="preserve"> 34843121.773481116
</t>
  </si>
  <si>
    <t xml:space="preserve">collateral ratio is: 1.4987133513771131
</t>
  </si>
  <si>
    <t xml:space="preserve"> 1.4987133513771131
</t>
  </si>
  <si>
    <t>S_gtbcps_0 is: 1.0001676950955474</t>
  </si>
  <si>
    <t xml:space="preserve">stdev_gtbcps is: 0.010215839290745297
</t>
  </si>
  <si>
    <t xml:space="preserve"> 0.010215839290745297
</t>
  </si>
  <si>
    <t>predicted price of GTBCPS is: 1.0001911803539143</t>
  </si>
  <si>
    <t xml:space="preserve"> actual price is: 1.0001676950955474
</t>
  </si>
  <si>
    <t xml:space="preserve"> 1.0001676950955474
</t>
  </si>
  <si>
    <t>predicted amount of GTBCPS is: 99980885.61890273</t>
  </si>
  <si>
    <t xml:space="preserve"> actual amount is: 99983233.30213828
</t>
  </si>
  <si>
    <t>plot sizes of gold is: 80020576.93171678</t>
  </si>
  <si>
    <t xml:space="preserve"> plot sizes of tb is: 35007636.432513446 </t>
  </si>
  <si>
    <t xml:space="preserve"> plot sizes of reit is: 34843121.773481116</t>
  </si>
  <si>
    <t xml:space="preserve"> plot sizes of total is: 149871335.13771135.
</t>
  </si>
  <si>
    <t xml:space="preserve"> 149871335.13771135.
</t>
  </si>
  <si>
    <t>predicted stdevs of gold is: 0.009014057746649458</t>
  </si>
  <si>
    <t xml:space="preserve"> predicted stdevs of tb is: 0.0015906596113436306</t>
  </si>
  <si>
    <t xml:space="preserve"> predicted stdevs of reit is: 0.021641750248845425</t>
  </si>
  <si>
    <t xml:space="preserve"> predicted stdevs of GTBCPS is: 0.010215839290745297.
</t>
  </si>
  <si>
    <t xml:space="preserve"> 0.010215839290745297.
</t>
  </si>
  <si>
    <t>total_value_of_collaterals is: 149872143.7378175</t>
  </si>
  <si>
    <t xml:space="preserve"> createdtionValue_gold is: -1879.0027508954322</t>
  </si>
  <si>
    <t xml:space="preserve"> createdValue_tb is: -822.0276211515422</t>
  </si>
  <si>
    <t xml:space="preserve"> createdValue_reit is: -818.1654937633399
</t>
  </si>
  <si>
    <t xml:space="preserve"> -818.1654937633399
</t>
  </si>
  <si>
    <t>plotValue_gold_after_creation is: 80023048.92450868</t>
  </si>
  <si>
    <t xml:space="preserve"> plotValue_tb_after_creation  is: 35008547.227171205</t>
  </si>
  <si>
    <t xml:space="preserve"> plotValue_reit_after_creation  is: 34844066.78200341</t>
  </si>
  <si>
    <t xml:space="preserve">total_value_after_creation is: 149875662.93368328
</t>
  </si>
  <si>
    <t xml:space="preserve"> 149875662.93368328
</t>
  </si>
  <si>
    <t>total_amount_gtncps_before_creation is: 99983233.30213828</t>
  </si>
  <si>
    <t>creation_amount_gtbcps is: -2347.683235555887</t>
  </si>
  <si>
    <t xml:space="preserve">total_amount_gtbcps_new is: 99980885.61890273
</t>
  </si>
  <si>
    <t xml:space="preserve"> 99980885.61890273
</t>
  </si>
  <si>
    <t>payout of tranche of gold is: 592.9900410032408</t>
  </si>
  <si>
    <t xml:space="preserve"> payout of tranche of Treausry Bill Option is: 88.76703660845989</t>
  </si>
  <si>
    <t xml:space="preserve"> payout of tranche of Collar of REIT is: 126.84302853033317
</t>
  </si>
  <si>
    <t xml:space="preserve"> 126.84302853033317
</t>
  </si>
  <si>
    <t>Collateral size of tranche of gold is: 80023048.92450868</t>
  </si>
  <si>
    <t xml:space="preserve"> collateral size of tranche of Treausry Bill Option is: 35008547.227171205</t>
  </si>
  <si>
    <t xml:space="preserve"> collateral size of tranche of Collar of REIT is: 34844066.78200341
</t>
  </si>
  <si>
    <t xml:space="preserve"> 34844066.78200341
</t>
  </si>
  <si>
    <t>Collateral ratio of tranche of gold is: 0.8002116992175777</t>
  </si>
  <si>
    <t xml:space="preserve"> collateral ratio of tranche of Treausry Bill Option is: 0.3500772519955005</t>
  </si>
  <si>
    <t xml:space="preserve"> collateral ratio of tranche of Collar of REIT is: 0.3484324861650964
</t>
  </si>
  <si>
    <t xml:space="preserve"> 0.3484324861650964
</t>
  </si>
  <si>
    <t xml:space="preserve"> current price of reit option is: 5.616604780315832</t>
  </si>
  <si>
    <t xml:space="preserve"> predicted price of reit is: 38.64718911637961
</t>
  </si>
  <si>
    <t xml:space="preserve"> 38.64718911637961
</t>
  </si>
  <si>
    <t>value_ratio_gold_to_total is: 0.5482997478766722</t>
  </si>
  <si>
    <t xml:space="preserve"> risk_ratio_to_gold is: 0.700843452176726</t>
  </si>
  <si>
    <t xml:space="preserve"> risk_ratio_to_gold_before is: 0.701971082151154
</t>
  </si>
  <si>
    <t xml:space="preserve"> 0.701971082151154
</t>
  </si>
  <si>
    <t>value_ratio_tb_to_total is: 0.1936345574704758</t>
  </si>
  <si>
    <t xml:space="preserve"> risk_ratio_tb_to_gold is: 0.23317935491723257</t>
  </si>
  <si>
    <t xml:space="preserve"> risk_ratio_tb_to_gold_before is: 0.23239456774134712
</t>
  </si>
  <si>
    <t xml:space="preserve"> 0.23239456774134712
</t>
  </si>
  <si>
    <t>value_ratio_reit_to_total is: 0.2580656946528519</t>
  </si>
  <si>
    <t xml:space="preserve"> risk_ratio_reit_to_gold is: 0.19367281427138425</t>
  </si>
  <si>
    <t xml:space="preserve"> risk_ratio_reit_to_gold_before is: 0.19216553940088998
</t>
  </si>
  <si>
    <t xml:space="preserve"> 0.19216553940088998
</t>
  </si>
  <si>
    <t xml:space="preserve"> delta_reit is: 0.9997387181515502
</t>
  </si>
  <si>
    <t xml:space="preserve"> 0.9997387181515502
</t>
  </si>
  <si>
    <t>delta_gold_risk is: 0.9993374564431478</t>
  </si>
  <si>
    <t xml:space="preserve"> delta_tb_risk is: 1.000636798632863</t>
  </si>
  <si>
    <t xml:space="preserve"> delta_reit_risk is: 1.0012643167586037
</t>
  </si>
  <si>
    <t xml:space="preserve"> 1.0012643167586037
</t>
  </si>
  <si>
    <t xml:space="preserve">collateral_ratio_tranche_gold is: 0.8007422258199943
</t>
  </si>
  <si>
    <t xml:space="preserve"> 0.8007422258199943
</t>
  </si>
  <si>
    <t xml:space="preserve">collateral_ratio_tranche_tb is: 0.3498544651503917
</t>
  </si>
  <si>
    <t xml:space="preserve"> 0.3498544651503917
</t>
  </si>
  <si>
    <t xml:space="preserve">collateral_ratio_tranche_reit is: 0.3479015892713906
</t>
  </si>
  <si>
    <t xml:space="preserve"> 0.3479015892713906
</t>
  </si>
  <si>
    <t>Total plot size is: 149866558.811507</t>
  </si>
  <si>
    <t xml:space="preserve"> plot size of gold is: 80023048.92450868</t>
  </si>
  <si>
    <t xml:space="preserve"> plot size of TB is: 35008547.227171205</t>
  </si>
  <si>
    <t xml:space="preserve"> plot size of REIT is: 34834962.6598271
</t>
  </si>
  <si>
    <t xml:space="preserve"> 34834962.6598271
</t>
  </si>
  <si>
    <t xml:space="preserve">collateral ratio is: 1.4986655881150697
</t>
  </si>
  <si>
    <t xml:space="preserve"> 1.4986655881150697
</t>
  </si>
  <si>
    <t>S_gtbcps_0 is: 1.0001911803539143</t>
  </si>
  <si>
    <t xml:space="preserve">stdev_gtbcps is: 0.01028420719751763
</t>
  </si>
  <si>
    <t xml:space="preserve"> 0.01028420719751763
</t>
  </si>
  <si>
    <t>predicted price of GTBCPS is: 1.00017786222946</t>
  </si>
  <si>
    <t xml:space="preserve"> actual price is: 1.0001911803539143
</t>
  </si>
  <si>
    <t xml:space="preserve"> 1.0001911803539143
</t>
  </si>
  <si>
    <t>predicted amount of GTBCPS is: 99982216.93998872</t>
  </si>
  <si>
    <t xml:space="preserve"> actual amount is: 99980885.61890273
</t>
  </si>
  <si>
    <t>plot sizes of gold is: 80023048.92450868</t>
  </si>
  <si>
    <t xml:space="preserve"> plot sizes of tb is: 35008547.227171205 </t>
  </si>
  <si>
    <t xml:space="preserve"> plot sizes of reit is: 34834962.6598271</t>
  </si>
  <si>
    <t xml:space="preserve"> plot sizes of total is: 149866558.811507.
</t>
  </si>
  <si>
    <t xml:space="preserve"> 149866558.811507.
</t>
  </si>
  <si>
    <t>predicted stdevs of gold is: 0.009076033392444095</t>
  </si>
  <si>
    <t xml:space="preserve"> predicted stdevs of tb is: 0.0016032569258905309</t>
  </si>
  <si>
    <t xml:space="preserve"> predicted stdevs of reit is: 0.021783837984711354</t>
  </si>
  <si>
    <t xml:space="preserve"> predicted stdevs of GTBCPS is: 0.01028420719751763.
</t>
  </si>
  <si>
    <t xml:space="preserve"> 0.01028420719751763.
</t>
  </si>
  <si>
    <t>total_value_of_collaterals is: 149866100.272289</t>
  </si>
  <si>
    <t xml:space="preserve"> createdtionValue_gold is: 1065.5484781907126</t>
  </si>
  <si>
    <t xml:space="preserve"> createdValue_tb is: 466.1583596515537</t>
  </si>
  <si>
    <t xml:space="preserve"> createdValue_reit is: 463.8470263740788
</t>
  </si>
  <si>
    <t xml:space="preserve"> 463.8470263740788
</t>
  </si>
  <si>
    <t>plotValue_gold_after_creation is: 80021627.87063654</t>
  </si>
  <si>
    <t xml:space="preserve"> plotValue_tb_after_creation  is: 35008027.8357326</t>
  </si>
  <si>
    <t xml:space="preserve"> plotValue_reit_after_creation  is: 34834449.01205565</t>
  </si>
  <si>
    <t xml:space="preserve">total_value_after_creation is: 149864104.7184248
</t>
  </si>
  <si>
    <t xml:space="preserve"> 149864104.7184248
</t>
  </si>
  <si>
    <t>total_amount_gtncps_before_creation is: 99980885.61890273</t>
  </si>
  <si>
    <t>creation_amount_gtbcps is: 1331.3210859894753</t>
  </si>
  <si>
    <t xml:space="preserve">total_amount_gtbcps_new is: 99982216.93998872
</t>
  </si>
  <si>
    <t xml:space="preserve"> 99982216.93998872
</t>
  </si>
  <si>
    <t>payout of tranche of gold is: -355.5053939491237</t>
  </si>
  <si>
    <t xml:space="preserve"> payout of tranche of Treausry Bill Option is: -53.23307894885857</t>
  </si>
  <si>
    <t xml:space="preserve"> payout of tranche of Collar of REIT is: -49.80074507587601
</t>
  </si>
  <si>
    <t xml:space="preserve"> -49.80074507587601
</t>
  </si>
  <si>
    <t>Collateral size of tranche of gold is: 80021627.87063654</t>
  </si>
  <si>
    <t xml:space="preserve"> collateral size of tranche of Treausry Bill Option is: 35008027.8357326</t>
  </si>
  <si>
    <t xml:space="preserve"> collateral size of tranche of Collar of REIT is: 34834449.01205565
</t>
  </si>
  <si>
    <t xml:space="preserve"> 34834449.01205565
</t>
  </si>
  <si>
    <t>Collateral ratio of tranche of gold is: 0.8002269341911471</t>
  </si>
  <si>
    <t xml:space="preserve"> collateral ratio of tranche of Treausry Bill Option is: 0.3500849399409225</t>
  </si>
  <si>
    <t xml:space="preserve"> collateral ratio of tranche of Collar of REIT is: 0.3483491285908202
</t>
  </si>
  <si>
    <t xml:space="preserve"> 0.3483491285908202
</t>
  </si>
  <si>
    <t xml:space="preserve"> current price of reit option is: 5.601085302792995</t>
  </si>
  <si>
    <t xml:space="preserve"> predicted price of reit is: 38.764144647063205
</t>
  </si>
  <si>
    <t xml:space="preserve"> 38.764144647063205
</t>
  </si>
  <si>
    <t>value_ratio_gold_to_total is: 0.5459234230387108</t>
  </si>
  <si>
    <t xml:space="preserve"> risk_ratio_to_gold is: 0.7012556335695923</t>
  </si>
  <si>
    <t xml:space="preserve"> risk_ratio_to_gold_before is: 0.700843452176726
</t>
  </si>
  <si>
    <t xml:space="preserve"> 0.700843452176726
</t>
  </si>
  <si>
    <t>value_ratio_tb_to_total is: 0.1927953475124434</t>
  </si>
  <si>
    <t xml:space="preserve"> risk_ratio_tb_to_gold is: 0.23275753281121578</t>
  </si>
  <si>
    <t xml:space="preserve"> risk_ratio_tb_to_gold_before is: 0.23317935491723257
</t>
  </si>
  <si>
    <t xml:space="preserve"> 0.23317935491723257
</t>
  </si>
  <si>
    <t>value_ratio_reit_to_total is: 0.2612812294488458</t>
  </si>
  <si>
    <t xml:space="preserve"> risk_ratio_reit_to_gold is: 0.19325596658801655</t>
  </si>
  <si>
    <t xml:space="preserve"> risk_ratio_reit_to_gold_before is: 0.19367281427138425
</t>
  </si>
  <si>
    <t xml:space="preserve"> 0.19367281427138425
</t>
  </si>
  <si>
    <t xml:space="preserve"> delta_reit is: 0.9996462120193583
</t>
  </si>
  <si>
    <t xml:space="preserve"> 0.9996462120193583
</t>
  </si>
  <si>
    <t>delta_gold_risk is: 1.0002423394065685</t>
  </si>
  <si>
    <t xml:space="preserve"> delta_tb_risk is: 0.9996579393708346</t>
  </si>
  <si>
    <t xml:space="preserve"> delta_reit_risk is: 0.9996507856437845
</t>
  </si>
  <si>
    <t xml:space="preserve"> 0.9996507856437845
</t>
  </si>
  <si>
    <t xml:space="preserve">collateral_ratio_tranche_gold is: 0.8000330546554467
</t>
  </si>
  <si>
    <t xml:space="preserve"> 0.8000330546554467
</t>
  </si>
  <si>
    <t xml:space="preserve">collateral_ratio_tranche_tb is: 0.3502047311916106
</t>
  </si>
  <si>
    <t xml:space="preserve"> 0.3502047311916106
</t>
  </si>
  <si>
    <t xml:space="preserve">collateral_ratio_tranche_reit is: 0.3483475348161678
</t>
  </si>
  <si>
    <t xml:space="preserve"> 0.3483475348161678
</t>
  </si>
  <si>
    <t>Total plot size is: 149851780.70905206</t>
  </si>
  <si>
    <t xml:space="preserve"> plot size of gold is: 80021627.87063654</t>
  </si>
  <si>
    <t xml:space="preserve"> plot size of TB is: 35008027.8357326</t>
  </si>
  <si>
    <t xml:space="preserve"> plot size of REIT is: 34822125.00268291
</t>
  </si>
  <si>
    <t xml:space="preserve"> 34822125.00268291
</t>
  </si>
  <si>
    <t xml:space="preserve">collateral ratio is: 1.4985178070905203
</t>
  </si>
  <si>
    <t xml:space="preserve"> 1.4985178070905203
</t>
  </si>
  <si>
    <t>S_gtbcps_0 is: 1.00017786222946</t>
  </si>
  <si>
    <t xml:space="preserve">stdev_gtbcps is: 0.010371994302972032
</t>
  </si>
  <si>
    <t xml:space="preserve"> 0.010371994302972032
</t>
  </si>
  <si>
    <t>predicted price of GTBCPS is: 1.0001990146602011</t>
  </si>
  <si>
    <t xml:space="preserve"> actual price is: 1.00017786222946
</t>
  </si>
  <si>
    <t xml:space="preserve"> 1.00017786222946
</t>
  </si>
  <si>
    <t>predicted amount of GTBCPS is: 99980102.49387531</t>
  </si>
  <si>
    <t xml:space="preserve"> actual amount is: 99982216.93998872
</t>
  </si>
  <si>
    <t>plot sizes of gold is: 80021627.87063654</t>
  </si>
  <si>
    <t xml:space="preserve"> plot sizes of tb is: 35008027.8357326 </t>
  </si>
  <si>
    <t xml:space="preserve"> plot sizes of reit is: 34822125.00268291</t>
  </si>
  <si>
    <t xml:space="preserve"> plot sizes of total is: 149851780.70905203.
</t>
  </si>
  <si>
    <t xml:space="preserve"> 149851780.70905203.
</t>
  </si>
  <si>
    <t>predicted stdevs of gold is: 0.009155657551656924</t>
  </si>
  <si>
    <t xml:space="preserve"> predicted stdevs of tb is: 0.001609786679963196</t>
  </si>
  <si>
    <t xml:space="preserve"> predicted stdevs of reit is: 0.021976135498167477</t>
  </si>
  <si>
    <t xml:space="preserve"> predicted stdevs of GTBCPS is: 0.010371994302972032.
</t>
  </si>
  <si>
    <t xml:space="preserve"> 0.010371994302972032.
</t>
  </si>
  <si>
    <t>total_value_of_collaterals is: 149852509.16416103</t>
  </si>
  <si>
    <t xml:space="preserve"> createdtionValue_gold is: -1692.362232843097</t>
  </si>
  <si>
    <t xml:space="preserve"> createdValue_tb is: -740.3748928820713</t>
  </si>
  <si>
    <t xml:space="preserve"> createdValue_reit is: -736.4440181524254
</t>
  </si>
  <si>
    <t xml:space="preserve"> -736.4440181524254
</t>
  </si>
  <si>
    <t>plotValue_gold_after_creation is: 80023854.39488548</t>
  </si>
  <si>
    <t xml:space="preserve"> plotValue_tb_after_creation  is: 35008848.26890178</t>
  </si>
  <si>
    <t xml:space="preserve"> plotValue_reit_after_creation  is: 34822975.68151766</t>
  </si>
  <si>
    <t xml:space="preserve">total_value_after_creation is: 149855678.3453049
</t>
  </si>
  <si>
    <t xml:space="preserve"> 149855678.3453049
</t>
  </si>
  <si>
    <t>total_amount_gtncps_before_creation is: 99982216.93998872</t>
  </si>
  <si>
    <t>creation_amount_gtbcps is: -2114.446113407612</t>
  </si>
  <si>
    <t xml:space="preserve">total_amount_gtbcps_new is: 99980102.49387531
</t>
  </si>
  <si>
    <t xml:space="preserve"> 99980102.49387531
</t>
  </si>
  <si>
    <t>payout of tranche of gold is: 534.1620160933329</t>
  </si>
  <si>
    <t xml:space="preserve"> payout of tranche of Treausry Bill Option is: 80.05827629389516</t>
  </si>
  <si>
    <t xml:space="preserve"> payout of tranche of Collar of REIT is: 114.23481659292638
</t>
  </si>
  <si>
    <t xml:space="preserve"> 114.23481659292638
</t>
  </si>
  <si>
    <t>Collateral size of tranche of gold is: 80023854.39488548</t>
  </si>
  <si>
    <t xml:space="preserve"> collateral size of tranche of Treausry Bill Option is: 35008848.26890178</t>
  </si>
  <si>
    <t xml:space="preserve"> collateral size of tranche of Collar of REIT is: 34822975.68151766
</t>
  </si>
  <si>
    <t xml:space="preserve"> 34822975.68151766
</t>
  </si>
  <si>
    <t>Collateral ratio of tranche of gold is: 0.8002216203265263</t>
  </si>
  <si>
    <t xml:space="preserve"> collateral ratio of tranche of Treausry Bill Option is: 0.350081078940089</t>
  </si>
  <si>
    <t xml:space="preserve"> collateral ratio of tranche of Collar of REIT is: 0.348222392374995
</t>
  </si>
  <si>
    <t xml:space="preserve"> 0.348222392374995
</t>
  </si>
  <si>
    <t xml:space="preserve"> current price of reit option is: 5.585514317063456</t>
  </si>
  <si>
    <t xml:space="preserve"> predicted price of reit is: 38.83322868154362
</t>
  </si>
  <si>
    <t xml:space="preserve"> 38.83322868154362
</t>
  </si>
  <si>
    <t>value_ratio_gold_to_total is: 0.5446780627958259</t>
  </si>
  <si>
    <t xml:space="preserve"> risk_ratio_to_gold is: 0.7028392053989108</t>
  </si>
  <si>
    <t xml:space="preserve"> risk_ratio_to_gold_before is: 0.7012556335695923
</t>
  </si>
  <si>
    <t xml:space="preserve"> 0.7012556335695923
</t>
  </si>
  <si>
    <t>value_ratio_tb_to_total is: 0.1923555428609618</t>
  </si>
  <si>
    <t xml:space="preserve"> risk_ratio_tb_to_gold is: 0.23091835349204187</t>
  </si>
  <si>
    <t xml:space="preserve"> risk_ratio_tb_to_gold_before is: 0.23275753281121578
</t>
  </si>
  <si>
    <t xml:space="preserve"> 0.23275753281121578
</t>
  </si>
  <si>
    <t>value_ratio_reit_to_total is: 0.26296639434321234</t>
  </si>
  <si>
    <t xml:space="preserve"> risk_ratio_reit_to_gold is: 0.19188218512109595</t>
  </si>
  <si>
    <t xml:space="preserve"> risk_ratio_reit_to_gold_before is: 0.19325596658801655
</t>
  </si>
  <si>
    <t xml:space="preserve"> 0.19325596658801655
</t>
  </si>
  <si>
    <t xml:space="preserve"> delta_reit is: 0.9996449121926625
</t>
  </si>
  <si>
    <t xml:space="preserve"> 0.9996449121926625
</t>
  </si>
  <si>
    <t>delta_gold_risk is: 1.00093082532576</t>
  </si>
  <si>
    <t xml:space="preserve"> delta_tb_risk is: 0.9985080769979318</t>
  </si>
  <si>
    <t xml:space="preserve"> delta_reit_risk is: 0.9988487118393812
</t>
  </si>
  <si>
    <t xml:space="preserve"> 0.9988487118393812
</t>
  </si>
  <si>
    <t xml:space="preserve">collateral_ratio_tranche_gold is: 0.7994774464719763
</t>
  </si>
  <si>
    <t xml:space="preserve"> 0.7994774464719763
</t>
  </si>
  <si>
    <t xml:space="preserve">collateral_ratio_tranche_tb is: 0.3506041533410792
</t>
  </si>
  <si>
    <t xml:space="preserve"> 0.3506041533410792
</t>
  </si>
  <si>
    <t xml:space="preserve">collateral_ratio_tranche_reit is: 0.34849996673489875
</t>
  </si>
  <si>
    <t xml:space="preserve"> 0.34849996673489875
</t>
  </si>
  <si>
    <t>Total plot size is: 149843313.13122523</t>
  </si>
  <si>
    <t xml:space="preserve"> plot size of gold is: 80023854.39488548</t>
  </si>
  <si>
    <t xml:space="preserve"> plot size of TB is: 35008848.26890178</t>
  </si>
  <si>
    <t xml:space="preserve"> plot size of REIT is: 34810610.467437945
</t>
  </si>
  <si>
    <t xml:space="preserve"> 34810610.467437945
</t>
  </si>
  <si>
    <t xml:space="preserve">collateral ratio is: 1.4984331313122523
</t>
  </si>
  <si>
    <t xml:space="preserve"> 1.4984331313122523
</t>
  </si>
  <si>
    <t>S_gtbcps_0 is: 1.0001990146602011</t>
  </si>
  <si>
    <t xml:space="preserve">stdev_gtbcps is: 0.010459189151816588
</t>
  </si>
  <si>
    <t xml:space="preserve"> 0.010459189151816588
</t>
  </si>
  <si>
    <t>predicted price of GTBCPS is: 1.000203394319823</t>
  </si>
  <si>
    <t xml:space="preserve"> actual price is: 1.0001990146602011
</t>
  </si>
  <si>
    <t xml:space="preserve"> 1.0001990146602011
</t>
  </si>
  <si>
    <t>predicted amount of GTBCPS is: 99979664.70410137</t>
  </si>
  <si>
    <t xml:space="preserve"> actual amount is: 99980102.49387531
</t>
  </si>
  <si>
    <t>plot sizes of gold is: 80023854.39488548</t>
  </si>
  <si>
    <t xml:space="preserve"> plot sizes of tb is: 35008848.26890178 </t>
  </si>
  <si>
    <t xml:space="preserve"> plot sizes of reit is: 34810610.467437945</t>
  </si>
  <si>
    <t xml:space="preserve"> plot sizes of total is: 149843313.1312252.
</t>
  </si>
  <si>
    <t xml:space="preserve"> 149843313.1312252.
</t>
  </si>
  <si>
    <t>predicted stdevs of gold is: 0.00923992203307555</t>
  </si>
  <si>
    <t xml:space="preserve"> predicted stdevs of tb is: 0.0016026895618725563</t>
  </si>
  <si>
    <t xml:space="preserve"> predicted stdevs of reit is: 0.02216901840338463</t>
  </si>
  <si>
    <t xml:space="preserve"> predicted stdevs of GTBCPS is: 0.010459189151816588.
</t>
  </si>
  <si>
    <t xml:space="preserve"> 0.010459189151816588.
</t>
  </si>
  <si>
    <t>total_value_of_collaterals is: 149843463.9906858</t>
  </si>
  <si>
    <t xml:space="preserve"> createdtionValue_gold is: -350.40799198363635</t>
  </si>
  <si>
    <t xml:space="preserve"> createdValue_tb is: -153.29640362771818</t>
  </si>
  <si>
    <t xml:space="preserve"> createdValue_reit is: -152.42839320298586
</t>
  </si>
  <si>
    <t xml:space="preserve"> -152.42839320298586
</t>
  </si>
  <si>
    <t>plotValue_gold_after_creation is: 80024315.41015215</t>
  </si>
  <si>
    <t xml:space="preserve"> plotValue_tb_after_creation  is: 35009018.16109088</t>
  </si>
  <si>
    <t xml:space="preserve"> plotValue_reit_after_creation  is: 34810786.55223156</t>
  </si>
  <si>
    <t xml:space="preserve">total_value_after_creation is: 149844120.1234746
</t>
  </si>
  <si>
    <t xml:space="preserve"> 149844120.1234746
</t>
  </si>
  <si>
    <t>total_amount_gtncps_before_creation is: 99980102.49387531</t>
  </si>
  <si>
    <t>creation_amount_gtbcps is: -437.78977394104004</t>
  </si>
  <si>
    <t xml:space="preserve">total_amount_gtbcps_new is: 99979664.70410137
</t>
  </si>
  <si>
    <t xml:space="preserve"> 99979664.70410137
</t>
  </si>
  <si>
    <t>payout of tranche of gold is: 110.60727467408776</t>
  </si>
  <si>
    <t xml:space="preserve"> payout of tranche of Treausry Bill Option is: 16.595785476467984</t>
  </si>
  <si>
    <t xml:space="preserve"> payout of tranche of Collar of REIT is: 23.65640041396599
</t>
  </si>
  <si>
    <t xml:space="preserve"> 23.65640041396599
</t>
  </si>
  <si>
    <t>Collateral size of tranche of gold is: 80024315.41015215</t>
  </si>
  <si>
    <t xml:space="preserve"> collateral size of tranche of Treausry Bill Option is: 35009018.16109088</t>
  </si>
  <si>
    <t xml:space="preserve"> collateral size of tranche of Collar of REIT is: 34810786.55223156
</t>
  </si>
  <si>
    <t xml:space="preserve"> 34810786.55223156
</t>
  </si>
  <si>
    <t>Collateral ratio of tranche of gold is: 0.8002396500216017</t>
  </si>
  <si>
    <t xml:space="preserve"> collateral ratio of tranche of Treausry Bill Option is: 0.3500886486468726</t>
  </si>
  <si>
    <t xml:space="preserve"> collateral ratio of tranche of Collar of REIT is: 0.34810634123838363
</t>
  </si>
  <si>
    <t xml:space="preserve"> 0.34810634123838363
</t>
  </si>
  <si>
    <t xml:space="preserve"> current price of reit option is: 5.594013872578003</t>
  </si>
  <si>
    <t xml:space="preserve"> predicted price of reit is: 38.51434977190343
</t>
  </si>
  <si>
    <t xml:space="preserve"> 38.51434977190343
</t>
  </si>
  <si>
    <t>value_ratio_gold_to_total is: 0.5519813913116568</t>
  </si>
  <si>
    <t xml:space="preserve"> risk_ratio_to_gold is: 0.7023045915121702</t>
  </si>
  <si>
    <t xml:space="preserve"> risk_ratio_to_gold_before is: 0.7028392053989108
</t>
  </si>
  <si>
    <t xml:space="preserve"> 0.7028392053989108
</t>
  </si>
  <si>
    <t>value_ratio_tb_to_total is: 0.1949347466463017</t>
  </si>
  <si>
    <t xml:space="preserve"> risk_ratio_tb_to_gold is: 0.23080083267964976</t>
  </si>
  <si>
    <t xml:space="preserve"> risk_ratio_tb_to_gold_before is: 0.23091835349204187
</t>
  </si>
  <si>
    <t xml:space="preserve"> 0.23091835349204187
</t>
  </si>
  <si>
    <t>value_ratio_reit_to_total is: 0.25308386204204153</t>
  </si>
  <si>
    <t xml:space="preserve"> risk_ratio_reit_to_gold is: 0.19308278147535035</t>
  </si>
  <si>
    <t xml:space="preserve"> risk_ratio_reit_to_gold_before is: 0.19188218512109595
</t>
  </si>
  <si>
    <t xml:space="preserve"> 0.19188218512109595
</t>
  </si>
  <si>
    <t xml:space="preserve"> delta_reit is: 1.000193896561885
</t>
  </si>
  <si>
    <t xml:space="preserve"> 1.000193896561885
</t>
  </si>
  <si>
    <t>delta_gold_risk is: 0.9996860455848998</t>
  </si>
  <si>
    <t xml:space="preserve"> delta_tb_risk is: 0.9999045259077837</t>
  </si>
  <si>
    <t xml:space="preserve"> delta_reit_risk is: 1.001007311267206
</t>
  </si>
  <si>
    <t xml:space="preserve"> 1.001007311267206
</t>
  </si>
  <si>
    <t xml:space="preserve">collateral_ratio_tranche_gold is: 0.8004909676951574
</t>
  </si>
  <si>
    <t xml:space="preserve"> 0.8004909676951574
</t>
  </si>
  <si>
    <t xml:space="preserve">collateral_ratio_tranche_tb is: 0.350122076234266
</t>
  </si>
  <si>
    <t xml:space="preserve"> 0.350122076234266
</t>
  </si>
  <si>
    <t xml:space="preserve">collateral_ratio_tranche_reit is: 0.3478234713594211
</t>
  </si>
  <si>
    <t xml:space="preserve"> 0.3478234713594211
</t>
  </si>
  <si>
    <t>Total plot size is: 149850869.8153036</t>
  </si>
  <si>
    <t xml:space="preserve"> plot size of gold is: 80024315.41015215</t>
  </si>
  <si>
    <t xml:space="preserve"> plot size of TB is: 35009018.16109088</t>
  </si>
  <si>
    <t xml:space="preserve"> plot size of REIT is: 34817536.24406055
</t>
  </si>
  <si>
    <t xml:space="preserve"> 34817536.24406055
</t>
  </si>
  <si>
    <t xml:space="preserve">collateral ratio is: 1.4985086981530362
</t>
  </si>
  <si>
    <t xml:space="preserve"> 1.4985086981530362
</t>
  </si>
  <si>
    <t>S_gtbcps_0 is: 1.000203394319823</t>
  </si>
  <si>
    <t xml:space="preserve">stdev_gtbcps is: 0.010465120262615205
</t>
  </si>
  <si>
    <t xml:space="preserve"> 0.010465120262615205
</t>
  </si>
  <si>
    <t>predicted price of GTBCPS is: 1.0002101578510132</t>
  </si>
  <si>
    <t xml:space="preserve"> actual price is: 1.000203394319823
</t>
  </si>
  <si>
    <t xml:space="preserve"> 1.000203394319823
</t>
  </si>
  <si>
    <t>predicted amount of GTBCPS is: 99978988.63060291</t>
  </si>
  <si>
    <t xml:space="preserve"> actual amount is: 99979664.70410137
</t>
  </si>
  <si>
    <t>plot sizes of gold is: 80024315.41015215</t>
  </si>
  <si>
    <t xml:space="preserve"> plot sizes of tb is: 35009018.16109088 </t>
  </si>
  <si>
    <t xml:space="preserve"> plot sizes of reit is: 34817536.24406055</t>
  </si>
  <si>
    <t xml:space="preserve"> plot sizes of total is: 149850869.8153036.
</t>
  </si>
  <si>
    <t xml:space="preserve"> 149850869.8153036.
</t>
  </si>
  <si>
    <t>predicted stdevs of gold is: 0.009289405944199537</t>
  </si>
  <si>
    <t xml:space="preserve"> predicted stdevs of tb is: 0.0016174123711022595</t>
  </si>
  <si>
    <t xml:space="preserve"> predicted stdevs of reit is: 0.022063738179643175</t>
  </si>
  <si>
    <t xml:space="preserve"> predicted stdevs of GTBCPS is: 0.010465120262615205.
</t>
  </si>
  <si>
    <t xml:space="preserve"> 0.010465120262615205.
</t>
  </si>
  <si>
    <t>total_value_of_collaterals is: 149851102.70269448</t>
  </si>
  <si>
    <t xml:space="preserve"> createdtionValue_gold is: -541.1381100372053</t>
  </si>
  <si>
    <t xml:space="preserve"> createdValue_tb is: -236.73661838820206</t>
  </si>
  <si>
    <t xml:space="preserve"> createdValue_reit is: -235.4417757679536
</t>
  </si>
  <si>
    <t xml:space="preserve"> -235.4417757679536
</t>
  </si>
  <si>
    <t>plotValue_gold_after_creation is: 80025037.10551572</t>
  </si>
  <si>
    <t xml:space="preserve"> plotValue_tb_after_creation  is: 35009281.954744704</t>
  </si>
  <si>
    <t xml:space="preserve"> plotValue_reit_after_creation  is: 34817796.958938256</t>
  </si>
  <si>
    <t xml:space="preserve">total_value_after_creation is: 149852116.01919866
</t>
  </si>
  <si>
    <t xml:space="preserve"> 149852116.01919866
</t>
  </si>
  <si>
    <t>total_amount_gtncps_before_creation is: 99979664.70410137</t>
  </si>
  <si>
    <t>creation_amount_gtbcps is: -676.0734984576702</t>
  </si>
  <si>
    <t xml:space="preserve">total_amount_gtbcps_new is: 99978988.63060291
</t>
  </si>
  <si>
    <t xml:space="preserve"> 99978988.63060291
</t>
  </si>
  <si>
    <t>payout of tranche of gold is: 180.5572535291677</t>
  </si>
  <si>
    <t xml:space="preserve"> payout of tranche of Treausry Bill Option is: 27.0570354356587</t>
  </si>
  <si>
    <t xml:space="preserve"> payout of tranche of Collar of REIT is: 25.273101932789515
</t>
  </si>
  <si>
    <t xml:space="preserve"> 25.273101932789515
</t>
  </si>
  <si>
    <t>Collateral size of tranche of gold is: 80025037.10551572</t>
  </si>
  <si>
    <t xml:space="preserve"> collateral size of tranche of Treausry Bill Option is: 35009281.954744704</t>
  </si>
  <si>
    <t xml:space="preserve"> collateral size of tranche of Collar of REIT is: 34817796.958938256
</t>
  </si>
  <si>
    <t xml:space="preserve"> 34817796.958938256
</t>
  </si>
  <si>
    <t>Collateral ratio of tranche of gold is: 0.8002449596740568</t>
  </si>
  <si>
    <t xml:space="preserve"> collateral ratio of tranche of Treausry Bill Option is: 0.3500904521812632</t>
  </si>
  <si>
    <t xml:space="preserve"> collateral ratio of tranche of Collar of REIT is: 0.34817561517162493
</t>
  </si>
  <si>
    <t xml:space="preserve"> 0.34817561517162493
</t>
  </si>
  <si>
    <t xml:space="preserve"> current price of reit option is: 5.612874614406159</t>
  </si>
  <si>
    <t xml:space="preserve"> predicted price of reit is: 38.53563215776159
</t>
  </si>
  <si>
    <t xml:space="preserve"> 38.53563215776159
</t>
  </si>
  <si>
    <t>value_ratio_gold_to_total is: 0.5510258020312064</t>
  </si>
  <si>
    <t xml:space="preserve"> risk_ratio_to_gold is: 0.7027626097193029</t>
  </si>
  <si>
    <t xml:space="preserve"> risk_ratio_to_gold_before is: 0.7023045915121702
</t>
  </si>
  <si>
    <t xml:space="preserve"> 0.7023045915121702
</t>
  </si>
  <si>
    <t>value_ratio_tb_to_total is: 0.19459727593222584</t>
  </si>
  <si>
    <t xml:space="preserve"> risk_ratio_tb_to_gold is: 0.23068789178589846</t>
  </si>
  <si>
    <t xml:space="preserve"> risk_ratio_tb_to_gold_before is: 0.23080083267964976
</t>
  </si>
  <si>
    <t xml:space="preserve"> 0.23080083267964976
</t>
  </si>
  <si>
    <t>value_ratio_reit_to_total is: 0.25437692203656775</t>
  </si>
  <si>
    <t xml:space="preserve"> risk_ratio_reit_to_gold is: 0.19226772106239948</t>
  </si>
  <si>
    <t xml:space="preserve"> risk_ratio_reit_to_gold_before is: 0.19308278147535035
</t>
  </si>
  <si>
    <t xml:space="preserve"> 0.19308278147535035
</t>
  </si>
  <si>
    <t xml:space="preserve"> delta_reit is: 1.0004301782652238
</t>
  </si>
  <si>
    <t xml:space="preserve"> 1.0004301782652238
</t>
  </si>
  <si>
    <t>delta_gold_risk is: 1.0002690577288087</t>
  </si>
  <si>
    <t xml:space="preserve"> delta_tb_risk is: 0.999908237879962</t>
  </si>
  <si>
    <t xml:space="preserve"> delta_reit_risk is: 0.9993168450457872
</t>
  </si>
  <si>
    <t xml:space="preserve"> 0.9993168450457872
</t>
  </si>
  <si>
    <t xml:space="preserve">collateral_ratio_tranche_gold is: 0.8000297054985159
</t>
  </si>
  <si>
    <t xml:space="preserve"> 0.8000297054985159
</t>
  </si>
  <si>
    <t xml:space="preserve">collateral_ratio_tranche_tb is: 0.35012258017149295
</t>
  </si>
  <si>
    <t xml:space="preserve"> 0.35012258017149295
</t>
  </si>
  <si>
    <t xml:space="preserve">collateral_ratio_tranche_reit is: 0.3485635156463243
</t>
  </si>
  <si>
    <t xml:space="preserve"> 0.3485635156463243
</t>
  </si>
  <si>
    <t>Total plot size is: 149867093.87869337</t>
  </si>
  <si>
    <t xml:space="preserve"> plot size of gold is: 80025037.10551572</t>
  </si>
  <si>
    <t xml:space="preserve"> plot size of TB is: 35009281.954744704</t>
  </si>
  <si>
    <t xml:space="preserve"> plot size of REIT is: 34832774.818432964
</t>
  </si>
  <si>
    <t xml:space="preserve"> 34832774.818432964
</t>
  </si>
  <si>
    <t xml:space="preserve">collateral ratio is: 1.498670938786934
</t>
  </si>
  <si>
    <t xml:space="preserve"> 1.498670938786934
</t>
  </si>
  <si>
    <t>S_gtbcps_0 is: 1.0002101578510132</t>
  </si>
  <si>
    <t xml:space="preserve">stdev_gtbcps is: 0.010460592378861756
</t>
  </si>
  <si>
    <t xml:space="preserve"> 0.010460592378861756
</t>
  </si>
  <si>
    <t>predicted price of GTBCPS is: 1.0001877390586336</t>
  </si>
  <si>
    <t xml:space="preserve"> actual price is: 1.0002101578510132
</t>
  </si>
  <si>
    <t xml:space="preserve"> 1.0002101578510132
</t>
  </si>
  <si>
    <t>predicted amount of GTBCPS is: 99981229.61807047</t>
  </si>
  <si>
    <t xml:space="preserve"> actual amount is: 99978988.63060291
</t>
  </si>
  <si>
    <t>plot sizes of gold is: 80025037.10551572</t>
  </si>
  <si>
    <t xml:space="preserve"> plot sizes of tb is: 35009281.954744704 </t>
  </si>
  <si>
    <t xml:space="preserve"> plot sizes of reit is: 34832774.818432964</t>
  </si>
  <si>
    <t xml:space="preserve"> plot sizes of total is: 149867093.87869337.
</t>
  </si>
  <si>
    <t xml:space="preserve"> 149867093.87869337.
</t>
  </si>
  <si>
    <t>predicted stdevs of gold is: 0.009376425597695649</t>
  </si>
  <si>
    <t xml:space="preserve"> predicted stdevs of tb is: 0.0016266580910306745</t>
  </si>
  <si>
    <t xml:space="preserve"> predicted stdevs of reit is: 0.021830062230404484</t>
  </si>
  <si>
    <t xml:space="preserve"> predicted stdevs of GTBCPS is: 0.010460592378861756.
</t>
  </si>
  <si>
    <t xml:space="preserve"> 0.010460592378861756.
</t>
  </si>
  <si>
    <t>total_value_of_collaterals is: 149866321.80645794</t>
  </si>
  <si>
    <t xml:space="preserve"> createdtionValue_gold is: 1793.675046087375</t>
  </si>
  <si>
    <t xml:space="preserve"> createdValue_tb is: 784.6990113384483</t>
  </si>
  <si>
    <t xml:space="preserve"> createdValue_reit is: 780.7419512501143
</t>
  </si>
  <si>
    <t xml:space="preserve"> 780.7419512501143
</t>
  </si>
  <si>
    <t>plotValue_gold_after_creation is: 80022677.34020211</t>
  </si>
  <si>
    <t xml:space="preserve"> plotValue_tb_after_creation  is: 35008412.43818775</t>
  </si>
  <si>
    <t xml:space="preserve"> plotValue_reit_after_creation  is: 34831872.91205939</t>
  </si>
  <si>
    <t xml:space="preserve">total_value_after_creation is: 149862962.69044924
</t>
  </si>
  <si>
    <t xml:space="preserve"> 149862962.69044924
</t>
  </si>
  <si>
    <t>total_amount_gtncps_before_creation is: 99978988.63060291</t>
  </si>
  <si>
    <t>creation_amount_gtbcps is: 2240.987467557192</t>
  </si>
  <si>
    <t xml:space="preserve">total_amount_gtbcps_new is: 99981229.61807047
</t>
  </si>
  <si>
    <t xml:space="preserve"> 99981229.61807047
</t>
  </si>
  <si>
    <t>payout of tranche of gold is: -566.0902675182025</t>
  </si>
  <si>
    <t xml:space="preserve"> payout of tranche of Treausry Bill Option is: -84.81754561201483</t>
  </si>
  <si>
    <t xml:space="preserve"> payout of tranche of Collar of REIT is: -121.1644223280619
</t>
  </si>
  <si>
    <t xml:space="preserve"> -121.1644223280619
</t>
  </si>
  <si>
    <t>Collateral size of tranche of gold is: 80022677.34020211</t>
  </si>
  <si>
    <t xml:space="preserve"> collateral size of tranche of Treausry Bill Option is: 35008412.43818775</t>
  </si>
  <si>
    <t xml:space="preserve"> collateral size of tranche of Collar of REIT is: 34831872.91205939
</t>
  </si>
  <si>
    <t xml:space="preserve"> 34831872.91205939
</t>
  </si>
  <si>
    <t>Collateral ratio of tranche of gold is: 0.8002447101524821</t>
  </si>
  <si>
    <t xml:space="preserve"> collateral ratio of tranche of Treausry Bill Option is: 0.35009197137199094</t>
  </si>
  <si>
    <t xml:space="preserve"> collateral ratio of tranche of Collar of REIT is: 0.3483265365401064
</t>
  </si>
  <si>
    <t xml:space="preserve"> 0.3483265365401064
</t>
  </si>
  <si>
    <t xml:space="preserve"> current price of reit option is: 5.608646631423824</t>
  </si>
  <si>
    <t xml:space="preserve"> predicted price of reit is: 38.533817572119915
</t>
  </si>
  <si>
    <t xml:space="preserve"> 38.533817572119915
</t>
  </si>
  <si>
    <t>value_ratio_gold_to_total is: 0.5511694310983336</t>
  </si>
  <si>
    <t xml:space="preserve"> risk_ratio_to_gold is: 0.7030282403574174</t>
  </si>
  <si>
    <t xml:space="preserve"> risk_ratio_to_gold_before is: 0.7027626097193029
</t>
  </si>
  <si>
    <t xml:space="preserve"> 0.7027626097193029
</t>
  </si>
  <si>
    <t>value_ratio_tb_to_total is: 0.19464799919256068</t>
  </si>
  <si>
    <t xml:space="preserve"> risk_ratio_tb_to_gold is: 0.23031633118538</t>
  </si>
  <si>
    <t xml:space="preserve"> risk_ratio_tb_to_gold_before is: 0.23068789178589846
</t>
  </si>
  <si>
    <t xml:space="preserve"> 0.23068789178589846
</t>
  </si>
  <si>
    <t>value_ratio_reit_to_total is: 0.25418256970910574</t>
  </si>
  <si>
    <t xml:space="preserve"> risk_ratio_reit_to_gold is: 0.19210163525591553</t>
  </si>
  <si>
    <t xml:space="preserve"> risk_ratio_reit_to_gold_before is: 0.19226772106239948
</t>
  </si>
  <si>
    <t xml:space="preserve"> 0.19226772106239948
</t>
  </si>
  <si>
    <t xml:space="preserve"> delta_reit is: 0.9999036090767077
</t>
  </si>
  <si>
    <t xml:space="preserve"> 0.9999036090767077
</t>
  </si>
  <si>
    <t>delta_gold_risk is: 1.0001559998067835</t>
  </si>
  <si>
    <t xml:space="preserve"> delta_tb_risk is: 0.9996980870592792</t>
  </si>
  <si>
    <t xml:space="preserve"> delta_reit_risk is: 0.9998606975568071
</t>
  </si>
  <si>
    <t xml:space="preserve"> 0.9998606975568071
</t>
  </si>
  <si>
    <t xml:space="preserve">collateral_ratio_tranche_gold is: 0.8001198916039882
</t>
  </si>
  <si>
    <t xml:space="preserve"> 0.8001198916039882
</t>
  </si>
  <si>
    <t xml:space="preserve">collateral_ratio_tranche_tb is: 0.3501977005896096
</t>
  </si>
  <si>
    <t xml:space="preserve"> 0.3501977005896096
</t>
  </si>
  <si>
    <t xml:space="preserve">collateral_ratio_tranche_reit is: 0.3483414858436856
</t>
  </si>
  <si>
    <t xml:space="preserve"> 0.3483414858436856
</t>
  </si>
  <si>
    <t>Total plot size is: 149859605.21405926</t>
  </si>
  <si>
    <t xml:space="preserve"> plot size of gold is: 80022677.34020211</t>
  </si>
  <si>
    <t xml:space="preserve"> plot size of TB is: 35008412.43818775</t>
  </si>
  <si>
    <t xml:space="preserve"> plot size of REIT is: 34828515.4356694
</t>
  </si>
  <si>
    <t xml:space="preserve"> 34828515.4356694
</t>
  </si>
  <si>
    <t xml:space="preserve">collateral ratio is: 1.4985960521405928
</t>
  </si>
  <si>
    <t xml:space="preserve"> 1.4985960521405928
</t>
  </si>
  <si>
    <t>S_gtbcps_0 is: 1.0001877390586336</t>
  </si>
  <si>
    <t xml:space="preserve">stdev_gtbcps is: 0.010507045804800514
</t>
  </si>
  <si>
    <t xml:space="preserve"> 0.010507045804800514
</t>
  </si>
  <si>
    <t>predicted price of GTBCPS is: 1.0001841944706669</t>
  </si>
  <si>
    <t xml:space="preserve"> actual price is: 1.0001877390586336
</t>
  </si>
  <si>
    <t xml:space="preserve"> 1.0001877390586336
</t>
  </si>
  <si>
    <t>predicted amount of GTBCPS is: 99981583.94506879</t>
  </si>
  <si>
    <t xml:space="preserve"> actual amount is: 99981229.61807047
</t>
  </si>
  <si>
    <t>plot sizes of gold is: 80022677.34020211</t>
  </si>
  <si>
    <t xml:space="preserve"> plot sizes of tb is: 35008412.43818775 </t>
  </si>
  <si>
    <t xml:space="preserve"> plot sizes of reit is: 34828515.4356694</t>
  </si>
  <si>
    <t xml:space="preserve"> plot sizes of total is: 149859605.21405926.
</t>
  </si>
  <si>
    <t xml:space="preserve"> 149859605.21405926.
</t>
  </si>
  <si>
    <t>predicted stdevs of gold is: 0.009435001416586273</t>
  </si>
  <si>
    <t xml:space="preserve"> predicted stdevs of tb is: 0.0016405872040596854</t>
  </si>
  <si>
    <t xml:space="preserve"> predicted stdevs of reit is: 0.021882451755280412</t>
  </si>
  <si>
    <t xml:space="preserve"> predicted stdevs of GTBCPS is: 0.010507045804800514.
</t>
  </si>
  <si>
    <t xml:space="preserve"> 0.010507045804800514.
</t>
  </si>
  <si>
    <t>total_value_of_collaterals is: 149859483.14637288</t>
  </si>
  <si>
    <t xml:space="preserve"> createdtionValue_gold is: 283.59384212991836</t>
  </si>
  <si>
    <t xml:space="preserve"> createdValue_tb is: 124.06705496436076</t>
  </si>
  <si>
    <t xml:space="preserve"> createdValue_reit is: 123.42951714334924
</t>
  </si>
  <si>
    <t xml:space="preserve"> 123.42951714334924
</t>
  </si>
  <si>
    <t>plotValue_gold_after_creation is: 80022299.12607117</t>
  </si>
  <si>
    <t xml:space="preserve"> plotValue_tb_after_creation  is: 35008274.190596044</t>
  </si>
  <si>
    <t xml:space="preserve"> plotValue_reit_after_creation  is: 34828378.739291444</t>
  </si>
  <si>
    <t xml:space="preserve">total_value_after_creation is: 149858952.05595866
</t>
  </si>
  <si>
    <t xml:space="preserve"> 149858952.05595866
</t>
  </si>
  <si>
    <t>total_amount_gtncps_before_creation is: 99981229.61807047</t>
  </si>
  <si>
    <t>creation_amount_gtbcps is: 354.32699832320213</t>
  </si>
  <si>
    <t xml:space="preserve">total_amount_gtbcps_new is: 99981583.94506879
</t>
  </si>
  <si>
    <t xml:space="preserve"> 99981583.94506879
</t>
  </si>
  <si>
    <t>payout of tranche of gold is: -94.62028880076514</t>
  </si>
  <si>
    <t xml:space="preserve"> payout of tranche of Treausry Bill Option is: -14.180536738201912</t>
  </si>
  <si>
    <t xml:space="preserve"> payout of tranche of Collar of REIT is: -13.266860813711476
</t>
  </si>
  <si>
    <t xml:space="preserve"> -13.266860813711476
</t>
  </si>
  <si>
    <t>Collateral size of tranche of gold is: 80022299.12607117</t>
  </si>
  <si>
    <t xml:space="preserve"> collateral size of tranche of Treausry Bill Option is: 35008274.190596044</t>
  </si>
  <si>
    <t xml:space="preserve"> collateral size of tranche of Collar of REIT is: 34828378.739291444
</t>
  </si>
  <si>
    <t xml:space="preserve"> 34828378.739291444
</t>
  </si>
  <si>
    <t>Collateral ratio of tranche of gold is: 0.8002258271991332</t>
  </si>
  <si>
    <t xml:space="preserve"> collateral ratio of tranche of Treausry Bill Option is: 0.35008398257651013</t>
  </si>
  <si>
    <t xml:space="preserve"> collateral ratio of tranche of Collar of REIT is: 0.3482850216880859
</t>
  </si>
  <si>
    <t xml:space="preserve"> 0.3482850216880859
</t>
  </si>
  <si>
    <t xml:space="preserve"> current price of reit option is: 5.5985316901480715</t>
  </si>
  <si>
    <t xml:space="preserve"> predicted price of reit is: 38.62467339380509
</t>
  </si>
  <si>
    <t xml:space="preserve"> 38.62467339380509
</t>
  </si>
  <si>
    <t>value_ratio_gold_to_total is: 0.5492564202366674</t>
  </si>
  <si>
    <t xml:space="preserve"> risk_ratio_to_gold is: 0.702427183853181</t>
  </si>
  <si>
    <t xml:space="preserve"> risk_ratio_to_gold_before is: 0.7030282403574174
</t>
  </si>
  <si>
    <t xml:space="preserve"> 0.7030282403574174
</t>
  </si>
  <si>
    <t>value_ratio_tb_to_total is: 0.1939724106790342</t>
  </si>
  <si>
    <t xml:space="preserve"> risk_ratio_tb_to_gold is: 0.23106116661932477</t>
  </si>
  <si>
    <t xml:space="preserve"> risk_ratio_tb_to_gold_before is: 0.23031633118538
</t>
  </si>
  <si>
    <t xml:space="preserve"> 0.23031633118538
</t>
  </si>
  <si>
    <t>value_ratio_reit_to_total is: 0.2567711690842984</t>
  </si>
  <si>
    <t xml:space="preserve"> risk_ratio_reit_to_gold is: 0.19257394174091294</t>
  </si>
  <si>
    <t xml:space="preserve"> risk_ratio_reit_to_gold_before is: 0.19210163525591553
</t>
  </si>
  <si>
    <t xml:space="preserve"> 0.19210163525591553
</t>
  </si>
  <si>
    <t xml:space="preserve"> delta_reit is: 0.9997693740675412
</t>
  </si>
  <si>
    <t xml:space="preserve"> 0.9997693740675412
</t>
  </si>
  <si>
    <t>delta_gold_risk is: 0.9996470660380182</t>
  </si>
  <si>
    <t xml:space="preserve"> delta_tb_risk is: 1.0006054015663006</t>
  </si>
  <si>
    <t xml:space="preserve"> delta_reit_risk is: 1.0003961964911625
</t>
  </si>
  <si>
    <t xml:space="preserve"> 1.0003961964911625
</t>
  </si>
  <si>
    <t xml:space="preserve">collateral_ratio_tranche_gold is: 0.8005083537840336
</t>
  </si>
  <si>
    <t xml:space="preserve"> 0.8005083537840336
</t>
  </si>
  <si>
    <t xml:space="preserve">collateral_ratio_tranche_tb is: 0.34987216941714
</t>
  </si>
  <si>
    <t xml:space="preserve"> 0.34987216941714
</t>
  </si>
  <si>
    <t xml:space="preserve">collateral_ratio_tranche_reit is: 0.3480667952872147
</t>
  </si>
  <si>
    <t xml:space="preserve"> 0.3480667952872147
</t>
  </si>
  <si>
    <t>Total plot size is: 149850919.72863588</t>
  </si>
  <si>
    <t xml:space="preserve"> plot size of gold is: 80022299.12607117</t>
  </si>
  <si>
    <t xml:space="preserve"> plot size of TB is: 35008274.190596044</t>
  </si>
  <si>
    <t xml:space="preserve"> plot size of REIT is: 34820346.41196866
</t>
  </si>
  <si>
    <t xml:space="preserve"> 34820346.41196866
</t>
  </si>
  <si>
    <t xml:space="preserve">collateral ratio is: 1.498509197286359
</t>
  </si>
  <si>
    <t xml:space="preserve"> 1.498509197286359
</t>
  </si>
  <si>
    <t>S_gtbcps_0 is: 1.0001841944706669</t>
  </si>
  <si>
    <t xml:space="preserve">stdev_gtbcps is: 0.010543881405743041
</t>
  </si>
  <si>
    <t xml:space="preserve"> 0.010543881405743041
</t>
  </si>
  <si>
    <t>predicted price of GTBCPS is: 1.0001993880685132</t>
  </si>
  <si>
    <t xml:space="preserve"> actual price is: 1.0001841944706669
</t>
  </si>
  <si>
    <t xml:space="preserve"> 1.0001841944706669
</t>
  </si>
  <si>
    <t>predicted amount of GTBCPS is: 99980065.16791633</t>
  </si>
  <si>
    <t xml:space="preserve"> actual amount is: 99981583.94506879
</t>
  </si>
  <si>
    <t>plot sizes of gold is: 80022299.12607117</t>
  </si>
  <si>
    <t xml:space="preserve"> plot sizes of tb is: 35008274.190596044 </t>
  </si>
  <si>
    <t xml:space="preserve"> plot sizes of reit is: 34820346.41196866</t>
  </si>
  <si>
    <t xml:space="preserve"> plot sizes of total is: 149850919.72863588.
</t>
  </si>
  <si>
    <t xml:space="preserve"> 149850919.72863588.
</t>
  </si>
  <si>
    <t>predicted stdevs of gold is: 0.009443457252246702</t>
  </si>
  <si>
    <t xml:space="preserve"> predicted stdevs of tb is: 0.0016568921758278478</t>
  </si>
  <si>
    <t xml:space="preserve"> predicted stdevs of reit is: 0.022007771561906884</t>
  </si>
  <si>
    <t xml:space="preserve"> predicted stdevs of GTBCPS is: 0.010543881405743041.
</t>
  </si>
  <si>
    <t xml:space="preserve"> 0.010543881405743041.
</t>
  </si>
  <si>
    <t>total_value_of_collaterals is: 149851442.88446704</t>
  </si>
  <si>
    <t xml:space="preserve"> createdtionValue_gold is: -1215.608553160027</t>
  </si>
  <si>
    <t xml:space="preserve"> createdValue_tb is: -531.8045568939883</t>
  </si>
  <si>
    <t xml:space="preserve"> createdValue_reit is: -528.9501563073649
</t>
  </si>
  <si>
    <t xml:space="preserve"> -528.9501563073649
</t>
  </si>
  <si>
    <t>plotValue_gold_after_creation is: 80023898.4402356</t>
  </si>
  <si>
    <t xml:space="preserve"> plotValue_tb_after_creation  is: 35008863.4538726</t>
  </si>
  <si>
    <t xml:space="preserve"> plotValue_reit_after_creation  is: 34820957.353625186</t>
  </si>
  <si>
    <t xml:space="preserve">total_value_after_creation is: 149853719.24773338
</t>
  </si>
  <si>
    <t xml:space="preserve"> 149853719.24773338
</t>
  </si>
  <si>
    <t>total_amount_gtncps_before_creation is: 99981583.94506879</t>
  </si>
  <si>
    <t>creation_amount_gtbcps is: -1518.7771524637938</t>
  </si>
  <si>
    <t xml:space="preserve">total_amount_gtbcps_new is: 99980065.16791633
</t>
  </si>
  <si>
    <t xml:space="preserve"> 99980065.16791633
</t>
  </si>
  <si>
    <t>payout of tranche of gold is: 383.7056112773837</t>
  </si>
  <si>
    <t xml:space="preserve"> payout of tranche of Treausry Bill Option is: 57.458719663623334</t>
  </si>
  <si>
    <t xml:space="preserve"> payout of tranche of Collar of REIT is: 81.99150021633129
</t>
  </si>
  <si>
    <t xml:space="preserve"> 81.99150021633129
</t>
  </si>
  <si>
    <t>Collateral size of tranche of gold is: 80023898.4402356</t>
  </si>
  <si>
    <t xml:space="preserve"> collateral size of tranche of Treausry Bill Option is: 35008863.4538726</t>
  </si>
  <si>
    <t xml:space="preserve"> collateral size of tranche of Collar of REIT is: 34820957.353625186
</t>
  </si>
  <si>
    <t xml:space="preserve"> 34820957.353625186
</t>
  </si>
  <si>
    <t>Collateral ratio of tranche of gold is: 0.8002268283168246</t>
  </si>
  <si>
    <t xml:space="preserve"> collateral ratio of tranche of Treausry Bill Option is: 0.3500833164931571</t>
  </si>
  <si>
    <t xml:space="preserve"> collateral ratio of tranche of Collar of REIT is: 0.34820428403468884
</t>
  </si>
  <si>
    <t xml:space="preserve"> 0.34820428403468884
</t>
  </si>
  <si>
    <t xml:space="preserve"> current price of reit option is: 5.581473211132092</t>
  </si>
  <si>
    <t xml:space="preserve"> predicted price of reit is: 38.64737306614945
</t>
  </si>
  <si>
    <t xml:space="preserve"> 38.64737306614945
</t>
  </si>
  <si>
    <t>value_ratio_gold_to_total is: 0.5491232584373282</t>
  </si>
  <si>
    <t xml:space="preserve"> risk_ratio_to_gold is: 0.6983993910160421</t>
  </si>
  <si>
    <t xml:space="preserve"> risk_ratio_to_gold_before is: 0.702427183853181
</t>
  </si>
  <si>
    <t xml:space="preserve"> 0.702427183853181
</t>
  </si>
  <si>
    <t>value_ratio_tb_to_total is: 0.19392538398207354</t>
  </si>
  <si>
    <t xml:space="preserve"> risk_ratio_tb_to_gold is: 0.23530818608603635</t>
  </si>
  <si>
    <t xml:space="preserve"> risk_ratio_tb_to_gold_before is: 0.23106116661932477
</t>
  </si>
  <si>
    <t xml:space="preserve"> 0.23106116661932477
</t>
  </si>
  <si>
    <t>value_ratio_reit_to_total is: 0.25695135758059817</t>
  </si>
  <si>
    <t xml:space="preserve"> risk_ratio_reit_to_gold is: 0.19653727778984792</t>
  </si>
  <si>
    <t xml:space="preserve"> risk_ratio_reit_to_gold_before is: 0.19257394174091294
</t>
  </si>
  <si>
    <t xml:space="preserve"> 0.19257394174091294
</t>
  </si>
  <si>
    <t xml:space="preserve"> delta_reit is: 0.9996109680676077
</t>
  </si>
  <si>
    <t xml:space="preserve"> 0.9996109680676077
</t>
  </si>
  <si>
    <t>delta_gold_risk is: 0.9976340880389241</t>
  </si>
  <si>
    <t xml:space="preserve"> delta_tb_risk is: 1.0034498850112985</t>
  </si>
  <si>
    <t xml:space="preserve"> delta_reit_risk is: 1.0033233461760445
</t>
  </si>
  <si>
    <t xml:space="preserve"> 1.0033233461760445
</t>
  </si>
  <si>
    <t xml:space="preserve">collateral_ratio_tranche_gold is: 0.8021245844654845
</t>
  </si>
  <si>
    <t xml:space="preserve"> 0.8021245844654845
</t>
  </si>
  <si>
    <t xml:space="preserve">collateral_ratio_tranche_tb is: 0.3488797215709635
</t>
  </si>
  <si>
    <t xml:space="preserve"> 0.3488797215709635
</t>
  </si>
  <si>
    <t xml:space="preserve">collateral_ratio_tranche_reit is: 0.3469158998201273
</t>
  </si>
  <si>
    <t xml:space="preserve"> 0.3469158998201273
</t>
  </si>
  <si>
    <t>Total plot size is: 149840172.78340635</t>
  </si>
  <si>
    <t xml:space="preserve"> plot size of gold is: 80023898.4402356</t>
  </si>
  <si>
    <t xml:space="preserve"> plot size of TB is: 35008863.4538726</t>
  </si>
  <si>
    <t xml:space="preserve"> plot size of REIT is: 34807410.889298156
</t>
  </si>
  <si>
    <t xml:space="preserve"> 34807410.889298156
</t>
  </si>
  <si>
    <t xml:space="preserve">collateral ratio is: 1.4984017278340638
</t>
  </si>
  <si>
    <t xml:space="preserve"> 1.4984017278340638
</t>
  </si>
  <si>
    <t>S_gtbcps_0 is: 1.0001993880685132</t>
  </si>
  <si>
    <t xml:space="preserve">stdev_gtbcps is: 0.010515809801455736
</t>
  </si>
  <si>
    <t xml:space="preserve"> 0.010515809801455736
</t>
  </si>
  <si>
    <t>predicted price of GTBCPS is: 1.0002055723706105</t>
  </si>
  <si>
    <t xml:space="preserve"> actual price is: 1.0001993880685132
</t>
  </si>
  <si>
    <t xml:space="preserve"> 1.0001993880685132
</t>
  </si>
  <si>
    <t>predicted amount of GTBCPS is: 99979446.98807034</t>
  </si>
  <si>
    <t xml:space="preserve"> actual amount is: 99980065.16791633
</t>
  </si>
  <si>
    <t>plot sizes of gold is: 80023898.4402356</t>
  </si>
  <si>
    <t xml:space="preserve"> plot sizes of tb is: 35008863.4538726 </t>
  </si>
  <si>
    <t xml:space="preserve"> plot sizes of reit is: 34807410.889298156</t>
  </si>
  <si>
    <t xml:space="preserve"> plot sizes of total is: 149840172.78340638.
</t>
  </si>
  <si>
    <t xml:space="preserve"> 149840172.78340638.
</t>
  </si>
  <si>
    <t>predicted stdevs of gold is: 0.009301901538202928</t>
  </si>
  <si>
    <t xml:space="preserve"> predicted stdevs of tb is: 0.001654669397829055</t>
  </si>
  <si>
    <t xml:space="preserve"> predicted stdevs of reit is: 0.02221906826288046</t>
  </si>
  <si>
    <t xml:space="preserve"> predicted stdevs of GTBCPS is: 0.010515809801455736.
</t>
  </si>
  <si>
    <t xml:space="preserve"> 0.010515809801455736.
</t>
  </si>
  <si>
    <t>total_value_of_collaterals is: 149840385.60618994</t>
  </si>
  <si>
    <t xml:space="preserve"> createdtionValue_gold is: -494.79427299938595</t>
  </si>
  <si>
    <t xml:space="preserve"> createdValue_tb is: -216.46237197071085</t>
  </si>
  <si>
    <t xml:space="preserve"> createdValue_reit is: -215.21683820471986
</t>
  </si>
  <si>
    <t xml:space="preserve"> -215.21683820471986
</t>
  </si>
  <si>
    <t>plotValue_gold_after_creation is: 80024549.45787838</t>
  </si>
  <si>
    <t xml:space="preserve"> plotValue_tb_after_creation  is: 35009103.25120378</t>
  </si>
  <si>
    <t xml:space="preserve"> plotValue_reit_after_creation  is: 34807659.37059095</t>
  </si>
  <si>
    <t xml:space="preserve">total_value_after_creation is: 149841312.0796731
</t>
  </si>
  <si>
    <t xml:space="preserve"> 149841312.0796731
</t>
  </si>
  <si>
    <t>total_amount_gtncps_before_creation is: 99980065.16791633</t>
  </si>
  <si>
    <t>creation_amount_gtbcps is: -618.1798459887505</t>
  </si>
  <si>
    <t xml:space="preserve">total_amount_gtbcps_new is: 99979446.98807034
</t>
  </si>
  <si>
    <t xml:space="preserve"> 99979446.98807034
</t>
  </si>
  <si>
    <t>payout of tranche of gold is: 156.2233697749607</t>
  </si>
  <si>
    <t xml:space="preserve"> payout of tranche of Treausry Bill Option is: 23.33495921358122</t>
  </si>
  <si>
    <t xml:space="preserve"> payout of tranche of Collar of REIT is: 33.26445458913495
</t>
  </si>
  <si>
    <t xml:space="preserve"> 33.26445458913495
</t>
  </si>
  <si>
    <t>Collateral size of tranche of gold is: 80024549.45787838</t>
  </si>
  <si>
    <t xml:space="preserve"> collateral size of tranche of Treausry Bill Option is: 35009103.25120378</t>
  </si>
  <si>
    <t xml:space="preserve"> collateral size of tranche of Collar of REIT is: 34807659.37059095
</t>
  </si>
  <si>
    <t xml:space="preserve"> 34807659.37059095
</t>
  </si>
  <si>
    <t>Collateral ratio of tranche of gold is: 0.8002405466360538</t>
  </si>
  <si>
    <t xml:space="preserve"> collateral ratio of tranche of Treausry Bill Option is: 0.35008886788831817</t>
  </si>
  <si>
    <t xml:space="preserve"> collateral ratio of tranche of Collar of REIT is: 0.3480744415375274
</t>
  </si>
  <si>
    <t xml:space="preserve"> 0.3480744415375274
</t>
  </si>
  <si>
    <t xml:space="preserve"> current price of reit option is: 5.564790393646092</t>
  </si>
  <si>
    <t xml:space="preserve"> predicted price of reit is: 38.69795739390459
</t>
  </si>
  <si>
    <t xml:space="preserve"> 38.69795739390459
</t>
  </si>
  <si>
    <t>value_ratio_gold_to_total is: 0.548324362674756</t>
  </si>
  <si>
    <t xml:space="preserve"> risk_ratio_to_gold is: 0.6999553241820025</t>
  </si>
  <si>
    <t xml:space="preserve"> risk_ratio_to_gold_before is: 0.6983993910160421
</t>
  </si>
  <si>
    <t xml:space="preserve"> 0.6983993910160421
</t>
  </si>
  <si>
    <t>value_ratio_tb_to_total is: 0.19364325029871915</t>
  </si>
  <si>
    <t xml:space="preserve"> risk_ratio_tb_to_gold is: 0.2334299437803866</t>
  </si>
  <si>
    <t xml:space="preserve"> risk_ratio_tb_to_gold_before is: 0.23530818608603635
</t>
  </si>
  <si>
    <t xml:space="preserve"> 0.23530818608603635
</t>
  </si>
  <si>
    <t>value_ratio_reit_to_total is: 0.25803238702652487</t>
  </si>
  <si>
    <t xml:space="preserve"> risk_ratio_reit_to_gold is: 0.19523266574921802</t>
  </si>
  <si>
    <t xml:space="preserve"> risk_ratio_reit_to_gold_before is: 0.19653727778984792
</t>
  </si>
  <si>
    <t xml:space="preserve"> 0.19653727778984792
</t>
  </si>
  <si>
    <t xml:space="preserve"> delta_reit is: 0.9996193872515843
</t>
  </si>
  <si>
    <t xml:space="preserve"> 0.9996193872515843
</t>
  </si>
  <si>
    <t>delta_gold_risk is: 1.0009161173597865</t>
  </si>
  <si>
    <t xml:space="preserve"> delta_tb_risk is: 0.9984795354496914</t>
  </si>
  <si>
    <t xml:space="preserve"> delta_reit_risk is: 0.9989096770615958
</t>
  </si>
  <si>
    <t xml:space="preserve"> 0.9989096770615958
</t>
  </si>
  <si>
    <t xml:space="preserve">collateral_ratio_tranche_gold is: 0.7995081033832545
</t>
  </si>
  <si>
    <t xml:space="preserve"> 0.7995081033832545
</t>
  </si>
  <si>
    <t xml:space="preserve">collateral_ratio_tranche_tb is: 0.3506219761736493
</t>
  </si>
  <si>
    <t xml:space="preserve"> 0.3506219761736493
</t>
  </si>
  <si>
    <t xml:space="preserve">collateral_ratio_tranche_reit is: 0.3483217431541865
</t>
  </si>
  <si>
    <t xml:space="preserve"> 0.3483217431541865
</t>
  </si>
  <si>
    <t>Total plot size is: 149828063.84077415</t>
  </si>
  <si>
    <t xml:space="preserve"> plot size of gold is: 80024549.45787838</t>
  </si>
  <si>
    <t xml:space="preserve"> plot size of TB is: 35009103.25120378</t>
  </si>
  <si>
    <t xml:space="preserve"> plot size of REIT is: 34794411.13169199
</t>
  </si>
  <si>
    <t xml:space="preserve"> 34794411.13169199
</t>
  </si>
  <si>
    <t xml:space="preserve">collateral ratio is: 1.4982806384077414
</t>
  </si>
  <si>
    <t xml:space="preserve"> 1.4982806384077414
</t>
  </si>
  <si>
    <t>S_gtbcps_0 is: 1.0002055723706105</t>
  </si>
  <si>
    <t xml:space="preserve">stdev_gtbcps is: 0.010586814957098258
</t>
  </si>
  <si>
    <t xml:space="preserve"> 0.010586814957098258
</t>
  </si>
  <si>
    <t>predicted price of GTBCPS is: 1.0002025920469548</t>
  </si>
  <si>
    <t xml:space="preserve"> actual price is: 1.0002055723706105
</t>
  </si>
  <si>
    <t xml:space="preserve"> 1.0002055723706105
</t>
  </si>
  <si>
    <t>predicted amount of GTBCPS is: 99979744.89882693</t>
  </si>
  <si>
    <t xml:space="preserve"> actual amount is: 99979446.98807034
</t>
  </si>
  <si>
    <t>plot sizes of gold is: 80024549.45787838</t>
  </si>
  <si>
    <t xml:space="preserve"> plot sizes of tb is: 35009103.25120378 </t>
  </si>
  <si>
    <t xml:space="preserve"> plot sizes of reit is: 34794411.13169199</t>
  </si>
  <si>
    <t xml:space="preserve"> plot sizes of total is: 149828063.84077415.
</t>
  </si>
  <si>
    <t xml:space="preserve"> 149828063.84077415.
</t>
  </si>
  <si>
    <t>predicted stdevs of gold is: 0.009345114791235962</t>
  </si>
  <si>
    <t xml:space="preserve"> predicted stdevs of tb is: 0.0016588852781791875</t>
  </si>
  <si>
    <t xml:space="preserve"> predicted stdevs of reit is: 0.022425650416177806</t>
  </si>
  <si>
    <t xml:space="preserve"> predicted stdevs of GTBCPS is: 0.010586814957098258.
</t>
  </si>
  <si>
    <t xml:space="preserve"> 0.010586814957098258.
</t>
  </si>
  <si>
    <t>total_value_of_collaterals is: 149827961.18017402</t>
  </si>
  <si>
    <t xml:space="preserve"> createdtionValue_gold is: 238.44980193284388</t>
  </si>
  <si>
    <t xml:space="preserve"> createdValue_tb is: 104.316978307077</t>
  </si>
  <si>
    <t xml:space="preserve"> createdValue_reit is: 103.67726018435283
</t>
  </si>
  <si>
    <t xml:space="preserve"> 103.67726018435283
</t>
  </si>
  <si>
    <t>plotValue_gold_after_creation is: 80024231.43328136</t>
  </si>
  <si>
    <t xml:space="preserve"> plotValue_tb_after_creation  is: 35008986.99348549</t>
  </si>
  <si>
    <t xml:space="preserve"> plotValue_reit_after_creation  is: 34794296.30936674</t>
  </si>
  <si>
    <t xml:space="preserve">total_value_after_creation is: 149827514.73613358
</t>
  </si>
  <si>
    <t xml:space="preserve"> 149827514.73613358
</t>
  </si>
  <si>
    <t>total_amount_gtncps_before_creation is: 99979446.98807034</t>
  </si>
  <si>
    <t>creation_amount_gtbcps is: 297.9107565879822</t>
  </si>
  <si>
    <t xml:space="preserve">total_amount_gtbcps_new is: 99979744.89882693
</t>
  </si>
  <si>
    <t xml:space="preserve"> 99979744.89882693
</t>
  </si>
  <si>
    <t>payout of tranche of gold is: -79.57479508294692</t>
  </si>
  <si>
    <t xml:space="preserve"> payout of tranche of Treausry Bill Option is: -11.9407399873277</t>
  </si>
  <si>
    <t xml:space="preserve"> payout of tranche of Collar of REIT is: -11.145065071766114
</t>
  </si>
  <si>
    <t xml:space="preserve"> -11.145065071766114
</t>
  </si>
  <si>
    <t>Collateral size of tranche of gold is: 80024231.43328136</t>
  </si>
  <si>
    <t xml:space="preserve"> collateral size of tranche of Treausry Bill Option is: 35008986.99348549</t>
  </si>
  <si>
    <t xml:space="preserve"> collateral size of tranche of Collar of REIT is: 34794296.30936674
</t>
  </si>
  <si>
    <t xml:space="preserve"> 34794296.30936674
</t>
  </si>
  <si>
    <t>Collateral ratio of tranche of gold is: 0.8002446988308329</t>
  </si>
  <si>
    <t xml:space="preserve"> collateral ratio of tranche of Treausry Bill Option is: 0.3500909131046379</t>
  </si>
  <si>
    <t xml:space="preserve"> collateral ratio of tranche of Collar of REIT is: 0.3479439998662692
</t>
  </si>
  <si>
    <t xml:space="preserve"> 0.3479439998662692
</t>
  </si>
  <si>
    <t xml:space="preserve"> current price of reit option is: 5.603231038338329</t>
  </si>
  <si>
    <t xml:space="preserve"> predicted price of reit is: 38.8449696400451
</t>
  </si>
  <si>
    <t xml:space="preserve"> 38.8449696400451
</t>
  </si>
  <si>
    <t>value_ratio_gold_to_total is: 0.5439949428381112</t>
  </si>
  <si>
    <t xml:space="preserve"> risk_ratio_to_gold is: 0.6997617481001308</t>
  </si>
  <si>
    <t xml:space="preserve"> risk_ratio_to_gold_before is: 0.6999553241820025
</t>
  </si>
  <si>
    <t xml:space="preserve"> 0.6999553241820025
</t>
  </si>
  <si>
    <t>value_ratio_tb_to_total is: 0.1921142959312968</t>
  </si>
  <si>
    <t xml:space="preserve"> risk_ratio_tb_to_gold is: 0.2346402188888015</t>
  </si>
  <si>
    <t xml:space="preserve"> risk_ratio_tb_to_gold_before is: 0.2334299437803866
</t>
  </si>
  <si>
    <t xml:space="preserve"> 0.2334299437803866
</t>
  </si>
  <si>
    <t>value_ratio_reit_to_total is: 0.263890761230592</t>
  </si>
  <si>
    <t xml:space="preserve"> risk_ratio_reit_to_gold is: 0.19441760359867072</t>
  </si>
  <si>
    <t xml:space="preserve"> risk_ratio_reit_to_gold_before is: 0.19523266574921802
</t>
  </si>
  <si>
    <t xml:space="preserve"> 0.19523266574921802
</t>
  </si>
  <si>
    <t xml:space="preserve"> delta_reit is: 1.0008773440280525
</t>
  </si>
  <si>
    <t xml:space="preserve"> 1.0008773440280525
</t>
  </si>
  <si>
    <t>delta_gold_risk is: 0.9998861287240212</t>
  </si>
  <si>
    <t xml:space="preserve"> delta_tb_risk is: 1.0009812272796828</t>
  </si>
  <si>
    <t xml:space="preserve"> delta_reit_risk is: 0.9993180723938494
</t>
  </si>
  <si>
    <t xml:space="preserve"> 0.9993180723938494
</t>
  </si>
  <si>
    <t xml:space="preserve">collateral_ratio_tranche_gold is: 0.8003358340934728
</t>
  </si>
  <si>
    <t xml:space="preserve"> 0.8003358340934728
</t>
  </si>
  <si>
    <t xml:space="preserve">collateral_ratio_tranche_tb is: 0.3497477310898854
</t>
  </si>
  <si>
    <t xml:space="preserve"> 0.3497477310898854
</t>
  </si>
  <si>
    <t xml:space="preserve">collateral_ratio_tranche_reit is: 0.3484869093004827
</t>
  </si>
  <si>
    <t xml:space="preserve"> 0.3484869093004827
</t>
  </si>
  <si>
    <t>Total plot size is: 149858041.3042109</t>
  </si>
  <si>
    <t xml:space="preserve"> plot size of gold is: 80024231.43328136</t>
  </si>
  <si>
    <t xml:space="preserve"> plot size of TB is: 35008986.99348549</t>
  </si>
  <si>
    <t xml:space="preserve"> plot size of REIT is: 34824822.87744405
</t>
  </si>
  <si>
    <t xml:space="preserve"> 34824822.87744405
</t>
  </si>
  <si>
    <t xml:space="preserve">collateral ratio is: 1.498580413042109
</t>
  </si>
  <si>
    <t xml:space="preserve"> 1.498580413042109
</t>
  </si>
  <si>
    <t>S_gtbcps_0 is: 1.0002025920469548</t>
  </si>
  <si>
    <t xml:space="preserve">stdev_gtbcps is: 0.01046902325430635
</t>
  </si>
  <si>
    <t xml:space="preserve"> 0.01046902325430635
</t>
  </si>
  <si>
    <t>predicted price of GTBCPS is: 1.0001781819775197</t>
  </si>
  <si>
    <t xml:space="preserve"> actual price is: 1.0002025920469548
</t>
  </si>
  <si>
    <t xml:space="preserve"> 1.0002025920469548
</t>
  </si>
  <si>
    <t>predicted amount of GTBCPS is: 99982184.97656414</t>
  </si>
  <si>
    <t xml:space="preserve"> actual amount is: 99979744.89882693
</t>
  </si>
  <si>
    <t>plot sizes of gold is: 80024231.43328136</t>
  </si>
  <si>
    <t xml:space="preserve"> plot sizes of tb is: 35008986.99348549 </t>
  </si>
  <si>
    <t xml:space="preserve"> plot sizes of reit is: 34824822.87744405</t>
  </si>
  <si>
    <t xml:space="preserve"> plot sizes of total is: 149858041.3042109.
</t>
  </si>
  <si>
    <t xml:space="preserve"> 149858041.3042109.
</t>
  </si>
  <si>
    <t>predicted stdevs of gold is: 0.009320801016461315</t>
  </si>
  <si>
    <t xml:space="preserve"> predicted stdevs of tb is: 0.0016735171778060466</t>
  </si>
  <si>
    <t xml:space="preserve"> predicted stdevs of reit is: 0.021949551420622656</t>
  </si>
  <si>
    <t xml:space="preserve"> predicted stdevs of GTBCPS is: 0.01046902325430635.
</t>
  </si>
  <si>
    <t xml:space="preserve"> 0.01046902325430635.
</t>
  </si>
  <si>
    <t>total_value_of_collaterals is: 149857200.7294861</t>
  </si>
  <si>
    <t xml:space="preserve"> createdtionValue_gold is: 1952.986339460422</t>
  </si>
  <si>
    <t xml:space="preserve"> createdValue_tb is: 854.3964571994105</t>
  </si>
  <si>
    <t xml:space="preserve"> createdValue_reit is: 849.9009419048704
</t>
  </si>
  <si>
    <t xml:space="preserve"> 849.9009419048704
</t>
  </si>
  <si>
    <t>plotValue_gold_after_creation is: 80021662.02837154</t>
  </si>
  <si>
    <t xml:space="preserve"> plotValue_tb_after_creation  is: 35008040.33024564</t>
  </si>
  <si>
    <t xml:space="preserve"> plotValue_reit_after_creation  is: 34823841.08713037</t>
  </si>
  <si>
    <t xml:space="preserve">total_value_after_creation is: 149853543.44574755
</t>
  </si>
  <si>
    <t xml:space="preserve"> 149853543.44574755
</t>
  </si>
  <si>
    <t>total_amount_gtncps_before_creation is: 99979744.89882693</t>
  </si>
  <si>
    <t>creation_amount_gtbcps is: 2440.077737212181</t>
  </si>
  <si>
    <t xml:space="preserve">total_amount_gtbcps_new is: 99982184.97656414
</t>
  </si>
  <si>
    <t xml:space="preserve"> 99982184.97656414
</t>
  </si>
  <si>
    <t>payout of tranche of gold is: -616.4185703527379</t>
  </si>
  <si>
    <t xml:space="preserve"> payout of tranche of Treausry Bill Option is: -92.26678264840689</t>
  </si>
  <si>
    <t xml:space="preserve"> payout of tranche of Collar of REIT is: -131.8893717726781
</t>
  </si>
  <si>
    <t xml:space="preserve"> -131.8893717726781
</t>
  </si>
  <si>
    <t>Collateral size of tranche of gold is: 80021662.02837154</t>
  </si>
  <si>
    <t xml:space="preserve"> collateral size of tranche of Treausry Bill Option is: 35008040.33024564</t>
  </si>
  <si>
    <t xml:space="preserve"> collateral size of tranche of Collar of REIT is: 34823841.08713037
</t>
  </si>
  <si>
    <t xml:space="preserve"> 34823841.08713037
</t>
  </si>
  <si>
    <t>Collateral ratio of tranche of gold is: 0.80023615014711</t>
  </si>
  <si>
    <t xml:space="preserve"> collateral ratio of tranche of Treausry Bill Option is: 0.3500889472670284</t>
  </si>
  <si>
    <t xml:space="preserve"> collateral ratio of tranche of Collar of REIT is: 0.34824690988072277
</t>
  </si>
  <si>
    <t xml:space="preserve"> 0.34824690988072277
</t>
  </si>
  <si>
    <t xml:space="preserve"> current price of reit option is: 5.7292866747120215</t>
  </si>
  <si>
    <t xml:space="preserve"> predicted price of reit is: 38.73601792360298
</t>
  </si>
  <si>
    <t xml:space="preserve"> 38.73601792360298
</t>
  </si>
  <si>
    <t>value_ratio_gold_to_total is: 0.5435990907600589</t>
  </si>
  <si>
    <t xml:space="preserve"> risk_ratio_to_gold is: 0.699279690488107</t>
  </si>
  <si>
    <t xml:space="preserve"> risk_ratio_to_gold_before is: 0.6997617481001308
</t>
  </si>
  <si>
    <t xml:space="preserve"> 0.6997617481001308
</t>
  </si>
  <si>
    <t>value_ratio_tb_to_total is: 0.19197449896393676</t>
  </si>
  <si>
    <t xml:space="preserve"> risk_ratio_tb_to_gold is: 0.23680353581976077</t>
  </si>
  <si>
    <t xml:space="preserve"> risk_ratio_tb_to_gold_before is: 0.2346402188888015
</t>
  </si>
  <si>
    <t xml:space="preserve"> 0.2346402188888015
</t>
  </si>
  <si>
    <t>value_ratio_reit_to_total is: 0.26442641027600433</t>
  </si>
  <si>
    <t xml:space="preserve"> risk_ratio_reit_to_gold is: 0.19323942639180608</t>
  </si>
  <si>
    <t xml:space="preserve"> risk_ratio_reit_to_gold_before is: 0.19441760359867072
</t>
  </si>
  <si>
    <t xml:space="preserve"> 0.19441760359867072
</t>
  </si>
  <si>
    <t xml:space="preserve"> delta_reit is: 1.0028744891400019
</t>
  </si>
  <si>
    <t xml:space="preserve"> 1.0028744891400019
</t>
  </si>
  <si>
    <t>delta_gold_risk is: 0.9997163969523595</t>
  </si>
  <si>
    <t xml:space="preserve"> delta_tb_risk is: 1.0017521840758647</t>
  </si>
  <si>
    <t xml:space="preserve"> delta_reit_risk is: 0.9990135969167611
</t>
  </si>
  <si>
    <t xml:space="preserve"> 0.9990135969167611
</t>
  </si>
  <si>
    <t xml:space="preserve">collateral_ratio_tranche_gold is: 0.8004631639399273
</t>
  </si>
  <si>
    <t xml:space="preserve"> 0.8004631639399273
</t>
  </si>
  <si>
    <t xml:space="preserve">collateral_ratio_tranche_tb is: 0.34947659993373714
</t>
  </si>
  <si>
    <t xml:space="preserve"> 0.34947659993373714
</t>
  </si>
  <si>
    <t xml:space="preserve">collateral_ratio_tranche_reit is: 0.34959278123850585
</t>
  </si>
  <si>
    <t xml:space="preserve"> 0.34959278123850585
</t>
  </si>
  <si>
    <t>Total plot size is: 149953644.19876567</t>
  </si>
  <si>
    <t xml:space="preserve"> plot size of gold is: 80021662.02837154</t>
  </si>
  <si>
    <t xml:space="preserve"> plot size of TB is: 35008040.33024564</t>
  </si>
  <si>
    <t xml:space="preserve"> plot size of REIT is: 34923941.84014848
</t>
  </si>
  <si>
    <t xml:space="preserve"> 34923941.84014848
</t>
  </si>
  <si>
    <t xml:space="preserve">collateral ratio is: 1.4995364419876567
</t>
  </si>
  <si>
    <t xml:space="preserve"> 1.4995364419876567
</t>
  </si>
  <si>
    <t>S_gtbcps_0 is: 1.0001781819775197</t>
  </si>
  <si>
    <t xml:space="preserve">stdev_gtbcps is: 0.009999123470328192
</t>
  </si>
  <si>
    <t xml:space="preserve"> 0.009999123470328192
</t>
  </si>
  <si>
    <t>predicted price of GTBCPS is: 1.0001437956143227</t>
  </si>
  <si>
    <t xml:space="preserve"> actual price is: 1.0001781819775197
</t>
  </si>
  <si>
    <t xml:space="preserve"> 1.0001781819775197
</t>
  </si>
  <si>
    <t>predicted amount of GTBCPS is: 99985622.50598831</t>
  </si>
  <si>
    <t xml:space="preserve"> actual amount is: 99982184.97656414
</t>
  </si>
  <si>
    <t>plot sizes of gold is: 80021662.02837154</t>
  </si>
  <si>
    <t xml:space="preserve"> plot sizes of tb is: 35008040.33024564 </t>
  </si>
  <si>
    <t xml:space="preserve"> plot sizes of reit is: 34923941.84014848</t>
  </si>
  <si>
    <t xml:space="preserve"> plot sizes of total is: 149953644.19876567.
</t>
  </si>
  <si>
    <t xml:space="preserve"> 149953644.19876567.
</t>
  </si>
  <si>
    <t>predicted stdevs of gold is: 0.009123444665614898</t>
  </si>
  <si>
    <t xml:space="preserve"> predicted stdevs of tb is: 0.0016387846985629491</t>
  </si>
  <si>
    <t xml:space="preserve"> predicted stdevs of reit is: 0.020386048059568864</t>
  </si>
  <si>
    <t xml:space="preserve"> predicted stdevs of GTBCPS is: 0.009999123470328192.
</t>
  </si>
  <si>
    <t xml:space="preserve"> 0.009999123470328192.
</t>
  </si>
  <si>
    <t>total_value_of_collaterals is: 149952460.25330034</t>
  </si>
  <si>
    <t xml:space="preserve"> createdtionValue_gold is: 2751.1338994368557</t>
  </si>
  <si>
    <t xml:space="preserve"> createdValue_tb is: 1203.580273164065</t>
  </si>
  <si>
    <t xml:space="preserve"> createdValue_reit is: 1200.6869883747277
</t>
  </si>
  <si>
    <t xml:space="preserve"> 1200.6869883747277
</t>
  </si>
  <si>
    <t>plotValue_gold_after_creation is: 80018043.33493297</t>
  </si>
  <si>
    <t xml:space="preserve"> plotValue_tb_after_creation  is: 35006707.04353082</t>
  </si>
  <si>
    <t xml:space="preserve"> plotValue_reit_after_creation  is: 34922554.47367558</t>
  </si>
  <si>
    <t xml:space="preserve">total_value_after_creation is: 149947304.85213935
</t>
  </si>
  <si>
    <t xml:space="preserve"> 149947304.85213935
</t>
  </si>
  <si>
    <t>total_amount_gtncps_before_creation is: 99982184.97656414</t>
  </si>
  <si>
    <t>creation_amount_gtbcps is: 3437.52942417562</t>
  </si>
  <si>
    <t xml:space="preserve">total_amount_gtbcps_new is: 99985622.50598831
</t>
  </si>
  <si>
    <t xml:space="preserve"> 99985622.50598831
</t>
  </si>
  <si>
    <t>payout of tranche of gold is: -867.5595391447134</t>
  </si>
  <si>
    <t xml:space="preserve"> payout of tranche of Treausry Bill Option is: -129.7064416466655</t>
  </si>
  <si>
    <t xml:space="preserve"> payout of tranche of Collar of REIT is: -186.67948452013337
</t>
  </si>
  <si>
    <t xml:space="preserve"> -186.67948452013337
</t>
  </si>
  <si>
    <t>Collateral size of tranche of gold is: 80018043.33493297</t>
  </si>
  <si>
    <t xml:space="preserve"> collateral size of tranche of Treausry Bill Option is: 35006707.04353082</t>
  </si>
  <si>
    <t xml:space="preserve"> collateral size of tranche of Collar of REIT is: 34922554.47367558
</t>
  </si>
  <si>
    <t xml:space="preserve"> 34922554.47367558
</t>
  </si>
  <si>
    <t>Collateral ratio of tranche of gold is: 0.800207944688324</t>
  </si>
  <si>
    <t xml:space="preserve"> collateral ratio of tranche of Treausry Bill Option is: 0.3500791062380399</t>
  </si>
  <si>
    <t xml:space="preserve"> collateral ratio of tranche of Collar of REIT is: 0.34923755160663955
</t>
  </si>
  <si>
    <t xml:space="preserve"> 0.34923755160663955
</t>
  </si>
  <si>
    <t xml:space="preserve"> current price of reit option is: 5.715265201512736</t>
  </si>
  <si>
    <t xml:space="preserve"> predicted price of reit is: 38.80555486811989
</t>
  </si>
  <si>
    <t xml:space="preserve"> 38.80555486811989
</t>
  </si>
  <si>
    <t>value_ratio_gold_to_total is: 0.5423182043257361</t>
  </si>
  <si>
    <t xml:space="preserve"> risk_ratio_to_gold is: 0.7014896660559254</t>
  </si>
  <si>
    <t xml:space="preserve"> risk_ratio_to_gold_before is: 0.699279690488107
</t>
  </si>
  <si>
    <t xml:space="preserve"> 0.699279690488107
</t>
  </si>
  <si>
    <t>value_ratio_tb_to_total is: 0.19152214807586776</t>
  </si>
  <si>
    <t xml:space="preserve"> risk_ratio_tb_to_gold is: 0.2342383795522623</t>
  </si>
  <si>
    <t xml:space="preserve"> risk_ratio_tb_to_gold_before is: 0.23680353581976077
</t>
  </si>
  <si>
    <t xml:space="preserve"> 0.23680353581976077
</t>
  </si>
  <si>
    <t>value_ratio_reit_to_total is: 0.26615964759839617</t>
  </si>
  <si>
    <t xml:space="preserve"> risk_ratio_reit_to_gold is: 0.19129937016602966</t>
  </si>
  <si>
    <t xml:space="preserve"> risk_ratio_reit_to_gold_before is: 0.19323942639180608
</t>
  </si>
  <si>
    <t xml:space="preserve"> 0.19323942639180608
</t>
  </si>
  <si>
    <t xml:space="preserve"> delta_reit is: 0.9996811800677216
</t>
  </si>
  <si>
    <t xml:space="preserve"> 0.9996811800677216
</t>
  </si>
  <si>
    <t>delta_gold_risk is: 1.001300536680447</t>
  </si>
  <si>
    <t xml:space="preserve"> delta_tb_risk is: 0.99792597919297</t>
  </si>
  <si>
    <t xml:space="preserve"> delta_reit_risk is: 0.9983741266146035
</t>
  </si>
  <si>
    <t xml:space="preserve"> 0.9983741266146035
</t>
  </si>
  <si>
    <t xml:space="preserve">collateral_ratio_tranche_gold is: 0.7991685966145654
</t>
  </si>
  <si>
    <t xml:space="preserve"> 0.7991685966145654
</t>
  </si>
  <si>
    <t xml:space="preserve">collateral_ratio_tranche_tb is: 0.35080668660530456
</t>
  </si>
  <si>
    <t xml:space="preserve"> 0.35080668660530456
</t>
  </si>
  <si>
    <t xml:space="preserve">collateral_ratio_tranche_reit is: 0.3496947671289747
</t>
  </si>
  <si>
    <t xml:space="preserve"> 0.3496947671289747
</t>
  </si>
  <si>
    <t>Total plot size is: 149936170.8456871</t>
  </si>
  <si>
    <t xml:space="preserve"> plot size of gold is: 80018043.33493297</t>
  </si>
  <si>
    <t xml:space="preserve"> plot size of TB is: 35006707.04353082</t>
  </si>
  <si>
    <t xml:space="preserve"> plot size of REIT is: 34911420.467223294
</t>
  </si>
  <si>
    <t xml:space="preserve"> 34911420.467223294
</t>
  </si>
  <si>
    <t xml:space="preserve">collateral ratio is: 1.499361708456871
</t>
  </si>
  <si>
    <t xml:space="preserve"> 1.499361708456871
</t>
  </si>
  <si>
    <t>S_gtbcps_0 is: 1.0001437956143227</t>
  </si>
  <si>
    <t xml:space="preserve">stdev_gtbcps is: 0.01008610405639724
</t>
  </si>
  <si>
    <t xml:space="preserve"> 0.01008610405639724
</t>
  </si>
  <si>
    <t>predicted price of GTBCPS is: 1.000113598260761</t>
  </si>
  <si>
    <t xml:space="preserve"> actual price is: 1.0001437956143227
</t>
  </si>
  <si>
    <t xml:space="preserve"> 1.0001437956143227
</t>
  </si>
  <si>
    <t>predicted amount of GTBCPS is: 99988641.46423382</t>
  </si>
  <si>
    <t xml:space="preserve"> actual amount is: 99985622.50598831
</t>
  </si>
  <si>
    <t>plot sizes of gold is: 80018043.33493297</t>
  </si>
  <si>
    <t xml:space="preserve"> plot sizes of tb is: 35006707.04353082 </t>
  </si>
  <si>
    <t xml:space="preserve"> plot sizes of reit is: 34911420.467223294</t>
  </si>
  <si>
    <t xml:space="preserve"> plot sizes of total is: 149936170.8456871.
</t>
  </si>
  <si>
    <t xml:space="preserve"> 149936170.8456871.
</t>
  </si>
  <si>
    <t>predicted stdevs of gold is: 0.00921469738398125</t>
  </si>
  <si>
    <t xml:space="preserve"> predicted stdevs of tb is: 0.0016324397255870918</t>
  </si>
  <si>
    <t xml:space="preserve"> predicted stdevs of reit is: 0.020560132401707724</t>
  </si>
  <si>
    <t xml:space="preserve"> predicted stdevs of GTBCPS is: 0.01008610405639724.
</t>
  </si>
  <si>
    <t xml:space="preserve"> 0.01008610405639724.
</t>
  </si>
  <si>
    <t>total_value_of_collaterals is: 149935130.62063095</t>
  </si>
  <si>
    <t xml:space="preserve"> createdtionValue_gold is: 2415.9614113714574</t>
  </si>
  <si>
    <t xml:space="preserve"> createdValue_tb is: 1056.9542733038008</t>
  </si>
  <si>
    <t xml:space="preserve"> createdValue_reit is: 1054.0775042393534
</t>
  </si>
  <si>
    <t xml:space="preserve"> 1054.0775042393534
</t>
  </si>
  <si>
    <t>plotValue_gold_after_creation is: 80014821.67778046</t>
  </si>
  <si>
    <t xml:space="preserve"> plotValue_tb_after_creation  is: 35005529.18681059</t>
  </si>
  <si>
    <t xml:space="preserve"> plotValue_reit_after_creation  is: 34910252.76285097</t>
  </si>
  <si>
    <t xml:space="preserve">total_value_after_creation is: 149930603.62744203
</t>
  </si>
  <si>
    <t xml:space="preserve"> 149930603.62744203
</t>
  </si>
  <si>
    <t>total_amount_gtncps_before_creation is: 99985622.50598831</t>
  </si>
  <si>
    <t>creation_amount_gtbcps is: 3018.958245500922</t>
  </si>
  <si>
    <t xml:space="preserve">total_amount_gtbcps_new is: 99988641.46423382
</t>
  </si>
  <si>
    <t xml:space="preserve"> 99988641.46423382
</t>
  </si>
  <si>
    <t>payout of tranche of gold is: -805.6957411302512</t>
  </si>
  <si>
    <t xml:space="preserve"> payout of tranche of Treausry Bill Option is: -120.90244692302392</t>
  </si>
  <si>
    <t xml:space="preserve"> payout of tranche of Collar of REIT is: -113.6268680874297
</t>
  </si>
  <si>
    <t xml:space="preserve"> -113.6268680874297
</t>
  </si>
  <si>
    <t>Collateral size of tranche of gold is: 80014821.67778046</t>
  </si>
  <si>
    <t xml:space="preserve"> collateral size of tranche of Treausry Bill Option is: 35005529.18681059</t>
  </si>
  <si>
    <t xml:space="preserve"> collateral size of tranche of Collar of REIT is: 34910252.76285097
</t>
  </si>
  <si>
    <t xml:space="preserve"> 34910252.76285097
</t>
  </si>
  <si>
    <t>Collateral ratio of tranche of gold is: 0.8001723763919184</t>
  </si>
  <si>
    <t xml:space="preserve"> collateral ratio of tranche of Treausry Bill Option is: 0.35006586141083895</t>
  </si>
  <si>
    <t xml:space="preserve"> collateral ratio of tranche of Collar of REIT is: 0.3491130684035521
</t>
  </si>
  <si>
    <t xml:space="preserve"> 0.3491130684035521
</t>
  </si>
  <si>
    <t xml:space="preserve"> current price of reit option is: 5.696650933880193</t>
  </si>
  <si>
    <t xml:space="preserve"> predicted price of reit is: 38.81786004792525
</t>
  </si>
  <si>
    <t xml:space="preserve"> 38.81786004792525
</t>
  </si>
  <si>
    <t>value_ratio_gold_to_total is: 0.5424634673032812</t>
  </si>
  <si>
    <t xml:space="preserve"> risk_ratio_to_gold is: 0.7003198317536119</t>
  </si>
  <si>
    <t xml:space="preserve"> risk_ratio_to_gold_before is: 0.7014896660559254
</t>
  </si>
  <si>
    <t xml:space="preserve"> 0.7014896660559254
</t>
  </si>
  <si>
    <t>value_ratio_tb_to_total is: 0.19157344835912105</t>
  </si>
  <si>
    <t xml:space="preserve"> risk_ratio_tb_to_gold is: 0.2353207174422388</t>
  </si>
  <si>
    <t xml:space="preserve"> risk_ratio_tb_to_gold_before is: 0.2342383795522623
</t>
  </si>
  <si>
    <t xml:space="preserve"> 0.2342383795522623
</t>
  </si>
  <si>
    <t>value_ratio_reit_to_total is: 0.2659630843375978</t>
  </si>
  <si>
    <t xml:space="preserve"> risk_ratio_reit_to_gold is: 0.1925982913569041</t>
  </si>
  <si>
    <t xml:space="preserve"> risk_ratio_reit_to_gold_before is: 0.19129937016602966
</t>
  </si>
  <si>
    <t xml:space="preserve"> 0.19129937016602966
</t>
  </si>
  <si>
    <t xml:space="preserve"> delta_reit is: 0.999576614230638
</t>
  </si>
  <si>
    <t xml:space="preserve"> 0.999576614230638
</t>
  </si>
  <si>
    <t>delta_gold_risk is: 0.9993124646445691</t>
  </si>
  <si>
    <t xml:space="preserve"> delta_tb_risk is: 1.000876927753915</t>
  </si>
  <si>
    <t xml:space="preserve"> delta_reit_risk is: 1.001090339862006
</t>
  </si>
  <si>
    <t xml:space="preserve"> 1.001090339862006
</t>
  </si>
  <si>
    <t xml:space="preserve">collateral_ratio_tranche_gold is: 0.8007229016967381
</t>
  </si>
  <si>
    <t xml:space="preserve"> 0.8007229016967381
</t>
  </si>
  <si>
    <t xml:space="preserve">collateral_ratio_tranche_tb is: 0.3497591479068538
</t>
  </si>
  <si>
    <t xml:space="preserve"> 0.3497591479068538
</t>
  </si>
  <si>
    <t xml:space="preserve">collateral_ratio_tranche_reit is: 0.3485851825786217
</t>
  </si>
  <si>
    <t xml:space="preserve"> 0.3485851825786217
</t>
  </si>
  <si>
    <t>Total plot size is: 149915823.1232174</t>
  </si>
  <si>
    <t xml:space="preserve"> plot size of gold is: 80014821.67778046</t>
  </si>
  <si>
    <t xml:space="preserve"> plot size of TB is: 35005529.18681059</t>
  </si>
  <si>
    <t xml:space="preserve"> plot size of REIT is: 34895472.25862635
</t>
  </si>
  <si>
    <t xml:space="preserve"> 34895472.25862635
</t>
  </si>
  <si>
    <t xml:space="preserve">collateral ratio is: 1.499158231232174
</t>
  </si>
  <si>
    <t xml:space="preserve"> 1.499158231232174
</t>
  </si>
  <si>
    <t>S_gtbcps_0 is: 1.000113598260761</t>
  </si>
  <si>
    <t xml:space="preserve">stdev_gtbcps is: 0.010194015813121703
</t>
  </si>
  <si>
    <t xml:space="preserve"> 0.010194015813121703
</t>
  </si>
  <si>
    <t>predicted price of GTBCPS is: 1.0001259130390387</t>
  </si>
  <si>
    <t xml:space="preserve"> actual price is: 1.000113598260761
</t>
  </si>
  <si>
    <t xml:space="preserve"> 1.000113598260761
</t>
  </si>
  <si>
    <t>predicted amount of GTBCPS is: 99987410.28130586</t>
  </si>
  <si>
    <t xml:space="preserve"> actual amount is: 99988641.46423382
</t>
  </si>
  <si>
    <t>plot sizes of gold is: 80014821.67778046</t>
  </si>
  <si>
    <t xml:space="preserve"> plot sizes of tb is: 35005529.18681059 </t>
  </si>
  <si>
    <t xml:space="preserve"> plot sizes of reit is: 34895472.25862635</t>
  </si>
  <si>
    <t xml:space="preserve"> plot sizes of total is: 149915823.1232174.
</t>
  </si>
  <si>
    <t xml:space="preserve"> 149915823.1232174.
</t>
  </si>
  <si>
    <t>predicted stdevs of gold is: 0.009311173197512663</t>
  </si>
  <si>
    <t xml:space="preserve"> predicted stdevs of tb is: 0.0016481578133082265</t>
  </si>
  <si>
    <t xml:space="preserve"> predicted stdevs of reit is: 0.020791172182166032</t>
  </si>
  <si>
    <t xml:space="preserve"> predicted stdevs of GTBCPS is: 0.010194015813121703.
</t>
  </si>
  <si>
    <t xml:space="preserve"> 0.010194015813121703.
</t>
  </si>
  <si>
    <t>total_value_of_collaterals is: 149916247.1009627</t>
  </si>
  <si>
    <t xml:space="preserve"> createdtionValue_gold is: -985.2566920394291</t>
  </si>
  <si>
    <t xml:space="preserve"> createdValue_tb is: -431.0369382526959</t>
  </si>
  <si>
    <t xml:space="preserve"> createdValue_reit is: -429.6820133807894
</t>
  </si>
  <si>
    <t xml:space="preserve"> -429.6820133807894
</t>
  </si>
  <si>
    <t>plotValue_gold_after_creation is: 80016117.7466156</t>
  </si>
  <si>
    <t xml:space="preserve"> plotValue_tb_after_creation  is: 35006006.74223904</t>
  </si>
  <si>
    <t xml:space="preserve"> plotValue_reit_after_creation  is: 34895968.58775173</t>
  </si>
  <si>
    <t xml:space="preserve">total_value_after_creation is: 149918093.0766064
</t>
  </si>
  <si>
    <t xml:space="preserve"> 149918093.0766064
</t>
  </si>
  <si>
    <t>total_amount_gtncps_before_creation is: 99988641.46423382</t>
  </si>
  <si>
    <t>creation_amount_gtbcps is: -1231.1829279512167</t>
  </si>
  <si>
    <t xml:space="preserve">total_amount_gtbcps_new is: 99987410.28130586
</t>
  </si>
  <si>
    <t xml:space="preserve"> 99987410.28130586
</t>
  </si>
  <si>
    <t>payout of tranche of gold is: 310.81214310930926</t>
  </si>
  <si>
    <t xml:space="preserve"> payout of tranche of Treausry Bill Option is: 46.51849020473045</t>
  </si>
  <si>
    <t xml:space="preserve"> payout of tranche of Collar of REIT is: 66.64711200638848
</t>
  </si>
  <si>
    <t xml:space="preserve"> 66.64711200638848
</t>
  </si>
  <si>
    <t>Collateral size of tranche of gold is: 80016117.7466156</t>
  </si>
  <si>
    <t xml:space="preserve"> collateral size of tranche of Treausry Bill Option is: 35006006.74223904</t>
  </si>
  <si>
    <t xml:space="preserve"> collateral size of tranche of Collar of REIT is: 34895968.58775173
</t>
  </si>
  <si>
    <t xml:space="preserve"> 34895968.58775173
</t>
  </si>
  <si>
    <t>Collateral ratio of tranche of gold is: 0.8001513248992357</t>
  </si>
  <si>
    <t xml:space="preserve"> collateral ratio of tranche of Treausry Bill Option is: 0.35005575705300795</t>
  </si>
  <si>
    <t xml:space="preserve"> collateral ratio of tranche of Collar of REIT is: 0.34895538905738355
</t>
  </si>
  <si>
    <t xml:space="preserve"> 0.34895538905738355
</t>
  </si>
  <si>
    <t xml:space="preserve"> current price of reit option is: 5.686012518203086</t>
  </si>
  <si>
    <t xml:space="preserve"> predicted price of reit is: 38.52232890421164
</t>
  </si>
  <si>
    <t xml:space="preserve"> 38.52232890421164
</t>
  </si>
  <si>
    <t>value_ratio_gold_to_total is: 0.5496075901994631</t>
  </si>
  <si>
    <t xml:space="preserve"> risk_ratio_to_gold is: 0.6998252192262272</t>
  </si>
  <si>
    <t xml:space="preserve"> risk_ratio_to_gold_before is: 0.7003198317536119
</t>
  </si>
  <si>
    <t xml:space="preserve"> 0.7003198317536119
</t>
  </si>
  <si>
    <t>value_ratio_tb_to_total is: 0.19409642795353815</t>
  </si>
  <si>
    <t xml:space="preserve"> risk_ratio_tb_to_gold is: 0.2351473323322845</t>
  </si>
  <si>
    <t xml:space="preserve"> risk_ratio_tb_to_gold_before is: 0.2353207174422388
</t>
  </si>
  <si>
    <t xml:space="preserve"> 0.2353207174422388
</t>
  </si>
  <si>
    <t>value_ratio_reit_to_total is: 0.2562959818469987</t>
  </si>
  <si>
    <t xml:space="preserve"> risk_ratio_reit_to_gold is: 0.1937808807802206</t>
  </si>
  <si>
    <t xml:space="preserve"> risk_ratio_reit_to_gold_before is: 0.1925982913569041
</t>
  </si>
  <si>
    <t xml:space="preserve"> 0.1925982913569041
</t>
  </si>
  <si>
    <t xml:space="preserve"> delta_reit is: 0.9997579243138889
</t>
  </si>
  <si>
    <t xml:space="preserve"> 0.9997579243138889
</t>
  </si>
  <si>
    <t>delta_gold_risk is: 0.9997091061821736</t>
  </si>
  <si>
    <t xml:space="preserve"> delta_tb_risk is: 0.9998596436475921</t>
  </si>
  <si>
    <t xml:space="preserve"> delta_reit_risk is: 1.000991607511001
</t>
  </si>
  <si>
    <t xml:space="preserve"> 1.000991607511001
</t>
  </si>
  <si>
    <t xml:space="preserve">collateral_ratio_tranche_gold is: 0.8003841517008518
</t>
  </si>
  <si>
    <t xml:space="preserve"> 0.8003841517008518
</t>
  </si>
  <si>
    <t xml:space="preserve">collateral_ratio_tranche_tb is: 0.35010489649924076
</t>
  </si>
  <si>
    <t xml:space="preserve"> 0.35010489649924076
</t>
  </si>
  <si>
    <t xml:space="preserve">collateral_ratio_tranche_reit is: 0.34852531512190643
</t>
  </si>
  <si>
    <t xml:space="preserve"> 0.34852531512190643
</t>
  </si>
  <si>
    <t>Total plot size is: 149909645.611068</t>
  </si>
  <si>
    <t xml:space="preserve"> plot size of gold is: 80016117.7466156</t>
  </si>
  <si>
    <t xml:space="preserve"> plot size of TB is: 35006006.74223904</t>
  </si>
  <si>
    <t xml:space="preserve"> plot size of REIT is: 34887521.12221334
</t>
  </si>
  <si>
    <t xml:space="preserve"> 34887521.12221334
</t>
  </si>
  <si>
    <t xml:space="preserve">collateral ratio is: 1.49909645611068
</t>
  </si>
  <si>
    <t xml:space="preserve"> 1.49909645611068
</t>
  </si>
  <si>
    <t>S_gtbcps_0 is: 1.0001259130390387</t>
  </si>
  <si>
    <t xml:space="preserve">stdev_gtbcps is: 0.010269685405126683
</t>
  </si>
  <si>
    <t xml:space="preserve"> 0.010269685405126683
</t>
  </si>
  <si>
    <t>predicted price of GTBCPS is: 1.0001433152125605</t>
  </si>
  <si>
    <t xml:space="preserve"> actual price is: 1.0001259130390387
</t>
  </si>
  <si>
    <t xml:space="preserve"> 1.0001259130390387
</t>
  </si>
  <si>
    <t>predicted amount of GTBCPS is: 99985670.53237464</t>
  </si>
  <si>
    <t xml:space="preserve"> actual amount is: 99987410.28130586
</t>
  </si>
  <si>
    <t>plot sizes of gold is: 80016117.7466156</t>
  </si>
  <si>
    <t xml:space="preserve"> plot sizes of tb is: 35006006.74223904 </t>
  </si>
  <si>
    <t xml:space="preserve"> plot sizes of reit is: 34887521.12221334</t>
  </si>
  <si>
    <t xml:space="preserve"> plot sizes of total is: 149909645.61106798.
</t>
  </si>
  <si>
    <t xml:space="preserve"> 149909645.61106798.
</t>
  </si>
  <si>
    <t>predicted stdevs of gold is: 0.00939283198027061</t>
  </si>
  <si>
    <t xml:space="preserve"> predicted stdevs of tb is: 0.0016565443674543734</t>
  </si>
  <si>
    <t xml:space="preserve"> predicted stdevs of reit is: 0.020923181789246948</t>
  </si>
  <si>
    <t xml:space="preserve"> predicted stdevs of GTBCPS is: 0.010269685405126683.
</t>
  </si>
  <si>
    <t xml:space="preserve"> 0.010269685405126683.
</t>
  </si>
  <si>
    <t>total_value_of_collaterals is: 149910244.8027724</t>
  </si>
  <si>
    <t xml:space="preserve"> createdtionValue_gold is: -1392.2867022250198</t>
  </si>
  <si>
    <t xml:space="preserve"> createdValue_tb is: -609.1050545260492</t>
  </si>
  <si>
    <t xml:space="preserve"> createdValue_reit is: -607.043899951069
</t>
  </si>
  <si>
    <t xml:space="preserve"> -607.043899951069
</t>
  </si>
  <si>
    <t>plotValue_gold_after_creation is: 80017949.27169643</t>
  </si>
  <si>
    <t xml:space="preserve"> plotValue_tb_after_creation  is: 35006681.65278655</t>
  </si>
  <si>
    <t xml:space="preserve"> plotValue_reit_after_creation  is: 34888222.31394613</t>
  </si>
  <si>
    <t xml:space="preserve">total_value_after_creation is: 149912853.23842913
</t>
  </si>
  <si>
    <t xml:space="preserve"> 149912853.23842913
</t>
  </si>
  <si>
    <t>total_amount_gtncps_before_creation is: 99987410.28130586</t>
  </si>
  <si>
    <t>creation_amount_gtbcps is: -1739.7489312291145</t>
  </si>
  <si>
    <t xml:space="preserve">total_amount_gtbcps_new is: 99985670.53237464
</t>
  </si>
  <si>
    <t xml:space="preserve"> 99985670.53237464
</t>
  </si>
  <si>
    <t>payout of tranche of gold is: 439.2383785987946</t>
  </si>
  <si>
    <t xml:space="preserve"> payout of tranche of Treausry Bill Option is: 65.80549298369961</t>
  </si>
  <si>
    <t xml:space="preserve"> payout of tranche of Collar of REIT is: 94.14783283300285
</t>
  </si>
  <si>
    <t xml:space="preserve"> 94.14783283300285
</t>
  </si>
  <si>
    <t>Collateral size of tranche of gold is: 80017949.27169643</t>
  </si>
  <si>
    <t xml:space="preserve"> collateral size of tranche of Treausry Bill Option is: 35006681.65278655</t>
  </si>
  <si>
    <t xml:space="preserve"> collateral size of tranche of Collar of REIT is: 34888222.31394613
</t>
  </si>
  <si>
    <t xml:space="preserve"> 34888222.31394613
</t>
  </si>
  <si>
    <t>Collateral ratio of tranche of gold is: 0.8001655698499421</t>
  </si>
  <si>
    <t xml:space="preserve"> collateral ratio of tranche of Treausry Bill Option is: 0.3500607254773203</t>
  </si>
  <si>
    <t xml:space="preserve"> collateral ratio of tranche of Collar of REIT is: 0.3488761527004618
</t>
  </si>
  <si>
    <t xml:space="preserve"> 0.3488761527004618
</t>
  </si>
  <si>
    <t xml:space="preserve"> current price of reit option is: 5.668460334449698</t>
  </si>
  <si>
    <t xml:space="preserve"> predicted price of reit is: 38.55195270160797
</t>
  </si>
  <si>
    <t xml:space="preserve"> 38.55195270160797
</t>
  </si>
  <si>
    <t>value_ratio_gold_to_total is: 0.5493223511309601</t>
  </si>
  <si>
    <t xml:space="preserve"> risk_ratio_to_gold is: 0.7007188279974138</t>
  </si>
  <si>
    <t xml:space="preserve"> risk_ratio_to_gold_before is: 0.6998252192262272
</t>
  </si>
  <si>
    <t xml:space="preserve"> 0.6998252192262272
</t>
  </si>
  <si>
    <t>value_ratio_tb_to_total is: 0.19399569447515017</t>
  </si>
  <si>
    <t xml:space="preserve"> risk_ratio_tb_to_gold is: 0.23393407689232545</t>
  </si>
  <si>
    <t xml:space="preserve"> risk_ratio_tb_to_gold_before is: 0.2351473323322845
</t>
  </si>
  <si>
    <t xml:space="preserve"> 0.2351473323322845
</t>
  </si>
  <si>
    <t>value_ratio_reit_to_total is: 0.2566819543938898</t>
  </si>
  <si>
    <t xml:space="preserve"> risk_ratio_reit_to_gold is: 0.19317186067453374</t>
  </si>
  <si>
    <t xml:space="preserve"> risk_ratio_reit_to_gold_before is: 0.1937808807802206
</t>
  </si>
  <si>
    <t xml:space="preserve"> 0.1937808807802206
</t>
  </si>
  <si>
    <t xml:space="preserve"> delta_reit is: 0.9996005057640104
</t>
  </si>
  <si>
    <t xml:space="preserve"> 0.9996005057640104
</t>
  </si>
  <si>
    <t>delta_gold_risk is: 1.0005257062673736</t>
  </si>
  <si>
    <t xml:space="preserve"> delta_tb_risk is: 0.9990177241142009</t>
  </si>
  <si>
    <t xml:space="preserve"> delta_reit_risk is: 0.9994898392866799
</t>
  </si>
  <si>
    <t xml:space="preserve"> 0.9994898392866799
</t>
  </si>
  <si>
    <t xml:space="preserve">collateral_ratio_tranche_gold is: 0.7997451388181638
</t>
  </si>
  <si>
    <t xml:space="preserve"> 0.7997451388181638
</t>
  </si>
  <si>
    <t xml:space="preserve">collateral_ratio_tranche_tb is: 0.3504049197802859
</t>
  </si>
  <si>
    <t xml:space="preserve"> 0.3504049197802859
</t>
  </si>
  <si>
    <t xml:space="preserve">collateral_ratio_tranche_reit is: 0.3489147813021007
</t>
  </si>
  <si>
    <t xml:space="preserve"> 0.3489147813021007
</t>
  </si>
  <si>
    <t>Total plot size is: 149898915.59471077</t>
  </si>
  <si>
    <t xml:space="preserve"> plot size of gold is: 80017949.27169643</t>
  </si>
  <si>
    <t xml:space="preserve"> plot size of TB is: 35006681.65278655</t>
  </si>
  <si>
    <t xml:space="preserve"> plot size of REIT is: 34874284.67022778
</t>
  </si>
  <si>
    <t xml:space="preserve"> 34874284.67022778
</t>
  </si>
  <si>
    <t xml:space="preserve">collateral ratio is: 1.4989891559471078
</t>
  </si>
  <si>
    <t xml:space="preserve"> 1.4989891559471078
</t>
  </si>
  <si>
    <t>S_gtbcps_0 is: 1.0001433152125605</t>
  </si>
  <si>
    <t xml:space="preserve">stdev_gtbcps is: 0.010259709684673518
</t>
  </si>
  <si>
    <t xml:space="preserve"> 0.010259709684673518
</t>
  </si>
  <si>
    <t>predicted price of GTBCPS is: 1.0001416274851893</t>
  </si>
  <si>
    <t xml:space="preserve"> actual price is: 1.0001433152125605
</t>
  </si>
  <si>
    <t xml:space="preserve"> 1.0001433152125605
</t>
  </si>
  <si>
    <t>predicted amount of GTBCPS is: 99985839.25703147</t>
  </si>
  <si>
    <t xml:space="preserve"> actual amount is: 99985670.53237464
</t>
  </si>
  <si>
    <t>plot sizes of gold is: 80017949.27169643</t>
  </si>
  <si>
    <t xml:space="preserve"> plot sizes of tb is: 35006681.65278655 </t>
  </si>
  <si>
    <t xml:space="preserve"> plot sizes of reit is: 34874284.67022778</t>
  </si>
  <si>
    <t xml:space="preserve"> plot sizes of total is: 149898915.59471077.
</t>
  </si>
  <si>
    <t xml:space="preserve"> 149898915.59471077.
</t>
  </si>
  <si>
    <t>predicted stdevs of gold is: 0.009290094974599547</t>
  </si>
  <si>
    <t xml:space="preserve"> predicted stdevs of tb is: 0.0016359804934754692</t>
  </si>
  <si>
    <t xml:space="preserve"> predicted stdevs of reit is: 0.021140928517639573</t>
  </si>
  <si>
    <t xml:space="preserve"> predicted stdevs of GTBCPS is: 0.010259709684673518.
</t>
  </si>
  <si>
    <t xml:space="preserve"> 0.010259709684673518.
</t>
  </si>
  <si>
    <t>total_value_of_collaterals is: 149898857.4682302</t>
  </si>
  <si>
    <t xml:space="preserve"> createdtionValue_gold is: 135.02905543888684</t>
  </si>
  <si>
    <t xml:space="preserve"> createdValue_tb is: 59.073257306058565</t>
  </si>
  <si>
    <t xml:space="preserve"> createdValue_reit is: 58.849840022395895
</t>
  </si>
  <si>
    <t xml:space="preserve"> 58.849840022395895
</t>
  </si>
  <si>
    <t>plotValue_gold_after_creation is: 80017769.20250219</t>
  </si>
  <si>
    <t xml:space="preserve"> plotValue_tb_after_creation  is: 35006615.8264403</t>
  </si>
  <si>
    <t xml:space="preserve"> plotValue_reit_after_creation  is: 34874219.48713493</t>
  </si>
  <si>
    <t xml:space="preserve">total_value_after_creation is: 149898604.51607743
</t>
  </si>
  <si>
    <t xml:space="preserve"> 149898604.51607743
</t>
  </si>
  <si>
    <t>total_amount_gtncps_before_creation is: 99985670.53237464</t>
  </si>
  <si>
    <t>creation_amount_gtbcps is: 168.7246568351984</t>
  </si>
  <si>
    <t xml:space="preserve">total_amount_gtbcps_new is: 99985839.25703147
</t>
  </si>
  <si>
    <t xml:space="preserve"> 99985839.25703147
</t>
  </si>
  <si>
    <t>payout of tranche of gold is: -45.040138805586</t>
  </si>
  <si>
    <t xml:space="preserve"> payout of tranche of Treausry Bill Option is: -6.753088950932964</t>
  </si>
  <si>
    <t xml:space="preserve"> payout of tranche of Collar of REIT is: -6.333252821814823
</t>
  </si>
  <si>
    <t xml:space="preserve"> -6.333252821814823
</t>
  </si>
  <si>
    <t>Collateral size of tranche of gold is: 80017769.20250219</t>
  </si>
  <si>
    <t xml:space="preserve"> collateral size of tranche of Treausry Bill Option is: 35006615.8264403</t>
  </si>
  <si>
    <t xml:space="preserve"> collateral size of tranche of Collar of REIT is: 34874219.48713493
</t>
  </si>
  <si>
    <t xml:space="preserve"> 34874219.48713493
</t>
  </si>
  <si>
    <t>Collateral ratio of tranche of gold is: 0.8001790423155763</t>
  </si>
  <si>
    <t xml:space="preserve"> collateral ratio of tranche of Treausry Bill Option is: 0.3500667489969761</t>
  </si>
  <si>
    <t xml:space="preserve"> collateral ratio of tranche of Collar of REIT is: 0.3487427833697496
</t>
  </si>
  <si>
    <t xml:space="preserve"> 0.3487427833697496
</t>
  </si>
  <si>
    <t xml:space="preserve"> current price of reit option is: 5.648811024587012</t>
  </si>
  <si>
    <t xml:space="preserve"> predicted price of reit is: 38.662226651108696
</t>
  </si>
  <si>
    <t xml:space="preserve"> 38.662226651108696
</t>
  </si>
  <si>
    <t>value_ratio_gold_to_total is: 0.5471904074467959</t>
  </si>
  <si>
    <t xml:space="preserve"> risk_ratio_to_gold is: 0.699381623479794</t>
  </si>
  <si>
    <t xml:space="preserve"> risk_ratio_to_gold_before is: 0.7007188279974138
</t>
  </si>
  <si>
    <t xml:space="preserve"> 0.7007188279974138
</t>
  </si>
  <si>
    <t>value_ratio_tb_to_total is: 0.19324278883652135</t>
  </si>
  <si>
    <t xml:space="preserve"> risk_ratio_tb_to_gold is: 0.23537091554285874</t>
  </si>
  <si>
    <t xml:space="preserve"> risk_ratio_tb_to_gold_before is: 0.23393407689232545
</t>
  </si>
  <si>
    <t xml:space="preserve"> 0.23393407689232545
</t>
  </si>
  <si>
    <t>value_ratio_reit_to_total is: 0.2595668037166827</t>
  </si>
  <si>
    <t xml:space="preserve"> risk_ratio_reit_to_gold is: 0.19446362175091578</t>
  </si>
  <si>
    <t xml:space="preserve"> risk_ratio_reit_to_gold_before is: 0.19317186067453374
</t>
  </si>
  <si>
    <t xml:space="preserve"> 0.19317186067453374
</t>
  </si>
  <si>
    <t xml:space="preserve"> delta_reit is: 0.9995525956576562
</t>
  </si>
  <si>
    <t xml:space="preserve"> 0.9995525956576562
</t>
  </si>
  <si>
    <t>delta_gold_risk is: 0.9992137415687963</t>
  </si>
  <si>
    <t xml:space="preserve"> delta_tb_risk is: 1.0011644371262944</t>
  </si>
  <si>
    <t xml:space="preserve"> delta_reit_risk is: 1.0010826278417693
</t>
  </si>
  <si>
    <t xml:space="preserve"> 1.0010826278417693
</t>
  </si>
  <si>
    <t xml:space="preserve">collateral_ratio_tranche_gold is: 0.800808684895857
</t>
  </si>
  <si>
    <t xml:space="preserve"> 0.800808684895857
</t>
  </si>
  <si>
    <t xml:space="preserve">collateral_ratio_tranche_tb is: 0.34965959238603683
</t>
  </si>
  <si>
    <t xml:space="preserve"> 0.34965959238603683
</t>
  </si>
  <si>
    <t xml:space="preserve">collateral_ratio_tranche_reit is: 0.34820977273936515
</t>
  </si>
  <si>
    <t xml:space="preserve"> 0.34820977273936515
</t>
  </si>
  <si>
    <t>Total plot size is: 149883001.63884303</t>
  </si>
  <si>
    <t xml:space="preserve"> plot size of gold is: 80017769.20250219</t>
  </si>
  <si>
    <t xml:space="preserve"> plot size of TB is: 35006615.8264403</t>
  </si>
  <si>
    <t xml:space="preserve"> plot size of REIT is: 34858616.60990054
</t>
  </si>
  <si>
    <t xml:space="preserve"> 34858616.60990054
</t>
  </si>
  <si>
    <t xml:space="preserve">collateral ratio is: 1.4988300163884305
</t>
  </si>
  <si>
    <t xml:space="preserve"> 1.4988300163884305
</t>
  </si>
  <si>
    <t>S_gtbcps_0 is: 1.0001416274851893</t>
  </si>
  <si>
    <t xml:space="preserve">stdev_gtbcps is: 0.01035802365136371
</t>
  </si>
  <si>
    <t xml:space="preserve"> 0.01035802365136371
</t>
  </si>
  <si>
    <t>predicted price of GTBCPS is: 1.0001391397327157</t>
  </si>
  <si>
    <t xml:space="preserve"> actual price is: 1.0001416274851893
</t>
  </si>
  <si>
    <t xml:space="preserve"> 1.0001416274851893
</t>
  </si>
  <si>
    <t>predicted amount of GTBCPS is: 99986087.9624456</t>
  </si>
  <si>
    <t xml:space="preserve"> actual amount is: 99985839.25703147
</t>
  </si>
  <si>
    <t>plot sizes of gold is: 80017769.20250219</t>
  </si>
  <si>
    <t xml:space="preserve"> plot sizes of tb is: 35006615.8264403 </t>
  </si>
  <si>
    <t xml:space="preserve"> plot sizes of reit is: 34858616.60990054</t>
  </si>
  <si>
    <t xml:space="preserve"> plot sizes of total is: 149883001.63884303.
</t>
  </si>
  <si>
    <t xml:space="preserve"> 149883001.63884303.
</t>
  </si>
  <si>
    <t>predicted stdevs of gold is: 0.009362109551529467</t>
  </si>
  <si>
    <t xml:space="preserve"> predicted stdevs of tb is: 0.0016545038628668655</t>
  </si>
  <si>
    <t xml:space="preserve"> predicted stdevs of reit is: 0.021384611495088267</t>
  </si>
  <si>
    <t xml:space="preserve"> predicted stdevs of GTBCPS is: 0.01035802365136371.
</t>
  </si>
  <si>
    <t xml:space="preserve"> 0.01035802365136371.
</t>
  </si>
  <si>
    <t>total_value_of_collaterals is: 149882915.9888484</t>
  </si>
  <si>
    <t xml:space="preserve"> createdtionValue_gold is: 199.0360491097702</t>
  </si>
  <si>
    <t xml:space="preserve"> createdValue_tb is: 87.07543812003681</t>
  </si>
  <si>
    <t xml:space="preserve"> createdValue_reit is: 86.70730638287982
</t>
  </si>
  <si>
    <t xml:space="preserve"> 86.70730638287982
</t>
  </si>
  <si>
    <t>plotValue_gold_after_creation is: 80017503.76909408</t>
  </si>
  <si>
    <t xml:space="preserve"> plotValue_tb_after_creation  is: 35006518.81470422</t>
  </si>
  <si>
    <t xml:space="preserve"> plotValue_reit_after_creation  is: 34858520.58625648</t>
  </si>
  <si>
    <t xml:space="preserve">total_value_after_creation is: 149882543.17005476
</t>
  </si>
  <si>
    <t xml:space="preserve"> 149882543.17005476
</t>
  </si>
  <si>
    <t>total_amount_gtncps_before_creation is: 99985839.25703147</t>
  </si>
  <si>
    <t>creation_amount_gtbcps is: 248.70541413128376</t>
  </si>
  <si>
    <t xml:space="preserve">total_amount_gtbcps_new is: 99986087.9624456
</t>
  </si>
  <si>
    <t xml:space="preserve"> 99986087.9624456
</t>
  </si>
  <si>
    <t>payout of tranche of gold is: -66.39735899766968</t>
  </si>
  <si>
    <t xml:space="preserve"> payout of tranche of Treausry Bill Option is: -9.936297963829901</t>
  </si>
  <si>
    <t xml:space="preserve"> payout of tranche of Collar of REIT is: -9.316337673479469
</t>
  </si>
  <si>
    <t xml:space="preserve"> -9.316337673479469
</t>
  </si>
  <si>
    <t>Collateral size of tranche of gold is: 80017503.76909408</t>
  </si>
  <si>
    <t xml:space="preserve"> collateral size of tranche of Treausry Bill Option is: 35006518.81470422</t>
  </si>
  <si>
    <t xml:space="preserve"> collateral size of tranche of Collar of REIT is: 34858520.58625648
</t>
  </si>
  <si>
    <t xml:space="preserve"> 34858520.58625648
</t>
  </si>
  <si>
    <t>Collateral ratio of tranche of gold is: 0.8001770280514321</t>
  </si>
  <si>
    <t xml:space="preserve"> collateral ratio of tranche of Treausry Bill Option is: 0.3500660589014234</t>
  </si>
  <si>
    <t xml:space="preserve"> collateral ratio of tranche of Collar of REIT is: 0.3485860729356287
</t>
  </si>
  <si>
    <t xml:space="preserve"> 0.3485860729356287
</t>
  </si>
  <si>
    <t xml:space="preserve"> current price of reit option is: 5.636777918331738</t>
  </si>
  <si>
    <t xml:space="preserve"> predicted price of reit is: 38.70652533698049
</t>
  </si>
  <si>
    <t xml:space="preserve"> 38.70652533698049
</t>
  </si>
  <si>
    <t>value_ratio_gold_to_total is: 0.5464353492558617</t>
  </si>
  <si>
    <t xml:space="preserve"> risk_ratio_to_gold is: 0.7037103666293351</t>
  </si>
  <si>
    <t xml:space="preserve"> risk_ratio_to_gold_before is: 0.699381623479794
</t>
  </si>
  <si>
    <t xml:space="preserve"> 0.699381623479794
</t>
  </si>
  <si>
    <t>value_ratio_tb_to_total is: 0.1929761365915911</t>
  </si>
  <si>
    <t xml:space="preserve"> risk_ratio_tb_to_gold is: 0.2304665946409927</t>
  </si>
  <si>
    <t xml:space="preserve"> risk_ratio_tb_to_gold_before is: 0.23537091554285874
</t>
  </si>
  <si>
    <t xml:space="preserve"> 0.23537091554285874
</t>
  </si>
  <si>
    <t>value_ratio_reit_to_total is: 0.2605885141525472</t>
  </si>
  <si>
    <t xml:space="preserve"> risk_ratio_reit_to_gold is: 0.19057258201608426</t>
  </si>
  <si>
    <t xml:space="preserve"> risk_ratio_reit_to_gold_before is: 0.19446362175091578
</t>
  </si>
  <si>
    <t xml:space="preserve"> 0.19446362175091578
</t>
  </si>
  <si>
    <t xml:space="preserve"> delta_reit is: 0.999725889927895
</t>
  </si>
  <si>
    <t xml:space="preserve"> 0.999725889927895
</t>
  </si>
  <si>
    <t>delta_gold_risk is: 1.0025472460627631</t>
  </si>
  <si>
    <t xml:space="preserve"> delta_tb_risk is: 0.9960300822690885</t>
  </si>
  <si>
    <t xml:space="preserve"> delta_reit_risk is: 0.9967424376398104
</t>
  </si>
  <si>
    <t xml:space="preserve"> 0.9967424376398104
</t>
  </si>
  <si>
    <t xml:space="preserve">collateral_ratio_tranche_gold is: 0.7981439589943655
</t>
  </si>
  <si>
    <t xml:space="preserve"> 0.7981439589943655
</t>
  </si>
  <si>
    <t xml:space="preserve">collateral_ratio_tranche_tb is: 0.3514613314729677
</t>
  </si>
  <si>
    <t xml:space="preserve"> 0.3514613314729677
</t>
  </si>
  <si>
    <t xml:space="preserve">collateral_ratio_tranche_reit is: 0.3496294617566734
</t>
  </si>
  <si>
    <t xml:space="preserve"> 0.3496294617566734
</t>
  </si>
  <si>
    <t>Total plot size is: 149872988.09846342</t>
  </si>
  <si>
    <t xml:space="preserve"> plot size of gold is: 80017503.76909408</t>
  </si>
  <si>
    <t xml:space="preserve"> plot size of TB is: 35006518.81470422</t>
  </si>
  <si>
    <t xml:space="preserve"> plot size of REIT is: 34848965.51466511
</t>
  </si>
  <si>
    <t xml:space="preserve"> 34848965.51466511
</t>
  </si>
  <si>
    <t xml:space="preserve">collateral ratio is: 1.4987298809846343
</t>
  </si>
  <si>
    <t xml:space="preserve"> 1.4987298809846343
</t>
  </si>
  <si>
    <t>S_gtbcps_0 is: 1.0001391397327157</t>
  </si>
  <si>
    <t xml:space="preserve">stdev_gtbcps is: 0.010436184723660867
</t>
  </si>
  <si>
    <t xml:space="preserve"> 0.010436184723660867
</t>
  </si>
  <si>
    <t>predicted price of GTBCPS is: 1.0001810327418246</t>
  </si>
  <si>
    <t xml:space="preserve"> actual price is: 1.0001391397327157
</t>
  </si>
  <si>
    <t xml:space="preserve"> 1.0001391397327157
</t>
  </si>
  <si>
    <t>predicted amount of GTBCPS is: 99981900.0025097</t>
  </si>
  <si>
    <t xml:space="preserve"> actual amount is: 99986087.9624456
</t>
  </si>
  <si>
    <t>plot sizes of gold is: 80017503.76909408</t>
  </si>
  <si>
    <t xml:space="preserve"> plot sizes of tb is: 35006518.81470422 </t>
  </si>
  <si>
    <t xml:space="preserve"> plot sizes of reit is: 34848965.51466511</t>
  </si>
  <si>
    <t xml:space="preserve"> plot sizes of total is: 149872988.09846342.
</t>
  </si>
  <si>
    <t xml:space="preserve"> 149872988.09846342.
</t>
  </si>
  <si>
    <t>predicted stdevs of gold is: 0.00945149391428616</t>
  </si>
  <si>
    <t xml:space="preserve"> predicted stdevs of tb is: 0.0016393117762977128</t>
  </si>
  <si>
    <t xml:space="preserve"> predicted stdevs of reit is: 0.02153379962216384</t>
  </si>
  <si>
    <t xml:space="preserve"> predicted stdevs of GTBCPS is: 0.010436184723660867.
</t>
  </si>
  <si>
    <t xml:space="preserve"> 0.010436184723660867.
</t>
  </si>
  <si>
    <t>total_value_of_collaterals is: 149874431.7364307</t>
  </si>
  <si>
    <t xml:space="preserve"> createdtionValue_gold is: -3351.75195443178</t>
  </si>
  <si>
    <t xml:space="preserve"> createdValue_tb is: -1466.3310479568725</t>
  </si>
  <si>
    <t xml:space="preserve"> createdValue_reit is: -1459.7344376952803
</t>
  </si>
  <si>
    <t xml:space="preserve"> -1459.7344376952803
</t>
  </si>
  <si>
    <t>plotValue_gold_after_creation is: 80021913.02525228</t>
  </si>
  <si>
    <t xml:space="preserve"> plotValue_tb_after_creation  is: 35008144.152995415</t>
  </si>
  <si>
    <t xml:space="preserve"> plotValue_reit_after_creation  is: 34850652.37562309</t>
  </si>
  <si>
    <t xml:space="preserve">total_value_after_creation is: 149880709.5538708
</t>
  </si>
  <si>
    <t xml:space="preserve"> 149880709.5538708
</t>
  </si>
  <si>
    <t>total_amount_gtncps_before_creation is: 99986087.9624456</t>
  </si>
  <si>
    <t>creation_amount_gtbcps is: -4187.959935903549</t>
  </si>
  <si>
    <t xml:space="preserve">total_amount_gtbcps_new is: 99981900.0025097
</t>
  </si>
  <si>
    <t xml:space="preserve"> 99981900.0025097
</t>
  </si>
  <si>
    <t>payout of tranche of gold is: 1057.5042037737853</t>
  </si>
  <si>
    <t xml:space="preserve"> payout of tranche of Treausry Bill Option is: 159.00724323804837</t>
  </si>
  <si>
    <t xml:space="preserve"> payout of tranche of Collar of REIT is: 227.12652028237497
</t>
  </si>
  <si>
    <t xml:space="preserve"> 227.12652028237497
</t>
  </si>
  <si>
    <t>Collateral size of tranche of gold is: 80021913.02525228</t>
  </si>
  <si>
    <t xml:space="preserve"> collateral size of tranche of Treausry Bill Option is: 35008144.152995415</t>
  </si>
  <si>
    <t xml:space="preserve"> collateral size of tranche of Collar of REIT is: 34850652.37562309
</t>
  </si>
  <si>
    <t xml:space="preserve"> 34850652.37562309
</t>
  </si>
  <si>
    <t>Collateral ratio of tranche of gold is: 0.8001856127329786</t>
  </si>
  <si>
    <t xml:space="preserve"> collateral ratio of tranche of Treausry Bill Option is: 0.35006677821947463</t>
  </si>
  <si>
    <t xml:space="preserve"> collateral ratio of tranche of Collar of REIT is: 0.348491926411854
</t>
  </si>
  <si>
    <t xml:space="preserve"> 0.348491926411854
</t>
  </si>
  <si>
    <t xml:space="preserve"> current price of reit option is: 5.659861668168972</t>
  </si>
  <si>
    <t xml:space="preserve"> predicted price of reit is: 38.67988352398814
</t>
  </si>
  <si>
    <t xml:space="preserve"> 38.67988352398814
</t>
  </si>
  <si>
    <t>value_ratio_gold_to_total is: 0.546518510505209</t>
  </si>
  <si>
    <t xml:space="preserve"> risk_ratio_to_gold is: 0.6779493399314971</t>
  </si>
  <si>
    <t xml:space="preserve"> risk_ratio_to_gold_before is: 0.7037103666293351
</t>
  </si>
  <si>
    <t xml:space="preserve"> 0.7037103666293351
</t>
  </si>
  <si>
    <t>value_ratio_tb_to_total is: 0.19300550536620467</t>
  </si>
  <si>
    <t xml:space="preserve"> risk_ratio_tb_to_gold is: 0.26035858627683983</t>
  </si>
  <si>
    <t xml:space="preserve"> risk_ratio_tb_to_gold_before is: 0.2304665946409927
</t>
  </si>
  <si>
    <t xml:space="preserve"> 0.2304665946409927
</t>
  </si>
  <si>
    <t>value_ratio_reit_to_total is: 0.2604759841285863</t>
  </si>
  <si>
    <t xml:space="preserve"> risk_ratio_reit_to_gold is: 0.21467788193632248</t>
  </si>
  <si>
    <t xml:space="preserve"> risk_ratio_reit_to_gold_before is: 0.19057258201608426
</t>
  </si>
  <si>
    <t xml:space="preserve"> 0.19057258201608426
</t>
  </si>
  <si>
    <t xml:space="preserve"> delta_reit is: 1.0005259841558702
</t>
  </si>
  <si>
    <t xml:space="preserve"> 1.0005259841558702
</t>
  </si>
  <si>
    <t>delta_gold_risk is: 0.9848794565071503</t>
  </si>
  <si>
    <t xml:space="preserve"> delta_tb_risk is: 1.0242932167082264</t>
  </si>
  <si>
    <t xml:space="preserve"> delta_reit_risk is: 1.0202468125709891
</t>
  </si>
  <si>
    <t xml:space="preserve"> 1.0202468125709891
</t>
  </si>
  <si>
    <t xml:space="preserve">collateral_ratio_tranche_gold is: 0.8124706099270427
</t>
  </si>
  <si>
    <t xml:space="preserve"> 0.8124706099270427
</t>
  </si>
  <si>
    <t xml:space="preserve">collateral_ratio_tranche_tb is: 0.3417642258185455
</t>
  </si>
  <si>
    <t xml:space="preserve"> 0.3417642258185455
</t>
  </si>
  <si>
    <t xml:space="preserve">collateral_ratio_tranche_reit is: 0.34175576276974096
</t>
  </si>
  <si>
    <t xml:space="preserve"> 0.34175576276974096
</t>
  </si>
  <si>
    <t>Total plot size is: 149899040.4448421</t>
  </si>
  <si>
    <t xml:space="preserve"> plot size of gold is: 80021913.02525228</t>
  </si>
  <si>
    <t xml:space="preserve"> plot size of TB is: 35008144.152995415</t>
  </si>
  <si>
    <t xml:space="preserve"> plot size of REIT is: 34868983.26659441
</t>
  </si>
  <si>
    <t xml:space="preserve"> 34868983.26659441
</t>
  </si>
  <si>
    <t xml:space="preserve">collateral ratio is: 1.4989904044484212
</t>
  </si>
  <si>
    <t xml:space="preserve"> 1.4989904044484212
</t>
  </si>
  <si>
    <t>S_gtbcps_0 is: 1.0001810327418246</t>
  </si>
  <si>
    <t xml:space="preserve">stdev_gtbcps is: 0.009580530655857948
</t>
  </si>
  <si>
    <t xml:space="preserve"> 0.009580530655857948
</t>
  </si>
  <si>
    <t>predicted price of GTBCPS is: 1.0001815785581463</t>
  </si>
  <si>
    <t xml:space="preserve"> actual price is: 1.0001810327418246
</t>
  </si>
  <si>
    <t xml:space="preserve"> 1.0001810327418246
</t>
  </si>
  <si>
    <t>predicted amount of GTBCPS is: 99981845.44066407</t>
  </si>
  <si>
    <t xml:space="preserve"> actual amount is: 99981900.0025097
</t>
  </si>
  <si>
    <t>plot sizes of gold is: 80021913.02525228</t>
  </si>
  <si>
    <t xml:space="preserve"> plot sizes of tb is: 35008144.152995415 </t>
  </si>
  <si>
    <t xml:space="preserve"> plot sizes of reit is: 34868983.26659441</t>
  </si>
  <si>
    <t xml:space="preserve"> plot sizes of total is: 149899040.4448421.
</t>
  </si>
  <si>
    <t xml:space="preserve"> 149899040.4448421.
</t>
  </si>
  <si>
    <t>predicted stdevs of gold is: 0.007962613123412163</t>
  </si>
  <si>
    <t xml:space="preserve"> predicted stdevs of tb is: 0.0016581124385396278</t>
  </si>
  <si>
    <t xml:space="preserve"> predicted stdevs of reit is: 0.02124757617723822</t>
  </si>
  <si>
    <t xml:space="preserve"> predicted stdevs of GTBCPS is: 0.009580530655857948.
</t>
  </si>
  <si>
    <t xml:space="preserve"> 0.009580530655857948.
</t>
  </si>
  <si>
    <t>total_value_of_collaterals is: 149899059.1580416</t>
  </si>
  <si>
    <t xml:space="preserve"> createdtionValue_gold is: -43.66936858438288</t>
  </si>
  <si>
    <t xml:space="preserve"> createdValue_tb is: -19.104559083941666</t>
  </si>
  <si>
    <t xml:space="preserve"> createdValue_reit is: -19.02861648233522
</t>
  </si>
  <si>
    <t xml:space="preserve"> -19.02861648233522
</t>
  </si>
  <si>
    <t>plotValue_gold_after_creation is: 80021971.26087047</t>
  </si>
  <si>
    <t xml:space="preserve"> plotValue_tb_after_creation  is: 35008165.39201139</t>
  </si>
  <si>
    <t xml:space="preserve"> plotValue_reit_after_creation  is: 34869004.30770388</t>
  </si>
  <si>
    <t xml:space="preserve">total_value_after_creation is: 149899140.96058574
</t>
  </si>
  <si>
    <t xml:space="preserve"> 149899140.96058574
</t>
  </si>
  <si>
    <t>total_amount_gtncps_before_creation is: 99981900.0025097</t>
  </si>
  <si>
    <t>creation_amount_gtbcps is: -54.56184563040733</t>
  </si>
  <si>
    <t xml:space="preserve">total_amount_gtbcps_new is: 99981845.44066407
</t>
  </si>
  <si>
    <t xml:space="preserve"> 99981845.44066407
</t>
  </si>
  <si>
    <t>payout of tranche of gold is: 14.566249616296297</t>
  </si>
  <si>
    <t xml:space="preserve"> payout of tranche of Treausry Bill Option is: 2.1344568893959495</t>
  </si>
  <si>
    <t xml:space="preserve"> payout of tranche of Collar of REIT is: 2.012492993477292
</t>
  </si>
  <si>
    <t xml:space="preserve"> 2.012492993477292
</t>
  </si>
  <si>
    <t>Collateral size of tranche of gold is: 80021971.26087047</t>
  </si>
  <si>
    <t xml:space="preserve"> collateral size of tranche of Treausry Bill Option is: 35008165.39201139</t>
  </si>
  <si>
    <t xml:space="preserve"> collateral size of tranche of Collar of REIT is: 34869004.30770388
</t>
  </si>
  <si>
    <t xml:space="preserve"> 34869004.30770388
</t>
  </si>
  <si>
    <t>Collateral ratio of tranche of gold is: 0.8002192759150191</t>
  </si>
  <si>
    <t xml:space="preserve"> collateral ratio of tranche of Treausry Bill Option is: 0.3500814628745231</t>
  </si>
  <si>
    <t xml:space="preserve"> collateral ratio of tranche of Collar of REIT is: 0.34868985279087406
</t>
  </si>
  <si>
    <t xml:space="preserve"> 0.34868985279087406
</t>
  </si>
  <si>
    <t xml:space="preserve"> current price of reit option is: 5.6404981904603275</t>
  </si>
  <si>
    <t xml:space="preserve"> predicted price of reit is: 38.52329639198156
</t>
  </si>
  <si>
    <t xml:space="preserve"> 38.52329639198156
</t>
  </si>
  <si>
    <t>value_ratio_gold_to_total is: 0.5506627518893141</t>
  </si>
  <si>
    <t xml:space="preserve"> risk_ratio_to_gold is: 0.678842236996618</t>
  </si>
  <si>
    <t xml:space="preserve"> risk_ratio_to_gold_before is: 0.6779493399314971
</t>
  </si>
  <si>
    <t xml:space="preserve"> 0.6779493399314971
</t>
  </si>
  <si>
    <t>value_ratio_tb_to_total is: 0.19446906311827303</t>
  </si>
  <si>
    <t xml:space="preserve"> risk_ratio_tb_to_gold is: 0.2585259147795081</t>
  </si>
  <si>
    <t xml:space="preserve"> risk_ratio_tb_to_gold_before is: 0.26035858627683983
</t>
  </si>
  <si>
    <t xml:space="preserve"> 0.26035858627683983
</t>
  </si>
  <si>
    <t>value_ratio_reit_to_total is: 0.2548681849924128</t>
  </si>
  <si>
    <t xml:space="preserve"> risk_ratio_reit_to_gold is: 0.21457040348181713</t>
  </si>
  <si>
    <t xml:space="preserve"> risk_ratio_reit_to_gold_before is: 0.21467788193632248
</t>
  </si>
  <si>
    <t xml:space="preserve"> 0.21467788193632248
</t>
  </si>
  <si>
    <t xml:space="preserve"> delta_reit is: 0.9995590175652346
</t>
  </si>
  <si>
    <t xml:space="preserve"> 0.9995590175652346
</t>
  </si>
  <si>
    <t>delta_gold_risk is: 1.000532135889846</t>
  </si>
  <si>
    <t xml:space="preserve"> delta_tb_risk is: 0.998545912633685</t>
  </si>
  <si>
    <t xml:space="preserve"> delta_reit_risk is: 0.9999115169082243
</t>
  </si>
  <si>
    <t xml:space="preserve"> 0.9999115169082243
</t>
  </si>
  <si>
    <t xml:space="preserve">collateral_ratio_tranche_gold is: 0.7997936769950181
</t>
  </si>
  <si>
    <t xml:space="preserve"> 0.7997936769950181
</t>
  </si>
  <si>
    <t xml:space="preserve">collateral_ratio_tranche_tb is: 0.3505912531865221
</t>
  </si>
  <si>
    <t xml:space="preserve"> 0.3505912531865221
</t>
  </si>
  <si>
    <t xml:space="preserve">collateral_ratio_tranche_reit is: 0.3485669289701784
</t>
  </si>
  <si>
    <t xml:space="preserve"> 0.3485669289701784
</t>
  </si>
  <si>
    <t>Total plot size is: 149883764.34216827</t>
  </si>
  <si>
    <t xml:space="preserve"> plot size of gold is: 80021971.26087047</t>
  </si>
  <si>
    <t xml:space="preserve"> plot size of TB is: 35008165.39201139</t>
  </si>
  <si>
    <t xml:space="preserve"> plot size of REIT is: 34853627.689286426
</t>
  </si>
  <si>
    <t xml:space="preserve"> 34853627.689286426
</t>
  </si>
  <si>
    <t xml:space="preserve">collateral ratio is: 1.498837643421683
</t>
  </si>
  <si>
    <t xml:space="preserve"> 1.498837643421683
</t>
  </si>
  <si>
    <t>S_gtbcps_0 is: 1.0001815785581463</t>
  </si>
  <si>
    <t xml:space="preserve">stdev_gtbcps is: 0.009641901627130323
</t>
  </si>
  <si>
    <t xml:space="preserve"> 0.009641901627130323
</t>
  </si>
  <si>
    <t>predicted price of GTBCPS is: 1.000166397262103</t>
  </si>
  <si>
    <t xml:space="preserve"> actual price is: 1.0001815785581463
</t>
  </si>
  <si>
    <t xml:space="preserve"> 1.0001815785581463
</t>
  </si>
  <si>
    <t>predicted amount of GTBCPS is: 99983363.04213391</t>
  </si>
  <si>
    <t xml:space="preserve"> actual amount is: 99981845.44066407
</t>
  </si>
  <si>
    <t>plot sizes of gold is: 80021971.26087047</t>
  </si>
  <si>
    <t xml:space="preserve"> plot sizes of tb is: 35008165.39201139 </t>
  </si>
  <si>
    <t xml:space="preserve"> plot sizes of reit is: 34853627.689286426</t>
  </si>
  <si>
    <t xml:space="preserve"> plot sizes of total is: 149883764.34216827.
</t>
  </si>
  <si>
    <t xml:space="preserve"> 149883764.34216827.
</t>
  </si>
  <si>
    <t>predicted stdevs of gold is: 0.007971591984673128</t>
  </si>
  <si>
    <t xml:space="preserve"> predicted stdevs of tb is: 0.0016664243267276216</t>
  </si>
  <si>
    <t xml:space="preserve"> predicted stdevs of reit is: 0.021487678551668516</t>
  </si>
  <si>
    <t xml:space="preserve"> predicted stdevs of GTBCPS is: 0.009641901627130323.
</t>
  </si>
  <si>
    <t xml:space="preserve"> 0.009641901627130323.
</t>
  </si>
  <si>
    <t>total_value_of_collaterals is: 149883241.4834329</t>
  </si>
  <si>
    <t xml:space="preserve"> createdtionValue_gold is: 1214.6105370916607</t>
  </si>
  <si>
    <t xml:space="preserve"> createdValue_tb is: 531.3719141940595</t>
  </si>
  <si>
    <t xml:space="preserve"> createdValue_reit is: 529.0263167677489
</t>
  </si>
  <si>
    <t xml:space="preserve"> 529.0263167677489
</t>
  </si>
  <si>
    <t>plotValue_gold_after_creation is: 80020351.45797347</t>
  </si>
  <si>
    <t xml:space="preserve"> plotValue_tb_after_creation  is: 35007573.23456017</t>
  </si>
  <si>
    <t xml:space="preserve"> plotValue_reit_after_creation  is: 34853041.7821312</t>
  </si>
  <si>
    <t xml:space="preserve">total_value_after_creation is: 149880966.47466484
</t>
  </si>
  <si>
    <t xml:space="preserve"> 149880966.47466484
</t>
  </si>
  <si>
    <t>total_amount_gtncps_before_creation is: 99981845.44066407</t>
  </si>
  <si>
    <t>creation_amount_gtbcps is: 1517.6014698445797</t>
  </si>
  <si>
    <t xml:space="preserve">total_amount_gtbcps_new is: 99983363.04213391
</t>
  </si>
  <si>
    <t xml:space="preserve"> 99983363.04213391
</t>
  </si>
  <si>
    <t>payout of tranche of gold is: -405.1923599066452</t>
  </si>
  <si>
    <t xml:space="preserve"> payout of tranche of Treausry Bill Option is: -60.785537028745495</t>
  </si>
  <si>
    <t xml:space="preserve"> payout of tranche of Collar of REIT is: -56.88083845565588
</t>
  </si>
  <si>
    <t xml:space="preserve"> -56.88083845565588
</t>
  </si>
  <si>
    <t>Collateral size of tranche of gold is: 80020351.45797347</t>
  </si>
  <si>
    <t xml:space="preserve"> collateral size of tranche of Treausry Bill Option is: 35007573.23456017</t>
  </si>
  <si>
    <t xml:space="preserve"> collateral size of tranche of Collar of REIT is: 34853041.7821312
</t>
  </si>
  <si>
    <t xml:space="preserve"> 34853041.7821312
</t>
  </si>
  <si>
    <t>Collateral ratio of tranche of gold is: 0.8002156606851057</t>
  </si>
  <si>
    <t xml:space="preserve"> collateral ratio of tranche of Treausry Bill Option is: 0.35008104606474366</t>
  </si>
  <si>
    <t xml:space="preserve"> collateral ratio of tranche of Collar of REIT is: 0.34853570808447976
</t>
  </si>
  <si>
    <t xml:space="preserve"> 0.34853570808447976
</t>
  </si>
  <si>
    <t xml:space="preserve"> current price of reit option is: 5.626929266215285</t>
  </si>
  <si>
    <t xml:space="preserve"> predicted price of reit is: 38.77944038442831
</t>
  </si>
  <si>
    <t xml:space="preserve"> 38.77944038442831
</t>
  </si>
  <si>
    <t>value_ratio_gold_to_total is: 0.5449655111451717</t>
  </si>
  <si>
    <t xml:space="preserve"> risk_ratio_to_gold is: 0.686420673567404</t>
  </si>
  <si>
    <t xml:space="preserve"> risk_ratio_to_gold_before is: 0.678842236996618
</t>
  </si>
  <si>
    <t xml:space="preserve"> 0.678842236996618
</t>
  </si>
  <si>
    <t>value_ratio_tb_to_total is: 0.1924570565569588</t>
  </si>
  <si>
    <t xml:space="preserve"> risk_ratio_tb_to_gold is: 0.25006753550362354</t>
  </si>
  <si>
    <t xml:space="preserve"> risk_ratio_tb_to_gold_before is: 0.2585259147795081
</t>
  </si>
  <si>
    <t xml:space="preserve"> 0.2585259147795081
</t>
  </si>
  <si>
    <t>value_ratio_reit_to_total is: 0.2625774322978695</t>
  </si>
  <si>
    <t xml:space="preserve"> risk_ratio_reit_to_gold is: 0.2067650432747656</t>
  </si>
  <si>
    <t xml:space="preserve"> risk_ratio_reit_to_gold_before is: 0.21457040348181713
</t>
  </si>
  <si>
    <t xml:space="preserve"> 0.21457040348181713
</t>
  </si>
  <si>
    <t xml:space="preserve"> delta_reit is: 0.9996908459734004
</t>
  </si>
  <si>
    <t xml:space="preserve"> 0.9996908459734004
</t>
  </si>
  <si>
    <t>delta_gold_risk is: 1.0045140850067864</t>
  </si>
  <si>
    <t xml:space="preserve"> delta_tb_risk is: 0.9932791377781311</t>
  </si>
  <si>
    <t xml:space="preserve"> delta_reit_risk is: 0.9935735629777608
</t>
  </si>
  <si>
    <t xml:space="preserve"> 0.9935735629777608
</t>
  </si>
  <si>
    <t xml:space="preserve">collateral_ratio_tranche_gold is: 0.7966196518585397
</t>
  </si>
  <si>
    <t xml:space="preserve"> 0.7966196518585397
</t>
  </si>
  <si>
    <t xml:space="preserve">collateral_ratio_tranche_tb is: 0.35244981269599696
</t>
  </si>
  <si>
    <t xml:space="preserve"> 0.35244981269599696
</t>
  </si>
  <si>
    <t xml:space="preserve">collateral_ratio_tranche_reit is: 0.35068159002003413
</t>
  </si>
  <si>
    <t xml:space="preserve"> 0.35068159002003413
</t>
  </si>
  <si>
    <t>Total plot size is: 149870191.51645863</t>
  </si>
  <si>
    <t xml:space="preserve"> plot size of gold is: 80020351.45797347</t>
  </si>
  <si>
    <t xml:space="preserve"> plot size of TB is: 35007573.23456017</t>
  </si>
  <si>
    <t xml:space="preserve"> plot size of REIT is: 34842266.82392501
</t>
  </si>
  <si>
    <t xml:space="preserve"> 34842266.82392501
</t>
  </si>
  <si>
    <t xml:space="preserve">collateral ratio is: 1.4987019151645866
</t>
  </si>
  <si>
    <t xml:space="preserve"> 1.4987019151645866
</t>
  </si>
  <si>
    <t>S_gtbcps_0 is: 1.000166397262103</t>
  </si>
  <si>
    <t xml:space="preserve">stdev_gtbcps is: 0.009729217469620105
</t>
  </si>
  <si>
    <t xml:space="preserve"> 0.009729217469620105
</t>
  </si>
  <si>
    <t>predicted price of GTBCPS is: 1.0001971004869854</t>
  </si>
  <si>
    <t xml:space="preserve"> actual price is: 1.000166397262103
</t>
  </si>
  <si>
    <t xml:space="preserve"> 1.000166397262103
</t>
  </si>
  <si>
    <t>predicted amount of GTBCPS is: 99980293.8353961</t>
  </si>
  <si>
    <t xml:space="preserve"> actual amount is: 99983363.04213391
</t>
  </si>
  <si>
    <t>plot sizes of gold is: 80020351.45797347</t>
  </si>
  <si>
    <t xml:space="preserve"> plot sizes of tb is: 35007573.23456017 </t>
  </si>
  <si>
    <t xml:space="preserve"> plot sizes of reit is: 34842266.82392501</t>
  </si>
  <si>
    <t xml:space="preserve"> plot sizes of total is: 149870191.51645866.
</t>
  </si>
  <si>
    <t xml:space="preserve"> 149870191.51645866.
</t>
  </si>
  <si>
    <t>predicted stdevs of gold is: 0.008081326372319437</t>
  </si>
  <si>
    <t xml:space="preserve"> predicted stdevs of tb is: 0.001625623221094319</t>
  </si>
  <si>
    <t xml:space="preserve"> predicted stdevs of reit is: 0.021655881024229776</t>
  </si>
  <si>
    <t xml:space="preserve"> predicted stdevs of GTBCPS is: 0.009729217469620105.
</t>
  </si>
  <si>
    <t xml:space="preserve"> 0.009729217469620105.
</t>
  </si>
  <si>
    <t>total_value_of_collaterals is: 149871250.15626073</t>
  </si>
  <si>
    <t xml:space="preserve"> createdtionValue_gold is: -2456.4978852044783</t>
  </si>
  <si>
    <t xml:space="preserve"> createdValue_tb is: -1074.6701578151517</t>
  </si>
  <si>
    <t xml:space="preserve"> createdValue_reit is: -1069.597099177857
</t>
  </si>
  <si>
    <t xml:space="preserve"> -1069.597099177857
</t>
  </si>
  <si>
    <t>plotValue_gold_after_creation is: 80023582.91555764</t>
  </si>
  <si>
    <t xml:space="preserve"> plotValue_tb_after_creation  is: 35008764.712874025</t>
  </si>
  <si>
    <t xml:space="preserve"> plotValue_reit_after_creation  is: 34843503.29297126</t>
  </si>
  <si>
    <t xml:space="preserve">total_value_after_creation is: 149875850.92140293
</t>
  </si>
  <si>
    <t xml:space="preserve"> 149875850.92140293
</t>
  </si>
  <si>
    <t>total_amount_gtncps_before_creation is: 99983363.04213391</t>
  </si>
  <si>
    <t>creation_amount_gtbcps is: -3069.2067378163338</t>
  </si>
  <si>
    <t xml:space="preserve">total_amount_gtbcps_new is: 99980293.8353961
</t>
  </si>
  <si>
    <t xml:space="preserve"> 99980293.8353961
</t>
  </si>
  <si>
    <t>payout of tranche of gold is: 774.9596989767094</t>
  </si>
  <si>
    <t xml:space="preserve"> payout of tranche of Treausry Bill Option is: 116.80815604090618</t>
  </si>
  <si>
    <t xml:space="preserve"> payout of tranche of Collar of REIT is: 166.8719470742501
</t>
  </si>
  <si>
    <t xml:space="preserve"> 166.8719470742501
</t>
  </si>
  <si>
    <t>Collateral size of tranche of gold is: 80023582.91555764</t>
  </si>
  <si>
    <t xml:space="preserve"> collateral size of tranche of Treausry Bill Option is: 35008764.712874025</t>
  </si>
  <si>
    <t xml:space="preserve"> collateral size of tranche of Collar of REIT is: 34843503.29297126
</t>
  </si>
  <si>
    <t xml:space="preserve"> 34843503.29297126
</t>
  </si>
  <si>
    <t>Collateral ratio of tranche of gold is: 0.8002112641767244</t>
  </si>
  <si>
    <t xml:space="preserve"> collateral ratio of tranche of Treausry Bill Option is: 0.3500769004271621</t>
  </si>
  <si>
    <t xml:space="preserve"> collateral ratio of tranche of Collar of REIT is: 0.3484243369587208
</t>
  </si>
  <si>
    <t xml:space="preserve"> 0.3484243369587208
</t>
  </si>
  <si>
    <t xml:space="preserve"> current price of reit option is: 5.609818372270041</t>
  </si>
  <si>
    <t xml:space="preserve"> predicted price of reit is: 38.52743464543369
</t>
  </si>
  <si>
    <t xml:space="preserve"> 38.52743464543369
</t>
  </si>
  <si>
    <t>value_ratio_gold_to_total is: 0.5512933587256569</t>
  </si>
  <si>
    <t xml:space="preserve"> risk_ratio_to_gold is: 0.6811487397737077</t>
  </si>
  <si>
    <t xml:space="preserve"> risk_ratio_to_gold_before is: 0.686420673567404
</t>
  </si>
  <si>
    <t xml:space="preserve"> 0.686420673567404
</t>
  </si>
  <si>
    <t>value_ratio_tb_to_total is: 0.1946917647995449</t>
  </si>
  <si>
    <t xml:space="preserve"> risk_ratio_tb_to_gold is: 0.2552302994201253</t>
  </si>
  <si>
    <t xml:space="preserve"> risk_ratio_tb_to_gold_before is: 0.25006753550362354
</t>
  </si>
  <si>
    <t xml:space="preserve"> 0.25006753550362354
</t>
  </si>
  <si>
    <t>value_ratio_reit_to_total is: 0.25401487647479826</t>
  </si>
  <si>
    <t xml:space="preserve"> risk_ratio_reit_to_gold is: 0.21287782676127479</t>
  </si>
  <si>
    <t xml:space="preserve"> risk_ratio_reit_to_gold_before is: 0.2067650432747656
</t>
  </si>
  <si>
    <t xml:space="preserve"> 0.2067650432747656
</t>
  </si>
  <si>
    <t xml:space="preserve"> delta_reit is: 0.9996100252631303
</t>
  </si>
  <si>
    <t xml:space="preserve"> 0.9996100252631303
</t>
  </si>
  <si>
    <t>delta_gold_risk is: 0.9968738916236456</t>
  </si>
  <si>
    <t xml:space="preserve"> delta_tb_risk is: 1.004129987996546</t>
  </si>
  <si>
    <t xml:space="preserve"> delta_reit_risk is: 1.0050654296961743
</t>
  </si>
  <si>
    <t xml:space="preserve"> 1.0050654296961743
</t>
  </si>
  <si>
    <t xml:space="preserve">collateral_ratio_tranche_gold is: 0.8027206559431409
</t>
  </si>
  <si>
    <t xml:space="preserve"> 0.8027206559431409
</t>
  </si>
  <si>
    <t xml:space="preserve">collateral_ratio_tranche_tb is: 0.3486370336629826
</t>
  </si>
  <si>
    <t xml:space="preserve"> 0.3486370336629826
</t>
  </si>
  <si>
    <t xml:space="preserve">collateral_ratio_tranche_reit is: 0.3465331211072318
</t>
  </si>
  <si>
    <t xml:space="preserve"> 0.3465331211072318
</t>
  </si>
  <si>
    <t>Total plot size is: 149862262.83537462</t>
  </si>
  <si>
    <t xml:space="preserve"> plot size of gold is: 80023582.91555764</t>
  </si>
  <si>
    <t xml:space="preserve"> plot size of TB is: 35008764.712874025</t>
  </si>
  <si>
    <t xml:space="preserve"> plot size of REIT is: 34829915.20694296
</t>
  </si>
  <si>
    <t xml:space="preserve"> 34829915.20694296
</t>
  </si>
  <si>
    <t xml:space="preserve">collateral ratio is: 1.4986226283537463
</t>
  </si>
  <si>
    <t xml:space="preserve"> 1.4986226283537463
</t>
  </si>
  <si>
    <t>S_gtbcps_0 is: 1.0001971004869854</t>
  </si>
  <si>
    <t xml:space="preserve">stdev_gtbcps is: 0.009714565154108339
</t>
  </si>
  <si>
    <t xml:space="preserve"> 0.009714565154108339
</t>
  </si>
  <si>
    <t>predicted price of GTBCPS is: 1.000165351674995</t>
  </si>
  <si>
    <t xml:space="preserve"> actual price is: 1.0001971004869854
</t>
  </si>
  <si>
    <t xml:space="preserve"> 1.0001971004869854
</t>
  </si>
  <si>
    <t>predicted amount of GTBCPS is: 99983467.56616612</t>
  </si>
  <si>
    <t xml:space="preserve"> actual amount is: 99980293.8353961
</t>
  </si>
  <si>
    <t>plot sizes of gold is: 80023582.91555764</t>
  </si>
  <si>
    <t xml:space="preserve"> plot sizes of tb is: 35008764.712874025 </t>
  </si>
  <si>
    <t xml:space="preserve"> plot sizes of reit is: 34829915.20694296</t>
  </si>
  <si>
    <t xml:space="preserve"> plot sizes of total is: 149862262.83537462.
</t>
  </si>
  <si>
    <t xml:space="preserve"> 149862262.83537462.
</t>
  </si>
  <si>
    <t>predicted stdevs of gold is: 0.007955937720290263</t>
  </si>
  <si>
    <t xml:space="preserve"> predicted stdevs of tb is: 0.0016431834986805071</t>
  </si>
  <si>
    <t xml:space="preserve"> predicted stdevs of reit is: 0.02186793294255519</t>
  </si>
  <si>
    <t xml:space="preserve"> predicted stdevs of GTBCPS is: 0.009714565154108339.
</t>
  </si>
  <si>
    <t xml:space="preserve"> 0.009714565154108339.
</t>
  </si>
  <si>
    <t>total_value_of_collaterals is: 149861170.490312</t>
  </si>
  <si>
    <t xml:space="preserve"> createdtionValue_gold is: 2540.1261208435762</t>
  </si>
  <si>
    <t xml:space="preserve"> createdValue_tb is: 1111.2636415670731</t>
  </si>
  <si>
    <t xml:space="preserve"> createdValue_reit is: 1105.586761751379
</t>
  </si>
  <si>
    <t xml:space="preserve"> 1105.586761751379
</t>
  </si>
  <si>
    <t>plotValue_gold_after_creation is: 80020195.26664859</t>
  </si>
  <si>
    <t xml:space="preserve"> plotValue_tb_after_creation  is: 35007526.93389597</t>
  </si>
  <si>
    <t xml:space="preserve"> plotValue_reit_after_creation  is: 34828691.31324329</t>
  </si>
  <si>
    <t xml:space="preserve">total_value_after_creation is: 149856413.51378787
</t>
  </si>
  <si>
    <t xml:space="preserve"> 149856413.51378787
</t>
  </si>
  <si>
    <t>total_amount_gtncps_before_creation is: 99980293.8353961</t>
  </si>
  <si>
    <t>creation_amount_gtbcps is: 3173.730770021677</t>
  </si>
  <si>
    <t xml:space="preserve">total_amount_gtbcps_new is: 99983467.56616612
</t>
  </si>
  <si>
    <t xml:space="preserve"> 99983467.56616612
</t>
  </si>
  <si>
    <t>payout of tranche of gold is: -847.522788200912</t>
  </si>
  <si>
    <t xml:space="preserve"> payout of tranche of Treausry Bill Option is: -126.51533649450099</t>
  </si>
  <si>
    <t xml:space="preserve"> payout of tranche of Collar of REIT is: -118.30693791441163
</t>
  </si>
  <si>
    <t xml:space="preserve"> -118.30693791441163
</t>
  </si>
  <si>
    <t>Collateral size of tranche of gold is: 80020195.26664859</t>
  </si>
  <si>
    <t xml:space="preserve"> collateral size of tranche of Treausry Bill Option is: 35007526.93389597</t>
  </si>
  <si>
    <t xml:space="preserve"> collateral size of tranche of Collar of REIT is: 34828691.31324329
</t>
  </si>
  <si>
    <t xml:space="preserve"> 34828691.31324329
</t>
  </si>
  <si>
    <t>Collateral ratio of tranche of gold is: 0.8002273539276944</t>
  </si>
  <si>
    <t xml:space="preserve"> collateral ratio of tranche of Treausry Bill Option is: 0.35008638197537534</t>
  </si>
  <si>
    <t xml:space="preserve"> collateral ratio of tranche of Collar of REIT is: 0.34829796900005044
</t>
  </si>
  <si>
    <t xml:space="preserve"> 0.34829796900005044
</t>
  </si>
  <si>
    <t xml:space="preserve"> current price of reit option is: 5.632053689194279</t>
  </si>
  <si>
    <t xml:space="preserve"> predicted price of reit is: 38.7828661523026
</t>
  </si>
  <si>
    <t xml:space="preserve"> 38.7828661523026
</t>
  </si>
  <si>
    <t>value_ratio_gold_to_total is: 0.544766847139749</t>
  </si>
  <si>
    <t xml:space="preserve"> risk_ratio_to_gold is: 0.6764941123687747</t>
  </si>
  <si>
    <t xml:space="preserve"> risk_ratio_to_gold_before is: 0.6811487397737077
</t>
  </si>
  <si>
    <t xml:space="preserve"> 0.6811487397737077
</t>
  </si>
  <si>
    <t>value_ratio_tb_to_total is: 0.19238689745707904</t>
  </si>
  <si>
    <t xml:space="preserve"> risk_ratio_tb_to_gold is: 0.2618653003382148</t>
  </si>
  <si>
    <t xml:space="preserve"> risk_ratio_tb_to_gold_before is: 0.2552302994201253
</t>
  </si>
  <si>
    <t xml:space="preserve"> 0.2552302994201253
</t>
  </si>
  <si>
    <t>value_ratio_reit_to_total is: 0.2628462554031719</t>
  </si>
  <si>
    <t xml:space="preserve"> risk_ratio_reit_to_gold is: 0.21634416477960397</t>
  </si>
  <si>
    <t xml:space="preserve"> risk_ratio_reit_to_gold_before is: 0.21287782676127479
</t>
  </si>
  <si>
    <t xml:space="preserve"> 0.21287782676127479
</t>
  </si>
  <si>
    <t xml:space="preserve"> delta_reit is: 1.0005069632695582
</t>
  </si>
  <si>
    <t xml:space="preserve"> 1.0005069632695582
</t>
  </si>
  <si>
    <t>delta_gold_risk is: 0.9972312816261817</t>
  </si>
  <si>
    <t xml:space="preserve"> delta_tb_risk is: 1.0052858833324487</t>
  </si>
  <si>
    <t xml:space="preserve"> delta_reit_risk is: 1.0028579449156767
</t>
  </si>
  <si>
    <t xml:space="preserve"> 1.0028579449156767
</t>
  </si>
  <si>
    <t xml:space="preserve">collateral_ratio_tranche_gold is: 0.8024491095212801
</t>
  </si>
  <si>
    <t xml:space="preserve"> 0.8024491095212801
</t>
  </si>
  <si>
    <t xml:space="preserve">collateral_ratio_tranche_tb is: 0.3482455963818618
</t>
  </si>
  <si>
    <t xml:space="preserve"> 0.3482455963818618
</t>
  </si>
  <si>
    <t xml:space="preserve">collateral_ratio_tranche_reit is: 0.3474814604041413
</t>
  </si>
  <si>
    <t xml:space="preserve"> 0.3474814604041413
</t>
  </si>
  <si>
    <t>Total plot size is: 149874070.38101044</t>
  </si>
  <si>
    <t xml:space="preserve"> plot size of gold is: 80020195.26664859</t>
  </si>
  <si>
    <t xml:space="preserve"> plot size of TB is: 35007526.93389597</t>
  </si>
  <si>
    <t xml:space="preserve"> plot size of REIT is: 34846348.18046589
</t>
  </si>
  <si>
    <t xml:space="preserve"> 34846348.18046589
</t>
  </si>
  <si>
    <t xml:space="preserve">collateral ratio is: 1.4987407038101044
</t>
  </si>
  <si>
    <t xml:space="preserve"> 1.4987407038101044
</t>
  </si>
  <si>
    <t>S_gtbcps_0 is: 1.000165351674995</t>
  </si>
  <si>
    <t xml:space="preserve">stdev_gtbcps is: 0.009546067364544504
</t>
  </si>
  <si>
    <t xml:space="preserve"> 0.009546067364544504
</t>
  </si>
  <si>
    <t>predicted price of GTBCPS is: 1.0001714459716968</t>
  </si>
  <si>
    <t xml:space="preserve"> actual price is: 1.000165351674995
</t>
  </si>
  <si>
    <t xml:space="preserve"> 1.000165351674995
</t>
  </si>
  <si>
    <t>predicted amount of GTBCPS is: 99982858.34169862</t>
  </si>
  <si>
    <t xml:space="preserve"> actual amount is: 99983467.56616612
</t>
  </si>
  <si>
    <t>plot sizes of gold is: 80020195.26664859</t>
  </si>
  <si>
    <t xml:space="preserve"> plot sizes of tb is: 35007526.93389597 </t>
  </si>
  <si>
    <t xml:space="preserve"> plot sizes of reit is: 34846348.18046589</t>
  </si>
  <si>
    <t xml:space="preserve"> plot sizes of total is: 149874070.38101047.
</t>
  </si>
  <si>
    <t xml:space="preserve"> 149874070.38101047.
</t>
  </si>
  <si>
    <t>predicted stdevs of gold is: 0.007750723704231333</t>
  </si>
  <si>
    <t xml:space="preserve"> predicted stdevs of tb is: 0.0016590307011812042</t>
  </si>
  <si>
    <t xml:space="preserve"> predicted stdevs of reit is: 0.021592362618106514</t>
  </si>
  <si>
    <t xml:space="preserve"> predicted stdevs of GTBCPS is: 0.009546067364544504.
</t>
  </si>
  <si>
    <t xml:space="preserve"> 0.009546067364544504.
</t>
  </si>
  <si>
    <t>total_value_of_collaterals is: 149874280.07557213</t>
  </si>
  <si>
    <t xml:space="preserve"> createdtionValue_gold is: -487.5871800255786</t>
  </si>
  <si>
    <t xml:space="preserve"> createdValue_tb is: -213.31113235879556</t>
  </si>
  <si>
    <t xml:space="preserve"> createdValue_reit is: -212.3290146349663
</t>
  </si>
  <si>
    <t xml:space="preserve"> -212.3290146349663
</t>
  </si>
  <si>
    <t>plotValue_gold_after_creation is: 80020845.5181296</t>
  </si>
  <si>
    <t xml:space="preserve"> plotValue_tb_after_creation  is: 35007764.49636151</t>
  </si>
  <si>
    <t xml:space="preserve"> plotValue_reit_after_creation  is: 34846583.28840802</t>
  </si>
  <si>
    <t xml:space="preserve">total_value_after_creation is: 149875193.30289912
</t>
  </si>
  <si>
    <t xml:space="preserve"> 149875193.30289912
</t>
  </si>
  <si>
    <t>total_amount_gtncps_before_creation is: 99983467.56616612</t>
  </si>
  <si>
    <t>creation_amount_gtbcps is: -609.2244675010443</t>
  </si>
  <si>
    <t xml:space="preserve">total_amount_gtbcps_new is: 99982858.34169862
</t>
  </si>
  <si>
    <t xml:space="preserve"> 99982858.34169862
</t>
  </si>
  <si>
    <t>payout of tranche of gold is: 162.66430099191834</t>
  </si>
  <si>
    <t xml:space="preserve"> payout of tranche of Treausry Bill Option is: 24.251333181363638</t>
  </si>
  <si>
    <t xml:space="preserve"> payout of tranche of Collar of REIT is: 22.778927493194036
</t>
  </si>
  <si>
    <t xml:space="preserve"> 22.778927493194036
</t>
  </si>
  <si>
    <t>Collateral size of tranche of gold is: 80020845.5181296</t>
  </si>
  <si>
    <t xml:space="preserve"> collateral size of tranche of Treausry Bill Option is: 35007764.49636151</t>
  </si>
  <si>
    <t xml:space="preserve"> collateral size of tranche of Collar of REIT is: 34846583.28840802
</t>
  </si>
  <si>
    <t xml:space="preserve"> 34846583.28840802
</t>
  </si>
  <si>
    <t>Collateral ratio of tranche of gold is: 0.8002035793094956</t>
  </si>
  <si>
    <t xml:space="preserve"> collateral ratio of tranche of Treausry Bill Option is: 0.3500755118522914</t>
  </si>
  <si>
    <t xml:space="preserve"> collateral ratio of tranche of Collar of REIT is: 0.3484637095939337
</t>
  </si>
  <si>
    <t xml:space="preserve"> 0.3484637095939337
</t>
  </si>
  <si>
    <t xml:space="preserve"> current price of reit option is: 5.620791335682867</t>
  </si>
  <si>
    <t xml:space="preserve"> predicted price of reit is: 38.826291981507964
</t>
  </si>
  <si>
    <t xml:space="preserve"> 38.826291981507964
</t>
  </si>
  <si>
    <t>value_ratio_gold_to_total is: 0.5440208230399769</t>
  </si>
  <si>
    <t xml:space="preserve"> risk_ratio_to_gold is: 0.6792102302106408</t>
  </si>
  <si>
    <t xml:space="preserve"> risk_ratio_to_gold_before is: 0.6764941123687747
</t>
  </si>
  <si>
    <t xml:space="preserve"> 0.6764941123687747
</t>
  </si>
  <si>
    <t>value_ratio_tb_to_total is: 0.19212343564265894</t>
  </si>
  <si>
    <t xml:space="preserve"> risk_ratio_tb_to_gold is: 0.2585398930321357</t>
  </si>
  <si>
    <t xml:space="preserve"> risk_ratio_tb_to_gold_before is: 0.2618653003382148
</t>
  </si>
  <si>
    <t xml:space="preserve"> 0.2618653003382148
</t>
  </si>
  <si>
    <t>value_ratio_reit_to_total is: 0.26385574131736417</t>
  </si>
  <si>
    <t xml:space="preserve"> risk_ratio_reit_to_gold is: 0.21375830790908695</t>
  </si>
  <si>
    <t xml:space="preserve"> risk_ratio_reit_to_gold_before is: 0.21634416477960397
</t>
  </si>
  <si>
    <t xml:space="preserve"> 0.21634416477960397
</t>
  </si>
  <si>
    <t xml:space="preserve"> delta_reit is: 0.999743349443233
</t>
  </si>
  <si>
    <t xml:space="preserve"> 0.999743349443233
</t>
  </si>
  <si>
    <t>delta_gold_risk is: 1.0016201177336843</t>
  </si>
  <si>
    <t xml:space="preserve"> delta_tb_risk is: 0.9973646891588287</t>
  </si>
  <si>
    <t xml:space="preserve"> delta_reit_risk is: 0.9978740746694948
</t>
  </si>
  <si>
    <t xml:space="preserve"> 0.9978740746694948
</t>
  </si>
  <si>
    <t xml:space="preserve">collateral_ratio_tranche_gold is: 0.7989092522623009
</t>
  </si>
  <si>
    <t xml:space="preserve"> 0.7989092522623009
</t>
  </si>
  <si>
    <t xml:space="preserve">collateral_ratio_tranche_tb is: 0.351000507294421
</t>
  </si>
  <si>
    <t xml:space="preserve"> 0.351000507294421
</t>
  </si>
  <si>
    <t xml:space="preserve">collateral_ratio_tranche_reit is: 0.3491164717394207
</t>
  </si>
  <si>
    <t xml:space="preserve"> 0.3491164717394207
</t>
  </si>
  <si>
    <t>Total plot size is: 149866249.90789673</t>
  </si>
  <si>
    <t xml:space="preserve"> plot size of gold is: 80020845.5181296</t>
  </si>
  <si>
    <t xml:space="preserve"> plot size of TB is: 35007764.49636151</t>
  </si>
  <si>
    <t xml:space="preserve"> plot size of REIT is: 34837639.89340562
</t>
  </si>
  <si>
    <t xml:space="preserve"> 34837639.89340562
</t>
  </si>
  <si>
    <t xml:space="preserve">collateral ratio is: 1.4986624990789668
</t>
  </si>
  <si>
    <t xml:space="preserve"> 1.4986624990789668
</t>
  </si>
  <si>
    <t>S_gtbcps_0 is: 1.0001714459716968</t>
  </si>
  <si>
    <t xml:space="preserve">stdev_gtbcps is: 0.009628286740319215
</t>
  </si>
  <si>
    <t xml:space="preserve"> 0.009628286740319215
</t>
  </si>
  <si>
    <t>predicted price of GTBCPS is: 1.0001635328329301</t>
  </si>
  <si>
    <t xml:space="preserve"> actual price is: 1.0001714459716968
</t>
  </si>
  <si>
    <t xml:space="preserve"> 1.0001714459716968
</t>
  </si>
  <si>
    <t>predicted amount of GTBCPS is: 99983649.3905685</t>
  </si>
  <si>
    <t xml:space="preserve"> actual amount is: 99982858.34169862
</t>
  </si>
  <si>
    <t>plot sizes of gold is: 80020845.5181296</t>
  </si>
  <si>
    <t xml:space="preserve"> plot sizes of tb is: 35007764.49636151 </t>
  </si>
  <si>
    <t xml:space="preserve"> plot sizes of reit is: 34837639.89340562</t>
  </si>
  <si>
    <t xml:space="preserve"> plot sizes of total is: 149866249.90789673.
</t>
  </si>
  <si>
    <t xml:space="preserve"> 149866249.90789673.
</t>
  </si>
  <si>
    <t>predicted stdevs of gold is: 0.007848946105883993</t>
  </si>
  <si>
    <t xml:space="preserve"> predicted stdevs of tb is: 0.0016506600025293662</t>
  </si>
  <si>
    <t xml:space="preserve"> predicted stdevs of reit is: 0.021731954537531614</t>
  </si>
  <si>
    <t xml:space="preserve"> predicted stdevs of GTBCPS is: 0.009628286740319215.
</t>
  </si>
  <si>
    <t xml:space="preserve"> 0.009628286740319215.
</t>
  </si>
  <si>
    <t>total_value_of_collaterals is: 149865977.2796628</t>
  </si>
  <si>
    <t xml:space="preserve"> createdtionValue_gold is: 633.1058399014994</t>
  </si>
  <si>
    <t xml:space="preserve"> createdValue_tb is: 276.9735613493526</t>
  </si>
  <si>
    <t xml:space="preserve"> createdValue_reit is: 275.6275886705452
</t>
  </si>
  <si>
    <t xml:space="preserve"> 275.6275886705452
</t>
  </si>
  <si>
    <t>plotValue_gold_after_creation is: 80020001.18643981</t>
  </si>
  <si>
    <t xml:space="preserve"> plotValue_tb_after_creation  is: 35007455.80112784</t>
  </si>
  <si>
    <t xml:space="preserve"> plotValue_reit_after_creation  is: 34837334.585105196</t>
  </si>
  <si>
    <t xml:space="preserve">total_value_after_creation is: 149864791.57267284
</t>
  </si>
  <si>
    <t xml:space="preserve"> 149864791.57267284
</t>
  </si>
  <si>
    <t>total_amount_gtncps_before_creation is: 99982858.34169862</t>
  </si>
  <si>
    <t>creation_amount_gtbcps is: 791.0488698780537</t>
  </si>
  <si>
    <t xml:space="preserve">total_amount_gtbcps_new is: 99983649.3905685
</t>
  </si>
  <si>
    <t xml:space="preserve"> 99983649.3905685
</t>
  </si>
  <si>
    <t>payout of tranche of gold is: -211.22584988881886</t>
  </si>
  <si>
    <t xml:space="preserve"> payout of tranche of Treausry Bill Option is: -31.721672315228393</t>
  </si>
  <si>
    <t xml:space="preserve"> payout of tranche of Collar of REIT is: -29.68071175014151
</t>
  </si>
  <si>
    <t xml:space="preserve"> -29.68071175014151
</t>
  </si>
  <si>
    <t>Collateral size of tranche of gold is: 80020001.18643981</t>
  </si>
  <si>
    <t xml:space="preserve"> collateral size of tranche of Treausry Bill Option is: 35007455.80112784</t>
  </si>
  <si>
    <t xml:space="preserve"> collateral size of tranche of Collar of REIT is: 34837334.585105196
</t>
  </si>
  <si>
    <t xml:space="preserve"> 34837334.585105196
</t>
  </si>
  <si>
    <t>Collateral ratio of tranche of gold is: 0.8002063429227969</t>
  </si>
  <si>
    <t xml:space="preserve"> collateral ratio of tranche of Treausry Bill Option is: 0.3500773277468918</t>
  </si>
  <si>
    <t xml:space="preserve"> collateral ratio of tranche of Collar of REIT is: 0.34837610212693854
</t>
  </si>
  <si>
    <t xml:space="preserve"> 0.34837610212693854
</t>
  </si>
  <si>
    <t xml:space="preserve"> current price of reit option is: 5.594592070860664</t>
  </si>
  <si>
    <t xml:space="preserve"> predicted price of reit is: 38.7223741070894
</t>
  </si>
  <si>
    <t xml:space="preserve"> 38.7223741070894
</t>
  </si>
  <si>
    <t>value_ratio_gold_to_total is: 0.5470515160386727</t>
  </si>
  <si>
    <t xml:space="preserve"> risk_ratio_to_gold is: 0.6796127832057818</t>
  </si>
  <si>
    <t xml:space="preserve"> risk_ratio_to_gold_before is: 0.6792102302106408
</t>
  </si>
  <si>
    <t xml:space="preserve"> 0.6792102302106408
</t>
  </si>
  <si>
    <t>value_ratio_tb_to_total is: 0.1931937387020784</t>
  </si>
  <si>
    <t xml:space="preserve"> risk_ratio_tb_to_gold is: 0.25733950552856555</t>
  </si>
  <si>
    <t xml:space="preserve"> risk_ratio_tb_to_gold_before is: 0.2585398930321357
</t>
  </si>
  <si>
    <t xml:space="preserve"> 0.2585398930321357
</t>
  </si>
  <si>
    <t>value_ratio_reit_to_total is: 0.2597547452592489</t>
  </si>
  <si>
    <t xml:space="preserve"> risk_ratio_reit_to_gold is: 0.2140866134489629</t>
  </si>
  <si>
    <t xml:space="preserve"> risk_ratio_reit_to_gold_before is: 0.21375830790908695
</t>
  </si>
  <si>
    <t xml:space="preserve"> 0.21375830790908695
</t>
  </si>
  <si>
    <t xml:space="preserve"> delta_reit is: 0.9994028084740543
</t>
  </si>
  <si>
    <t xml:space="preserve"> 0.9994028084740543
</t>
  </si>
  <si>
    <t>delta_gold_risk is: 1.000239727574248</t>
  </si>
  <si>
    <t xml:space="preserve"> delta_tb_risk is: 0.9990462062345294</t>
  </si>
  <si>
    <t xml:space="preserve"> delta_reit_risk is: 1.0002704867499046
</t>
  </si>
  <si>
    <t xml:space="preserve"> 1.0002704867499046
</t>
  </si>
  <si>
    <t xml:space="preserve">collateral_ratio_tranche_gold is: 0.8000145573735946
</t>
  </si>
  <si>
    <t xml:space="preserve"> 0.8000145573735946
</t>
  </si>
  <si>
    <t xml:space="preserve">collateral_ratio_tranche_tb is: 0.35041154809681546
</t>
  </si>
  <si>
    <t xml:space="preserve"> 0.35041154809681546
</t>
  </si>
  <si>
    <t xml:space="preserve">collateral_ratio_tranche_reit is: 0.3480739054914833
</t>
  </si>
  <si>
    <t xml:space="preserve"> 0.3480739054914833
</t>
  </si>
  <si>
    <t>Total plot size is: 149843987.01167208</t>
  </si>
  <si>
    <t xml:space="preserve"> plot size of gold is: 80020001.18643981</t>
  </si>
  <si>
    <t xml:space="preserve"> plot size of TB is: 35007455.80112784</t>
  </si>
  <si>
    <t xml:space="preserve"> plot size of REIT is: 34816530.02410443
</t>
  </si>
  <si>
    <t xml:space="preserve"> 34816530.02410443
</t>
  </si>
  <si>
    <t xml:space="preserve">collateral ratio is: 1.4984398701167203
</t>
  </si>
  <si>
    <t xml:space="preserve"> 1.4984398701167203
</t>
  </si>
  <si>
    <t>S_gtbcps_0 is: 1.0001635328329301</t>
  </si>
  <si>
    <t xml:space="preserve">stdev_gtbcps is: 0.009737075028612676
</t>
  </si>
  <si>
    <t xml:space="preserve"> 0.009737075028612676
</t>
  </si>
  <si>
    <t>predicted price of GTBCPS is: 1.000145015417635</t>
  </si>
  <si>
    <t xml:space="preserve"> actual price is: 1.0001635328329301
</t>
  </si>
  <si>
    <t xml:space="preserve"> 1.0001635328329301
</t>
  </si>
  <si>
    <t>predicted amount of GTBCPS is: 99985500.56087875</t>
  </si>
  <si>
    <t xml:space="preserve"> actual amount is: 99983649.3905685
</t>
  </si>
  <si>
    <t>plot sizes of gold is: 80020001.18643981</t>
  </si>
  <si>
    <t xml:space="preserve"> plot sizes of tb is: 35007455.80112784 </t>
  </si>
  <si>
    <t xml:space="preserve"> plot sizes of reit is: 34816530.02410443</t>
  </si>
  <si>
    <t xml:space="preserve"> plot sizes of total is: 149843987.01167208.
</t>
  </si>
  <si>
    <t xml:space="preserve"> 149843987.01167208.
</t>
  </si>
  <si>
    <t>predicted stdevs of gold is: 0.007905876255227226</t>
  </si>
  <si>
    <t xml:space="preserve"> predicted stdevs of tb is: 0.0016705151694903387</t>
  </si>
  <si>
    <t xml:space="preserve"> predicted stdevs of reit is: 0.022056575721454075</t>
  </si>
  <si>
    <t xml:space="preserve"> predicted stdevs of GTBCPS is: 0.009737075028612676.
</t>
  </si>
  <si>
    <t xml:space="preserve"> 0.009737075028612676.
</t>
  </si>
  <si>
    <t>total_value_of_collaterals is: 149843349.26388004</t>
  </si>
  <si>
    <t xml:space="preserve"> createdtionValue_gold is: 1481.5121636712008</t>
  </si>
  <si>
    <t xml:space="preserve"> createdValue_tb is: 648.1402323920238</t>
  </si>
  <si>
    <t xml:space="preserve"> createdValue_reit is: 644.6054492345647
</t>
  </si>
  <si>
    <t xml:space="preserve"> 644.6054492345647
</t>
  </si>
  <si>
    <t>plotValue_gold_after_creation is: 80018025.31051287</t>
  </si>
  <si>
    <t xml:space="preserve"> plotValue_tb_after_creation  is: 35006733.520020455</t>
  </si>
  <si>
    <t xml:space="preserve"> plotValue_reit_after_creation  is: 34815816.17550143</t>
  </si>
  <si>
    <t xml:space="preserve">total_value_after_creation is: 149840575.00603476
</t>
  </si>
  <si>
    <t xml:space="preserve"> 149840575.00603476
</t>
  </si>
  <si>
    <t>total_amount_gtncps_before_creation is: 99983649.3905685</t>
  </si>
  <si>
    <t>creation_amount_gtbcps is: 1851.1703102588654</t>
  </si>
  <si>
    <t xml:space="preserve">total_amount_gtbcps_new is: 99985500.56087875
</t>
  </si>
  <si>
    <t xml:space="preserve"> 99985500.56087875
</t>
  </si>
  <si>
    <t>payout of tranche of gold is: -494.3637632787572</t>
  </si>
  <si>
    <t xml:space="preserve"> payout of tranche of Treausry Bill Option is: -74.1408749979092</t>
  </si>
  <si>
    <t xml:space="preserve"> payout of tranche of Collar of REIT is: -69.24315376270302
</t>
  </si>
  <si>
    <t xml:space="preserve"> -69.24315376270302
</t>
  </si>
  <si>
    <t>Collateral size of tranche of gold is: 80018025.31051287</t>
  </si>
  <si>
    <t xml:space="preserve"> collateral size of tranche of Treausry Bill Option is: 35006733.520020455</t>
  </si>
  <si>
    <t xml:space="preserve"> collateral size of tranche of Collar of REIT is: 34815816.17550143
</t>
  </si>
  <si>
    <t xml:space="preserve"> 34815816.17550143
</t>
  </si>
  <si>
    <t>Collateral ratio of tranche of gold is: 0.8001950682267651</t>
  </si>
  <si>
    <t xml:space="preserve"> collateral ratio of tranche of Treausry Bill Option is: 0.35007381660252834</t>
  </si>
  <si>
    <t xml:space="preserve"> collateral ratio of tranche of Collar of REIT is: 0.34816460780950653
</t>
  </si>
  <si>
    <t xml:space="preserve"> 0.34816460780950653
</t>
  </si>
  <si>
    <t xml:space="preserve"> current price of reit option is: 5.569077975415631</t>
  </si>
  <si>
    <t xml:space="preserve"> predicted price of reit is: 38.80537564803659
</t>
  </si>
  <si>
    <t xml:space="preserve"> 38.80537564803659
</t>
  </si>
  <si>
    <t>value_ratio_gold_to_total is: 0.5457083628840435</t>
  </si>
  <si>
    <t xml:space="preserve"> risk_ratio_to_gold is: 0.6795103562547706</t>
  </si>
  <si>
    <t xml:space="preserve"> risk_ratio_to_gold_before is: 0.6796127832057818
</t>
  </si>
  <si>
    <t xml:space="preserve"> 0.6796127832057818
</t>
  </si>
  <si>
    <t>value_ratio_tb_to_total is: 0.19271939803765373</t>
  </si>
  <si>
    <t xml:space="preserve"> risk_ratio_tb_to_gold is: 0.2572313054105268</t>
  </si>
  <si>
    <t xml:space="preserve"> risk_ratio_tb_to_gold_before is: 0.25733950552856555
</t>
  </si>
  <si>
    <t xml:space="preserve"> 0.25733950552856555
</t>
  </si>
  <si>
    <t>value_ratio_reit_to_total is: 0.2615722390783028</t>
  </si>
  <si>
    <t xml:space="preserve"> risk_ratio_reit_to_gold is: 0.21441661105635237</t>
  </si>
  <si>
    <t xml:space="preserve"> risk_ratio_reit_to_gold_before is: 0.2140866134489629
</t>
  </si>
  <si>
    <t xml:space="preserve"> 0.2140866134489629
</t>
  </si>
  <si>
    <t xml:space="preserve"> delta_reit is: 0.999418078849866
</t>
  </si>
  <si>
    <t xml:space="preserve"> 0.999418078849866
</t>
  </si>
  <si>
    <t>delta_gold_risk is: 0.9999390175211601</t>
  </si>
  <si>
    <t xml:space="preserve"> delta_tb_risk is: 0.999913945185399</t>
  </si>
  <si>
    <t xml:space="preserve"> delta_reit_risk is: 1.0002718073024888
</t>
  </si>
  <si>
    <t xml:space="preserve"> 1.0002718073024888
</t>
  </si>
  <si>
    <t xml:space="preserve">collateral_ratio_tranche_gold is: 0.8002438690815782
</t>
  </si>
  <si>
    <t xml:space="preserve"> 0.8002438690815782
</t>
  </si>
  <si>
    <t xml:space="preserve">collateral_ratio_tranche_tb is: 0.35010394473258344
</t>
  </si>
  <si>
    <t xml:space="preserve"> 0.35010394473258344
</t>
  </si>
  <si>
    <t xml:space="preserve">collateral_ratio_tranche_reit is: 0.34786745054713725
</t>
  </si>
  <si>
    <t xml:space="preserve"> 0.34786745054713725
</t>
  </si>
  <si>
    <t>Total plot size is: 149820314.94624305</t>
  </si>
  <si>
    <t xml:space="preserve"> plot size of gold is: 80018025.31051287</t>
  </si>
  <si>
    <t xml:space="preserve"> plot size of TB is: 35006733.520020455</t>
  </si>
  <si>
    <t xml:space="preserve"> plot size of REIT is: 34795556.11570973
</t>
  </si>
  <si>
    <t xml:space="preserve"> 34795556.11570973
</t>
  </si>
  <si>
    <t xml:space="preserve">collateral ratio is: 1.49820314946243
</t>
  </si>
  <si>
    <t xml:space="preserve"> 1.49820314946243
</t>
  </si>
  <si>
    <t>S_gtbcps_0 is: 1.000145015417635</t>
  </si>
  <si>
    <t xml:space="preserve">stdev_gtbcps is: 0.00986238059279269
</t>
  </si>
  <si>
    <t xml:space="preserve"> 0.00986238059279269
</t>
  </si>
  <si>
    <t>predicted price of GTBCPS is: 1.0001777981585693</t>
  </si>
  <si>
    <t xml:space="preserve"> actual price is: 1.000145015417635
</t>
  </si>
  <si>
    <t xml:space="preserve"> 1.000145015417635
</t>
  </si>
  <si>
    <t>predicted amount of GTBCPS is: 99982223.34479965</t>
  </si>
  <si>
    <t xml:space="preserve"> actual amount is: 99985500.56087875
</t>
  </si>
  <si>
    <t>plot sizes of gold is: 80018025.31051287</t>
  </si>
  <si>
    <t xml:space="preserve"> plot sizes of tb is: 35006733.520020455 </t>
  </si>
  <si>
    <t xml:space="preserve"> plot sizes of reit is: 34795556.11570973</t>
  </si>
  <si>
    <t xml:space="preserve"> plot sizes of total is: 149820314.94624305.
</t>
  </si>
  <si>
    <t xml:space="preserve"> 149820314.94624305.
</t>
  </si>
  <si>
    <t>predicted stdevs of gold is: 0.008001141781707388</t>
  </si>
  <si>
    <t xml:space="preserve"> predicted stdevs of tb is: 0.0016820654280714515</t>
  </si>
  <si>
    <t xml:space="preserve"> predicted stdevs of reit is: 0.022372563385329794</t>
  </si>
  <si>
    <t xml:space="preserve"> predicted stdevs of GTBCPS is: 0.00986238059279269.
</t>
  </si>
  <si>
    <t xml:space="preserve"> 0.00986238059279269.
</t>
  </si>
  <si>
    <t>total_value_of_collaterals is: 149821443.8930929</t>
  </si>
  <si>
    <t xml:space="preserve"> createdtionValue_gold is: -2622.8569863881653</t>
  </si>
  <si>
    <t xml:space="preserve"> createdValue_tb is: -1147.4543457298357</t>
  </si>
  <si>
    <t xml:space="preserve"> createdValue_reit is: -1140.534101147767
</t>
  </si>
  <si>
    <t xml:space="preserve"> -1140.534101147767
</t>
  </si>
  <si>
    <t>plotValue_gold_after_creation is: 80021476.26334137</t>
  </si>
  <si>
    <t xml:space="preserve"> plotValue_tb_after_creation  is: 35008005.07485201</t>
  </si>
  <si>
    <t xml:space="preserve"> plotValue_reit_after_creation  is: 34796873.40033281</t>
  </si>
  <si>
    <t xml:space="preserve">total_value_after_creation is: 149826354.7385262
</t>
  </si>
  <si>
    <t xml:space="preserve"> 149826354.7385262
</t>
  </si>
  <si>
    <t>total_amount_gtncps_before_creation is: 99985500.56087875</t>
  </si>
  <si>
    <t>creation_amount_gtbcps is: -3277.2160791009665</t>
  </si>
  <si>
    <t xml:space="preserve">total_amount_gtbcps_new is: 99982223.34479965
</t>
  </si>
  <si>
    <t xml:space="preserve"> 99982223.34479965
</t>
  </si>
  <si>
    <t>payout of tranche of gold is: 828.0958421149741</t>
  </si>
  <si>
    <t xml:space="preserve"> payout of tranche of Treausry Bill Option is: 124.10048582063523</t>
  </si>
  <si>
    <t xml:space="preserve"> payout of tranche of Collar of REIT is: 176.75052192761305
</t>
  </si>
  <si>
    <t xml:space="preserve"> 176.75052192761305
</t>
  </si>
  <si>
    <t>Collateral size of tranche of gold is: 80021476.26334137</t>
  </si>
  <si>
    <t xml:space="preserve"> collateral size of tranche of Treausry Bill Option is: 35008005.07485201</t>
  </si>
  <si>
    <t xml:space="preserve"> collateral size of tranche of Collar of REIT is: 34796873.40033281
</t>
  </si>
  <si>
    <t xml:space="preserve"> 34796873.40033281
</t>
  </si>
  <si>
    <t>Collateral ratio of tranche of gold is: 0.8001885340635495</t>
  </si>
  <si>
    <t xml:space="preserve"> collateral ratio of tranche of Treausry Bill Option is: 0.3500685762050627</t>
  </si>
  <si>
    <t xml:space="preserve"> collateral ratio of tranche of Collar of REIT is: 0.3479573286623165
</t>
  </si>
  <si>
    <t xml:space="preserve"> 0.3479573286623165
</t>
  </si>
  <si>
    <t xml:space="preserve"> current price of reit option is: 5.546803533171939</t>
  </si>
  <si>
    <t xml:space="preserve"> predicted price of reit is: 38.74489596429138
</t>
  </si>
  <si>
    <t xml:space="preserve"> 38.74489596429138
</t>
  </si>
  <si>
    <t>value_ratio_gold_to_total is: 0.5476439478866025</t>
  </si>
  <si>
    <t xml:space="preserve"> risk_ratio_to_gold is: 0.6802562350431777</t>
  </si>
  <si>
    <t xml:space="preserve"> risk_ratio_to_gold_before is: 0.6795103562547706
</t>
  </si>
  <si>
    <t xml:space="preserve"> 0.6795103562547706
</t>
  </si>
  <si>
    <t>value_ratio_tb_to_total is: 0.1934029587120265</t>
  </si>
  <si>
    <t xml:space="preserve"> risk_ratio_tb_to_gold is: 0.25576696809220895</t>
  </si>
  <si>
    <t xml:space="preserve"> risk_ratio_tb_to_gold_before is: 0.2572313054105268
</t>
  </si>
  <si>
    <t xml:space="preserve"> 0.2572313054105268
</t>
  </si>
  <si>
    <t>value_ratio_reit_to_total is: 0.25895309340137096</t>
  </si>
  <si>
    <t xml:space="preserve"> risk_ratio_reit_to_gold is: 0.21426733440341955</t>
  </si>
  <si>
    <t xml:space="preserve"> risk_ratio_reit_to_gold_before is: 0.21441661105635237
</t>
  </si>
  <si>
    <t xml:space="preserve"> 0.21441661105635237
</t>
  </si>
  <si>
    <t xml:space="preserve"> delta_reit is: 0.9994916725026439
</t>
  </si>
  <si>
    <t xml:space="preserve"> 0.9994916725026439
</t>
  </si>
  <si>
    <t>delta_gold_risk is: 1.0004441049057122</t>
  </si>
  <si>
    <t xml:space="preserve"> delta_tb_risk is: 0.9988352681706094</t>
  </si>
  <si>
    <t xml:space="preserve"> delta_reit_risk is: 0.9998770795363192
</t>
  </si>
  <si>
    <t xml:space="preserve"> 0.9998770795363192
</t>
  </si>
  <si>
    <t xml:space="preserve">collateral_ratio_tranche_gold is: 0.7998333241605377
</t>
  </si>
  <si>
    <t xml:space="preserve"> 0.7998333241605377
</t>
  </si>
  <si>
    <t xml:space="preserve">collateral_ratio_tranche_tb is: 0.35047678767513046
</t>
  </si>
  <si>
    <t xml:space="preserve"> 0.35047678767513046
</t>
  </si>
  <si>
    <t xml:space="preserve">collateral_ratio_tranche_reit is: 0.34782320697413105
</t>
  </si>
  <si>
    <t xml:space="preserve"> 0.34782320697413105
</t>
  </si>
  <si>
    <t>Total plot size is: 149808666.53095478</t>
  </si>
  <si>
    <t xml:space="preserve"> plot size of gold is: 80021476.26334137</t>
  </si>
  <si>
    <t xml:space="preserve"> plot size of TB is: 35008005.07485201</t>
  </si>
  <si>
    <t xml:space="preserve"> plot size of REIT is: 34779185.1927614
</t>
  </si>
  <si>
    <t xml:space="preserve"> 34779185.1927614
</t>
  </si>
  <si>
    <t xml:space="preserve">collateral ratio is: 1.4980866653095473
</t>
  </si>
  <si>
    <t xml:space="preserve"> 1.4980866653095473
</t>
  </si>
  <si>
    <t>S_gtbcps_0 is: 1.0001777981585693</t>
  </si>
  <si>
    <t xml:space="preserve">stdev_gtbcps is: 0.009992088288855994
</t>
  </si>
  <si>
    <t xml:space="preserve"> 0.009992088288855994
</t>
  </si>
  <si>
    <t>predicted price of GTBCPS is: 1.0001668035782514</t>
  </si>
  <si>
    <t xml:space="preserve"> actual price is: 1.0001777981585693
</t>
  </si>
  <si>
    <t xml:space="preserve"> 1.0001777981585693
</t>
  </si>
  <si>
    <t>predicted amount of GTBCPS is: 99983322.42405424</t>
  </si>
  <si>
    <t xml:space="preserve"> actual amount is: 99982223.34479965
</t>
  </si>
  <si>
    <t>plot sizes of gold is: 80021476.26334137</t>
  </si>
  <si>
    <t xml:space="preserve"> plot sizes of tb is: 35008005.07485201 </t>
  </si>
  <si>
    <t xml:space="preserve"> plot sizes of reit is: 34779185.1927614</t>
  </si>
  <si>
    <t xml:space="preserve"> plot sizes of total is: 149808666.53095478.
</t>
  </si>
  <si>
    <t xml:space="preserve"> 149808666.53095478.
</t>
  </si>
  <si>
    <t>predicted stdevs of gold is: 0.008124195601148694</t>
  </si>
  <si>
    <t xml:space="preserve"> predicted stdevs of tb is: 0.0016882265071657692</t>
  </si>
  <si>
    <t xml:space="preserve"> predicted stdevs of reit is: 0.022648312502462152</t>
  </si>
  <si>
    <t xml:space="preserve"> predicted stdevs of GTBCPS is: 0.009992088288855994.
</t>
  </si>
  <si>
    <t xml:space="preserve"> 0.009992088288855994.
</t>
  </si>
  <si>
    <t>total_value_of_collaterals is: 149808287.83989462</t>
  </si>
  <si>
    <t xml:space="preserve"> createdtionValue_gold is: 879.6429211164226</t>
  </si>
  <si>
    <t xml:space="preserve"> createdValue_tb is: 384.82941734304944</t>
  </si>
  <si>
    <t xml:space="preserve"> createdValue_reit is: 382.31411889617414
</t>
  </si>
  <si>
    <t xml:space="preserve"> 382.31411889617414
</t>
  </si>
  <si>
    <t>plotValue_gold_after_creation is: 80020303.02731961</t>
  </si>
  <si>
    <t xml:space="preserve"> plotValue_tb_after_creation  is: 35007576.19982255</t>
  </si>
  <si>
    <t xml:space="preserve"> plotValue_reit_after_creation  is: 34778761.8262951</t>
  </si>
  <si>
    <t xml:space="preserve">total_value_after_creation is: 149806641.05343726
</t>
  </si>
  <si>
    <t xml:space="preserve"> 149806641.05343726
</t>
  </si>
  <si>
    <t>total_amount_gtncps_before_creation is: 99982223.34479965</t>
  </si>
  <si>
    <t>creation_amount_gtbcps is: 1099.0792545825243</t>
  </si>
  <si>
    <t xml:space="preserve">total_amount_gtbcps_new is: 99983322.42405424
</t>
  </si>
  <si>
    <t xml:space="preserve"> 99983322.42405424
</t>
  </si>
  <si>
    <t>payout of tranche of gold is: -293.5931006428487</t>
  </si>
  <si>
    <t xml:space="preserve"> payout of tranche of Treausry Bill Option is: -44.045612120820515</t>
  </si>
  <si>
    <t xml:space="preserve"> payout of tranche of Collar of REIT is: -41.052347397833444
</t>
  </si>
  <si>
    <t xml:space="preserve"> -41.052347397833444
</t>
  </si>
  <si>
    <t>Collateral size of tranche of gold is: 80020303.02731961</t>
  </si>
  <si>
    <t xml:space="preserve"> collateral size of tranche of Treausry Bill Option is: 35007576.19982255</t>
  </si>
  <si>
    <t xml:space="preserve"> collateral size of tranche of Collar of REIT is: 34778761.8262951
</t>
  </si>
  <si>
    <t xml:space="preserve"> 34778761.8262951
</t>
  </si>
  <si>
    <t>Collateral ratio of tranche of gold is: 0.8002118267024071</t>
  </si>
  <si>
    <t xml:space="preserve"> collateral ratio of tranche of Treausry Bill Option is: 0.3500796102923988</t>
  </si>
  <si>
    <t xml:space="preserve"> collateral ratio of tranche of Collar of REIT is: 0.34779144140413987
</t>
  </si>
  <si>
    <t xml:space="preserve"> 0.34779144140413987
</t>
  </si>
  <si>
    <t xml:space="preserve"> current price of reit option is: 5.524525418779248</t>
  </si>
  <si>
    <t xml:space="preserve"> predicted price of reit is: 38.59177429784444
</t>
  </si>
  <si>
    <t xml:space="preserve"> 38.59177429784444
</t>
  </si>
  <si>
    <t>value_ratio_gold_to_total is: 0.5517922138899231</t>
  </si>
  <si>
    <t xml:space="preserve"> risk_ratio_to_gold is: 0.6749660166072707</t>
  </si>
  <si>
    <t xml:space="preserve"> risk_ratio_to_gold_before is: 0.6802562350431777
</t>
  </si>
  <si>
    <t xml:space="preserve"> 0.6802562350431777
</t>
  </si>
  <si>
    <t>value_ratio_tb_to_total is: 0.1948679377767323</t>
  </si>
  <si>
    <t xml:space="preserve"> risk_ratio_tb_to_gold is: 0.2610710974714352</t>
  </si>
  <si>
    <t xml:space="preserve"> risk_ratio_tb_to_gold_before is: 0.25576696809220895
</t>
  </si>
  <si>
    <t xml:space="preserve"> 0.25576696809220895
</t>
  </si>
  <si>
    <t>value_ratio_reit_to_total is: 0.2533398483333446</t>
  </si>
  <si>
    <t xml:space="preserve"> risk_ratio_reit_to_gold is: 0.22048497408683174</t>
  </si>
  <si>
    <t xml:space="preserve"> risk_ratio_reit_to_gold_before is: 0.21426733440341955
</t>
  </si>
  <si>
    <t xml:space="preserve"> 0.21426733440341955
</t>
  </si>
  <si>
    <t xml:space="preserve"> delta_reit is: 0.9994913301292452
</t>
  </si>
  <si>
    <t xml:space="preserve"> 0.9994913301292452
</t>
  </si>
  <si>
    <t>delta_gold_risk is: 0.9968515406605403</t>
  </si>
  <si>
    <t xml:space="preserve"> delta_tb_risk is: 1.004223816610883</t>
  </si>
  <si>
    <t xml:space="preserve"> delta_reit_risk is: 1.0051204866566446
</t>
  </si>
  <si>
    <t xml:space="preserve"> 1.0051204866566446
</t>
  </si>
  <si>
    <t xml:space="preserve">collateral_ratio_tranche_gold is: 0.802739218492019
</t>
  </si>
  <si>
    <t xml:space="preserve"> 0.802739218492019
</t>
  </si>
  <si>
    <t xml:space="preserve">collateral_ratio_tranche_tb is: 0.34860715758949956
</t>
  </si>
  <si>
    <t xml:space="preserve"> 0.34860715758949956
</t>
  </si>
  <si>
    <t xml:space="preserve">collateral_ratio_tranche_reit is: 0.34584364261927386
</t>
  </si>
  <si>
    <t xml:space="preserve"> 0.34584364261927386
</t>
  </si>
  <si>
    <t>Total plot size is: 149788950.14515406</t>
  </si>
  <si>
    <t xml:space="preserve"> plot size of gold is: 80020303.02731961</t>
  </si>
  <si>
    <t xml:space="preserve"> plot size of TB is: 35007576.19982255</t>
  </si>
  <si>
    <t xml:space="preserve"> plot size of REIT is: 34761070.918011904
</t>
  </si>
  <si>
    <t xml:space="preserve"> 34761070.918011904
</t>
  </si>
  <si>
    <t xml:space="preserve">collateral ratio is: 1.49788950145154
</t>
  </si>
  <si>
    <t xml:space="preserve"> 1.49788950145154
</t>
  </si>
  <si>
    <t>S_gtbcps_0 is: 1.0001668035782514</t>
  </si>
  <si>
    <t xml:space="preserve">stdev_gtbcps is: 0.010003567311818111
</t>
  </si>
  <si>
    <t xml:space="preserve"> 0.010003567311818111
</t>
  </si>
  <si>
    <t>predicted price of GTBCPS is: 1.00015270797792</t>
  </si>
  <si>
    <t xml:space="preserve"> actual price is: 1.0001668035782514
</t>
  </si>
  <si>
    <t xml:space="preserve"> 1.0001668035782514
</t>
  </si>
  <si>
    <t>predicted amount of GTBCPS is: 99984731.53382462</t>
  </si>
  <si>
    <t xml:space="preserve"> actual amount is: 99983322.42405424
</t>
  </si>
  <si>
    <t>plot sizes of gold is: 80020303.02731961</t>
  </si>
  <si>
    <t xml:space="preserve"> plot sizes of tb is: 35007576.19982255 </t>
  </si>
  <si>
    <t xml:space="preserve"> plot sizes of reit is: 34761070.918011904</t>
  </si>
  <si>
    <t xml:space="preserve"> plot sizes of total is: 149788950.14515406.
</t>
  </si>
  <si>
    <t xml:space="preserve"> 149788950.14515406.
</t>
  </si>
  <si>
    <t>predicted stdevs of gold is: 0.00801938584320514</t>
  </si>
  <si>
    <t xml:space="preserve"> predicted stdevs of tb is: 0.001709555773593758</t>
  </si>
  <si>
    <t xml:space="preserve"> predicted stdevs of reit is: 0.022923999031701538</t>
  </si>
  <si>
    <t xml:space="preserve"> predicted stdevs of GTBCPS is: 0.010003567311818111.
</t>
  </si>
  <si>
    <t xml:space="preserve"> 0.010003567311818111.
</t>
  </si>
  <si>
    <t>total_value_of_collaterals is: 149788465.13029152</t>
  </si>
  <si>
    <t xml:space="preserve"> createdtionValue_gold is: 1127.740792374635</t>
  </si>
  <si>
    <t xml:space="preserve"> createdValue_tb is: 493.3697145640539</t>
  </si>
  <si>
    <t xml:space="preserve"> createdValue_reit is: 489.8957083955378
</t>
  </si>
  <si>
    <t xml:space="preserve"> 489.8957083955378
</t>
  </si>
  <si>
    <t>plotValue_gold_after_creation is: 80018798.8361981</t>
  </si>
  <si>
    <t xml:space="preserve"> plotValue_tb_after_creation  is: 35007026.62217671</t>
  </si>
  <si>
    <t xml:space="preserve"> plotValue_reit_after_creation  is: 34760528.66570139</t>
  </si>
  <si>
    <t xml:space="preserve">total_value_after_creation is: 149786354.1240762
</t>
  </si>
  <si>
    <t xml:space="preserve"> 149786354.1240762
</t>
  </si>
  <si>
    <t>total_amount_gtncps_before_creation is: 99983322.42405424</t>
  </si>
  <si>
    <t>creation_amount_gtbcps is: 1409.1097703874111</t>
  </si>
  <si>
    <t xml:space="preserve">total_amount_gtbcps_new is: 99984731.53382462
</t>
  </si>
  <si>
    <t xml:space="preserve"> 99984731.53382462
</t>
  </si>
  <si>
    <t>payout of tranche of gold is: -376.45032912088334</t>
  </si>
  <si>
    <t xml:space="preserve"> payout of tranche of Treausry Bill Option is: -56.207931282134574</t>
  </si>
  <si>
    <t xml:space="preserve"> payout of tranche of Collar of REIT is: -52.35660211614463
</t>
  </si>
  <si>
    <t xml:space="preserve"> -52.35660211614463
</t>
  </si>
  <si>
    <t>Collateral size of tranche of gold is: 80018798.8361981</t>
  </si>
  <si>
    <t xml:space="preserve"> collateral size of tranche of Treausry Bill Option is: 35007026.62217671</t>
  </si>
  <si>
    <t xml:space="preserve"> collateral size of tranche of Collar of REIT is: 34760528.66570139
</t>
  </si>
  <si>
    <t xml:space="preserve"> 34760528.66570139
</t>
  </si>
  <si>
    <t>Collateral ratio of tranche of gold is: 0.8001992657699046</t>
  </si>
  <si>
    <t xml:space="preserve"> collateral ratio of tranche of Treausry Bill Option is: 0.3500751999189126</t>
  </si>
  <si>
    <t xml:space="preserve"> collateral ratio of tranche of Collar of REIT is: 0.34761018561409773
</t>
  </si>
  <si>
    <t xml:space="preserve"> 0.34761018561409773
</t>
  </si>
  <si>
    <t xml:space="preserve"> current price of reit option is: 5.495161398671691</t>
  </si>
  <si>
    <t xml:space="preserve"> predicted price of reit is: 38.63633513714323
</t>
  </si>
  <si>
    <t xml:space="preserve"> 38.63633513714323
</t>
  </si>
  <si>
    <t>value_ratio_gold_to_total is: 0.5514303188792999</t>
  </si>
  <si>
    <t xml:space="preserve"> risk_ratio_to_gold is: 0.6773561598622226</t>
  </si>
  <si>
    <t xml:space="preserve"> risk_ratio_to_gold_before is: 0.6749660166072707
</t>
  </si>
  <si>
    <t xml:space="preserve"> 0.6749660166072707
</t>
  </si>
  <si>
    <t>value_ratio_tb_to_total is: 0.1947401329026572</t>
  </si>
  <si>
    <t xml:space="preserve"> risk_ratio_tb_to_gold is: 0.25781126351156186</t>
  </si>
  <si>
    <t xml:space="preserve"> risk_ratio_tb_to_gold_before is: 0.2610710974714352
</t>
  </si>
  <si>
    <t xml:space="preserve"> 0.2610710974714352
</t>
  </si>
  <si>
    <t>value_ratio_reit_to_total is: 0.2538295482180428</t>
  </si>
  <si>
    <t xml:space="preserve"> risk_ratio_reit_to_gold is: 0.2185169361218549</t>
  </si>
  <si>
    <t xml:space="preserve"> risk_ratio_reit_to_gold_before is: 0.22048497408683174
</t>
  </si>
  <si>
    <t xml:space="preserve"> 0.22048497408683174
</t>
  </si>
  <si>
    <t xml:space="preserve"> delta_reit is: 0.9993291984361534
</t>
  </si>
  <si>
    <t xml:space="preserve"> 0.9993291984361534
</t>
  </si>
  <si>
    <t>delta_gold_risk is: 1.0014269801484053</t>
  </si>
  <si>
    <t xml:space="preserve"> delta_tb_risk is: 0.9974150276170712</t>
  </si>
  <si>
    <t xml:space="preserve"> delta_reit_risk is: 0.9983874951295902
</t>
  </si>
  <si>
    <t xml:space="preserve"> 0.9983874951295902
</t>
  </si>
  <si>
    <t xml:space="preserve">collateral_ratio_tranche_gold is: 0.799059024404675
</t>
  </si>
  <si>
    <t xml:space="preserve"> 0.799059024404675
</t>
  </si>
  <si>
    <t xml:space="preserve">collateral_ratio_tranche_tb is: 0.3509824799364402
</t>
  </si>
  <si>
    <t xml:space="preserve"> 0.3509824799364402
</t>
  </si>
  <si>
    <t xml:space="preserve">collateral_ratio_tranche_reit is: 0.3479380599742882
</t>
  </si>
  <si>
    <t xml:space="preserve"> 0.3479380599742882
</t>
  </si>
  <si>
    <t>Total plot size is: 149763036.7070871</t>
  </si>
  <si>
    <t xml:space="preserve"> plot size of gold is: 80018798.8361981</t>
  </si>
  <si>
    <t xml:space="preserve"> plot size of TB is: 35007026.62217671</t>
  </si>
  <si>
    <t xml:space="preserve"> plot size of REIT is: 34737211.2487123
</t>
  </si>
  <si>
    <t xml:space="preserve"> 34737211.2487123
</t>
  </si>
  <si>
    <t xml:space="preserve">collateral ratio is: 1.4976303670708706
</t>
  </si>
  <si>
    <t xml:space="preserve"> 1.4976303670708706
</t>
  </si>
  <si>
    <t>S_gtbcps_0 is: 1.00015270797792</t>
  </si>
  <si>
    <t xml:space="preserve">stdev_gtbcps is: 0.010132412380733542
</t>
  </si>
  <si>
    <t xml:space="preserve"> 0.010132412380733542
</t>
  </si>
  <si>
    <t>predicted price of GTBCPS is: 1.0001571700238083</t>
  </si>
  <si>
    <t xml:space="preserve"> actual price is: 1.00015270797792
</t>
  </si>
  <si>
    <t xml:space="preserve"> 1.00015270797792
</t>
  </si>
  <si>
    <t>predicted amount of GTBCPS is: 99984285.46747264</t>
  </si>
  <si>
    <t xml:space="preserve"> actual amount is: 99984731.53382462
</t>
  </si>
  <si>
    <t>plot sizes of gold is: 80018798.8361981</t>
  </si>
  <si>
    <t xml:space="preserve"> plot sizes of tb is: 35007026.62217671 </t>
  </si>
  <si>
    <t xml:space="preserve"> plot sizes of reit is: 34737211.2487123</t>
  </si>
  <si>
    <t xml:space="preserve"> plot sizes of total is: 149763036.7070871.
</t>
  </si>
  <si>
    <t xml:space="preserve"> 149763036.7070871.
</t>
  </si>
  <si>
    <t>predicted stdevs of gold is: 0.008101670538761768</t>
  </si>
  <si>
    <t xml:space="preserve"> predicted stdevs of tb is: 0.0017208622052989704</t>
  </si>
  <si>
    <t xml:space="preserve"> predicted stdevs of reit is: 0.023287207122154888</t>
  </si>
  <si>
    <t xml:space="preserve"> predicted stdevs of GTBCPS is: 0.010132412380733542.
</t>
  </si>
  <si>
    <t xml:space="preserve"> 0.010132412380733542.
</t>
  </si>
  <si>
    <t>total_value_of_collaterals is: 149763190.44863057</t>
  </si>
  <si>
    <t xml:space="preserve"> createdtionValue_gold is: -356.99353973647726</t>
  </si>
  <si>
    <t xml:space="preserve"> createdValue_tb is: -156.17918499056083</t>
  </si>
  <si>
    <t xml:space="preserve"> createdValue_reit is: -154.9754718816715
</t>
  </si>
  <si>
    <t xml:space="preserve"> -154.9754718816715
</t>
  </si>
  <si>
    <t>plotValue_gold_after_creation is: 80019268.59406814</t>
  </si>
  <si>
    <t xml:space="preserve"> plotValue_tb_after_creation  is: 35007199.7431313</t>
  </si>
  <si>
    <t xml:space="preserve"> plotValue_reit_after_creation  is: 34737390.25962772</t>
  </si>
  <si>
    <t xml:space="preserve">total_value_after_creation is: 149763858.59682718
</t>
  </si>
  <si>
    <t xml:space="preserve"> 149763858.59682718
</t>
  </si>
  <si>
    <t>total_amount_gtncps_before_creation is: 99984731.53382462</t>
  </si>
  <si>
    <t>creation_amount_gtbcps is: -446.06635197997093</t>
  </si>
  <si>
    <t xml:space="preserve">total_amount_gtbcps_new is: 99984285.46747264
</t>
  </si>
  <si>
    <t xml:space="preserve"> 99984285.46747264
</t>
  </si>
  <si>
    <t>payout of tranche of gold is: 112.7643303041226</t>
  </si>
  <si>
    <t xml:space="preserve"> payout of tranche of Treausry Bill Option is: 16.941769610090084</t>
  </si>
  <si>
    <t xml:space="preserve"> payout of tranche of Collar of REIT is: 24.035443533936533
</t>
  </si>
  <si>
    <t xml:space="preserve"> 24.035443533936533
</t>
  </si>
  <si>
    <t>Collateral size of tranche of gold is: 80019268.59406814</t>
  </si>
  <si>
    <t xml:space="preserve"> collateral size of tranche of Treausry Bill Option is: 35007199.7431313</t>
  </si>
  <si>
    <t xml:space="preserve"> collateral size of tranche of Collar of REIT is: 34737390.25962772
</t>
  </si>
  <si>
    <t xml:space="preserve"> 34737390.25962772
</t>
  </si>
  <si>
    <t>Collateral ratio of tranche of gold is: 0.8001891160052838</t>
  </si>
  <si>
    <t xml:space="preserve"> collateral ratio of tranche of Treausry Bill Option is: 0.35007043563946305</t>
  </si>
  <si>
    <t xml:space="preserve"> collateral ratio of tranche of Collar of REIT is: 0.34737235284155826
</t>
  </si>
  <si>
    <t xml:space="preserve"> 0.34737235284155826
</t>
  </si>
  <si>
    <t xml:space="preserve"> current price of reit option is: 5.477472587353425</t>
  </si>
  <si>
    <t xml:space="preserve"> predicted price of reit is: 38.56583712764335
</t>
  </si>
  <si>
    <t xml:space="preserve"> 38.56583712764335
</t>
  </si>
  <si>
    <t>value_ratio_gold_to_total is: 0.5535370285830158</t>
  </si>
  <si>
    <t xml:space="preserve"> risk_ratio_to_gold is: 0.6787233610479433</t>
  </si>
  <si>
    <t xml:space="preserve"> risk_ratio_to_gold_before is: 0.6773561598622226
</t>
  </si>
  <si>
    <t xml:space="preserve"> 0.6773561598622226
</t>
  </si>
  <si>
    <t>value_ratio_tb_to_total is: 0.1954841270459657</t>
  </si>
  <si>
    <t xml:space="preserve"> risk_ratio_tb_to_gold is: 0.25557659452499654</t>
  </si>
  <si>
    <t xml:space="preserve"> risk_ratio_tb_to_gold_before is: 0.25781126351156186
</t>
  </si>
  <si>
    <t xml:space="preserve"> 0.25781126351156186
</t>
  </si>
  <si>
    <t>value_ratio_reit_to_total is: 0.25097884437101853</t>
  </si>
  <si>
    <t xml:space="preserve"> risk_ratio_reit_to_gold is: 0.21777773124332273</t>
  </si>
  <si>
    <t xml:space="preserve"> risk_ratio_reit_to_gold_before is: 0.2185169361218549
</t>
  </si>
  <si>
    <t xml:space="preserve"> 0.2185169361218549
</t>
  </si>
  <si>
    <t xml:space="preserve"> delta_reit is: 0.9995956395918383
</t>
  </si>
  <si>
    <t xml:space="preserve"> 0.9995956395918383
</t>
  </si>
  <si>
    <t>delta_gold_risk is: 1.000815092953087</t>
  </si>
  <si>
    <t xml:space="preserve"> delta_tb_risk is: 0.9982233670095094</t>
  </si>
  <si>
    <t xml:space="preserve"> delta_reit_risk is: 0.9993933569106681
</t>
  </si>
  <si>
    <t xml:space="preserve"> 0.9993933569106681
</t>
  </si>
  <si>
    <t xml:space="preserve">collateral_ratio_tranche_gold is: 0.7995374186895805
</t>
  </si>
  <si>
    <t xml:space="preserve"> 0.7995374186895805
</t>
  </si>
  <si>
    <t xml:space="preserve">collateral_ratio_tranche_tb is: 0.35069348926203625
</t>
  </si>
  <si>
    <t xml:space="preserve"> 0.35069348926203625
</t>
  </si>
  <si>
    <t xml:space="preserve">collateral_ratio_tranche_reit is: 0.3474426629055699
</t>
  </si>
  <si>
    <t xml:space="preserve"> 0.3474426629055699
</t>
  </si>
  <si>
    <t>Total plot size is: 149749812.1715233</t>
  </si>
  <si>
    <t xml:space="preserve"> plot size of gold is: 80019268.59406814</t>
  </si>
  <si>
    <t xml:space="preserve"> plot size of TB is: 35007199.7431313</t>
  </si>
  <si>
    <t xml:space="preserve"> plot size of REIT is: 34723343.83432387
</t>
  </si>
  <si>
    <t xml:space="preserve"> 34723343.83432387
</t>
  </si>
  <si>
    <t xml:space="preserve">collateral ratio is: 1.4974981217152326
</t>
  </si>
  <si>
    <t xml:space="preserve"> 1.4974981217152326
</t>
  </si>
  <si>
    <t>S_gtbcps_0 is: 1.0001571700238083</t>
  </si>
  <si>
    <t xml:space="preserve">stdev_gtbcps is: 0.010215649820290515
</t>
  </si>
  <si>
    <t xml:space="preserve"> 0.010215649820290515
</t>
  </si>
  <si>
    <t>predicted price of GTBCPS is: 1.0001286716816808</t>
  </si>
  <si>
    <t xml:space="preserve"> actual price is: 1.0001571700238083
</t>
  </si>
  <si>
    <t xml:space="preserve"> 1.0001571700238083
</t>
  </si>
  <si>
    <t>predicted amount of GTBCPS is: 99987134.48725912</t>
  </si>
  <si>
    <t xml:space="preserve"> actual amount is: 99984285.46747264
</t>
  </si>
  <si>
    <t>plot sizes of gold is: 80019268.59406814</t>
  </si>
  <si>
    <t xml:space="preserve"> plot sizes of tb is: 35007199.7431313 </t>
  </si>
  <si>
    <t xml:space="preserve"> plot sizes of reit is: 34723343.83432387</t>
  </si>
  <si>
    <t xml:space="preserve"> plot sizes of total is: 149749812.17152333.
</t>
  </si>
  <si>
    <t xml:space="preserve"> 149749812.17152333.
</t>
  </si>
  <si>
    <t>predicted stdevs of gold is: 0.008157195883932756</t>
  </si>
  <si>
    <t xml:space="preserve"> predicted stdevs of tb is: 0.001738354313792115</t>
  </si>
  <si>
    <t xml:space="preserve"> predicted stdevs of reit is: 0.023505912350919672</t>
  </si>
  <si>
    <t xml:space="preserve"> predicted stdevs of GTBCPS is: 0.010215649820290515.
</t>
  </si>
  <si>
    <t xml:space="preserve"> 0.010215649820290515.
</t>
  </si>
  <si>
    <t>total_value_of_collaterals is: 149748830.37751305</t>
  </si>
  <si>
    <t xml:space="preserve"> createdtionValue_gold is: 2280.0364437219437</t>
  </si>
  <si>
    <t xml:space="preserve"> createdValue_tb is: 997.4871226379987</t>
  </si>
  <si>
    <t xml:space="preserve"> createdValue_reit is: 989.3992026059036
</t>
  </si>
  <si>
    <t xml:space="preserve"> 989.3992026059036
</t>
  </si>
  <si>
    <t>plotValue_gold_after_creation is: 80016227.2467844</t>
  </si>
  <si>
    <t xml:space="preserve"> plotValue_tb_after_creation  is: 35006087.951143675</t>
  </si>
  <si>
    <t xml:space="preserve"> plotValue_reit_after_creation  is: 34722248.25681602</t>
  </si>
  <si>
    <t xml:space="preserve">total_value_after_creation is: 149744563.4547441
</t>
  </si>
  <si>
    <t xml:space="preserve"> 149744563.4547441
</t>
  </si>
  <si>
    <t>total_amount_gtncps_before_creation is: 99984285.46747264</t>
  </si>
  <si>
    <t>creation_amount_gtbcps is: 2849.019786477089</t>
  </si>
  <si>
    <t xml:space="preserve">total_amount_gtbcps_new is: 99987134.48725912
</t>
  </si>
  <si>
    <t xml:space="preserve"> 99987134.48725912
</t>
  </si>
  <si>
    <t>payout of tranche of gold is: -761.3108400090733</t>
  </si>
  <si>
    <t xml:space="preserve"> payout of tranche of Treausry Bill Option is: -114.30486498506342</t>
  </si>
  <si>
    <t xml:space="preserve"> payout of tranche of Collar of REIT is: -106.17830523864333
</t>
  </si>
  <si>
    <t xml:space="preserve"> -106.17830523864333
</t>
  </si>
  <si>
    <t>Collateral size of tranche of gold is: 80016227.2467844</t>
  </si>
  <si>
    <t xml:space="preserve"> collateral size of tranche of Treausry Bill Option is: 35006087.951143675</t>
  </si>
  <si>
    <t xml:space="preserve"> collateral size of tranche of Collar of REIT is: 34722248.25681602
</t>
  </si>
  <si>
    <t xml:space="preserve"> 34722248.25681602
</t>
  </si>
  <si>
    <t>Collateral ratio of tranche of gold is: 0.8001850728322809</t>
  </si>
  <si>
    <t xml:space="preserve"> collateral ratio of tranche of Treausry Bill Option is: 0.350070854382663</t>
  </si>
  <si>
    <t xml:space="preserve"> collateral ratio of tranche of Collar of REIT is: 0.34723237656018613
</t>
  </si>
  <si>
    <t xml:space="preserve"> 0.34723237656018613
</t>
  </si>
  <si>
    <t xml:space="preserve"> current price of reit option is: 5.4435740904443435</t>
  </si>
  <si>
    <t xml:space="preserve"> predicted price of reit is: 38.60453448300037
</t>
  </si>
  <si>
    <t xml:space="preserve"> 38.60453448300037
</t>
  </si>
  <si>
    <t>value_ratio_gold_to_total is: 0.5534219737922189</t>
  </si>
  <si>
    <t xml:space="preserve"> risk_ratio_to_gold is: 0.688197197958586</t>
  </si>
  <si>
    <t xml:space="preserve"> risk_ratio_to_gold_before is: 0.6787233610479433
</t>
  </si>
  <si>
    <t xml:space="preserve"> 0.6787233610479433
</t>
  </si>
  <si>
    <t>value_ratio_tb_to_total is: 0.19544349492168137</t>
  </si>
  <si>
    <t xml:space="preserve"> risk_ratio_tb_to_gold is: 0.24411733916398093</t>
  </si>
  <si>
    <t xml:space="preserve"> risk_ratio_tb_to_gold_before is: 0.25557659452499654
</t>
  </si>
  <si>
    <t xml:space="preserve"> 0.25557659452499654
</t>
  </si>
  <si>
    <t>value_ratio_reit_to_total is: 0.2511345312860997</t>
  </si>
  <si>
    <t xml:space="preserve"> risk_ratio_reit_to_gold is: 0.20895454628734186</t>
  </si>
  <si>
    <t xml:space="preserve"> risk_ratio_reit_to_gold_before is: 0.21777773124332273
</t>
  </si>
  <si>
    <t xml:space="preserve"> 0.21777773124332273
</t>
  </si>
  <si>
    <t xml:space="preserve"> delta_reit is: 0.9992247780421939
</t>
  </si>
  <si>
    <t xml:space="preserve"> 0.9992247780421939
</t>
  </si>
  <si>
    <t>delta_gold_risk is: 1.0056434771389187</t>
  </si>
  <si>
    <t xml:space="preserve"> delta_tb_risk is: 0.9908733123801573</t>
  </si>
  <si>
    <t xml:space="preserve"> delta_reit_risk is: 0.9927546836096498
</t>
  </si>
  <si>
    <t xml:space="preserve"> 0.9927546836096498
</t>
  </si>
  <si>
    <t xml:space="preserve">collateral_ratio_tranche_gold is: 0.7956945886118885
</t>
  </si>
  <si>
    <t xml:space="preserve"> 0.7956945886118885
</t>
  </si>
  <si>
    <t xml:space="preserve">collateral_ratio_tranche_tb is: 0.353295269949056
</t>
  </si>
  <si>
    <t xml:space="preserve"> 0.353295269949056
</t>
  </si>
  <si>
    <t xml:space="preserve">collateral_ratio_tranche_reit is: 0.3494953991411649
</t>
  </si>
  <si>
    <t xml:space="preserve"> 0.3494953991411649
</t>
  </si>
  <si>
    <t>Total plot size is: 149717646.00547102</t>
  </si>
  <si>
    <t xml:space="preserve"> plot size of gold is: 80016227.2467844</t>
  </si>
  <si>
    <t xml:space="preserve"> plot size of TB is: 35006087.951143675</t>
  </si>
  <si>
    <t xml:space="preserve"> plot size of REIT is: 34695330.80754294
</t>
  </si>
  <si>
    <t xml:space="preserve"> 34695330.80754294
</t>
  </si>
  <si>
    <t xml:space="preserve">collateral ratio is: 1.4971764600547095
</t>
  </si>
  <si>
    <t xml:space="preserve"> 1.4971764600547095
</t>
  </si>
  <si>
    <t>S_gtbcps_0 is: 1.0001286716816808</t>
  </si>
  <si>
    <t xml:space="preserve">stdev_gtbcps is: 0.010377275446457645
</t>
  </si>
  <si>
    <t xml:space="preserve"> 0.010377275446457645
</t>
  </si>
  <si>
    <t>predicted price of GTBCPS is: 1.0001142995126395</t>
  </si>
  <si>
    <t xml:space="preserve"> actual price is: 1.0001286716816808
</t>
  </si>
  <si>
    <t xml:space="preserve"> 1.0001286716816808
</t>
  </si>
  <si>
    <t>predicted amount of GTBCPS is: 99988571.35502464</t>
  </si>
  <si>
    <t xml:space="preserve"> actual amount is: 99987134.48725912
</t>
  </si>
  <si>
    <t>plot sizes of gold is: 80016227.2467844</t>
  </si>
  <si>
    <t xml:space="preserve"> plot sizes of tb is: 35006087.951143675 </t>
  </si>
  <si>
    <t xml:space="preserve"> plot sizes of reit is: 34695330.80754294</t>
  </si>
  <si>
    <t xml:space="preserve"> plot sizes of total is: 149717646.00547102.
</t>
  </si>
  <si>
    <t xml:space="preserve"> 149717646.00547102.
</t>
  </si>
  <si>
    <t>predicted stdevs of gold is: 0.008309677700169252</t>
  </si>
  <si>
    <t xml:space="preserve"> predicted stdevs of tb is: 0.0016760449371860736</t>
  </si>
  <si>
    <t xml:space="preserve"> predicted stdevs of reit is: 0.023924845124349236</t>
  </si>
  <si>
    <t xml:space="preserve"> predicted stdevs of GTBCPS is: 0.010377275446457645.
</t>
  </si>
  <si>
    <t xml:space="preserve"> 0.010377275446457645.
</t>
  </si>
  <si>
    <t>total_value_of_collaterals is: 149717150.1630988</t>
  </si>
  <si>
    <t xml:space="preserve"> createdtionValue_gold is: 1149.8532713568686</t>
  </si>
  <si>
    <t xml:space="preserve"> createdValue_tb is: 503.04785119369797</t>
  </si>
  <si>
    <t xml:space="preserve"> createdValue_reit is: 498.5822329866579
</t>
  </si>
  <si>
    <t xml:space="preserve"> 498.5822329866579
</t>
  </si>
  <si>
    <t>plotValue_gold_after_creation is: 80014693.37888801</t>
  </si>
  <si>
    <t xml:space="preserve"> plotValue_tb_after_creation  is: 35005526.853590906</t>
  </si>
  <si>
    <t xml:space="preserve"> plotValue_reit_after_creation  is: 34694778.44726438</t>
  </si>
  <si>
    <t xml:space="preserve">total_value_after_creation is: 149714998.6797433
</t>
  </si>
  <si>
    <t xml:space="preserve"> 149714998.6797433
</t>
  </si>
  <si>
    <t>total_amount_gtncps_before_creation is: 99987134.48725912</t>
  </si>
  <si>
    <t>creation_amount_gtbcps is: 1436.8677655160427</t>
  </si>
  <si>
    <t xml:space="preserve">total_amount_gtbcps_new is: 99988571.35502464
</t>
  </si>
  <si>
    <t xml:space="preserve"> 99988571.35502464
</t>
  </si>
  <si>
    <t>payout of tranche of gold is: -384.01462503944583</t>
  </si>
  <si>
    <t xml:space="preserve"> payout of tranche of Treausry Bill Option is: -58.04970157167395</t>
  </si>
  <si>
    <t xml:space="preserve"> payout of tranche of Collar of REIT is: -53.778045575931195
</t>
  </si>
  <si>
    <t xml:space="preserve"> -53.778045575931195
</t>
  </si>
  <si>
    <t>Collateral size of tranche of gold is: 80014693.37888801</t>
  </si>
  <si>
    <t xml:space="preserve"> collateral size of tranche of Treausry Bill Option is: 35005526.853590906</t>
  </si>
  <si>
    <t xml:space="preserve"> collateral size of tranche of Collar of REIT is: 34694778.44726438
</t>
  </si>
  <si>
    <t xml:space="preserve"> 34694778.44726438
</t>
  </si>
  <si>
    <t>Collateral ratio of tranche of gold is: 0.8001584323215932</t>
  </si>
  <si>
    <t xml:space="preserve"> collateral ratio of tranche of Treausry Bill Option is: 0.3500602990144209</t>
  </si>
  <si>
    <t xml:space="preserve"> collateral ratio of tranche of Collar of REIT is: 0.34695277029497357
</t>
  </si>
  <si>
    <t xml:space="preserve"> 0.34695277029497357
</t>
  </si>
  <si>
    <t xml:space="preserve"> current price of reit option is: 5.702075494067429</t>
  </si>
  <si>
    <t xml:space="preserve"> predicted price of reit is: 38.78998414257287
</t>
  </si>
  <si>
    <t xml:space="preserve"> 38.78998414257287
</t>
  </si>
  <si>
    <t>value_ratio_gold_to_total is: 0.5429810279035959</t>
  </si>
  <si>
    <t xml:space="preserve"> risk_ratio_to_gold is: 0.6930520833773832</t>
  </si>
  <si>
    <t xml:space="preserve"> risk_ratio_to_gold_before is: 0.688197197958586
</t>
  </si>
  <si>
    <t xml:space="preserve"> 0.688197197958586
</t>
  </si>
  <si>
    <t>value_ratio_tb_to_total is: 0.19175622724638883</t>
  </si>
  <si>
    <t xml:space="preserve"> risk_ratio_tb_to_gold is: 0.24358652821307153</t>
  </si>
  <si>
    <t xml:space="preserve"> risk_ratio_tb_to_gold_before is: 0.24411733916398093
</t>
  </si>
  <si>
    <t xml:space="preserve"> 0.24411733916398093
</t>
  </si>
  <si>
    <t>value_ratio_reit_to_total is: 0.2652627448500153</t>
  </si>
  <si>
    <t xml:space="preserve"> risk_ratio_reit_to_gold is: 0.19930647216115338</t>
  </si>
  <si>
    <t xml:space="preserve"> risk_ratio_reit_to_gold_before is: 0.20895454628734186
</t>
  </si>
  <si>
    <t xml:space="preserve"> 0.20895454628734186
</t>
  </si>
  <si>
    <t xml:space="preserve"> delta_reit is: 1.0059162338857424
</t>
  </si>
  <si>
    <t xml:space="preserve"> 1.0059162338857424
</t>
  </si>
  <si>
    <t>delta_gold_risk is: 1.002875780995649</t>
  </si>
  <si>
    <t xml:space="preserve"> delta_tb_risk is: 0.9995733433381242</t>
  </si>
  <si>
    <t xml:space="preserve"> delta_reit_risk is: 0.9920194897683974
</t>
  </si>
  <si>
    <t xml:space="preserve"> 0.9920194897683974
</t>
  </si>
  <si>
    <t xml:space="preserve">collateral_ratio_tranche_gold is: 0.7978639503361032
</t>
  </si>
  <si>
    <t xml:space="preserve"> 0.7978639503361032
</t>
  </si>
  <si>
    <t xml:space="preserve">collateral_ratio_tranche_tb is: 0.3502097183237974
</t>
  </si>
  <si>
    <t xml:space="preserve"> 0.3502097183237974
</t>
  </si>
  <si>
    <t xml:space="preserve">collateral_ratio_tranche_reit is: 0.35181307185086225
</t>
  </si>
  <si>
    <t xml:space="preserve"> 0.35181307185086225
</t>
  </si>
  <si>
    <t>Total plot size is: 149920261.10365134</t>
  </si>
  <si>
    <t xml:space="preserve"> plot size of gold is: 80014693.37888801</t>
  </si>
  <si>
    <t xml:space="preserve"> plot size of TB is: 35005526.853590906</t>
  </si>
  <si>
    <t xml:space="preserve"> plot size of REIT is: 34900040.87117241
</t>
  </si>
  <si>
    <t xml:space="preserve"> 34900040.87117241
</t>
  </si>
  <si>
    <t xml:space="preserve">collateral ratio is: 1.4992026110365129
</t>
  </si>
  <si>
    <t xml:space="preserve"> 1.4992026110365129
</t>
  </si>
  <si>
    <t>S_gtbcps_0 is: 1.0001142995126395</t>
  </si>
  <si>
    <t xml:space="preserve">stdev_gtbcps is: 0.009740411751702819
</t>
  </si>
  <si>
    <t xml:space="preserve"> 0.009740411751702819
</t>
  </si>
  <si>
    <t>predicted price of GTBCPS is: 1.0001399891769078</t>
  </si>
  <si>
    <t xml:space="preserve"> actual price is: 1.0001142995126395
</t>
  </si>
  <si>
    <t xml:space="preserve"> 1.0001142995126395
</t>
  </si>
  <si>
    <t>predicted amount of GTBCPS is: 99986003.04173192</t>
  </si>
  <si>
    <t xml:space="preserve"> actual amount is: 99988571.35502464
</t>
  </si>
  <si>
    <t>plot sizes of gold is: 80014693.37888801</t>
  </si>
  <si>
    <t xml:space="preserve"> plot sizes of tb is: 35005526.853590906 </t>
  </si>
  <si>
    <t xml:space="preserve"> plot sizes of reit is: 34900040.87117241</t>
  </si>
  <si>
    <t xml:space="preserve"> plot sizes of total is: 149920261.10365134.
</t>
  </si>
  <si>
    <t xml:space="preserve"> 149920261.10365134.
</t>
  </si>
  <si>
    <t>predicted stdevs of gold is: 0.008470837746570611</t>
  </si>
  <si>
    <t xml:space="preserve"> predicted stdevs of tb is: 0.0016920287380055618</t>
  </si>
  <si>
    <t xml:space="preserve"> predicted stdevs of reit is: 0.02072385053538203</t>
  </si>
  <si>
    <t xml:space="preserve"> predicted stdevs of GTBCPS is: 0.009740411751702819.
</t>
  </si>
  <si>
    <t xml:space="preserve"> 0.009740411751702819.
</t>
  </si>
  <si>
    <t>total_value_of_collaterals is: 149921146.4434877</t>
  </si>
  <si>
    <t xml:space="preserve"> createdtionValue_gold is: -2055.3332948714224</t>
  </si>
  <si>
    <t xml:space="preserve"> createdValue_tb is: -899.180094044492</t>
  </si>
  <si>
    <t xml:space="preserve"> createdValue_reit is: -896.4703643672215
</t>
  </si>
  <si>
    <t xml:space="preserve"> -896.4703643672215
</t>
  </si>
  <si>
    <t>plotValue_gold_after_creation is: 80017434.16419575</t>
  </si>
  <si>
    <t xml:space="preserve"> plotValue_tb_after_creation  is: 35006528.700962596</t>
  </si>
  <si>
    <t xml:space="preserve"> plotValue_reit_after_creation  is: 34901034.56208265</t>
  </si>
  <si>
    <t xml:space="preserve">total_value_after_creation is: 149924997.427241
</t>
  </si>
  <si>
    <t xml:space="preserve"> 149924997.427241
</t>
  </si>
  <si>
    <t>total_amount_gtncps_before_creation is: 99988571.35502464</t>
  </si>
  <si>
    <t>creation_amount_gtbcps is: -2568.313292711973</t>
  </si>
  <si>
    <t xml:space="preserve">total_amount_gtbcps_new is: 99986003.04173192
</t>
  </si>
  <si>
    <t xml:space="preserve"> 99986003.04173192
</t>
  </si>
  <si>
    <t>payout of tranche of gold is: 685.4520128713132</t>
  </si>
  <si>
    <t xml:space="preserve"> payout of tranche of Treausry Bill Option is: 102.6672776488308</t>
  </si>
  <si>
    <t xml:space="preserve"> payout of tranche of Collar of REIT is: 97.2205458668188
</t>
  </si>
  <si>
    <t xml:space="preserve"> 97.2205458668188
</t>
  </si>
  <si>
    <t>Collateral size of tranche of gold is: 80017434.16419575</t>
  </si>
  <si>
    <t xml:space="preserve"> collateral size of tranche of Treausry Bill Option is: 35006528.700962596</t>
  </si>
  <si>
    <t xml:space="preserve"> collateral size of tranche of Collar of REIT is: 34901034.56208265
</t>
  </si>
  <si>
    <t xml:space="preserve"> 34901034.56208265
</t>
  </si>
  <si>
    <t>Collateral ratio of tranche of gold is: 0.8001537883090084</t>
  </si>
  <si>
    <t xml:space="preserve"> collateral ratio of tranche of Treausry Bill Option is: 0.35005629520868536</t>
  </si>
  <si>
    <t xml:space="preserve"> collateral ratio of tranche of Collar of REIT is: 0.34900138091718264
</t>
  </si>
  <si>
    <t xml:space="preserve"> 0.34900138091718264
</t>
  </si>
  <si>
    <t xml:space="preserve"> current price of reit option is: 5.785623037836402</t>
  </si>
  <si>
    <t xml:space="preserve"> predicted price of reit is: 38.65943771415311
</t>
  </si>
  <si>
    <t xml:space="preserve"> 38.65943771415311
</t>
  </si>
  <si>
    <t>value_ratio_gold_to_total is: 0.5440676757448718</t>
  </si>
  <si>
    <t xml:space="preserve"> risk_ratio_to_gold is: 0.7079524542800506</t>
  </si>
  <si>
    <t xml:space="preserve"> risk_ratio_to_gold_before is: 0.6930520833773832
</t>
  </si>
  <si>
    <t xml:space="preserve"> 0.6930520833773832
</t>
  </si>
  <si>
    <t>value_ratio_tb_to_total is: 0.19213998188914866</t>
  </si>
  <si>
    <t xml:space="preserve"> risk_ratio_tb_to_gold is: 0.22775057747693309</t>
  </si>
  <si>
    <t xml:space="preserve"> risk_ratio_tb_to_gold_before is: 0.24358652821307153
</t>
  </si>
  <si>
    <t xml:space="preserve"> 0.24358652821307153
</t>
  </si>
  <si>
    <t>value_ratio_reit_to_total is: 0.26379234236597954</t>
  </si>
  <si>
    <t xml:space="preserve"> risk_ratio_reit_to_gold is: 0.1847736590792435</t>
  </si>
  <si>
    <t xml:space="preserve"> risk_ratio_reit_to_gold_before is: 0.19930647216115338
</t>
  </si>
  <si>
    <t xml:space="preserve"> 0.19930647216115338
</t>
  </si>
  <si>
    <t xml:space="preserve"> delta_reit is: 1.0019008782368024
</t>
  </si>
  <si>
    <t xml:space="preserve"> 1.0019008782368024
</t>
  </si>
  <si>
    <t>delta_gold_risk is: 1.0088008933977644</t>
  </si>
  <si>
    <t xml:space="preserve"> delta_tb_risk is: 0.9872659035966774</t>
  </si>
  <si>
    <t xml:space="preserve"> delta_reit_risk is: 0.9878823191408934
</t>
  </si>
  <si>
    <t xml:space="preserve"> 0.9878823191408934
</t>
  </si>
  <si>
    <t xml:space="preserve">collateral_ratio_tranche_gold is: 0.7931731559178075
</t>
  </si>
  <si>
    <t xml:space="preserve"> 0.7931731559178075
</t>
  </si>
  <si>
    <t xml:space="preserve">collateral_ratio_tranche_tb is: 0.35457144213469366
</t>
  </si>
  <si>
    <t xml:space="preserve"> 0.35457144213469366
</t>
  </si>
  <si>
    <t xml:space="preserve">collateral_ratio_tranche_reit is: 0.35395389032862357
</t>
  </si>
  <si>
    <t xml:space="preserve"> 0.35395389032862357
</t>
  </si>
  <si>
    <t>Total plot size is: 149991340.04428196</t>
  </si>
  <si>
    <t xml:space="preserve"> plot size of gold is: 80017434.16419575</t>
  </si>
  <si>
    <t xml:space="preserve"> plot size of TB is: 35006528.700962596</t>
  </si>
  <si>
    <t xml:space="preserve"> plot size of REIT is: 34967377.1791236
</t>
  </si>
  <si>
    <t xml:space="preserve"> 34967377.1791236
</t>
  </si>
  <si>
    <t xml:space="preserve">collateral ratio is: 1.499913400442819
</t>
  </si>
  <si>
    <t xml:space="preserve"> 1.499913400442819
</t>
  </si>
  <si>
    <t>S_gtbcps_0 is: 1.0001399891769078</t>
  </si>
  <si>
    <t xml:space="preserve">stdev_gtbcps is: 0.009562453994480358
</t>
  </si>
  <si>
    <t xml:space="preserve"> 0.009562453994480358
</t>
  </si>
  <si>
    <t>predicted price of GTBCPS is: 1.0001392552911381</t>
  </si>
  <si>
    <t xml:space="preserve"> actual price is: 1.0001399891769078
</t>
  </si>
  <si>
    <t xml:space="preserve"> 1.0001399891769078
</t>
  </si>
  <si>
    <t>predicted amount of GTBCPS is: 99986076.40981984</t>
  </si>
  <si>
    <t xml:space="preserve"> actual amount is: 99986003.04173192
</t>
  </si>
  <si>
    <t>plot sizes of gold is: 80017434.16419575</t>
  </si>
  <si>
    <t xml:space="preserve"> plot sizes of tb is: 35006528.700962596 </t>
  </si>
  <si>
    <t xml:space="preserve"> plot sizes of reit is: 34967377.1791236</t>
  </si>
  <si>
    <t xml:space="preserve"> plot sizes of total is: 149991340.04428196.
</t>
  </si>
  <si>
    <t xml:space="preserve"> 149991340.04428196.
</t>
  </si>
  <si>
    <t>predicted stdevs of gold is: 0.008622208611688146</t>
  </si>
  <si>
    <t xml:space="preserve"> predicted stdevs of tb is: 0.0015992646379266303</t>
  </si>
  <si>
    <t xml:space="preserve"> predicted stdevs of reit is: 0.01968616553177317</t>
  </si>
  <si>
    <t xml:space="preserve"> predicted stdevs of GTBCPS is: 0.009562453994480358.
</t>
  </si>
  <si>
    <t xml:space="preserve"> 0.009562453994480358.
</t>
  </si>
  <si>
    <t>total_value_of_collaterals is: 149991314.71265686</t>
  </si>
  <si>
    <t xml:space="preserve"> createdtionValue_gold is: 58.715423170644875</t>
  </si>
  <si>
    <t xml:space="preserve"> createdValue_tb is: 25.687195278156228</t>
  </si>
  <si>
    <t xml:space="preserve"> createdValue_reit is: 25.658465652592636
</t>
  </si>
  <si>
    <t xml:space="preserve"> 25.658465652592636
</t>
  </si>
  <si>
    <t>plotValue_gold_after_creation is: 80017356.9513329</t>
  </si>
  <si>
    <t xml:space="preserve"> plotValue_tb_after_creation  is: 35006500.211658865</t>
  </si>
  <si>
    <t xml:space="preserve"> plotValue_reit_after_creation  is: 34967347.488580994</t>
  </si>
  <si>
    <t xml:space="preserve">total_value_after_creation is: 149991204.65157276
</t>
  </si>
  <si>
    <t xml:space="preserve"> 149991204.65157276
</t>
  </si>
  <si>
    <t>total_amount_gtncps_before_creation is: 99986003.04173192</t>
  </si>
  <si>
    <t>creation_amount_gtbcps is: 73.3680879175663</t>
  </si>
  <si>
    <t xml:space="preserve">total_amount_gtbcps_new is: 99986076.40981984
</t>
  </si>
  <si>
    <t xml:space="preserve"> 99986076.40981984
</t>
  </si>
  <si>
    <t>payout of tranche of gold is: -18.497439678992293</t>
  </si>
  <si>
    <t xml:space="preserve"> payout of tranche of Treausry Bill Option is: -2.8021084495220854</t>
  </si>
  <si>
    <t xml:space="preserve"> payout of tranche of Collar of REIT is: -4.032076956096308
</t>
  </si>
  <si>
    <t xml:space="preserve"> -4.032076956096308
</t>
  </si>
  <si>
    <t>Collateral size of tranche of gold is: 80017356.9513329</t>
  </si>
  <si>
    <t xml:space="preserve"> collateral size of tranche of Treausry Bill Option is: 35006500.211658865</t>
  </si>
  <si>
    <t xml:space="preserve"> collateral size of tranche of Collar of REIT is: 34967347.488580994
</t>
  </si>
  <si>
    <t xml:space="preserve"> 34967347.488580994
</t>
  </si>
  <si>
    <t>Collateral ratio of tranche of gold is: 0.8001741566675603</t>
  </si>
  <si>
    <t xml:space="preserve"> collateral ratio of tranche of Treausry Bill Option is: 0.3500652589885413</t>
  </si>
  <si>
    <t xml:space="preserve"> collateral ratio of tranche of Collar of REIT is: 0.3496737314704663
</t>
  </si>
  <si>
    <t xml:space="preserve"> 0.3496737314704663
</t>
  </si>
  <si>
    <t xml:space="preserve"> current price of reit option is: 5.75417236302598</t>
  </si>
  <si>
    <t xml:space="preserve"> predicted price of reit is: 38.70374157487059
</t>
  </si>
  <si>
    <t xml:space="preserve"> 38.70374157487059
</t>
  </si>
  <si>
    <t>value_ratio_gold_to_total is: 0.5437700690459618</t>
  </si>
  <si>
    <t xml:space="preserve"> risk_ratio_to_gold is: 0.7154849125931908</t>
  </si>
  <si>
    <t xml:space="preserve"> risk_ratio_to_gold_before is: 0.7079524542800506
</t>
  </si>
  <si>
    <t xml:space="preserve"> 0.7079524542800506
</t>
  </si>
  <si>
    <t>value_ratio_tb_to_total is: 0.19203488072565758</t>
  </si>
  <si>
    <t xml:space="preserve"> risk_ratio_tb_to_gold is: 0.2192271021291907</t>
  </si>
  <si>
    <t xml:space="preserve"> risk_ratio_tb_to_gold_before is: 0.22775057747693309
</t>
  </si>
  <si>
    <t xml:space="preserve"> 0.22775057747693309
</t>
  </si>
  <si>
    <t>value_ratio_reit_to_total is: 0.26419505022838063</t>
  </si>
  <si>
    <t xml:space="preserve"> risk_ratio_reit_to_gold is: 0.17842640865640766</t>
  </si>
  <si>
    <t xml:space="preserve"> risk_ratio_reit_to_gold_before is: 0.1847736590792435
</t>
  </si>
  <si>
    <t xml:space="preserve"> 0.1847736590792435
</t>
  </si>
  <si>
    <t xml:space="preserve"> delta_reit is: 0.9992857901707579
</t>
  </si>
  <si>
    <t xml:space="preserve"> 0.9992857901707579
</t>
  </si>
  <si>
    <t>delta_gold_risk is: 1.0044102271666078</t>
  </si>
  <si>
    <t xml:space="preserve"> delta_tb_risk is: 0.9930576490827165</t>
  </si>
  <si>
    <t xml:space="preserve"> delta_reit_risk is: 0.9946426472481092
</t>
  </si>
  <si>
    <t xml:space="preserve"> 0.9946426472481092
</t>
  </si>
  <si>
    <t xml:space="preserve">collateral_ratio_tranche_gold is: 0.7966607019970442
</t>
  </si>
  <si>
    <t xml:space="preserve"> 0.7966607019970442
</t>
  </si>
  <si>
    <t xml:space="preserve">collateral_ratio_tranche_tb is: 0.3525125246373111
</t>
  </si>
  <si>
    <t xml:space="preserve"> 0.3525125246373111
</t>
  </si>
  <si>
    <t xml:space="preserve">collateral_ratio_tranche_reit is: 0.3513060615500233
</t>
  </si>
  <si>
    <t xml:space="preserve"> 0.3513060615500233
</t>
  </si>
  <si>
    <t>Total plot size is: 149966230.62829387</t>
  </si>
  <si>
    <t xml:space="preserve"> plot size of gold is: 80017356.9513329</t>
  </si>
  <si>
    <t xml:space="preserve"> plot size of TB is: 35006500.211658865</t>
  </si>
  <si>
    <t xml:space="preserve"> plot size of REIT is: 34942373.465302125
</t>
  </si>
  <si>
    <t xml:space="preserve"> 34942373.465302125
</t>
  </si>
  <si>
    <t xml:space="preserve">collateral ratio is: 1.499662306282938
</t>
  </si>
  <si>
    <t xml:space="preserve"> 1.499662306282938
</t>
  </si>
  <si>
    <t>S_gtbcps_0 is: 1.0001392552911381</t>
  </si>
  <si>
    <t xml:space="preserve">stdev_gtbcps is: 0.009664406201417753
</t>
  </si>
  <si>
    <t xml:space="preserve"> 0.009664406201417753
</t>
  </si>
  <si>
    <t>predicted price of GTBCPS is: 1.0001233743156412</t>
  </si>
  <si>
    <t xml:space="preserve"> actual price is: 1.0001392552911381
</t>
  </si>
  <si>
    <t xml:space="preserve"> 1.0001392552911381
</t>
  </si>
  <si>
    <t>predicted amount of GTBCPS is: 99987664.09037033</t>
  </si>
  <si>
    <t xml:space="preserve"> actual amount is: 99986076.40981984
</t>
  </si>
  <si>
    <t>plot sizes of gold is: 80017356.9513329</t>
  </si>
  <si>
    <t xml:space="preserve"> plot sizes of tb is: 35006500.211658865 </t>
  </si>
  <si>
    <t xml:space="preserve"> plot sizes of reit is: 34942373.465302125</t>
  </si>
  <si>
    <t xml:space="preserve"> plot sizes of total is: 149966230.62829387.
</t>
  </si>
  <si>
    <t xml:space="preserve"> 149966230.62829387.
</t>
  </si>
  <si>
    <t>predicted stdevs of gold is: 0.008658822393988056</t>
  </si>
  <si>
    <t xml:space="preserve"> predicted stdevs of tb is: 0.0015694635900497863</t>
  </si>
  <si>
    <t xml:space="preserve"> predicted stdevs of reit is: 0.020076972167009512</t>
  </si>
  <si>
    <t xml:space="preserve"> predicted stdevs of GTBCPS is: 0.009664406201417753.
</t>
  </si>
  <si>
    <t xml:space="preserve"> 0.009664406201417753.
</t>
  </si>
  <si>
    <t>total_value_of_collaterals is: 149965683.12057614</t>
  </si>
  <si>
    <t xml:space="preserve"> createdtionValue_gold is: 1270.5700238447969</t>
  </si>
  <si>
    <t xml:space="preserve"> createdValue_tb is: 555.8589518041169</t>
  </si>
  <si>
    <t xml:space="preserve"> createdValue_reit is: 554.8407589422121
</t>
  </si>
  <si>
    <t xml:space="preserve"> 554.8407589422121
</t>
  </si>
  <si>
    <t>plotValue_gold_after_creation is: 80015662.75362943</t>
  </si>
  <si>
    <t xml:space="preserve"> plotValue_tb_after_creation  is: 35005880.50358191</t>
  </si>
  <si>
    <t xml:space="preserve"> plotValue_reit_after_creation  is: 34941758.593630195</t>
  </si>
  <si>
    <t xml:space="preserve">total_value_after_creation is: 149963301.85084152
</t>
  </si>
  <si>
    <t xml:space="preserve"> 149963301.85084152
</t>
  </si>
  <si>
    <t>total_amount_gtncps_before_creation is: 99986076.40981984</t>
  </si>
  <si>
    <t>creation_amount_gtbcps is: 1587.6805504858494</t>
  </si>
  <si>
    <t xml:space="preserve">total_amount_gtbcps_new is: 99987664.09037033
</t>
  </si>
  <si>
    <t xml:space="preserve"> 99987664.09037033
</t>
  </si>
  <si>
    <t>payout of tranche of gold is: -423.6276796180207</t>
  </si>
  <si>
    <t xml:space="preserve"> payout of tranche of Treausry Bill Option is: -63.84912514420423</t>
  </si>
  <si>
    <t xml:space="preserve"> payout of tranche of Collar of REIT is: -60.0309129845446
</t>
  </si>
  <si>
    <t xml:space="preserve"> -60.0309129845446
</t>
  </si>
  <si>
    <t>Collateral size of tranche of gold is: 80015662.75362943</t>
  </si>
  <si>
    <t xml:space="preserve"> collateral size of tranche of Treausry Bill Option is: 35005880.50358191</t>
  </si>
  <si>
    <t xml:space="preserve"> collateral size of tranche of Collar of REIT is: 34941758.593630195
</t>
  </si>
  <si>
    <t xml:space="preserve"> 34941758.593630195
</t>
  </si>
  <si>
    <t>Collateral ratio of tranche of gold is: 0.8001693332365325</t>
  </si>
  <si>
    <t xml:space="preserve"> collateral ratio of tranche of Treausry Bill Option is: 0.35006436362533705</t>
  </si>
  <si>
    <t xml:space="preserve"> collateral ratio of tranche of Collar of REIT is: 0.3494231343438912
</t>
  </si>
  <si>
    <t xml:space="preserve"> 0.3494231343438912
</t>
  </si>
  <si>
    <t xml:space="preserve"> current price of reit option is: 5.8636013119079</t>
  </si>
  <si>
    <t xml:space="preserve"> predicted price of reit is: 38.79373317403092
</t>
  </si>
  <si>
    <t xml:space="preserve"> 38.79373317403092
</t>
  </si>
  <si>
    <t>value_ratio_gold_to_total is: 0.5391939856152025</t>
  </si>
  <si>
    <t xml:space="preserve"> risk_ratio_to_gold is: 0.7174425096719785</t>
  </si>
  <si>
    <t xml:space="preserve"> risk_ratio_to_gold_before is: 0.7154849125931908
</t>
  </si>
  <si>
    <t xml:space="preserve"> 0.7154849125931908
</t>
  </si>
  <si>
    <t>value_ratio_tb_to_total is: 0.19041881598462043</t>
  </si>
  <si>
    <t xml:space="preserve"> risk_ratio_tb_to_gold is: 0.21826171319652699</t>
  </si>
  <si>
    <t xml:space="preserve"> risk_ratio_tb_to_gold_before is: 0.2192271021291907
</t>
  </si>
  <si>
    <t xml:space="preserve"> 0.2192271021291907
</t>
  </si>
  <si>
    <t>value_ratio_reit_to_total is: 0.2703871984001771</t>
  </si>
  <si>
    <t xml:space="preserve"> risk_ratio_reit_to_gold is: 0.1755781924667287</t>
  </si>
  <si>
    <t xml:space="preserve"> risk_ratio_reit_to_gold_before is: 0.17842640865640766
</t>
  </si>
  <si>
    <t xml:space="preserve"> 0.17842640865640766
</t>
  </si>
  <si>
    <t xml:space="preserve"> delta_reit is: 1.002486785752477
</t>
  </si>
  <si>
    <t xml:space="preserve"> 1.002486785752477
</t>
  </si>
  <si>
    <t>delta_gold_risk is: 1.0011411333695897</t>
  </si>
  <si>
    <t xml:space="preserve"> delta_tb_risk is: 0.9992081959702357</t>
  </si>
  <si>
    <t xml:space="preserve"> delta_reit_risk is: 0.997583034316987
</t>
  </si>
  <si>
    <t xml:space="preserve"> 0.997583034316987
</t>
  </si>
  <si>
    <t xml:space="preserve">collateral_ratio_tranche_gold is: 0.7992572740901809
</t>
  </si>
  <si>
    <t xml:space="preserve"> 0.7992572740901809
</t>
  </si>
  <si>
    <t xml:space="preserve">collateral_ratio_tranche_tb is: 0.35034176564717123
</t>
  </si>
  <si>
    <t xml:space="preserve"> 0.35034176564717123
</t>
  </si>
  <si>
    <t xml:space="preserve">collateral_ratio_tranche_reit is: 0.3511407700069771
</t>
  </si>
  <si>
    <t xml:space="preserve"> 0.3511407700069771
</t>
  </si>
  <si>
    <t>Total plot size is: 150050194.51827866</t>
  </si>
  <si>
    <t xml:space="preserve"> plot size of gold is: 80015662.75362943</t>
  </si>
  <si>
    <t xml:space="preserve"> plot size of TB is: 35005880.50358191</t>
  </si>
  <si>
    <t xml:space="preserve"> plot size of REIT is: 35028651.26106733
</t>
  </si>
  <si>
    <t xml:space="preserve"> 35028651.26106733
</t>
  </si>
  <si>
    <t xml:space="preserve">collateral ratio is: 1.500501945182786
</t>
  </si>
  <si>
    <t xml:space="preserve"> 1.500501945182786
</t>
  </si>
  <si>
    <t>S_gtbcps_0 is: 1.0001233743156412</t>
  </si>
  <si>
    <t xml:space="preserve">stdev_gtbcps is: 0.009428015365563144
</t>
  </si>
  <si>
    <t xml:space="preserve"> 0.009428015365563144
</t>
  </si>
  <si>
    <t>predicted price of GTBCPS is: 1.0000727541723227</t>
  </si>
  <si>
    <t xml:space="preserve"> actual price is: 1.0001233743156412
</t>
  </si>
  <si>
    <t xml:space="preserve"> 1.0001233743156412
</t>
  </si>
  <si>
    <t>predicted amount of GTBCPS is: 100026185.68983531</t>
  </si>
  <si>
    <t xml:space="preserve"> actual amount is: 99987664.09037033
</t>
  </si>
  <si>
    <t>plot sizes of gold is: 80015662.75362943</t>
  </si>
  <si>
    <t xml:space="preserve"> plot sizes of tb is: 35005880.50358191 </t>
  </si>
  <si>
    <t xml:space="preserve"> plot sizes of reit is: 35028651.26106733</t>
  </si>
  <si>
    <t xml:space="preserve"> plot sizes of total is: 150050194.51827866.
</t>
  </si>
  <si>
    <t xml:space="preserve"> 150050194.51827866.
</t>
  </si>
  <si>
    <t>predicted stdevs of gold is: 0.008785807833898788</t>
  </si>
  <si>
    <t xml:space="preserve"> predicted stdevs of tb is: 0.0016016663435955878</t>
  </si>
  <si>
    <t xml:space="preserve"> predicted stdevs of reit is: 0.01871626621738608</t>
  </si>
  <si>
    <t xml:space="preserve"> predicted stdevs of GTBCPS is: 0.009428015365563144.
</t>
  </si>
  <si>
    <t xml:space="preserve"> 0.009428015365563144.
</t>
  </si>
  <si>
    <t>total_value_of_collaterals is: 150048450.4694894</t>
  </si>
  <si>
    <t xml:space="preserve"> createdtionValue_gold is: 30814.75241020299</t>
  </si>
  <si>
    <t xml:space="preserve"> createdValue_tb is: 13481.221277904599</t>
  </si>
  <si>
    <t xml:space="preserve"> createdValue_reit is: 13489.957760384597
</t>
  </si>
  <si>
    <t xml:space="preserve"> 13489.957760384597
</t>
  </si>
  <si>
    <t>plotValue_gold_after_creation is: 79983571.70553395</t>
  </si>
  <si>
    <t xml:space="preserve"> plotValue_tb_after_creation  is: 34992208.09583488</t>
  </si>
  <si>
    <t xml:space="preserve"> plotValue_reit_after_creation  is: 35014884.73667207</t>
  </si>
  <si>
    <t xml:space="preserve">total_value_after_creation is: 149990664.5380409
</t>
  </si>
  <si>
    <t xml:space="preserve"> 149990664.5380409
</t>
  </si>
  <si>
    <t>total_amount_gtncps_before_creation is: 99987664.09037033</t>
  </si>
  <si>
    <t>creation_amount_gtbcps is: 38521.59946498275</t>
  </si>
  <si>
    <t xml:space="preserve">total_amount_gtbcps_new is: 100026185.68983531
</t>
  </si>
  <si>
    <t xml:space="preserve"> 100026185.68983531
</t>
  </si>
  <si>
    <t>payout of tranche of gold is: -1276.295685280994</t>
  </si>
  <si>
    <t xml:space="preserve"> payout of tranche of Treausry Bill Option is: -191.1864691233882</t>
  </si>
  <si>
    <t xml:space="preserve"> payout of tranche of Collar of REIT is: -276.56663486946314
</t>
  </si>
  <si>
    <t xml:space="preserve"> -276.56663486946314
</t>
  </si>
  <si>
    <t>Collateral size of tranche of gold is: 79983571.70553395</t>
  </si>
  <si>
    <t xml:space="preserve"> collateral size of tranche of Treausry Bill Option is: 34992208.09583488</t>
  </si>
  <si>
    <t xml:space="preserve"> collateral size of tranche of Collar of REIT is: 35014884.73667207
</t>
  </si>
  <si>
    <t xml:space="preserve"> 35014884.73667207
</t>
  </si>
  <si>
    <t>Collateral ratio of tranche of gold is: 0.7998762019085258</t>
  </si>
  <si>
    <t xml:space="preserve"> collateral ratio of tranche of Treausry Bill Option is: 0.34993979277562853</t>
  </si>
  <si>
    <t xml:space="preserve"> collateral ratio of tranche of Collar of REIT is: 0.35016657066211343
</t>
  </si>
  <si>
    <t xml:space="preserve"> 0.35016657066211343
</t>
  </si>
  <si>
    <t xml:space="preserve"> current price of reit option is: 5.845773008886773</t>
  </si>
  <si>
    <t xml:space="preserve"> predicted price of reit is: 38.6713402963199
</t>
  </si>
  <si>
    <t xml:space="preserve"> 38.6713402963199
</t>
  </si>
  <si>
    <t>value_ratio_gold_to_total is: 0.5424035409336101</t>
  </si>
  <si>
    <t xml:space="preserve"> risk_ratio_to_gold is: 0.7149348861052537</t>
  </si>
  <si>
    <t xml:space="preserve"> risk_ratio_to_gold_before is: 0.7174425096719785
</t>
  </si>
  <si>
    <t xml:space="preserve"> 0.7174425096719785
</t>
  </si>
  <si>
    <t>value_ratio_tb_to_total is: 0.19155228508826966</t>
  </si>
  <si>
    <t xml:space="preserve"> risk_ratio_tb_to_gold is: 0.2207675863157079</t>
  </si>
  <si>
    <t xml:space="preserve"> risk_ratio_tb_to_gold_before is: 0.21826171319652699
</t>
  </si>
  <si>
    <t xml:space="preserve"> 0.21826171319652699
</t>
  </si>
  <si>
    <t>value_ratio_reit_to_total is: 0.26604417397812025</t>
  </si>
  <si>
    <t xml:space="preserve"> risk_ratio_reit_to_gold is: 0.17796119225557389</t>
  </si>
  <si>
    <t xml:space="preserve"> risk_ratio_reit_to_gold_before is: 0.1755781924667287
</t>
  </si>
  <si>
    <t xml:space="preserve"> 0.1755781924667287
</t>
  </si>
  <si>
    <t xml:space="preserve"> delta_reit is: 0.9995958547366135
</t>
  </si>
  <si>
    <t xml:space="preserve"> 0.9995958547366135
</t>
  </si>
  <si>
    <t>delta_gold_risk is: 0.9985399082923574</t>
  </si>
  <si>
    <t xml:space="preserve"> delta_tb_risk is: 1.0020569251188285</t>
  </si>
  <si>
    <t xml:space="preserve"> delta_reit_risk is: 1.0020270874401342
</t>
  </si>
  <si>
    <t xml:space="preserve"> 1.0020270874401342
</t>
  </si>
  <si>
    <t xml:space="preserve">collateral_ratio_tranche_gold is: 0.801045802241821
</t>
  </si>
  <si>
    <t xml:space="preserve"> 0.801045802241821
</t>
  </si>
  <si>
    <t xml:space="preserve">collateral_ratio_tranche_tb is: 0.3492214703612083
</t>
  </si>
  <si>
    <t xml:space="preserve"> 0.3492214703612083
</t>
  </si>
  <si>
    <t xml:space="preserve">collateral_ratio_tranche_reit is: 0.3493169564860652
</t>
  </si>
  <si>
    <t xml:space="preserve"> 0.3493169564860652
</t>
  </si>
  <si>
    <t>Total plot size is: 149976513.43822655</t>
  </si>
  <si>
    <t xml:space="preserve"> plot size of gold is: 79983571.70553395</t>
  </si>
  <si>
    <t xml:space="preserve"> plot size of TB is: 34992208.09583488</t>
  </si>
  <si>
    <t xml:space="preserve"> plot size of REIT is: 35000733.636857726
</t>
  </si>
  <si>
    <t xml:space="preserve"> 35000733.636857726
</t>
  </si>
  <si>
    <t xml:space="preserve">collateral ratio is: 1.4992634356760886
</t>
  </si>
  <si>
    <t xml:space="preserve"> 1.4992634356760886
</t>
  </si>
  <si>
    <t>S_gtbcps_0 is: 1.0000727541723227</t>
  </si>
  <si>
    <t xml:space="preserve">stdev_gtbcps is: 0.009426716850894988
</t>
  </si>
  <si>
    <t xml:space="preserve"> 0.009426716850894988
</t>
  </si>
  <si>
    <t>predicted price of GTBCPS is: 1.0000736862762012</t>
  </si>
  <si>
    <t xml:space="preserve"> actual price is: 1.0000727541723227
</t>
  </si>
  <si>
    <t xml:space="preserve"> 1.0000727541723227
</t>
  </si>
  <si>
    <t>predicted amount of GTBCPS is: 100026092.4619093</t>
  </si>
  <si>
    <t xml:space="preserve"> actual amount is: 100026185.68983531
</t>
  </si>
  <si>
    <t>plot sizes of gold is: 79983571.70553395</t>
  </si>
  <si>
    <t xml:space="preserve"> plot sizes of tb is: 34992208.09583488 </t>
  </si>
  <si>
    <t xml:space="preserve"> plot sizes of reit is: 35000733.636857726</t>
  </si>
  <si>
    <t xml:space="preserve"> plot sizes of total is: 149976513.43822655.
</t>
  </si>
  <si>
    <t xml:space="preserve"> 149976513.43822655.
</t>
  </si>
  <si>
    <t>predicted stdevs of gold is: 0.008674146656510832</t>
  </si>
  <si>
    <t xml:space="preserve"> predicted stdevs of tb is: 0.0016331722845175573</t>
  </si>
  <si>
    <t xml:space="preserve"> predicted stdevs of reit is: 0.0189381342066228</t>
  </si>
  <si>
    <t xml:space="preserve"> predicted stdevs of GTBCPS is: 0.009426716850894988.
</t>
  </si>
  <si>
    <t xml:space="preserve"> 0.009426716850894988.
</t>
  </si>
  <si>
    <t>total_value_of_collaterals is: 149976545.5296671</t>
  </si>
  <si>
    <t xml:space="preserve"> createdtionValue_gold is: -74.54759566920399</t>
  </si>
  <si>
    <t xml:space="preserve"> createdValue_tb is: -32.61400335367841</t>
  </si>
  <si>
    <t xml:space="preserve"> createdValue_reit is: -32.62195091512606
</t>
  </si>
  <si>
    <t xml:space="preserve"> -32.62195091512606
</t>
  </si>
  <si>
    <t>plotValue_gold_after_creation is: 79983669.76296896</t>
  </si>
  <si>
    <t xml:space="preserve"> plotValue_tb_after_creation  is: 34992244.22292935</t>
  </si>
  <si>
    <t xml:space="preserve"> plotValue_reit_after_creation  is: 35000771.32731874</t>
  </si>
  <si>
    <t xml:space="preserve">total_value_after_creation is: 149976685.31321704
</t>
  </si>
  <si>
    <t xml:space="preserve"> 149976685.31321704
</t>
  </si>
  <si>
    <t>total_amount_gtncps_before_creation is: 100026185.68983531</t>
  </si>
  <si>
    <t>creation_amount_gtbcps is: -93.22792601585388</t>
  </si>
  <si>
    <t xml:space="preserve">total_amount_gtbcps_new is: 100026092.4619093
</t>
  </si>
  <si>
    <t xml:space="preserve"> 100026092.4619093
</t>
  </si>
  <si>
    <t>payout of tranche of gold is: 23.50983933839977</t>
  </si>
  <si>
    <t xml:space="preserve"> payout of tranche of Treausry Bill Option is: 3.5130911168682974</t>
  </si>
  <si>
    <t xml:space="preserve"> payout of tranche of Collar of REIT is: 5.068510097472901
</t>
  </si>
  <si>
    <t xml:space="preserve"> 5.068510097472901
</t>
  </si>
  <si>
    <t>Collateral size of tranche of gold is: 79983669.76296896</t>
  </si>
  <si>
    <t xml:space="preserve"> collateral size of tranche of Treausry Bill Option is: 34992244.22292935</t>
  </si>
  <si>
    <t xml:space="preserve"> collateral size of tranche of Collar of REIT is: 35000771.32731874
</t>
  </si>
  <si>
    <t xml:space="preserve"> 35000771.32731874
</t>
  </si>
  <si>
    <t>Collateral ratio of tranche of gold is: 0.7995683924851221</t>
  </si>
  <si>
    <t xml:space="preserve"> collateral ratio of tranche of Treausry Bill Option is: 0.349805060779145</t>
  </si>
  <si>
    <t xml:space="preserve"> collateral ratio of tranche of Collar of REIT is: 0.3498903032188753
</t>
  </si>
  <si>
    <t xml:space="preserve"> 0.3498903032188753
</t>
  </si>
  <si>
    <t xml:space="preserve"> current price of reit option is: 5.897249190083471</t>
  </si>
  <si>
    <t xml:space="preserve"> predicted price of reit is: 38.68706082348692
</t>
  </si>
  <si>
    <t xml:space="preserve"> 38.68706082348692
</t>
  </si>
  <si>
    <t>value_ratio_gold_to_total is: 0.5408607053875647</t>
  </si>
  <si>
    <t xml:space="preserve"> risk_ratio_to_gold is: 0.7220778993864001</t>
  </si>
  <si>
    <t xml:space="preserve"> risk_ratio_to_gold_before is: 0.7149348861052537
</t>
  </si>
  <si>
    <t xml:space="preserve"> 0.7149348861052537
</t>
  </si>
  <si>
    <t>value_ratio_tb_to_total is: 0.19100742567630544</t>
  </si>
  <si>
    <t xml:space="preserve"> risk_ratio_tb_to_gold is: 0.2135371815498869</t>
  </si>
  <si>
    <t xml:space="preserve"> risk_ratio_tb_to_gold_before is: 0.2207675863157079
</t>
  </si>
  <si>
    <t xml:space="preserve"> 0.2207675863157079
</t>
  </si>
  <si>
    <t>value_ratio_reit_to_total is: 0.26813186893612984</t>
  </si>
  <si>
    <t xml:space="preserve"> risk_ratio_reit_to_gold is: 0.17135494830171158</t>
  </si>
  <si>
    <t xml:space="preserve"> risk_ratio_reit_to_gold_before is: 0.17796119225557389
</t>
  </si>
  <si>
    <t xml:space="preserve"> 0.17796119225557389
</t>
  </si>
  <si>
    <t xml:space="preserve"> delta_reit is: 1.001167372237387
</t>
  </si>
  <si>
    <t xml:space="preserve"> 1.001167372237387
</t>
  </si>
  <si>
    <t>delta_gold_risk is: 1.0041651804619642</t>
  </si>
  <si>
    <t xml:space="preserve"> delta_tb_risk is: 0.9940771651812591</t>
  </si>
  <si>
    <t xml:space="preserve"> delta_reit_risk is: 0.9943917983060099
</t>
  </si>
  <si>
    <t xml:space="preserve"> 0.9943917983060099
</t>
  </si>
  <si>
    <t xml:space="preserve">collateral_ratio_tranche_gold is: 0.7962518597958975
</t>
  </si>
  <si>
    <t xml:space="preserve"> 0.7962518597958975
</t>
  </si>
  <si>
    <t xml:space="preserve">collateral_ratio_tranche_tb is: 0.35188924263778043
</t>
  </si>
  <si>
    <t xml:space="preserve"> 0.35188924263778043
</t>
  </si>
  <si>
    <t xml:space="preserve">collateral_ratio_tranche_reit is: 0.35227438122652793
</t>
  </si>
  <si>
    <t xml:space="preserve"> 0.35227438122652793
</t>
  </si>
  <si>
    <t>Total plot size is: 150017544.2419517</t>
  </si>
  <si>
    <t xml:space="preserve"> plot size of gold is: 79983669.76296896</t>
  </si>
  <si>
    <t xml:space="preserve"> plot size of TB is: 34992244.22292935</t>
  </si>
  <si>
    <t xml:space="preserve"> plot size of REIT is: 35041630.25605339
</t>
  </si>
  <si>
    <t xml:space="preserve"> 35041630.25605339
</t>
  </si>
  <si>
    <t xml:space="preserve">collateral ratio is: 1.4996736064578413
</t>
  </si>
  <si>
    <t xml:space="preserve"> 1.4996736064578413
</t>
  </si>
  <si>
    <t>S_gtbcps_0 is: 1.0000736862762012</t>
  </si>
  <si>
    <t xml:space="preserve">stdev_gtbcps is: 0.009372512165459604
</t>
  </si>
  <si>
    <t xml:space="preserve"> 0.009372512165459604
</t>
  </si>
  <si>
    <t>predicted price of GTBCPS is: 1.0000786641873947</t>
  </si>
  <si>
    <t xml:space="preserve"> actual price is: 1.0000736862762012
</t>
  </si>
  <si>
    <t xml:space="preserve"> 1.0000736862762012
</t>
  </si>
  <si>
    <t>predicted amount of GTBCPS is: 100025594.58006945</t>
  </si>
  <si>
    <t xml:space="preserve"> actual amount is: 100026092.4619093
</t>
  </si>
  <si>
    <t>plot sizes of gold is: 79983669.76296896</t>
  </si>
  <si>
    <t xml:space="preserve"> plot sizes of tb is: 34992244.22292935 </t>
  </si>
  <si>
    <t xml:space="preserve"> plot sizes of reit is: 35041630.25605339</t>
  </si>
  <si>
    <t xml:space="preserve"> plot sizes of total is: 150017544.2419517.
</t>
  </si>
  <si>
    <t xml:space="preserve"> 150017544.2419517.
</t>
  </si>
  <si>
    <t>predicted stdevs of gold is: 0.008862942957042394</t>
  </si>
  <si>
    <t xml:space="preserve"> predicted stdevs of tb is: 0.0015998414370400507</t>
  </si>
  <si>
    <t xml:space="preserve"> predicted stdevs of reit is: 0.01829733687810737</t>
  </si>
  <si>
    <t xml:space="preserve"> predicted stdevs of GTBCPS is: 0.009372512165459604.
</t>
  </si>
  <si>
    <t xml:space="preserve"> 0.009372512165459604.
</t>
  </si>
  <si>
    <t>total_value_of_collaterals is: 150017715.88650063</t>
  </si>
  <si>
    <t xml:space="preserve"> createdtionValue_gold is: -398.12292956339274</t>
  </si>
  <si>
    <t xml:space="preserve"> createdValue_tb is: -174.17554930140986</t>
  </si>
  <si>
    <t xml:space="preserve"> createdValue_reit is: -174.42136527085557
</t>
  </si>
  <si>
    <t xml:space="preserve"> -174.42136527085557
</t>
  </si>
  <si>
    <t>plotValue_gold_after_creation is: 79984200.62154362</t>
  </si>
  <si>
    <t xml:space="preserve"> plotValue_tb_after_creation  is: 34992438.375678286</t>
  </si>
  <si>
    <t xml:space="preserve"> plotValue_reit_after_creation  is: 35041823.60912286</t>
  </si>
  <si>
    <t xml:space="preserve">total_value_after_creation is: 150018462.60634476
</t>
  </si>
  <si>
    <t xml:space="preserve"> 150018462.60634476
</t>
  </si>
  <si>
    <t>total_amount_gtncps_before_creation is: 100026092.4619093</t>
  </si>
  <si>
    <t>creation_amount_gtbcps is: -497.88183984160423</t>
  </si>
  <si>
    <t xml:space="preserve">total_amount_gtbcps_new is: 100025594.58006945
</t>
  </si>
  <si>
    <t xml:space="preserve"> 100025594.58006945
</t>
  </si>
  <si>
    <t>payout of tranche of gold is: 132.73564510461884</t>
  </si>
  <si>
    <t xml:space="preserve"> payout of tranche of Treausry Bill Option is: 19.97719963875678</t>
  </si>
  <si>
    <t xml:space="preserve"> payout of tranche of Collar of REIT is: 18.931704197515636
</t>
  </si>
  <si>
    <t xml:space="preserve"> 18.931704197515636
</t>
  </si>
  <si>
    <t>Collateral size of tranche of gold is: 79984200.62154362</t>
  </si>
  <si>
    <t xml:space="preserve"> collateral size of tranche of Treausry Bill Option is: 34992438.375678286</t>
  </si>
  <si>
    <t xml:space="preserve"> collateral size of tranche of Collar of REIT is: 35041823.60912286
</t>
  </si>
  <si>
    <t xml:space="preserve"> 35041823.60912286
</t>
  </si>
  <si>
    <t>Collateral ratio of tranche of gold is: 0.7995704646241296</t>
  </si>
  <si>
    <t xml:space="preserve"> collateral ratio of tranche of Treausry Bill Option is: 0.3498055865152478</t>
  </si>
  <si>
    <t xml:space="preserve"> collateral ratio of tranche of Collar of REIT is: 0.350299271189771
</t>
  </si>
  <si>
    <t xml:space="preserve"> 0.350299271189771
</t>
  </si>
  <si>
    <t xml:space="preserve"> current price of reit option is: 5.919973051283321</t>
  </si>
  <si>
    <t xml:space="preserve"> predicted price of reit is: 38.77021105413072
</t>
  </si>
  <si>
    <t xml:space="preserve"> 38.77021105413072
</t>
  </si>
  <si>
    <t>value_ratio_gold_to_total is: 0.5384475669489847</t>
  </si>
  <si>
    <t xml:space="preserve"> risk_ratio_to_gold is: 0.7214286060408016</t>
  </si>
  <si>
    <t xml:space="preserve"> risk_ratio_to_gold_before is: 0.7220778993864001
</t>
  </si>
  <si>
    <t xml:space="preserve"> 0.7220778993864001
</t>
  </si>
  <si>
    <t>value_ratio_tb_to_total is: 0.19015521482725986</t>
  </si>
  <si>
    <t xml:space="preserve"> risk_ratio_tb_to_gold is: 0.21438797539996043</t>
  </si>
  <si>
    <t xml:space="preserve"> risk_ratio_tb_to_gold_before is: 0.2135371815498869
</t>
  </si>
  <si>
    <t xml:space="preserve"> 0.2135371815498869
</t>
  </si>
  <si>
    <t>value_ratio_reit_to_total is: 0.27139721822375545</t>
  </si>
  <si>
    <t xml:space="preserve"> risk_ratio_reit_to_gold is: 0.1717505719581732</t>
  </si>
  <si>
    <t xml:space="preserve"> risk_ratio_reit_to_gold_before is: 0.17135494830171158
</t>
  </si>
  <si>
    <t xml:space="preserve"> 0.17135494830171158
</t>
  </si>
  <si>
    <t xml:space="preserve"> delta_reit is: 1.000514728813612
</t>
  </si>
  <si>
    <t xml:space="preserve"> 1.000514728813612
</t>
  </si>
  <si>
    <t>delta_gold_risk is: 0.9996229593644805</t>
  </si>
  <si>
    <t xml:space="preserve"> delta_tb_risk is: 1.0007010859354033</t>
  </si>
  <si>
    <t xml:space="preserve"> delta_reit_risk is: 1.0003377487387877
</t>
  </si>
  <si>
    <t xml:space="preserve"> 1.0003377487387877
</t>
  </si>
  <si>
    <t xml:space="preserve">collateral_ratio_tranche_gold is: 0.7998720488897773
</t>
  </si>
  <si>
    <t xml:space="preserve"> 0.7998720488897773
</t>
  </si>
  <si>
    <t xml:space="preserve">collateral_ratio_tranche_tb is: 0.349560514554921
</t>
  </si>
  <si>
    <t xml:space="preserve"> 0.349560514554921
</t>
  </si>
  <si>
    <t xml:space="preserve">collateral_ratio_tranche_reit is: 0.350361246248999
</t>
  </si>
  <si>
    <t xml:space="preserve"> 0.350361246248999
</t>
  </si>
  <si>
    <t>Total plot size is: 150036499.6426379</t>
  </si>
  <si>
    <t xml:space="preserve"> plot size of gold is: 79984200.62154362</t>
  </si>
  <si>
    <t xml:space="preserve"> plot size of TB is: 34992438.375678286</t>
  </si>
  <si>
    <t xml:space="preserve"> plot size of REIT is: 35059860.645415984
</t>
  </si>
  <si>
    <t xml:space="preserve"> 35059860.645415984
</t>
  </si>
  <si>
    <t xml:space="preserve">collateral ratio is: 1.4998630970554416
</t>
  </si>
  <si>
    <t xml:space="preserve"> 1.4998630970554416
</t>
  </si>
  <si>
    <t>S_gtbcps_0 is: 1.0000786641873947</t>
  </si>
  <si>
    <t xml:space="preserve">stdev_gtbcps is: 0.009250675195957167
</t>
  </si>
  <si>
    <t xml:space="preserve"> 0.009250675195957167
</t>
  </si>
  <si>
    <t>predicted price of GTBCPS is: 1.0001018119869862</t>
  </si>
  <si>
    <t xml:space="preserve"> actual price is: 1.0000786641873947
</t>
  </si>
  <si>
    <t xml:space="preserve"> 1.0000786641873947
</t>
  </si>
  <si>
    <t>predicted amount of GTBCPS is: 100023279.44336075</t>
  </si>
  <si>
    <t xml:space="preserve"> actual amount is: 100025594.58006945
</t>
  </si>
  <si>
    <t>plot sizes of gold is: 79984200.62154362</t>
  </si>
  <si>
    <t xml:space="preserve"> plot sizes of tb is: 34992438.375678286 </t>
  </si>
  <si>
    <t xml:space="preserve"> plot sizes of reit is: 35059860.645415984</t>
  </si>
  <si>
    <t xml:space="preserve"> plot sizes of total is: 150036499.64263788.
</t>
  </si>
  <si>
    <t xml:space="preserve"> 150036499.64263788.
</t>
  </si>
  <si>
    <t>predicted stdevs of gold is: 0.008746020573500537</t>
  </si>
  <si>
    <t xml:space="preserve"> predicted stdevs of tb is: 0.001623708521375519</t>
  </si>
  <si>
    <t xml:space="preserve"> predicted stdevs of reit is: 0.018014274145429405</t>
  </si>
  <si>
    <t xml:space="preserve"> predicted stdevs of GTBCPS is: 0.009250675195957167.
</t>
  </si>
  <si>
    <t xml:space="preserve"> 0.009250675195957167.
</t>
  </si>
  <si>
    <t>total_value_of_collaterals is: 150037296.76006514</t>
  </si>
  <si>
    <t xml:space="preserve"> createdtionValue_gold is: -1851.3268989373714</t>
  </si>
  <si>
    <t xml:space="preserve"> createdValue_tb is: -809.9363745357507</t>
  </si>
  <si>
    <t xml:space="preserve"> createdValue_reit is: -811.496821350902
</t>
  </si>
  <si>
    <t xml:space="preserve"> -811.496821350902
</t>
  </si>
  <si>
    <t>plotValue_gold_after_creation is: 79986669.09469032</t>
  </si>
  <si>
    <t xml:space="preserve"> plotValue_tb_after_creation  is: 34993340.62230133</t>
  </si>
  <si>
    <t xml:space="preserve"> plotValue_reit_after_creation  is: 35060759.80316831</t>
  </si>
  <si>
    <t xml:space="preserve">total_value_after_creation is: 150040769.52015996
</t>
  </si>
  <si>
    <t xml:space="preserve"> 150040769.52015996
</t>
  </si>
  <si>
    <t>total_amount_gtncps_before_creation is: 100025594.58006945</t>
  </si>
  <si>
    <t>creation_amount_gtbcps is: -2315.1367087066174</t>
  </si>
  <si>
    <t xml:space="preserve">total_amount_gtbcps_new is: 100023279.44336075
</t>
  </si>
  <si>
    <t xml:space="preserve"> 100023279.44336075
</t>
  </si>
  <si>
    <t>payout of tranche of gold is: 617.1462477675142</t>
  </si>
  <si>
    <t xml:space="preserve"> payout of tranche of Treausry Bill Option is: 92.31024850989648</t>
  </si>
  <si>
    <t xml:space="preserve"> payout of tranche of Collar of REIT is: 87.6609309738542
</t>
  </si>
  <si>
    <t xml:space="preserve"> 87.6609309738542
</t>
  </si>
  <si>
    <t>Collateral size of tranche of gold is: 79986669.09469032</t>
  </si>
  <si>
    <t xml:space="preserve"> collateral size of tranche of Treausry Bill Option is: 34993340.62230133</t>
  </si>
  <si>
    <t xml:space="preserve"> collateral size of tranche of Collar of REIT is: 35060759.80316831
</t>
  </si>
  <si>
    <t xml:space="preserve"> 35060759.80316831
</t>
  </si>
  <si>
    <t>Collateral ratio of tranche of gold is: 0.7995806139196431</t>
  </si>
  <si>
    <t xml:space="preserve"> collateral ratio of tranche of Treausry Bill Option is: 0.3498082504817825</t>
  </si>
  <si>
    <t xml:space="preserve"> collateral ratio of tranche of Collar of REIT is: 0.35048220116178597
</t>
  </si>
  <si>
    <t xml:space="preserve"> 0.35048220116178597
</t>
  </si>
  <si>
    <t xml:space="preserve"> current price of reit option is: 5.894839817005064</t>
  </si>
  <si>
    <t xml:space="preserve"> predicted price of reit is: 38.67643902877126
</t>
  </si>
  <si>
    <t xml:space="preserve"> 38.67643902877126
</t>
  </si>
  <si>
    <t>value_ratio_gold_to_total is: 0.5411592144464025</t>
  </si>
  <si>
    <t xml:space="preserve"> risk_ratio_to_gold is: 0.7191891133866736</t>
  </si>
  <si>
    <t xml:space="preserve"> risk_ratio_to_gold_before is: 0.7214286060408016
</t>
  </si>
  <si>
    <t xml:space="preserve"> 0.7214286060408016
</t>
  </si>
  <si>
    <t>value_ratio_tb_to_total is: 0.1911128455123218</t>
  </si>
  <si>
    <t xml:space="preserve"> risk_ratio_tb_to_gold is: 0.21660305758564205</t>
  </si>
  <si>
    <t xml:space="preserve"> risk_ratio_tb_to_gold_before is: 0.21438797539996043
</t>
  </si>
  <si>
    <t xml:space="preserve"> 0.21438797539996043
</t>
  </si>
  <si>
    <t>value_ratio_reit_to_total is: 0.2677279400412757</t>
  </si>
  <si>
    <t xml:space="preserve"> risk_ratio_reit_to_gold is: 0.17385180524033036</t>
  </si>
  <si>
    <t xml:space="preserve"> risk_ratio_reit_to_gold_before is: 0.1717505719581732
</t>
  </si>
  <si>
    <t xml:space="preserve"> 0.1717505719581732
</t>
  </si>
  <si>
    <t xml:space="preserve"> delta_reit is: 0.9994309882360789
</t>
  </si>
  <si>
    <t xml:space="preserve"> 0.9994309882360789
</t>
  </si>
  <si>
    <t>delta_gold_risk is: 0.9986990499366228</t>
  </si>
  <si>
    <t xml:space="preserve"> delta_tb_risk is: 1.0018240317184894</t>
  </si>
  <si>
    <t xml:space="preserve"> delta_reit_risk is: 1.0017932428047769
</t>
  </si>
  <si>
    <t xml:space="preserve"> 1.0017932428047769
</t>
  </si>
  <si>
    <t xml:space="preserve">collateral_ratio_tranche_gold is: 0.8006221833998783
</t>
  </si>
  <si>
    <t xml:space="preserve"> 0.8006221833998783
</t>
  </si>
  <si>
    <t xml:space="preserve">collateral_ratio_tranche_tb is: 0.3491713508626213
</t>
  </si>
  <si>
    <t xml:space="preserve"> 0.3491713508626213
</t>
  </si>
  <si>
    <t xml:space="preserve">collateral_ratio_tranche_reit is: 0.3496557549994783
</t>
  </si>
  <si>
    <t xml:space="preserve"> 0.3496557549994783
</t>
  </si>
  <si>
    <t>Total plot size is: 150020819.53537995</t>
  </si>
  <si>
    <t xml:space="preserve"> plot size of gold is: 79986669.09469032</t>
  </si>
  <si>
    <t xml:space="preserve"> plot size of TB is: 34993340.62230133</t>
  </si>
  <si>
    <t xml:space="preserve"> plot size of REIT is: 35040809.8183883
</t>
  </si>
  <si>
    <t xml:space="preserve"> 35040809.8183883
</t>
  </si>
  <si>
    <t xml:space="preserve">collateral ratio is: 1.4997063484356719
</t>
  </si>
  <si>
    <t xml:space="preserve"> 1.4997063484356719
</t>
  </si>
  <si>
    <t>S_gtbcps_0 is: 1.0001018119869862</t>
  </si>
  <si>
    <t xml:space="preserve">stdev_gtbcps is: 0.009455090814155853
</t>
  </si>
  <si>
    <t xml:space="preserve"> 0.009455090814155853
</t>
  </si>
  <si>
    <t>predicted price of GTBCPS is: 1.0000960627000788</t>
  </si>
  <si>
    <t xml:space="preserve"> actual price is: 1.0001018119869862
</t>
  </si>
  <si>
    <t xml:space="preserve"> 1.0001018119869862
</t>
  </si>
  <si>
    <t>predicted amount of GTBCPS is: 100023854.45065494</t>
  </si>
  <si>
    <t xml:space="preserve"> actual amount is: 100023279.44336075
</t>
  </si>
  <si>
    <t>plot sizes of gold is: 79986669.09469032</t>
  </si>
  <si>
    <t xml:space="preserve"> plot sizes of tb is: 34993340.62230133 </t>
  </si>
  <si>
    <t xml:space="preserve"> plot sizes of reit is: 35040809.8183883</t>
  </si>
  <si>
    <t xml:space="preserve"> plot sizes of total is: 150020819.53537995.
</t>
  </si>
  <si>
    <t xml:space="preserve"> 150020819.53537995.
</t>
  </si>
  <si>
    <t>predicted stdevs of gold is: 0.00897620968234099</t>
  </si>
  <si>
    <t xml:space="preserve"> predicted stdevs of tb is: 0.0016654147042843939</t>
  </si>
  <si>
    <t xml:space="preserve"> predicted stdevs of reit is: 0.018327342845076547</t>
  </si>
  <si>
    <t xml:space="preserve"> predicted stdevs of GTBCPS is: 0.009455090814155853.
</t>
  </si>
  <si>
    <t xml:space="preserve"> 0.009455090814155853.
</t>
  </si>
  <si>
    <t>total_value_of_collaterals is: 150020621.59801692</t>
  </si>
  <si>
    <t xml:space="preserve"> createdtionValue_gold is: 459.81861296276907</t>
  </si>
  <si>
    <t xml:space="preserve"> createdValue_tb is: 201.16614225290456</t>
  </si>
  <si>
    <t xml:space="preserve"> createdValue_reit is: 201.43903530892084
</t>
  </si>
  <si>
    <t xml:space="preserve"> 201.43903530892084
</t>
  </si>
  <si>
    <t>plotValue_gold_after_creation is: 79986055.9720195</t>
  </si>
  <si>
    <t xml:space="preserve"> plotValue_tb_after_creation  is: 34993116.54706523</t>
  </si>
  <si>
    <t xml:space="preserve"> plotValue_reit_after_creation  is: 35040586.65514165</t>
  </si>
  <si>
    <t xml:space="preserve">total_value_after_creation is: 150019759.17422637
</t>
  </si>
  <si>
    <t xml:space="preserve"> 150019759.17422637
</t>
  </si>
  <si>
    <t>total_amount_gtncps_before_creation is: 100023279.44336075</t>
  </si>
  <si>
    <t>creation_amount_gtbcps is: 575.0072941929102</t>
  </si>
  <si>
    <t xml:space="preserve">total_amount_gtbcps_new is: 100023854.45065494
</t>
  </si>
  <si>
    <t xml:space="preserve"> 100023854.45065494
</t>
  </si>
  <si>
    <t>payout of tranche of gold is: -153.30405786422912</t>
  </si>
  <si>
    <t xml:space="preserve"> payout of tranche of Treausry Bill Option is: -22.909093850461833</t>
  </si>
  <si>
    <t xml:space="preserve"> payout of tranche of Collar of REIT is: -21.72421133482193
</t>
  </si>
  <si>
    <t xml:space="preserve"> -21.72421133482193
</t>
  </si>
  <si>
    <t>Collateral size of tranche of gold is: 79986055.9720195</t>
  </si>
  <si>
    <t xml:space="preserve"> collateral size of tranche of Treausry Bill Option is: 34993116.54706523</t>
  </si>
  <si>
    <t xml:space="preserve"> collateral size of tranche of Collar of REIT is: 35040586.65514165
</t>
  </si>
  <si>
    <t xml:space="preserve"> 35040586.65514165
</t>
  </si>
  <si>
    <t>Collateral ratio of tranche of gold is: 0.7995975884678586</t>
  </si>
  <si>
    <t xml:space="preserve"> collateral ratio of tranche of Treausry Bill Option is: 0.34981611812184</t>
  </si>
  <si>
    <t xml:space="preserve"> collateral ratio of tranche of Collar of REIT is: 0.3502906631344794
</t>
  </si>
  <si>
    <t xml:space="preserve"> 0.3502906631344794
</t>
  </si>
  <si>
    <t xml:space="preserve"> current price of reit option is: 5.884558643112065</t>
  </si>
  <si>
    <t xml:space="preserve"> predicted price of reit is: 38.590287779652705
</t>
  </si>
  <si>
    <t xml:space="preserve"> 38.590287779652705
</t>
  </si>
  <si>
    <t>value_ratio_gold_to_total is: 0.5433785056013228</t>
  </si>
  <si>
    <t xml:space="preserve"> risk_ratio_to_gold is: 0.7488093065366972</t>
  </si>
  <si>
    <t xml:space="preserve"> risk_ratio_to_gold_before is: 0.7191891133866736
</t>
  </si>
  <si>
    <t xml:space="preserve"> 0.7191891133866736
</t>
  </si>
  <si>
    <t>value_ratio_tb_to_total is: 0.19189659830875352</t>
  </si>
  <si>
    <t xml:space="preserve"> risk_ratio_tb_to_gold is: 0.18599684322064491</t>
  </si>
  <si>
    <t xml:space="preserve"> risk_ratio_tb_to_gold_before is: 0.21660305758564205
</t>
  </si>
  <si>
    <t xml:space="preserve"> 0.21660305758564205
</t>
  </si>
  <si>
    <t>value_ratio_reit_to_total is: 0.2647248960899236</t>
  </si>
  <si>
    <t xml:space="preserve"> risk_ratio_reit_to_gold is: 0.14945664443040976</t>
  </si>
  <si>
    <t xml:space="preserve"> risk_ratio_reit_to_gold_before is: 0.17385180524033036
</t>
  </si>
  <si>
    <t xml:space="preserve"> 0.17385180524033036
</t>
  </si>
  <si>
    <t xml:space="preserve"> delta_reit is: 0.9997671036085845
</t>
  </si>
  <si>
    <t xml:space="preserve"> 0.9997671036085845
</t>
  </si>
  <si>
    <t>delta_gold_risk is: 1.0172291651449992</t>
  </si>
  <si>
    <t xml:space="preserve"> delta_tb_risk is: 0.9748428921214981</t>
  </si>
  <si>
    <t xml:space="preserve"> delta_reit_risk is: 0.9792178529683089
</t>
  </si>
  <si>
    <t xml:space="preserve"> 0.9792178529683089
</t>
  </si>
  <si>
    <t xml:space="preserve">collateral_ratio_tranche_gold is: 0.7860545252395328
</t>
  </si>
  <si>
    <t xml:space="preserve"> 0.7860545252395328
</t>
  </si>
  <si>
    <t xml:space="preserve">collateral_ratio_tranche_tb is: 0.35884358489864354
</t>
  </si>
  <si>
    <t xml:space="preserve"> 0.35884358489864354
</t>
  </si>
  <si>
    <t xml:space="preserve">collateral_ratio_tranche_reit is: 0.3576416429107148
</t>
  </si>
  <si>
    <t xml:space="preserve"> 0.3576416429107148
</t>
  </si>
  <si>
    <t>Total plot size is: 150011598.3480413</t>
  </si>
  <si>
    <t xml:space="preserve"> plot size of gold is: 79986055.9720195</t>
  </si>
  <si>
    <t xml:space="preserve"> plot size of TB is: 34993116.54706523</t>
  </si>
  <si>
    <t xml:space="preserve"> plot size of REIT is: 35032425.82895658
</t>
  </si>
  <si>
    <t xml:space="preserve"> 35032425.82895658
</t>
  </si>
  <si>
    <t xml:space="preserve">collateral ratio is: 1.4996141674088337
</t>
  </si>
  <si>
    <t xml:space="preserve"> 1.4996141674088337
</t>
  </si>
  <si>
    <t>S_gtbcps_0 is: 1.0000960627000788</t>
  </si>
  <si>
    <t xml:space="preserve">stdev_gtbcps is: 0.009474542547930287
</t>
  </si>
  <si>
    <t xml:space="preserve"> 0.009474542547930287
</t>
  </si>
  <si>
    <t>predicted price of GTBCPS is: 1.0000958251831968</t>
  </si>
  <si>
    <t xml:space="preserve"> actual price is: 1.0000960627000788
</t>
  </si>
  <si>
    <t xml:space="preserve"> 1.0000960627000788
</t>
  </si>
  <si>
    <t>predicted amount of GTBCPS is: 100023878.20573263</t>
  </si>
  <si>
    <t xml:space="preserve"> actual amount is: 100023854.45065494
</t>
  </si>
  <si>
    <t>plot sizes of gold is: 79986055.9720195</t>
  </si>
  <si>
    <t xml:space="preserve"> plot sizes of tb is: 34993116.54706523 </t>
  </si>
  <si>
    <t xml:space="preserve"> plot sizes of reit is: 35032425.82895658</t>
  </si>
  <si>
    <t xml:space="preserve"> plot sizes of total is: 150011598.3480413.
</t>
  </si>
  <si>
    <t xml:space="preserve"> 150011598.3480413.
</t>
  </si>
  <si>
    <t>predicted stdevs of gold is: 0.00905718028253537</t>
  </si>
  <si>
    <t xml:space="preserve"> predicted stdevs of tb is: 0.0014376201889259733</t>
  </si>
  <si>
    <t xml:space="preserve"> predicted stdevs of reit is: 0.01845536859306202</t>
  </si>
  <si>
    <t xml:space="preserve"> predicted stdevs of GTBCPS is: 0.009474542547930287.
</t>
  </si>
  <si>
    <t xml:space="preserve"> 0.009474542547930287.
</t>
  </si>
  <si>
    <t>total_value_of_collaterals is: 150011590.12909928</t>
  </si>
  <si>
    <t xml:space="preserve"> createdtionValue_gold is: 18.996212278004037</t>
  </si>
  <si>
    <t xml:space="preserve"> createdValue_tb is: 8.310657355420748</t>
  </si>
  <si>
    <t xml:space="preserve"> createdValue_reit is: 8.31999308999906
</t>
  </si>
  <si>
    <t xml:space="preserve"> 8.31999308999906
</t>
  </si>
  <si>
    <t>plotValue_gold_after_creation is: 79986030.64210528</t>
  </si>
  <si>
    <t xml:space="preserve"> plotValue_tb_after_creation  is: 34993107.26572732</t>
  </si>
  <si>
    <t xml:space="preserve"> plotValue_reit_after_creation  is: 35032416.59440396</t>
  </si>
  <si>
    <t xml:space="preserve">total_value_after_creation is: 150011554.50223655
</t>
  </si>
  <si>
    <t xml:space="preserve"> 150011554.50223655
</t>
  </si>
  <si>
    <t>total_amount_gtncps_before_creation is: 100023854.45065494</t>
  </si>
  <si>
    <t>creation_amount_gtbcps is: 23.755077689886093</t>
  </si>
  <si>
    <t xml:space="preserve">total_amount_gtbcps_new is: 100023878.20573263
</t>
  </si>
  <si>
    <t xml:space="preserve"> 100023878.20573263
</t>
  </si>
  <si>
    <t>payout of tranche of gold is: -6.333701931441415</t>
  </si>
  <si>
    <t xml:space="preserve"> payout of tranche of Treausry Bill Option is: -0.9706805597325289</t>
  </si>
  <si>
    <t xml:space="preserve"> payout of tranche of Collar of REIT is: -0.9145595272957204
</t>
  </si>
  <si>
    <t xml:space="preserve"> -0.9145595272957204
</t>
  </si>
  <si>
    <t>Collateral size of tranche of gold is: 79986030.64210528</t>
  </si>
  <si>
    <t xml:space="preserve"> collateral size of tranche of Treausry Bill Option is: 34993107.26572732</t>
  </si>
  <si>
    <t xml:space="preserve"> collateral size of tranche of Collar of REIT is: 35032416.59440396
</t>
  </si>
  <si>
    <t xml:space="preserve"> 35032416.59440396
</t>
  </si>
  <si>
    <t>Collateral ratio of tranche of gold is: 0.7995929285040738</t>
  </si>
  <si>
    <t xml:space="preserve"> collateral ratio of tranche of Treausry Bill Option is: 0.3498140974297963</t>
  </si>
  <si>
    <t xml:space="preserve"> collateral ratio of tranche of Collar of REIT is: 0.35020705931303725
</t>
  </si>
  <si>
    <t xml:space="preserve"> 0.35020705931303725
</t>
  </si>
  <si>
    <t xml:space="preserve"> current price of reit option is: 6.3618090269791026</t>
  </si>
  <si>
    <t xml:space="preserve"> predicted price of reit is: 38.65626010235274
</t>
  </si>
  <si>
    <t xml:space="preserve"> 38.65626010235274
</t>
  </si>
  <si>
    <t>value_ratio_gold_to_total is: 0.5311089818277048</t>
  </si>
  <si>
    <t xml:space="preserve"> risk_ratio_to_gold is: 0.7596798159381313</t>
  </si>
  <si>
    <t xml:space="preserve"> risk_ratio_to_gold_before is: 0.7488093065366972
</t>
  </si>
  <si>
    <t xml:space="preserve"> 0.7488093065366972
</t>
  </si>
  <si>
    <t>value_ratio_tb_to_total is: 0.18756356001085447</t>
  </si>
  <si>
    <t xml:space="preserve"> risk_ratio_tb_to_gold is: 0.17670949642262862</t>
  </si>
  <si>
    <t xml:space="preserve"> risk_ratio_tb_to_gold_before is: 0.18599684322064491
</t>
  </si>
  <si>
    <t xml:space="preserve"> 0.18599684322064491
</t>
  </si>
  <si>
    <t>value_ratio_reit_to_total is: 0.2813274581614407</t>
  </si>
  <si>
    <t xml:space="preserve"> risk_ratio_reit_to_gold is: 0.1396345461857649</t>
  </si>
  <si>
    <t xml:space="preserve"> risk_ratio_reit_to_gold_before is: 0.14945664443040976
</t>
  </si>
  <si>
    <t xml:space="preserve"> 0.14945664443040976
</t>
  </si>
  <si>
    <t xml:space="preserve"> delta_reit is: 1.010813530225288
</t>
  </si>
  <si>
    <t xml:space="preserve"> 1.010813530225288
</t>
  </si>
  <si>
    <t>delta_gold_risk is: 1.0062159489664209</t>
  </si>
  <si>
    <t xml:space="preserve"> delta_tb_risk is: 0.9921691639812498</t>
  </si>
  <si>
    <t xml:space="preserve"> delta_reit_risk is: 0.9914550076401428
</t>
  </si>
  <si>
    <t xml:space="preserve"> 0.9914550076401428
</t>
  </si>
  <si>
    <t xml:space="preserve">collateral_ratio_tranche_gold is: 0.7946534035019133
</t>
  </si>
  <si>
    <t xml:space="preserve"> 0.7946534035019133
</t>
  </si>
  <si>
    <t xml:space="preserve">collateral_ratio_tranche_tb is: 0.35257505486877555
</t>
  </si>
  <si>
    <t xml:space="preserve"> 0.35257505486877555
</t>
  </si>
  <si>
    <t xml:space="preserve">collateral_ratio_tranche_reit is: 0.357044980565082
</t>
  </si>
  <si>
    <t xml:space="preserve"> 0.357044980565082
</t>
  </si>
  <si>
    <t>Total plot size is: 150390378.59794503</t>
  </si>
  <si>
    <t xml:space="preserve"> plot size of gold is: 79986030.64210528</t>
  </si>
  <si>
    <t xml:space="preserve"> plot size of TB is: 34993107.26572732</t>
  </si>
  <si>
    <t xml:space="preserve"> plot size of REIT is: 35411240.690112434
</t>
  </si>
  <si>
    <t xml:space="preserve"> 35411240.690112434
</t>
  </si>
  <si>
    <t xml:space="preserve">collateral ratio is: 1.5034007028190652
</t>
  </si>
  <si>
    <t xml:space="preserve"> 1.5034007028190652
</t>
  </si>
  <si>
    <t>S_gtbcps_0 is: 1.0000958251831968</t>
  </si>
  <si>
    <t xml:space="preserve">stdev_gtbcps is: 0.008210544228048436
</t>
  </si>
  <si>
    <t xml:space="preserve"> 0.008210544228048436
</t>
  </si>
  <si>
    <t>predicted price of GTBCPS is: 1.0000447635715952</t>
  </si>
  <si>
    <t xml:space="preserve"> actual price is: 1.0000958251831968
</t>
  </si>
  <si>
    <t xml:space="preserve"> 1.0000958251831968
</t>
  </si>
  <si>
    <t>predicted amount of GTBCPS is: 100255764.59253386</t>
  </si>
  <si>
    <t xml:space="preserve"> actual amount is: 100023878.20573263
</t>
  </si>
  <si>
    <t>plot sizes of gold is: 79986030.64210528</t>
  </si>
  <si>
    <t xml:space="preserve"> plot sizes of tb is: 34993107.26572732 </t>
  </si>
  <si>
    <t xml:space="preserve"> plot sizes of reit is: 35411240.690112434</t>
  </si>
  <si>
    <t xml:space="preserve"> plot sizes of total is: 150390378.59794503.
</t>
  </si>
  <si>
    <t xml:space="preserve"> 150390378.59794503.
</t>
  </si>
  <si>
    <t>predicted stdevs of gold is: 0.009292280482610677</t>
  </si>
  <si>
    <t xml:space="preserve"> predicted stdevs of tb is: 0.0014097835524517635</t>
  </si>
  <si>
    <t xml:space="preserve"> predicted stdevs of reit is: 0.012487603027851875</t>
  </si>
  <si>
    <t xml:space="preserve"> predicted stdevs of GTBCPS is: 0.008210544228048436.
</t>
  </si>
  <si>
    <t xml:space="preserve"> 0.008210544228048436.
</t>
  </si>
  <si>
    <t>total_value_of_collaterals is: 150388613.74640656</t>
  </si>
  <si>
    <t xml:space="preserve"> createdtionValue_gold is: 185000.57010048963</t>
  </si>
  <si>
    <t xml:space="preserve"> createdValue_tb is: 80936.79573052203</t>
  </si>
  <si>
    <t xml:space="preserve"> createdValue_reit is: 81903.70245501804
</t>
  </si>
  <si>
    <t xml:space="preserve"> 81903.70245501804
</t>
  </si>
  <si>
    <t>plotValue_gold_after_creation is: 79799744.8103085</t>
  </si>
  <si>
    <t xml:space="preserve"> plotValue_tb_after_creation  is: 34911976.98229488</t>
  </si>
  <si>
    <t xml:space="preserve"> plotValue_reit_after_creation  is: 35329050.88551713</t>
  </si>
  <si>
    <t xml:space="preserve">total_value_after_creation is: 150040772.6781205
</t>
  </si>
  <si>
    <t xml:space="preserve"> 150040772.6781205
</t>
  </si>
  <si>
    <t>total_amount_gtncps_before_creation is: 100023878.20573263</t>
  </si>
  <si>
    <t>creation_amount_gtbcps is: 231886.38680122793</t>
  </si>
  <si>
    <t xml:space="preserve">total_amount_gtbcps_new is: 100255764.59253386
</t>
  </si>
  <si>
    <t xml:space="preserve"> 100255764.59253386
</t>
  </si>
  <si>
    <t>payout of tranche of gold is: -1285.2616962970558</t>
  </si>
  <si>
    <t xml:space="preserve"> payout of tranche of Treausry Bill Option is: -193.4877019171084</t>
  </si>
  <si>
    <t xml:space="preserve"> payout of tranche of Collar of REIT is: -286.10214028533824
</t>
  </si>
  <si>
    <t xml:space="preserve"> -286.10214028533824
</t>
  </si>
  <si>
    <t>Collateral size of tranche of gold is: 79799744.8103085</t>
  </si>
  <si>
    <t xml:space="preserve"> collateral size of tranche of Treausry Bill Option is: 34911976.98229488</t>
  </si>
  <si>
    <t xml:space="preserve"> collateral size of tranche of Collar of REIT is: 35329050.88551713
</t>
  </si>
  <si>
    <t xml:space="preserve"> 35329050.88551713
</t>
  </si>
  <si>
    <t>Collateral ratio of tranche of gold is: 0.7977712350293457</t>
  </si>
  <si>
    <t xml:space="preserve"> collateral ratio of tranche of Treausry Bill Option is: 0.3490208027693291</t>
  </si>
  <si>
    <t xml:space="preserve"> collateral ratio of tranche of Collar of REIT is: 0.3531903594973995
</t>
  </si>
  <si>
    <t xml:space="preserve"> 0.3531903594973995
</t>
  </si>
  <si>
    <t xml:space="preserve"> current price of reit option is: 6.355114808369251</t>
  </si>
  <si>
    <t xml:space="preserve"> predicted price of reit is: 38.75270674249318
</t>
  </si>
  <si>
    <t xml:space="preserve"> 38.75270674249318
</t>
  </si>
  <si>
    <t>value_ratio_gold_to_total is: 0.5291349236955999</t>
  </si>
  <si>
    <t xml:space="preserve"> risk_ratio_to_gold is: 0.7599800228076551</t>
  </si>
  <si>
    <t xml:space="preserve"> risk_ratio_to_gold_before is: 0.7596798159381313
</t>
  </si>
  <si>
    <t xml:space="preserve"> 0.7596798159381313
</t>
  </si>
  <si>
    <t>value_ratio_tb_to_total is: 0.18686641237525659</t>
  </si>
  <si>
    <t xml:space="preserve"> risk_ratio_tb_to_gold is: 0.17632878023535598</t>
  </si>
  <si>
    <t xml:space="preserve"> risk_ratio_tb_to_gold_before is: 0.17670949642262862
</t>
  </si>
  <si>
    <t xml:space="preserve"> 0.17670949642262862
</t>
  </si>
  <si>
    <t>value_ratio_reit_to_total is: 0.2839986639291435</t>
  </si>
  <si>
    <t xml:space="preserve"> risk_ratio_reit_to_gold is: 0.13949528090985674</t>
  </si>
  <si>
    <t xml:space="preserve"> risk_ratio_reit_to_gold_before is: 0.1396345461857649
</t>
  </si>
  <si>
    <t xml:space="preserve"> 0.1396345461857649
</t>
  </si>
  <si>
    <t xml:space="preserve"> delta_reit is: 0.9998499451433184
</t>
  </si>
  <si>
    <t xml:space="preserve"> 0.9998499451433184
</t>
  </si>
  <si>
    <t>delta_gold_risk is: 1.0001706031215478</t>
  </si>
  <si>
    <t xml:space="preserve"> delta_tb_risk is: 0.9996764569433406</t>
  </si>
  <si>
    <t xml:space="preserve"> delta_reit_risk is: 0.9998777983026452
</t>
  </si>
  <si>
    <t xml:space="preserve"> 0.9998777983026452
</t>
  </si>
  <si>
    <t xml:space="preserve">collateral_ratio_tranche_gold is: 0.797635155981879
</t>
  </si>
  <si>
    <t xml:space="preserve"> 0.797635155981879
</t>
  </si>
  <si>
    <t xml:space="preserve">collateral_ratio_tranche_tb is: 0.3491337625740553
</t>
  </si>
  <si>
    <t xml:space="preserve"> 0.3491337625740553
</t>
  </si>
  <si>
    <t xml:space="preserve">collateral_ratio_tranche_reit is: 0.3531805208277416
</t>
  </si>
  <si>
    <t xml:space="preserve"> 0.3531805208277416
</t>
  </si>
  <si>
    <t>Total plot size is: 150035471.3824532</t>
  </si>
  <si>
    <t xml:space="preserve"> plot size of gold is: 79799744.8103085</t>
  </si>
  <si>
    <t xml:space="preserve"> plot size of TB is: 34911976.98229488</t>
  </si>
  <si>
    <t xml:space="preserve"> plot size of REIT is: 35323749.58984981
</t>
  </si>
  <si>
    <t xml:space="preserve"> 35323749.58984981
</t>
  </si>
  <si>
    <t xml:space="preserve">collateral ratio is: 1.496460140414561
</t>
  </si>
  <si>
    <t xml:space="preserve"> 1.496460140414561
</t>
  </si>
  <si>
    <t>S_gtbcps_0 is: 1.0000447635715952</t>
  </si>
  <si>
    <t xml:space="preserve">stdev_gtbcps is: 0.008218408554577682
</t>
  </si>
  <si>
    <t xml:space="preserve"> 0.008218408554577682
</t>
  </si>
  <si>
    <t>predicted price of GTBCPS is: 1.0000573532596426</t>
  </si>
  <si>
    <t xml:space="preserve"> actual price is: 1.0000447635715952
</t>
  </si>
  <si>
    <t xml:space="preserve"> 1.0000447635715952
</t>
  </si>
  <si>
    <t>predicted amount of GTBCPS is: 100254502.47611915</t>
  </si>
  <si>
    <t xml:space="preserve"> actual amount is: 100255764.59253386
</t>
  </si>
  <si>
    <t>plot sizes of gold is: 79799744.8103085</t>
  </si>
  <si>
    <t xml:space="preserve"> plot sizes of tb is: 34911976.98229488 </t>
  </si>
  <si>
    <t xml:space="preserve"> plot sizes of reit is: 35323749.58984981</t>
  </si>
  <si>
    <t xml:space="preserve"> plot sizes of total is: 150035471.38245317.
</t>
  </si>
  <si>
    <t xml:space="preserve"> 150035471.38245317.
</t>
  </si>
  <si>
    <t>predicted stdevs of gold is: 0.009272257975276466</t>
  </si>
  <si>
    <t xml:space="preserve"> predicted stdevs of tb is: 0.0014049809369249967</t>
  </si>
  <si>
    <t xml:space="preserve"> predicted stdevs of reit is: 0.012571664228260598</t>
  </si>
  <si>
    <t xml:space="preserve"> predicted stdevs of GTBCPS is: 0.008218408554577682.
</t>
  </si>
  <si>
    <t xml:space="preserve"> 0.008218408554577682.
</t>
  </si>
  <si>
    <t>total_value_of_collaterals is: 150035905.80257908</t>
  </si>
  <si>
    <t xml:space="preserve"> createdtionValue_gold is: -1004.6129149442874</t>
  </si>
  <si>
    <t xml:space="preserve"> createdValue_tb is: -439.511821968899</t>
  </si>
  <si>
    <t xml:space="preserve"> createdValue_reit is: -444.69596273127075
</t>
  </si>
  <si>
    <t xml:space="preserve"> -444.69596273127075
</t>
  </si>
  <si>
    <t>plotValue_gold_after_creation is: 79801066.47321108</t>
  </si>
  <si>
    <t xml:space="preserve"> plotValue_tb_after_creation  is: 34912463.894262485</t>
  </si>
  <si>
    <t xml:space="preserve"> plotValue_reit_after_creation  is: 35324264.25580517</t>
  </si>
  <si>
    <t xml:space="preserve">total_value_after_creation is: 150037794.62327874
</t>
  </si>
  <si>
    <t xml:space="preserve"> 150037794.62327874
</t>
  </si>
  <si>
    <t>total_amount_gtncps_before_creation is: 100255764.59253386</t>
  </si>
  <si>
    <t>creation_amount_gtbcps is: -1262.1164147108793</t>
  </si>
  <si>
    <t xml:space="preserve">total_amount_gtbcps_new is: 100254502.47611915
</t>
  </si>
  <si>
    <t xml:space="preserve"> 100254502.47611915
</t>
  </si>
  <si>
    <t>payout of tranche of gold is: 317.04998762320275</t>
  </si>
  <si>
    <t xml:space="preserve"> payout of tranche of Treausry Bill Option is: 47.4001456356187</t>
  </si>
  <si>
    <t xml:space="preserve"> payout of tranche of Collar of REIT is: 69.96999262992131
</t>
  </si>
  <si>
    <t xml:space="preserve"> 69.96999262992131
</t>
  </si>
  <si>
    <t>Collateral size of tranche of gold is: 79801066.47321108</t>
  </si>
  <si>
    <t xml:space="preserve"> collateral size of tranche of Treausry Bill Option is: 34912463.894262485</t>
  </si>
  <si>
    <t xml:space="preserve"> collateral size of tranche of Collar of REIT is: 35324264.25580517
</t>
  </si>
  <si>
    <t xml:space="preserve"> 35324264.25580517
</t>
  </si>
  <si>
    <t>Collateral ratio of tranche of gold is: 0.7959291937847401</t>
  </si>
  <si>
    <t xml:space="preserve"> collateral ratio of tranche of Treausry Bill Option is: 0.34821400851487955</t>
  </si>
  <si>
    <t xml:space="preserve"> collateral ratio of tranche of Collar of REIT is: 0.35232127103966
</t>
  </si>
  <si>
    <t xml:space="preserve"> 0.35232127103966
</t>
  </si>
  <si>
    <t xml:space="preserve"> current price of reit option is: 6.340643385573202</t>
  </si>
  <si>
    <t xml:space="preserve"> predicted price of reit is: 38.74018911787975
</t>
  </si>
  <si>
    <t xml:space="preserve"> 38.74018911787975
</t>
  </si>
  <si>
    <t>value_ratio_gold_to_total is: 0.5297269892206271</t>
  </si>
  <si>
    <t xml:space="preserve"> risk_ratio_to_gold is: 0.7591348905428856</t>
  </si>
  <si>
    <t xml:space="preserve"> risk_ratio_to_gold_before is: 0.7599800228076551
</t>
  </si>
  <si>
    <t xml:space="preserve"> 0.7599800228076551
</t>
  </si>
  <si>
    <t>value_ratio_tb_to_total is: 0.1870755030166004</t>
  </si>
  <si>
    <t xml:space="preserve"> risk_ratio_tb_to_gold is: 0.17714303109082866</t>
  </si>
  <si>
    <t xml:space="preserve"> risk_ratio_tb_to_gold_before is: 0.17632878023535598
</t>
  </si>
  <si>
    <t xml:space="preserve"> 0.17632878023535598
</t>
  </si>
  <si>
    <t>value_ratio_reit_to_total is: 0.28319750776277247</t>
  </si>
  <si>
    <t xml:space="preserve"> risk_ratio_reit_to_gold is: 0.14014591512644084</t>
  </si>
  <si>
    <t xml:space="preserve"> risk_ratio_reit_to_gold_before is: 0.13949528090985674
</t>
  </si>
  <si>
    <t xml:space="preserve"> 0.13949528090985674
</t>
  </si>
  <si>
    <t xml:space="preserve"> delta_reit is: 0.9996755658435535
</t>
  </si>
  <si>
    <t xml:space="preserve"> 0.9996755658435535
</t>
  </si>
  <si>
    <t>delta_gold_risk is: 0.9995198057626693</t>
  </si>
  <si>
    <t xml:space="preserve"> delta_tb_risk is: 1.0006921966623223</t>
  </si>
  <si>
    <t xml:space="preserve"> delta_reit_risk is: 1.0005709845643804
</t>
  </si>
  <si>
    <t xml:space="preserve"> 1.0005709845643804
</t>
  </si>
  <si>
    <t xml:space="preserve">collateral_ratio_tranche_gold is: 0.7963115780156229
</t>
  </si>
  <si>
    <t xml:space="preserve"> 0.7963115780156229
</t>
  </si>
  <si>
    <t xml:space="preserve">collateral_ratio_tranche_tb is: 0.3479731426669477
</t>
  </si>
  <si>
    <t xml:space="preserve"> 0.3479731426669477
</t>
  </si>
  <si>
    <t xml:space="preserve">collateral_ratio_tranche_reit is: 0.35200597600642275
</t>
  </si>
  <si>
    <t xml:space="preserve"> 0.35200597600642275
</t>
  </si>
  <si>
    <t>Total plot size is: 150026334.2254028</t>
  </si>
  <si>
    <t xml:space="preserve"> plot size of gold is: 79801066.47321108</t>
  </si>
  <si>
    <t xml:space="preserve"> plot size of TB is: 34912463.894262485</t>
  </si>
  <si>
    <t xml:space="preserve"> plot size of REIT is: 35312803.857929245
</t>
  </si>
  <si>
    <t xml:space="preserve"> 35312803.857929245
</t>
  </si>
  <si>
    <t xml:space="preserve">collateral ratio is: 1.496369006023496
</t>
  </si>
  <si>
    <t xml:space="preserve"> 1.496369006023496
</t>
  </si>
  <si>
    <t>S_gtbcps_0 is: 1.0000573532596426</t>
  </si>
  <si>
    <t xml:space="preserve">stdev_gtbcps is: 0.008438695395389354
</t>
  </si>
  <si>
    <t xml:space="preserve"> 0.008438695395389354
</t>
  </si>
  <si>
    <t>predicted price of GTBCPS is: 1.0000672100277683</t>
  </si>
  <si>
    <t xml:space="preserve"> actual price is: 1.0000573532596426
</t>
  </si>
  <si>
    <t xml:space="preserve"> 1.0000573532596426
</t>
  </si>
  <si>
    <t>predicted amount of GTBCPS is: 100253514.3571462</t>
  </si>
  <si>
    <t xml:space="preserve"> actual amount is: 100254502.47611915
</t>
  </si>
  <si>
    <t>plot sizes of gold is: 79801066.47321108</t>
  </si>
  <si>
    <t xml:space="preserve"> plot sizes of tb is: 34912463.894262485 </t>
  </si>
  <si>
    <t xml:space="preserve"> plot sizes of reit is: 35312803.857929245</t>
  </si>
  <si>
    <t xml:space="preserve"> plot sizes of total is: 150026334.22540283.
</t>
  </si>
  <si>
    <t xml:space="preserve"> 150026334.22540283.
</t>
  </si>
  <si>
    <t>predicted stdevs of gold is: 0.009594618074979529</t>
  </si>
  <si>
    <t xml:space="preserve"> predicted stdevs of tb is: 0.0014324163961580074</t>
  </si>
  <si>
    <t xml:space="preserve"> predicted stdevs of reit is: 0.012753351365923801</t>
  </si>
  <si>
    <t xml:space="preserve"> predicted stdevs of GTBCPS is: 0.008438695395389354.
</t>
  </si>
  <si>
    <t xml:space="preserve"> 0.008438695395389354.
</t>
  </si>
  <si>
    <t>total_value_of_collaterals is: 150026674.28474724</t>
  </si>
  <si>
    <t xml:space="preserve"> createdtionValue_gold is: -786.5379449152827</t>
  </si>
  <si>
    <t xml:space="preserve"> createdValue_tb is: -344.1046912754194</t>
  </si>
  <si>
    <t xml:space="preserve"> createdValue_reit is: -348.0506969933462
</t>
  </si>
  <si>
    <t xml:space="preserve"> -348.0506969933462
</t>
  </si>
  <si>
    <t>plotValue_gold_after_creation is: 79802101.27053273</t>
  </si>
  <si>
    <t xml:space="preserve"> plotValue_tb_after_creation  is: 34912845.08058176</t>
  </si>
  <si>
    <t xml:space="preserve"> plotValue_reit_after_creation  is: 35313206.62696592</t>
  </si>
  <si>
    <t xml:space="preserve">total_value_after_creation is: 150028152.9780804
</t>
  </si>
  <si>
    <t xml:space="preserve"> 150028152.9780804
</t>
  </si>
  <si>
    <t>total_amount_gtncps_before_creation is: 100254502.47611915</t>
  </si>
  <si>
    <t>creation_amount_gtbcps is: -988.1189729422331</t>
  </si>
  <si>
    <t xml:space="preserve">total_amount_gtbcps_new is: 100253514.3571462
</t>
  </si>
  <si>
    <t xml:space="preserve"> 100253514.3571462
</t>
  </si>
  <si>
    <t>payout of tranche of gold is: 248.2593767319662</t>
  </si>
  <si>
    <t xml:space="preserve"> payout of tranche of Treausry Bill Option is: 37.08162800416594</t>
  </si>
  <si>
    <t xml:space="preserve"> payout of tranche of Collar of REIT is: 54.71833967817158
</t>
  </si>
  <si>
    <t xml:space="preserve"> 54.71833967817158
</t>
  </si>
  <si>
    <t>Collateral size of tranche of gold is: 79802101.27053273</t>
  </si>
  <si>
    <t xml:space="preserve"> collateral size of tranche of Treausry Bill Option is: 34912845.08058176</t>
  </si>
  <si>
    <t xml:space="preserve"> collateral size of tranche of Collar of REIT is: 35313206.62696592
</t>
  </si>
  <si>
    <t xml:space="preserve"> 35313206.62696592
</t>
  </si>
  <si>
    <t>Collateral ratio of tranche of gold is: 0.7959416899859932</t>
  </si>
  <si>
    <t xml:space="preserve"> collateral ratio of tranche of Treausry Bill Option is: 0.3482187620781168</t>
  </si>
  <si>
    <t xml:space="preserve"> collateral ratio of tranche of Collar of REIT is: 0.3522119457256767
</t>
  </si>
  <si>
    <t xml:space="preserve"> 0.3522119457256767
</t>
  </si>
  <si>
    <t xml:space="preserve"> current price of reit option is: 6.443785981206943</t>
  </si>
  <si>
    <t xml:space="preserve"> predicted price of reit is: 38.639547203900435
</t>
  </si>
  <si>
    <t xml:space="preserve"> 38.639547203900435
</t>
  </si>
  <si>
    <t>value_ratio_gold_to_total is: 0.52967207544863</t>
  </si>
  <si>
    <t xml:space="preserve"> risk_ratio_to_gold is: 0.7575080675475989</t>
  </si>
  <si>
    <t xml:space="preserve"> risk_ratio_to_gold_before is: 0.7591348905428856
</t>
  </si>
  <si>
    <t xml:space="preserve"> 0.7591348905428856
</t>
  </si>
  <si>
    <t>value_ratio_tb_to_total is: 0.18705610996748653</t>
  </si>
  <si>
    <t xml:space="preserve"> risk_ratio_tb_to_gold is: 0.17891387044518917</t>
  </si>
  <si>
    <t xml:space="preserve"> risk_ratio_tb_to_gold_before is: 0.17714303109082866
</t>
  </si>
  <si>
    <t xml:space="preserve"> 0.17714303109082866
</t>
  </si>
  <si>
    <t>value_ratio_reit_to_total is: 0.28327181458388345</t>
  </si>
  <si>
    <t xml:space="preserve"> risk_ratio_reit_to_gold is: 0.14120408319913144</t>
  </si>
  <si>
    <t xml:space="preserve"> risk_ratio_reit_to_gold_before is: 0.14014591512644084
</t>
  </si>
  <si>
    <t xml:space="preserve"> 0.14014591512644084
</t>
  </si>
  <si>
    <t xml:space="preserve"> delta_reit is: 1.0023130995160099
</t>
  </si>
  <si>
    <t xml:space="preserve"> 1.0023130995160099
</t>
  </si>
  <si>
    <t>delta_gold_risk is: 0.9990752141839534</t>
  </si>
  <si>
    <t xml:space="preserve"> delta_tb_risk is: 1.0015043535981516</t>
  </si>
  <si>
    <t xml:space="preserve"> delta_reit_risk is: 1.0009280988149427
</t>
  </si>
  <si>
    <t xml:space="preserve"> 1.0009280988149427
</t>
  </si>
  <si>
    <t xml:space="preserve">collateral_ratio_tranche_gold is: 0.7966784469136491
</t>
  </si>
  <si>
    <t xml:space="preserve"> 0.7966784469136491
</t>
  </si>
  <si>
    <t xml:space="preserve">collateral_ratio_tranche_tb is: 0.3476957047935488
</t>
  </si>
  <si>
    <t xml:space="preserve"> 0.3476957047935488
</t>
  </si>
  <si>
    <t xml:space="preserve">collateral_ratio_tranche_reit is: 0.3526993071978262
</t>
  </si>
  <si>
    <t xml:space="preserve"> 0.3526993071978262
</t>
  </si>
  <si>
    <t>Total plot size is: 150109835.93923798</t>
  </si>
  <si>
    <t xml:space="preserve"> plot size of gold is: 79802101.27053273</t>
  </si>
  <si>
    <t xml:space="preserve"> plot size of TB is: 34912845.08058176</t>
  </si>
  <si>
    <t xml:space="preserve"> plot size of REIT is: 35394889.58812351
</t>
  </si>
  <si>
    <t xml:space="preserve"> 35394889.58812351
</t>
  </si>
  <si>
    <t xml:space="preserve">collateral ratio is: 1.4972018556507156
</t>
  </si>
  <si>
    <t xml:space="preserve"> 1.4972018556507156
</t>
  </si>
  <si>
    <t>S_gtbcps_0 is: 1.0000672100277683</t>
  </si>
  <si>
    <t xml:space="preserve">stdev_gtbcps is: 0.008325025297474241
</t>
  </si>
  <si>
    <t xml:space="preserve"> 0.008325025297474241
</t>
  </si>
  <si>
    <t>predicted price of GTBCPS is: 1.0000358360066177</t>
  </si>
  <si>
    <t xml:space="preserve"> actual price is: 1.0000672100277683
</t>
  </si>
  <si>
    <t xml:space="preserve"> 1.0000672100277683
</t>
  </si>
  <si>
    <t>predicted amount of GTBCPS is: 100256659.60031311</t>
  </si>
  <si>
    <t xml:space="preserve"> actual amount is: 100253514.3571462
</t>
  </si>
  <si>
    <t>plot sizes of gold is: 79802101.27053273</t>
  </si>
  <si>
    <t xml:space="preserve"> plot sizes of tb is: 34912845.08058176 </t>
  </si>
  <si>
    <t xml:space="preserve"> plot sizes of reit is: 35394889.58812351</t>
  </si>
  <si>
    <t xml:space="preserve"> plot sizes of total is: 150109835.93923798.
</t>
  </si>
  <si>
    <t xml:space="preserve"> 150109835.93923798.
</t>
  </si>
  <si>
    <t>predicted stdevs of gold is: 0.009934972474314826</t>
  </si>
  <si>
    <t xml:space="preserve"> predicted stdevs of tb is: 0.0014694899875414863</t>
  </si>
  <si>
    <t xml:space="preserve"> predicted stdevs of reit is: 0.011457372251055389</t>
  </si>
  <si>
    <t xml:space="preserve"> predicted stdevs of GTBCPS is: 0.008325025297474241.
</t>
  </si>
  <si>
    <t xml:space="preserve"> 0.008325025297474241.
</t>
  </si>
  <si>
    <t>total_value_of_collaterals is: 150108753.73612535</t>
  </si>
  <si>
    <t xml:space="preserve"> createdtionValue_gold is: 2503.5197768575404</t>
  </si>
  <si>
    <t xml:space="preserve"> createdValue_tb is: 1095.2790299161131</t>
  </si>
  <si>
    <t xml:space="preserve"> createdValue_reit is: 1110.399902458455
</t>
  </si>
  <si>
    <t xml:space="preserve"> 1110.399902458455
</t>
  </si>
  <si>
    <t>plotValue_gold_after_creation is: 79798808.0963785</t>
  </si>
  <si>
    <t xml:space="preserve"> plotValue_tb_after_creation  is: 34911631.98637556</t>
  </si>
  <si>
    <t xml:space="preserve"> plotValue_reit_after_creation  is: 35393604.45466208</t>
  </si>
  <si>
    <t xml:space="preserve">total_value_after_creation is: 150104044.53741616
</t>
  </si>
  <si>
    <t xml:space="preserve"> 150104044.53741616
</t>
  </si>
  <si>
    <t>total_amount_gtncps_before_creation is: 100253514.3571462</t>
  </si>
  <si>
    <t>creation_amount_gtbcps is: 3145.243166908622</t>
  </si>
  <si>
    <t xml:space="preserve">total_amount_gtbcps_new is: 100256659.60031311
</t>
  </si>
  <si>
    <t xml:space="preserve"> 100256659.60031311
</t>
  </si>
  <si>
    <t>payout of tranche of gold is: -789.6543773784455</t>
  </si>
  <si>
    <t xml:space="preserve"> payout of tranche of Treausry Bill Option is: -117.81517628934957</t>
  </si>
  <si>
    <t xml:space="preserve"> payout of tranche of Collar of REIT is: -174.7335589718928
</t>
  </si>
  <si>
    <t xml:space="preserve"> -174.7335589718928
</t>
  </si>
  <si>
    <t>Collateral size of tranche of gold is: 79798808.0963785</t>
  </si>
  <si>
    <t xml:space="preserve"> collateral size of tranche of Treausry Bill Option is: 34911631.98637556</t>
  </si>
  <si>
    <t xml:space="preserve"> collateral size of tranche of Collar of REIT is: 35393604.45466208
</t>
  </si>
  <si>
    <t xml:space="preserve"> 35393604.45466208
</t>
  </si>
  <si>
    <t>Collateral ratio of tranche of gold is: 0.7959416589025641</t>
  </si>
  <si>
    <t xml:space="preserve"> collateral ratio of tranche of Treausry Bill Option is: 0.3482210190993149</t>
  </si>
  <si>
    <t xml:space="preserve"> collateral ratio of tranche of Collar of REIT is: 0.3530283837091973
</t>
  </si>
  <si>
    <t xml:space="preserve"> 0.3530283837091973
</t>
  </si>
  <si>
    <t xml:space="preserve"> current price of reit option is: 6.587578514289902</t>
  </si>
  <si>
    <t xml:space="preserve"> predicted price of reit is: 38.74786083235783
</t>
  </si>
  <si>
    <t xml:space="preserve"> 38.74786083235783
</t>
  </si>
  <si>
    <t>value_ratio_gold_to_total is: 0.5241937720013891</t>
  </si>
  <si>
    <t xml:space="preserve"> risk_ratio_to_gold is: 0.7518319307686925</t>
  </si>
  <si>
    <t xml:space="preserve"> risk_ratio_to_gold_before is: 0.7575080675475989
</t>
  </si>
  <si>
    <t xml:space="preserve"> 0.7575080675475989
</t>
  </si>
  <si>
    <t>value_ratio_tb_to_total is: 0.18512142211143065</t>
  </si>
  <si>
    <t xml:space="preserve"> risk_ratio_tb_to_gold is: 0.18453126005737944</t>
  </si>
  <si>
    <t xml:space="preserve"> risk_ratio_tb_to_gold_before is: 0.17891387044518917
</t>
  </si>
  <si>
    <t xml:space="preserve"> 0.17891387044518917
</t>
  </si>
  <si>
    <t>value_ratio_reit_to_total is: 0.2906848058871803</t>
  </si>
  <si>
    <t xml:space="preserve"> risk_ratio_reit_to_gold is: 0.14555324297453356</t>
  </si>
  <si>
    <t xml:space="preserve"> risk_ratio_reit_to_gold_before is: 0.14120408319913144
</t>
  </si>
  <si>
    <t xml:space="preserve"> 0.14120408319913144
</t>
  </si>
  <si>
    <t xml:space="preserve"> delta_reit is: 1.0032172824460077
</t>
  </si>
  <si>
    <t xml:space="preserve"> 1.0032172824460077
</t>
  </si>
  <si>
    <t>delta_gold_risk is: 0.9967703495171849</t>
  </si>
  <si>
    <t xml:space="preserve"> delta_tb_risk is: 1.0047648855043745</t>
  </si>
  <si>
    <t xml:space="preserve"> delta_reit_risk is: 1.0038110271768483
</t>
  </si>
  <si>
    <t xml:space="preserve"> 1.0038110271768483
</t>
  </si>
  <si>
    <t xml:space="preserve">collateral_ratio_tranche_gold is: 0.7985206013482462
</t>
  </si>
  <si>
    <t xml:space="preserve"> 0.7985206013482462
</t>
  </si>
  <si>
    <t xml:space="preserve">collateral_ratio_tranche_tb is: 0.3465696543769183
</t>
  </si>
  <si>
    <t xml:space="preserve"> 0.3465696543769183
</t>
  </si>
  <si>
    <t xml:space="preserve">collateral_ratio_tranche_reit is: 0.3528195707583633
</t>
  </si>
  <si>
    <t xml:space="preserve"> 0.3528195707583633
</t>
  </si>
  <si>
    <t>Total plot size is: 150217915.7597291</t>
  </si>
  <si>
    <t xml:space="preserve"> plot size of gold is: 79798808.0963785</t>
  </si>
  <si>
    <t xml:space="preserve"> plot size of TB is: 34911631.98637556</t>
  </si>
  <si>
    <t xml:space="preserve"> plot size of REIT is: 35507475.676975004
</t>
  </si>
  <si>
    <t xml:space="preserve"> 35507475.676975004
</t>
  </si>
  <si>
    <t xml:space="preserve">collateral ratio is: 1.49827984835376
</t>
  </si>
  <si>
    <t xml:space="preserve"> 1.49827984835376
</t>
  </si>
  <si>
    <t>S_gtbcps_0 is: 1.0000358360066177</t>
  </si>
  <si>
    <t xml:space="preserve">stdev_gtbcps is: 0.007928866312947513
</t>
  </si>
  <si>
    <t xml:space="preserve"> 0.007928866312947513
</t>
  </si>
  <si>
    <t>predicted price of GTBCPS is: 1.0000225602318393</t>
  </si>
  <si>
    <t xml:space="preserve"> actual price is: 1.0000358360066177
</t>
  </si>
  <si>
    <t xml:space="preserve"> 1.0000358360066177
</t>
  </si>
  <si>
    <t>predicted amount of GTBCPS is: 100257990.55511935</t>
  </si>
  <si>
    <t xml:space="preserve"> actual amount is: 100256659.60031311
</t>
  </si>
  <si>
    <t>plot sizes of gold is: 79798808.0963785</t>
  </si>
  <si>
    <t xml:space="preserve"> plot sizes of tb is: 34911631.98637556 </t>
  </si>
  <si>
    <t xml:space="preserve"> plot sizes of reit is: 35507475.676975004</t>
  </si>
  <si>
    <t xml:space="preserve"> plot sizes of total is: 150217915.7597291.
</t>
  </si>
  <si>
    <t xml:space="preserve"> 150217915.7597291.
</t>
  </si>
  <si>
    <t>predicted stdevs of gold is: 0.009968933951635811</t>
  </si>
  <si>
    <t xml:space="preserve"> predicted stdevs of tb is: 0.0015187612949338046</t>
  </si>
  <si>
    <t xml:space="preserve"> predicted stdevs of reit is: 0.009646596458972657</t>
  </si>
  <si>
    <t xml:space="preserve"> predicted stdevs of GTBCPS is: 0.007928866312947513.
</t>
  </si>
  <si>
    <t xml:space="preserve"> 0.007928866312947513.
</t>
  </si>
  <si>
    <t>total_value_of_collaterals is: 150217458.1763506</t>
  </si>
  <si>
    <t xml:space="preserve"> createdtionValue_gold is: 1059.348608997922</t>
  </si>
  <si>
    <t xml:space="preserve"> createdValue_tb is: 463.46169584980646</t>
  </si>
  <si>
    <t xml:space="preserve"> createdValue_reit is: 471.37137417578634
</t>
  </si>
  <si>
    <t xml:space="preserve"> 471.37137417578634
</t>
  </si>
  <si>
    <t>plotValue_gold_after_creation is: 79797414.9028657</t>
  </si>
  <si>
    <t xml:space="preserve"> plotValue_tb_after_creation  is: 34911118.89059487</t>
  </si>
  <si>
    <t xml:space="preserve"> plotValue_reit_after_creation  is: 35506930.201211</t>
  </si>
  <si>
    <t xml:space="preserve">total_value_after_creation is: 150215463.99467155
</t>
  </si>
  <si>
    <t xml:space="preserve"> 150215463.99467155
</t>
  </si>
  <si>
    <t>total_amount_gtncps_before_creation is: 100256659.60031311</t>
  </si>
  <si>
    <t>creation_amount_gtbcps is: 1330.9548062384129</t>
  </si>
  <si>
    <t xml:space="preserve">total_amount_gtbcps_new is: 100257990.55511935
</t>
  </si>
  <si>
    <t xml:space="preserve"> 100257990.55511935
</t>
  </si>
  <si>
    <t>payout of tranche of gold is: -333.84490381727244</t>
  </si>
  <si>
    <t xml:space="preserve"> payout of tranche of Treausry Bill Option is: -49.63408483972629</t>
  </si>
  <si>
    <t xml:space="preserve"> payout of tranche of Collar of REIT is: -74.10438983357929
</t>
  </si>
  <si>
    <t xml:space="preserve"> -74.10438983357929
</t>
  </si>
  <si>
    <t>Collateral size of tranche of gold is: 79797414.9028657</t>
  </si>
  <si>
    <t xml:space="preserve"> collateral size of tranche of Treausry Bill Option is: 34911118.89059487</t>
  </si>
  <si>
    <t xml:space="preserve"> collateral size of tranche of Collar of REIT is: 35506930.201211
</t>
  </si>
  <si>
    <t xml:space="preserve"> 35506930.201211
</t>
  </si>
  <si>
    <t>Collateral ratio of tranche of gold is: 0.7959133589071742</t>
  </si>
  <si>
    <t xml:space="preserve"> collateral ratio of tranche of Treausry Bill Option is: 0.34820959968746057</t>
  </si>
  <si>
    <t xml:space="preserve"> collateral ratio of tranche of Collar of REIT is: 0.35415232580314504
</t>
  </si>
  <si>
    <t xml:space="preserve"> 0.35415232580314504
</t>
  </si>
  <si>
    <t xml:space="preserve"> current price of reit option is: 6.595634555757172</t>
  </si>
  <si>
    <t xml:space="preserve"> predicted price of reit is: 38.63421870429473
</t>
  </si>
  <si>
    <t xml:space="preserve"> 38.63421870429473
</t>
  </si>
  <si>
    <t>value_ratio_gold_to_total is: 0.5264743211379914</t>
  </si>
  <si>
    <t xml:space="preserve"> risk_ratio_to_gold is: 0.7521385688851924</t>
  </si>
  <si>
    <t xml:space="preserve"> risk_ratio_to_gold_before is: 0.7518319307686925
</t>
  </si>
  <si>
    <t xml:space="preserve"> 0.7518319307686925
</t>
  </si>
  <si>
    <t>value_ratio_tb_to_total is: 0.18592680844357065</t>
  </si>
  <si>
    <t xml:space="preserve"> risk_ratio_tb_to_gold is: 0.18433973645623813</t>
  </si>
  <si>
    <t xml:space="preserve"> risk_ratio_tb_to_gold_before is: 0.18453126005737944
</t>
  </si>
  <si>
    <t xml:space="preserve"> 0.18453126005737944
</t>
  </si>
  <si>
    <t>value_ratio_reit_to_total is: 0.28759887041843796</t>
  </si>
  <si>
    <t xml:space="preserve"> risk_ratio_reit_to_gold is: 0.14520250664689596</t>
  </si>
  <si>
    <t xml:space="preserve"> risk_ratio_reit_to_gold_before is: 0.14555324297453356
</t>
  </si>
  <si>
    <t xml:space="preserve"> 0.14555324297453356
</t>
  </si>
  <si>
    <t xml:space="preserve"> delta_reit is: 1.0001796716445046
</t>
  </si>
  <si>
    <t xml:space="preserve"> 1.0001796716445046
</t>
  </si>
  <si>
    <t>delta_gold_risk is: 1.000175038547428</t>
  </si>
  <si>
    <t xml:space="preserve"> delta_tb_risk is: 0.9998383127507062</t>
  </si>
  <si>
    <t xml:space="preserve"> delta_reit_risk is: 0.9996938279998868
</t>
  </si>
  <si>
    <t xml:space="preserve"> 0.9996938279998868
</t>
  </si>
  <si>
    <t xml:space="preserve">collateral_ratio_tranche_gold is: 0.7957740677702708
</t>
  </si>
  <si>
    <t xml:space="preserve"> 0.7957740677702708
</t>
  </si>
  <si>
    <t xml:space="preserve">collateral_ratio_tranche_tb is: 0.34826590984444605
</t>
  </si>
  <si>
    <t xml:space="preserve"> 0.34826590984444605
</t>
  </si>
  <si>
    <t xml:space="preserve">collateral_ratio_tranche_reit is: 0.3543244411567652
</t>
  </si>
  <si>
    <t xml:space="preserve"> 0.3543244411567652
</t>
  </si>
  <si>
    <t>Total plot size is: 150221843.58321214</t>
  </si>
  <si>
    <t xml:space="preserve"> plot size of gold is: 79797414.9028657</t>
  </si>
  <si>
    <t xml:space="preserve"> plot size of TB is: 34911118.89059487</t>
  </si>
  <si>
    <t xml:space="preserve"> plot size of REIT is: 35513309.78975156
</t>
  </si>
  <si>
    <t xml:space="preserve"> 35513309.78975156
</t>
  </si>
  <si>
    <t xml:space="preserve">collateral ratio is: 1.4983190246313882
</t>
  </si>
  <si>
    <t xml:space="preserve"> 1.4983190246313882
</t>
  </si>
  <si>
    <t>S_gtbcps_0 is: 1.0000225602318393</t>
  </si>
  <si>
    <t xml:space="preserve">stdev_gtbcps is: 0.00810333100383266
</t>
  </si>
  <si>
    <t xml:space="preserve"> 0.00810333100383266
</t>
  </si>
  <si>
    <t>predicted price of GTBCPS is: 1.0000450131225613</t>
  </si>
  <si>
    <t xml:space="preserve"> actual price is: 1.0000225602318393
</t>
  </si>
  <si>
    <t xml:space="preserve"> 1.0000225602318393
</t>
  </si>
  <si>
    <t>predicted amount of GTBCPS is: 100255739.57473707</t>
  </si>
  <si>
    <t xml:space="preserve"> actual amount is: 100257990.55511935
</t>
  </si>
  <si>
    <t>plot sizes of gold is: 79797414.9028657</t>
  </si>
  <si>
    <t xml:space="preserve"> plot sizes of tb is: 34911118.89059487 </t>
  </si>
  <si>
    <t xml:space="preserve"> plot sizes of reit is: 35513309.78975156</t>
  </si>
  <si>
    <t xml:space="preserve"> plot sizes of total is: 150221843.58321214.
</t>
  </si>
  <si>
    <t xml:space="preserve"> 150221843.58321214.
</t>
  </si>
  <si>
    <t>predicted stdevs of gold is: 0.01032048965822967</t>
  </si>
  <si>
    <t xml:space="preserve"> predicted stdevs of tb is: 0.0015689592208198123</t>
  </si>
  <si>
    <t xml:space="preserve"> predicted stdevs of reit is: 0.00954500741881123</t>
  </si>
  <si>
    <t xml:space="preserve"> predicted stdevs of GTBCPS is: 0.00810333100383266.
</t>
  </si>
  <si>
    <t xml:space="preserve"> 0.00810333100383266.
</t>
  </si>
  <si>
    <t>total_value_of_collaterals is: 150222618.17732608</t>
  </si>
  <si>
    <t xml:space="preserve"> createdtionValue_gold is: -1791.6556404646983</t>
  </si>
  <si>
    <t xml:space="preserve"> createdValue_tb is: -783.8398588085046</t>
  </si>
  <si>
    <t xml:space="preserve"> createdValue_reit is: -797.3604382126152
</t>
  </si>
  <si>
    <t xml:space="preserve"> -797.3604382126152
</t>
  </si>
  <si>
    <t>plotValue_gold_after_creation is: 79799804.42917378</t>
  </si>
  <si>
    <t xml:space="preserve"> plotValue_tb_after_creation  is: 34911992.02793585</t>
  </si>
  <si>
    <t xml:space="preserve"> plotValue_reit_after_creation  is: 35514194.576153934</t>
  </si>
  <si>
    <t xml:space="preserve">total_value_after_creation is: 150225991.03326356
</t>
  </si>
  <si>
    <t xml:space="preserve"> 150225991.03326356
</t>
  </si>
  <si>
    <t>total_amount_gtncps_before_creation is: 100257990.55511935</t>
  </si>
  <si>
    <t>creation_amount_gtbcps is: -2250.9803822785616</t>
  </si>
  <si>
    <t xml:space="preserve">total_amount_gtbcps_new is: 100255739.57473707
</t>
  </si>
  <si>
    <t xml:space="preserve"> 100255739.57473707
</t>
  </si>
  <si>
    <t>payout of tranche of gold is: 597.8706676146884</t>
  </si>
  <si>
    <t xml:space="preserve"> payout of tranche of Treausry Bill Option is: 89.29748216950416</t>
  </si>
  <si>
    <t xml:space="preserve"> payout of tranche of Collar of REIT is: 87.42596416075332
</t>
  </si>
  <si>
    <t xml:space="preserve"> 87.42596416075332
</t>
  </si>
  <si>
    <t>Collateral size of tranche of gold is: 79799804.42917378</t>
  </si>
  <si>
    <t xml:space="preserve"> collateral size of tranche of Treausry Bill Option is: 34911992.02793585</t>
  </si>
  <si>
    <t xml:space="preserve"> collateral size of tranche of Collar of REIT is: 35514194.576153934
</t>
  </si>
  <si>
    <t xml:space="preserve"> 35514194.576153934
</t>
  </si>
  <si>
    <t>Collateral ratio of tranche of gold is: 0.7959087561066592</t>
  </si>
  <si>
    <t xml:space="preserve"> collateral ratio of tranche of Treausry Bill Option is: 0.34820586775776036</t>
  </si>
  <si>
    <t xml:space="preserve"> collateral ratio of tranche of Collar of REIT is: 0.3542121266014386
</t>
  </si>
  <si>
    <t xml:space="preserve"> 0.3542121266014386
</t>
  </si>
  <si>
    <t xml:space="preserve"> current price of reit option is: 6.56266233783608</t>
  </si>
  <si>
    <t xml:space="preserve"> predicted price of reit is: 38.723309942064276
</t>
  </si>
  <si>
    <t xml:space="preserve"> 38.723309942064276
</t>
  </si>
  <si>
    <t>value_ratio_gold_to_total is: 0.5252597440660364</t>
  </si>
  <si>
    <t xml:space="preserve"> risk_ratio_to_gold is: 0.7513524988040301</t>
  </si>
  <si>
    <t xml:space="preserve"> risk_ratio_to_gold_before is: 0.7521385688851924
</t>
  </si>
  <si>
    <t xml:space="preserve"> 0.7521385688851924
</t>
  </si>
  <si>
    <t>value_ratio_tb_to_total is: 0.185497875009345</t>
  </si>
  <si>
    <t xml:space="preserve"> risk_ratio_tb_to_gold is: 0.18500284875879353</t>
  </si>
  <si>
    <t xml:space="preserve"> risk_ratio_tb_to_gold_before is: 0.18433973645623813
</t>
  </si>
  <si>
    <t xml:space="preserve"> 0.18433973645623813
</t>
  </si>
  <si>
    <t>value_ratio_reit_to_total is: 0.2892423809246186</t>
  </si>
  <si>
    <t xml:space="preserve"> risk_ratio_reit_to_gold is: 0.14593037045822654</t>
  </si>
  <si>
    <t xml:space="preserve"> risk_ratio_reit_to_gold_before is: 0.14520250664689596
</t>
  </si>
  <si>
    <t xml:space="preserve"> 0.14520250664689596
</t>
  </si>
  <si>
    <t xml:space="preserve"> delta_reit is: 0.9992647619272709
</t>
  </si>
  <si>
    <t xml:space="preserve"> 0.9992647619272709
</t>
  </si>
  <si>
    <t>delta_gold_risk is: 0.9995513653456859</t>
  </si>
  <si>
    <t xml:space="preserve"> delta_tb_risk is: 1.0005599004087624</t>
  </si>
  <si>
    <t xml:space="preserve"> delta_reit_risk is: 1.0006355765090507
</t>
  </si>
  <si>
    <t xml:space="preserve"> 1.0006355765090507
</t>
  </si>
  <si>
    <t xml:space="preserve">collateral_ratio_tranche_gold is: 0.7962659886232073
</t>
  </si>
  <si>
    <t xml:space="preserve"> 0.7962659886232073
</t>
  </si>
  <si>
    <t xml:space="preserve">collateral_ratio_tranche_tb is: 0.3480110162475096
</t>
  </si>
  <si>
    <t xml:space="preserve"> 0.3480110162475096
</t>
  </si>
  <si>
    <t xml:space="preserve">collateral_ratio_tranche_reit is: 0.3537268758672178
</t>
  </si>
  <si>
    <t xml:space="preserve"> 0.3537268758672178
</t>
  </si>
  <si>
    <t>Total plot size is: 150199879.64528888</t>
  </si>
  <si>
    <t xml:space="preserve"> plot size of gold is: 79799804.42917378</t>
  </si>
  <si>
    <t xml:space="preserve"> plot size of TB is: 34911992.02793585</t>
  </si>
  <si>
    <t xml:space="preserve"> plot size of REIT is: 35488083.18817923
</t>
  </si>
  <si>
    <t xml:space="preserve"> 35488083.18817923
</t>
  </si>
  <si>
    <t xml:space="preserve">collateral ratio is: 1.4980999553851237
</t>
  </si>
  <si>
    <t xml:space="preserve"> 1.4980999553851237
</t>
  </si>
  <si>
    <t>S_gtbcps_0 is: 1.0000450131225613</t>
  </si>
  <si>
    <t xml:space="preserve">stdev_gtbcps is: 0.008420350474745684
</t>
  </si>
  <si>
    <t xml:space="preserve"> 0.008420350474745684
</t>
  </si>
  <si>
    <t>predicted price of GTBCPS is: 1.0000777568856813</t>
  </si>
  <si>
    <t xml:space="preserve"> actual price is: 1.0000450131225613
</t>
  </si>
  <si>
    <t xml:space="preserve"> 1.0000450131225613
</t>
  </si>
  <si>
    <t>predicted amount of GTBCPS is: 100252457.07978559</t>
  </si>
  <si>
    <t xml:space="preserve"> actual amount is: 100255739.57473707
</t>
  </si>
  <si>
    <t>plot sizes of gold is: 79799804.42917378</t>
  </si>
  <si>
    <t xml:space="preserve"> plot sizes of tb is: 34911992.02793585 </t>
  </si>
  <si>
    <t xml:space="preserve"> plot sizes of reit is: 35488083.18817923</t>
  </si>
  <si>
    <t xml:space="preserve"> plot sizes of total is: 150199879.64528885.
</t>
  </si>
  <si>
    <t xml:space="preserve"> 150199879.64528885.
</t>
  </si>
  <si>
    <t>predicted stdevs of gold is: 0.010714372563109665</t>
  </si>
  <si>
    <t xml:space="preserve"> predicted stdevs of tb is: 0.0016110378566516364</t>
  </si>
  <si>
    <t xml:space="preserve"> predicted stdevs of reit is: 0.00996070286687432</t>
  </si>
  <si>
    <t xml:space="preserve"> predicted stdevs of GTBCPS is: 0.008420350474745684.
</t>
  </si>
  <si>
    <t xml:space="preserve"> 0.008420350474745684.
</t>
  </si>
  <si>
    <t>total_value_of_collaterals is: 150201009.0651034</t>
  </si>
  <si>
    <t xml:space="preserve"> createdtionValue_gold is: -2612.855240643658</t>
  </si>
  <si>
    <t xml:space="preserve"> createdValue_tb is: -1143.1025668913665</t>
  </si>
  <si>
    <t xml:space="preserve"> createdValue_reit is: -1161.9670825453616
</t>
  </si>
  <si>
    <t xml:space="preserve"> -1161.9670825453616
</t>
  </si>
  <si>
    <t>plotValue_gold_after_creation is: 79803240.65199947</t>
  </si>
  <si>
    <t xml:space="preserve"> plotValue_tb_after_creation  is: 34913258.03915484</t>
  </si>
  <si>
    <t xml:space="preserve"> plotValue_reit_after_creation  is: 35489428.29883916</t>
  </si>
  <si>
    <t xml:space="preserve">total_value_after_creation is: 150205926.98999348
</t>
  </si>
  <si>
    <t xml:space="preserve"> 150205926.98999348
</t>
  </si>
  <si>
    <t>total_amount_gtncps_before_creation is: 100255739.57473707</t>
  </si>
  <si>
    <t>creation_amount_gtbcps is: -3282.4949514865875</t>
  </si>
  <si>
    <t xml:space="preserve">total_amount_gtbcps_new is: 100252457.07978559
</t>
  </si>
  <si>
    <t xml:space="preserve"> 100252457.07978559
</t>
  </si>
  <si>
    <t>payout of tranche of gold is: 823.3675850525341</t>
  </si>
  <si>
    <t xml:space="preserve"> payout of tranche of Treausry Bill Option is: 122.90865210159414</t>
  </si>
  <si>
    <t xml:space="preserve"> payout of tranche of Collar of REIT is: 183.14357738307572
</t>
  </si>
  <si>
    <t xml:space="preserve"> 183.14357738307572
</t>
  </si>
  <si>
    <t>Collateral size of tranche of gold is: 79803240.65199947</t>
  </si>
  <si>
    <t xml:space="preserve"> collateral size of tranche of Treausry Bill Option is: 34913258.03915484</t>
  </si>
  <si>
    <t xml:space="preserve"> collateral size of tranche of Collar of REIT is: 35489428.29883916
</t>
  </si>
  <si>
    <t xml:space="preserve"> 35489428.29883916
</t>
  </si>
  <si>
    <t>Collateral ratio of tranche of gold is: 0.795934838458967</t>
  </si>
  <si>
    <t xml:space="preserve"> collateral ratio of tranche of Treausry Bill Option is: 0.3482149117057779</t>
  </si>
  <si>
    <t xml:space="preserve"> collateral ratio of tranche of Collar of REIT is: 0.3539614701014012
</t>
  </si>
  <si>
    <t xml:space="preserve"> 0.3539614701014012
</t>
  </si>
  <si>
    <t xml:space="preserve"> current price of reit option is: 6.5587060272241615</t>
  </si>
  <si>
    <t xml:space="preserve"> predicted price of reit is: 38.75604322149156
</t>
  </si>
  <si>
    <t xml:space="preserve"> 38.75604322149156
</t>
  </si>
  <si>
    <t>value_ratio_gold_to_total is: 0.5246390987138446</t>
  </si>
  <si>
    <t xml:space="preserve"> risk_ratio_to_gold is: 0.7490393291140827</t>
  </si>
  <si>
    <t xml:space="preserve"> risk_ratio_to_gold_before is: 0.7513524988040301
</t>
  </si>
  <si>
    <t xml:space="preserve"> 0.7513524988040301
</t>
  </si>
  <si>
    <t>value_ratio_tb_to_total is: 0.18527869127164834</t>
  </si>
  <si>
    <t xml:space="preserve"> risk_ratio_tb_to_gold is: 0.18726622545038876</t>
  </si>
  <si>
    <t xml:space="preserve"> risk_ratio_tb_to_gold_before is: 0.18500284875879353
</t>
  </si>
  <si>
    <t xml:space="preserve"> 0.18500284875879353
</t>
  </si>
  <si>
    <t>value_ratio_reit_to_total is: 0.290082210014507</t>
  </si>
  <si>
    <t xml:space="preserve"> risk_ratio_reit_to_gold is: 0.14777715762902585</t>
  </si>
  <si>
    <t xml:space="preserve"> risk_ratio_reit_to_gold_before is: 0.14593037045822654
</t>
  </si>
  <si>
    <t xml:space="preserve"> 0.14593037045822654
</t>
  </si>
  <si>
    <t xml:space="preserve"> delta_reit is: 0.9999117144484277
</t>
  </si>
  <si>
    <t xml:space="preserve"> 0.9999117144484277
</t>
  </si>
  <si>
    <t>delta_gold_risk is: 0.9986792095300477</t>
  </si>
  <si>
    <t xml:space="preserve"> delta_tb_risk is: 1.0019100179328395</t>
  </si>
  <si>
    <t xml:space="preserve"> delta_reit_risk is: 1.0016116050489705
</t>
  </si>
  <si>
    <t xml:space="preserve"> 1.0016116050489705
</t>
  </si>
  <si>
    <t xml:space="preserve">collateral_ratio_tranche_gold is: 0.7969874919429965
</t>
  </si>
  <si>
    <t xml:space="preserve"> 0.7969874919429965
</t>
  </si>
  <si>
    <t xml:space="preserve">collateral_ratio_tranche_tb is: 0.34755108290485187
</t>
  </si>
  <si>
    <t xml:space="preserve"> 0.34755108290485187
</t>
  </si>
  <si>
    <t xml:space="preserve">collateral_ratio_tranche_reit is: 0.3533607424611197
</t>
  </si>
  <si>
    <t xml:space="preserve"> 0.3533607424611197
</t>
  </si>
  <si>
    <t>Total plot size is: 150202793.7862411</t>
  </si>
  <si>
    <t xml:space="preserve"> plot size of gold is: 79803240.65199947</t>
  </si>
  <si>
    <t xml:space="preserve"> plot size of TB is: 34913258.03915484</t>
  </si>
  <si>
    <t xml:space="preserve"> plot size of REIT is: 35486295.09508681
</t>
  </si>
  <si>
    <t xml:space="preserve"> 35486295.09508681
</t>
  </si>
  <si>
    <t xml:space="preserve">collateral ratio is: 1.4981290211502953
</t>
  </si>
  <si>
    <t xml:space="preserve"> 1.4981290211502953
</t>
  </si>
  <si>
    <t>S_gtbcps_0 is: 1.0000777568856813</t>
  </si>
  <si>
    <t xml:space="preserve">stdev_gtbcps is: 0.008632061266063647
</t>
  </si>
  <si>
    <t xml:space="preserve"> 0.008632061266063647
</t>
  </si>
  <si>
    <t>predicted price of GTBCPS is: 1.0000801138322644</t>
  </si>
  <si>
    <t xml:space="preserve"> actual price is: 1.0000777568856813
</t>
  </si>
  <si>
    <t xml:space="preserve"> 1.0000777568856813
</t>
  </si>
  <si>
    <t>predicted amount of GTBCPS is: 100252220.80902798</t>
  </si>
  <si>
    <t xml:space="preserve"> actual amount is: 100252457.07978559
</t>
  </si>
  <si>
    <t>plot sizes of gold is: 79803240.65199947</t>
  </si>
  <si>
    <t xml:space="preserve"> plot sizes of tb is: 34913258.03915484 </t>
  </si>
  <si>
    <t xml:space="preserve"> plot sizes of reit is: 35486295.09508681</t>
  </si>
  <si>
    <t xml:space="preserve"> plot sizes of total is: 150202793.7862411.
</t>
  </si>
  <si>
    <t xml:space="preserve"> 150202793.7862411.
</t>
  </si>
  <si>
    <t>predicted stdevs of gold is: 0.011067624949206708</t>
  </si>
  <si>
    <t xml:space="preserve"> predicted stdevs of tb is: 0.0016638238657087183</t>
  </si>
  <si>
    <t xml:space="preserve"> predicted stdevs of reit is: 0.01001056515260541</t>
  </si>
  <si>
    <t xml:space="preserve"> predicted stdevs of GTBCPS is: 0.008632061266063647.
</t>
  </si>
  <si>
    <t xml:space="preserve"> 0.008632061266063647.
</t>
  </si>
  <si>
    <t>total_value_of_collaterals is: 150202875.06435016</t>
  </si>
  <si>
    <t xml:space="preserve"> createdtionValue_gold is: -188.07749075235867</t>
  </si>
  <si>
    <t xml:space="preserve"> createdValue_tb is: -82.28230705012862</t>
  </si>
  <si>
    <t xml:space="preserve"> createdValue_reit is: -83.63282998034002
</t>
  </si>
  <si>
    <t xml:space="preserve"> -83.63282998034002
</t>
  </si>
  <si>
    <t>plotValue_gold_after_creation is: 79803488.00164652</t>
  </si>
  <si>
    <t xml:space="preserve"> plotValue_tb_after_creation  is: 34913349.15813356</t>
  </si>
  <si>
    <t xml:space="preserve"> plotValue_reit_after_creation  is: 35486391.897197865</t>
  </si>
  <si>
    <t xml:space="preserve">total_value_after_creation is: 150203229.05697796
</t>
  </si>
  <si>
    <t xml:space="preserve"> 150203229.05697796
</t>
  </si>
  <si>
    <t>total_amount_gtncps_before_creation is: 100252457.07978559</t>
  </si>
  <si>
    <t>creation_amount_gtbcps is: -236.2707576006651</t>
  </si>
  <si>
    <t xml:space="preserve">total_amount_gtbcps_new is: 100252220.80902798
</t>
  </si>
  <si>
    <t xml:space="preserve"> 100252220.80902798
</t>
  </si>
  <si>
    <t>payout of tranche of gold is: 59.27215630154142</t>
  </si>
  <si>
    <t xml:space="preserve"> payout of tranche of Treausry Bill Option is: 8.836671665570835</t>
  </si>
  <si>
    <t xml:space="preserve"> payout of tranche of Collar of REIT is: 13.169281071647678
</t>
  </si>
  <si>
    <t xml:space="preserve"> 13.169281071647678
</t>
  </si>
  <si>
    <t>Collateral size of tranche of gold is: 79803488.00164652</t>
  </si>
  <si>
    <t xml:space="preserve"> collateral size of tranche of Treausry Bill Option is: 34913349.15813356</t>
  </si>
  <si>
    <t xml:space="preserve"> collateral size of tranche of Collar of REIT is: 35486391.897197865
</t>
  </si>
  <si>
    <t xml:space="preserve"> 35486391.897197865
</t>
  </si>
  <si>
    <t>Collateral ratio of tranche of gold is: 0.7959614903706969</t>
  </si>
  <si>
    <t xml:space="preserve"> collateral ratio of tranche of Treausry Bill Option is: 0.3482264011964883</t>
  </si>
  <si>
    <t xml:space="preserve"> collateral ratio of tranche of Collar of REIT is: 0.35394194025440917
</t>
  </si>
  <si>
    <t xml:space="preserve"> 0.35394194025440917
</t>
  </si>
  <si>
    <t>min</t>
  </si>
  <si>
    <t>max</t>
  </si>
  <si>
    <t>average</t>
  </si>
  <si>
    <t>stdev</t>
  </si>
  <si>
    <t>var</t>
  </si>
  <si>
    <t xml:space="preserve"> 99999669.87230846
</t>
  </si>
  <si>
    <t xml:space="preserve"> 100001764.26550741
</t>
  </si>
  <si>
    <t xml:space="preserve"> 100001220.20662747
</t>
  </si>
  <si>
    <t xml:space="preserve"> 100001033.09252815
</t>
  </si>
  <si>
    <t xml:space="preserve"> 100000486.15811072
</t>
  </si>
  <si>
    <t xml:space="preserve"> 100001086.83395775
</t>
  </si>
  <si>
    <t xml:space="preserve"> 99995625.61482699
</t>
  </si>
  <si>
    <t xml:space="preserve"> 100001577.88565947
</t>
  </si>
  <si>
    <t xml:space="preserve"> 99999599.26435249
</t>
  </si>
  <si>
    <t xml:space="preserve"> 100004797.14295085
</t>
  </si>
  <si>
    <t xml:space="preserve"> 100007318.80806023
</t>
  </si>
  <si>
    <t xml:space="preserve"> 100008294.56726547
</t>
  </si>
  <si>
    <t xml:space="preserve"> 100007988.80853646
</t>
  </si>
  <si>
    <t xml:space="preserve"> 100008942.33161195
</t>
  </si>
  <si>
    <t xml:space="preserve"> 100009177.47673087
</t>
  </si>
  <si>
    <t xml:space="preserve"> 100007554.07198305
</t>
  </si>
  <si>
    <t xml:space="preserve"> 100012169.23624922
</t>
  </si>
  <si>
    <t xml:space="preserve"> 100014470.7216965
</t>
  </si>
  <si>
    <t xml:space="preserve"> 100014167.62160389
</t>
  </si>
  <si>
    <t xml:space="preserve"> 100017430.76923965
</t>
  </si>
  <si>
    <t xml:space="preserve"> 100021971.42548683
</t>
  </si>
  <si>
    <t xml:space="preserve"> 100021171.32446949
</t>
  </si>
  <si>
    <t xml:space="preserve"> 100025413.20626396
</t>
  </si>
  <si>
    <t xml:space="preserve"> 100028158.01982786
</t>
  </si>
  <si>
    <t xml:space="preserve"> 100027347.3832276
</t>
  </si>
  <si>
    <t xml:space="preserve"> 100028670.2416085
</t>
  </si>
  <si>
    <t xml:space="preserve"> 100028582.69462322
</t>
  </si>
  <si>
    <t xml:space="preserve"> 100030692.31740594
</t>
  </si>
  <si>
    <t xml:space="preserve"> 100029499.66207725
</t>
  </si>
  <si>
    <t xml:space="preserve"> 100026151.67325787
</t>
  </si>
  <si>
    <t xml:space="preserve"> 100027544.5918643
</t>
  </si>
  <si>
    <t xml:space="preserve"> 100026282.67738649
</t>
  </si>
  <si>
    <t xml:space="preserve"> 100028766.16447183
</t>
  </si>
  <si>
    <t xml:space="preserve"> 100029560.5863543
</t>
  </si>
  <si>
    <t xml:space="preserve"> 100030532.59551737
</t>
  </si>
  <si>
    <t xml:space="preserve"> 100028420.51772052
</t>
  </si>
  <si>
    <t xml:space="preserve"> 100028436.46224903
</t>
  </si>
  <si>
    <t xml:space="preserve"> 100026028.47107509
</t>
  </si>
  <si>
    <t xml:space="preserve"> 100024072.90842853
</t>
  </si>
  <si>
    <t xml:space="preserve"> 100022539.82665783
</t>
  </si>
  <si>
    <t xml:space="preserve"> 100020075.1240974
</t>
  </si>
  <si>
    <t xml:space="preserve"> 100019695.740356
</t>
  </si>
  <si>
    <t xml:space="preserve"> 100030455.59205645
</t>
  </si>
  <si>
    <t xml:space="preserve"> 100034246.70885354
</t>
  </si>
  <si>
    <t xml:space="preserve"> 100036033.13420138
</t>
  </si>
  <si>
    <t xml:space="preserve"> 100036973.42368707
</t>
  </si>
  <si>
    <t xml:space="preserve"> 100035798.35849334
</t>
  </si>
  <si>
    <t xml:space="preserve"> 100038097.7717521
</t>
  </si>
  <si>
    <t xml:space="preserve"> 100039313.37218364
</t>
  </si>
  <si>
    <t xml:space="preserve"> 100044884.25169015
</t>
  </si>
  <si>
    <t xml:space="preserve"> 100044432.62601554
</t>
  </si>
  <si>
    <t xml:space="preserve"> 100038078.88856976
</t>
  </si>
  <si>
    <t xml:space="preserve"> 100039263.37658653
</t>
  </si>
  <si>
    <t xml:space="preserve"> 100036393.47558834
</t>
  </si>
  <si>
    <t xml:space="preserve"> 100027742.29185162
</t>
  </si>
  <si>
    <t xml:space="preserve"> 100023515.47286977
</t>
  </si>
  <si>
    <t xml:space="preserve"> 100023472.56234233
</t>
  </si>
  <si>
    <t xml:space="preserve"> 100021868.6243138
</t>
  </si>
  <si>
    <t xml:space="preserve"> 100023202.59279492
</t>
  </si>
  <si>
    <t xml:space="preserve"> 100019704.92138547
</t>
  </si>
  <si>
    <t xml:space="preserve"> 100019806.18073525
</t>
  </si>
  <si>
    <t xml:space="preserve"> 100014846.814213
</t>
  </si>
  <si>
    <t xml:space="preserve"> 100010876.02784373
</t>
  </si>
  <si>
    <t xml:space="preserve"> 100011572.38462648
</t>
  </si>
  <si>
    <t xml:space="preserve"> 100013057.51227705
</t>
  </si>
  <si>
    <t xml:space="preserve"> 100020748.86237353
</t>
  </si>
  <si>
    <t xml:space="preserve"> 100021070.05981986
</t>
  </si>
  <si>
    <t xml:space="preserve"> 100019706.63887863
</t>
  </si>
  <si>
    <t xml:space="preserve"> 100016213.02774628
</t>
  </si>
  <si>
    <t xml:space="preserve"> 100020679.7322156
</t>
  </si>
  <si>
    <t xml:space="preserve"> 100015737.84054485
</t>
  </si>
  <si>
    <t xml:space="preserve"> 100022876.9156479
</t>
  </si>
  <si>
    <t xml:space="preserve"> 100015974.27278787
</t>
  </si>
  <si>
    <t xml:space="preserve"> 100013849.67510308
</t>
  </si>
  <si>
    <t xml:space="preserve"> 100013513.6431369
</t>
  </si>
  <si>
    <t xml:space="preserve"> 100010887.12284285
</t>
  </si>
  <si>
    <t xml:space="preserve"> 100014593.12402451
</t>
  </si>
  <si>
    <t xml:space="preserve"> 100017914.32509594
</t>
  </si>
  <si>
    <t xml:space="preserve"> 100015820.17702705
</t>
  </si>
  <si>
    <t xml:space="preserve"> 100015560.61917622
</t>
  </si>
  <si>
    <t xml:space="preserve"> 100011974.77489911
</t>
  </si>
  <si>
    <t xml:space="preserve"> 100013523.55720459
</t>
  </si>
  <si>
    <t xml:space="preserve"> 100007643.41643615
</t>
  </si>
  <si>
    <t xml:space="preserve"> 100007756.75219531
</t>
  </si>
  <si>
    <t xml:space="preserve"> 100003389.13968645
</t>
  </si>
  <si>
    <t xml:space="preserve"> 100057165.54485694
</t>
  </si>
  <si>
    <t xml:space="preserve"> 100058761.75135908
</t>
  </si>
  <si>
    <t xml:space="preserve"> 100061134.83204216
</t>
  </si>
  <si>
    <t xml:space="preserve"> 100058812.67209862
</t>
  </si>
  <si>
    <t xml:space="preserve"> 1.0000033012878138
</t>
  </si>
  <si>
    <t xml:space="preserve"> 0.9999823576561837
</t>
  </si>
  <si>
    <t xml:space="preserve"> 0.9999877980826141
</t>
  </si>
  <si>
    <t xml:space="preserve"> 0.9999896691814455
</t>
  </si>
  <si>
    <t xml:space="preserve"> 0.9999951384425277
</t>
  </si>
  <si>
    <t xml:space="preserve"> 0.999989131778542
</t>
  </si>
  <si>
    <t xml:space="preserve"> 1.0000437457653384
</t>
  </si>
  <si>
    <t xml:space="preserve"> 0.9999842213923736
</t>
  </si>
  <si>
    <t xml:space="preserve"> 1.0000040073725345
</t>
  </si>
  <si>
    <t xml:space="preserve"> 0.9999520308716394
</t>
  </si>
  <si>
    <t xml:space="preserve"> 0.9999268172755009
</t>
  </si>
  <si>
    <t xml:space="preserve"> 0.9999170612067594
</t>
  </si>
  <si>
    <t xml:space="preserve"> 0.9999201182962315
</t>
  </si>
  <si>
    <t xml:space="preserve"> 0.9999105846796946
</t>
  </si>
  <si>
    <t xml:space="preserve"> 0.9999082336545261
</t>
  </si>
  <si>
    <t xml:space="preserve"> 0.9999244649861384
</t>
  </si>
  <si>
    <t xml:space="preserve"> 0.9998783224447366
</t>
  </si>
  <si>
    <t xml:space="preserve"> 0.9998553137201837
</t>
  </si>
  <si>
    <t xml:space="preserve"> 0.9998583438532677
</t>
  </si>
  <si>
    <t xml:space="preserve"> 0.9998257226854798
</t>
  </si>
  <si>
    <t xml:space="preserve"> 0.9997803340088811
</t>
  </si>
  <si>
    <t xml:space="preserve"> 0.9997883315683155
</t>
  </si>
  <si>
    <t xml:space="preserve"> 0.999745932504057
</t>
  </si>
  <si>
    <t xml:space="preserve"> 0.9997184990668098
</t>
  </si>
  <si>
    <t xml:space="preserve"> 0.9997266009352138
</t>
  </si>
  <si>
    <t xml:space="preserve"> 0.9997133797586306
</t>
  </si>
  <si>
    <t xml:space="preserve"> 0.9997142547274663
</t>
  </si>
  <si>
    <t xml:space="preserve"> 0.9996931709988713
</t>
  </si>
  <si>
    <t xml:space="preserve"> 0.9997050903765695
</t>
  </si>
  <si>
    <t xml:space="preserve"> 0.9997385516405416
</t>
  </si>
  <si>
    <t xml:space="preserve"> 0.9997246299309182
</t>
  </si>
  <si>
    <t xml:space="preserve"> 0.999737242285897
</t>
  </si>
  <si>
    <t xml:space="preserve"> 0.9997124210807061
</t>
  </si>
  <si>
    <t xml:space="preserve"> 0.9997044814934598
</t>
  </si>
  <si>
    <t xml:space="preserve"> 0.9996947672403098
</t>
  </si>
  <si>
    <t xml:space="preserve"> 0.9997158755724276
</t>
  </si>
  <si>
    <t xml:space="preserve"> 0.9997157162177598
</t>
  </si>
  <si>
    <t xml:space="preserve"> 0.9997397830197501
</t>
  </si>
  <si>
    <t xml:space="preserve"> 0.9997593288522593
</t>
  </si>
  <si>
    <t xml:space="preserve"> 0.9997746525263512
</t>
  </si>
  <si>
    <t xml:space="preserve"> 0.9997992890519973
</t>
  </si>
  <si>
    <t xml:space="preserve"> 0.9998030813810195
</t>
  </si>
  <si>
    <t xml:space="preserve"> 0.9996955368055035
</t>
  </si>
  <si>
    <t xml:space="preserve"> 0.9996576501550188
</t>
  </si>
  <si>
    <t xml:space="preserve"> 0.9996397984498937
</t>
  </si>
  <si>
    <t xml:space="preserve"> 0.9996304024160095
</t>
  </si>
  <si>
    <t xml:space="preserve"> 0.9996421445214532
</t>
  </si>
  <si>
    <t xml:space="preserve"> 0.9996191673712241
</t>
  </si>
  <si>
    <t xml:space="preserve"> 0.99960702077155
</t>
  </si>
  <si>
    <t xml:space="preserve"> 0.9995513588523197
</t>
  </si>
  <si>
    <t xml:space="preserve"> 0.9995558710779867
</t>
  </si>
  <si>
    <t xml:space="preserve"> 0.9996193560592838
</t>
  </si>
  <si>
    <t xml:space="preserve"> 0.999607520334903
</t>
  </si>
  <si>
    <t xml:space="preserve"> 0.9996361976444373
</t>
  </si>
  <si>
    <t xml:space="preserve"> 0.9997226540236132
</t>
  </si>
  <si>
    <t xml:space="preserve"> 0.9997649005560476
</t>
  </si>
  <si>
    <t xml:space="preserve"> 0.9997653294597649
</t>
  </si>
  <si>
    <t xml:space="preserve"> 0.9997813615700785
</t>
  </si>
  <si>
    <t xml:space="preserve"> 0.9997680278955933
</t>
  </si>
  <si>
    <t xml:space="preserve"> 0.9998029896068882
</t>
  </si>
  <si>
    <t xml:space="preserve"> 0.9998019774133586
</t>
  </si>
  <si>
    <t xml:space="preserve"> 0.9998515538973866
</t>
  </si>
  <si>
    <t xml:space="preserve"> 0.9998912515490741
</t>
  </si>
  <si>
    <t xml:space="preserve"> 0.9998842895441937
</t>
  </si>
  <si>
    <t xml:space="preserve"> 0.9998694419248654
</t>
  </si>
  <si>
    <t xml:space="preserve"> 0.9997925544188621
</t>
  </si>
  <si>
    <t xml:space="preserve"> 0.9997893437871908
</t>
  </si>
  <si>
    <t xml:space="preserve"> 0.999802972438723
</t>
  </si>
  <si>
    <t xml:space="preserve"> 0.9998378960045022
</t>
  </si>
  <si>
    <t xml:space="preserve"> 0.999793245434134
</t>
  </si>
  <si>
    <t xml:space="preserve"> 0.9998426463586161
</t>
  </si>
  <si>
    <t xml:space="preserve"> 0.9997712831668774
</t>
  </si>
  <si>
    <t xml:space="preserve"> 0.9998402827857841
</t>
  </si>
  <si>
    <t xml:space="preserve"> 0.9998615224276621
</t>
  </si>
  <si>
    <t xml:space="preserve"> 0.9998648818280176
</t>
  </si>
  <si>
    <t xml:space="preserve"> 0.9998911406232247
</t>
  </si>
  <si>
    <t xml:space="preserve"> 0.9998540900525735
</t>
  </si>
  <si>
    <t xml:space="preserve"> 0.9998208888355958
</t>
  </si>
  <si>
    <t xml:space="preserve"> 0.9998418232535699
</t>
  </si>
  <si>
    <t xml:space="preserve"> 0.9998444180177565
</t>
  </si>
  <si>
    <t xml:space="preserve"> 0.9998802665888143
</t>
  </si>
  <si>
    <t xml:space="preserve"> 0.99986478271414
</t>
  </si>
  <si>
    <t xml:space="preserve"> 0.9999235716773724
</t>
  </si>
  <si>
    <t xml:space="preserve"> 0.9999224384942996
</t>
  </si>
  <si>
    <t xml:space="preserve"> 0.999966109751722
</t>
  </si>
  <si>
    <t xml:space="preserve"> 0.9999871833092853
</t>
  </si>
  <si>
    <t xml:space="preserve"> 0.9999712308228053
</t>
  </si>
  <si>
    <t xml:space="preserve"> 0.9999513000300063
</t>
  </si>
  <si>
    <t xml:space="preserve"> 0.9999745068499997
</t>
  </si>
  <si>
    <t xml:space="preserve"> 1.4999803595647447
</t>
  </si>
  <si>
    <t xml:space="preserve"> 1.4999121630758616
</t>
  </si>
  <si>
    <t xml:space="preserve"> 1.49988602035272
</t>
  </si>
  <si>
    <t xml:space="preserve"> 1.4998745486053437
</t>
  </si>
  <si>
    <t xml:space="preserve"> 1.4998448908570525
</t>
  </si>
  <si>
    <t xml:space="preserve"> 1.499793407161606
</t>
  </si>
  <si>
    <t xml:space="preserve"> 1.499865580233949
</t>
  </si>
  <si>
    <t xml:space="preserve"> 1.4997139819851144
</t>
  </si>
  <si>
    <t xml:space="preserve"> 1.4997330782602971
</t>
  </si>
  <si>
    <t xml:space="preserve"> 1.4996066977254703
</t>
  </si>
  <si>
    <t xml:space="preserve"> 1.4995411131023306
</t>
  </si>
  <si>
    <t xml:space="preserve"> 1.4994881295629132
</t>
  </si>
  <si>
    <t xml:space="preserve"> 1.4994498401490028
</t>
  </si>
  <si>
    <t xml:space="preserve"> 1.4993864421154992
</t>
  </si>
  <si>
    <t xml:space="preserve"> 1.4993991596556602
</t>
  </si>
  <si>
    <t xml:space="preserve"> 1.499384549960278
</t>
  </si>
  <si>
    <t xml:space="preserve"> 1.4993903329759144
</t>
  </si>
  <si>
    <t xml:space="preserve"> 1.499332848062761
</t>
  </si>
  <si>
    <t xml:space="preserve"> 1.4993253160345719
</t>
  </si>
  <si>
    <t xml:space="preserve"> 1.4992249086396463
</t>
  </si>
  <si>
    <t xml:space="preserve"> 1.4990908450374463
</t>
  </si>
  <si>
    <t xml:space="preserve"> 1.4990621749590094
</t>
  </si>
  <si>
    <t xml:space="preserve"> 1.498932370965209
</t>
  </si>
  <si>
    <t xml:space="preserve"> 1.4988303305834245
</t>
  </si>
  <si>
    <t xml:space="preserve"> 1.4988054345898452
</t>
  </si>
  <si>
    <t xml:space="preserve"> 1.4987274569120428
</t>
  </si>
  <si>
    <t xml:space="preserve"> 1.4986914545820096
</t>
  </si>
  <si>
    <t xml:space="preserve"> 1.4986509539866002
</t>
  </si>
  <si>
    <t xml:space="preserve"> 1.4986241883752223
</t>
  </si>
  <si>
    <t xml:space="preserve"> 1.4986320662505048
</t>
  </si>
  <si>
    <t xml:space="preserve"> 1.4986867109955926
</t>
  </si>
  <si>
    <t xml:space="preserve"> 1.4986490736116025
</t>
  </si>
  <si>
    <t xml:space="preserve"> 1.4985592670821681
</t>
  </si>
  <si>
    <t xml:space="preserve"> 1.4985880673343352
</t>
  </si>
  <si>
    <t xml:space="preserve"> 1.498545307429415
</t>
  </si>
  <si>
    <t xml:space="preserve"> 1.4985408442107528
</t>
  </si>
  <si>
    <t xml:space="preserve"> 1.4985515899421191
</t>
  </si>
  <si>
    <t xml:space="preserve"> 1.4985847423718435
</t>
  </si>
  <si>
    <t xml:space="preserve"> 1.498551696532248
</t>
  </si>
  <si>
    <t xml:space="preserve"> 1.4985100049049354
</t>
  </si>
  <si>
    <t xml:space="preserve"> 1.498482730591376
</t>
  </si>
  <si>
    <t xml:space="preserve"> 1.4984160407633693
</t>
  </si>
  <si>
    <t xml:space="preserve"> 1.4981425949192757
</t>
  </si>
  <si>
    <t xml:space="preserve"> 1.4980224853407587
</t>
  </si>
  <si>
    <t xml:space="preserve"> 1.4985305878837545
</t>
  </si>
  <si>
    <t xml:space="preserve"> 1.4985252926270742
</t>
  </si>
  <si>
    <t xml:space="preserve"> 1.4984683489450765
</t>
  </si>
  <si>
    <t xml:space="preserve"> 1.4984456128102197
</t>
  </si>
  <si>
    <t xml:space="preserve"> 1.4984032960388167
</t>
  </si>
  <si>
    <t xml:space="preserve"> 1.498227276853577
</t>
  </si>
  <si>
    <t xml:space="preserve"> 1.4982282047953117
</t>
  </si>
  <si>
    <t xml:space="preserve"> 1.4982650598114244
</t>
  </si>
  <si>
    <t xml:space="preserve"> 1.4981560675785865
</t>
  </si>
  <si>
    <t xml:space="preserve"> 1.4981241885835253
</t>
  </si>
  <si>
    <t xml:space="preserve"> 1.4982549102884146
</t>
  </si>
  <si>
    <t xml:space="preserve"> 1.4982328574180392
</t>
  </si>
  <si>
    <t xml:space="preserve"> 1.498135035344173
</t>
  </si>
  <si>
    <t xml:space="preserve"> 1.49807400868717
</t>
  </si>
  <si>
    <t xml:space="preserve"> 1.4979439832804353
</t>
  </si>
  <si>
    <t xml:space="preserve"> 1.4979925269879315
</t>
  </si>
  <si>
    <t xml:space="preserve"> 1.4978968339102974
</t>
  </si>
  <si>
    <t xml:space="preserve"> 1.4978652409076492
</t>
  </si>
  <si>
    <t xml:space="preserve"> 1.4985453331646503
</t>
  </si>
  <si>
    <t xml:space="preserve"> 1.4984121165434827
</t>
  </si>
  <si>
    <t xml:space="preserve"> 1.498277612455489
</t>
  </si>
  <si>
    <t xml:space="preserve"> 1.4980166989420582
</t>
  </si>
  <si>
    <t xml:space="preserve"> 1.4980581702387452
</t>
  </si>
  <si>
    <t xml:space="preserve"> 1.4979664968423239
</t>
  </si>
  <si>
    <t xml:space="preserve"> 1.4979093831512706
</t>
  </si>
  <si>
    <t xml:space="preserve"> 1.4976874579888455
</t>
  </si>
  <si>
    <t xml:space="preserve"> 1.4976146567804387
</t>
  </si>
  <si>
    <t xml:space="preserve"> 1.4974012572854911
</t>
  </si>
  <si>
    <t xml:space="preserve"> 1.4973936443707394
</t>
  </si>
  <si>
    <t xml:space="preserve"> 1.497240039287949
</t>
  </si>
  <si>
    <t xml:space="preserve"> 1.4970672329905585
</t>
  </si>
  <si>
    <t xml:space="preserve"> 1.4969138146363654
</t>
  </si>
  <si>
    <t xml:space="preserve"> 1.4967066661336244
</t>
  </si>
  <si>
    <t xml:space="preserve"> 1.4966496912337532
</t>
  </si>
  <si>
    <t xml:space="preserve"> 1.4964355000229672
</t>
  </si>
  <si>
    <t xml:space="preserve"> 1.4961682408838615
</t>
  </si>
  <si>
    <t xml:space="preserve"> 1.4959404209959513
</t>
  </si>
  <si>
    <t xml:space="preserve"> 1.4957703379374678
</t>
  </si>
  <si>
    <t xml:space="preserve"> 1.495530800813559
</t>
  </si>
  <si>
    <t xml:space="preserve"> 1.4951398836954664
</t>
  </si>
  <si>
    <t xml:space="preserve"> 1.5008382471466875
</t>
  </si>
  <si>
    <t xml:space="preserve"> 1.4993742458330162
</t>
  </si>
  <si>
    <t xml:space="preserve"> 1.5000056775471975
</t>
  </si>
  <si>
    <t xml:space="preserve"> 1.4998210692865173
</t>
  </si>
  <si>
    <t xml:space="preserve"> 1.500446485086786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</si>
</sst>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75AA6-80E3-4587-8FF8-D4844A0DA21D}">
  <sheetPr filterMode="1"/>
  <dimension ref="A1:D6203"/>
  <sheetViews>
    <sheetView workbookViewId="0">
      <selection activeCell="D1" sqref="D1:D1048576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>
        <v>0</v>
      </c>
      <c r="B2" s="1" t="s">
        <v>3</v>
      </c>
      <c r="C2" t="s">
        <v>4</v>
      </c>
      <c r="D2" t="s">
        <v>5</v>
      </c>
    </row>
    <row r="3" spans="1:4" hidden="1" x14ac:dyDescent="0.3">
      <c r="A3">
        <v>1</v>
      </c>
      <c r="B3" t="s">
        <v>6</v>
      </c>
      <c r="C3" t="s">
        <v>7</v>
      </c>
      <c r="D3">
        <v>1981.95</v>
      </c>
    </row>
    <row r="4" spans="1:4" hidden="1" x14ac:dyDescent="0.3">
      <c r="A4">
        <v>2</v>
      </c>
      <c r="B4" t="s">
        <v>8</v>
      </c>
      <c r="C4" t="s">
        <v>9</v>
      </c>
      <c r="D4">
        <v>1994.72721814895</v>
      </c>
    </row>
    <row r="5" spans="1:4" hidden="1" x14ac:dyDescent="0.3">
      <c r="A5">
        <v>3</v>
      </c>
      <c r="B5" s="1" t="s">
        <v>10</v>
      </c>
      <c r="C5" t="s">
        <v>11</v>
      </c>
      <c r="D5" s="1" t="s">
        <v>12</v>
      </c>
    </row>
    <row r="6" spans="1:4" hidden="1" x14ac:dyDescent="0.3">
      <c r="A6">
        <v>4</v>
      </c>
      <c r="B6" t="s">
        <v>13</v>
      </c>
      <c r="C6" t="s">
        <v>14</v>
      </c>
      <c r="D6">
        <v>91.74609375</v>
      </c>
    </row>
    <row r="7" spans="1:4" hidden="1" x14ac:dyDescent="0.3">
      <c r="A7">
        <v>5</v>
      </c>
      <c r="B7" t="s">
        <v>15</v>
      </c>
      <c r="C7" t="s">
        <v>16</v>
      </c>
      <c r="D7">
        <v>4.1883572307132804</v>
      </c>
    </row>
    <row r="8" spans="1:4" hidden="1" x14ac:dyDescent="0.3">
      <c r="A8">
        <v>6</v>
      </c>
      <c r="B8" t="s">
        <v>17</v>
      </c>
      <c r="C8" t="s">
        <v>18</v>
      </c>
      <c r="D8">
        <v>92.070069402088905</v>
      </c>
    </row>
    <row r="9" spans="1:4" hidden="1" x14ac:dyDescent="0.3">
      <c r="A9">
        <v>7</v>
      </c>
      <c r="B9" s="1" t="s">
        <v>19</v>
      </c>
      <c r="C9" t="s">
        <v>11</v>
      </c>
      <c r="D9" s="1" t="s">
        <v>20</v>
      </c>
    </row>
    <row r="10" spans="1:4" hidden="1" x14ac:dyDescent="0.3">
      <c r="A10">
        <v>8</v>
      </c>
      <c r="B10" t="s">
        <v>21</v>
      </c>
      <c r="C10" t="s">
        <v>22</v>
      </c>
      <c r="D10">
        <v>38.25</v>
      </c>
    </row>
    <row r="11" spans="1:4" hidden="1" x14ac:dyDescent="0.3">
      <c r="A11">
        <v>9</v>
      </c>
      <c r="B11" t="s">
        <v>23</v>
      </c>
      <c r="C11" t="s">
        <v>24</v>
      </c>
      <c r="D11">
        <v>5.8360548006450399</v>
      </c>
    </row>
    <row r="12" spans="1:4" hidden="1" x14ac:dyDescent="0.3">
      <c r="A12">
        <v>10</v>
      </c>
      <c r="B12" t="s">
        <v>25</v>
      </c>
      <c r="C12" t="s">
        <v>26</v>
      </c>
      <c r="D12">
        <v>38.715813316252301</v>
      </c>
    </row>
    <row r="13" spans="1:4" hidden="1" x14ac:dyDescent="0.3">
      <c r="A13">
        <v>11</v>
      </c>
      <c r="B13" s="1" t="s">
        <v>27</v>
      </c>
      <c r="C13" t="s">
        <v>11</v>
      </c>
      <c r="D13" s="1" t="s">
        <v>28</v>
      </c>
    </row>
    <row r="14" spans="1:4" hidden="1" x14ac:dyDescent="0.3">
      <c r="A14">
        <v>12</v>
      </c>
      <c r="B14" t="s">
        <v>29</v>
      </c>
      <c r="C14" t="s">
        <v>30</v>
      </c>
      <c r="D14">
        <v>0.191270090805881</v>
      </c>
    </row>
    <row r="15" spans="1:4" hidden="1" x14ac:dyDescent="0.3">
      <c r="A15">
        <v>13</v>
      </c>
      <c r="B15" s="1" t="s">
        <v>31</v>
      </c>
      <c r="C15" t="s">
        <v>32</v>
      </c>
      <c r="D15" s="1" t="s">
        <v>33</v>
      </c>
    </row>
    <row r="16" spans="1:4" hidden="1" x14ac:dyDescent="0.3">
      <c r="A16">
        <v>14</v>
      </c>
      <c r="B16" t="s">
        <v>34</v>
      </c>
      <c r="C16" t="s">
        <v>35</v>
      </c>
      <c r="D16">
        <v>0.54160447357751795</v>
      </c>
    </row>
    <row r="17" spans="1:4" hidden="1" x14ac:dyDescent="0.3">
      <c r="A17">
        <v>15</v>
      </c>
      <c r="B17" s="1" t="s">
        <v>36</v>
      </c>
      <c r="C17" t="s">
        <v>37</v>
      </c>
      <c r="D17" s="1" t="s">
        <v>38</v>
      </c>
    </row>
    <row r="18" spans="1:4" hidden="1" x14ac:dyDescent="0.3">
      <c r="A18">
        <v>16</v>
      </c>
      <c r="B18" t="s">
        <v>39</v>
      </c>
      <c r="C18" t="s">
        <v>40</v>
      </c>
      <c r="D18">
        <v>0.26712543561659902</v>
      </c>
    </row>
    <row r="19" spans="1:4" hidden="1" x14ac:dyDescent="0.3">
      <c r="A19">
        <v>17</v>
      </c>
      <c r="B19" s="1" t="s">
        <v>41</v>
      </c>
      <c r="C19" t="s">
        <v>42</v>
      </c>
      <c r="D19" s="1" t="s">
        <v>43</v>
      </c>
    </row>
    <row r="20" spans="1:4" hidden="1" x14ac:dyDescent="0.3">
      <c r="A20">
        <v>18</v>
      </c>
      <c r="B20" t="s">
        <v>44</v>
      </c>
      <c r="C20" t="s">
        <v>45</v>
      </c>
      <c r="D20">
        <v>5.8793328362887103E-3</v>
      </c>
    </row>
    <row r="21" spans="1:4" hidden="1" x14ac:dyDescent="0.3">
      <c r="A21">
        <v>19</v>
      </c>
      <c r="B21" t="s">
        <v>46</v>
      </c>
      <c r="C21" t="s">
        <v>47</v>
      </c>
      <c r="D21">
        <v>0.91612955845518695</v>
      </c>
    </row>
    <row r="22" spans="1:4" hidden="1" x14ac:dyDescent="0.3">
      <c r="A22">
        <v>20</v>
      </c>
      <c r="B22" s="1" t="s">
        <v>48</v>
      </c>
      <c r="C22" t="s">
        <v>49</v>
      </c>
      <c r="D22" s="1" t="s">
        <v>50</v>
      </c>
    </row>
    <row r="23" spans="1:4" hidden="1" x14ac:dyDescent="0.3">
      <c r="A23">
        <v>21</v>
      </c>
      <c r="B23" t="s">
        <v>29</v>
      </c>
      <c r="C23" t="s">
        <v>30</v>
      </c>
      <c r="D23">
        <v>0.191270090805881</v>
      </c>
    </row>
    <row r="24" spans="1:4" hidden="1" x14ac:dyDescent="0.3">
      <c r="A24">
        <v>22</v>
      </c>
      <c r="B24" s="1" t="s">
        <v>31</v>
      </c>
      <c r="C24" t="s">
        <v>32</v>
      </c>
      <c r="D24" s="1" t="s">
        <v>33</v>
      </c>
    </row>
    <row r="25" spans="1:4" hidden="1" x14ac:dyDescent="0.3">
      <c r="A25">
        <v>23</v>
      </c>
      <c r="B25" t="s">
        <v>34</v>
      </c>
      <c r="C25" t="s">
        <v>35</v>
      </c>
      <c r="D25">
        <v>0.54160447357751795</v>
      </c>
    </row>
    <row r="26" spans="1:4" hidden="1" x14ac:dyDescent="0.3">
      <c r="A26">
        <v>24</v>
      </c>
      <c r="B26" s="1" t="s">
        <v>36</v>
      </c>
      <c r="C26" t="s">
        <v>37</v>
      </c>
      <c r="D26" s="1" t="s">
        <v>38</v>
      </c>
    </row>
    <row r="27" spans="1:4" hidden="1" x14ac:dyDescent="0.3">
      <c r="A27">
        <v>25</v>
      </c>
      <c r="B27" t="s">
        <v>39</v>
      </c>
      <c r="C27" t="s">
        <v>40</v>
      </c>
      <c r="D27">
        <v>0.26712543561659902</v>
      </c>
    </row>
    <row r="28" spans="1:4" hidden="1" x14ac:dyDescent="0.3">
      <c r="A28">
        <v>26</v>
      </c>
      <c r="B28" s="1" t="s">
        <v>41</v>
      </c>
      <c r="C28" t="s">
        <v>42</v>
      </c>
      <c r="D28" s="1" t="s">
        <v>43</v>
      </c>
    </row>
    <row r="29" spans="1:4" hidden="1" x14ac:dyDescent="0.3">
      <c r="A29">
        <v>27</v>
      </c>
      <c r="B29" s="1" t="s">
        <v>51</v>
      </c>
      <c r="C29" t="s">
        <v>52</v>
      </c>
      <c r="D29" s="1" t="s">
        <v>53</v>
      </c>
    </row>
    <row r="30" spans="1:4" hidden="1" x14ac:dyDescent="0.3">
      <c r="A30">
        <v>28</v>
      </c>
      <c r="B30" s="1" t="s">
        <v>54</v>
      </c>
      <c r="C30" t="s">
        <v>55</v>
      </c>
      <c r="D30" s="1" t="s">
        <v>56</v>
      </c>
    </row>
    <row r="31" spans="1:4" hidden="1" x14ac:dyDescent="0.3">
      <c r="A31">
        <v>29</v>
      </c>
      <c r="B31" s="1" t="s">
        <v>57</v>
      </c>
      <c r="C31" t="s">
        <v>58</v>
      </c>
      <c r="D31" s="1" t="s">
        <v>53</v>
      </c>
    </row>
    <row r="32" spans="1:4" hidden="1" x14ac:dyDescent="0.3">
      <c r="A32">
        <v>30</v>
      </c>
      <c r="B32" t="s">
        <v>59</v>
      </c>
      <c r="C32" t="s">
        <v>60</v>
      </c>
      <c r="D32">
        <v>150000000</v>
      </c>
    </row>
    <row r="33" spans="1:4" hidden="1" x14ac:dyDescent="0.3">
      <c r="A33">
        <v>31</v>
      </c>
      <c r="B33" t="s">
        <v>61</v>
      </c>
      <c r="C33" t="s">
        <v>62</v>
      </c>
      <c r="D33">
        <v>80000000</v>
      </c>
    </row>
    <row r="34" spans="1:4" hidden="1" x14ac:dyDescent="0.3">
      <c r="A34">
        <v>32</v>
      </c>
      <c r="B34" t="s">
        <v>63</v>
      </c>
      <c r="C34" t="s">
        <v>64</v>
      </c>
      <c r="D34">
        <v>35000000</v>
      </c>
    </row>
    <row r="35" spans="1:4" hidden="1" x14ac:dyDescent="0.3">
      <c r="A35">
        <v>33</v>
      </c>
      <c r="B35" s="1" t="s">
        <v>65</v>
      </c>
      <c r="C35" t="s">
        <v>66</v>
      </c>
      <c r="D35" s="1" t="s">
        <v>67</v>
      </c>
    </row>
    <row r="36" spans="1:4" hidden="1" x14ac:dyDescent="0.3">
      <c r="A36">
        <v>34</v>
      </c>
      <c r="B36" s="1" t="s">
        <v>68</v>
      </c>
      <c r="C36" t="s">
        <v>69</v>
      </c>
      <c r="D36" s="1" t="s">
        <v>70</v>
      </c>
    </row>
    <row r="37" spans="1:4" hidden="1" x14ac:dyDescent="0.3">
      <c r="A37">
        <v>35</v>
      </c>
      <c r="B37" t="s">
        <v>71</v>
      </c>
      <c r="C37" t="s">
        <v>72</v>
      </c>
      <c r="D37">
        <v>1</v>
      </c>
    </row>
    <row r="38" spans="1:4" hidden="1" x14ac:dyDescent="0.3">
      <c r="A38">
        <v>36</v>
      </c>
      <c r="B38" t="s">
        <v>73</v>
      </c>
      <c r="C38" t="s">
        <v>74</v>
      </c>
      <c r="D38">
        <v>2.7397260273972599E-3</v>
      </c>
    </row>
    <row r="39" spans="1:4" hidden="1" x14ac:dyDescent="0.3">
      <c r="A39">
        <v>37</v>
      </c>
      <c r="B39" t="s">
        <v>75</v>
      </c>
      <c r="C39" t="s">
        <v>76</v>
      </c>
      <c r="D39">
        <v>0</v>
      </c>
    </row>
    <row r="40" spans="1:4" hidden="1" x14ac:dyDescent="0.3">
      <c r="A40">
        <v>38</v>
      </c>
      <c r="B40" t="s">
        <v>77</v>
      </c>
      <c r="C40" t="s">
        <v>78</v>
      </c>
      <c r="D40">
        <v>0</v>
      </c>
    </row>
    <row r="41" spans="1:4" hidden="1" x14ac:dyDescent="0.3">
      <c r="A41">
        <v>39</v>
      </c>
      <c r="B41" s="1" t="s">
        <v>79</v>
      </c>
      <c r="C41" t="s">
        <v>80</v>
      </c>
      <c r="D41" s="1" t="s">
        <v>81</v>
      </c>
    </row>
    <row r="42" spans="1:4" hidden="1" x14ac:dyDescent="0.3">
      <c r="A42">
        <v>40</v>
      </c>
      <c r="B42" t="s">
        <v>82</v>
      </c>
      <c r="C42" t="s">
        <v>83</v>
      </c>
      <c r="D42">
        <v>0.99996984597653304</v>
      </c>
    </row>
    <row r="43" spans="1:4" hidden="1" x14ac:dyDescent="0.3">
      <c r="A43">
        <v>41</v>
      </c>
      <c r="B43" s="1" t="s">
        <v>84</v>
      </c>
      <c r="C43" t="s">
        <v>85</v>
      </c>
      <c r="D43" s="1" t="s">
        <v>86</v>
      </c>
    </row>
    <row r="44" spans="1:4" hidden="1" x14ac:dyDescent="0.3">
      <c r="A44">
        <v>42</v>
      </c>
      <c r="B44" t="s">
        <v>87</v>
      </c>
      <c r="C44" t="s">
        <v>88</v>
      </c>
      <c r="D44">
        <v>100003015.493275</v>
      </c>
    </row>
    <row r="45" spans="1:4" hidden="1" x14ac:dyDescent="0.3">
      <c r="A45">
        <v>43</v>
      </c>
      <c r="B45" s="1" t="s">
        <v>89</v>
      </c>
      <c r="C45" t="s">
        <v>90</v>
      </c>
      <c r="D45" s="1" t="s">
        <v>91</v>
      </c>
    </row>
    <row r="46" spans="1:4" hidden="1" x14ac:dyDescent="0.3">
      <c r="A46">
        <v>44</v>
      </c>
      <c r="B46" t="s">
        <v>92</v>
      </c>
      <c r="C46" t="s">
        <v>93</v>
      </c>
      <c r="D46">
        <v>80000000</v>
      </c>
    </row>
    <row r="47" spans="1:4" hidden="1" x14ac:dyDescent="0.3">
      <c r="A47">
        <v>45</v>
      </c>
      <c r="B47" t="s">
        <v>94</v>
      </c>
      <c r="C47" t="s">
        <v>95</v>
      </c>
      <c r="D47">
        <v>35000000</v>
      </c>
    </row>
    <row r="48" spans="1:4" hidden="1" x14ac:dyDescent="0.3">
      <c r="A48">
        <v>46</v>
      </c>
      <c r="B48" t="s">
        <v>96</v>
      </c>
      <c r="C48" t="s">
        <v>97</v>
      </c>
      <c r="D48">
        <v>35000000</v>
      </c>
    </row>
    <row r="49" spans="1:4" hidden="1" x14ac:dyDescent="0.3">
      <c r="A49">
        <v>47</v>
      </c>
      <c r="B49" s="1" t="s">
        <v>98</v>
      </c>
      <c r="C49" t="s">
        <v>99</v>
      </c>
      <c r="D49" s="1" t="s">
        <v>100</v>
      </c>
    </row>
    <row r="50" spans="1:4" hidden="1" x14ac:dyDescent="0.3">
      <c r="A50">
        <v>48</v>
      </c>
      <c r="B50" t="s">
        <v>101</v>
      </c>
      <c r="C50" t="s">
        <v>102</v>
      </c>
      <c r="D50">
        <v>7.6179211446890001E-3</v>
      </c>
    </row>
    <row r="51" spans="1:4" hidden="1" x14ac:dyDescent="0.3">
      <c r="A51">
        <v>49</v>
      </c>
      <c r="B51" t="s">
        <v>103</v>
      </c>
      <c r="C51" t="s">
        <v>104</v>
      </c>
      <c r="D51">
        <v>1.4839718084857E-3</v>
      </c>
    </row>
    <row r="52" spans="1:4" hidden="1" x14ac:dyDescent="0.3">
      <c r="A52">
        <v>50</v>
      </c>
      <c r="B52" t="s">
        <v>105</v>
      </c>
      <c r="C52" t="s">
        <v>106</v>
      </c>
      <c r="D52">
        <v>1.90590448984835E-2</v>
      </c>
    </row>
    <row r="53" spans="1:4" hidden="1" x14ac:dyDescent="0.3">
      <c r="A53">
        <v>51</v>
      </c>
      <c r="B53" s="1" t="s">
        <v>107</v>
      </c>
      <c r="C53" t="s">
        <v>108</v>
      </c>
      <c r="D53" s="1" t="s">
        <v>109</v>
      </c>
    </row>
    <row r="54" spans="1:4" hidden="1" x14ac:dyDescent="0.3">
      <c r="A54">
        <v>52</v>
      </c>
      <c r="B54" t="s">
        <v>110</v>
      </c>
      <c r="C54" t="s">
        <v>111</v>
      </c>
      <c r="D54">
        <v>-804.13154024162702</v>
      </c>
    </row>
    <row r="55" spans="1:4" hidden="1" x14ac:dyDescent="0.3">
      <c r="A55">
        <v>53</v>
      </c>
      <c r="B55" t="s">
        <v>112</v>
      </c>
      <c r="C55" t="s">
        <v>113</v>
      </c>
      <c r="D55">
        <v>-120.396361163954</v>
      </c>
    </row>
    <row r="56" spans="1:4" hidden="1" x14ac:dyDescent="0.3">
      <c r="A56">
        <v>54</v>
      </c>
      <c r="B56" s="1" t="s">
        <v>114</v>
      </c>
      <c r="C56" t="s">
        <v>115</v>
      </c>
      <c r="D56" s="1" t="s">
        <v>116</v>
      </c>
    </row>
    <row r="57" spans="1:4" hidden="1" x14ac:dyDescent="0.3">
      <c r="A57">
        <v>55</v>
      </c>
      <c r="B57" t="s">
        <v>117</v>
      </c>
      <c r="C57" t="s">
        <v>118</v>
      </c>
      <c r="D57">
        <v>79999195.868459702</v>
      </c>
    </row>
    <row r="58" spans="1:4" hidden="1" x14ac:dyDescent="0.3">
      <c r="A58">
        <v>56</v>
      </c>
      <c r="B58" t="s">
        <v>119</v>
      </c>
      <c r="C58" t="s">
        <v>120</v>
      </c>
      <c r="D58">
        <v>34999879.603638798</v>
      </c>
    </row>
    <row r="59" spans="1:4" hidden="1" x14ac:dyDescent="0.3">
      <c r="A59">
        <v>57</v>
      </c>
      <c r="B59" s="1" t="s">
        <v>121</v>
      </c>
      <c r="C59" t="s">
        <v>122</v>
      </c>
      <c r="D59" s="1" t="s">
        <v>123</v>
      </c>
    </row>
    <row r="60" spans="1:4" hidden="1" x14ac:dyDescent="0.3">
      <c r="A60">
        <v>58</v>
      </c>
      <c r="B60" t="s">
        <v>124</v>
      </c>
      <c r="C60" t="s">
        <v>125</v>
      </c>
      <c r="D60">
        <v>0.79999195868459705</v>
      </c>
    </row>
    <row r="61" spans="1:4" hidden="1" x14ac:dyDescent="0.3">
      <c r="A61">
        <v>59</v>
      </c>
      <c r="B61" t="s">
        <v>126</v>
      </c>
      <c r="C61" t="s">
        <v>127</v>
      </c>
      <c r="D61">
        <v>0.349998796036388</v>
      </c>
    </row>
    <row r="62" spans="1:4" hidden="1" x14ac:dyDescent="0.3">
      <c r="A62">
        <v>60</v>
      </c>
      <c r="B62" s="1" t="s">
        <v>128</v>
      </c>
      <c r="C62" t="s">
        <v>129</v>
      </c>
      <c r="D62" s="1" t="s">
        <v>130</v>
      </c>
    </row>
    <row r="63" spans="1:4" x14ac:dyDescent="0.3">
      <c r="A63">
        <v>61</v>
      </c>
      <c r="B63" s="1" t="s">
        <v>3</v>
      </c>
      <c r="C63" t="s">
        <v>4</v>
      </c>
      <c r="D63" t="s">
        <v>5</v>
      </c>
    </row>
    <row r="64" spans="1:4" hidden="1" x14ac:dyDescent="0.3">
      <c r="A64">
        <v>62</v>
      </c>
      <c r="B64" t="s">
        <v>6</v>
      </c>
      <c r="C64" t="s">
        <v>7</v>
      </c>
      <c r="D64">
        <v>1981.95</v>
      </c>
    </row>
    <row r="65" spans="1:4" hidden="1" x14ac:dyDescent="0.3">
      <c r="A65">
        <v>63</v>
      </c>
      <c r="B65" s="1" t="s">
        <v>131</v>
      </c>
      <c r="C65" t="s">
        <v>9</v>
      </c>
      <c r="D65" s="1" t="s">
        <v>132</v>
      </c>
    </row>
    <row r="66" spans="1:4" hidden="1" x14ac:dyDescent="0.3">
      <c r="A66">
        <v>64</v>
      </c>
      <c r="B66" t="s">
        <v>13</v>
      </c>
      <c r="C66" t="s">
        <v>14</v>
      </c>
      <c r="D66">
        <v>91.74609375</v>
      </c>
    </row>
    <row r="67" spans="1:4" hidden="1" x14ac:dyDescent="0.3">
      <c r="A67">
        <v>65</v>
      </c>
      <c r="B67" t="s">
        <v>15</v>
      </c>
      <c r="C67" t="s">
        <v>16</v>
      </c>
      <c r="D67">
        <v>4.1883572307132804</v>
      </c>
    </row>
    <row r="68" spans="1:4" hidden="1" x14ac:dyDescent="0.3">
      <c r="A68">
        <v>66</v>
      </c>
      <c r="B68" s="1" t="s">
        <v>133</v>
      </c>
      <c r="C68" t="s">
        <v>134</v>
      </c>
      <c r="D68" s="1" t="s">
        <v>135</v>
      </c>
    </row>
    <row r="69" spans="1:4" hidden="1" x14ac:dyDescent="0.3">
      <c r="A69">
        <v>67</v>
      </c>
      <c r="B69" t="s">
        <v>21</v>
      </c>
      <c r="C69" t="s">
        <v>22</v>
      </c>
      <c r="D69">
        <v>38.25</v>
      </c>
    </row>
    <row r="70" spans="1:4" hidden="1" x14ac:dyDescent="0.3">
      <c r="A70">
        <v>68</v>
      </c>
      <c r="B70" t="s">
        <v>136</v>
      </c>
      <c r="C70" t="s">
        <v>24</v>
      </c>
      <c r="D70">
        <v>5.8285142265677496</v>
      </c>
    </row>
    <row r="71" spans="1:4" hidden="1" x14ac:dyDescent="0.3">
      <c r="A71">
        <v>69</v>
      </c>
      <c r="B71" s="1" t="s">
        <v>137</v>
      </c>
      <c r="C71" t="s">
        <v>138</v>
      </c>
      <c r="D71" s="1" t="s">
        <v>139</v>
      </c>
    </row>
    <row r="72" spans="1:4" hidden="1" x14ac:dyDescent="0.3">
      <c r="A72">
        <v>70</v>
      </c>
      <c r="B72" t="s">
        <v>140</v>
      </c>
      <c r="C72" t="s">
        <v>35</v>
      </c>
      <c r="D72">
        <v>0.54595604211561299</v>
      </c>
    </row>
    <row r="73" spans="1:4" hidden="1" x14ac:dyDescent="0.3">
      <c r="A73">
        <v>71</v>
      </c>
      <c r="B73" t="s">
        <v>141</v>
      </c>
      <c r="C73" t="s">
        <v>142</v>
      </c>
      <c r="D73">
        <v>0.69102610472278203</v>
      </c>
    </row>
    <row r="74" spans="1:4" hidden="1" x14ac:dyDescent="0.3">
      <c r="A74">
        <v>72</v>
      </c>
      <c r="B74" s="1" t="s">
        <v>143</v>
      </c>
      <c r="C74" t="s">
        <v>144</v>
      </c>
      <c r="D74" s="1" t="s">
        <v>38</v>
      </c>
    </row>
    <row r="75" spans="1:4" hidden="1" x14ac:dyDescent="0.3">
      <c r="A75">
        <v>73</v>
      </c>
      <c r="B75" t="s">
        <v>145</v>
      </c>
      <c r="C75" t="s">
        <v>30</v>
      </c>
      <c r="D75">
        <v>0.192806867088269</v>
      </c>
    </row>
    <row r="76" spans="1:4" hidden="1" x14ac:dyDescent="0.3">
      <c r="A76">
        <v>74</v>
      </c>
      <c r="B76" t="s">
        <v>146</v>
      </c>
      <c r="C76" t="s">
        <v>32</v>
      </c>
      <c r="D76">
        <v>0.247248214110564</v>
      </c>
    </row>
    <row r="77" spans="1:4" hidden="1" x14ac:dyDescent="0.3">
      <c r="A77">
        <v>75</v>
      </c>
      <c r="B77" s="1" t="s">
        <v>147</v>
      </c>
      <c r="C77" t="s">
        <v>148</v>
      </c>
      <c r="D77" s="1" t="s">
        <v>33</v>
      </c>
    </row>
    <row r="78" spans="1:4" hidden="1" x14ac:dyDescent="0.3">
      <c r="A78">
        <v>76</v>
      </c>
      <c r="B78" t="s">
        <v>149</v>
      </c>
      <c r="C78" t="s">
        <v>40</v>
      </c>
      <c r="D78">
        <v>0.26123709079611701</v>
      </c>
    </row>
    <row r="79" spans="1:4" hidden="1" x14ac:dyDescent="0.3">
      <c r="A79">
        <v>77</v>
      </c>
      <c r="B79" t="s">
        <v>150</v>
      </c>
      <c r="C79" t="s">
        <v>42</v>
      </c>
      <c r="D79">
        <v>0.199875119097185</v>
      </c>
    </row>
    <row r="80" spans="1:4" hidden="1" x14ac:dyDescent="0.3">
      <c r="A80">
        <v>78</v>
      </c>
      <c r="B80" s="1" t="s">
        <v>151</v>
      </c>
      <c r="C80" t="s">
        <v>152</v>
      </c>
      <c r="D80" s="1" t="s">
        <v>43</v>
      </c>
    </row>
    <row r="81" spans="1:4" hidden="1" x14ac:dyDescent="0.3">
      <c r="A81">
        <v>79</v>
      </c>
      <c r="B81" t="s">
        <v>153</v>
      </c>
      <c r="C81" t="s">
        <v>154</v>
      </c>
      <c r="D81">
        <v>1</v>
      </c>
    </row>
    <row r="82" spans="1:4" hidden="1" x14ac:dyDescent="0.3">
      <c r="A82">
        <v>80</v>
      </c>
      <c r="B82" t="s">
        <v>155</v>
      </c>
      <c r="C82" t="s">
        <v>156</v>
      </c>
      <c r="D82">
        <v>1</v>
      </c>
    </row>
    <row r="83" spans="1:4" hidden="1" x14ac:dyDescent="0.3">
      <c r="A83">
        <v>81</v>
      </c>
      <c r="B83" s="1" t="s">
        <v>157</v>
      </c>
      <c r="C83" t="s">
        <v>158</v>
      </c>
      <c r="D83" s="1" t="s">
        <v>159</v>
      </c>
    </row>
    <row r="84" spans="1:4" hidden="1" x14ac:dyDescent="0.3">
      <c r="A84">
        <v>82</v>
      </c>
      <c r="B84" t="s">
        <v>160</v>
      </c>
      <c r="C84" t="s">
        <v>161</v>
      </c>
      <c r="D84">
        <v>1.00249903495778</v>
      </c>
    </row>
    <row r="85" spans="1:4" hidden="1" x14ac:dyDescent="0.3">
      <c r="A85">
        <v>83</v>
      </c>
      <c r="B85" t="s">
        <v>162</v>
      </c>
      <c r="C85" t="s">
        <v>163</v>
      </c>
      <c r="D85">
        <v>0.99588265513729102</v>
      </c>
    </row>
    <row r="86" spans="1:4" hidden="1" x14ac:dyDescent="0.3">
      <c r="A86">
        <v>84</v>
      </c>
      <c r="B86" s="1" t="s">
        <v>164</v>
      </c>
      <c r="C86" t="s">
        <v>165</v>
      </c>
      <c r="D86" s="1" t="s">
        <v>166</v>
      </c>
    </row>
    <row r="87" spans="1:4" hidden="1" x14ac:dyDescent="0.3">
      <c r="A87">
        <v>85</v>
      </c>
      <c r="B87" s="1" t="s">
        <v>167</v>
      </c>
      <c r="C87" t="s">
        <v>55</v>
      </c>
      <c r="D87" s="1" t="s">
        <v>168</v>
      </c>
    </row>
    <row r="88" spans="1:4" hidden="1" x14ac:dyDescent="0.3">
      <c r="A88">
        <v>86</v>
      </c>
      <c r="B88" s="1" t="s">
        <v>169</v>
      </c>
      <c r="C88" t="s">
        <v>52</v>
      </c>
      <c r="D88" s="1" t="s">
        <v>170</v>
      </c>
    </row>
    <row r="89" spans="1:4" hidden="1" x14ac:dyDescent="0.3">
      <c r="A89">
        <v>87</v>
      </c>
      <c r="B89" s="1" t="s">
        <v>171</v>
      </c>
      <c r="C89" t="s">
        <v>58</v>
      </c>
      <c r="D89" s="1" t="s">
        <v>172</v>
      </c>
    </row>
    <row r="90" spans="1:4" hidden="1" x14ac:dyDescent="0.3">
      <c r="A90">
        <v>88</v>
      </c>
      <c r="B90" t="s">
        <v>173</v>
      </c>
      <c r="C90" t="s">
        <v>60</v>
      </c>
      <c r="D90">
        <v>149994013.524369</v>
      </c>
    </row>
    <row r="91" spans="1:4" hidden="1" x14ac:dyDescent="0.3">
      <c r="A91">
        <v>89</v>
      </c>
      <c r="B91" t="s">
        <v>61</v>
      </c>
      <c r="C91" t="s">
        <v>62</v>
      </c>
      <c r="D91">
        <v>80000000</v>
      </c>
    </row>
    <row r="92" spans="1:4" hidden="1" x14ac:dyDescent="0.3">
      <c r="A92">
        <v>90</v>
      </c>
      <c r="B92" t="s">
        <v>63</v>
      </c>
      <c r="C92" t="s">
        <v>64</v>
      </c>
      <c r="D92">
        <v>35000000</v>
      </c>
    </row>
    <row r="93" spans="1:4" hidden="1" x14ac:dyDescent="0.3">
      <c r="A93">
        <v>91</v>
      </c>
      <c r="B93" s="1" t="s">
        <v>174</v>
      </c>
      <c r="C93" t="s">
        <v>66</v>
      </c>
      <c r="D93" s="1" t="s">
        <v>175</v>
      </c>
    </row>
    <row r="94" spans="1:4" hidden="1" x14ac:dyDescent="0.3">
      <c r="A94">
        <v>92</v>
      </c>
      <c r="B94" s="1" t="s">
        <v>176</v>
      </c>
      <c r="C94" t="s">
        <v>69</v>
      </c>
      <c r="D94" s="1" t="s">
        <v>177</v>
      </c>
    </row>
    <row r="95" spans="1:4" hidden="1" x14ac:dyDescent="0.3">
      <c r="A95">
        <v>93</v>
      </c>
      <c r="B95" t="s">
        <v>178</v>
      </c>
      <c r="C95" t="s">
        <v>72</v>
      </c>
      <c r="D95">
        <v>0.99996984597653304</v>
      </c>
    </row>
    <row r="96" spans="1:4" hidden="1" x14ac:dyDescent="0.3">
      <c r="A96">
        <v>94</v>
      </c>
      <c r="B96" t="s">
        <v>73</v>
      </c>
      <c r="C96" t="s">
        <v>74</v>
      </c>
      <c r="D96">
        <v>2.7397260273972599E-3</v>
      </c>
    </row>
    <row r="97" spans="1:4" hidden="1" x14ac:dyDescent="0.3">
      <c r="A97">
        <v>95</v>
      </c>
      <c r="B97" t="s">
        <v>75</v>
      </c>
      <c r="C97" t="s">
        <v>76</v>
      </c>
      <c r="D97">
        <v>0</v>
      </c>
    </row>
    <row r="98" spans="1:4" hidden="1" x14ac:dyDescent="0.3">
      <c r="A98">
        <v>96</v>
      </c>
      <c r="B98" t="s">
        <v>77</v>
      </c>
      <c r="C98" t="s">
        <v>78</v>
      </c>
      <c r="D98">
        <v>0</v>
      </c>
    </row>
    <row r="99" spans="1:4" hidden="1" x14ac:dyDescent="0.3">
      <c r="A99">
        <v>97</v>
      </c>
      <c r="B99" s="1" t="s">
        <v>179</v>
      </c>
      <c r="C99" t="s">
        <v>80</v>
      </c>
      <c r="D99" s="1" t="s">
        <v>180</v>
      </c>
    </row>
    <row r="100" spans="1:4" hidden="1" x14ac:dyDescent="0.3">
      <c r="A100">
        <v>98</v>
      </c>
      <c r="B100" t="s">
        <v>181</v>
      </c>
      <c r="C100" t="s">
        <v>83</v>
      </c>
      <c r="D100">
        <v>0.99998741518959799</v>
      </c>
    </row>
    <row r="101" spans="1:4" hidden="1" x14ac:dyDescent="0.3">
      <c r="A101">
        <v>99</v>
      </c>
      <c r="B101" s="1" t="s">
        <v>182</v>
      </c>
      <c r="C101" t="s">
        <v>85</v>
      </c>
      <c r="D101" s="1" t="s">
        <v>183</v>
      </c>
    </row>
    <row r="102" spans="1:4" hidden="1" x14ac:dyDescent="0.3">
      <c r="A102">
        <v>100</v>
      </c>
      <c r="B102" t="s">
        <v>184</v>
      </c>
      <c r="C102" t="s">
        <v>88</v>
      </c>
      <c r="D102">
        <v>100001258.496878</v>
      </c>
    </row>
    <row r="103" spans="1:4" hidden="1" x14ac:dyDescent="0.3">
      <c r="A103">
        <v>101</v>
      </c>
      <c r="B103" s="1" t="s">
        <v>185</v>
      </c>
      <c r="C103" t="s">
        <v>90</v>
      </c>
      <c r="D103" s="1" t="s">
        <v>186</v>
      </c>
    </row>
    <row r="104" spans="1:4" hidden="1" x14ac:dyDescent="0.3">
      <c r="A104">
        <v>102</v>
      </c>
      <c r="B104" t="s">
        <v>92</v>
      </c>
      <c r="C104" t="s">
        <v>93</v>
      </c>
      <c r="D104">
        <v>80000000</v>
      </c>
    </row>
    <row r="105" spans="1:4" hidden="1" x14ac:dyDescent="0.3">
      <c r="A105">
        <v>103</v>
      </c>
      <c r="B105" t="s">
        <v>94</v>
      </c>
      <c r="C105" t="s">
        <v>95</v>
      </c>
      <c r="D105">
        <v>35000000</v>
      </c>
    </row>
    <row r="106" spans="1:4" hidden="1" x14ac:dyDescent="0.3">
      <c r="A106">
        <v>104</v>
      </c>
      <c r="B106" t="s">
        <v>187</v>
      </c>
      <c r="C106" t="s">
        <v>97</v>
      </c>
      <c r="D106">
        <v>34994013.524369501</v>
      </c>
    </row>
    <row r="107" spans="1:4" hidden="1" x14ac:dyDescent="0.3">
      <c r="A107">
        <v>105</v>
      </c>
      <c r="B107" s="1" t="s">
        <v>188</v>
      </c>
      <c r="C107" t="s">
        <v>99</v>
      </c>
      <c r="D107" s="1" t="s">
        <v>189</v>
      </c>
    </row>
    <row r="108" spans="1:4" hidden="1" x14ac:dyDescent="0.3">
      <c r="A108">
        <v>106</v>
      </c>
      <c r="B108" t="s">
        <v>190</v>
      </c>
      <c r="C108" t="s">
        <v>102</v>
      </c>
      <c r="D108">
        <v>7.6511284461289698E-3</v>
      </c>
    </row>
    <row r="109" spans="1:4" hidden="1" x14ac:dyDescent="0.3">
      <c r="A109">
        <v>107</v>
      </c>
      <c r="B109" t="s">
        <v>191</v>
      </c>
      <c r="C109" t="s">
        <v>104</v>
      </c>
      <c r="D109">
        <v>1.4611641764846401E-3</v>
      </c>
    </row>
    <row r="110" spans="1:4" hidden="1" x14ac:dyDescent="0.3">
      <c r="A110">
        <v>108</v>
      </c>
      <c r="B110" t="s">
        <v>192</v>
      </c>
      <c r="C110" t="s">
        <v>106</v>
      </c>
      <c r="D110">
        <v>1.9152847836675702E-2</v>
      </c>
    </row>
    <row r="111" spans="1:4" hidden="1" x14ac:dyDescent="0.3">
      <c r="A111">
        <v>109</v>
      </c>
      <c r="B111" s="1" t="s">
        <v>193</v>
      </c>
      <c r="C111" t="s">
        <v>108</v>
      </c>
      <c r="D111" s="1" t="s">
        <v>194</v>
      </c>
    </row>
    <row r="112" spans="1:4" hidden="1" x14ac:dyDescent="0.3">
      <c r="A112">
        <v>110</v>
      </c>
      <c r="B112" t="s">
        <v>195</v>
      </c>
      <c r="C112" t="s">
        <v>196</v>
      </c>
      <c r="D112">
        <v>149994618.95598599</v>
      </c>
    </row>
    <row r="113" spans="1:4" hidden="1" x14ac:dyDescent="0.3">
      <c r="A113">
        <v>111</v>
      </c>
      <c r="B113" t="s">
        <v>197</v>
      </c>
      <c r="C113" t="s">
        <v>198</v>
      </c>
      <c r="D113">
        <v>-1405.5872118544501</v>
      </c>
    </row>
    <row r="114" spans="1:4" hidden="1" x14ac:dyDescent="0.3">
      <c r="A114">
        <v>112</v>
      </c>
      <c r="B114" t="s">
        <v>199</v>
      </c>
      <c r="C114" t="s">
        <v>200</v>
      </c>
      <c r="D114">
        <v>-614.94216990912798</v>
      </c>
    </row>
    <row r="115" spans="1:4" hidden="1" x14ac:dyDescent="0.3">
      <c r="A115">
        <v>113</v>
      </c>
      <c r="B115" s="1" t="s">
        <v>201</v>
      </c>
      <c r="C115" t="s">
        <v>202</v>
      </c>
      <c r="D115" s="1" t="s">
        <v>203</v>
      </c>
    </row>
    <row r="116" spans="1:4" hidden="1" x14ac:dyDescent="0.3">
      <c r="A116">
        <v>114</v>
      </c>
      <c r="B116" t="s">
        <v>204</v>
      </c>
      <c r="C116" t="s">
        <v>205</v>
      </c>
      <c r="D116">
        <v>80001848.551532805</v>
      </c>
    </row>
    <row r="117" spans="1:4" hidden="1" x14ac:dyDescent="0.3">
      <c r="A117">
        <v>115</v>
      </c>
      <c r="B117" t="s">
        <v>206</v>
      </c>
      <c r="C117" t="s">
        <v>207</v>
      </c>
      <c r="D117">
        <v>35000681.515957803</v>
      </c>
    </row>
    <row r="118" spans="1:4" hidden="1" x14ac:dyDescent="0.3">
      <c r="A118">
        <v>116</v>
      </c>
      <c r="B118" t="s">
        <v>208</v>
      </c>
      <c r="C118" t="s">
        <v>209</v>
      </c>
      <c r="D118">
        <v>34994724.255382203</v>
      </c>
    </row>
    <row r="119" spans="1:4" hidden="1" x14ac:dyDescent="0.3">
      <c r="A119">
        <v>117</v>
      </c>
      <c r="B119" s="1" t="s">
        <v>210</v>
      </c>
      <c r="C119" t="s">
        <v>211</v>
      </c>
      <c r="D119" s="1" t="s">
        <v>212</v>
      </c>
    </row>
    <row r="120" spans="1:4" hidden="1" x14ac:dyDescent="0.3">
      <c r="A120">
        <v>118</v>
      </c>
      <c r="B120" t="s">
        <v>213</v>
      </c>
      <c r="C120" t="s">
        <v>214</v>
      </c>
      <c r="D120">
        <v>100003015.493275</v>
      </c>
    </row>
    <row r="121" spans="1:4" hidden="1" x14ac:dyDescent="0.3">
      <c r="A121">
        <v>119</v>
      </c>
      <c r="B121" t="s">
        <v>215</v>
      </c>
      <c r="C121" t="s">
        <v>216</v>
      </c>
      <c r="D121">
        <v>-1756.9963978230901</v>
      </c>
    </row>
    <row r="122" spans="1:4" hidden="1" x14ac:dyDescent="0.3">
      <c r="A122">
        <v>120</v>
      </c>
      <c r="B122" s="1" t="s">
        <v>217</v>
      </c>
      <c r="C122" t="s">
        <v>218</v>
      </c>
      <c r="D122" s="1" t="s">
        <v>219</v>
      </c>
    </row>
    <row r="123" spans="1:4" hidden="1" x14ac:dyDescent="0.3">
      <c r="A123">
        <v>121</v>
      </c>
      <c r="B123" t="s">
        <v>220</v>
      </c>
      <c r="C123" t="s">
        <v>111</v>
      </c>
      <c r="D123">
        <v>442.96432098603901</v>
      </c>
    </row>
    <row r="124" spans="1:4" hidden="1" x14ac:dyDescent="0.3">
      <c r="A124">
        <v>122</v>
      </c>
      <c r="B124" t="s">
        <v>221</v>
      </c>
      <c r="C124" t="s">
        <v>113</v>
      </c>
      <c r="D124">
        <v>66.573787888562194</v>
      </c>
    </row>
    <row r="125" spans="1:4" hidden="1" x14ac:dyDescent="0.3">
      <c r="A125">
        <v>123</v>
      </c>
      <c r="B125" s="1" t="s">
        <v>222</v>
      </c>
      <c r="C125" t="s">
        <v>115</v>
      </c>
      <c r="D125" s="1" t="s">
        <v>223</v>
      </c>
    </row>
    <row r="126" spans="1:4" hidden="1" x14ac:dyDescent="0.3">
      <c r="A126">
        <v>124</v>
      </c>
      <c r="B126" t="s">
        <v>224</v>
      </c>
      <c r="C126" t="s">
        <v>118</v>
      </c>
      <c r="D126">
        <v>80001848.551532805</v>
      </c>
    </row>
    <row r="127" spans="1:4" hidden="1" x14ac:dyDescent="0.3">
      <c r="A127">
        <v>125</v>
      </c>
      <c r="B127" t="s">
        <v>225</v>
      </c>
      <c r="C127" t="s">
        <v>120</v>
      </c>
      <c r="D127">
        <v>35000681.515957803</v>
      </c>
    </row>
    <row r="128" spans="1:4" hidden="1" x14ac:dyDescent="0.3">
      <c r="A128">
        <v>126</v>
      </c>
      <c r="B128" s="1" t="s">
        <v>226</v>
      </c>
      <c r="C128" t="s">
        <v>122</v>
      </c>
      <c r="D128" s="1" t="s">
        <v>227</v>
      </c>
    </row>
    <row r="129" spans="1:4" hidden="1" x14ac:dyDescent="0.3">
      <c r="A129">
        <v>127</v>
      </c>
      <c r="B129" t="s">
        <v>228</v>
      </c>
      <c r="C129" t="s">
        <v>125</v>
      </c>
      <c r="D129">
        <v>0.80000442964320895</v>
      </c>
    </row>
    <row r="130" spans="1:4" hidden="1" x14ac:dyDescent="0.3">
      <c r="A130">
        <v>128</v>
      </c>
      <c r="B130" t="s">
        <v>229</v>
      </c>
      <c r="C130" t="s">
        <v>127</v>
      </c>
      <c r="D130">
        <v>0.35000066573787803</v>
      </c>
    </row>
    <row r="131" spans="1:4" hidden="1" x14ac:dyDescent="0.3">
      <c r="A131">
        <v>129</v>
      </c>
      <c r="B131" s="1" t="s">
        <v>230</v>
      </c>
      <c r="C131" t="s">
        <v>129</v>
      </c>
      <c r="D131" s="1" t="s">
        <v>231</v>
      </c>
    </row>
    <row r="132" spans="1:4" x14ac:dyDescent="0.3">
      <c r="A132">
        <v>130</v>
      </c>
      <c r="B132" s="1" t="s">
        <v>3</v>
      </c>
      <c r="C132" t="s">
        <v>4</v>
      </c>
      <c r="D132" t="s">
        <v>5</v>
      </c>
    </row>
    <row r="133" spans="1:4" hidden="1" x14ac:dyDescent="0.3">
      <c r="A133">
        <v>131</v>
      </c>
      <c r="B133" t="s">
        <v>6</v>
      </c>
      <c r="C133" t="s">
        <v>7</v>
      </c>
      <c r="D133">
        <v>1981.95</v>
      </c>
    </row>
    <row r="134" spans="1:4" hidden="1" x14ac:dyDescent="0.3">
      <c r="A134">
        <v>132</v>
      </c>
      <c r="B134" s="1" t="s">
        <v>131</v>
      </c>
      <c r="C134" t="s">
        <v>9</v>
      </c>
      <c r="D134" s="1" t="s">
        <v>132</v>
      </c>
    </row>
    <row r="135" spans="1:4" hidden="1" x14ac:dyDescent="0.3">
      <c r="A135">
        <v>133</v>
      </c>
      <c r="B135" t="s">
        <v>13</v>
      </c>
      <c r="C135" t="s">
        <v>14</v>
      </c>
      <c r="D135">
        <v>91.74609375</v>
      </c>
    </row>
    <row r="136" spans="1:4" hidden="1" x14ac:dyDescent="0.3">
      <c r="A136">
        <v>134</v>
      </c>
      <c r="B136" t="s">
        <v>15</v>
      </c>
      <c r="C136" t="s">
        <v>16</v>
      </c>
      <c r="D136">
        <v>4.1883572307132804</v>
      </c>
    </row>
    <row r="137" spans="1:4" hidden="1" x14ac:dyDescent="0.3">
      <c r="A137">
        <v>135</v>
      </c>
      <c r="B137" s="1" t="s">
        <v>133</v>
      </c>
      <c r="C137" t="s">
        <v>134</v>
      </c>
      <c r="D137" s="1" t="s">
        <v>135</v>
      </c>
    </row>
    <row r="138" spans="1:4" hidden="1" x14ac:dyDescent="0.3">
      <c r="A138">
        <v>136</v>
      </c>
      <c r="B138" t="s">
        <v>21</v>
      </c>
      <c r="C138" t="s">
        <v>22</v>
      </c>
      <c r="D138">
        <v>38.25</v>
      </c>
    </row>
    <row r="139" spans="1:4" hidden="1" x14ac:dyDescent="0.3">
      <c r="A139">
        <v>137</v>
      </c>
      <c r="B139" t="s">
        <v>232</v>
      </c>
      <c r="C139" t="s">
        <v>24</v>
      </c>
      <c r="D139">
        <v>5.8240139509266298</v>
      </c>
    </row>
    <row r="140" spans="1:4" hidden="1" x14ac:dyDescent="0.3">
      <c r="A140">
        <v>138</v>
      </c>
      <c r="B140" s="1" t="s">
        <v>233</v>
      </c>
      <c r="C140" t="s">
        <v>138</v>
      </c>
      <c r="D140" s="1" t="s">
        <v>234</v>
      </c>
    </row>
    <row r="141" spans="1:4" hidden="1" x14ac:dyDescent="0.3">
      <c r="A141">
        <v>139</v>
      </c>
      <c r="B141" t="s">
        <v>235</v>
      </c>
      <c r="C141" t="s">
        <v>35</v>
      </c>
      <c r="D141">
        <v>0.54182093888177196</v>
      </c>
    </row>
    <row r="142" spans="1:4" hidden="1" x14ac:dyDescent="0.3">
      <c r="A142">
        <v>140</v>
      </c>
      <c r="B142" t="s">
        <v>236</v>
      </c>
      <c r="C142" t="s">
        <v>142</v>
      </c>
      <c r="D142">
        <v>0.68911984523886005</v>
      </c>
    </row>
    <row r="143" spans="1:4" hidden="1" x14ac:dyDescent="0.3">
      <c r="A143">
        <v>141</v>
      </c>
      <c r="B143" s="1" t="s">
        <v>237</v>
      </c>
      <c r="C143" t="s">
        <v>144</v>
      </c>
      <c r="D143" s="1" t="s">
        <v>238</v>
      </c>
    </row>
    <row r="144" spans="1:4" hidden="1" x14ac:dyDescent="0.3">
      <c r="A144">
        <v>142</v>
      </c>
      <c r="B144" t="s">
        <v>239</v>
      </c>
      <c r="C144" t="s">
        <v>30</v>
      </c>
      <c r="D144">
        <v>0.191346536515657</v>
      </c>
    </row>
    <row r="145" spans="1:4" hidden="1" x14ac:dyDescent="0.3">
      <c r="A145">
        <v>143</v>
      </c>
      <c r="B145" t="s">
        <v>240</v>
      </c>
      <c r="C145" t="s">
        <v>32</v>
      </c>
      <c r="D145">
        <v>0.249576149552308</v>
      </c>
    </row>
    <row r="146" spans="1:4" hidden="1" x14ac:dyDescent="0.3">
      <c r="A146">
        <v>144</v>
      </c>
      <c r="B146" s="1" t="s">
        <v>241</v>
      </c>
      <c r="C146" t="s">
        <v>148</v>
      </c>
      <c r="D146" s="1" t="s">
        <v>242</v>
      </c>
    </row>
    <row r="147" spans="1:4" hidden="1" x14ac:dyDescent="0.3">
      <c r="A147">
        <v>145</v>
      </c>
      <c r="B147" t="s">
        <v>243</v>
      </c>
      <c r="C147" t="s">
        <v>40</v>
      </c>
      <c r="D147">
        <v>0.26683252460257001</v>
      </c>
    </row>
    <row r="148" spans="1:4" hidden="1" x14ac:dyDescent="0.3">
      <c r="A148">
        <v>146</v>
      </c>
      <c r="B148" t="s">
        <v>244</v>
      </c>
      <c r="C148" t="s">
        <v>42</v>
      </c>
      <c r="D148">
        <v>0.201550250171941</v>
      </c>
    </row>
    <row r="149" spans="1:4" hidden="1" x14ac:dyDescent="0.3">
      <c r="A149">
        <v>147</v>
      </c>
      <c r="B149" s="1" t="s">
        <v>245</v>
      </c>
      <c r="C149" t="s">
        <v>152</v>
      </c>
      <c r="D149" s="1" t="s">
        <v>246</v>
      </c>
    </row>
    <row r="150" spans="1:4" hidden="1" x14ac:dyDescent="0.3">
      <c r="A150">
        <v>148</v>
      </c>
      <c r="B150" t="s">
        <v>153</v>
      </c>
      <c r="C150" t="s">
        <v>154</v>
      </c>
      <c r="D150">
        <v>1</v>
      </c>
    </row>
    <row r="151" spans="1:4" hidden="1" x14ac:dyDescent="0.3">
      <c r="A151">
        <v>149</v>
      </c>
      <c r="B151" t="s">
        <v>155</v>
      </c>
      <c r="C151" t="s">
        <v>156</v>
      </c>
      <c r="D151">
        <v>1</v>
      </c>
    </row>
    <row r="152" spans="1:4" hidden="1" x14ac:dyDescent="0.3">
      <c r="A152">
        <v>150</v>
      </c>
      <c r="B152" s="1" t="s">
        <v>247</v>
      </c>
      <c r="C152" t="s">
        <v>158</v>
      </c>
      <c r="D152" s="1" t="s">
        <v>248</v>
      </c>
    </row>
    <row r="153" spans="1:4" hidden="1" x14ac:dyDescent="0.3">
      <c r="A153">
        <v>151</v>
      </c>
      <c r="B153" t="s">
        <v>249</v>
      </c>
      <c r="C153" t="s">
        <v>161</v>
      </c>
      <c r="D153">
        <v>0.99887272025038598</v>
      </c>
    </row>
    <row r="154" spans="1:4" hidden="1" x14ac:dyDescent="0.3">
      <c r="A154">
        <v>152</v>
      </c>
      <c r="B154" t="s">
        <v>250</v>
      </c>
      <c r="C154" t="s">
        <v>163</v>
      </c>
      <c r="D154">
        <v>1.0018664572259199</v>
      </c>
    </row>
    <row r="155" spans="1:4" hidden="1" x14ac:dyDescent="0.3">
      <c r="A155">
        <v>153</v>
      </c>
      <c r="B155" s="1" t="s">
        <v>251</v>
      </c>
      <c r="C155" t="s">
        <v>165</v>
      </c>
      <c r="D155" s="1" t="s">
        <v>252</v>
      </c>
    </row>
    <row r="156" spans="1:4" hidden="1" x14ac:dyDescent="0.3">
      <c r="A156">
        <v>154</v>
      </c>
      <c r="B156" s="1" t="s">
        <v>253</v>
      </c>
      <c r="C156" t="s">
        <v>55</v>
      </c>
      <c r="D156" s="1" t="s">
        <v>254</v>
      </c>
    </row>
    <row r="157" spans="1:4" hidden="1" x14ac:dyDescent="0.3">
      <c r="A157">
        <v>155</v>
      </c>
      <c r="B157" s="1" t="s">
        <v>255</v>
      </c>
      <c r="C157" t="s">
        <v>52</v>
      </c>
      <c r="D157" s="1" t="s">
        <v>256</v>
      </c>
    </row>
    <row r="158" spans="1:4" hidden="1" x14ac:dyDescent="0.3">
      <c r="A158">
        <v>156</v>
      </c>
      <c r="B158" s="1" t="s">
        <v>257</v>
      </c>
      <c r="C158" t="s">
        <v>58</v>
      </c>
      <c r="D158" s="1" t="s">
        <v>258</v>
      </c>
    </row>
    <row r="159" spans="1:4" hidden="1" x14ac:dyDescent="0.3">
      <c r="A159">
        <v>157</v>
      </c>
      <c r="B159" t="s">
        <v>259</v>
      </c>
      <c r="C159" t="s">
        <v>60</v>
      </c>
      <c r="D159">
        <v>149993681.47319999</v>
      </c>
    </row>
    <row r="160" spans="1:4" hidden="1" x14ac:dyDescent="0.3">
      <c r="A160">
        <v>158</v>
      </c>
      <c r="B160" t="s">
        <v>260</v>
      </c>
      <c r="C160" t="s">
        <v>62</v>
      </c>
      <c r="D160">
        <v>80001848.551532805</v>
      </c>
    </row>
    <row r="161" spans="1:4" hidden="1" x14ac:dyDescent="0.3">
      <c r="A161">
        <v>159</v>
      </c>
      <c r="B161" t="s">
        <v>261</v>
      </c>
      <c r="C161" t="s">
        <v>64</v>
      </c>
      <c r="D161">
        <v>35000681.515957803</v>
      </c>
    </row>
    <row r="162" spans="1:4" hidden="1" x14ac:dyDescent="0.3">
      <c r="A162">
        <v>160</v>
      </c>
      <c r="B162" s="1" t="s">
        <v>262</v>
      </c>
      <c r="C162" t="s">
        <v>66</v>
      </c>
      <c r="D162" s="1" t="s">
        <v>263</v>
      </c>
    </row>
    <row r="163" spans="1:4" hidden="1" x14ac:dyDescent="0.3">
      <c r="A163">
        <v>161</v>
      </c>
      <c r="B163" s="1" t="s">
        <v>264</v>
      </c>
      <c r="C163" t="s">
        <v>69</v>
      </c>
      <c r="D163" s="1" t="s">
        <v>265</v>
      </c>
    </row>
    <row r="164" spans="1:4" hidden="1" x14ac:dyDescent="0.3">
      <c r="A164">
        <v>162</v>
      </c>
      <c r="B164" t="s">
        <v>266</v>
      </c>
      <c r="C164" t="s">
        <v>72</v>
      </c>
      <c r="D164">
        <v>0.99998741518959799</v>
      </c>
    </row>
    <row r="165" spans="1:4" hidden="1" x14ac:dyDescent="0.3">
      <c r="A165">
        <v>163</v>
      </c>
      <c r="B165" t="s">
        <v>73</v>
      </c>
      <c r="C165" t="s">
        <v>74</v>
      </c>
      <c r="D165">
        <v>2.7397260273972599E-3</v>
      </c>
    </row>
    <row r="166" spans="1:4" hidden="1" x14ac:dyDescent="0.3">
      <c r="A166">
        <v>164</v>
      </c>
      <c r="B166" t="s">
        <v>75</v>
      </c>
      <c r="C166" t="s">
        <v>76</v>
      </c>
      <c r="D166">
        <v>0</v>
      </c>
    </row>
    <row r="167" spans="1:4" hidden="1" x14ac:dyDescent="0.3">
      <c r="A167">
        <v>165</v>
      </c>
      <c r="B167" t="s">
        <v>77</v>
      </c>
      <c r="C167" t="s">
        <v>78</v>
      </c>
      <c r="D167">
        <v>0</v>
      </c>
    </row>
    <row r="168" spans="1:4" hidden="1" x14ac:dyDescent="0.3">
      <c r="A168">
        <v>166</v>
      </c>
      <c r="B168" s="1" t="s">
        <v>267</v>
      </c>
      <c r="C168" t="s">
        <v>80</v>
      </c>
      <c r="D168" s="1" t="s">
        <v>268</v>
      </c>
    </row>
    <row r="169" spans="1:4" hidden="1" x14ac:dyDescent="0.3">
      <c r="A169">
        <v>167</v>
      </c>
      <c r="B169" t="s">
        <v>269</v>
      </c>
      <c r="C169" t="s">
        <v>83</v>
      </c>
      <c r="D169">
        <v>0.99999908350408695</v>
      </c>
    </row>
    <row r="170" spans="1:4" hidden="1" x14ac:dyDescent="0.3">
      <c r="A170">
        <v>168</v>
      </c>
      <c r="B170" s="1" t="s">
        <v>270</v>
      </c>
      <c r="C170" t="s">
        <v>85</v>
      </c>
      <c r="D170" s="1" t="s">
        <v>271</v>
      </c>
    </row>
    <row r="171" spans="1:4" hidden="1" x14ac:dyDescent="0.3">
      <c r="A171">
        <v>169</v>
      </c>
      <c r="B171" t="s">
        <v>272</v>
      </c>
      <c r="C171" t="s">
        <v>88</v>
      </c>
      <c r="D171">
        <v>100000091.649675</v>
      </c>
    </row>
    <row r="172" spans="1:4" hidden="1" x14ac:dyDescent="0.3">
      <c r="A172">
        <v>170</v>
      </c>
      <c r="B172" s="1" t="s">
        <v>273</v>
      </c>
      <c r="C172" t="s">
        <v>90</v>
      </c>
      <c r="D172" s="1" t="s">
        <v>219</v>
      </c>
    </row>
    <row r="173" spans="1:4" hidden="1" x14ac:dyDescent="0.3">
      <c r="A173">
        <v>171</v>
      </c>
      <c r="B173" t="s">
        <v>274</v>
      </c>
      <c r="C173" t="s">
        <v>93</v>
      </c>
      <c r="D173">
        <v>80001848.551532805</v>
      </c>
    </row>
    <row r="174" spans="1:4" hidden="1" x14ac:dyDescent="0.3">
      <c r="A174">
        <v>172</v>
      </c>
      <c r="B174" t="s">
        <v>275</v>
      </c>
      <c r="C174" t="s">
        <v>95</v>
      </c>
      <c r="D174">
        <v>35000681.515957803</v>
      </c>
    </row>
    <row r="175" spans="1:4" hidden="1" x14ac:dyDescent="0.3">
      <c r="A175">
        <v>173</v>
      </c>
      <c r="B175" t="s">
        <v>276</v>
      </c>
      <c r="C175" t="s">
        <v>97</v>
      </c>
      <c r="D175">
        <v>34991151.405709401</v>
      </c>
    </row>
    <row r="176" spans="1:4" hidden="1" x14ac:dyDescent="0.3">
      <c r="A176">
        <v>174</v>
      </c>
      <c r="B176" s="1" t="s">
        <v>277</v>
      </c>
      <c r="C176" t="s">
        <v>99</v>
      </c>
      <c r="D176" s="1" t="s">
        <v>278</v>
      </c>
    </row>
    <row r="177" spans="1:4" hidden="1" x14ac:dyDescent="0.3">
      <c r="A177">
        <v>175</v>
      </c>
      <c r="B177" t="s">
        <v>279</v>
      </c>
      <c r="C177" t="s">
        <v>102</v>
      </c>
      <c r="D177">
        <v>7.5960185971379402E-3</v>
      </c>
    </row>
    <row r="178" spans="1:4" hidden="1" x14ac:dyDescent="0.3">
      <c r="A178">
        <v>176</v>
      </c>
      <c r="B178" t="s">
        <v>280</v>
      </c>
      <c r="C178" t="s">
        <v>104</v>
      </c>
      <c r="D178">
        <v>1.46804453784176E-3</v>
      </c>
    </row>
    <row r="179" spans="1:4" hidden="1" x14ac:dyDescent="0.3">
      <c r="A179">
        <v>177</v>
      </c>
      <c r="B179" t="s">
        <v>281</v>
      </c>
      <c r="C179" t="s">
        <v>106</v>
      </c>
      <c r="D179">
        <v>1.92088242128273E-2</v>
      </c>
    </row>
    <row r="180" spans="1:4" hidden="1" x14ac:dyDescent="0.3">
      <c r="A180">
        <v>178</v>
      </c>
      <c r="B180" s="1" t="s">
        <v>282</v>
      </c>
      <c r="C180" t="s">
        <v>108</v>
      </c>
      <c r="D180" s="1" t="s">
        <v>283</v>
      </c>
    </row>
    <row r="181" spans="1:4" hidden="1" x14ac:dyDescent="0.3">
      <c r="A181">
        <v>179</v>
      </c>
      <c r="B181" t="s">
        <v>284</v>
      </c>
      <c r="C181" t="s">
        <v>196</v>
      </c>
      <c r="D181">
        <v>149994083.14132601</v>
      </c>
    </row>
    <row r="182" spans="1:4" hidden="1" x14ac:dyDescent="0.3">
      <c r="A182">
        <v>180</v>
      </c>
      <c r="B182" t="s">
        <v>285</v>
      </c>
      <c r="C182" t="s">
        <v>198</v>
      </c>
      <c r="D182">
        <v>-933.50191011317997</v>
      </c>
    </row>
    <row r="183" spans="1:4" hidden="1" x14ac:dyDescent="0.3">
      <c r="A183">
        <v>181</v>
      </c>
      <c r="B183" t="s">
        <v>286</v>
      </c>
      <c r="C183" t="s">
        <v>200</v>
      </c>
      <c r="D183">
        <v>-408.40461218237402</v>
      </c>
    </row>
    <row r="184" spans="1:4" hidden="1" x14ac:dyDescent="0.3">
      <c r="A184">
        <v>182</v>
      </c>
      <c r="B184" s="1" t="s">
        <v>287</v>
      </c>
      <c r="C184" t="s">
        <v>202</v>
      </c>
      <c r="D184" s="1" t="s">
        <v>288</v>
      </c>
    </row>
    <row r="185" spans="1:4" hidden="1" x14ac:dyDescent="0.3">
      <c r="A185">
        <v>183</v>
      </c>
      <c r="B185" t="s">
        <v>289</v>
      </c>
      <c r="C185" t="s">
        <v>205</v>
      </c>
      <c r="D185">
        <v>80003076.315369397</v>
      </c>
    </row>
    <row r="186" spans="1:4" hidden="1" x14ac:dyDescent="0.3">
      <c r="A186">
        <v>184</v>
      </c>
      <c r="B186" t="s">
        <v>290</v>
      </c>
      <c r="C186" t="s">
        <v>207</v>
      </c>
      <c r="D186">
        <v>35001133.904497199</v>
      </c>
    </row>
    <row r="187" spans="1:4" hidden="1" x14ac:dyDescent="0.3">
      <c r="A187">
        <v>185</v>
      </c>
      <c r="B187" t="s">
        <v>291</v>
      </c>
      <c r="C187" t="s">
        <v>209</v>
      </c>
      <c r="D187">
        <v>34991623.121619798</v>
      </c>
    </row>
    <row r="188" spans="1:4" hidden="1" x14ac:dyDescent="0.3">
      <c r="A188">
        <v>186</v>
      </c>
      <c r="B188" s="1" t="s">
        <v>292</v>
      </c>
      <c r="C188" t="s">
        <v>211</v>
      </c>
      <c r="D188" s="1" t="s">
        <v>293</v>
      </c>
    </row>
    <row r="189" spans="1:4" hidden="1" x14ac:dyDescent="0.3">
      <c r="A189">
        <v>187</v>
      </c>
      <c r="B189" t="s">
        <v>294</v>
      </c>
      <c r="C189" t="s">
        <v>214</v>
      </c>
      <c r="D189">
        <v>100001258.496878</v>
      </c>
    </row>
    <row r="190" spans="1:4" hidden="1" x14ac:dyDescent="0.3">
      <c r="A190">
        <v>188</v>
      </c>
      <c r="B190" t="s">
        <v>295</v>
      </c>
      <c r="C190" t="s">
        <v>216</v>
      </c>
      <c r="D190">
        <v>-1166.84720288217</v>
      </c>
    </row>
    <row r="191" spans="1:4" hidden="1" x14ac:dyDescent="0.3">
      <c r="A191">
        <v>189</v>
      </c>
      <c r="B191" s="1" t="s">
        <v>296</v>
      </c>
      <c r="C191" t="s">
        <v>218</v>
      </c>
      <c r="D191" s="1" t="s">
        <v>297</v>
      </c>
    </row>
    <row r="192" spans="1:4" hidden="1" x14ac:dyDescent="0.3">
      <c r="A192">
        <v>190</v>
      </c>
      <c r="B192" t="s">
        <v>298</v>
      </c>
      <c r="C192" t="s">
        <v>111</v>
      </c>
      <c r="D192">
        <v>294.261926435156</v>
      </c>
    </row>
    <row r="193" spans="1:4" hidden="1" x14ac:dyDescent="0.3">
      <c r="A193">
        <v>191</v>
      </c>
      <c r="B193" t="s">
        <v>299</v>
      </c>
      <c r="C193" t="s">
        <v>113</v>
      </c>
      <c r="D193">
        <v>43.9839272634715</v>
      </c>
    </row>
    <row r="194" spans="1:4" hidden="1" x14ac:dyDescent="0.3">
      <c r="A194">
        <v>192</v>
      </c>
      <c r="B194" s="1" t="s">
        <v>300</v>
      </c>
      <c r="C194" t="s">
        <v>115</v>
      </c>
      <c r="D194" s="1" t="s">
        <v>301</v>
      </c>
    </row>
    <row r="195" spans="1:4" hidden="1" x14ac:dyDescent="0.3">
      <c r="A195">
        <v>193</v>
      </c>
      <c r="B195" t="s">
        <v>302</v>
      </c>
      <c r="C195" t="s">
        <v>118</v>
      </c>
      <c r="D195">
        <v>80003076.315369397</v>
      </c>
    </row>
    <row r="196" spans="1:4" hidden="1" x14ac:dyDescent="0.3">
      <c r="A196">
        <v>194</v>
      </c>
      <c r="B196" t="s">
        <v>303</v>
      </c>
      <c r="C196" t="s">
        <v>120</v>
      </c>
      <c r="D196">
        <v>35001133.904497199</v>
      </c>
    </row>
    <row r="197" spans="1:4" hidden="1" x14ac:dyDescent="0.3">
      <c r="A197">
        <v>195</v>
      </c>
      <c r="B197" s="1" t="s">
        <v>304</v>
      </c>
      <c r="C197" t="s">
        <v>122</v>
      </c>
      <c r="D197" s="1" t="s">
        <v>305</v>
      </c>
    </row>
    <row r="198" spans="1:4" hidden="1" x14ac:dyDescent="0.3">
      <c r="A198">
        <v>196</v>
      </c>
      <c r="B198" t="s">
        <v>306</v>
      </c>
      <c r="C198" t="s">
        <v>125</v>
      </c>
      <c r="D198">
        <v>0.80002142813459198</v>
      </c>
    </row>
    <row r="199" spans="1:4" hidden="1" x14ac:dyDescent="0.3">
      <c r="A199">
        <v>197</v>
      </c>
      <c r="B199" t="s">
        <v>307</v>
      </c>
      <c r="C199" t="s">
        <v>127</v>
      </c>
      <c r="D199">
        <v>0.35000725499884999</v>
      </c>
    </row>
    <row r="200" spans="1:4" hidden="1" x14ac:dyDescent="0.3">
      <c r="A200">
        <v>198</v>
      </c>
      <c r="B200" s="1" t="s">
        <v>308</v>
      </c>
      <c r="C200" t="s">
        <v>129</v>
      </c>
      <c r="D200" s="1" t="s">
        <v>309</v>
      </c>
    </row>
    <row r="201" spans="1:4" x14ac:dyDescent="0.3">
      <c r="A201">
        <v>199</v>
      </c>
      <c r="B201" s="1" t="s">
        <v>3</v>
      </c>
      <c r="C201" t="s">
        <v>4</v>
      </c>
      <c r="D201" t="s">
        <v>5</v>
      </c>
    </row>
    <row r="202" spans="1:4" hidden="1" x14ac:dyDescent="0.3">
      <c r="A202">
        <v>200</v>
      </c>
      <c r="B202" t="s">
        <v>6</v>
      </c>
      <c r="C202" t="s">
        <v>7</v>
      </c>
      <c r="D202">
        <v>1981.95</v>
      </c>
    </row>
    <row r="203" spans="1:4" hidden="1" x14ac:dyDescent="0.3">
      <c r="A203">
        <v>201</v>
      </c>
      <c r="B203" s="1" t="s">
        <v>131</v>
      </c>
      <c r="C203" t="s">
        <v>9</v>
      </c>
      <c r="D203" s="1" t="s">
        <v>132</v>
      </c>
    </row>
    <row r="204" spans="1:4" hidden="1" x14ac:dyDescent="0.3">
      <c r="A204">
        <v>202</v>
      </c>
      <c r="B204" t="s">
        <v>13</v>
      </c>
      <c r="C204" t="s">
        <v>14</v>
      </c>
      <c r="D204">
        <v>91.74609375</v>
      </c>
    </row>
    <row r="205" spans="1:4" hidden="1" x14ac:dyDescent="0.3">
      <c r="A205">
        <v>203</v>
      </c>
      <c r="B205" t="s">
        <v>15</v>
      </c>
      <c r="C205" t="s">
        <v>16</v>
      </c>
      <c r="D205">
        <v>4.1883572307132804</v>
      </c>
    </row>
    <row r="206" spans="1:4" hidden="1" x14ac:dyDescent="0.3">
      <c r="A206">
        <v>204</v>
      </c>
      <c r="B206" s="1" t="s">
        <v>133</v>
      </c>
      <c r="C206" t="s">
        <v>134</v>
      </c>
      <c r="D206" s="1" t="s">
        <v>135</v>
      </c>
    </row>
    <row r="207" spans="1:4" hidden="1" x14ac:dyDescent="0.3">
      <c r="A207">
        <v>205</v>
      </c>
      <c r="B207" t="s">
        <v>21</v>
      </c>
      <c r="C207" t="s">
        <v>22</v>
      </c>
      <c r="D207">
        <v>38.25</v>
      </c>
    </row>
    <row r="208" spans="1:4" hidden="1" x14ac:dyDescent="0.3">
      <c r="A208">
        <v>206</v>
      </c>
      <c r="B208" t="s">
        <v>310</v>
      </c>
      <c r="C208" t="s">
        <v>24</v>
      </c>
      <c r="D208">
        <v>5.8160151522284798</v>
      </c>
    </row>
    <row r="209" spans="1:4" hidden="1" x14ac:dyDescent="0.3">
      <c r="A209">
        <v>207</v>
      </c>
      <c r="B209" s="1" t="s">
        <v>311</v>
      </c>
      <c r="C209" t="s">
        <v>138</v>
      </c>
      <c r="D209" s="1" t="s">
        <v>312</v>
      </c>
    </row>
    <row r="210" spans="1:4" hidden="1" x14ac:dyDescent="0.3">
      <c r="A210">
        <v>208</v>
      </c>
      <c r="B210" t="s">
        <v>313</v>
      </c>
      <c r="C210" t="s">
        <v>35</v>
      </c>
      <c r="D210">
        <v>0.53870686867486495</v>
      </c>
    </row>
    <row r="211" spans="1:4" hidden="1" x14ac:dyDescent="0.3">
      <c r="A211">
        <v>209</v>
      </c>
      <c r="B211" t="s">
        <v>314</v>
      </c>
      <c r="C211" t="s">
        <v>142</v>
      </c>
      <c r="D211">
        <v>0.68878239672327302</v>
      </c>
    </row>
    <row r="212" spans="1:4" hidden="1" x14ac:dyDescent="0.3">
      <c r="A212">
        <v>210</v>
      </c>
      <c r="B212" s="1" t="s">
        <v>315</v>
      </c>
      <c r="C212" t="s">
        <v>144</v>
      </c>
      <c r="D212" s="1" t="s">
        <v>316</v>
      </c>
    </row>
    <row r="213" spans="1:4" hidden="1" x14ac:dyDescent="0.3">
      <c r="A213">
        <v>211</v>
      </c>
      <c r="B213" t="s">
        <v>317</v>
      </c>
      <c r="C213" t="s">
        <v>30</v>
      </c>
      <c r="D213">
        <v>0.190246788414766</v>
      </c>
    </row>
    <row r="214" spans="1:4" hidden="1" x14ac:dyDescent="0.3">
      <c r="A214">
        <v>212</v>
      </c>
      <c r="B214" t="s">
        <v>318</v>
      </c>
      <c r="C214" t="s">
        <v>32</v>
      </c>
      <c r="D214">
        <v>0.24997491650599399</v>
      </c>
    </row>
    <row r="215" spans="1:4" hidden="1" x14ac:dyDescent="0.3">
      <c r="A215">
        <v>213</v>
      </c>
      <c r="B215" s="1" t="s">
        <v>319</v>
      </c>
      <c r="C215" t="s">
        <v>148</v>
      </c>
      <c r="D215" s="1" t="s">
        <v>320</v>
      </c>
    </row>
    <row r="216" spans="1:4" hidden="1" x14ac:dyDescent="0.3">
      <c r="A216">
        <v>214</v>
      </c>
      <c r="B216" t="s">
        <v>321</v>
      </c>
      <c r="C216" t="s">
        <v>40</v>
      </c>
      <c r="D216">
        <v>0.271046342910368</v>
      </c>
    </row>
    <row r="217" spans="1:4" hidden="1" x14ac:dyDescent="0.3">
      <c r="A217">
        <v>215</v>
      </c>
      <c r="B217" t="s">
        <v>322</v>
      </c>
      <c r="C217" t="s">
        <v>42</v>
      </c>
      <c r="D217">
        <v>0.201862419577612</v>
      </c>
    </row>
    <row r="218" spans="1:4" hidden="1" x14ac:dyDescent="0.3">
      <c r="A218">
        <v>216</v>
      </c>
      <c r="B218" s="1" t="s">
        <v>323</v>
      </c>
      <c r="C218" t="s">
        <v>152</v>
      </c>
      <c r="D218" s="1" t="s">
        <v>324</v>
      </c>
    </row>
    <row r="219" spans="1:4" hidden="1" x14ac:dyDescent="0.3">
      <c r="A219">
        <v>217</v>
      </c>
      <c r="B219" t="s">
        <v>153</v>
      </c>
      <c r="C219" t="s">
        <v>154</v>
      </c>
      <c r="D219">
        <v>1</v>
      </c>
    </row>
    <row r="220" spans="1:4" hidden="1" x14ac:dyDescent="0.3">
      <c r="A220">
        <v>218</v>
      </c>
      <c r="B220" t="s">
        <v>155</v>
      </c>
      <c r="C220" t="s">
        <v>156</v>
      </c>
      <c r="D220">
        <v>1</v>
      </c>
    </row>
    <row r="221" spans="1:4" hidden="1" x14ac:dyDescent="0.3">
      <c r="A221">
        <v>219</v>
      </c>
      <c r="B221" s="1" t="s">
        <v>325</v>
      </c>
      <c r="C221" t="s">
        <v>158</v>
      </c>
      <c r="D221" s="1" t="s">
        <v>326</v>
      </c>
    </row>
    <row r="222" spans="1:4" hidden="1" x14ac:dyDescent="0.3">
      <c r="A222">
        <v>220</v>
      </c>
      <c r="B222" t="s">
        <v>327</v>
      </c>
      <c r="C222" t="s">
        <v>161</v>
      </c>
      <c r="D222">
        <v>0.99980022227757304</v>
      </c>
    </row>
    <row r="223" spans="1:4" hidden="1" x14ac:dyDescent="0.3">
      <c r="A223">
        <v>221</v>
      </c>
      <c r="B223" t="s">
        <v>328</v>
      </c>
      <c r="C223" t="s">
        <v>163</v>
      </c>
      <c r="D223">
        <v>1.00031912177087</v>
      </c>
    </row>
    <row r="224" spans="1:4" hidden="1" x14ac:dyDescent="0.3">
      <c r="A224">
        <v>222</v>
      </c>
      <c r="B224" s="1" t="s">
        <v>329</v>
      </c>
      <c r="C224" t="s">
        <v>165</v>
      </c>
      <c r="D224" s="1" t="s">
        <v>330</v>
      </c>
    </row>
    <row r="225" spans="1:4" hidden="1" x14ac:dyDescent="0.3">
      <c r="A225">
        <v>223</v>
      </c>
      <c r="B225" s="1" t="s">
        <v>331</v>
      </c>
      <c r="C225" t="s">
        <v>55</v>
      </c>
      <c r="D225" s="1" t="s">
        <v>332</v>
      </c>
    </row>
    <row r="226" spans="1:4" hidden="1" x14ac:dyDescent="0.3">
      <c r="A226">
        <v>224</v>
      </c>
      <c r="B226" s="1" t="s">
        <v>333</v>
      </c>
      <c r="C226" t="s">
        <v>52</v>
      </c>
      <c r="D226" s="1" t="s">
        <v>334</v>
      </c>
    </row>
    <row r="227" spans="1:4" hidden="1" x14ac:dyDescent="0.3">
      <c r="A227">
        <v>225</v>
      </c>
      <c r="B227" s="1" t="s">
        <v>335</v>
      </c>
      <c r="C227" t="s">
        <v>58</v>
      </c>
      <c r="D227" s="1" t="s">
        <v>336</v>
      </c>
    </row>
    <row r="228" spans="1:4" hidden="1" x14ac:dyDescent="0.3">
      <c r="A228">
        <v>226</v>
      </c>
      <c r="B228" t="s">
        <v>337</v>
      </c>
      <c r="C228" t="s">
        <v>60</v>
      </c>
      <c r="D228">
        <v>149989482.86590201</v>
      </c>
    </row>
    <row r="229" spans="1:4" hidden="1" x14ac:dyDescent="0.3">
      <c r="A229">
        <v>227</v>
      </c>
      <c r="B229" t="s">
        <v>338</v>
      </c>
      <c r="C229" t="s">
        <v>62</v>
      </c>
      <c r="D229">
        <v>80003076.315369397</v>
      </c>
    </row>
    <row r="230" spans="1:4" hidden="1" x14ac:dyDescent="0.3">
      <c r="A230">
        <v>228</v>
      </c>
      <c r="B230" t="s">
        <v>339</v>
      </c>
      <c r="C230" t="s">
        <v>64</v>
      </c>
      <c r="D230">
        <v>35001133.904497199</v>
      </c>
    </row>
    <row r="231" spans="1:4" hidden="1" x14ac:dyDescent="0.3">
      <c r="A231">
        <v>229</v>
      </c>
      <c r="B231" s="1" t="s">
        <v>340</v>
      </c>
      <c r="C231" t="s">
        <v>66</v>
      </c>
      <c r="D231" s="1" t="s">
        <v>341</v>
      </c>
    </row>
    <row r="232" spans="1:4" hidden="1" x14ac:dyDescent="0.3">
      <c r="A232">
        <v>230</v>
      </c>
      <c r="B232" s="1" t="s">
        <v>342</v>
      </c>
      <c r="C232" t="s">
        <v>69</v>
      </c>
      <c r="D232" s="1" t="s">
        <v>343</v>
      </c>
    </row>
    <row r="233" spans="1:4" hidden="1" x14ac:dyDescent="0.3">
      <c r="A233">
        <v>231</v>
      </c>
      <c r="B233" t="s">
        <v>344</v>
      </c>
      <c r="C233" t="s">
        <v>72</v>
      </c>
      <c r="D233">
        <v>0.99999908350408695</v>
      </c>
    </row>
    <row r="234" spans="1:4" hidden="1" x14ac:dyDescent="0.3">
      <c r="A234">
        <v>232</v>
      </c>
      <c r="B234" t="s">
        <v>73</v>
      </c>
      <c r="C234" t="s">
        <v>74</v>
      </c>
      <c r="D234">
        <v>2.7397260273972599E-3</v>
      </c>
    </row>
    <row r="235" spans="1:4" hidden="1" x14ac:dyDescent="0.3">
      <c r="A235">
        <v>233</v>
      </c>
      <c r="B235" t="s">
        <v>75</v>
      </c>
      <c r="C235" t="s">
        <v>76</v>
      </c>
      <c r="D235">
        <v>0</v>
      </c>
    </row>
    <row r="236" spans="1:4" hidden="1" x14ac:dyDescent="0.3">
      <c r="A236">
        <v>234</v>
      </c>
      <c r="B236" t="s">
        <v>77</v>
      </c>
      <c r="C236" t="s">
        <v>78</v>
      </c>
      <c r="D236">
        <v>0</v>
      </c>
    </row>
    <row r="237" spans="1:4" hidden="1" x14ac:dyDescent="0.3">
      <c r="A237">
        <v>235</v>
      </c>
      <c r="B237" s="1" t="s">
        <v>345</v>
      </c>
      <c r="C237" t="s">
        <v>80</v>
      </c>
      <c r="D237" s="1" t="s">
        <v>346</v>
      </c>
    </row>
    <row r="238" spans="1:4" hidden="1" x14ac:dyDescent="0.3">
      <c r="A238">
        <v>236</v>
      </c>
      <c r="B238" t="s">
        <v>347</v>
      </c>
      <c r="C238" t="s">
        <v>83</v>
      </c>
      <c r="D238">
        <v>0.99998929243051604</v>
      </c>
    </row>
    <row r="239" spans="1:4" hidden="1" x14ac:dyDescent="0.3">
      <c r="A239">
        <v>237</v>
      </c>
      <c r="B239" s="1" t="s">
        <v>348</v>
      </c>
      <c r="C239" t="s">
        <v>85</v>
      </c>
      <c r="D239" s="1" t="s">
        <v>349</v>
      </c>
    </row>
    <row r="240" spans="1:4" hidden="1" x14ac:dyDescent="0.3">
      <c r="A240">
        <v>238</v>
      </c>
      <c r="B240" t="s">
        <v>350</v>
      </c>
      <c r="C240" t="s">
        <v>88</v>
      </c>
      <c r="D240">
        <v>100001070.76841301</v>
      </c>
    </row>
    <row r="241" spans="1:4" hidden="1" x14ac:dyDescent="0.3">
      <c r="A241">
        <v>239</v>
      </c>
      <c r="B241" s="1" t="s">
        <v>351</v>
      </c>
      <c r="C241" t="s">
        <v>90</v>
      </c>
      <c r="D241" s="1" t="s">
        <v>297</v>
      </c>
    </row>
    <row r="242" spans="1:4" hidden="1" x14ac:dyDescent="0.3">
      <c r="A242">
        <v>240</v>
      </c>
      <c r="B242" t="s">
        <v>352</v>
      </c>
      <c r="C242" t="s">
        <v>93</v>
      </c>
      <c r="D242">
        <v>80003076.315369397</v>
      </c>
    </row>
    <row r="243" spans="1:4" hidden="1" x14ac:dyDescent="0.3">
      <c r="A243">
        <v>241</v>
      </c>
      <c r="B243" t="s">
        <v>353</v>
      </c>
      <c r="C243" t="s">
        <v>95</v>
      </c>
      <c r="D243">
        <v>35001133.904497199</v>
      </c>
    </row>
    <row r="244" spans="1:4" hidden="1" x14ac:dyDescent="0.3">
      <c r="A244">
        <v>242</v>
      </c>
      <c r="B244" t="s">
        <v>354</v>
      </c>
      <c r="C244" t="s">
        <v>97</v>
      </c>
      <c r="D244">
        <v>34985272.646036103</v>
      </c>
    </row>
    <row r="245" spans="1:4" hidden="1" x14ac:dyDescent="0.3">
      <c r="A245">
        <v>243</v>
      </c>
      <c r="B245" s="1" t="s">
        <v>355</v>
      </c>
      <c r="C245" t="s">
        <v>99</v>
      </c>
      <c r="D245" s="1" t="s">
        <v>356</v>
      </c>
    </row>
    <row r="246" spans="1:4" hidden="1" x14ac:dyDescent="0.3">
      <c r="A246">
        <v>244</v>
      </c>
      <c r="B246" t="s">
        <v>357</v>
      </c>
      <c r="C246" t="s">
        <v>102</v>
      </c>
      <c r="D246">
        <v>7.6348636112269002E-3</v>
      </c>
    </row>
    <row r="247" spans="1:4" hidden="1" x14ac:dyDescent="0.3">
      <c r="A247">
        <v>245</v>
      </c>
      <c r="B247" t="s">
        <v>358</v>
      </c>
      <c r="C247" t="s">
        <v>104</v>
      </c>
      <c r="D247">
        <v>1.47564101998112E-3</v>
      </c>
    </row>
    <row r="248" spans="1:4" hidden="1" x14ac:dyDescent="0.3">
      <c r="A248">
        <v>246</v>
      </c>
      <c r="B248" t="s">
        <v>359</v>
      </c>
      <c r="C248" t="s">
        <v>106</v>
      </c>
      <c r="D248">
        <v>1.93083057093059E-2</v>
      </c>
    </row>
    <row r="249" spans="1:4" hidden="1" x14ac:dyDescent="0.3">
      <c r="A249">
        <v>247</v>
      </c>
      <c r="B249" s="1" t="s">
        <v>360</v>
      </c>
      <c r="C249" t="s">
        <v>108</v>
      </c>
      <c r="D249" s="1" t="s">
        <v>361</v>
      </c>
    </row>
    <row r="250" spans="1:4" hidden="1" x14ac:dyDescent="0.3">
      <c r="A250">
        <v>248</v>
      </c>
      <c r="B250" t="s">
        <v>362</v>
      </c>
      <c r="C250" t="s">
        <v>196</v>
      </c>
      <c r="D250">
        <v>149989145.72407201</v>
      </c>
    </row>
    <row r="251" spans="1:4" hidden="1" x14ac:dyDescent="0.3">
      <c r="A251">
        <v>249</v>
      </c>
      <c r="B251" t="s">
        <v>363</v>
      </c>
      <c r="C251" t="s">
        <v>198</v>
      </c>
      <c r="D251">
        <v>783.31416732769605</v>
      </c>
    </row>
    <row r="252" spans="1:4" hidden="1" x14ac:dyDescent="0.3">
      <c r="A252">
        <v>250</v>
      </c>
      <c r="B252" t="s">
        <v>364</v>
      </c>
      <c r="C252" t="s">
        <v>200</v>
      </c>
      <c r="D252">
        <v>342.69860851204999</v>
      </c>
    </row>
    <row r="253" spans="1:4" hidden="1" x14ac:dyDescent="0.3">
      <c r="A253">
        <v>251</v>
      </c>
      <c r="B253" s="1" t="s">
        <v>365</v>
      </c>
      <c r="C253" t="s">
        <v>202</v>
      </c>
      <c r="D253" s="1" t="s">
        <v>366</v>
      </c>
    </row>
    <row r="254" spans="1:4" hidden="1" x14ac:dyDescent="0.3">
      <c r="A254">
        <v>252</v>
      </c>
      <c r="B254" t="s">
        <v>367</v>
      </c>
      <c r="C254" t="s">
        <v>205</v>
      </c>
      <c r="D254">
        <v>80002031.874762103</v>
      </c>
    </row>
    <row r="255" spans="1:4" hidden="1" x14ac:dyDescent="0.3">
      <c r="A255">
        <v>253</v>
      </c>
      <c r="B255" t="s">
        <v>368</v>
      </c>
      <c r="C255" t="s">
        <v>207</v>
      </c>
      <c r="D255">
        <v>35000752.118591502</v>
      </c>
    </row>
    <row r="256" spans="1:4" hidden="1" x14ac:dyDescent="0.3">
      <c r="A256">
        <v>254</v>
      </c>
      <c r="B256" t="s">
        <v>369</v>
      </c>
      <c r="C256" t="s">
        <v>209</v>
      </c>
      <c r="D256">
        <v>34984893.174612202</v>
      </c>
    </row>
    <row r="257" spans="1:4" hidden="1" x14ac:dyDescent="0.3">
      <c r="A257">
        <v>255</v>
      </c>
      <c r="B257" s="1" t="s">
        <v>370</v>
      </c>
      <c r="C257" t="s">
        <v>211</v>
      </c>
      <c r="D257" s="1" t="s">
        <v>371</v>
      </c>
    </row>
    <row r="258" spans="1:4" hidden="1" x14ac:dyDescent="0.3">
      <c r="A258">
        <v>256</v>
      </c>
      <c r="B258" t="s">
        <v>372</v>
      </c>
      <c r="C258" t="s">
        <v>214</v>
      </c>
      <c r="D258">
        <v>100000091.649675</v>
      </c>
    </row>
    <row r="259" spans="1:4" hidden="1" x14ac:dyDescent="0.3">
      <c r="A259">
        <v>257</v>
      </c>
      <c r="B259" t="s">
        <v>373</v>
      </c>
      <c r="C259" t="s">
        <v>216</v>
      </c>
      <c r="D259">
        <v>979.11873845755997</v>
      </c>
    </row>
    <row r="260" spans="1:4" hidden="1" x14ac:dyDescent="0.3">
      <c r="A260">
        <v>258</v>
      </c>
      <c r="B260" s="1" t="s">
        <v>374</v>
      </c>
      <c r="C260" t="s">
        <v>218</v>
      </c>
      <c r="D260" s="1" t="s">
        <v>375</v>
      </c>
    </row>
    <row r="261" spans="1:4" hidden="1" x14ac:dyDescent="0.3">
      <c r="A261">
        <v>259</v>
      </c>
      <c r="B261" t="s">
        <v>376</v>
      </c>
      <c r="C261" t="s">
        <v>111</v>
      </c>
      <c r="D261">
        <v>-261.12643988553498</v>
      </c>
    </row>
    <row r="262" spans="1:4" hidden="1" x14ac:dyDescent="0.3">
      <c r="A262">
        <v>260</v>
      </c>
      <c r="B262" t="s">
        <v>377</v>
      </c>
      <c r="C262" t="s">
        <v>113</v>
      </c>
      <c r="D262">
        <v>-39.087297147178901</v>
      </c>
    </row>
    <row r="263" spans="1:4" hidden="1" x14ac:dyDescent="0.3">
      <c r="A263">
        <v>261</v>
      </c>
      <c r="B263" s="1" t="s">
        <v>378</v>
      </c>
      <c r="C263" t="s">
        <v>115</v>
      </c>
      <c r="D263" s="1" t="s">
        <v>379</v>
      </c>
    </row>
    <row r="264" spans="1:4" hidden="1" x14ac:dyDescent="0.3">
      <c r="A264">
        <v>262</v>
      </c>
      <c r="B264" t="s">
        <v>380</v>
      </c>
      <c r="C264" t="s">
        <v>118</v>
      </c>
      <c r="D264">
        <v>80002031.874762103</v>
      </c>
    </row>
    <row r="265" spans="1:4" hidden="1" x14ac:dyDescent="0.3">
      <c r="A265">
        <v>263</v>
      </c>
      <c r="B265" t="s">
        <v>381</v>
      </c>
      <c r="C265" t="s">
        <v>120</v>
      </c>
      <c r="D265">
        <v>35000752.118591502</v>
      </c>
    </row>
    <row r="266" spans="1:4" hidden="1" x14ac:dyDescent="0.3">
      <c r="A266">
        <v>264</v>
      </c>
      <c r="B266" s="1" t="s">
        <v>382</v>
      </c>
      <c r="C266" t="s">
        <v>122</v>
      </c>
      <c r="D266" s="1" t="s">
        <v>383</v>
      </c>
    </row>
    <row r="267" spans="1:4" hidden="1" x14ac:dyDescent="0.3">
      <c r="A267">
        <v>265</v>
      </c>
      <c r="B267" t="s">
        <v>384</v>
      </c>
      <c r="C267" t="s">
        <v>125</v>
      </c>
      <c r="D267">
        <v>0.80002815188929499</v>
      </c>
    </row>
    <row r="268" spans="1:4" hidden="1" x14ac:dyDescent="0.3">
      <c r="A268">
        <v>266</v>
      </c>
      <c r="B268" t="s">
        <v>385</v>
      </c>
      <c r="C268" t="s">
        <v>127</v>
      </c>
      <c r="D268">
        <v>0.35001094817200101</v>
      </c>
    </row>
    <row r="269" spans="1:4" hidden="1" x14ac:dyDescent="0.3">
      <c r="A269">
        <v>267</v>
      </c>
      <c r="B269" s="1" t="s">
        <v>386</v>
      </c>
      <c r="C269" t="s">
        <v>129</v>
      </c>
      <c r="D269" s="1" t="s">
        <v>387</v>
      </c>
    </row>
    <row r="270" spans="1:4" x14ac:dyDescent="0.3">
      <c r="A270">
        <v>268</v>
      </c>
      <c r="B270" s="1" t="s">
        <v>3</v>
      </c>
      <c r="C270" t="s">
        <v>4</v>
      </c>
      <c r="D270" t="s">
        <v>5</v>
      </c>
    </row>
    <row r="271" spans="1:4" hidden="1" x14ac:dyDescent="0.3">
      <c r="A271">
        <v>269</v>
      </c>
      <c r="B271" t="s">
        <v>6</v>
      </c>
      <c r="C271" t="s">
        <v>7</v>
      </c>
      <c r="D271">
        <v>1981.95</v>
      </c>
    </row>
    <row r="272" spans="1:4" hidden="1" x14ac:dyDescent="0.3">
      <c r="A272">
        <v>270</v>
      </c>
      <c r="B272" s="1" t="s">
        <v>131</v>
      </c>
      <c r="C272" t="s">
        <v>9</v>
      </c>
      <c r="D272" s="1" t="s">
        <v>132</v>
      </c>
    </row>
    <row r="273" spans="1:4" hidden="1" x14ac:dyDescent="0.3">
      <c r="A273">
        <v>271</v>
      </c>
      <c r="B273" t="s">
        <v>13</v>
      </c>
      <c r="C273" t="s">
        <v>14</v>
      </c>
      <c r="D273">
        <v>91.74609375</v>
      </c>
    </row>
    <row r="274" spans="1:4" hidden="1" x14ac:dyDescent="0.3">
      <c r="A274">
        <v>272</v>
      </c>
      <c r="B274" t="s">
        <v>15</v>
      </c>
      <c r="C274" t="s">
        <v>16</v>
      </c>
      <c r="D274">
        <v>4.1883572307132804</v>
      </c>
    </row>
    <row r="275" spans="1:4" hidden="1" x14ac:dyDescent="0.3">
      <c r="A275">
        <v>273</v>
      </c>
      <c r="B275" s="1" t="s">
        <v>133</v>
      </c>
      <c r="C275" t="s">
        <v>134</v>
      </c>
      <c r="D275" s="1" t="s">
        <v>135</v>
      </c>
    </row>
    <row r="276" spans="1:4" hidden="1" x14ac:dyDescent="0.3">
      <c r="A276">
        <v>274</v>
      </c>
      <c r="B276" t="s">
        <v>21</v>
      </c>
      <c r="C276" t="s">
        <v>22</v>
      </c>
      <c r="D276">
        <v>38.25</v>
      </c>
    </row>
    <row r="277" spans="1:4" hidden="1" x14ac:dyDescent="0.3">
      <c r="A277">
        <v>275</v>
      </c>
      <c r="B277" t="s">
        <v>388</v>
      </c>
      <c r="C277" t="s">
        <v>24</v>
      </c>
      <c r="D277">
        <v>5.81538394297925</v>
      </c>
    </row>
    <row r="278" spans="1:4" hidden="1" x14ac:dyDescent="0.3">
      <c r="A278">
        <v>276</v>
      </c>
      <c r="B278" s="1" t="s">
        <v>389</v>
      </c>
      <c r="C278" t="s">
        <v>138</v>
      </c>
      <c r="D278" s="1" t="s">
        <v>390</v>
      </c>
    </row>
    <row r="279" spans="1:4" hidden="1" x14ac:dyDescent="0.3">
      <c r="A279">
        <v>277</v>
      </c>
      <c r="B279" t="s">
        <v>391</v>
      </c>
      <c r="C279" t="s">
        <v>35</v>
      </c>
      <c r="D279">
        <v>0.54218311793810303</v>
      </c>
    </row>
    <row r="280" spans="1:4" hidden="1" x14ac:dyDescent="0.3">
      <c r="A280">
        <v>278</v>
      </c>
      <c r="B280" t="s">
        <v>392</v>
      </c>
      <c r="C280" t="s">
        <v>142</v>
      </c>
      <c r="D280">
        <v>0.69142029067192601</v>
      </c>
    </row>
    <row r="281" spans="1:4" hidden="1" x14ac:dyDescent="0.3">
      <c r="A281">
        <v>279</v>
      </c>
      <c r="B281" s="1" t="s">
        <v>393</v>
      </c>
      <c r="C281" t="s">
        <v>144</v>
      </c>
      <c r="D281" s="1" t="s">
        <v>394</v>
      </c>
    </row>
    <row r="282" spans="1:4" hidden="1" x14ac:dyDescent="0.3">
      <c r="A282">
        <v>280</v>
      </c>
      <c r="B282" t="s">
        <v>395</v>
      </c>
      <c r="C282" t="s">
        <v>30</v>
      </c>
      <c r="D282">
        <v>0.19147444170177</v>
      </c>
    </row>
    <row r="283" spans="1:4" hidden="1" x14ac:dyDescent="0.3">
      <c r="A283">
        <v>281</v>
      </c>
      <c r="B283" t="s">
        <v>396</v>
      </c>
      <c r="C283" t="s">
        <v>32</v>
      </c>
      <c r="D283">
        <v>0.24680432807062999</v>
      </c>
    </row>
    <row r="284" spans="1:4" hidden="1" x14ac:dyDescent="0.3">
      <c r="A284">
        <v>282</v>
      </c>
      <c r="B284" s="1" t="s">
        <v>397</v>
      </c>
      <c r="C284" t="s">
        <v>148</v>
      </c>
      <c r="D284" s="1" t="s">
        <v>398</v>
      </c>
    </row>
    <row r="285" spans="1:4" hidden="1" x14ac:dyDescent="0.3">
      <c r="A285">
        <v>283</v>
      </c>
      <c r="B285" t="s">
        <v>399</v>
      </c>
      <c r="C285" t="s">
        <v>40</v>
      </c>
      <c r="D285">
        <v>0.266342440360126</v>
      </c>
    </row>
    <row r="286" spans="1:4" hidden="1" x14ac:dyDescent="0.3">
      <c r="A286">
        <v>284</v>
      </c>
      <c r="B286" t="s">
        <v>400</v>
      </c>
      <c r="C286" t="s">
        <v>42</v>
      </c>
      <c r="D286">
        <v>0.19949398496874199</v>
      </c>
    </row>
    <row r="287" spans="1:4" hidden="1" x14ac:dyDescent="0.3">
      <c r="A287">
        <v>285</v>
      </c>
      <c r="B287" s="1" t="s">
        <v>401</v>
      </c>
      <c r="C287" t="s">
        <v>152</v>
      </c>
      <c r="D287" s="1" t="s">
        <v>402</v>
      </c>
    </row>
    <row r="288" spans="1:4" hidden="1" x14ac:dyDescent="0.3">
      <c r="A288">
        <v>286</v>
      </c>
      <c r="B288" t="s">
        <v>153</v>
      </c>
      <c r="C288" t="s">
        <v>154</v>
      </c>
      <c r="D288">
        <v>1</v>
      </c>
    </row>
    <row r="289" spans="1:4" hidden="1" x14ac:dyDescent="0.3">
      <c r="A289">
        <v>287</v>
      </c>
      <c r="B289" t="s">
        <v>155</v>
      </c>
      <c r="C289" t="s">
        <v>156</v>
      </c>
      <c r="D289">
        <v>1</v>
      </c>
    </row>
    <row r="290" spans="1:4" hidden="1" x14ac:dyDescent="0.3">
      <c r="A290">
        <v>288</v>
      </c>
      <c r="B290" s="1" t="s">
        <v>403</v>
      </c>
      <c r="C290" t="s">
        <v>158</v>
      </c>
      <c r="D290" s="1" t="s">
        <v>404</v>
      </c>
    </row>
    <row r="291" spans="1:4" hidden="1" x14ac:dyDescent="0.3">
      <c r="A291">
        <v>289</v>
      </c>
      <c r="B291" t="s">
        <v>405</v>
      </c>
      <c r="C291" t="s">
        <v>161</v>
      </c>
      <c r="D291">
        <v>1.00156200938248</v>
      </c>
    </row>
    <row r="292" spans="1:4" hidden="1" x14ac:dyDescent="0.3">
      <c r="A292">
        <v>290</v>
      </c>
      <c r="B292" t="s">
        <v>406</v>
      </c>
      <c r="C292" t="s">
        <v>163</v>
      </c>
      <c r="D292">
        <v>0.99746347835184701</v>
      </c>
    </row>
    <row r="293" spans="1:4" hidden="1" x14ac:dyDescent="0.3">
      <c r="A293">
        <v>291</v>
      </c>
      <c r="B293" s="1" t="s">
        <v>407</v>
      </c>
      <c r="C293" t="s">
        <v>165</v>
      </c>
      <c r="D293" s="1" t="s">
        <v>408</v>
      </c>
    </row>
    <row r="294" spans="1:4" hidden="1" x14ac:dyDescent="0.3">
      <c r="A294">
        <v>292</v>
      </c>
      <c r="B294" s="1" t="s">
        <v>409</v>
      </c>
      <c r="C294" t="s">
        <v>55</v>
      </c>
      <c r="D294" s="1" t="s">
        <v>410</v>
      </c>
    </row>
    <row r="295" spans="1:4" hidden="1" x14ac:dyDescent="0.3">
      <c r="A295">
        <v>293</v>
      </c>
      <c r="B295" s="1" t="s">
        <v>411</v>
      </c>
      <c r="C295" t="s">
        <v>52</v>
      </c>
      <c r="D295" s="1" t="s">
        <v>412</v>
      </c>
    </row>
    <row r="296" spans="1:4" hidden="1" x14ac:dyDescent="0.3">
      <c r="A296">
        <v>294</v>
      </c>
      <c r="B296" s="1" t="s">
        <v>413</v>
      </c>
      <c r="C296" t="s">
        <v>58</v>
      </c>
      <c r="D296" s="1" t="s">
        <v>414</v>
      </c>
    </row>
    <row r="297" spans="1:4" hidden="1" x14ac:dyDescent="0.3">
      <c r="A297">
        <v>295</v>
      </c>
      <c r="B297" t="s">
        <v>415</v>
      </c>
      <c r="C297" t="s">
        <v>60</v>
      </c>
      <c r="D297">
        <v>149987176.038284</v>
      </c>
    </row>
    <row r="298" spans="1:4" hidden="1" x14ac:dyDescent="0.3">
      <c r="A298">
        <v>296</v>
      </c>
      <c r="B298" t="s">
        <v>416</v>
      </c>
      <c r="C298" t="s">
        <v>62</v>
      </c>
      <c r="D298">
        <v>80002031.874762103</v>
      </c>
    </row>
    <row r="299" spans="1:4" hidden="1" x14ac:dyDescent="0.3">
      <c r="A299">
        <v>297</v>
      </c>
      <c r="B299" t="s">
        <v>417</v>
      </c>
      <c r="C299" t="s">
        <v>64</v>
      </c>
      <c r="D299">
        <v>35000752.118591502</v>
      </c>
    </row>
    <row r="300" spans="1:4" hidden="1" x14ac:dyDescent="0.3">
      <c r="A300">
        <v>298</v>
      </c>
      <c r="B300" s="1" t="s">
        <v>418</v>
      </c>
      <c r="C300" t="s">
        <v>66</v>
      </c>
      <c r="D300" s="1" t="s">
        <v>419</v>
      </c>
    </row>
    <row r="301" spans="1:4" hidden="1" x14ac:dyDescent="0.3">
      <c r="A301">
        <v>299</v>
      </c>
      <c r="B301" s="1" t="s">
        <v>420</v>
      </c>
      <c r="C301" t="s">
        <v>69</v>
      </c>
      <c r="D301" s="1" t="s">
        <v>421</v>
      </c>
    </row>
    <row r="302" spans="1:4" hidden="1" x14ac:dyDescent="0.3">
      <c r="A302">
        <v>300</v>
      </c>
      <c r="B302" t="s">
        <v>422</v>
      </c>
      <c r="C302" t="s">
        <v>72</v>
      </c>
      <c r="D302">
        <v>0.99998929243051604</v>
      </c>
    </row>
    <row r="303" spans="1:4" hidden="1" x14ac:dyDescent="0.3">
      <c r="A303">
        <v>301</v>
      </c>
      <c r="B303" t="s">
        <v>73</v>
      </c>
      <c r="C303" t="s">
        <v>74</v>
      </c>
      <c r="D303">
        <v>2.7397260273972599E-3</v>
      </c>
    </row>
    <row r="304" spans="1:4" hidden="1" x14ac:dyDescent="0.3">
      <c r="A304">
        <v>302</v>
      </c>
      <c r="B304" t="s">
        <v>75</v>
      </c>
      <c r="C304" t="s">
        <v>76</v>
      </c>
      <c r="D304">
        <v>0</v>
      </c>
    </row>
    <row r="305" spans="1:4" hidden="1" x14ac:dyDescent="0.3">
      <c r="A305">
        <v>303</v>
      </c>
      <c r="B305" t="s">
        <v>77</v>
      </c>
      <c r="C305" t="s">
        <v>78</v>
      </c>
      <c r="D305">
        <v>0</v>
      </c>
    </row>
    <row r="306" spans="1:4" hidden="1" x14ac:dyDescent="0.3">
      <c r="A306">
        <v>304</v>
      </c>
      <c r="B306" s="1" t="s">
        <v>423</v>
      </c>
      <c r="C306" t="s">
        <v>80</v>
      </c>
      <c r="D306" s="1" t="s">
        <v>424</v>
      </c>
    </row>
    <row r="307" spans="1:4" hidden="1" x14ac:dyDescent="0.3">
      <c r="A307">
        <v>305</v>
      </c>
      <c r="B307" t="s">
        <v>425</v>
      </c>
      <c r="C307" t="s">
        <v>83</v>
      </c>
      <c r="D307">
        <v>0.99997274177479101</v>
      </c>
    </row>
    <row r="308" spans="1:4" hidden="1" x14ac:dyDescent="0.3">
      <c r="A308">
        <v>306</v>
      </c>
      <c r="B308" s="1" t="s">
        <v>426</v>
      </c>
      <c r="C308" t="s">
        <v>85</v>
      </c>
      <c r="D308" s="1" t="s">
        <v>427</v>
      </c>
    </row>
    <row r="309" spans="1:4" hidden="1" x14ac:dyDescent="0.3">
      <c r="A309">
        <v>307</v>
      </c>
      <c r="B309" t="s">
        <v>428</v>
      </c>
      <c r="C309" t="s">
        <v>88</v>
      </c>
      <c r="D309">
        <v>100002725.896823</v>
      </c>
    </row>
    <row r="310" spans="1:4" hidden="1" x14ac:dyDescent="0.3">
      <c r="A310">
        <v>308</v>
      </c>
      <c r="B310" s="1" t="s">
        <v>429</v>
      </c>
      <c r="C310" t="s">
        <v>90</v>
      </c>
      <c r="D310" s="1" t="s">
        <v>375</v>
      </c>
    </row>
    <row r="311" spans="1:4" hidden="1" x14ac:dyDescent="0.3">
      <c r="A311">
        <v>309</v>
      </c>
      <c r="B311" t="s">
        <v>430</v>
      </c>
      <c r="C311" t="s">
        <v>93</v>
      </c>
      <c r="D311">
        <v>80002031.874762103</v>
      </c>
    </row>
    <row r="312" spans="1:4" hidden="1" x14ac:dyDescent="0.3">
      <c r="A312">
        <v>310</v>
      </c>
      <c r="B312" t="s">
        <v>431</v>
      </c>
      <c r="C312" t="s">
        <v>95</v>
      </c>
      <c r="D312">
        <v>35000752.118591502</v>
      </c>
    </row>
    <row r="313" spans="1:4" hidden="1" x14ac:dyDescent="0.3">
      <c r="A313">
        <v>311</v>
      </c>
      <c r="B313" t="s">
        <v>432</v>
      </c>
      <c r="C313" t="s">
        <v>97</v>
      </c>
      <c r="D313">
        <v>34984392.044930302</v>
      </c>
    </row>
    <row r="314" spans="1:4" hidden="1" x14ac:dyDescent="0.3">
      <c r="A314">
        <v>312</v>
      </c>
      <c r="B314" s="1" t="s">
        <v>433</v>
      </c>
      <c r="C314" t="s">
        <v>99</v>
      </c>
      <c r="D314" s="1" t="s">
        <v>434</v>
      </c>
    </row>
    <row r="315" spans="1:4" hidden="1" x14ac:dyDescent="0.3">
      <c r="A315">
        <v>313</v>
      </c>
      <c r="B315" t="s">
        <v>435</v>
      </c>
      <c r="C315" t="s">
        <v>102</v>
      </c>
      <c r="D315">
        <v>7.6653835817623401E-3</v>
      </c>
    </row>
    <row r="316" spans="1:4" hidden="1" x14ac:dyDescent="0.3">
      <c r="A316">
        <v>314</v>
      </c>
      <c r="B316" t="s">
        <v>436</v>
      </c>
      <c r="C316" t="s">
        <v>104</v>
      </c>
      <c r="D316">
        <v>1.46514322118515E-3</v>
      </c>
    </row>
    <row r="317" spans="1:4" hidden="1" x14ac:dyDescent="0.3">
      <c r="A317">
        <v>315</v>
      </c>
      <c r="B317" t="s">
        <v>437</v>
      </c>
      <c r="C317" t="s">
        <v>106</v>
      </c>
      <c r="D317">
        <v>1.9316155492722399E-2</v>
      </c>
    </row>
    <row r="318" spans="1:4" hidden="1" x14ac:dyDescent="0.3">
      <c r="A318">
        <v>316</v>
      </c>
      <c r="B318" s="1" t="s">
        <v>438</v>
      </c>
      <c r="C318" t="s">
        <v>108</v>
      </c>
      <c r="D318" s="1" t="s">
        <v>439</v>
      </c>
    </row>
    <row r="319" spans="1:4" hidden="1" x14ac:dyDescent="0.3">
      <c r="A319">
        <v>317</v>
      </c>
      <c r="B319" t="s">
        <v>440</v>
      </c>
      <c r="C319" t="s">
        <v>196</v>
      </c>
      <c r="D319">
        <v>149986605.84308299</v>
      </c>
    </row>
    <row r="320" spans="1:4" hidden="1" x14ac:dyDescent="0.3">
      <c r="A320">
        <v>318</v>
      </c>
      <c r="B320" t="s">
        <v>441</v>
      </c>
      <c r="C320" t="s">
        <v>198</v>
      </c>
      <c r="D320">
        <v>1324.09295903218</v>
      </c>
    </row>
    <row r="321" spans="1:4" hidden="1" x14ac:dyDescent="0.3">
      <c r="A321">
        <v>319</v>
      </c>
      <c r="B321" t="s">
        <v>442</v>
      </c>
      <c r="C321" t="s">
        <v>200</v>
      </c>
      <c r="D321">
        <v>579.29050480283195</v>
      </c>
    </row>
    <row r="322" spans="1:4" hidden="1" x14ac:dyDescent="0.3">
      <c r="A322">
        <v>320</v>
      </c>
      <c r="B322" s="1" t="s">
        <v>443</v>
      </c>
      <c r="C322" t="s">
        <v>202</v>
      </c>
      <c r="D322" s="1" t="s">
        <v>444</v>
      </c>
    </row>
    <row r="323" spans="1:4" hidden="1" x14ac:dyDescent="0.3">
      <c r="A323">
        <v>321</v>
      </c>
      <c r="B323" t="s">
        <v>445</v>
      </c>
      <c r="C323" t="s">
        <v>205</v>
      </c>
      <c r="D323">
        <v>80000266.370005399</v>
      </c>
    </row>
    <row r="324" spans="1:4" hidden="1" x14ac:dyDescent="0.3">
      <c r="A324">
        <v>322</v>
      </c>
      <c r="B324" t="s">
        <v>446</v>
      </c>
      <c r="C324" t="s">
        <v>207</v>
      </c>
      <c r="D324">
        <v>35000106.581425399</v>
      </c>
    </row>
    <row r="325" spans="1:4" hidden="1" x14ac:dyDescent="0.3">
      <c r="A325">
        <v>323</v>
      </c>
      <c r="B325" t="s">
        <v>447</v>
      </c>
      <c r="C325" t="s">
        <v>209</v>
      </c>
      <c r="D325">
        <v>34983750.488395602</v>
      </c>
    </row>
    <row r="326" spans="1:4" hidden="1" x14ac:dyDescent="0.3">
      <c r="A326">
        <v>324</v>
      </c>
      <c r="B326" s="1" t="s">
        <v>448</v>
      </c>
      <c r="C326" t="s">
        <v>211</v>
      </c>
      <c r="D326" s="1" t="s">
        <v>449</v>
      </c>
    </row>
    <row r="327" spans="1:4" hidden="1" x14ac:dyDescent="0.3">
      <c r="A327">
        <v>325</v>
      </c>
      <c r="B327" t="s">
        <v>450</v>
      </c>
      <c r="C327" t="s">
        <v>214</v>
      </c>
      <c r="D327">
        <v>100001070.76841301</v>
      </c>
    </row>
    <row r="328" spans="1:4" hidden="1" x14ac:dyDescent="0.3">
      <c r="A328">
        <v>326</v>
      </c>
      <c r="B328" t="s">
        <v>451</v>
      </c>
      <c r="C328" t="s">
        <v>216</v>
      </c>
      <c r="D328">
        <v>1655.1284102946499</v>
      </c>
    </row>
    <row r="329" spans="1:4" hidden="1" x14ac:dyDescent="0.3">
      <c r="A329">
        <v>327</v>
      </c>
      <c r="B329" s="1" t="s">
        <v>452</v>
      </c>
      <c r="C329" t="s">
        <v>218</v>
      </c>
      <c r="D329" s="1" t="s">
        <v>453</v>
      </c>
    </row>
    <row r="330" spans="1:4" hidden="1" x14ac:dyDescent="0.3">
      <c r="A330">
        <v>328</v>
      </c>
      <c r="B330" t="s">
        <v>454</v>
      </c>
      <c r="C330" t="s">
        <v>111</v>
      </c>
      <c r="D330">
        <v>-441.411797683911</v>
      </c>
    </row>
    <row r="331" spans="1:4" hidden="1" x14ac:dyDescent="0.3">
      <c r="A331">
        <v>329</v>
      </c>
      <c r="B331" t="s">
        <v>455</v>
      </c>
      <c r="C331" t="s">
        <v>113</v>
      </c>
      <c r="D331">
        <v>-66.246661316907307</v>
      </c>
    </row>
    <row r="332" spans="1:4" hidden="1" x14ac:dyDescent="0.3">
      <c r="A332">
        <v>330</v>
      </c>
      <c r="B332" s="1" t="s">
        <v>456</v>
      </c>
      <c r="C332" t="s">
        <v>115</v>
      </c>
      <c r="D332" s="1" t="s">
        <v>457</v>
      </c>
    </row>
    <row r="333" spans="1:4" hidden="1" x14ac:dyDescent="0.3">
      <c r="A333">
        <v>331</v>
      </c>
      <c r="B333" t="s">
        <v>458</v>
      </c>
      <c r="C333" t="s">
        <v>118</v>
      </c>
      <c r="D333">
        <v>80000266.370005399</v>
      </c>
    </row>
    <row r="334" spans="1:4" hidden="1" x14ac:dyDescent="0.3">
      <c r="A334">
        <v>332</v>
      </c>
      <c r="B334" t="s">
        <v>459</v>
      </c>
      <c r="C334" t="s">
        <v>120</v>
      </c>
      <c r="D334">
        <v>35000106.581425399</v>
      </c>
    </row>
    <row r="335" spans="1:4" hidden="1" x14ac:dyDescent="0.3">
      <c r="A335">
        <v>333</v>
      </c>
      <c r="B335" s="1" t="s">
        <v>460</v>
      </c>
      <c r="C335" t="s">
        <v>122</v>
      </c>
      <c r="D335" s="1" t="s">
        <v>461</v>
      </c>
    </row>
    <row r="336" spans="1:4" hidden="1" x14ac:dyDescent="0.3">
      <c r="A336">
        <v>334</v>
      </c>
      <c r="B336" t="s">
        <v>462</v>
      </c>
      <c r="C336" t="s">
        <v>125</v>
      </c>
      <c r="D336">
        <v>0.800015904629645</v>
      </c>
    </row>
    <row r="337" spans="1:4" hidden="1" x14ac:dyDescent="0.3">
      <c r="A337">
        <v>335</v>
      </c>
      <c r="B337" t="s">
        <v>463</v>
      </c>
      <c r="C337" t="s">
        <v>127</v>
      </c>
      <c r="D337">
        <v>0.35000685871930198</v>
      </c>
    </row>
    <row r="338" spans="1:4" hidden="1" x14ac:dyDescent="0.3">
      <c r="A338">
        <v>336</v>
      </c>
      <c r="B338" s="1" t="s">
        <v>464</v>
      </c>
      <c r="C338" t="s">
        <v>129</v>
      </c>
      <c r="D338" s="1" t="s">
        <v>465</v>
      </c>
    </row>
    <row r="339" spans="1:4" x14ac:dyDescent="0.3">
      <c r="A339">
        <v>337</v>
      </c>
      <c r="B339" s="1" t="s">
        <v>3</v>
      </c>
      <c r="C339" t="s">
        <v>4</v>
      </c>
      <c r="D339" t="s">
        <v>5</v>
      </c>
    </row>
    <row r="340" spans="1:4" hidden="1" x14ac:dyDescent="0.3">
      <c r="A340">
        <v>338</v>
      </c>
      <c r="B340" t="s">
        <v>6</v>
      </c>
      <c r="C340" t="s">
        <v>7</v>
      </c>
      <c r="D340">
        <v>1981.95</v>
      </c>
    </row>
    <row r="341" spans="1:4" hidden="1" x14ac:dyDescent="0.3">
      <c r="A341">
        <v>339</v>
      </c>
      <c r="B341" s="1" t="s">
        <v>131</v>
      </c>
      <c r="C341" t="s">
        <v>9</v>
      </c>
      <c r="D341" s="1" t="s">
        <v>132</v>
      </c>
    </row>
    <row r="342" spans="1:4" hidden="1" x14ac:dyDescent="0.3">
      <c r="A342">
        <v>340</v>
      </c>
      <c r="B342" t="s">
        <v>13</v>
      </c>
      <c r="C342" t="s">
        <v>14</v>
      </c>
      <c r="D342">
        <v>91.74609375</v>
      </c>
    </row>
    <row r="343" spans="1:4" hidden="1" x14ac:dyDescent="0.3">
      <c r="A343">
        <v>341</v>
      </c>
      <c r="B343" t="s">
        <v>15</v>
      </c>
      <c r="C343" t="s">
        <v>16</v>
      </c>
      <c r="D343">
        <v>4.1883572307132804</v>
      </c>
    </row>
    <row r="344" spans="1:4" hidden="1" x14ac:dyDescent="0.3">
      <c r="A344">
        <v>342</v>
      </c>
      <c r="B344" s="1" t="s">
        <v>133</v>
      </c>
      <c r="C344" t="s">
        <v>134</v>
      </c>
      <c r="D344" s="1" t="s">
        <v>135</v>
      </c>
    </row>
    <row r="345" spans="1:4" hidden="1" x14ac:dyDescent="0.3">
      <c r="A345">
        <v>343</v>
      </c>
      <c r="B345" t="s">
        <v>21</v>
      </c>
      <c r="C345" t="s">
        <v>22</v>
      </c>
      <c r="D345">
        <v>38.25</v>
      </c>
    </row>
    <row r="346" spans="1:4" hidden="1" x14ac:dyDescent="0.3">
      <c r="A346">
        <v>344</v>
      </c>
      <c r="B346" t="s">
        <v>466</v>
      </c>
      <c r="C346" t="s">
        <v>24</v>
      </c>
      <c r="D346">
        <v>5.8082216208123096</v>
      </c>
    </row>
    <row r="347" spans="1:4" hidden="1" x14ac:dyDescent="0.3">
      <c r="A347">
        <v>345</v>
      </c>
      <c r="B347" s="1" t="s">
        <v>467</v>
      </c>
      <c r="C347" t="s">
        <v>138</v>
      </c>
      <c r="D347" s="1" t="s">
        <v>468</v>
      </c>
    </row>
    <row r="348" spans="1:4" hidden="1" x14ac:dyDescent="0.3">
      <c r="A348">
        <v>346</v>
      </c>
      <c r="B348" t="s">
        <v>469</v>
      </c>
      <c r="C348" t="s">
        <v>35</v>
      </c>
      <c r="D348">
        <v>0.544834558042395</v>
      </c>
    </row>
    <row r="349" spans="1:4" hidden="1" x14ac:dyDescent="0.3">
      <c r="A349">
        <v>347</v>
      </c>
      <c r="B349" t="s">
        <v>470</v>
      </c>
      <c r="C349" t="s">
        <v>142</v>
      </c>
      <c r="D349">
        <v>0.69138972395204201</v>
      </c>
    </row>
    <row r="350" spans="1:4" hidden="1" x14ac:dyDescent="0.3">
      <c r="A350">
        <v>348</v>
      </c>
      <c r="B350" s="1" t="s">
        <v>471</v>
      </c>
      <c r="C350" t="s">
        <v>144</v>
      </c>
      <c r="D350" s="1" t="s">
        <v>472</v>
      </c>
    </row>
    <row r="351" spans="1:4" hidden="1" x14ac:dyDescent="0.3">
      <c r="A351">
        <v>349</v>
      </c>
      <c r="B351" t="s">
        <v>473</v>
      </c>
      <c r="C351" t="s">
        <v>30</v>
      </c>
      <c r="D351">
        <v>0.19241080987126599</v>
      </c>
    </row>
    <row r="352" spans="1:4" hidden="1" x14ac:dyDescent="0.3">
      <c r="A352">
        <v>350</v>
      </c>
      <c r="B352" t="s">
        <v>474</v>
      </c>
      <c r="C352" t="s">
        <v>32</v>
      </c>
      <c r="D352">
        <v>0.246651608226784</v>
      </c>
    </row>
    <row r="353" spans="1:4" hidden="1" x14ac:dyDescent="0.3">
      <c r="A353">
        <v>351</v>
      </c>
      <c r="B353" s="1" t="s">
        <v>475</v>
      </c>
      <c r="C353" t="s">
        <v>148</v>
      </c>
      <c r="D353" s="1" t="s">
        <v>476</v>
      </c>
    </row>
    <row r="354" spans="1:4" hidden="1" x14ac:dyDescent="0.3">
      <c r="A354">
        <v>352</v>
      </c>
      <c r="B354" t="s">
        <v>477</v>
      </c>
      <c r="C354" t="s">
        <v>40</v>
      </c>
      <c r="D354">
        <v>0.26275463208633798</v>
      </c>
    </row>
    <row r="355" spans="1:4" hidden="1" x14ac:dyDescent="0.3">
      <c r="A355">
        <v>353</v>
      </c>
      <c r="B355" t="s">
        <v>478</v>
      </c>
      <c r="C355" t="s">
        <v>42</v>
      </c>
      <c r="D355">
        <v>0.19971064645631301</v>
      </c>
    </row>
    <row r="356" spans="1:4" hidden="1" x14ac:dyDescent="0.3">
      <c r="A356">
        <v>354</v>
      </c>
      <c r="B356" s="1" t="s">
        <v>479</v>
      </c>
      <c r="C356" t="s">
        <v>152</v>
      </c>
      <c r="D356" s="1" t="s">
        <v>480</v>
      </c>
    </row>
    <row r="357" spans="1:4" hidden="1" x14ac:dyDescent="0.3">
      <c r="A357">
        <v>355</v>
      </c>
      <c r="B357" t="s">
        <v>153</v>
      </c>
      <c r="C357" t="s">
        <v>154</v>
      </c>
      <c r="D357">
        <v>1</v>
      </c>
    </row>
    <row r="358" spans="1:4" hidden="1" x14ac:dyDescent="0.3">
      <c r="A358">
        <v>356</v>
      </c>
      <c r="B358" t="s">
        <v>155</v>
      </c>
      <c r="C358" t="s">
        <v>156</v>
      </c>
      <c r="D358">
        <v>1</v>
      </c>
    </row>
    <row r="359" spans="1:4" hidden="1" x14ac:dyDescent="0.3">
      <c r="A359">
        <v>357</v>
      </c>
      <c r="B359" s="1" t="s">
        <v>481</v>
      </c>
      <c r="C359" t="s">
        <v>158</v>
      </c>
      <c r="D359" s="1" t="s">
        <v>482</v>
      </c>
    </row>
    <row r="360" spans="1:4" hidden="1" x14ac:dyDescent="0.3">
      <c r="A360">
        <v>358</v>
      </c>
      <c r="B360" t="s">
        <v>483</v>
      </c>
      <c r="C360" t="s">
        <v>161</v>
      </c>
      <c r="D360">
        <v>0.99998192837105404</v>
      </c>
    </row>
    <row r="361" spans="1:4" hidden="1" x14ac:dyDescent="0.3">
      <c r="A361">
        <v>359</v>
      </c>
      <c r="B361" t="s">
        <v>484</v>
      </c>
      <c r="C361" t="s">
        <v>163</v>
      </c>
      <c r="D361">
        <v>0.99987751097713695</v>
      </c>
    </row>
    <row r="362" spans="1:4" hidden="1" x14ac:dyDescent="0.3">
      <c r="A362">
        <v>360</v>
      </c>
      <c r="B362" s="1" t="s">
        <v>485</v>
      </c>
      <c r="C362" t="s">
        <v>165</v>
      </c>
      <c r="D362" s="1" t="s">
        <v>486</v>
      </c>
    </row>
    <row r="363" spans="1:4" hidden="1" x14ac:dyDescent="0.3">
      <c r="A363">
        <v>361</v>
      </c>
      <c r="B363" s="1" t="s">
        <v>487</v>
      </c>
      <c r="C363" t="s">
        <v>55</v>
      </c>
      <c r="D363" s="1" t="s">
        <v>488</v>
      </c>
    </row>
    <row r="364" spans="1:4" hidden="1" x14ac:dyDescent="0.3">
      <c r="A364">
        <v>362</v>
      </c>
      <c r="B364" s="1" t="s">
        <v>489</v>
      </c>
      <c r="C364" t="s">
        <v>52</v>
      </c>
      <c r="D364" s="1" t="s">
        <v>490</v>
      </c>
    </row>
    <row r="365" spans="1:4" hidden="1" x14ac:dyDescent="0.3">
      <c r="A365">
        <v>363</v>
      </c>
      <c r="B365" s="1" t="s">
        <v>491</v>
      </c>
      <c r="C365" t="s">
        <v>58</v>
      </c>
      <c r="D365" s="1" t="s">
        <v>492</v>
      </c>
    </row>
    <row r="366" spans="1:4" hidden="1" x14ac:dyDescent="0.3">
      <c r="A366">
        <v>364</v>
      </c>
      <c r="B366" t="s">
        <v>493</v>
      </c>
      <c r="C366" t="s">
        <v>60</v>
      </c>
      <c r="D366">
        <v>149978437.23289499</v>
      </c>
    </row>
    <row r="367" spans="1:4" hidden="1" x14ac:dyDescent="0.3">
      <c r="A367">
        <v>365</v>
      </c>
      <c r="B367" t="s">
        <v>494</v>
      </c>
      <c r="C367" t="s">
        <v>62</v>
      </c>
      <c r="D367">
        <v>80000266.370005399</v>
      </c>
    </row>
    <row r="368" spans="1:4" hidden="1" x14ac:dyDescent="0.3">
      <c r="A368">
        <v>366</v>
      </c>
      <c r="B368" t="s">
        <v>495</v>
      </c>
      <c r="C368" t="s">
        <v>64</v>
      </c>
      <c r="D368">
        <v>35000106.581425399</v>
      </c>
    </row>
    <row r="369" spans="1:4" hidden="1" x14ac:dyDescent="0.3">
      <c r="A369">
        <v>367</v>
      </c>
      <c r="B369" s="1" t="s">
        <v>496</v>
      </c>
      <c r="C369" t="s">
        <v>66</v>
      </c>
      <c r="D369" s="1" t="s">
        <v>497</v>
      </c>
    </row>
    <row r="370" spans="1:4" hidden="1" x14ac:dyDescent="0.3">
      <c r="A370">
        <v>368</v>
      </c>
      <c r="B370" s="1" t="s">
        <v>498</v>
      </c>
      <c r="C370" t="s">
        <v>69</v>
      </c>
      <c r="D370" s="1" t="s">
        <v>499</v>
      </c>
    </row>
    <row r="371" spans="1:4" hidden="1" x14ac:dyDescent="0.3">
      <c r="A371">
        <v>369</v>
      </c>
      <c r="B371" t="s">
        <v>500</v>
      </c>
      <c r="C371" t="s">
        <v>72</v>
      </c>
      <c r="D371">
        <v>0.99997274177479101</v>
      </c>
    </row>
    <row r="372" spans="1:4" hidden="1" x14ac:dyDescent="0.3">
      <c r="A372">
        <v>370</v>
      </c>
      <c r="B372" t="s">
        <v>73</v>
      </c>
      <c r="C372" t="s">
        <v>74</v>
      </c>
      <c r="D372">
        <v>2.7397260273972599E-3</v>
      </c>
    </row>
    <row r="373" spans="1:4" hidden="1" x14ac:dyDescent="0.3">
      <c r="A373">
        <v>371</v>
      </c>
      <c r="B373" t="s">
        <v>75</v>
      </c>
      <c r="C373" t="s">
        <v>76</v>
      </c>
      <c r="D373">
        <v>0</v>
      </c>
    </row>
    <row r="374" spans="1:4" hidden="1" x14ac:dyDescent="0.3">
      <c r="A374">
        <v>372</v>
      </c>
      <c r="B374" t="s">
        <v>77</v>
      </c>
      <c r="C374" t="s">
        <v>78</v>
      </c>
      <c r="D374">
        <v>0</v>
      </c>
    </row>
    <row r="375" spans="1:4" hidden="1" x14ac:dyDescent="0.3">
      <c r="A375">
        <v>373</v>
      </c>
      <c r="B375" s="1" t="s">
        <v>501</v>
      </c>
      <c r="C375" t="s">
        <v>80</v>
      </c>
      <c r="D375" s="1" t="s">
        <v>502</v>
      </c>
    </row>
    <row r="376" spans="1:4" hidden="1" x14ac:dyDescent="0.3">
      <c r="A376">
        <v>374</v>
      </c>
      <c r="B376" t="s">
        <v>503</v>
      </c>
      <c r="C376" t="s">
        <v>83</v>
      </c>
      <c r="D376">
        <v>0.99998848839778298</v>
      </c>
    </row>
    <row r="377" spans="1:4" hidden="1" x14ac:dyDescent="0.3">
      <c r="A377">
        <v>375</v>
      </c>
      <c r="B377" s="1" t="s">
        <v>504</v>
      </c>
      <c r="C377" t="s">
        <v>85</v>
      </c>
      <c r="D377" s="1" t="s">
        <v>505</v>
      </c>
    </row>
    <row r="378" spans="1:4" hidden="1" x14ac:dyDescent="0.3">
      <c r="A378">
        <v>376</v>
      </c>
      <c r="B378" t="s">
        <v>506</v>
      </c>
      <c r="C378" t="s">
        <v>88</v>
      </c>
      <c r="D378">
        <v>100001151.173473</v>
      </c>
    </row>
    <row r="379" spans="1:4" hidden="1" x14ac:dyDescent="0.3">
      <c r="A379">
        <v>377</v>
      </c>
      <c r="B379" s="1" t="s">
        <v>507</v>
      </c>
      <c r="C379" t="s">
        <v>90</v>
      </c>
      <c r="D379" s="1" t="s">
        <v>453</v>
      </c>
    </row>
    <row r="380" spans="1:4" hidden="1" x14ac:dyDescent="0.3">
      <c r="A380">
        <v>378</v>
      </c>
      <c r="B380" t="s">
        <v>508</v>
      </c>
      <c r="C380" t="s">
        <v>93</v>
      </c>
      <c r="D380">
        <v>80000266.370005399</v>
      </c>
    </row>
    <row r="381" spans="1:4" hidden="1" x14ac:dyDescent="0.3">
      <c r="A381">
        <v>379</v>
      </c>
      <c r="B381" t="s">
        <v>509</v>
      </c>
      <c r="C381" t="s">
        <v>95</v>
      </c>
      <c r="D381">
        <v>35000106.581425399</v>
      </c>
    </row>
    <row r="382" spans="1:4" hidden="1" x14ac:dyDescent="0.3">
      <c r="A382">
        <v>380</v>
      </c>
      <c r="B382" t="s">
        <v>510</v>
      </c>
      <c r="C382" t="s">
        <v>97</v>
      </c>
      <c r="D382">
        <v>34978064.281464301</v>
      </c>
    </row>
    <row r="383" spans="1:4" hidden="1" x14ac:dyDescent="0.3">
      <c r="A383">
        <v>381</v>
      </c>
      <c r="B383" s="1" t="s">
        <v>511</v>
      </c>
      <c r="C383" t="s">
        <v>99</v>
      </c>
      <c r="D383" s="1" t="s">
        <v>512</v>
      </c>
    </row>
    <row r="384" spans="1:4" hidden="1" x14ac:dyDescent="0.3">
      <c r="A384">
        <v>382</v>
      </c>
      <c r="B384" t="s">
        <v>513</v>
      </c>
      <c r="C384" t="s">
        <v>102</v>
      </c>
      <c r="D384">
        <v>7.6947892786809096E-3</v>
      </c>
    </row>
    <row r="385" spans="1:4" hidden="1" x14ac:dyDescent="0.3">
      <c r="A385">
        <v>383</v>
      </c>
      <c r="B385" t="s">
        <v>514</v>
      </c>
      <c r="C385" t="s">
        <v>104</v>
      </c>
      <c r="D385">
        <v>1.47264372217346E-3</v>
      </c>
    </row>
    <row r="386" spans="1:4" hidden="1" x14ac:dyDescent="0.3">
      <c r="A386">
        <v>384</v>
      </c>
      <c r="B386" t="s">
        <v>515</v>
      </c>
      <c r="C386" t="s">
        <v>106</v>
      </c>
      <c r="D386">
        <v>1.9405220718950299E-2</v>
      </c>
    </row>
    <row r="387" spans="1:4" hidden="1" x14ac:dyDescent="0.3">
      <c r="A387">
        <v>385</v>
      </c>
      <c r="B387" s="1" t="s">
        <v>516</v>
      </c>
      <c r="C387" t="s">
        <v>108</v>
      </c>
      <c r="D387" s="1" t="s">
        <v>517</v>
      </c>
    </row>
    <row r="388" spans="1:4" hidden="1" x14ac:dyDescent="0.3">
      <c r="A388">
        <v>386</v>
      </c>
      <c r="B388" t="s">
        <v>518</v>
      </c>
      <c r="C388" t="s">
        <v>196</v>
      </c>
      <c r="D388">
        <v>149978979.47816101</v>
      </c>
    </row>
    <row r="389" spans="1:4" hidden="1" x14ac:dyDescent="0.3">
      <c r="A389">
        <v>387</v>
      </c>
      <c r="B389" t="s">
        <v>519</v>
      </c>
      <c r="C389" t="s">
        <v>198</v>
      </c>
      <c r="D389">
        <v>-1259.77462659702</v>
      </c>
    </row>
    <row r="390" spans="1:4" hidden="1" x14ac:dyDescent="0.3">
      <c r="A390">
        <v>388</v>
      </c>
      <c r="B390" t="s">
        <v>520</v>
      </c>
      <c r="C390" t="s">
        <v>200</v>
      </c>
      <c r="D390">
        <v>-551.14944288480501</v>
      </c>
    </row>
    <row r="391" spans="1:4" hidden="1" x14ac:dyDescent="0.3">
      <c r="A391">
        <v>389</v>
      </c>
      <c r="B391" s="1" t="s">
        <v>521</v>
      </c>
      <c r="C391" t="s">
        <v>202</v>
      </c>
      <c r="D391" s="1" t="s">
        <v>522</v>
      </c>
    </row>
    <row r="392" spans="1:4" hidden="1" x14ac:dyDescent="0.3">
      <c r="A392">
        <v>390</v>
      </c>
      <c r="B392" t="s">
        <v>523</v>
      </c>
      <c r="C392" t="s">
        <v>205</v>
      </c>
      <c r="D392">
        <v>80001923.281914502</v>
      </c>
    </row>
    <row r="393" spans="1:4" hidden="1" x14ac:dyDescent="0.3">
      <c r="A393">
        <v>391</v>
      </c>
      <c r="B393" t="s">
        <v>524</v>
      </c>
      <c r="C393" t="s">
        <v>207</v>
      </c>
      <c r="D393">
        <v>35000717.204192698</v>
      </c>
    </row>
    <row r="394" spans="1:4" hidden="1" x14ac:dyDescent="0.3">
      <c r="A394">
        <v>392</v>
      </c>
      <c r="B394" t="s">
        <v>525</v>
      </c>
      <c r="C394" t="s">
        <v>209</v>
      </c>
      <c r="D394">
        <v>34978700.718877397</v>
      </c>
    </row>
    <row r="395" spans="1:4" hidden="1" x14ac:dyDescent="0.3">
      <c r="A395">
        <v>393</v>
      </c>
      <c r="B395" s="1" t="s">
        <v>526</v>
      </c>
      <c r="C395" t="s">
        <v>211</v>
      </c>
      <c r="D395" s="1" t="s">
        <v>527</v>
      </c>
    </row>
    <row r="396" spans="1:4" hidden="1" x14ac:dyDescent="0.3">
      <c r="A396">
        <v>394</v>
      </c>
      <c r="B396" t="s">
        <v>528</v>
      </c>
      <c r="C396" t="s">
        <v>214</v>
      </c>
      <c r="D396">
        <v>100002725.896823</v>
      </c>
    </row>
    <row r="397" spans="1:4" hidden="1" x14ac:dyDescent="0.3">
      <c r="A397">
        <v>395</v>
      </c>
      <c r="B397" t="s">
        <v>529</v>
      </c>
      <c r="C397" t="s">
        <v>216</v>
      </c>
      <c r="D397">
        <v>-1574.72335048019</v>
      </c>
    </row>
    <row r="398" spans="1:4" hidden="1" x14ac:dyDescent="0.3">
      <c r="A398">
        <v>396</v>
      </c>
      <c r="B398" s="1" t="s">
        <v>530</v>
      </c>
      <c r="C398" t="s">
        <v>218</v>
      </c>
      <c r="D398" s="1" t="s">
        <v>531</v>
      </c>
    </row>
    <row r="399" spans="1:4" hidden="1" x14ac:dyDescent="0.3">
      <c r="A399">
        <v>397</v>
      </c>
      <c r="B399" t="s">
        <v>532</v>
      </c>
      <c r="C399" t="s">
        <v>111</v>
      </c>
      <c r="D399">
        <v>397.13728245790099</v>
      </c>
    </row>
    <row r="400" spans="1:4" hidden="1" x14ac:dyDescent="0.3">
      <c r="A400">
        <v>398</v>
      </c>
      <c r="B400" t="s">
        <v>533</v>
      </c>
      <c r="C400" t="s">
        <v>113</v>
      </c>
      <c r="D400">
        <v>59.4733244410629</v>
      </c>
    </row>
    <row r="401" spans="1:4" hidden="1" x14ac:dyDescent="0.3">
      <c r="A401">
        <v>399</v>
      </c>
      <c r="B401" s="1" t="s">
        <v>534</v>
      </c>
      <c r="C401" t="s">
        <v>115</v>
      </c>
      <c r="D401" s="1" t="s">
        <v>535</v>
      </c>
    </row>
    <row r="402" spans="1:4" hidden="1" x14ac:dyDescent="0.3">
      <c r="A402">
        <v>400</v>
      </c>
      <c r="B402" t="s">
        <v>536</v>
      </c>
      <c r="C402" t="s">
        <v>118</v>
      </c>
      <c r="D402">
        <v>80001923.281914502</v>
      </c>
    </row>
    <row r="403" spans="1:4" hidden="1" x14ac:dyDescent="0.3">
      <c r="A403">
        <v>401</v>
      </c>
      <c r="B403" t="s">
        <v>537</v>
      </c>
      <c r="C403" t="s">
        <v>120</v>
      </c>
      <c r="D403">
        <v>35000717.204192698</v>
      </c>
    </row>
    <row r="404" spans="1:4" hidden="1" x14ac:dyDescent="0.3">
      <c r="A404">
        <v>402</v>
      </c>
      <c r="B404" s="1" t="s">
        <v>538</v>
      </c>
      <c r="C404" t="s">
        <v>122</v>
      </c>
      <c r="D404" s="1" t="s">
        <v>539</v>
      </c>
    </row>
    <row r="405" spans="1:4" hidden="1" x14ac:dyDescent="0.3">
      <c r="A405">
        <v>403</v>
      </c>
      <c r="B405" t="s">
        <v>540</v>
      </c>
      <c r="C405" t="s">
        <v>125</v>
      </c>
      <c r="D405">
        <v>0.80000663507287895</v>
      </c>
    </row>
    <row r="406" spans="1:4" hidden="1" x14ac:dyDescent="0.3">
      <c r="A406">
        <v>404</v>
      </c>
      <c r="B406" t="s">
        <v>541</v>
      </c>
      <c r="C406" t="s">
        <v>127</v>
      </c>
      <c r="D406">
        <v>0.35000166054749898</v>
      </c>
    </row>
    <row r="407" spans="1:4" hidden="1" x14ac:dyDescent="0.3">
      <c r="A407">
        <v>405</v>
      </c>
      <c r="B407" s="1" t="s">
        <v>542</v>
      </c>
      <c r="C407" t="s">
        <v>129</v>
      </c>
      <c r="D407" s="1" t="s">
        <v>543</v>
      </c>
    </row>
    <row r="408" spans="1:4" x14ac:dyDescent="0.3">
      <c r="A408">
        <v>406</v>
      </c>
      <c r="B408" s="1" t="s">
        <v>3</v>
      </c>
      <c r="C408" t="s">
        <v>4</v>
      </c>
      <c r="D408" t="s">
        <v>5</v>
      </c>
    </row>
    <row r="409" spans="1:4" hidden="1" x14ac:dyDescent="0.3">
      <c r="A409">
        <v>407</v>
      </c>
      <c r="B409" t="s">
        <v>6</v>
      </c>
      <c r="C409" t="s">
        <v>7</v>
      </c>
      <c r="D409">
        <v>1981.95</v>
      </c>
    </row>
    <row r="410" spans="1:4" hidden="1" x14ac:dyDescent="0.3">
      <c r="A410">
        <v>408</v>
      </c>
      <c r="B410" s="1" t="s">
        <v>131</v>
      </c>
      <c r="C410" t="s">
        <v>9</v>
      </c>
      <c r="D410" s="1" t="s">
        <v>132</v>
      </c>
    </row>
    <row r="411" spans="1:4" hidden="1" x14ac:dyDescent="0.3">
      <c r="A411">
        <v>409</v>
      </c>
      <c r="B411" t="s">
        <v>13</v>
      </c>
      <c r="C411" t="s">
        <v>14</v>
      </c>
      <c r="D411">
        <v>91.74609375</v>
      </c>
    </row>
    <row r="412" spans="1:4" hidden="1" x14ac:dyDescent="0.3">
      <c r="A412">
        <v>410</v>
      </c>
      <c r="B412" t="s">
        <v>15</v>
      </c>
      <c r="C412" t="s">
        <v>16</v>
      </c>
      <c r="D412">
        <v>4.1883572307132804</v>
      </c>
    </row>
    <row r="413" spans="1:4" hidden="1" x14ac:dyDescent="0.3">
      <c r="A413">
        <v>411</v>
      </c>
      <c r="B413" s="1" t="s">
        <v>133</v>
      </c>
      <c r="C413" t="s">
        <v>134</v>
      </c>
      <c r="D413" s="1" t="s">
        <v>135</v>
      </c>
    </row>
    <row r="414" spans="1:4" hidden="1" x14ac:dyDescent="0.3">
      <c r="A414">
        <v>412</v>
      </c>
      <c r="B414" t="s">
        <v>21</v>
      </c>
      <c r="C414" t="s">
        <v>22</v>
      </c>
      <c r="D414">
        <v>38.25</v>
      </c>
    </row>
    <row r="415" spans="1:4" hidden="1" x14ac:dyDescent="0.3">
      <c r="A415">
        <v>413</v>
      </c>
      <c r="B415" t="s">
        <v>544</v>
      </c>
      <c r="C415" t="s">
        <v>24</v>
      </c>
      <c r="D415">
        <v>5.8090027077633097</v>
      </c>
    </row>
    <row r="416" spans="1:4" hidden="1" x14ac:dyDescent="0.3">
      <c r="A416">
        <v>414</v>
      </c>
      <c r="B416" s="1" t="s">
        <v>545</v>
      </c>
      <c r="C416" t="s">
        <v>138</v>
      </c>
      <c r="D416" s="1" t="s">
        <v>546</v>
      </c>
    </row>
    <row r="417" spans="1:4" hidden="1" x14ac:dyDescent="0.3">
      <c r="A417">
        <v>415</v>
      </c>
      <c r="B417" t="s">
        <v>547</v>
      </c>
      <c r="C417" t="s">
        <v>35</v>
      </c>
      <c r="D417">
        <v>0.54440690768968103</v>
      </c>
    </row>
    <row r="418" spans="1:4" hidden="1" x14ac:dyDescent="0.3">
      <c r="A418">
        <v>416</v>
      </c>
      <c r="B418" t="s">
        <v>548</v>
      </c>
      <c r="C418" t="s">
        <v>142</v>
      </c>
      <c r="D418">
        <v>0.69306681266775405</v>
      </c>
    </row>
    <row r="419" spans="1:4" hidden="1" x14ac:dyDescent="0.3">
      <c r="A419">
        <v>417</v>
      </c>
      <c r="B419" s="1" t="s">
        <v>549</v>
      </c>
      <c r="C419" t="s">
        <v>144</v>
      </c>
      <c r="D419" s="1" t="s">
        <v>550</v>
      </c>
    </row>
    <row r="420" spans="1:4" hidden="1" x14ac:dyDescent="0.3">
      <c r="A420">
        <v>418</v>
      </c>
      <c r="B420" t="s">
        <v>551</v>
      </c>
      <c r="C420" t="s">
        <v>30</v>
      </c>
      <c r="D420">
        <v>0.192259783198135</v>
      </c>
    </row>
    <row r="421" spans="1:4" hidden="1" x14ac:dyDescent="0.3">
      <c r="A421">
        <v>419</v>
      </c>
      <c r="B421" t="s">
        <v>552</v>
      </c>
      <c r="C421" t="s">
        <v>32</v>
      </c>
      <c r="D421">
        <v>0.244746275612376</v>
      </c>
    </row>
    <row r="422" spans="1:4" hidden="1" x14ac:dyDescent="0.3">
      <c r="A422">
        <v>420</v>
      </c>
      <c r="B422" s="1" t="s">
        <v>553</v>
      </c>
      <c r="C422" t="s">
        <v>148</v>
      </c>
      <c r="D422" s="1" t="s">
        <v>554</v>
      </c>
    </row>
    <row r="423" spans="1:4" hidden="1" x14ac:dyDescent="0.3">
      <c r="A423">
        <v>421</v>
      </c>
      <c r="B423" t="s">
        <v>555</v>
      </c>
      <c r="C423" t="s">
        <v>40</v>
      </c>
      <c r="D423">
        <v>0.263333309112183</v>
      </c>
    </row>
    <row r="424" spans="1:4" hidden="1" x14ac:dyDescent="0.3">
      <c r="A424">
        <v>422</v>
      </c>
      <c r="B424" t="s">
        <v>556</v>
      </c>
      <c r="C424" t="s">
        <v>42</v>
      </c>
      <c r="D424">
        <v>0.19811605991166401</v>
      </c>
    </row>
    <row r="425" spans="1:4" hidden="1" x14ac:dyDescent="0.3">
      <c r="A425">
        <v>423</v>
      </c>
      <c r="B425" s="1" t="s">
        <v>557</v>
      </c>
      <c r="C425" t="s">
        <v>152</v>
      </c>
      <c r="D425" s="1" t="s">
        <v>558</v>
      </c>
    </row>
    <row r="426" spans="1:4" hidden="1" x14ac:dyDescent="0.3">
      <c r="A426">
        <v>424</v>
      </c>
      <c r="B426" t="s">
        <v>153</v>
      </c>
      <c r="C426" t="s">
        <v>154</v>
      </c>
      <c r="D426">
        <v>1</v>
      </c>
    </row>
    <row r="427" spans="1:4" hidden="1" x14ac:dyDescent="0.3">
      <c r="A427">
        <v>425</v>
      </c>
      <c r="B427" t="s">
        <v>155</v>
      </c>
      <c r="C427" t="s">
        <v>156</v>
      </c>
      <c r="D427">
        <v>1</v>
      </c>
    </row>
    <row r="428" spans="1:4" hidden="1" x14ac:dyDescent="0.3">
      <c r="A428">
        <v>426</v>
      </c>
      <c r="B428" s="1" t="s">
        <v>559</v>
      </c>
      <c r="C428" t="s">
        <v>158</v>
      </c>
      <c r="D428" s="1" t="s">
        <v>560</v>
      </c>
    </row>
    <row r="429" spans="1:4" hidden="1" x14ac:dyDescent="0.3">
      <c r="A429">
        <v>427</v>
      </c>
      <c r="B429" t="s">
        <v>561</v>
      </c>
      <c r="C429" t="s">
        <v>161</v>
      </c>
      <c r="D429">
        <v>1.0009915448178199</v>
      </c>
    </row>
    <row r="430" spans="1:4" hidden="1" x14ac:dyDescent="0.3">
      <c r="A430">
        <v>428</v>
      </c>
      <c r="B430" t="s">
        <v>562</v>
      </c>
      <c r="C430" t="s">
        <v>163</v>
      </c>
      <c r="D430">
        <v>0.99847163986968401</v>
      </c>
    </row>
    <row r="431" spans="1:4" hidden="1" x14ac:dyDescent="0.3">
      <c r="A431">
        <v>429</v>
      </c>
      <c r="B431" s="1" t="s">
        <v>563</v>
      </c>
      <c r="C431" t="s">
        <v>165</v>
      </c>
      <c r="D431" s="1" t="s">
        <v>564</v>
      </c>
    </row>
    <row r="432" spans="1:4" hidden="1" x14ac:dyDescent="0.3">
      <c r="A432">
        <v>430</v>
      </c>
      <c r="B432" s="1" t="s">
        <v>565</v>
      </c>
      <c r="C432" t="s">
        <v>55</v>
      </c>
      <c r="D432" s="1" t="s">
        <v>566</v>
      </c>
    </row>
    <row r="433" spans="1:4" hidden="1" x14ac:dyDescent="0.3">
      <c r="A433">
        <v>431</v>
      </c>
      <c r="B433" s="1" t="s">
        <v>567</v>
      </c>
      <c r="C433" t="s">
        <v>52</v>
      </c>
      <c r="D433" s="1" t="s">
        <v>568</v>
      </c>
    </row>
    <row r="434" spans="1:4" hidden="1" x14ac:dyDescent="0.3">
      <c r="A434">
        <v>432</v>
      </c>
      <c r="B434" s="1" t="s">
        <v>569</v>
      </c>
      <c r="C434" t="s">
        <v>58</v>
      </c>
      <c r="D434" s="1" t="s">
        <v>570</v>
      </c>
    </row>
    <row r="435" spans="1:4" hidden="1" x14ac:dyDescent="0.3">
      <c r="A435">
        <v>433</v>
      </c>
      <c r="B435" t="s">
        <v>571</v>
      </c>
      <c r="C435" t="s">
        <v>60</v>
      </c>
      <c r="D435">
        <v>149981961.32549101</v>
      </c>
    </row>
    <row r="436" spans="1:4" hidden="1" x14ac:dyDescent="0.3">
      <c r="A436">
        <v>434</v>
      </c>
      <c r="B436" t="s">
        <v>572</v>
      </c>
      <c r="C436" t="s">
        <v>62</v>
      </c>
      <c r="D436">
        <v>80001923.281914502</v>
      </c>
    </row>
    <row r="437" spans="1:4" hidden="1" x14ac:dyDescent="0.3">
      <c r="A437">
        <v>435</v>
      </c>
      <c r="B437" t="s">
        <v>573</v>
      </c>
      <c r="C437" t="s">
        <v>64</v>
      </c>
      <c r="D437">
        <v>35000717.204192698</v>
      </c>
    </row>
    <row r="438" spans="1:4" hidden="1" x14ac:dyDescent="0.3">
      <c r="A438">
        <v>436</v>
      </c>
      <c r="B438" s="1" t="s">
        <v>574</v>
      </c>
      <c r="C438" t="s">
        <v>66</v>
      </c>
      <c r="D438" s="1" t="s">
        <v>575</v>
      </c>
    </row>
    <row r="439" spans="1:4" hidden="1" x14ac:dyDescent="0.3">
      <c r="A439">
        <v>437</v>
      </c>
      <c r="B439" s="1" t="s">
        <v>576</v>
      </c>
      <c r="C439" t="s">
        <v>69</v>
      </c>
      <c r="D439" s="1" t="s">
        <v>577</v>
      </c>
    </row>
    <row r="440" spans="1:4" hidden="1" x14ac:dyDescent="0.3">
      <c r="A440">
        <v>438</v>
      </c>
      <c r="B440" t="s">
        <v>578</v>
      </c>
      <c r="C440" t="s">
        <v>72</v>
      </c>
      <c r="D440">
        <v>0.99998848839778298</v>
      </c>
    </row>
    <row r="441" spans="1:4" hidden="1" x14ac:dyDescent="0.3">
      <c r="A441">
        <v>439</v>
      </c>
      <c r="B441" t="s">
        <v>73</v>
      </c>
      <c r="C441" t="s">
        <v>74</v>
      </c>
      <c r="D441">
        <v>2.7397260273972599E-3</v>
      </c>
    </row>
    <row r="442" spans="1:4" hidden="1" x14ac:dyDescent="0.3">
      <c r="A442">
        <v>440</v>
      </c>
      <c r="B442" t="s">
        <v>75</v>
      </c>
      <c r="C442" t="s">
        <v>76</v>
      </c>
      <c r="D442">
        <v>0</v>
      </c>
    </row>
    <row r="443" spans="1:4" hidden="1" x14ac:dyDescent="0.3">
      <c r="A443">
        <v>441</v>
      </c>
      <c r="B443" t="s">
        <v>77</v>
      </c>
      <c r="C443" t="s">
        <v>78</v>
      </c>
      <c r="D443">
        <v>0</v>
      </c>
    </row>
    <row r="444" spans="1:4" hidden="1" x14ac:dyDescent="0.3">
      <c r="A444">
        <v>442</v>
      </c>
      <c r="B444" s="1" t="s">
        <v>579</v>
      </c>
      <c r="C444" t="s">
        <v>80</v>
      </c>
      <c r="D444" s="1" t="s">
        <v>580</v>
      </c>
    </row>
    <row r="445" spans="1:4" hidden="1" x14ac:dyDescent="0.3">
      <c r="A445">
        <v>443</v>
      </c>
      <c r="B445" t="s">
        <v>581</v>
      </c>
      <c r="C445" t="s">
        <v>83</v>
      </c>
      <c r="D445">
        <v>1.0000319000333899</v>
      </c>
    </row>
    <row r="446" spans="1:4" hidden="1" x14ac:dyDescent="0.3">
      <c r="A446">
        <v>444</v>
      </c>
      <c r="B446" s="1" t="s">
        <v>582</v>
      </c>
      <c r="C446" t="s">
        <v>85</v>
      </c>
      <c r="D446" s="1" t="s">
        <v>583</v>
      </c>
    </row>
    <row r="447" spans="1:4" hidden="1" x14ac:dyDescent="0.3">
      <c r="A447">
        <v>445</v>
      </c>
      <c r="B447" t="s">
        <v>584</v>
      </c>
      <c r="C447" t="s">
        <v>88</v>
      </c>
      <c r="D447">
        <v>99996810.098418504</v>
      </c>
    </row>
    <row r="448" spans="1:4" hidden="1" x14ac:dyDescent="0.3">
      <c r="A448">
        <v>446</v>
      </c>
      <c r="B448" s="1" t="s">
        <v>585</v>
      </c>
      <c r="C448" t="s">
        <v>90</v>
      </c>
      <c r="D448" s="1" t="s">
        <v>531</v>
      </c>
    </row>
    <row r="449" spans="1:4" hidden="1" x14ac:dyDescent="0.3">
      <c r="A449">
        <v>447</v>
      </c>
      <c r="B449" t="s">
        <v>586</v>
      </c>
      <c r="C449" t="s">
        <v>93</v>
      </c>
      <c r="D449">
        <v>80001923.281914502</v>
      </c>
    </row>
    <row r="450" spans="1:4" hidden="1" x14ac:dyDescent="0.3">
      <c r="A450">
        <v>448</v>
      </c>
      <c r="B450" t="s">
        <v>587</v>
      </c>
      <c r="C450" t="s">
        <v>95</v>
      </c>
      <c r="D450">
        <v>35000717.204192698</v>
      </c>
    </row>
    <row r="451" spans="1:4" hidden="1" x14ac:dyDescent="0.3">
      <c r="A451">
        <v>449</v>
      </c>
      <c r="B451" t="s">
        <v>588</v>
      </c>
      <c r="C451" t="s">
        <v>97</v>
      </c>
      <c r="D451">
        <v>34979320.839383602</v>
      </c>
    </row>
    <row r="452" spans="1:4" hidden="1" x14ac:dyDescent="0.3">
      <c r="A452">
        <v>450</v>
      </c>
      <c r="B452" s="1" t="s">
        <v>589</v>
      </c>
      <c r="C452" t="s">
        <v>99</v>
      </c>
      <c r="D452" s="1" t="s">
        <v>590</v>
      </c>
    </row>
    <row r="453" spans="1:4" hidden="1" x14ac:dyDescent="0.3">
      <c r="A453">
        <v>451</v>
      </c>
      <c r="B453" t="s">
        <v>591</v>
      </c>
      <c r="C453" t="s">
        <v>102</v>
      </c>
      <c r="D453">
        <v>7.7254860199958602E-3</v>
      </c>
    </row>
    <row r="454" spans="1:4" hidden="1" x14ac:dyDescent="0.3">
      <c r="A454">
        <v>452</v>
      </c>
      <c r="B454" t="s">
        <v>592</v>
      </c>
      <c r="C454" t="s">
        <v>104</v>
      </c>
      <c r="D454">
        <v>1.46974926254605E-3</v>
      </c>
    </row>
    <row r="455" spans="1:4" hidden="1" x14ac:dyDescent="0.3">
      <c r="A455">
        <v>453</v>
      </c>
      <c r="B455" t="s">
        <v>593</v>
      </c>
      <c r="C455" t="s">
        <v>106</v>
      </c>
      <c r="D455">
        <v>1.9395508261127101E-2</v>
      </c>
    </row>
    <row r="456" spans="1:4" hidden="1" x14ac:dyDescent="0.3">
      <c r="A456">
        <v>454</v>
      </c>
      <c r="B456" s="1" t="s">
        <v>594</v>
      </c>
      <c r="C456" t="s">
        <v>108</v>
      </c>
      <c r="D456" s="1" t="s">
        <v>595</v>
      </c>
    </row>
    <row r="457" spans="1:4" hidden="1" x14ac:dyDescent="0.3">
      <c r="A457">
        <v>455</v>
      </c>
      <c r="B457" t="s">
        <v>596</v>
      </c>
      <c r="C457" t="s">
        <v>196</v>
      </c>
      <c r="D457">
        <v>149983456.59920999</v>
      </c>
    </row>
    <row r="458" spans="1:4" hidden="1" x14ac:dyDescent="0.3">
      <c r="A458">
        <v>456</v>
      </c>
      <c r="B458" t="s">
        <v>597</v>
      </c>
      <c r="C458" t="s">
        <v>198</v>
      </c>
      <c r="D458">
        <v>-3473.1045835117602</v>
      </c>
    </row>
    <row r="459" spans="1:4" hidden="1" x14ac:dyDescent="0.3">
      <c r="A459">
        <v>457</v>
      </c>
      <c r="B459" t="s">
        <v>598</v>
      </c>
      <c r="C459" t="s">
        <v>200</v>
      </c>
      <c r="D459">
        <v>-1519.46340911072</v>
      </c>
    </row>
    <row r="460" spans="1:4" hidden="1" x14ac:dyDescent="0.3">
      <c r="A460">
        <v>458</v>
      </c>
      <c r="B460" s="1" t="s">
        <v>599</v>
      </c>
      <c r="C460" t="s">
        <v>202</v>
      </c>
      <c r="D460" s="1" t="s">
        <v>600</v>
      </c>
    </row>
    <row r="461" spans="1:4" hidden="1" x14ac:dyDescent="0.3">
      <c r="A461">
        <v>459</v>
      </c>
      <c r="B461" t="s">
        <v>601</v>
      </c>
      <c r="C461" t="s">
        <v>205</v>
      </c>
      <c r="D461">
        <v>80006554.160247996</v>
      </c>
    </row>
    <row r="462" spans="1:4" hidden="1" x14ac:dyDescent="0.3">
      <c r="A462">
        <v>460</v>
      </c>
      <c r="B462" t="s">
        <v>602</v>
      </c>
      <c r="C462" t="s">
        <v>207</v>
      </c>
      <c r="D462">
        <v>35002410.267937303</v>
      </c>
    </row>
    <row r="463" spans="1:4" hidden="1" x14ac:dyDescent="0.3">
      <c r="A463">
        <v>461</v>
      </c>
      <c r="B463" t="s">
        <v>603</v>
      </c>
      <c r="C463" t="s">
        <v>209</v>
      </c>
      <c r="D463">
        <v>34981003.273143597</v>
      </c>
    </row>
    <row r="464" spans="1:4" hidden="1" x14ac:dyDescent="0.3">
      <c r="A464">
        <v>462</v>
      </c>
      <c r="B464" s="1" t="s">
        <v>604</v>
      </c>
      <c r="C464" t="s">
        <v>211</v>
      </c>
      <c r="D464" s="1" t="s">
        <v>605</v>
      </c>
    </row>
    <row r="465" spans="1:4" hidden="1" x14ac:dyDescent="0.3">
      <c r="A465">
        <v>463</v>
      </c>
      <c r="B465" t="s">
        <v>606</v>
      </c>
      <c r="C465" t="s">
        <v>214</v>
      </c>
      <c r="D465">
        <v>100001151.173473</v>
      </c>
    </row>
    <row r="466" spans="1:4" hidden="1" x14ac:dyDescent="0.3">
      <c r="A466">
        <v>464</v>
      </c>
      <c r="B466" t="s">
        <v>607</v>
      </c>
      <c r="C466" t="s">
        <v>216</v>
      </c>
      <c r="D466">
        <v>-4341.0750549435597</v>
      </c>
    </row>
    <row r="467" spans="1:4" hidden="1" x14ac:dyDescent="0.3">
      <c r="A467">
        <v>465</v>
      </c>
      <c r="B467" s="1" t="s">
        <v>608</v>
      </c>
      <c r="C467" t="s">
        <v>218</v>
      </c>
      <c r="D467" s="1" t="s">
        <v>609</v>
      </c>
    </row>
    <row r="468" spans="1:4" hidden="1" x14ac:dyDescent="0.3">
      <c r="A468">
        <v>466</v>
      </c>
      <c r="B468" t="s">
        <v>610</v>
      </c>
      <c r="C468" t="s">
        <v>111</v>
      </c>
      <c r="D468">
        <v>1157.77374999996</v>
      </c>
    </row>
    <row r="469" spans="1:4" hidden="1" x14ac:dyDescent="0.3">
      <c r="A469">
        <v>467</v>
      </c>
      <c r="B469" t="s">
        <v>611</v>
      </c>
      <c r="C469" t="s">
        <v>113</v>
      </c>
      <c r="D469">
        <v>173.60033542890599</v>
      </c>
    </row>
    <row r="470" spans="1:4" hidden="1" x14ac:dyDescent="0.3">
      <c r="A470">
        <v>468</v>
      </c>
      <c r="B470" s="1" t="s">
        <v>612</v>
      </c>
      <c r="C470" t="s">
        <v>115</v>
      </c>
      <c r="D470" s="1" t="s">
        <v>613</v>
      </c>
    </row>
    <row r="471" spans="1:4" hidden="1" x14ac:dyDescent="0.3">
      <c r="A471">
        <v>469</v>
      </c>
      <c r="B471" t="s">
        <v>614</v>
      </c>
      <c r="C471" t="s">
        <v>118</v>
      </c>
      <c r="D471">
        <v>80006554.160247996</v>
      </c>
    </row>
    <row r="472" spans="1:4" hidden="1" x14ac:dyDescent="0.3">
      <c r="A472">
        <v>470</v>
      </c>
      <c r="B472" t="s">
        <v>615</v>
      </c>
      <c r="C472" t="s">
        <v>120</v>
      </c>
      <c r="D472">
        <v>35002410.267937303</v>
      </c>
    </row>
    <row r="473" spans="1:4" hidden="1" x14ac:dyDescent="0.3">
      <c r="A473">
        <v>471</v>
      </c>
      <c r="B473" s="1" t="s">
        <v>616</v>
      </c>
      <c r="C473" t="s">
        <v>122</v>
      </c>
      <c r="D473" s="1" t="s">
        <v>617</v>
      </c>
    </row>
    <row r="474" spans="1:4" hidden="1" x14ac:dyDescent="0.3">
      <c r="A474">
        <v>472</v>
      </c>
      <c r="B474" t="s">
        <v>618</v>
      </c>
      <c r="C474" t="s">
        <v>125</v>
      </c>
      <c r="D474">
        <v>0.80003081055664504</v>
      </c>
    </row>
    <row r="475" spans="1:4" hidden="1" x14ac:dyDescent="0.3">
      <c r="A475">
        <v>473</v>
      </c>
      <c r="B475" t="s">
        <v>619</v>
      </c>
      <c r="C475" t="s">
        <v>127</v>
      </c>
      <c r="D475">
        <v>0.35000890804528201</v>
      </c>
    </row>
    <row r="476" spans="1:4" hidden="1" x14ac:dyDescent="0.3">
      <c r="A476">
        <v>474</v>
      </c>
      <c r="B476" s="1" t="s">
        <v>620</v>
      </c>
      <c r="C476" t="s">
        <v>129</v>
      </c>
      <c r="D476" s="1" t="s">
        <v>621</v>
      </c>
    </row>
    <row r="477" spans="1:4" x14ac:dyDescent="0.3">
      <c r="A477">
        <v>475</v>
      </c>
      <c r="B477" s="1" t="s">
        <v>3</v>
      </c>
      <c r="C477" t="s">
        <v>4</v>
      </c>
      <c r="D477" t="s">
        <v>5</v>
      </c>
    </row>
    <row r="478" spans="1:4" hidden="1" x14ac:dyDescent="0.3">
      <c r="A478">
        <v>476</v>
      </c>
      <c r="B478" t="s">
        <v>6</v>
      </c>
      <c r="C478" t="s">
        <v>7</v>
      </c>
      <c r="D478">
        <v>1981.95</v>
      </c>
    </row>
    <row r="479" spans="1:4" hidden="1" x14ac:dyDescent="0.3">
      <c r="A479">
        <v>477</v>
      </c>
      <c r="B479" s="1" t="s">
        <v>131</v>
      </c>
      <c r="C479" t="s">
        <v>9</v>
      </c>
      <c r="D479" s="1" t="s">
        <v>132</v>
      </c>
    </row>
    <row r="480" spans="1:4" hidden="1" x14ac:dyDescent="0.3">
      <c r="A480">
        <v>478</v>
      </c>
      <c r="B480" t="s">
        <v>13</v>
      </c>
      <c r="C480" t="s">
        <v>14</v>
      </c>
      <c r="D480">
        <v>91.74609375</v>
      </c>
    </row>
    <row r="481" spans="1:4" hidden="1" x14ac:dyDescent="0.3">
      <c r="A481">
        <v>479</v>
      </c>
      <c r="B481" t="s">
        <v>15</v>
      </c>
      <c r="C481" t="s">
        <v>16</v>
      </c>
      <c r="D481">
        <v>4.1883572307132804</v>
      </c>
    </row>
    <row r="482" spans="1:4" hidden="1" x14ac:dyDescent="0.3">
      <c r="A482">
        <v>480</v>
      </c>
      <c r="B482" s="1" t="s">
        <v>133</v>
      </c>
      <c r="C482" t="s">
        <v>134</v>
      </c>
      <c r="D482" s="1" t="s">
        <v>135</v>
      </c>
    </row>
    <row r="483" spans="1:4" hidden="1" x14ac:dyDescent="0.3">
      <c r="A483">
        <v>481</v>
      </c>
      <c r="B483" t="s">
        <v>21</v>
      </c>
      <c r="C483" t="s">
        <v>22</v>
      </c>
      <c r="D483">
        <v>38.25</v>
      </c>
    </row>
    <row r="484" spans="1:4" hidden="1" x14ac:dyDescent="0.3">
      <c r="A484">
        <v>482</v>
      </c>
      <c r="B484" t="s">
        <v>622</v>
      </c>
      <c r="C484" t="s">
        <v>24</v>
      </c>
      <c r="D484">
        <v>5.8049017136041998</v>
      </c>
    </row>
    <row r="485" spans="1:4" hidden="1" x14ac:dyDescent="0.3">
      <c r="A485">
        <v>483</v>
      </c>
      <c r="B485" s="1" t="s">
        <v>623</v>
      </c>
      <c r="C485" t="s">
        <v>138</v>
      </c>
      <c r="D485" s="1" t="s">
        <v>624</v>
      </c>
    </row>
    <row r="486" spans="1:4" hidden="1" x14ac:dyDescent="0.3">
      <c r="A486">
        <v>484</v>
      </c>
      <c r="B486" t="s">
        <v>625</v>
      </c>
      <c r="C486" t="s">
        <v>35</v>
      </c>
      <c r="D486">
        <v>0.54402541098230905</v>
      </c>
    </row>
    <row r="487" spans="1:4" hidden="1" x14ac:dyDescent="0.3">
      <c r="A487">
        <v>485</v>
      </c>
      <c r="B487" t="s">
        <v>626</v>
      </c>
      <c r="C487" t="s">
        <v>142</v>
      </c>
      <c r="D487">
        <v>0.69243439019755804</v>
      </c>
    </row>
    <row r="488" spans="1:4" hidden="1" x14ac:dyDescent="0.3">
      <c r="A488">
        <v>486</v>
      </c>
      <c r="B488" s="1" t="s">
        <v>627</v>
      </c>
      <c r="C488" t="s">
        <v>144</v>
      </c>
      <c r="D488" s="1" t="s">
        <v>628</v>
      </c>
    </row>
    <row r="489" spans="1:4" hidden="1" x14ac:dyDescent="0.3">
      <c r="A489">
        <v>487</v>
      </c>
      <c r="B489" t="s">
        <v>629</v>
      </c>
      <c r="C489" t="s">
        <v>30</v>
      </c>
      <c r="D489">
        <v>0.192125055895425</v>
      </c>
    </row>
    <row r="490" spans="1:4" hidden="1" x14ac:dyDescent="0.3">
      <c r="A490">
        <v>488</v>
      </c>
      <c r="B490" t="s">
        <v>630</v>
      </c>
      <c r="C490" t="s">
        <v>32</v>
      </c>
      <c r="D490">
        <v>0.245446478655578</v>
      </c>
    </row>
    <row r="491" spans="1:4" hidden="1" x14ac:dyDescent="0.3">
      <c r="A491">
        <v>489</v>
      </c>
      <c r="B491" s="1" t="s">
        <v>631</v>
      </c>
      <c r="C491" t="s">
        <v>148</v>
      </c>
      <c r="D491" s="1" t="s">
        <v>632</v>
      </c>
    </row>
    <row r="492" spans="1:4" hidden="1" x14ac:dyDescent="0.3">
      <c r="A492">
        <v>490</v>
      </c>
      <c r="B492" t="s">
        <v>633</v>
      </c>
      <c r="C492" t="s">
        <v>40</v>
      </c>
      <c r="D492">
        <v>0.263849533122265</v>
      </c>
    </row>
    <row r="493" spans="1:4" hidden="1" x14ac:dyDescent="0.3">
      <c r="A493">
        <v>491</v>
      </c>
      <c r="B493" t="s">
        <v>634</v>
      </c>
      <c r="C493" t="s">
        <v>42</v>
      </c>
      <c r="D493">
        <v>0.19873366917718499</v>
      </c>
    </row>
    <row r="494" spans="1:4" hidden="1" x14ac:dyDescent="0.3">
      <c r="A494">
        <v>492</v>
      </c>
      <c r="B494" s="1" t="s">
        <v>635</v>
      </c>
      <c r="C494" t="s">
        <v>152</v>
      </c>
      <c r="D494" s="1" t="s">
        <v>636</v>
      </c>
    </row>
    <row r="495" spans="1:4" hidden="1" x14ac:dyDescent="0.3">
      <c r="A495">
        <v>493</v>
      </c>
      <c r="B495" t="s">
        <v>153</v>
      </c>
      <c r="C495" t="s">
        <v>154</v>
      </c>
      <c r="D495">
        <v>1</v>
      </c>
    </row>
    <row r="496" spans="1:4" hidden="1" x14ac:dyDescent="0.3">
      <c r="A496">
        <v>494</v>
      </c>
      <c r="B496" t="s">
        <v>155</v>
      </c>
      <c r="C496" t="s">
        <v>156</v>
      </c>
      <c r="D496">
        <v>1</v>
      </c>
    </row>
    <row r="497" spans="1:4" hidden="1" x14ac:dyDescent="0.3">
      <c r="A497">
        <v>495</v>
      </c>
      <c r="B497" s="1" t="s">
        <v>637</v>
      </c>
      <c r="C497" t="s">
        <v>158</v>
      </c>
      <c r="D497" s="1" t="s">
        <v>638</v>
      </c>
    </row>
    <row r="498" spans="1:4" hidden="1" x14ac:dyDescent="0.3">
      <c r="A498">
        <v>496</v>
      </c>
      <c r="B498" t="s">
        <v>639</v>
      </c>
      <c r="C498" t="s">
        <v>161</v>
      </c>
      <c r="D498">
        <v>0.99962646337080996</v>
      </c>
    </row>
    <row r="499" spans="1:4" hidden="1" x14ac:dyDescent="0.3">
      <c r="A499">
        <v>497</v>
      </c>
      <c r="B499" t="s">
        <v>640</v>
      </c>
      <c r="C499" t="s">
        <v>163</v>
      </c>
      <c r="D499">
        <v>1.00056252672285</v>
      </c>
    </row>
    <row r="500" spans="1:4" hidden="1" x14ac:dyDescent="0.3">
      <c r="A500">
        <v>498</v>
      </c>
      <c r="B500" s="1" t="s">
        <v>641</v>
      </c>
      <c r="C500" t="s">
        <v>165</v>
      </c>
      <c r="D500" s="1" t="s">
        <v>642</v>
      </c>
    </row>
    <row r="501" spans="1:4" hidden="1" x14ac:dyDescent="0.3">
      <c r="A501">
        <v>499</v>
      </c>
      <c r="B501" s="1" t="s">
        <v>643</v>
      </c>
      <c r="C501" t="s">
        <v>55</v>
      </c>
      <c r="D501" s="1" t="s">
        <v>644</v>
      </c>
    </row>
    <row r="502" spans="1:4" hidden="1" x14ac:dyDescent="0.3">
      <c r="A502">
        <v>500</v>
      </c>
      <c r="B502" s="1" t="s">
        <v>645</v>
      </c>
      <c r="C502" t="s">
        <v>52</v>
      </c>
      <c r="D502" s="1" t="s">
        <v>646</v>
      </c>
    </row>
    <row r="503" spans="1:4" hidden="1" x14ac:dyDescent="0.3">
      <c r="A503">
        <v>501</v>
      </c>
      <c r="B503" s="1" t="s">
        <v>647</v>
      </c>
      <c r="C503" t="s">
        <v>58</v>
      </c>
      <c r="D503" s="1" t="s">
        <v>648</v>
      </c>
    </row>
    <row r="504" spans="1:4" hidden="1" x14ac:dyDescent="0.3">
      <c r="A504">
        <v>502</v>
      </c>
      <c r="B504" t="s">
        <v>649</v>
      </c>
      <c r="C504" t="s">
        <v>60</v>
      </c>
      <c r="D504">
        <v>149986711.683687</v>
      </c>
    </row>
    <row r="505" spans="1:4" hidden="1" x14ac:dyDescent="0.3">
      <c r="A505">
        <v>503</v>
      </c>
      <c r="B505" t="s">
        <v>650</v>
      </c>
      <c r="C505" t="s">
        <v>62</v>
      </c>
      <c r="D505">
        <v>80006554.160247996</v>
      </c>
    </row>
    <row r="506" spans="1:4" hidden="1" x14ac:dyDescent="0.3">
      <c r="A506">
        <v>504</v>
      </c>
      <c r="B506" t="s">
        <v>651</v>
      </c>
      <c r="C506" t="s">
        <v>64</v>
      </c>
      <c r="D506">
        <v>35002410.267937303</v>
      </c>
    </row>
    <row r="507" spans="1:4" hidden="1" x14ac:dyDescent="0.3">
      <c r="A507">
        <v>505</v>
      </c>
      <c r="B507" s="1" t="s">
        <v>652</v>
      </c>
      <c r="C507" t="s">
        <v>66</v>
      </c>
      <c r="D507" s="1" t="s">
        <v>653</v>
      </c>
    </row>
    <row r="508" spans="1:4" hidden="1" x14ac:dyDescent="0.3">
      <c r="A508">
        <v>506</v>
      </c>
      <c r="B508" s="1" t="s">
        <v>654</v>
      </c>
      <c r="C508" t="s">
        <v>69</v>
      </c>
      <c r="D508" s="1" t="s">
        <v>655</v>
      </c>
    </row>
    <row r="509" spans="1:4" hidden="1" x14ac:dyDescent="0.3">
      <c r="A509">
        <v>507</v>
      </c>
      <c r="B509" t="s">
        <v>656</v>
      </c>
      <c r="C509" t="s">
        <v>72</v>
      </c>
      <c r="D509">
        <v>1.0000319000333899</v>
      </c>
    </row>
    <row r="510" spans="1:4" hidden="1" x14ac:dyDescent="0.3">
      <c r="A510">
        <v>508</v>
      </c>
      <c r="B510" t="s">
        <v>73</v>
      </c>
      <c r="C510" t="s">
        <v>74</v>
      </c>
      <c r="D510">
        <v>2.7397260273972599E-3</v>
      </c>
    </row>
    <row r="511" spans="1:4" hidden="1" x14ac:dyDescent="0.3">
      <c r="A511">
        <v>509</v>
      </c>
      <c r="B511" t="s">
        <v>75</v>
      </c>
      <c r="C511" t="s">
        <v>76</v>
      </c>
      <c r="D511">
        <v>0</v>
      </c>
    </row>
    <row r="512" spans="1:4" hidden="1" x14ac:dyDescent="0.3">
      <c r="A512">
        <v>510</v>
      </c>
      <c r="B512" t="s">
        <v>77</v>
      </c>
      <c r="C512" t="s">
        <v>78</v>
      </c>
      <c r="D512">
        <v>0</v>
      </c>
    </row>
    <row r="513" spans="1:4" hidden="1" x14ac:dyDescent="0.3">
      <c r="A513">
        <v>511</v>
      </c>
      <c r="B513" s="1" t="s">
        <v>657</v>
      </c>
      <c r="C513" t="s">
        <v>80</v>
      </c>
      <c r="D513" s="1" t="s">
        <v>658</v>
      </c>
    </row>
    <row r="514" spans="1:4" hidden="1" x14ac:dyDescent="0.3">
      <c r="A514">
        <v>512</v>
      </c>
      <c r="B514" t="s">
        <v>659</v>
      </c>
      <c r="C514" t="s">
        <v>83</v>
      </c>
      <c r="D514">
        <v>1.0000720162018599</v>
      </c>
    </row>
    <row r="515" spans="1:4" hidden="1" x14ac:dyDescent="0.3">
      <c r="A515">
        <v>513</v>
      </c>
      <c r="B515" s="1" t="s">
        <v>660</v>
      </c>
      <c r="C515" t="s">
        <v>85</v>
      </c>
      <c r="D515" s="1" t="s">
        <v>661</v>
      </c>
    </row>
    <row r="516" spans="1:4" hidden="1" x14ac:dyDescent="0.3">
      <c r="A516">
        <v>514</v>
      </c>
      <c r="B516" t="s">
        <v>662</v>
      </c>
      <c r="C516" t="s">
        <v>88</v>
      </c>
      <c r="D516">
        <v>99992798.898409396</v>
      </c>
    </row>
    <row r="517" spans="1:4" hidden="1" x14ac:dyDescent="0.3">
      <c r="A517">
        <v>515</v>
      </c>
      <c r="B517" s="1" t="s">
        <v>663</v>
      </c>
      <c r="C517" t="s">
        <v>90</v>
      </c>
      <c r="D517" s="1" t="s">
        <v>609</v>
      </c>
    </row>
    <row r="518" spans="1:4" hidden="1" x14ac:dyDescent="0.3">
      <c r="A518">
        <v>516</v>
      </c>
      <c r="B518" t="s">
        <v>664</v>
      </c>
      <c r="C518" t="s">
        <v>93</v>
      </c>
      <c r="D518">
        <v>80006554.160247996</v>
      </c>
    </row>
    <row r="519" spans="1:4" hidden="1" x14ac:dyDescent="0.3">
      <c r="A519">
        <v>517</v>
      </c>
      <c r="B519" t="s">
        <v>665</v>
      </c>
      <c r="C519" t="s">
        <v>95</v>
      </c>
      <c r="D519">
        <v>35002410.267937303</v>
      </c>
    </row>
    <row r="520" spans="1:4" hidden="1" x14ac:dyDescent="0.3">
      <c r="A520">
        <v>518</v>
      </c>
      <c r="B520" t="s">
        <v>666</v>
      </c>
      <c r="C520" t="s">
        <v>97</v>
      </c>
      <c r="D520">
        <v>34977747.255501598</v>
      </c>
    </row>
    <row r="521" spans="1:4" hidden="1" x14ac:dyDescent="0.3">
      <c r="A521">
        <v>519</v>
      </c>
      <c r="B521" s="1" t="s">
        <v>667</v>
      </c>
      <c r="C521" t="s">
        <v>99</v>
      </c>
      <c r="D521" s="1" t="s">
        <v>668</v>
      </c>
    </row>
    <row r="522" spans="1:4" hidden="1" x14ac:dyDescent="0.3">
      <c r="A522">
        <v>520</v>
      </c>
      <c r="B522" t="s">
        <v>669</v>
      </c>
      <c r="C522" t="s">
        <v>102</v>
      </c>
      <c r="D522">
        <v>7.7504210252243603E-3</v>
      </c>
    </row>
    <row r="523" spans="1:4" hidden="1" x14ac:dyDescent="0.3">
      <c r="A523">
        <v>521</v>
      </c>
      <c r="B523" t="s">
        <v>670</v>
      </c>
      <c r="C523" t="s">
        <v>104</v>
      </c>
      <c r="D523">
        <v>1.4770142234091399E-3</v>
      </c>
    </row>
    <row r="524" spans="1:4" hidden="1" x14ac:dyDescent="0.3">
      <c r="A524">
        <v>522</v>
      </c>
      <c r="B524" t="s">
        <v>671</v>
      </c>
      <c r="C524" t="s">
        <v>106</v>
      </c>
      <c r="D524">
        <v>1.9446500741583699E-2</v>
      </c>
    </row>
    <row r="525" spans="1:4" hidden="1" x14ac:dyDescent="0.3">
      <c r="A525">
        <v>523</v>
      </c>
      <c r="B525" s="1" t="s">
        <v>672</v>
      </c>
      <c r="C525" t="s">
        <v>108</v>
      </c>
      <c r="D525" s="1" t="s">
        <v>673</v>
      </c>
    </row>
    <row r="526" spans="1:4" hidden="1" x14ac:dyDescent="0.3">
      <c r="A526">
        <v>524</v>
      </c>
      <c r="B526" t="s">
        <v>674</v>
      </c>
      <c r="C526" t="s">
        <v>196</v>
      </c>
      <c r="D526">
        <v>149988092.86124799</v>
      </c>
    </row>
    <row r="527" spans="1:4" hidden="1" x14ac:dyDescent="0.3">
      <c r="A527">
        <v>525</v>
      </c>
      <c r="B527" t="s">
        <v>675</v>
      </c>
      <c r="C527" t="s">
        <v>198</v>
      </c>
      <c r="D527">
        <v>-3209.4946085491101</v>
      </c>
    </row>
    <row r="528" spans="1:4" hidden="1" x14ac:dyDescent="0.3">
      <c r="A528">
        <v>526</v>
      </c>
      <c r="B528" t="s">
        <v>676</v>
      </c>
      <c r="C528" t="s">
        <v>200</v>
      </c>
      <c r="D528">
        <v>-1404.12386964898</v>
      </c>
    </row>
    <row r="529" spans="1:4" hidden="1" x14ac:dyDescent="0.3">
      <c r="A529">
        <v>527</v>
      </c>
      <c r="B529" s="1" t="s">
        <v>677</v>
      </c>
      <c r="C529" t="s">
        <v>202</v>
      </c>
      <c r="D529" s="1" t="s">
        <v>678</v>
      </c>
    </row>
    <row r="530" spans="1:4" hidden="1" x14ac:dyDescent="0.3">
      <c r="A530">
        <v>528</v>
      </c>
      <c r="B530" t="s">
        <v>679</v>
      </c>
      <c r="C530" t="s">
        <v>205</v>
      </c>
      <c r="D530">
        <v>80010775.366946101</v>
      </c>
    </row>
    <row r="531" spans="1:4" hidden="1" x14ac:dyDescent="0.3">
      <c r="A531">
        <v>529</v>
      </c>
      <c r="B531" t="s">
        <v>680</v>
      </c>
      <c r="C531" t="s">
        <v>207</v>
      </c>
      <c r="D531">
        <v>35003965.802777603</v>
      </c>
    </row>
    <row r="532" spans="1:4" hidden="1" x14ac:dyDescent="0.3">
      <c r="A532">
        <v>530</v>
      </c>
      <c r="B532" t="s">
        <v>681</v>
      </c>
      <c r="C532" t="s">
        <v>209</v>
      </c>
      <c r="D532">
        <v>34979368.447191902</v>
      </c>
    </row>
    <row r="533" spans="1:4" hidden="1" x14ac:dyDescent="0.3">
      <c r="A533">
        <v>531</v>
      </c>
      <c r="B533" s="1" t="s">
        <v>682</v>
      </c>
      <c r="C533" t="s">
        <v>211</v>
      </c>
      <c r="D533" s="1" t="s">
        <v>683</v>
      </c>
    </row>
    <row r="534" spans="1:4" hidden="1" x14ac:dyDescent="0.3">
      <c r="A534">
        <v>532</v>
      </c>
      <c r="B534" t="s">
        <v>684</v>
      </c>
      <c r="C534" t="s">
        <v>214</v>
      </c>
      <c r="D534">
        <v>99996810.098418504</v>
      </c>
    </row>
    <row r="535" spans="1:4" hidden="1" x14ac:dyDescent="0.3">
      <c r="A535">
        <v>533</v>
      </c>
      <c r="B535" t="s">
        <v>685</v>
      </c>
      <c r="C535" t="s">
        <v>216</v>
      </c>
      <c r="D535">
        <v>-4011.2000091373902</v>
      </c>
    </row>
    <row r="536" spans="1:4" hidden="1" x14ac:dyDescent="0.3">
      <c r="A536">
        <v>534</v>
      </c>
      <c r="B536" s="1" t="s">
        <v>686</v>
      </c>
      <c r="C536" t="s">
        <v>218</v>
      </c>
      <c r="D536" s="1" t="s">
        <v>687</v>
      </c>
    </row>
    <row r="537" spans="1:4" hidden="1" x14ac:dyDescent="0.3">
      <c r="A537">
        <v>535</v>
      </c>
      <c r="B537" t="s">
        <v>688</v>
      </c>
      <c r="C537" t="s">
        <v>111</v>
      </c>
      <c r="D537">
        <v>1011.71208950606</v>
      </c>
    </row>
    <row r="538" spans="1:4" hidden="1" x14ac:dyDescent="0.3">
      <c r="A538">
        <v>536</v>
      </c>
      <c r="B538" t="s">
        <v>689</v>
      </c>
      <c r="C538" t="s">
        <v>113</v>
      </c>
      <c r="D538">
        <v>151.41097065012499</v>
      </c>
    </row>
    <row r="539" spans="1:4" hidden="1" x14ac:dyDescent="0.3">
      <c r="A539">
        <v>537</v>
      </c>
      <c r="B539" s="1" t="s">
        <v>690</v>
      </c>
      <c r="C539" t="s">
        <v>115</v>
      </c>
      <c r="D539" s="1" t="s">
        <v>691</v>
      </c>
    </row>
    <row r="540" spans="1:4" hidden="1" x14ac:dyDescent="0.3">
      <c r="A540">
        <v>538</v>
      </c>
      <c r="B540" t="s">
        <v>692</v>
      </c>
      <c r="C540" t="s">
        <v>118</v>
      </c>
      <c r="D540">
        <v>80010775.366946101</v>
      </c>
    </row>
    <row r="541" spans="1:4" hidden="1" x14ac:dyDescent="0.3">
      <c r="A541">
        <v>539</v>
      </c>
      <c r="B541" t="s">
        <v>693</v>
      </c>
      <c r="C541" t="s">
        <v>120</v>
      </c>
      <c r="D541">
        <v>35003965.802777603</v>
      </c>
    </row>
    <row r="542" spans="1:4" hidden="1" x14ac:dyDescent="0.3">
      <c r="A542">
        <v>540</v>
      </c>
      <c r="B542" s="1" t="s">
        <v>694</v>
      </c>
      <c r="C542" t="s">
        <v>122</v>
      </c>
      <c r="D542" s="1" t="s">
        <v>695</v>
      </c>
    </row>
    <row r="543" spans="1:4" hidden="1" x14ac:dyDescent="0.3">
      <c r="A543">
        <v>541</v>
      </c>
      <c r="B543" t="s">
        <v>696</v>
      </c>
      <c r="C543" t="s">
        <v>125</v>
      </c>
      <c r="D543">
        <v>0.80007565872337505</v>
      </c>
    </row>
    <row r="544" spans="1:4" hidden="1" x14ac:dyDescent="0.3">
      <c r="A544">
        <v>542</v>
      </c>
      <c r="B544" t="s">
        <v>697</v>
      </c>
      <c r="C544" t="s">
        <v>127</v>
      </c>
      <c r="D544">
        <v>0.35002561678907901</v>
      </c>
    </row>
    <row r="545" spans="1:4" hidden="1" x14ac:dyDescent="0.3">
      <c r="A545">
        <v>543</v>
      </c>
      <c r="B545" s="1" t="s">
        <v>698</v>
      </c>
      <c r="C545" t="s">
        <v>129</v>
      </c>
      <c r="D545" s="1" t="s">
        <v>699</v>
      </c>
    </row>
    <row r="546" spans="1:4" x14ac:dyDescent="0.3">
      <c r="A546">
        <v>544</v>
      </c>
      <c r="B546" s="1" t="s">
        <v>3</v>
      </c>
      <c r="C546" t="s">
        <v>4</v>
      </c>
      <c r="D546" t="s">
        <v>5</v>
      </c>
    </row>
    <row r="547" spans="1:4" hidden="1" x14ac:dyDescent="0.3">
      <c r="A547">
        <v>545</v>
      </c>
      <c r="B547" t="s">
        <v>6</v>
      </c>
      <c r="C547" t="s">
        <v>7</v>
      </c>
      <c r="D547">
        <v>1981.95</v>
      </c>
    </row>
    <row r="548" spans="1:4" hidden="1" x14ac:dyDescent="0.3">
      <c r="A548">
        <v>546</v>
      </c>
      <c r="B548" s="1" t="s">
        <v>131</v>
      </c>
      <c r="C548" t="s">
        <v>9</v>
      </c>
      <c r="D548" s="1" t="s">
        <v>132</v>
      </c>
    </row>
    <row r="549" spans="1:4" hidden="1" x14ac:dyDescent="0.3">
      <c r="A549">
        <v>547</v>
      </c>
      <c r="B549" t="s">
        <v>13</v>
      </c>
      <c r="C549" t="s">
        <v>14</v>
      </c>
      <c r="D549">
        <v>91.74609375</v>
      </c>
    </row>
    <row r="550" spans="1:4" hidden="1" x14ac:dyDescent="0.3">
      <c r="A550">
        <v>548</v>
      </c>
      <c r="B550" t="s">
        <v>15</v>
      </c>
      <c r="C550" t="s">
        <v>16</v>
      </c>
      <c r="D550">
        <v>4.1883572307132804</v>
      </c>
    </row>
    <row r="551" spans="1:4" hidden="1" x14ac:dyDescent="0.3">
      <c r="A551">
        <v>549</v>
      </c>
      <c r="B551" s="1" t="s">
        <v>133</v>
      </c>
      <c r="C551" t="s">
        <v>134</v>
      </c>
      <c r="D551" s="1" t="s">
        <v>135</v>
      </c>
    </row>
    <row r="552" spans="1:4" hidden="1" x14ac:dyDescent="0.3">
      <c r="A552">
        <v>550</v>
      </c>
      <c r="B552" t="s">
        <v>21</v>
      </c>
      <c r="C552" t="s">
        <v>22</v>
      </c>
      <c r="D552">
        <v>38.25</v>
      </c>
    </row>
    <row r="553" spans="1:4" hidden="1" x14ac:dyDescent="0.3">
      <c r="A553">
        <v>551</v>
      </c>
      <c r="B553" t="s">
        <v>700</v>
      </c>
      <c r="C553" t="s">
        <v>24</v>
      </c>
      <c r="D553">
        <v>5.7978415939648196</v>
      </c>
    </row>
    <row r="554" spans="1:4" hidden="1" x14ac:dyDescent="0.3">
      <c r="A554">
        <v>552</v>
      </c>
      <c r="B554" s="1" t="s">
        <v>701</v>
      </c>
      <c r="C554" t="s">
        <v>138</v>
      </c>
      <c r="D554" s="1" t="s">
        <v>702</v>
      </c>
    </row>
    <row r="555" spans="1:4" hidden="1" x14ac:dyDescent="0.3">
      <c r="A555">
        <v>553</v>
      </c>
      <c r="B555" t="s">
        <v>703</v>
      </c>
      <c r="C555" t="s">
        <v>35</v>
      </c>
      <c r="D555">
        <v>0.54476962252368899</v>
      </c>
    </row>
    <row r="556" spans="1:4" hidden="1" x14ac:dyDescent="0.3">
      <c r="A556">
        <v>554</v>
      </c>
      <c r="B556" t="s">
        <v>704</v>
      </c>
      <c r="C556" t="s">
        <v>142</v>
      </c>
      <c r="D556">
        <v>0.69210559836858399</v>
      </c>
    </row>
    <row r="557" spans="1:4" hidden="1" x14ac:dyDescent="0.3">
      <c r="A557">
        <v>555</v>
      </c>
      <c r="B557" s="1" t="s">
        <v>705</v>
      </c>
      <c r="C557" t="s">
        <v>144</v>
      </c>
      <c r="D557" s="1" t="s">
        <v>706</v>
      </c>
    </row>
    <row r="558" spans="1:4" hidden="1" x14ac:dyDescent="0.3">
      <c r="A558">
        <v>556</v>
      </c>
      <c r="B558" t="s">
        <v>707</v>
      </c>
      <c r="C558" t="s">
        <v>30</v>
      </c>
      <c r="D558">
        <v>0.19238787759657899</v>
      </c>
    </row>
    <row r="559" spans="1:4" hidden="1" x14ac:dyDescent="0.3">
      <c r="A559">
        <v>557</v>
      </c>
      <c r="B559" t="s">
        <v>708</v>
      </c>
      <c r="C559" t="s">
        <v>32</v>
      </c>
      <c r="D559">
        <v>0.24571031705166499</v>
      </c>
    </row>
    <row r="560" spans="1:4" hidden="1" x14ac:dyDescent="0.3">
      <c r="A560">
        <v>558</v>
      </c>
      <c r="B560" s="1" t="s">
        <v>709</v>
      </c>
      <c r="C560" t="s">
        <v>148</v>
      </c>
      <c r="D560" s="1" t="s">
        <v>710</v>
      </c>
    </row>
    <row r="561" spans="1:4" hidden="1" x14ac:dyDescent="0.3">
      <c r="A561">
        <v>559</v>
      </c>
      <c r="B561" t="s">
        <v>711</v>
      </c>
      <c r="C561" t="s">
        <v>40</v>
      </c>
      <c r="D561">
        <v>0.26284249987973102</v>
      </c>
    </row>
    <row r="562" spans="1:4" hidden="1" x14ac:dyDescent="0.3">
      <c r="A562">
        <v>560</v>
      </c>
      <c r="B562" t="s">
        <v>712</v>
      </c>
      <c r="C562" t="s">
        <v>42</v>
      </c>
      <c r="D562">
        <v>0.199155903301381</v>
      </c>
    </row>
    <row r="563" spans="1:4" hidden="1" x14ac:dyDescent="0.3">
      <c r="A563">
        <v>561</v>
      </c>
      <c r="B563" s="1" t="s">
        <v>713</v>
      </c>
      <c r="C563" t="s">
        <v>152</v>
      </c>
      <c r="D563" s="1" t="s">
        <v>714</v>
      </c>
    </row>
    <row r="564" spans="1:4" hidden="1" x14ac:dyDescent="0.3">
      <c r="A564">
        <v>562</v>
      </c>
      <c r="B564" t="s">
        <v>153</v>
      </c>
      <c r="C564" t="s">
        <v>154</v>
      </c>
      <c r="D564">
        <v>1</v>
      </c>
    </row>
    <row r="565" spans="1:4" hidden="1" x14ac:dyDescent="0.3">
      <c r="A565">
        <v>563</v>
      </c>
      <c r="B565" t="s">
        <v>155</v>
      </c>
      <c r="C565" t="s">
        <v>156</v>
      </c>
      <c r="D565">
        <v>1</v>
      </c>
    </row>
    <row r="566" spans="1:4" hidden="1" x14ac:dyDescent="0.3">
      <c r="A566">
        <v>564</v>
      </c>
      <c r="B566" s="1" t="s">
        <v>715</v>
      </c>
      <c r="C566" t="s">
        <v>158</v>
      </c>
      <c r="D566" s="1" t="s">
        <v>716</v>
      </c>
    </row>
    <row r="567" spans="1:4" hidden="1" x14ac:dyDescent="0.3">
      <c r="A567">
        <v>565</v>
      </c>
      <c r="B567" t="s">
        <v>717</v>
      </c>
      <c r="C567" t="s">
        <v>161</v>
      </c>
      <c r="D567">
        <v>0.99980572846375604</v>
      </c>
    </row>
    <row r="568" spans="1:4" hidden="1" x14ac:dyDescent="0.3">
      <c r="A568">
        <v>566</v>
      </c>
      <c r="B568" t="s">
        <v>718</v>
      </c>
      <c r="C568" t="s">
        <v>163</v>
      </c>
      <c r="D568">
        <v>1.0002118424200499</v>
      </c>
    </row>
    <row r="569" spans="1:4" hidden="1" x14ac:dyDescent="0.3">
      <c r="A569">
        <v>567</v>
      </c>
      <c r="B569" s="1" t="s">
        <v>719</v>
      </c>
      <c r="C569" t="s">
        <v>165</v>
      </c>
      <c r="D569" s="1" t="s">
        <v>720</v>
      </c>
    </row>
    <row r="570" spans="1:4" hidden="1" x14ac:dyDescent="0.3">
      <c r="A570">
        <v>568</v>
      </c>
      <c r="B570" s="1" t="s">
        <v>721</v>
      </c>
      <c r="C570" t="s">
        <v>55</v>
      </c>
      <c r="D570" s="1" t="s">
        <v>722</v>
      </c>
    </row>
    <row r="571" spans="1:4" hidden="1" x14ac:dyDescent="0.3">
      <c r="A571">
        <v>569</v>
      </c>
      <c r="B571" s="1" t="s">
        <v>723</v>
      </c>
      <c r="C571" t="s">
        <v>52</v>
      </c>
      <c r="D571" s="1" t="s">
        <v>724</v>
      </c>
    </row>
    <row r="572" spans="1:4" hidden="1" x14ac:dyDescent="0.3">
      <c r="A572">
        <v>570</v>
      </c>
      <c r="B572" s="1" t="s">
        <v>725</v>
      </c>
      <c r="C572" t="s">
        <v>58</v>
      </c>
      <c r="D572" s="1" t="s">
        <v>726</v>
      </c>
    </row>
    <row r="573" spans="1:4" hidden="1" x14ac:dyDescent="0.3">
      <c r="A573">
        <v>571</v>
      </c>
      <c r="B573" t="s">
        <v>727</v>
      </c>
      <c r="C573" t="s">
        <v>60</v>
      </c>
      <c r="D573">
        <v>149988503.917741</v>
      </c>
    </row>
    <row r="574" spans="1:4" hidden="1" x14ac:dyDescent="0.3">
      <c r="A574">
        <v>572</v>
      </c>
      <c r="B574" t="s">
        <v>728</v>
      </c>
      <c r="C574" t="s">
        <v>62</v>
      </c>
      <c r="D574">
        <v>80010775.366946101</v>
      </c>
    </row>
    <row r="575" spans="1:4" hidden="1" x14ac:dyDescent="0.3">
      <c r="A575">
        <v>573</v>
      </c>
      <c r="B575" t="s">
        <v>729</v>
      </c>
      <c r="C575" t="s">
        <v>64</v>
      </c>
      <c r="D575">
        <v>35003965.802777603</v>
      </c>
    </row>
    <row r="576" spans="1:4" hidden="1" x14ac:dyDescent="0.3">
      <c r="A576">
        <v>574</v>
      </c>
      <c r="B576" s="1" t="s">
        <v>730</v>
      </c>
      <c r="C576" t="s">
        <v>66</v>
      </c>
      <c r="D576" s="1" t="s">
        <v>731</v>
      </c>
    </row>
    <row r="577" spans="1:4" hidden="1" x14ac:dyDescent="0.3">
      <c r="A577">
        <v>575</v>
      </c>
      <c r="B577" s="1" t="s">
        <v>732</v>
      </c>
      <c r="C577" t="s">
        <v>69</v>
      </c>
      <c r="D577" s="1" t="s">
        <v>733</v>
      </c>
    </row>
    <row r="578" spans="1:4" hidden="1" x14ac:dyDescent="0.3">
      <c r="A578">
        <v>576</v>
      </c>
      <c r="B578" t="s">
        <v>734</v>
      </c>
      <c r="C578" t="s">
        <v>72</v>
      </c>
      <c r="D578">
        <v>1.0000720162018599</v>
      </c>
    </row>
    <row r="579" spans="1:4" hidden="1" x14ac:dyDescent="0.3">
      <c r="A579">
        <v>577</v>
      </c>
      <c r="B579" t="s">
        <v>73</v>
      </c>
      <c r="C579" t="s">
        <v>74</v>
      </c>
      <c r="D579">
        <v>2.7397260273972599E-3</v>
      </c>
    </row>
    <row r="580" spans="1:4" hidden="1" x14ac:dyDescent="0.3">
      <c r="A580">
        <v>578</v>
      </c>
      <c r="B580" t="s">
        <v>75</v>
      </c>
      <c r="C580" t="s">
        <v>76</v>
      </c>
      <c r="D580">
        <v>0</v>
      </c>
    </row>
    <row r="581" spans="1:4" hidden="1" x14ac:dyDescent="0.3">
      <c r="A581">
        <v>579</v>
      </c>
      <c r="B581" t="s">
        <v>77</v>
      </c>
      <c r="C581" t="s">
        <v>78</v>
      </c>
      <c r="D581">
        <v>0</v>
      </c>
    </row>
    <row r="582" spans="1:4" hidden="1" x14ac:dyDescent="0.3">
      <c r="A582">
        <v>580</v>
      </c>
      <c r="B582" s="1" t="s">
        <v>735</v>
      </c>
      <c r="C582" t="s">
        <v>80</v>
      </c>
      <c r="D582" s="1" t="s">
        <v>736</v>
      </c>
    </row>
    <row r="583" spans="1:4" hidden="1" x14ac:dyDescent="0.3">
      <c r="A583">
        <v>581</v>
      </c>
      <c r="B583" t="s">
        <v>737</v>
      </c>
      <c r="C583" t="s">
        <v>83</v>
      </c>
      <c r="D583">
        <v>1.0000927343472401</v>
      </c>
    </row>
    <row r="584" spans="1:4" hidden="1" x14ac:dyDescent="0.3">
      <c r="A584">
        <v>582</v>
      </c>
      <c r="B584" s="1" t="s">
        <v>738</v>
      </c>
      <c r="C584" t="s">
        <v>85</v>
      </c>
      <c r="D584" s="1" t="s">
        <v>739</v>
      </c>
    </row>
    <row r="585" spans="1:4" hidden="1" x14ac:dyDescent="0.3">
      <c r="A585">
        <v>583</v>
      </c>
      <c r="B585" t="s">
        <v>740</v>
      </c>
      <c r="C585" t="s">
        <v>88</v>
      </c>
      <c r="D585">
        <v>99990727.425162002</v>
      </c>
    </row>
    <row r="586" spans="1:4" hidden="1" x14ac:dyDescent="0.3">
      <c r="A586">
        <v>584</v>
      </c>
      <c r="B586" s="1" t="s">
        <v>741</v>
      </c>
      <c r="C586" t="s">
        <v>90</v>
      </c>
      <c r="D586" s="1" t="s">
        <v>687</v>
      </c>
    </row>
    <row r="587" spans="1:4" hidden="1" x14ac:dyDescent="0.3">
      <c r="A587">
        <v>585</v>
      </c>
      <c r="B587" t="s">
        <v>742</v>
      </c>
      <c r="C587" t="s">
        <v>93</v>
      </c>
      <c r="D587">
        <v>80010775.366946101</v>
      </c>
    </row>
    <row r="588" spans="1:4" hidden="1" x14ac:dyDescent="0.3">
      <c r="A588">
        <v>586</v>
      </c>
      <c r="B588" t="s">
        <v>743</v>
      </c>
      <c r="C588" t="s">
        <v>95</v>
      </c>
      <c r="D588">
        <v>35003965.802777603</v>
      </c>
    </row>
    <row r="589" spans="1:4" hidden="1" x14ac:dyDescent="0.3">
      <c r="A589">
        <v>587</v>
      </c>
      <c r="B589" t="s">
        <v>744</v>
      </c>
      <c r="C589" t="s">
        <v>97</v>
      </c>
      <c r="D589">
        <v>34973762.7480179</v>
      </c>
    </row>
    <row r="590" spans="1:4" hidden="1" x14ac:dyDescent="0.3">
      <c r="A590">
        <v>588</v>
      </c>
      <c r="B590" s="1" t="s">
        <v>745</v>
      </c>
      <c r="C590" t="s">
        <v>99</v>
      </c>
      <c r="D590" s="1" t="s">
        <v>746</v>
      </c>
    </row>
    <row r="591" spans="1:4" hidden="1" x14ac:dyDescent="0.3">
      <c r="A591">
        <v>589</v>
      </c>
      <c r="B591" t="s">
        <v>747</v>
      </c>
      <c r="C591" t="s">
        <v>102</v>
      </c>
      <c r="D591">
        <v>7.7851766586156598E-3</v>
      </c>
    </row>
    <row r="592" spans="1:4" hidden="1" x14ac:dyDescent="0.3">
      <c r="A592">
        <v>590</v>
      </c>
      <c r="B592" t="s">
        <v>748</v>
      </c>
      <c r="C592" t="s">
        <v>104</v>
      </c>
      <c r="D592">
        <v>1.4828718228457999E-3</v>
      </c>
    </row>
    <row r="593" spans="1:4" hidden="1" x14ac:dyDescent="0.3">
      <c r="A593">
        <v>591</v>
      </c>
      <c r="B593" t="s">
        <v>749</v>
      </c>
      <c r="C593" t="s">
        <v>106</v>
      </c>
      <c r="D593">
        <v>1.95342788263385E-2</v>
      </c>
    </row>
    <row r="594" spans="1:4" hidden="1" x14ac:dyDescent="0.3">
      <c r="A594">
        <v>592</v>
      </c>
      <c r="B594" s="1" t="s">
        <v>750</v>
      </c>
      <c r="C594" t="s">
        <v>108</v>
      </c>
      <c r="D594" s="1" t="s">
        <v>751</v>
      </c>
    </row>
    <row r="595" spans="1:4" hidden="1" x14ac:dyDescent="0.3">
      <c r="A595">
        <v>593</v>
      </c>
      <c r="B595" t="s">
        <v>752</v>
      </c>
      <c r="C595" t="s">
        <v>196</v>
      </c>
      <c r="D595">
        <v>149989217.259258</v>
      </c>
    </row>
    <row r="596" spans="1:4" hidden="1" x14ac:dyDescent="0.3">
      <c r="A596">
        <v>594</v>
      </c>
      <c r="B596" t="s">
        <v>753</v>
      </c>
      <c r="C596" t="s">
        <v>198</v>
      </c>
      <c r="D596">
        <v>-1657.5663296003499</v>
      </c>
    </row>
    <row r="597" spans="1:4" hidden="1" x14ac:dyDescent="0.3">
      <c r="A597">
        <v>595</v>
      </c>
      <c r="B597" t="s">
        <v>754</v>
      </c>
      <c r="C597" t="s">
        <v>200</v>
      </c>
      <c r="D597">
        <v>-725.16664915326601</v>
      </c>
    </row>
    <row r="598" spans="1:4" hidden="1" x14ac:dyDescent="0.3">
      <c r="A598">
        <v>596</v>
      </c>
      <c r="B598" s="1" t="s">
        <v>755</v>
      </c>
      <c r="C598" t="s">
        <v>202</v>
      </c>
      <c r="D598" s="1" t="s">
        <v>756</v>
      </c>
    </row>
    <row r="599" spans="1:4" hidden="1" x14ac:dyDescent="0.3">
      <c r="A599">
        <v>597</v>
      </c>
      <c r="B599" t="s">
        <v>757</v>
      </c>
      <c r="C599" t="s">
        <v>205</v>
      </c>
      <c r="D599">
        <v>80012955.449655905</v>
      </c>
    </row>
    <row r="600" spans="1:4" hidden="1" x14ac:dyDescent="0.3">
      <c r="A600">
        <v>598</v>
      </c>
      <c r="B600" t="s">
        <v>758</v>
      </c>
      <c r="C600" t="s">
        <v>207</v>
      </c>
      <c r="D600">
        <v>35004769.1945251</v>
      </c>
    </row>
    <row r="601" spans="1:4" hidden="1" x14ac:dyDescent="0.3">
      <c r="A601">
        <v>599</v>
      </c>
      <c r="B601" t="s">
        <v>759</v>
      </c>
      <c r="C601" t="s">
        <v>209</v>
      </c>
      <c r="D601">
        <v>34974599.889711298</v>
      </c>
    </row>
    <row r="602" spans="1:4" hidden="1" x14ac:dyDescent="0.3">
      <c r="A602">
        <v>600</v>
      </c>
      <c r="B602" s="1" t="s">
        <v>760</v>
      </c>
      <c r="C602" t="s">
        <v>211</v>
      </c>
      <c r="D602" s="1" t="s">
        <v>761</v>
      </c>
    </row>
    <row r="603" spans="1:4" hidden="1" x14ac:dyDescent="0.3">
      <c r="A603">
        <v>601</v>
      </c>
      <c r="B603" t="s">
        <v>762</v>
      </c>
      <c r="C603" t="s">
        <v>214</v>
      </c>
      <c r="D603">
        <v>99992798.898409396</v>
      </c>
    </row>
    <row r="604" spans="1:4" hidden="1" x14ac:dyDescent="0.3">
      <c r="A604">
        <v>602</v>
      </c>
      <c r="B604" t="s">
        <v>763</v>
      </c>
      <c r="C604" t="s">
        <v>216</v>
      </c>
      <c r="D604">
        <v>-2071.4732473641602</v>
      </c>
    </row>
    <row r="605" spans="1:4" hidden="1" x14ac:dyDescent="0.3">
      <c r="A605">
        <v>603</v>
      </c>
      <c r="B605" s="1" t="s">
        <v>764</v>
      </c>
      <c r="C605" t="s">
        <v>218</v>
      </c>
      <c r="D605" s="1" t="s">
        <v>765</v>
      </c>
    </row>
    <row r="606" spans="1:4" hidden="1" x14ac:dyDescent="0.3">
      <c r="A606">
        <v>604</v>
      </c>
      <c r="B606" t="s">
        <v>766</v>
      </c>
      <c r="C606" t="s">
        <v>111</v>
      </c>
      <c r="D606">
        <v>522.51638020102496</v>
      </c>
    </row>
    <row r="607" spans="1:4" hidden="1" x14ac:dyDescent="0.3">
      <c r="A607">
        <v>605</v>
      </c>
      <c r="B607" t="s">
        <v>767</v>
      </c>
      <c r="C607" t="s">
        <v>113</v>
      </c>
      <c r="D607">
        <v>78.225098333321498</v>
      </c>
    </row>
    <row r="608" spans="1:4" hidden="1" x14ac:dyDescent="0.3">
      <c r="A608">
        <v>606</v>
      </c>
      <c r="B608" s="1" t="s">
        <v>768</v>
      </c>
      <c r="C608" t="s">
        <v>115</v>
      </c>
      <c r="D608" s="1" t="s">
        <v>769</v>
      </c>
    </row>
    <row r="609" spans="1:4" hidden="1" x14ac:dyDescent="0.3">
      <c r="A609">
        <v>607</v>
      </c>
      <c r="B609" t="s">
        <v>770</v>
      </c>
      <c r="C609" t="s">
        <v>118</v>
      </c>
      <c r="D609">
        <v>80012955.449655905</v>
      </c>
    </row>
    <row r="610" spans="1:4" hidden="1" x14ac:dyDescent="0.3">
      <c r="A610">
        <v>608</v>
      </c>
      <c r="B610" t="s">
        <v>771</v>
      </c>
      <c r="C610" t="s">
        <v>120</v>
      </c>
      <c r="D610">
        <v>35004769.1945251</v>
      </c>
    </row>
    <row r="611" spans="1:4" hidden="1" x14ac:dyDescent="0.3">
      <c r="A611">
        <v>609</v>
      </c>
      <c r="B611" s="1" t="s">
        <v>772</v>
      </c>
      <c r="C611" t="s">
        <v>122</v>
      </c>
      <c r="D611" s="1" t="s">
        <v>773</v>
      </c>
    </row>
    <row r="612" spans="1:4" hidden="1" x14ac:dyDescent="0.3">
      <c r="A612">
        <v>610</v>
      </c>
      <c r="B612" t="s">
        <v>774</v>
      </c>
      <c r="C612" t="s">
        <v>125</v>
      </c>
      <c r="D612">
        <v>0.80011297883326304</v>
      </c>
    </row>
    <row r="613" spans="1:4" hidden="1" x14ac:dyDescent="0.3">
      <c r="A613">
        <v>611</v>
      </c>
      <c r="B613" t="s">
        <v>775</v>
      </c>
      <c r="C613" t="s">
        <v>127</v>
      </c>
      <c r="D613">
        <v>0.35004044027875902</v>
      </c>
    </row>
    <row r="614" spans="1:4" hidden="1" x14ac:dyDescent="0.3">
      <c r="A614">
        <v>612</v>
      </c>
      <c r="B614" s="1" t="s">
        <v>776</v>
      </c>
      <c r="C614" t="s">
        <v>129</v>
      </c>
      <c r="D614" s="1" t="s">
        <v>777</v>
      </c>
    </row>
    <row r="615" spans="1:4" x14ac:dyDescent="0.3">
      <c r="A615">
        <v>613</v>
      </c>
      <c r="B615" s="1" t="s">
        <v>3</v>
      </c>
      <c r="C615" t="s">
        <v>4</v>
      </c>
      <c r="D615" t="s">
        <v>5</v>
      </c>
    </row>
    <row r="616" spans="1:4" hidden="1" x14ac:dyDescent="0.3">
      <c r="A616">
        <v>614</v>
      </c>
      <c r="B616" t="s">
        <v>6</v>
      </c>
      <c r="C616" t="s">
        <v>7</v>
      </c>
      <c r="D616">
        <v>1981.95</v>
      </c>
    </row>
    <row r="617" spans="1:4" hidden="1" x14ac:dyDescent="0.3">
      <c r="A617">
        <v>615</v>
      </c>
      <c r="B617" s="1" t="s">
        <v>131</v>
      </c>
      <c r="C617" t="s">
        <v>9</v>
      </c>
      <c r="D617" s="1" t="s">
        <v>132</v>
      </c>
    </row>
    <row r="618" spans="1:4" hidden="1" x14ac:dyDescent="0.3">
      <c r="A618">
        <v>616</v>
      </c>
      <c r="B618" t="s">
        <v>13</v>
      </c>
      <c r="C618" t="s">
        <v>14</v>
      </c>
      <c r="D618">
        <v>91.74609375</v>
      </c>
    </row>
    <row r="619" spans="1:4" hidden="1" x14ac:dyDescent="0.3">
      <c r="A619">
        <v>617</v>
      </c>
      <c r="B619" t="s">
        <v>15</v>
      </c>
      <c r="C619" t="s">
        <v>16</v>
      </c>
      <c r="D619">
        <v>4.1883572307132804</v>
      </c>
    </row>
    <row r="620" spans="1:4" hidden="1" x14ac:dyDescent="0.3">
      <c r="A620">
        <v>618</v>
      </c>
      <c r="B620" s="1" t="s">
        <v>133</v>
      </c>
      <c r="C620" t="s">
        <v>134</v>
      </c>
      <c r="D620" s="1" t="s">
        <v>135</v>
      </c>
    </row>
    <row r="621" spans="1:4" hidden="1" x14ac:dyDescent="0.3">
      <c r="A621">
        <v>619</v>
      </c>
      <c r="B621" t="s">
        <v>21</v>
      </c>
      <c r="C621" t="s">
        <v>22</v>
      </c>
      <c r="D621">
        <v>38.25</v>
      </c>
    </row>
    <row r="622" spans="1:4" hidden="1" x14ac:dyDescent="0.3">
      <c r="A622">
        <v>620</v>
      </c>
      <c r="B622" t="s">
        <v>778</v>
      </c>
      <c r="C622" t="s">
        <v>24</v>
      </c>
      <c r="D622">
        <v>5.7979271993586501</v>
      </c>
    </row>
    <row r="623" spans="1:4" hidden="1" x14ac:dyDescent="0.3">
      <c r="A623">
        <v>621</v>
      </c>
      <c r="B623" s="1" t="s">
        <v>779</v>
      </c>
      <c r="C623" t="s">
        <v>138</v>
      </c>
      <c r="D623" s="1" t="s">
        <v>780</v>
      </c>
    </row>
    <row r="624" spans="1:4" hidden="1" x14ac:dyDescent="0.3">
      <c r="A624">
        <v>622</v>
      </c>
      <c r="B624" t="s">
        <v>781</v>
      </c>
      <c r="C624" t="s">
        <v>35</v>
      </c>
      <c r="D624">
        <v>0.54083346500047602</v>
      </c>
    </row>
    <row r="625" spans="1:4" hidden="1" x14ac:dyDescent="0.3">
      <c r="A625">
        <v>623</v>
      </c>
      <c r="B625" t="s">
        <v>782</v>
      </c>
      <c r="C625" t="s">
        <v>142</v>
      </c>
      <c r="D625">
        <v>0.69011174394093699</v>
      </c>
    </row>
    <row r="626" spans="1:4" hidden="1" x14ac:dyDescent="0.3">
      <c r="A626">
        <v>624</v>
      </c>
      <c r="B626" s="1" t="s">
        <v>783</v>
      </c>
      <c r="C626" t="s">
        <v>144</v>
      </c>
      <c r="D626" s="1" t="s">
        <v>784</v>
      </c>
    </row>
    <row r="627" spans="1:4" hidden="1" x14ac:dyDescent="0.3">
      <c r="A627">
        <v>625</v>
      </c>
      <c r="B627" t="s">
        <v>785</v>
      </c>
      <c r="C627" t="s">
        <v>30</v>
      </c>
      <c r="D627">
        <v>0.190997805609326</v>
      </c>
    </row>
    <row r="628" spans="1:4" hidden="1" x14ac:dyDescent="0.3">
      <c r="A628">
        <v>626</v>
      </c>
      <c r="B628" t="s">
        <v>786</v>
      </c>
      <c r="C628" t="s">
        <v>32</v>
      </c>
      <c r="D628">
        <v>0.24818633860501099</v>
      </c>
    </row>
    <row r="629" spans="1:4" hidden="1" x14ac:dyDescent="0.3">
      <c r="A629">
        <v>627</v>
      </c>
      <c r="B629" s="1" t="s">
        <v>787</v>
      </c>
      <c r="C629" t="s">
        <v>148</v>
      </c>
      <c r="D629" s="1" t="s">
        <v>788</v>
      </c>
    </row>
    <row r="630" spans="1:4" hidden="1" x14ac:dyDescent="0.3">
      <c r="A630">
        <v>628</v>
      </c>
      <c r="B630" t="s">
        <v>789</v>
      </c>
      <c r="C630" t="s">
        <v>40</v>
      </c>
      <c r="D630">
        <v>0.26816872939019698</v>
      </c>
    </row>
    <row r="631" spans="1:4" hidden="1" x14ac:dyDescent="0.3">
      <c r="A631">
        <v>629</v>
      </c>
      <c r="B631" t="s">
        <v>790</v>
      </c>
      <c r="C631" t="s">
        <v>42</v>
      </c>
      <c r="D631">
        <v>0.20085435484764699</v>
      </c>
    </row>
    <row r="632" spans="1:4" hidden="1" x14ac:dyDescent="0.3">
      <c r="A632">
        <v>630</v>
      </c>
      <c r="B632" s="1" t="s">
        <v>791</v>
      </c>
      <c r="C632" t="s">
        <v>152</v>
      </c>
      <c r="D632" s="1" t="s">
        <v>792</v>
      </c>
    </row>
    <row r="633" spans="1:4" hidden="1" x14ac:dyDescent="0.3">
      <c r="A633">
        <v>631</v>
      </c>
      <c r="B633" t="s">
        <v>153</v>
      </c>
      <c r="C633" t="s">
        <v>154</v>
      </c>
      <c r="D633">
        <v>1</v>
      </c>
    </row>
    <row r="634" spans="1:4" hidden="1" x14ac:dyDescent="0.3">
      <c r="A634">
        <v>632</v>
      </c>
      <c r="B634" t="s">
        <v>155</v>
      </c>
      <c r="C634" t="s">
        <v>156</v>
      </c>
      <c r="D634">
        <v>1</v>
      </c>
    </row>
    <row r="635" spans="1:4" hidden="1" x14ac:dyDescent="0.3">
      <c r="A635">
        <v>633</v>
      </c>
      <c r="B635" s="1" t="s">
        <v>793</v>
      </c>
      <c r="C635" t="s">
        <v>158</v>
      </c>
      <c r="D635" s="1" t="s">
        <v>794</v>
      </c>
    </row>
    <row r="636" spans="1:4" hidden="1" x14ac:dyDescent="0.3">
      <c r="A636">
        <v>634</v>
      </c>
      <c r="B636" t="s">
        <v>795</v>
      </c>
      <c r="C636" t="s">
        <v>161</v>
      </c>
      <c r="D636">
        <v>0.9988216725779</v>
      </c>
    </row>
    <row r="637" spans="1:4" hidden="1" x14ac:dyDescent="0.3">
      <c r="A637">
        <v>635</v>
      </c>
      <c r="B637" t="s">
        <v>796</v>
      </c>
      <c r="C637" t="s">
        <v>163</v>
      </c>
      <c r="D637">
        <v>1.00198763831322</v>
      </c>
    </row>
    <row r="638" spans="1:4" hidden="1" x14ac:dyDescent="0.3">
      <c r="A638">
        <v>636</v>
      </c>
      <c r="B638" s="1" t="s">
        <v>797</v>
      </c>
      <c r="C638" t="s">
        <v>165</v>
      </c>
      <c r="D638" s="1" t="s">
        <v>798</v>
      </c>
    </row>
    <row r="639" spans="1:4" hidden="1" x14ac:dyDescent="0.3">
      <c r="A639">
        <v>637</v>
      </c>
      <c r="B639" s="1" t="s">
        <v>799</v>
      </c>
      <c r="C639" t="s">
        <v>55</v>
      </c>
      <c r="D639" s="1" t="s">
        <v>800</v>
      </c>
    </row>
    <row r="640" spans="1:4" hidden="1" x14ac:dyDescent="0.3">
      <c r="A640">
        <v>638</v>
      </c>
      <c r="B640" s="1" t="s">
        <v>801</v>
      </c>
      <c r="C640" t="s">
        <v>52</v>
      </c>
      <c r="D640" s="1" t="s">
        <v>802</v>
      </c>
    </row>
    <row r="641" spans="1:4" hidden="1" x14ac:dyDescent="0.3">
      <c r="A641">
        <v>639</v>
      </c>
      <c r="B641" s="1" t="s">
        <v>803</v>
      </c>
      <c r="C641" t="s">
        <v>58</v>
      </c>
      <c r="D641" s="1" t="s">
        <v>804</v>
      </c>
    </row>
    <row r="642" spans="1:4" hidden="1" x14ac:dyDescent="0.3">
      <c r="A642">
        <v>640</v>
      </c>
      <c r="B642" t="s">
        <v>805</v>
      </c>
      <c r="C642" t="s">
        <v>60</v>
      </c>
      <c r="D642">
        <v>149992392.50576699</v>
      </c>
    </row>
    <row r="643" spans="1:4" hidden="1" x14ac:dyDescent="0.3">
      <c r="A643">
        <v>641</v>
      </c>
      <c r="B643" t="s">
        <v>806</v>
      </c>
      <c r="C643" t="s">
        <v>62</v>
      </c>
      <c r="D643">
        <v>80012955.449655905</v>
      </c>
    </row>
    <row r="644" spans="1:4" hidden="1" x14ac:dyDescent="0.3">
      <c r="A644">
        <v>642</v>
      </c>
      <c r="B644" t="s">
        <v>807</v>
      </c>
      <c r="C644" t="s">
        <v>64</v>
      </c>
      <c r="D644">
        <v>35004769.1945251</v>
      </c>
    </row>
    <row r="645" spans="1:4" hidden="1" x14ac:dyDescent="0.3">
      <c r="A645">
        <v>643</v>
      </c>
      <c r="B645" s="1" t="s">
        <v>808</v>
      </c>
      <c r="C645" t="s">
        <v>66</v>
      </c>
      <c r="D645" s="1" t="s">
        <v>809</v>
      </c>
    </row>
    <row r="646" spans="1:4" hidden="1" x14ac:dyDescent="0.3">
      <c r="A646">
        <v>644</v>
      </c>
      <c r="B646" s="1" t="s">
        <v>810</v>
      </c>
      <c r="C646" t="s">
        <v>69</v>
      </c>
      <c r="D646" s="1" t="s">
        <v>811</v>
      </c>
    </row>
    <row r="647" spans="1:4" hidden="1" x14ac:dyDescent="0.3">
      <c r="A647">
        <v>645</v>
      </c>
      <c r="B647" t="s">
        <v>812</v>
      </c>
      <c r="C647" t="s">
        <v>72</v>
      </c>
      <c r="D647">
        <v>1.0000927343472401</v>
      </c>
    </row>
    <row r="648" spans="1:4" hidden="1" x14ac:dyDescent="0.3">
      <c r="A648">
        <v>646</v>
      </c>
      <c r="B648" t="s">
        <v>73</v>
      </c>
      <c r="C648" t="s">
        <v>74</v>
      </c>
      <c r="D648">
        <v>2.7397260273972599E-3</v>
      </c>
    </row>
    <row r="649" spans="1:4" hidden="1" x14ac:dyDescent="0.3">
      <c r="A649">
        <v>647</v>
      </c>
      <c r="B649" t="s">
        <v>75</v>
      </c>
      <c r="C649" t="s">
        <v>76</v>
      </c>
      <c r="D649">
        <v>0</v>
      </c>
    </row>
    <row r="650" spans="1:4" hidden="1" x14ac:dyDescent="0.3">
      <c r="A650">
        <v>648</v>
      </c>
      <c r="B650" t="s">
        <v>77</v>
      </c>
      <c r="C650" t="s">
        <v>78</v>
      </c>
      <c r="D650">
        <v>0</v>
      </c>
    </row>
    <row r="651" spans="1:4" hidden="1" x14ac:dyDescent="0.3">
      <c r="A651">
        <v>649</v>
      </c>
      <c r="B651" s="1" t="s">
        <v>813</v>
      </c>
      <c r="C651" t="s">
        <v>80</v>
      </c>
      <c r="D651" s="1" t="s">
        <v>814</v>
      </c>
    </row>
    <row r="652" spans="1:4" hidden="1" x14ac:dyDescent="0.3">
      <c r="A652">
        <v>650</v>
      </c>
      <c r="B652" t="s">
        <v>815</v>
      </c>
      <c r="C652" t="s">
        <v>83</v>
      </c>
      <c r="D652">
        <v>1.0001185086881199</v>
      </c>
    </row>
    <row r="653" spans="1:4" hidden="1" x14ac:dyDescent="0.3">
      <c r="A653">
        <v>651</v>
      </c>
      <c r="B653" s="1" t="s">
        <v>816</v>
      </c>
      <c r="C653" t="s">
        <v>85</v>
      </c>
      <c r="D653" s="1" t="s">
        <v>817</v>
      </c>
    </row>
    <row r="654" spans="1:4" hidden="1" x14ac:dyDescent="0.3">
      <c r="A654">
        <v>652</v>
      </c>
      <c r="B654" t="s">
        <v>818</v>
      </c>
      <c r="C654" t="s">
        <v>88</v>
      </c>
      <c r="D654">
        <v>99988150.535451502</v>
      </c>
    </row>
    <row r="655" spans="1:4" hidden="1" x14ac:dyDescent="0.3">
      <c r="A655">
        <v>653</v>
      </c>
      <c r="B655" s="1" t="s">
        <v>819</v>
      </c>
      <c r="C655" t="s">
        <v>90</v>
      </c>
      <c r="D655" s="1" t="s">
        <v>765</v>
      </c>
    </row>
    <row r="656" spans="1:4" hidden="1" x14ac:dyDescent="0.3">
      <c r="A656">
        <v>654</v>
      </c>
      <c r="B656" t="s">
        <v>820</v>
      </c>
      <c r="C656" t="s">
        <v>93</v>
      </c>
      <c r="D656">
        <v>80012955.449655905</v>
      </c>
    </row>
    <row r="657" spans="1:4" hidden="1" x14ac:dyDescent="0.3">
      <c r="A657">
        <v>655</v>
      </c>
      <c r="B657" t="s">
        <v>821</v>
      </c>
      <c r="C657" t="s">
        <v>95</v>
      </c>
      <c r="D657">
        <v>35004769.1945251</v>
      </c>
    </row>
    <row r="658" spans="1:4" hidden="1" x14ac:dyDescent="0.3">
      <c r="A658">
        <v>656</v>
      </c>
      <c r="B658" t="s">
        <v>822</v>
      </c>
      <c r="C658" t="s">
        <v>97</v>
      </c>
      <c r="D658">
        <v>34974667.861586601</v>
      </c>
    </row>
    <row r="659" spans="1:4" hidden="1" x14ac:dyDescent="0.3">
      <c r="A659">
        <v>657</v>
      </c>
      <c r="B659" s="1" t="s">
        <v>823</v>
      </c>
      <c r="C659" t="s">
        <v>99</v>
      </c>
      <c r="D659" s="1" t="s">
        <v>824</v>
      </c>
    </row>
    <row r="660" spans="1:4" hidden="1" x14ac:dyDescent="0.3">
      <c r="A660">
        <v>658</v>
      </c>
      <c r="B660" t="s">
        <v>825</v>
      </c>
      <c r="C660" t="s">
        <v>102</v>
      </c>
      <c r="D660">
        <v>7.6967545315909701E-3</v>
      </c>
    </row>
    <row r="661" spans="1:4" hidden="1" x14ac:dyDescent="0.3">
      <c r="A661">
        <v>659</v>
      </c>
      <c r="B661" t="s">
        <v>826</v>
      </c>
      <c r="C661" t="s">
        <v>104</v>
      </c>
      <c r="D661">
        <v>1.4719546856892601E-3</v>
      </c>
    </row>
    <row r="662" spans="1:4" hidden="1" x14ac:dyDescent="0.3">
      <c r="A662">
        <v>660</v>
      </c>
      <c r="B662" t="s">
        <v>827</v>
      </c>
      <c r="C662" t="s">
        <v>106</v>
      </c>
      <c r="D662">
        <v>1.9533214564880299E-2</v>
      </c>
    </row>
    <row r="663" spans="1:4" hidden="1" x14ac:dyDescent="0.3">
      <c r="A663">
        <v>661</v>
      </c>
      <c r="B663" s="1" t="s">
        <v>828</v>
      </c>
      <c r="C663" t="s">
        <v>108</v>
      </c>
      <c r="D663" s="1" t="s">
        <v>829</v>
      </c>
    </row>
    <row r="664" spans="1:4" hidden="1" x14ac:dyDescent="0.3">
      <c r="A664">
        <v>662</v>
      </c>
      <c r="B664" t="s">
        <v>830</v>
      </c>
      <c r="C664" t="s">
        <v>196</v>
      </c>
      <c r="D664">
        <v>149993279.66394401</v>
      </c>
    </row>
    <row r="665" spans="1:4" hidden="1" x14ac:dyDescent="0.3">
      <c r="A665">
        <v>663</v>
      </c>
      <c r="B665" t="s">
        <v>831</v>
      </c>
      <c r="C665" t="s">
        <v>198</v>
      </c>
      <c r="D665">
        <v>-2062.1076777688099</v>
      </c>
    </row>
    <row r="666" spans="1:4" hidden="1" x14ac:dyDescent="0.3">
      <c r="A666">
        <v>664</v>
      </c>
      <c r="B666" t="s">
        <v>832</v>
      </c>
      <c r="C666" t="s">
        <v>200</v>
      </c>
      <c r="D666">
        <v>-902.14384218664998</v>
      </c>
    </row>
    <row r="667" spans="1:4" hidden="1" x14ac:dyDescent="0.3">
      <c r="A667">
        <v>665</v>
      </c>
      <c r="B667" s="1" t="s">
        <v>833</v>
      </c>
      <c r="C667" t="s">
        <v>202</v>
      </c>
      <c r="D667" s="1" t="s">
        <v>834</v>
      </c>
    </row>
    <row r="668" spans="1:4" hidden="1" x14ac:dyDescent="0.3">
      <c r="A668">
        <v>666</v>
      </c>
      <c r="B668" t="s">
        <v>835</v>
      </c>
      <c r="C668" t="s">
        <v>205</v>
      </c>
      <c r="D668">
        <v>80015704.937801898</v>
      </c>
    </row>
    <row r="669" spans="1:4" hidden="1" x14ac:dyDescent="0.3">
      <c r="A669">
        <v>667</v>
      </c>
      <c r="B669" t="s">
        <v>836</v>
      </c>
      <c r="C669" t="s">
        <v>207</v>
      </c>
      <c r="D669">
        <v>35005774.075758301</v>
      </c>
    </row>
    <row r="670" spans="1:4" hidden="1" x14ac:dyDescent="0.3">
      <c r="A670">
        <v>668</v>
      </c>
      <c r="B670" t="s">
        <v>837</v>
      </c>
      <c r="C670" t="s">
        <v>209</v>
      </c>
      <c r="D670">
        <v>34975666.2698294</v>
      </c>
    </row>
    <row r="671" spans="1:4" hidden="1" x14ac:dyDescent="0.3">
      <c r="A671">
        <v>669</v>
      </c>
      <c r="B671" s="1" t="s">
        <v>838</v>
      </c>
      <c r="C671" t="s">
        <v>211</v>
      </c>
      <c r="D671" s="1" t="s">
        <v>839</v>
      </c>
    </row>
    <row r="672" spans="1:4" hidden="1" x14ac:dyDescent="0.3">
      <c r="A672">
        <v>670</v>
      </c>
      <c r="B672" t="s">
        <v>840</v>
      </c>
      <c r="C672" t="s">
        <v>214</v>
      </c>
      <c r="D672">
        <v>99990727.425162002</v>
      </c>
    </row>
    <row r="673" spans="1:4" hidden="1" x14ac:dyDescent="0.3">
      <c r="A673">
        <v>671</v>
      </c>
      <c r="B673" t="s">
        <v>841</v>
      </c>
      <c r="C673" t="s">
        <v>216</v>
      </c>
      <c r="D673">
        <v>-2576.8897104561302</v>
      </c>
    </row>
    <row r="674" spans="1:4" hidden="1" x14ac:dyDescent="0.3">
      <c r="A674">
        <v>672</v>
      </c>
      <c r="B674" s="1" t="s">
        <v>842</v>
      </c>
      <c r="C674" t="s">
        <v>218</v>
      </c>
      <c r="D674" s="1" t="s">
        <v>843</v>
      </c>
    </row>
    <row r="675" spans="1:4" hidden="1" x14ac:dyDescent="0.3">
      <c r="A675">
        <v>673</v>
      </c>
      <c r="B675" t="s">
        <v>844</v>
      </c>
      <c r="C675" t="s">
        <v>111</v>
      </c>
      <c r="D675">
        <v>687.38046826001596</v>
      </c>
    </row>
    <row r="676" spans="1:4" hidden="1" x14ac:dyDescent="0.3">
      <c r="A676">
        <v>674</v>
      </c>
      <c r="B676" t="s">
        <v>845</v>
      </c>
      <c r="C676" t="s">
        <v>113</v>
      </c>
      <c r="D676">
        <v>102.73739105382001</v>
      </c>
    </row>
    <row r="677" spans="1:4" hidden="1" x14ac:dyDescent="0.3">
      <c r="A677">
        <v>675</v>
      </c>
      <c r="B677" s="1" t="s">
        <v>846</v>
      </c>
      <c r="C677" t="s">
        <v>115</v>
      </c>
      <c r="D677" s="1" t="s">
        <v>847</v>
      </c>
    </row>
    <row r="678" spans="1:4" hidden="1" x14ac:dyDescent="0.3">
      <c r="A678">
        <v>676</v>
      </c>
      <c r="B678" t="s">
        <v>848</v>
      </c>
      <c r="C678" t="s">
        <v>118</v>
      </c>
      <c r="D678">
        <v>80015704.937801898</v>
      </c>
    </row>
    <row r="679" spans="1:4" hidden="1" x14ac:dyDescent="0.3">
      <c r="A679">
        <v>677</v>
      </c>
      <c r="B679" t="s">
        <v>849</v>
      </c>
      <c r="C679" t="s">
        <v>120</v>
      </c>
      <c r="D679">
        <v>35005774.075758301</v>
      </c>
    </row>
    <row r="680" spans="1:4" hidden="1" x14ac:dyDescent="0.3">
      <c r="A680">
        <v>678</v>
      </c>
      <c r="B680" s="1" t="s">
        <v>850</v>
      </c>
      <c r="C680" t="s">
        <v>122</v>
      </c>
      <c r="D680" s="1" t="s">
        <v>851</v>
      </c>
    </row>
    <row r="681" spans="1:4" hidden="1" x14ac:dyDescent="0.3">
      <c r="A681">
        <v>679</v>
      </c>
      <c r="B681" t="s">
        <v>852</v>
      </c>
      <c r="C681" t="s">
        <v>125</v>
      </c>
      <c r="D681">
        <v>0.80013642830124099</v>
      </c>
    </row>
    <row r="682" spans="1:4" hidden="1" x14ac:dyDescent="0.3">
      <c r="A682">
        <v>680</v>
      </c>
      <c r="B682" t="s">
        <v>853</v>
      </c>
      <c r="C682" t="s">
        <v>127</v>
      </c>
      <c r="D682">
        <v>0.35004871931916098</v>
      </c>
    </row>
    <row r="683" spans="1:4" hidden="1" x14ac:dyDescent="0.3">
      <c r="A683">
        <v>681</v>
      </c>
      <c r="B683" s="1" t="s">
        <v>854</v>
      </c>
      <c r="C683" t="s">
        <v>129</v>
      </c>
      <c r="D683" s="1" t="s">
        <v>855</v>
      </c>
    </row>
    <row r="684" spans="1:4" x14ac:dyDescent="0.3">
      <c r="A684">
        <v>682</v>
      </c>
      <c r="B684" s="1" t="s">
        <v>3</v>
      </c>
      <c r="C684" t="s">
        <v>4</v>
      </c>
      <c r="D684" t="s">
        <v>5</v>
      </c>
    </row>
    <row r="685" spans="1:4" hidden="1" x14ac:dyDescent="0.3">
      <c r="A685">
        <v>683</v>
      </c>
      <c r="B685" t="s">
        <v>6</v>
      </c>
      <c r="C685" t="s">
        <v>7</v>
      </c>
      <c r="D685">
        <v>1981.95</v>
      </c>
    </row>
    <row r="686" spans="1:4" hidden="1" x14ac:dyDescent="0.3">
      <c r="A686">
        <v>684</v>
      </c>
      <c r="B686" s="1" t="s">
        <v>131</v>
      </c>
      <c r="C686" t="s">
        <v>9</v>
      </c>
      <c r="D686" s="1" t="s">
        <v>132</v>
      </c>
    </row>
    <row r="687" spans="1:4" hidden="1" x14ac:dyDescent="0.3">
      <c r="A687">
        <v>685</v>
      </c>
      <c r="B687" t="s">
        <v>13</v>
      </c>
      <c r="C687" t="s">
        <v>14</v>
      </c>
      <c r="D687">
        <v>91.74609375</v>
      </c>
    </row>
    <row r="688" spans="1:4" hidden="1" x14ac:dyDescent="0.3">
      <c r="A688">
        <v>686</v>
      </c>
      <c r="B688" t="s">
        <v>15</v>
      </c>
      <c r="C688" t="s">
        <v>16</v>
      </c>
      <c r="D688">
        <v>4.1883572307132804</v>
      </c>
    </row>
    <row r="689" spans="1:4" hidden="1" x14ac:dyDescent="0.3">
      <c r="A689">
        <v>687</v>
      </c>
      <c r="B689" s="1" t="s">
        <v>133</v>
      </c>
      <c r="C689" t="s">
        <v>134</v>
      </c>
      <c r="D689" s="1" t="s">
        <v>135</v>
      </c>
    </row>
    <row r="690" spans="1:4" hidden="1" x14ac:dyDescent="0.3">
      <c r="A690">
        <v>688</v>
      </c>
      <c r="B690" t="s">
        <v>21</v>
      </c>
      <c r="C690" t="s">
        <v>22</v>
      </c>
      <c r="D690">
        <v>38.25</v>
      </c>
    </row>
    <row r="691" spans="1:4" hidden="1" x14ac:dyDescent="0.3">
      <c r="A691">
        <v>689</v>
      </c>
      <c r="B691" t="s">
        <v>856</v>
      </c>
      <c r="C691" t="s">
        <v>24</v>
      </c>
      <c r="D691">
        <v>5.7944700335933996</v>
      </c>
    </row>
    <row r="692" spans="1:4" hidden="1" x14ac:dyDescent="0.3">
      <c r="A692">
        <v>690</v>
      </c>
      <c r="B692" s="1" t="s">
        <v>857</v>
      </c>
      <c r="C692" t="s">
        <v>138</v>
      </c>
      <c r="D692" s="1" t="s">
        <v>858</v>
      </c>
    </row>
    <row r="693" spans="1:4" hidden="1" x14ac:dyDescent="0.3">
      <c r="A693">
        <v>691</v>
      </c>
      <c r="B693" t="s">
        <v>859</v>
      </c>
      <c r="C693" t="s">
        <v>35</v>
      </c>
      <c r="D693">
        <v>0.54327010719166202</v>
      </c>
    </row>
    <row r="694" spans="1:4" hidden="1" x14ac:dyDescent="0.3">
      <c r="A694">
        <v>692</v>
      </c>
      <c r="B694" t="s">
        <v>860</v>
      </c>
      <c r="C694" t="s">
        <v>142</v>
      </c>
      <c r="D694">
        <v>0.69047964757718705</v>
      </c>
    </row>
    <row r="695" spans="1:4" hidden="1" x14ac:dyDescent="0.3">
      <c r="A695">
        <v>693</v>
      </c>
      <c r="B695" s="1" t="s">
        <v>861</v>
      </c>
      <c r="C695" t="s">
        <v>144</v>
      </c>
      <c r="D695" s="1" t="s">
        <v>862</v>
      </c>
    </row>
    <row r="696" spans="1:4" hidden="1" x14ac:dyDescent="0.3">
      <c r="A696">
        <v>694</v>
      </c>
      <c r="B696" t="s">
        <v>863</v>
      </c>
      <c r="C696" t="s">
        <v>30</v>
      </c>
      <c r="D696">
        <v>0.19185831691583499</v>
      </c>
    </row>
    <row r="697" spans="1:4" hidden="1" x14ac:dyDescent="0.3">
      <c r="A697">
        <v>695</v>
      </c>
      <c r="B697" t="s">
        <v>864</v>
      </c>
      <c r="C697" t="s">
        <v>32</v>
      </c>
      <c r="D697">
        <v>0.24762386200244499</v>
      </c>
    </row>
    <row r="698" spans="1:4" hidden="1" x14ac:dyDescent="0.3">
      <c r="A698">
        <v>696</v>
      </c>
      <c r="B698" s="1" t="s">
        <v>865</v>
      </c>
      <c r="C698" t="s">
        <v>148</v>
      </c>
      <c r="D698" s="1" t="s">
        <v>866</v>
      </c>
    </row>
    <row r="699" spans="1:4" hidden="1" x14ac:dyDescent="0.3">
      <c r="A699">
        <v>697</v>
      </c>
      <c r="B699" t="s">
        <v>867</v>
      </c>
      <c r="C699" t="s">
        <v>40</v>
      </c>
      <c r="D699">
        <v>0.26487157589250199</v>
      </c>
    </row>
    <row r="700" spans="1:4" hidden="1" x14ac:dyDescent="0.3">
      <c r="A700">
        <v>698</v>
      </c>
      <c r="B700" t="s">
        <v>868</v>
      </c>
      <c r="C700" t="s">
        <v>42</v>
      </c>
      <c r="D700">
        <v>0.20064474882320699</v>
      </c>
    </row>
    <row r="701" spans="1:4" hidden="1" x14ac:dyDescent="0.3">
      <c r="A701">
        <v>699</v>
      </c>
      <c r="B701" s="1" t="s">
        <v>869</v>
      </c>
      <c r="C701" t="s">
        <v>152</v>
      </c>
      <c r="D701" s="1" t="s">
        <v>870</v>
      </c>
    </row>
    <row r="702" spans="1:4" hidden="1" x14ac:dyDescent="0.3">
      <c r="A702">
        <v>700</v>
      </c>
      <c r="B702" t="s">
        <v>153</v>
      </c>
      <c r="C702" t="s">
        <v>154</v>
      </c>
      <c r="D702">
        <v>1</v>
      </c>
    </row>
    <row r="703" spans="1:4" hidden="1" x14ac:dyDescent="0.3">
      <c r="A703">
        <v>701</v>
      </c>
      <c r="B703" t="s">
        <v>155</v>
      </c>
      <c r="C703" t="s">
        <v>156</v>
      </c>
      <c r="D703">
        <v>1</v>
      </c>
    </row>
    <row r="704" spans="1:4" hidden="1" x14ac:dyDescent="0.3">
      <c r="A704">
        <v>702</v>
      </c>
      <c r="B704" s="1" t="s">
        <v>871</v>
      </c>
      <c r="C704" t="s">
        <v>158</v>
      </c>
      <c r="D704" s="1" t="s">
        <v>872</v>
      </c>
    </row>
    <row r="705" spans="1:4" hidden="1" x14ac:dyDescent="0.3">
      <c r="A705">
        <v>703</v>
      </c>
      <c r="B705" t="s">
        <v>873</v>
      </c>
      <c r="C705" t="s">
        <v>161</v>
      </c>
      <c r="D705">
        <v>1.00021768006616</v>
      </c>
    </row>
    <row r="706" spans="1:4" hidden="1" x14ac:dyDescent="0.3">
      <c r="A706">
        <v>704</v>
      </c>
      <c r="B706" t="s">
        <v>874</v>
      </c>
      <c r="C706" t="s">
        <v>163</v>
      </c>
      <c r="D706">
        <v>0.99954936487832802</v>
      </c>
    </row>
    <row r="707" spans="1:4" hidden="1" x14ac:dyDescent="0.3">
      <c r="A707">
        <v>705</v>
      </c>
      <c r="B707" s="1" t="s">
        <v>875</v>
      </c>
      <c r="C707" t="s">
        <v>165</v>
      </c>
      <c r="D707" s="1" t="s">
        <v>876</v>
      </c>
    </row>
    <row r="708" spans="1:4" hidden="1" x14ac:dyDescent="0.3">
      <c r="A708">
        <v>706</v>
      </c>
      <c r="B708" s="1" t="s">
        <v>877</v>
      </c>
      <c r="C708" t="s">
        <v>55</v>
      </c>
      <c r="D708" s="1" t="s">
        <v>878</v>
      </c>
    </row>
    <row r="709" spans="1:4" hidden="1" x14ac:dyDescent="0.3">
      <c r="A709">
        <v>707</v>
      </c>
      <c r="B709" s="1" t="s">
        <v>879</v>
      </c>
      <c r="C709" t="s">
        <v>52</v>
      </c>
      <c r="D709" s="1" t="s">
        <v>880</v>
      </c>
    </row>
    <row r="710" spans="1:4" hidden="1" x14ac:dyDescent="0.3">
      <c r="A710">
        <v>708</v>
      </c>
      <c r="B710" s="1" t="s">
        <v>881</v>
      </c>
      <c r="C710" t="s">
        <v>58</v>
      </c>
      <c r="D710" s="1" t="s">
        <v>882</v>
      </c>
    </row>
    <row r="711" spans="1:4" hidden="1" x14ac:dyDescent="0.3">
      <c r="A711">
        <v>709</v>
      </c>
      <c r="B711" t="s">
        <v>883</v>
      </c>
      <c r="C711" t="s">
        <v>60</v>
      </c>
      <c r="D711">
        <v>149994400.16724601</v>
      </c>
    </row>
    <row r="712" spans="1:4" hidden="1" x14ac:dyDescent="0.3">
      <c r="A712">
        <v>710</v>
      </c>
      <c r="B712" t="s">
        <v>884</v>
      </c>
      <c r="C712" t="s">
        <v>62</v>
      </c>
      <c r="D712">
        <v>80015704.937801898</v>
      </c>
    </row>
    <row r="713" spans="1:4" hidden="1" x14ac:dyDescent="0.3">
      <c r="A713">
        <v>711</v>
      </c>
      <c r="B713" t="s">
        <v>885</v>
      </c>
      <c r="C713" t="s">
        <v>64</v>
      </c>
      <c r="D713">
        <v>35005774.075758301</v>
      </c>
    </row>
    <row r="714" spans="1:4" hidden="1" x14ac:dyDescent="0.3">
      <c r="A714">
        <v>712</v>
      </c>
      <c r="B714" s="1" t="s">
        <v>886</v>
      </c>
      <c r="C714" t="s">
        <v>66</v>
      </c>
      <c r="D714" s="1" t="s">
        <v>887</v>
      </c>
    </row>
    <row r="715" spans="1:4" hidden="1" x14ac:dyDescent="0.3">
      <c r="A715">
        <v>713</v>
      </c>
      <c r="B715" s="1" t="s">
        <v>888</v>
      </c>
      <c r="C715" t="s">
        <v>69</v>
      </c>
      <c r="D715" s="1" t="s">
        <v>889</v>
      </c>
    </row>
    <row r="716" spans="1:4" hidden="1" x14ac:dyDescent="0.3">
      <c r="A716">
        <v>714</v>
      </c>
      <c r="B716" t="s">
        <v>890</v>
      </c>
      <c r="C716" t="s">
        <v>72</v>
      </c>
      <c r="D716">
        <v>1.0001185086881199</v>
      </c>
    </row>
    <row r="717" spans="1:4" hidden="1" x14ac:dyDescent="0.3">
      <c r="A717">
        <v>715</v>
      </c>
      <c r="B717" t="s">
        <v>73</v>
      </c>
      <c r="C717" t="s">
        <v>74</v>
      </c>
      <c r="D717">
        <v>2.7397260273972599E-3</v>
      </c>
    </row>
    <row r="718" spans="1:4" hidden="1" x14ac:dyDescent="0.3">
      <c r="A718">
        <v>716</v>
      </c>
      <c r="B718" t="s">
        <v>75</v>
      </c>
      <c r="C718" t="s">
        <v>76</v>
      </c>
      <c r="D718">
        <v>0</v>
      </c>
    </row>
    <row r="719" spans="1:4" hidden="1" x14ac:dyDescent="0.3">
      <c r="A719">
        <v>717</v>
      </c>
      <c r="B719" t="s">
        <v>77</v>
      </c>
      <c r="C719" t="s">
        <v>78</v>
      </c>
      <c r="D719">
        <v>0</v>
      </c>
    </row>
    <row r="720" spans="1:4" hidden="1" x14ac:dyDescent="0.3">
      <c r="A720">
        <v>718</v>
      </c>
      <c r="B720" s="1" t="s">
        <v>891</v>
      </c>
      <c r="C720" t="s">
        <v>80</v>
      </c>
      <c r="D720" s="1" t="s">
        <v>892</v>
      </c>
    </row>
    <row r="721" spans="1:4" hidden="1" x14ac:dyDescent="0.3">
      <c r="A721">
        <v>719</v>
      </c>
      <c r="B721" t="s">
        <v>893</v>
      </c>
      <c r="C721" t="s">
        <v>83</v>
      </c>
      <c r="D721">
        <v>1.0001347971747401</v>
      </c>
    </row>
    <row r="722" spans="1:4" hidden="1" x14ac:dyDescent="0.3">
      <c r="A722">
        <v>720</v>
      </c>
      <c r="B722" s="1" t="s">
        <v>894</v>
      </c>
      <c r="C722" t="s">
        <v>85</v>
      </c>
      <c r="D722" s="1" t="s">
        <v>895</v>
      </c>
    </row>
    <row r="723" spans="1:4" hidden="1" x14ac:dyDescent="0.3">
      <c r="A723">
        <v>721</v>
      </c>
      <c r="B723" t="s">
        <v>896</v>
      </c>
      <c r="C723" t="s">
        <v>88</v>
      </c>
      <c r="D723">
        <v>99986522.099308103</v>
      </c>
    </row>
    <row r="724" spans="1:4" hidden="1" x14ac:dyDescent="0.3">
      <c r="A724">
        <v>722</v>
      </c>
      <c r="B724" s="1" t="s">
        <v>897</v>
      </c>
      <c r="C724" t="s">
        <v>90</v>
      </c>
      <c r="D724" s="1" t="s">
        <v>843</v>
      </c>
    </row>
    <row r="725" spans="1:4" hidden="1" x14ac:dyDescent="0.3">
      <c r="A725">
        <v>723</v>
      </c>
      <c r="B725" t="s">
        <v>898</v>
      </c>
      <c r="C725" t="s">
        <v>93</v>
      </c>
      <c r="D725">
        <v>80015704.937801898</v>
      </c>
    </row>
    <row r="726" spans="1:4" hidden="1" x14ac:dyDescent="0.3">
      <c r="A726">
        <v>724</v>
      </c>
      <c r="B726" t="s">
        <v>899</v>
      </c>
      <c r="C726" t="s">
        <v>95</v>
      </c>
      <c r="D726">
        <v>35005774.075758301</v>
      </c>
    </row>
    <row r="727" spans="1:4" hidden="1" x14ac:dyDescent="0.3">
      <c r="A727">
        <v>725</v>
      </c>
      <c r="B727" t="s">
        <v>900</v>
      </c>
      <c r="C727" t="s">
        <v>97</v>
      </c>
      <c r="D727">
        <v>34972921.153685898</v>
      </c>
    </row>
    <row r="728" spans="1:4" hidden="1" x14ac:dyDescent="0.3">
      <c r="A728">
        <v>726</v>
      </c>
      <c r="B728" s="1" t="s">
        <v>901</v>
      </c>
      <c r="C728" t="s">
        <v>99</v>
      </c>
      <c r="D728" s="1" t="s">
        <v>902</v>
      </c>
    </row>
    <row r="729" spans="1:4" hidden="1" x14ac:dyDescent="0.3">
      <c r="A729">
        <v>727</v>
      </c>
      <c r="B729" t="s">
        <v>903</v>
      </c>
      <c r="C729" t="s">
        <v>102</v>
      </c>
      <c r="D729">
        <v>7.7082615847035296E-3</v>
      </c>
    </row>
    <row r="730" spans="1:4" hidden="1" x14ac:dyDescent="0.3">
      <c r="A730">
        <v>728</v>
      </c>
      <c r="B730" t="s">
        <v>904</v>
      </c>
      <c r="C730" t="s">
        <v>104</v>
      </c>
      <c r="D730">
        <v>1.4700434346539501E-3</v>
      </c>
    </row>
    <row r="731" spans="1:4" hidden="1" x14ac:dyDescent="0.3">
      <c r="A731">
        <v>729</v>
      </c>
      <c r="B731" t="s">
        <v>905</v>
      </c>
      <c r="C731" t="s">
        <v>106</v>
      </c>
      <c r="D731">
        <v>1.95761933799595E-2</v>
      </c>
    </row>
    <row r="732" spans="1:4" hidden="1" x14ac:dyDescent="0.3">
      <c r="A732">
        <v>730</v>
      </c>
      <c r="B732" s="1" t="s">
        <v>906</v>
      </c>
      <c r="C732" t="s">
        <v>108</v>
      </c>
      <c r="D732" s="1" t="s">
        <v>907</v>
      </c>
    </row>
    <row r="733" spans="1:4" hidden="1" x14ac:dyDescent="0.3">
      <c r="A733">
        <v>731</v>
      </c>
      <c r="B733" t="s">
        <v>908</v>
      </c>
      <c r="C733" t="s">
        <v>196</v>
      </c>
      <c r="D733">
        <v>149994961.03705201</v>
      </c>
    </row>
    <row r="734" spans="1:4" hidden="1" x14ac:dyDescent="0.3">
      <c r="A734">
        <v>732</v>
      </c>
      <c r="B734" t="s">
        <v>909</v>
      </c>
      <c r="C734" t="s">
        <v>198</v>
      </c>
      <c r="D734">
        <v>-1303.18699125182</v>
      </c>
    </row>
    <row r="735" spans="1:4" hidden="1" x14ac:dyDescent="0.3">
      <c r="A735">
        <v>733</v>
      </c>
      <c r="B735" t="s">
        <v>910</v>
      </c>
      <c r="C735" t="s">
        <v>200</v>
      </c>
      <c r="D735">
        <v>-570.12452021963998</v>
      </c>
    </row>
    <row r="736" spans="1:4" hidden="1" x14ac:dyDescent="0.3">
      <c r="A736">
        <v>734</v>
      </c>
      <c r="B736" s="1" t="s">
        <v>911</v>
      </c>
      <c r="C736" t="s">
        <v>202</v>
      </c>
      <c r="D736" s="1" t="s">
        <v>912</v>
      </c>
    </row>
    <row r="737" spans="1:4" hidden="1" x14ac:dyDescent="0.3">
      <c r="A737">
        <v>735</v>
      </c>
      <c r="B737" t="s">
        <v>913</v>
      </c>
      <c r="C737" t="s">
        <v>205</v>
      </c>
      <c r="D737">
        <v>80017418.907962993</v>
      </c>
    </row>
    <row r="738" spans="1:4" hidden="1" x14ac:dyDescent="0.3">
      <c r="A738">
        <v>736</v>
      </c>
      <c r="B738" t="s">
        <v>914</v>
      </c>
      <c r="C738" t="s">
        <v>207</v>
      </c>
      <c r="D738">
        <v>35006405.734831899</v>
      </c>
    </row>
    <row r="739" spans="1:4" hidden="1" x14ac:dyDescent="0.3">
      <c r="A739">
        <v>737</v>
      </c>
      <c r="B739" t="s">
        <v>915</v>
      </c>
      <c r="C739" t="s">
        <v>209</v>
      </c>
      <c r="D739">
        <v>34973579.295668602</v>
      </c>
    </row>
    <row r="740" spans="1:4" hidden="1" x14ac:dyDescent="0.3">
      <c r="A740">
        <v>738</v>
      </c>
      <c r="B740" s="1" t="s">
        <v>916</v>
      </c>
      <c r="C740" t="s">
        <v>211</v>
      </c>
      <c r="D740" s="1" t="s">
        <v>917</v>
      </c>
    </row>
    <row r="741" spans="1:4" hidden="1" x14ac:dyDescent="0.3">
      <c r="A741">
        <v>739</v>
      </c>
      <c r="B741" t="s">
        <v>918</v>
      </c>
      <c r="C741" t="s">
        <v>214</v>
      </c>
      <c r="D741">
        <v>99988150.535451502</v>
      </c>
    </row>
    <row r="742" spans="1:4" hidden="1" x14ac:dyDescent="0.3">
      <c r="A742">
        <v>740</v>
      </c>
      <c r="B742" t="s">
        <v>919</v>
      </c>
      <c r="C742" t="s">
        <v>216</v>
      </c>
      <c r="D742">
        <v>-1628.43614347279</v>
      </c>
    </row>
    <row r="743" spans="1:4" hidden="1" x14ac:dyDescent="0.3">
      <c r="A743">
        <v>741</v>
      </c>
      <c r="B743" s="1" t="s">
        <v>920</v>
      </c>
      <c r="C743" t="s">
        <v>218</v>
      </c>
      <c r="D743" s="1" t="s">
        <v>921</v>
      </c>
    </row>
    <row r="744" spans="1:4" hidden="1" x14ac:dyDescent="0.3">
      <c r="A744">
        <v>742</v>
      </c>
      <c r="B744" t="s">
        <v>922</v>
      </c>
      <c r="C744" t="s">
        <v>111</v>
      </c>
      <c r="D744">
        <v>410.783169863485</v>
      </c>
    </row>
    <row r="745" spans="1:4" hidden="1" x14ac:dyDescent="0.3">
      <c r="A745">
        <v>743</v>
      </c>
      <c r="B745" t="s">
        <v>923</v>
      </c>
      <c r="C745" t="s">
        <v>113</v>
      </c>
      <c r="D745">
        <v>61.534553343365303</v>
      </c>
    </row>
    <row r="746" spans="1:4" hidden="1" x14ac:dyDescent="0.3">
      <c r="A746">
        <v>744</v>
      </c>
      <c r="B746" s="1" t="s">
        <v>924</v>
      </c>
      <c r="C746" t="s">
        <v>115</v>
      </c>
      <c r="D746" s="1" t="s">
        <v>925</v>
      </c>
    </row>
    <row r="747" spans="1:4" hidden="1" x14ac:dyDescent="0.3">
      <c r="A747">
        <v>745</v>
      </c>
      <c r="B747" t="s">
        <v>926</v>
      </c>
      <c r="C747" t="s">
        <v>118</v>
      </c>
      <c r="D747">
        <v>80017418.907962993</v>
      </c>
    </row>
    <row r="748" spans="1:4" hidden="1" x14ac:dyDescent="0.3">
      <c r="A748">
        <v>746</v>
      </c>
      <c r="B748" t="s">
        <v>927</v>
      </c>
      <c r="C748" t="s">
        <v>120</v>
      </c>
      <c r="D748">
        <v>35006405.734831899</v>
      </c>
    </row>
    <row r="749" spans="1:4" hidden="1" x14ac:dyDescent="0.3">
      <c r="A749">
        <v>747</v>
      </c>
      <c r="B749" s="1" t="s">
        <v>928</v>
      </c>
      <c r="C749" t="s">
        <v>122</v>
      </c>
      <c r="D749" s="1" t="s">
        <v>929</v>
      </c>
    </row>
    <row r="750" spans="1:4" hidden="1" x14ac:dyDescent="0.3">
      <c r="A750">
        <v>748</v>
      </c>
      <c r="B750" t="s">
        <v>930</v>
      </c>
      <c r="C750" t="s">
        <v>125</v>
      </c>
      <c r="D750">
        <v>0.80016115720971803</v>
      </c>
    </row>
    <row r="751" spans="1:4" hidden="1" x14ac:dyDescent="0.3">
      <c r="A751">
        <v>749</v>
      </c>
      <c r="B751" t="s">
        <v>931</v>
      </c>
      <c r="C751" t="s">
        <v>127</v>
      </c>
      <c r="D751">
        <v>0.35005835610311598</v>
      </c>
    </row>
    <row r="752" spans="1:4" hidden="1" x14ac:dyDescent="0.3">
      <c r="A752">
        <v>750</v>
      </c>
      <c r="B752" s="1" t="s">
        <v>932</v>
      </c>
      <c r="C752" t="s">
        <v>129</v>
      </c>
      <c r="D752" s="1" t="s">
        <v>933</v>
      </c>
    </row>
    <row r="753" spans="1:4" x14ac:dyDescent="0.3">
      <c r="A753">
        <v>751</v>
      </c>
      <c r="B753" s="1" t="s">
        <v>3</v>
      </c>
      <c r="C753" t="s">
        <v>4</v>
      </c>
      <c r="D753" t="s">
        <v>5</v>
      </c>
    </row>
    <row r="754" spans="1:4" hidden="1" x14ac:dyDescent="0.3">
      <c r="A754">
        <v>752</v>
      </c>
      <c r="B754" t="s">
        <v>6</v>
      </c>
      <c r="C754" t="s">
        <v>7</v>
      </c>
      <c r="D754">
        <v>1981.95</v>
      </c>
    </row>
    <row r="755" spans="1:4" hidden="1" x14ac:dyDescent="0.3">
      <c r="A755">
        <v>753</v>
      </c>
      <c r="B755" s="1" t="s">
        <v>131</v>
      </c>
      <c r="C755" t="s">
        <v>9</v>
      </c>
      <c r="D755" s="1" t="s">
        <v>132</v>
      </c>
    </row>
    <row r="756" spans="1:4" hidden="1" x14ac:dyDescent="0.3">
      <c r="A756">
        <v>754</v>
      </c>
      <c r="B756" t="s">
        <v>13</v>
      </c>
      <c r="C756" t="s">
        <v>14</v>
      </c>
      <c r="D756">
        <v>91.74609375</v>
      </c>
    </row>
    <row r="757" spans="1:4" hidden="1" x14ac:dyDescent="0.3">
      <c r="A757">
        <v>755</v>
      </c>
      <c r="B757" t="s">
        <v>15</v>
      </c>
      <c r="C757" t="s">
        <v>16</v>
      </c>
      <c r="D757">
        <v>4.1883572307132804</v>
      </c>
    </row>
    <row r="758" spans="1:4" hidden="1" x14ac:dyDescent="0.3">
      <c r="A758">
        <v>756</v>
      </c>
      <c r="B758" s="1" t="s">
        <v>133</v>
      </c>
      <c r="C758" t="s">
        <v>134</v>
      </c>
      <c r="D758" s="1" t="s">
        <v>135</v>
      </c>
    </row>
    <row r="759" spans="1:4" hidden="1" x14ac:dyDescent="0.3">
      <c r="A759">
        <v>757</v>
      </c>
      <c r="B759" t="s">
        <v>21</v>
      </c>
      <c r="C759" t="s">
        <v>22</v>
      </c>
      <c r="D759">
        <v>38.25</v>
      </c>
    </row>
    <row r="760" spans="1:4" hidden="1" x14ac:dyDescent="0.3">
      <c r="A760">
        <v>758</v>
      </c>
      <c r="B760" t="s">
        <v>934</v>
      </c>
      <c r="C760" t="s">
        <v>24</v>
      </c>
      <c r="D760">
        <v>5.7873655147987497</v>
      </c>
    </row>
    <row r="761" spans="1:4" hidden="1" x14ac:dyDescent="0.3">
      <c r="A761">
        <v>759</v>
      </c>
      <c r="B761" s="1" t="s">
        <v>935</v>
      </c>
      <c r="C761" t="s">
        <v>138</v>
      </c>
      <c r="D761" s="1" t="s">
        <v>936</v>
      </c>
    </row>
    <row r="762" spans="1:4" hidden="1" x14ac:dyDescent="0.3">
      <c r="A762">
        <v>760</v>
      </c>
      <c r="B762" t="s">
        <v>937</v>
      </c>
      <c r="C762" t="s">
        <v>35</v>
      </c>
      <c r="D762">
        <v>0.54259502602418297</v>
      </c>
    </row>
    <row r="763" spans="1:4" hidden="1" x14ac:dyDescent="0.3">
      <c r="A763">
        <v>761</v>
      </c>
      <c r="B763" t="s">
        <v>938</v>
      </c>
      <c r="C763" t="s">
        <v>142</v>
      </c>
      <c r="D763">
        <v>0.68997429695180501</v>
      </c>
    </row>
    <row r="764" spans="1:4" hidden="1" x14ac:dyDescent="0.3">
      <c r="A764">
        <v>762</v>
      </c>
      <c r="B764" s="1" t="s">
        <v>939</v>
      </c>
      <c r="C764" t="s">
        <v>144</v>
      </c>
      <c r="D764" s="1" t="s">
        <v>940</v>
      </c>
    </row>
    <row r="765" spans="1:4" hidden="1" x14ac:dyDescent="0.3">
      <c r="A765">
        <v>763</v>
      </c>
      <c r="B765" t="s">
        <v>941</v>
      </c>
      <c r="C765" t="s">
        <v>30</v>
      </c>
      <c r="D765">
        <v>0.19161990892161801</v>
      </c>
    </row>
    <row r="766" spans="1:4" hidden="1" x14ac:dyDescent="0.3">
      <c r="A766">
        <v>764</v>
      </c>
      <c r="B766" t="s">
        <v>942</v>
      </c>
      <c r="C766" t="s">
        <v>32</v>
      </c>
      <c r="D766">
        <v>0.248161394822141</v>
      </c>
    </row>
    <row r="767" spans="1:4" hidden="1" x14ac:dyDescent="0.3">
      <c r="A767">
        <v>765</v>
      </c>
      <c r="B767" s="1" t="s">
        <v>943</v>
      </c>
      <c r="C767" t="s">
        <v>148</v>
      </c>
      <c r="D767" s="1" t="s">
        <v>944</v>
      </c>
    </row>
    <row r="768" spans="1:4" hidden="1" x14ac:dyDescent="0.3">
      <c r="A768">
        <v>766</v>
      </c>
      <c r="B768" t="s">
        <v>945</v>
      </c>
      <c r="C768" t="s">
        <v>40</v>
      </c>
      <c r="D768">
        <v>0.26578506505419802</v>
      </c>
    </row>
    <row r="769" spans="1:4" hidden="1" x14ac:dyDescent="0.3">
      <c r="A769">
        <v>767</v>
      </c>
      <c r="B769" t="s">
        <v>946</v>
      </c>
      <c r="C769" t="s">
        <v>42</v>
      </c>
      <c r="D769">
        <v>0.201167956166492</v>
      </c>
    </row>
    <row r="770" spans="1:4" hidden="1" x14ac:dyDescent="0.3">
      <c r="A770">
        <v>768</v>
      </c>
      <c r="B770" s="1" t="s">
        <v>947</v>
      </c>
      <c r="C770" t="s">
        <v>152</v>
      </c>
      <c r="D770" s="1" t="s">
        <v>948</v>
      </c>
    </row>
    <row r="771" spans="1:4" hidden="1" x14ac:dyDescent="0.3">
      <c r="A771">
        <v>769</v>
      </c>
      <c r="B771" t="s">
        <v>153</v>
      </c>
      <c r="C771" t="s">
        <v>154</v>
      </c>
      <c r="D771">
        <v>1</v>
      </c>
    </row>
    <row r="772" spans="1:4" hidden="1" x14ac:dyDescent="0.3">
      <c r="A772">
        <v>770</v>
      </c>
      <c r="B772" t="s">
        <v>155</v>
      </c>
      <c r="C772" t="s">
        <v>156</v>
      </c>
      <c r="D772">
        <v>1</v>
      </c>
    </row>
    <row r="773" spans="1:4" hidden="1" x14ac:dyDescent="0.3">
      <c r="A773">
        <v>771</v>
      </c>
      <c r="B773" s="1" t="s">
        <v>949</v>
      </c>
      <c r="C773" t="s">
        <v>158</v>
      </c>
      <c r="D773" s="1" t="s">
        <v>950</v>
      </c>
    </row>
    <row r="774" spans="1:4" hidden="1" x14ac:dyDescent="0.3">
      <c r="A774">
        <v>772</v>
      </c>
      <c r="B774" t="s">
        <v>951</v>
      </c>
      <c r="C774" t="s">
        <v>161</v>
      </c>
      <c r="D774">
        <v>0.99970106080478005</v>
      </c>
    </row>
    <row r="775" spans="1:4" hidden="1" x14ac:dyDescent="0.3">
      <c r="A775">
        <v>773</v>
      </c>
      <c r="B775" t="s">
        <v>952</v>
      </c>
      <c r="C775" t="s">
        <v>163</v>
      </c>
      <c r="D775">
        <v>1.0004308452539701</v>
      </c>
    </row>
    <row r="776" spans="1:4" hidden="1" x14ac:dyDescent="0.3">
      <c r="A776">
        <v>774</v>
      </c>
      <c r="B776" s="1" t="s">
        <v>953</v>
      </c>
      <c r="C776" t="s">
        <v>165</v>
      </c>
      <c r="D776" s="1" t="s">
        <v>954</v>
      </c>
    </row>
    <row r="777" spans="1:4" hidden="1" x14ac:dyDescent="0.3">
      <c r="A777">
        <v>775</v>
      </c>
      <c r="B777" s="1" t="s">
        <v>955</v>
      </c>
      <c r="C777" t="s">
        <v>55</v>
      </c>
      <c r="D777" s="1" t="s">
        <v>956</v>
      </c>
    </row>
    <row r="778" spans="1:4" hidden="1" x14ac:dyDescent="0.3">
      <c r="A778">
        <v>776</v>
      </c>
      <c r="B778" s="1" t="s">
        <v>957</v>
      </c>
      <c r="C778" t="s">
        <v>52</v>
      </c>
      <c r="D778" s="1" t="s">
        <v>958</v>
      </c>
    </row>
    <row r="779" spans="1:4" hidden="1" x14ac:dyDescent="0.3">
      <c r="A779">
        <v>777</v>
      </c>
      <c r="B779" s="1" t="s">
        <v>959</v>
      </c>
      <c r="C779" t="s">
        <v>58</v>
      </c>
      <c r="D779" s="1" t="s">
        <v>960</v>
      </c>
    </row>
    <row r="780" spans="1:4" hidden="1" x14ac:dyDescent="0.3">
      <c r="A780">
        <v>778</v>
      </c>
      <c r="B780" t="s">
        <v>961</v>
      </c>
      <c r="C780" t="s">
        <v>60</v>
      </c>
      <c r="D780">
        <v>149991762.58436701</v>
      </c>
    </row>
    <row r="781" spans="1:4" hidden="1" x14ac:dyDescent="0.3">
      <c r="A781">
        <v>779</v>
      </c>
      <c r="B781" t="s">
        <v>962</v>
      </c>
      <c r="C781" t="s">
        <v>62</v>
      </c>
      <c r="D781">
        <v>80017418.907962993</v>
      </c>
    </row>
    <row r="782" spans="1:4" hidden="1" x14ac:dyDescent="0.3">
      <c r="A782">
        <v>780</v>
      </c>
      <c r="B782" t="s">
        <v>963</v>
      </c>
      <c r="C782" t="s">
        <v>64</v>
      </c>
      <c r="D782">
        <v>35006405.734831899</v>
      </c>
    </row>
    <row r="783" spans="1:4" hidden="1" x14ac:dyDescent="0.3">
      <c r="A783">
        <v>781</v>
      </c>
      <c r="B783" s="1" t="s">
        <v>964</v>
      </c>
      <c r="C783" t="s">
        <v>66</v>
      </c>
      <c r="D783" s="1" t="s">
        <v>965</v>
      </c>
    </row>
    <row r="784" spans="1:4" hidden="1" x14ac:dyDescent="0.3">
      <c r="A784">
        <v>782</v>
      </c>
      <c r="B784" s="1" t="s">
        <v>966</v>
      </c>
      <c r="C784" t="s">
        <v>69</v>
      </c>
      <c r="D784" s="1" t="s">
        <v>967</v>
      </c>
    </row>
    <row r="785" spans="1:4" hidden="1" x14ac:dyDescent="0.3">
      <c r="A785">
        <v>783</v>
      </c>
      <c r="B785" t="s">
        <v>968</v>
      </c>
      <c r="C785" t="s">
        <v>72</v>
      </c>
      <c r="D785">
        <v>1.0001347971747401</v>
      </c>
    </row>
    <row r="786" spans="1:4" hidden="1" x14ac:dyDescent="0.3">
      <c r="A786">
        <v>784</v>
      </c>
      <c r="B786" t="s">
        <v>73</v>
      </c>
      <c r="C786" t="s">
        <v>74</v>
      </c>
      <c r="D786">
        <v>2.7397260273972599E-3</v>
      </c>
    </row>
    <row r="787" spans="1:4" hidden="1" x14ac:dyDescent="0.3">
      <c r="A787">
        <v>785</v>
      </c>
      <c r="B787" t="s">
        <v>75</v>
      </c>
      <c r="C787" t="s">
        <v>76</v>
      </c>
      <c r="D787">
        <v>0</v>
      </c>
    </row>
    <row r="788" spans="1:4" hidden="1" x14ac:dyDescent="0.3">
      <c r="A788">
        <v>786</v>
      </c>
      <c r="B788" t="s">
        <v>969</v>
      </c>
      <c r="C788" t="s">
        <v>78</v>
      </c>
      <c r="D788" s="2">
        <v>2.2204460492503101E-16</v>
      </c>
    </row>
    <row r="789" spans="1:4" hidden="1" x14ac:dyDescent="0.3">
      <c r="A789">
        <v>787</v>
      </c>
      <c r="B789" s="1" t="s">
        <v>970</v>
      </c>
      <c r="C789" t="s">
        <v>80</v>
      </c>
      <c r="D789" s="1" t="s">
        <v>971</v>
      </c>
    </row>
    <row r="790" spans="1:4" hidden="1" x14ac:dyDescent="0.3">
      <c r="A790">
        <v>788</v>
      </c>
      <c r="B790" t="s">
        <v>972</v>
      </c>
      <c r="C790" t="s">
        <v>83</v>
      </c>
      <c r="D790">
        <v>1.0001505012755301</v>
      </c>
    </row>
    <row r="791" spans="1:4" hidden="1" x14ac:dyDescent="0.3">
      <c r="A791">
        <v>789</v>
      </c>
      <c r="B791" s="1" t="s">
        <v>973</v>
      </c>
      <c r="C791" t="s">
        <v>85</v>
      </c>
      <c r="D791" s="1" t="s">
        <v>974</v>
      </c>
    </row>
    <row r="792" spans="1:4" hidden="1" x14ac:dyDescent="0.3">
      <c r="A792">
        <v>790</v>
      </c>
      <c r="B792" t="s">
        <v>975</v>
      </c>
      <c r="C792" t="s">
        <v>88</v>
      </c>
      <c r="D792">
        <v>99984952.137168899</v>
      </c>
    </row>
    <row r="793" spans="1:4" hidden="1" x14ac:dyDescent="0.3">
      <c r="A793">
        <v>791</v>
      </c>
      <c r="B793" s="1" t="s">
        <v>976</v>
      </c>
      <c r="C793" t="s">
        <v>90</v>
      </c>
      <c r="D793" s="1" t="s">
        <v>921</v>
      </c>
    </row>
    <row r="794" spans="1:4" hidden="1" x14ac:dyDescent="0.3">
      <c r="A794">
        <v>792</v>
      </c>
      <c r="B794" t="s">
        <v>977</v>
      </c>
      <c r="C794" t="s">
        <v>93</v>
      </c>
      <c r="D794">
        <v>80017418.907962993</v>
      </c>
    </row>
    <row r="795" spans="1:4" hidden="1" x14ac:dyDescent="0.3">
      <c r="A795">
        <v>793</v>
      </c>
      <c r="B795" t="s">
        <v>978</v>
      </c>
      <c r="C795" t="s">
        <v>95</v>
      </c>
      <c r="D795">
        <v>35006405.734831899</v>
      </c>
    </row>
    <row r="796" spans="1:4" hidden="1" x14ac:dyDescent="0.3">
      <c r="A796">
        <v>794</v>
      </c>
      <c r="B796" t="s">
        <v>979</v>
      </c>
      <c r="C796" t="s">
        <v>97</v>
      </c>
      <c r="D796">
        <v>34967937.941572703</v>
      </c>
    </row>
    <row r="797" spans="1:4" hidden="1" x14ac:dyDescent="0.3">
      <c r="A797">
        <v>795</v>
      </c>
      <c r="B797" s="1" t="s">
        <v>980</v>
      </c>
      <c r="C797" t="s">
        <v>99</v>
      </c>
      <c r="D797" s="1" t="s">
        <v>981</v>
      </c>
    </row>
    <row r="798" spans="1:4" hidden="1" x14ac:dyDescent="0.3">
      <c r="A798">
        <v>796</v>
      </c>
      <c r="B798" t="s">
        <v>982</v>
      </c>
      <c r="C798" t="s">
        <v>102</v>
      </c>
      <c r="D798">
        <v>7.7474839743409303E-3</v>
      </c>
    </row>
    <row r="799" spans="1:4" hidden="1" x14ac:dyDescent="0.3">
      <c r="A799">
        <v>797</v>
      </c>
      <c r="B799" t="s">
        <v>983</v>
      </c>
      <c r="C799" t="s">
        <v>104</v>
      </c>
      <c r="D799">
        <v>1.4781012926170199E-3</v>
      </c>
    </row>
    <row r="800" spans="1:4" hidden="1" x14ac:dyDescent="0.3">
      <c r="A800">
        <v>798</v>
      </c>
      <c r="B800" t="s">
        <v>984</v>
      </c>
      <c r="C800" t="s">
        <v>106</v>
      </c>
      <c r="D800">
        <v>1.9664507119210799E-2</v>
      </c>
    </row>
    <row r="801" spans="1:4" hidden="1" x14ac:dyDescent="0.3">
      <c r="A801">
        <v>799</v>
      </c>
      <c r="B801" s="1" t="s">
        <v>985</v>
      </c>
      <c r="C801" t="s">
        <v>108</v>
      </c>
      <c r="D801" s="1" t="s">
        <v>986</v>
      </c>
    </row>
    <row r="802" spans="1:4" hidden="1" x14ac:dyDescent="0.3">
      <c r="A802">
        <v>800</v>
      </c>
      <c r="B802" t="s">
        <v>987</v>
      </c>
      <c r="C802" t="s">
        <v>196</v>
      </c>
      <c r="D802">
        <v>149992303.247466</v>
      </c>
    </row>
    <row r="803" spans="1:4" hidden="1" x14ac:dyDescent="0.3">
      <c r="A803">
        <v>801</v>
      </c>
      <c r="B803" t="s">
        <v>988</v>
      </c>
      <c r="C803" t="s">
        <v>198</v>
      </c>
      <c r="D803">
        <v>-1256.43846691402</v>
      </c>
    </row>
    <row r="804" spans="1:4" hidden="1" x14ac:dyDescent="0.3">
      <c r="A804">
        <v>802</v>
      </c>
      <c r="B804" t="s">
        <v>989</v>
      </c>
      <c r="C804" t="s">
        <v>200</v>
      </c>
      <c r="D804">
        <v>-549.67096078621103</v>
      </c>
    </row>
    <row r="805" spans="1:4" hidden="1" x14ac:dyDescent="0.3">
      <c r="A805">
        <v>803</v>
      </c>
      <c r="B805" s="1" t="s">
        <v>990</v>
      </c>
      <c r="C805" t="s">
        <v>202</v>
      </c>
      <c r="D805" s="1" t="s">
        <v>991</v>
      </c>
    </row>
    <row r="806" spans="1:4" hidden="1" x14ac:dyDescent="0.3">
      <c r="A806">
        <v>804</v>
      </c>
      <c r="B806" t="s">
        <v>992</v>
      </c>
      <c r="C806" t="s">
        <v>205</v>
      </c>
      <c r="D806">
        <v>80019071.418996498</v>
      </c>
    </row>
    <row r="807" spans="1:4" hidden="1" x14ac:dyDescent="0.3">
      <c r="A807">
        <v>805</v>
      </c>
      <c r="B807" t="s">
        <v>993</v>
      </c>
      <c r="C807" t="s">
        <v>207</v>
      </c>
      <c r="D807">
        <v>35007014.689808898</v>
      </c>
    </row>
    <row r="808" spans="1:4" hidden="1" x14ac:dyDescent="0.3">
      <c r="A808">
        <v>806</v>
      </c>
      <c r="B808" t="s">
        <v>994</v>
      </c>
      <c r="C808" t="s">
        <v>209</v>
      </c>
      <c r="D808">
        <v>34968572.315437503</v>
      </c>
    </row>
    <row r="809" spans="1:4" hidden="1" x14ac:dyDescent="0.3">
      <c r="A809">
        <v>807</v>
      </c>
      <c r="B809" s="1" t="s">
        <v>995</v>
      </c>
      <c r="C809" t="s">
        <v>211</v>
      </c>
      <c r="D809" s="1" t="s">
        <v>996</v>
      </c>
    </row>
    <row r="810" spans="1:4" hidden="1" x14ac:dyDescent="0.3">
      <c r="A810">
        <v>808</v>
      </c>
      <c r="B810" t="s">
        <v>997</v>
      </c>
      <c r="C810" t="s">
        <v>214</v>
      </c>
      <c r="D810">
        <v>99986522.099308103</v>
      </c>
    </row>
    <row r="811" spans="1:4" hidden="1" x14ac:dyDescent="0.3">
      <c r="A811">
        <v>809</v>
      </c>
      <c r="B811" t="s">
        <v>998</v>
      </c>
      <c r="C811" t="s">
        <v>216</v>
      </c>
      <c r="D811">
        <v>-1569.9621391594401</v>
      </c>
    </row>
    <row r="812" spans="1:4" hidden="1" x14ac:dyDescent="0.3">
      <c r="A812">
        <v>810</v>
      </c>
      <c r="B812" s="1" t="s">
        <v>999</v>
      </c>
      <c r="C812" t="s">
        <v>218</v>
      </c>
      <c r="D812" s="1" t="s">
        <v>1000</v>
      </c>
    </row>
    <row r="813" spans="1:4" hidden="1" x14ac:dyDescent="0.3">
      <c r="A813">
        <v>811</v>
      </c>
      <c r="B813" t="s">
        <v>1001</v>
      </c>
      <c r="C813" t="s">
        <v>111</v>
      </c>
      <c r="D813">
        <v>396.07256653553799</v>
      </c>
    </row>
    <row r="814" spans="1:4" hidden="1" x14ac:dyDescent="0.3">
      <c r="A814">
        <v>812</v>
      </c>
      <c r="B814" t="s">
        <v>1002</v>
      </c>
      <c r="C814" t="s">
        <v>113</v>
      </c>
      <c r="D814">
        <v>59.284016240516202</v>
      </c>
    </row>
    <row r="815" spans="1:4" hidden="1" x14ac:dyDescent="0.3">
      <c r="A815">
        <v>813</v>
      </c>
      <c r="B815" s="1" t="s">
        <v>1003</v>
      </c>
      <c r="C815" t="s">
        <v>115</v>
      </c>
      <c r="D815" s="1" t="s">
        <v>1004</v>
      </c>
    </row>
    <row r="816" spans="1:4" hidden="1" x14ac:dyDescent="0.3">
      <c r="A816">
        <v>814</v>
      </c>
      <c r="B816" t="s">
        <v>1005</v>
      </c>
      <c r="C816" t="s">
        <v>118</v>
      </c>
      <c r="D816">
        <v>80019071.418996498</v>
      </c>
    </row>
    <row r="817" spans="1:4" hidden="1" x14ac:dyDescent="0.3">
      <c r="A817">
        <v>815</v>
      </c>
      <c r="B817" t="s">
        <v>1006</v>
      </c>
      <c r="C817" t="s">
        <v>120</v>
      </c>
      <c r="D817">
        <v>35007014.689808898</v>
      </c>
    </row>
    <row r="818" spans="1:4" hidden="1" x14ac:dyDescent="0.3">
      <c r="A818">
        <v>816</v>
      </c>
      <c r="B818" s="1" t="s">
        <v>1007</v>
      </c>
      <c r="C818" t="s">
        <v>122</v>
      </c>
      <c r="D818" s="1" t="s">
        <v>1008</v>
      </c>
    </row>
    <row r="819" spans="1:4" hidden="1" x14ac:dyDescent="0.3">
      <c r="A819">
        <v>817</v>
      </c>
      <c r="B819" t="s">
        <v>1009</v>
      </c>
      <c r="C819" t="s">
        <v>125</v>
      </c>
      <c r="D819">
        <v>0.800178149805295</v>
      </c>
    </row>
    <row r="820" spans="1:4" hidden="1" x14ac:dyDescent="0.3">
      <c r="A820">
        <v>818</v>
      </c>
      <c r="B820" t="s">
        <v>1010</v>
      </c>
      <c r="C820" t="s">
        <v>127</v>
      </c>
      <c r="D820">
        <v>0.35006465018848099</v>
      </c>
    </row>
    <row r="821" spans="1:4" hidden="1" x14ac:dyDescent="0.3">
      <c r="A821">
        <v>819</v>
      </c>
      <c r="B821" s="1" t="s">
        <v>1011</v>
      </c>
      <c r="C821" t="s">
        <v>129</v>
      </c>
      <c r="D821" s="1" t="s">
        <v>1012</v>
      </c>
    </row>
    <row r="822" spans="1:4" x14ac:dyDescent="0.3">
      <c r="A822">
        <v>820</v>
      </c>
      <c r="B822" s="1" t="s">
        <v>3</v>
      </c>
      <c r="C822" t="s">
        <v>4</v>
      </c>
      <c r="D822" t="s">
        <v>5</v>
      </c>
    </row>
    <row r="823" spans="1:4" hidden="1" x14ac:dyDescent="0.3">
      <c r="A823">
        <v>821</v>
      </c>
      <c r="B823" t="s">
        <v>6</v>
      </c>
      <c r="C823" t="s">
        <v>7</v>
      </c>
      <c r="D823">
        <v>1981.95</v>
      </c>
    </row>
    <row r="824" spans="1:4" hidden="1" x14ac:dyDescent="0.3">
      <c r="A824">
        <v>822</v>
      </c>
      <c r="B824" s="1" t="s">
        <v>131</v>
      </c>
      <c r="C824" t="s">
        <v>9</v>
      </c>
      <c r="D824" s="1" t="s">
        <v>132</v>
      </c>
    </row>
    <row r="825" spans="1:4" hidden="1" x14ac:dyDescent="0.3">
      <c r="A825">
        <v>823</v>
      </c>
      <c r="B825" t="s">
        <v>13</v>
      </c>
      <c r="C825" t="s">
        <v>14</v>
      </c>
      <c r="D825">
        <v>91.74609375</v>
      </c>
    </row>
    <row r="826" spans="1:4" hidden="1" x14ac:dyDescent="0.3">
      <c r="A826">
        <v>824</v>
      </c>
      <c r="B826" t="s">
        <v>15</v>
      </c>
      <c r="C826" t="s">
        <v>16</v>
      </c>
      <c r="D826">
        <v>4.1883572307132804</v>
      </c>
    </row>
    <row r="827" spans="1:4" hidden="1" x14ac:dyDescent="0.3">
      <c r="A827">
        <v>825</v>
      </c>
      <c r="B827" s="1" t="s">
        <v>133</v>
      </c>
      <c r="C827" t="s">
        <v>134</v>
      </c>
      <c r="D827" s="1" t="s">
        <v>135</v>
      </c>
    </row>
    <row r="828" spans="1:4" hidden="1" x14ac:dyDescent="0.3">
      <c r="A828">
        <v>826</v>
      </c>
      <c r="B828" t="s">
        <v>21</v>
      </c>
      <c r="C828" t="s">
        <v>22</v>
      </c>
      <c r="D828">
        <v>38.25</v>
      </c>
    </row>
    <row r="829" spans="1:4" hidden="1" x14ac:dyDescent="0.3">
      <c r="A829">
        <v>827</v>
      </c>
      <c r="B829" t="s">
        <v>1013</v>
      </c>
      <c r="C829" t="s">
        <v>24</v>
      </c>
      <c r="D829">
        <v>5.7802163203950103</v>
      </c>
    </row>
    <row r="830" spans="1:4" hidden="1" x14ac:dyDescent="0.3">
      <c r="A830">
        <v>828</v>
      </c>
      <c r="B830" s="1" t="s">
        <v>1014</v>
      </c>
      <c r="C830" t="s">
        <v>138</v>
      </c>
      <c r="D830" s="1" t="s">
        <v>1015</v>
      </c>
    </row>
    <row r="831" spans="1:4" hidden="1" x14ac:dyDescent="0.3">
      <c r="A831">
        <v>829</v>
      </c>
      <c r="B831" t="s">
        <v>1016</v>
      </c>
      <c r="C831" t="s">
        <v>35</v>
      </c>
      <c r="D831">
        <v>0.54372159020383504</v>
      </c>
    </row>
    <row r="832" spans="1:4" hidden="1" x14ac:dyDescent="0.3">
      <c r="A832">
        <v>830</v>
      </c>
      <c r="B832" t="s">
        <v>1017</v>
      </c>
      <c r="C832" t="s">
        <v>142</v>
      </c>
      <c r="D832">
        <v>0.687460221955843</v>
      </c>
    </row>
    <row r="833" spans="1:4" hidden="1" x14ac:dyDescent="0.3">
      <c r="A833">
        <v>831</v>
      </c>
      <c r="B833" s="1" t="s">
        <v>1018</v>
      </c>
      <c r="C833" t="s">
        <v>144</v>
      </c>
      <c r="D833" s="1" t="s">
        <v>1019</v>
      </c>
    </row>
    <row r="834" spans="1:4" hidden="1" x14ac:dyDescent="0.3">
      <c r="A834">
        <v>832</v>
      </c>
      <c r="B834" t="s">
        <v>1020</v>
      </c>
      <c r="C834" t="s">
        <v>30</v>
      </c>
      <c r="D834">
        <v>0.192017760201385</v>
      </c>
    </row>
    <row r="835" spans="1:4" hidden="1" x14ac:dyDescent="0.3">
      <c r="A835">
        <v>833</v>
      </c>
      <c r="B835" t="s">
        <v>1021</v>
      </c>
      <c r="C835" t="s">
        <v>32</v>
      </c>
      <c r="D835">
        <v>0.25095144109506801</v>
      </c>
    </row>
    <row r="836" spans="1:4" hidden="1" x14ac:dyDescent="0.3">
      <c r="A836">
        <v>834</v>
      </c>
      <c r="B836" s="1" t="s">
        <v>1022</v>
      </c>
      <c r="C836" t="s">
        <v>148</v>
      </c>
      <c r="D836" s="1" t="s">
        <v>1023</v>
      </c>
    </row>
    <row r="837" spans="1:4" hidden="1" x14ac:dyDescent="0.3">
      <c r="A837">
        <v>835</v>
      </c>
      <c r="B837" t="s">
        <v>1024</v>
      </c>
      <c r="C837" t="s">
        <v>40</v>
      </c>
      <c r="D837">
        <v>0.26426064959477902</v>
      </c>
    </row>
    <row r="838" spans="1:4" hidden="1" x14ac:dyDescent="0.3">
      <c r="A838">
        <v>836</v>
      </c>
      <c r="B838" t="s">
        <v>1025</v>
      </c>
      <c r="C838" t="s">
        <v>42</v>
      </c>
      <c r="D838">
        <v>0.203678176826637</v>
      </c>
    </row>
    <row r="839" spans="1:4" hidden="1" x14ac:dyDescent="0.3">
      <c r="A839">
        <v>837</v>
      </c>
      <c r="B839" s="1" t="s">
        <v>1026</v>
      </c>
      <c r="C839" t="s">
        <v>152</v>
      </c>
      <c r="D839" s="1" t="s">
        <v>1027</v>
      </c>
    </row>
    <row r="840" spans="1:4" hidden="1" x14ac:dyDescent="0.3">
      <c r="A840">
        <v>838</v>
      </c>
      <c r="B840" t="s">
        <v>153</v>
      </c>
      <c r="C840" t="s">
        <v>154</v>
      </c>
      <c r="D840">
        <v>1</v>
      </c>
    </row>
    <row r="841" spans="1:4" hidden="1" x14ac:dyDescent="0.3">
      <c r="A841">
        <v>839</v>
      </c>
      <c r="B841" t="s">
        <v>155</v>
      </c>
      <c r="C841" t="s">
        <v>156</v>
      </c>
      <c r="D841">
        <v>1</v>
      </c>
    </row>
    <row r="842" spans="1:4" hidden="1" x14ac:dyDescent="0.3">
      <c r="A842">
        <v>840</v>
      </c>
      <c r="B842" s="1" t="s">
        <v>1028</v>
      </c>
      <c r="C842" t="s">
        <v>158</v>
      </c>
      <c r="D842" s="1" t="s">
        <v>1029</v>
      </c>
    </row>
    <row r="843" spans="1:4" hidden="1" x14ac:dyDescent="0.3">
      <c r="A843">
        <v>841</v>
      </c>
      <c r="B843" t="s">
        <v>1030</v>
      </c>
      <c r="C843" t="s">
        <v>161</v>
      </c>
      <c r="D843">
        <v>0.99851235903380497</v>
      </c>
    </row>
    <row r="844" spans="1:4" hidden="1" x14ac:dyDescent="0.3">
      <c r="A844">
        <v>842</v>
      </c>
      <c r="B844" t="s">
        <v>1031</v>
      </c>
      <c r="C844" t="s">
        <v>163</v>
      </c>
      <c r="D844">
        <v>1.0022353249223199</v>
      </c>
    </row>
    <row r="845" spans="1:4" hidden="1" x14ac:dyDescent="0.3">
      <c r="A845">
        <v>843</v>
      </c>
      <c r="B845" s="1" t="s">
        <v>1032</v>
      </c>
      <c r="C845" t="s">
        <v>165</v>
      </c>
      <c r="D845" s="1" t="s">
        <v>1033</v>
      </c>
    </row>
    <row r="846" spans="1:4" hidden="1" x14ac:dyDescent="0.3">
      <c r="A846">
        <v>844</v>
      </c>
      <c r="B846" s="1" t="s">
        <v>1034</v>
      </c>
      <c r="C846" t="s">
        <v>55</v>
      </c>
      <c r="D846" s="1" t="s">
        <v>1035</v>
      </c>
    </row>
    <row r="847" spans="1:4" hidden="1" x14ac:dyDescent="0.3">
      <c r="A847">
        <v>845</v>
      </c>
      <c r="B847" s="1" t="s">
        <v>1036</v>
      </c>
      <c r="C847" t="s">
        <v>52</v>
      </c>
      <c r="D847" s="1" t="s">
        <v>1037</v>
      </c>
    </row>
    <row r="848" spans="1:4" hidden="1" x14ac:dyDescent="0.3">
      <c r="A848">
        <v>846</v>
      </c>
      <c r="B848" s="1" t="s">
        <v>1038</v>
      </c>
      <c r="C848" t="s">
        <v>58</v>
      </c>
      <c r="D848" s="1" t="s">
        <v>1039</v>
      </c>
    </row>
    <row r="849" spans="1:4" hidden="1" x14ac:dyDescent="0.3">
      <c r="A849">
        <v>847</v>
      </c>
      <c r="B849" t="s">
        <v>1040</v>
      </c>
      <c r="C849" t="s">
        <v>60</v>
      </c>
      <c r="D849">
        <v>149988981.49242401</v>
      </c>
    </row>
    <row r="850" spans="1:4" hidden="1" x14ac:dyDescent="0.3">
      <c r="A850">
        <v>848</v>
      </c>
      <c r="B850" t="s">
        <v>1041</v>
      </c>
      <c r="C850" t="s">
        <v>62</v>
      </c>
      <c r="D850">
        <v>80019071.418996498</v>
      </c>
    </row>
    <row r="851" spans="1:4" hidden="1" x14ac:dyDescent="0.3">
      <c r="A851">
        <v>849</v>
      </c>
      <c r="B851" t="s">
        <v>1042</v>
      </c>
      <c r="C851" t="s">
        <v>64</v>
      </c>
      <c r="D851">
        <v>35007014.689808898</v>
      </c>
    </row>
    <row r="852" spans="1:4" hidden="1" x14ac:dyDescent="0.3">
      <c r="A852">
        <v>850</v>
      </c>
      <c r="B852" s="1" t="s">
        <v>1043</v>
      </c>
      <c r="C852" t="s">
        <v>66</v>
      </c>
      <c r="D852" s="1" t="s">
        <v>1044</v>
      </c>
    </row>
    <row r="853" spans="1:4" hidden="1" x14ac:dyDescent="0.3">
      <c r="A853">
        <v>851</v>
      </c>
      <c r="B853" s="1" t="s">
        <v>1045</v>
      </c>
      <c r="C853" t="s">
        <v>69</v>
      </c>
      <c r="D853" s="1" t="s">
        <v>1046</v>
      </c>
    </row>
    <row r="854" spans="1:4" hidden="1" x14ac:dyDescent="0.3">
      <c r="A854">
        <v>852</v>
      </c>
      <c r="B854" t="s">
        <v>1047</v>
      </c>
      <c r="C854" t="s">
        <v>72</v>
      </c>
      <c r="D854">
        <v>1.0001505012755301</v>
      </c>
    </row>
    <row r="855" spans="1:4" hidden="1" x14ac:dyDescent="0.3">
      <c r="A855">
        <v>853</v>
      </c>
      <c r="B855" t="s">
        <v>73</v>
      </c>
      <c r="C855" t="s">
        <v>74</v>
      </c>
      <c r="D855">
        <v>2.7397260273972599E-3</v>
      </c>
    </row>
    <row r="856" spans="1:4" hidden="1" x14ac:dyDescent="0.3">
      <c r="A856">
        <v>854</v>
      </c>
      <c r="B856" t="s">
        <v>75</v>
      </c>
      <c r="C856" t="s">
        <v>76</v>
      </c>
      <c r="D856">
        <v>0</v>
      </c>
    </row>
    <row r="857" spans="1:4" hidden="1" x14ac:dyDescent="0.3">
      <c r="A857">
        <v>855</v>
      </c>
      <c r="B857" t="s">
        <v>77</v>
      </c>
      <c r="C857" t="s">
        <v>78</v>
      </c>
      <c r="D857">
        <v>0</v>
      </c>
    </row>
    <row r="858" spans="1:4" hidden="1" x14ac:dyDescent="0.3">
      <c r="A858">
        <v>856</v>
      </c>
      <c r="B858" s="1" t="s">
        <v>1048</v>
      </c>
      <c r="C858" t="s">
        <v>80</v>
      </c>
      <c r="D858" s="1" t="s">
        <v>1049</v>
      </c>
    </row>
    <row r="859" spans="1:4" hidden="1" x14ac:dyDescent="0.3">
      <c r="A859">
        <v>857</v>
      </c>
      <c r="B859" t="s">
        <v>1050</v>
      </c>
      <c r="C859" t="s">
        <v>83</v>
      </c>
      <c r="D859">
        <v>1.00016540202958</v>
      </c>
    </row>
    <row r="860" spans="1:4" hidden="1" x14ac:dyDescent="0.3">
      <c r="A860">
        <v>858</v>
      </c>
      <c r="B860" s="1" t="s">
        <v>1051</v>
      </c>
      <c r="C860" t="s">
        <v>85</v>
      </c>
      <c r="D860" s="1" t="s">
        <v>1052</v>
      </c>
    </row>
    <row r="861" spans="1:4" hidden="1" x14ac:dyDescent="0.3">
      <c r="A861">
        <v>859</v>
      </c>
      <c r="B861" t="s">
        <v>1053</v>
      </c>
      <c r="C861" t="s">
        <v>88</v>
      </c>
      <c r="D861">
        <v>99983462.532372594</v>
      </c>
    </row>
    <row r="862" spans="1:4" hidden="1" x14ac:dyDescent="0.3">
      <c r="A862">
        <v>860</v>
      </c>
      <c r="B862" s="1" t="s">
        <v>1054</v>
      </c>
      <c r="C862" t="s">
        <v>90</v>
      </c>
      <c r="D862" s="1" t="s">
        <v>1000</v>
      </c>
    </row>
    <row r="863" spans="1:4" hidden="1" x14ac:dyDescent="0.3">
      <c r="A863">
        <v>861</v>
      </c>
      <c r="B863" t="s">
        <v>1055</v>
      </c>
      <c r="C863" t="s">
        <v>93</v>
      </c>
      <c r="D863">
        <v>80019071.418996498</v>
      </c>
    </row>
    <row r="864" spans="1:4" hidden="1" x14ac:dyDescent="0.3">
      <c r="A864">
        <v>862</v>
      </c>
      <c r="B864" t="s">
        <v>1056</v>
      </c>
      <c r="C864" t="s">
        <v>95</v>
      </c>
      <c r="D864">
        <v>35007014.689808898</v>
      </c>
    </row>
    <row r="865" spans="1:4" hidden="1" x14ac:dyDescent="0.3">
      <c r="A865">
        <v>863</v>
      </c>
      <c r="B865" t="s">
        <v>1057</v>
      </c>
      <c r="C865" t="s">
        <v>97</v>
      </c>
      <c r="D865">
        <v>34962895.383618802</v>
      </c>
    </row>
    <row r="866" spans="1:4" hidden="1" x14ac:dyDescent="0.3">
      <c r="A866">
        <v>864</v>
      </c>
      <c r="B866" s="1" t="s">
        <v>1058</v>
      </c>
      <c r="C866" t="s">
        <v>99</v>
      </c>
      <c r="D866" s="1" t="s">
        <v>1059</v>
      </c>
    </row>
    <row r="867" spans="1:4" hidden="1" x14ac:dyDescent="0.3">
      <c r="A867">
        <v>865</v>
      </c>
      <c r="B867" t="s">
        <v>1060</v>
      </c>
      <c r="C867" t="s">
        <v>102</v>
      </c>
      <c r="D867">
        <v>7.7031317375564302E-3</v>
      </c>
    </row>
    <row r="868" spans="1:4" hidden="1" x14ac:dyDescent="0.3">
      <c r="A868">
        <v>866</v>
      </c>
      <c r="B868" t="s">
        <v>1061</v>
      </c>
      <c r="C868" t="s">
        <v>104</v>
      </c>
      <c r="D868">
        <v>1.48441225513758E-3</v>
      </c>
    </row>
    <row r="869" spans="1:4" hidden="1" x14ac:dyDescent="0.3">
      <c r="A869">
        <v>867</v>
      </c>
      <c r="B869" t="s">
        <v>1062</v>
      </c>
      <c r="C869" t="s">
        <v>106</v>
      </c>
      <c r="D869">
        <v>1.9753364987674701E-2</v>
      </c>
    </row>
    <row r="870" spans="1:4" hidden="1" x14ac:dyDescent="0.3">
      <c r="A870">
        <v>868</v>
      </c>
      <c r="B870" s="1" t="s">
        <v>1063</v>
      </c>
      <c r="C870" t="s">
        <v>108</v>
      </c>
      <c r="D870" s="1" t="s">
        <v>1064</v>
      </c>
    </row>
    <row r="871" spans="1:4" hidden="1" x14ac:dyDescent="0.3">
      <c r="A871">
        <v>869</v>
      </c>
      <c r="B871" t="s">
        <v>1065</v>
      </c>
      <c r="C871" t="s">
        <v>196</v>
      </c>
      <c r="D871">
        <v>149989494.31910399</v>
      </c>
    </row>
    <row r="872" spans="1:4" hidden="1" x14ac:dyDescent="0.3">
      <c r="A872">
        <v>870</v>
      </c>
      <c r="B872" t="s">
        <v>1066</v>
      </c>
      <c r="C872" t="s">
        <v>198</v>
      </c>
      <c r="D872">
        <v>-1192.17067944224</v>
      </c>
    </row>
    <row r="873" spans="1:4" hidden="1" x14ac:dyDescent="0.3">
      <c r="A873">
        <v>871</v>
      </c>
      <c r="B873" t="s">
        <v>1067</v>
      </c>
      <c r="C873" t="s">
        <v>200</v>
      </c>
      <c r="D873">
        <v>-521.55325823322198</v>
      </c>
    </row>
    <row r="874" spans="1:4" hidden="1" x14ac:dyDescent="0.3">
      <c r="A874">
        <v>872</v>
      </c>
      <c r="B874" s="1" t="s">
        <v>1068</v>
      </c>
      <c r="C874" t="s">
        <v>202</v>
      </c>
      <c r="D874" s="1" t="s">
        <v>1069</v>
      </c>
    </row>
    <row r="875" spans="1:4" hidden="1" x14ac:dyDescent="0.3">
      <c r="A875">
        <v>873</v>
      </c>
      <c r="B875" t="s">
        <v>1070</v>
      </c>
      <c r="C875" t="s">
        <v>205</v>
      </c>
      <c r="D875">
        <v>80020639.447599396</v>
      </c>
    </row>
    <row r="876" spans="1:4" hidden="1" x14ac:dyDescent="0.3">
      <c r="A876">
        <v>874</v>
      </c>
      <c r="B876" t="s">
        <v>1071</v>
      </c>
      <c r="C876" t="s">
        <v>207</v>
      </c>
      <c r="D876">
        <v>35007592.410616197</v>
      </c>
    </row>
    <row r="877" spans="1:4" hidden="1" x14ac:dyDescent="0.3">
      <c r="A877">
        <v>875</v>
      </c>
      <c r="B877" t="s">
        <v>1072</v>
      </c>
      <c r="C877" t="s">
        <v>209</v>
      </c>
      <c r="D877">
        <v>34963497.081139699</v>
      </c>
    </row>
    <row r="878" spans="1:4" hidden="1" x14ac:dyDescent="0.3">
      <c r="A878">
        <v>876</v>
      </c>
      <c r="B878" s="1" t="s">
        <v>1073</v>
      </c>
      <c r="C878" t="s">
        <v>211</v>
      </c>
      <c r="D878" s="1" t="s">
        <v>1074</v>
      </c>
    </row>
    <row r="879" spans="1:4" hidden="1" x14ac:dyDescent="0.3">
      <c r="A879">
        <v>877</v>
      </c>
      <c r="B879" t="s">
        <v>1075</v>
      </c>
      <c r="C879" t="s">
        <v>214</v>
      </c>
      <c r="D879">
        <v>99984952.137168899</v>
      </c>
    </row>
    <row r="880" spans="1:4" hidden="1" x14ac:dyDescent="0.3">
      <c r="A880">
        <v>878</v>
      </c>
      <c r="B880" t="s">
        <v>1076</v>
      </c>
      <c r="C880" t="s">
        <v>216</v>
      </c>
      <c r="D880">
        <v>-1489.6047962903899</v>
      </c>
    </row>
    <row r="881" spans="1:4" hidden="1" x14ac:dyDescent="0.3">
      <c r="A881">
        <v>879</v>
      </c>
      <c r="B881" s="1" t="s">
        <v>1077</v>
      </c>
      <c r="C881" t="s">
        <v>218</v>
      </c>
      <c r="D881" s="1" t="s">
        <v>1078</v>
      </c>
    </row>
    <row r="882" spans="1:4" hidden="1" x14ac:dyDescent="0.3">
      <c r="A882">
        <v>880</v>
      </c>
      <c r="B882" t="s">
        <v>1079</v>
      </c>
      <c r="C882" t="s">
        <v>111</v>
      </c>
      <c r="D882">
        <v>375.85792343683198</v>
      </c>
    </row>
    <row r="883" spans="1:4" hidden="1" x14ac:dyDescent="0.3">
      <c r="A883">
        <v>881</v>
      </c>
      <c r="B883" t="s">
        <v>1080</v>
      </c>
      <c r="C883" t="s">
        <v>113</v>
      </c>
      <c r="D883">
        <v>56.167549023691599</v>
      </c>
    </row>
    <row r="884" spans="1:4" hidden="1" x14ac:dyDescent="0.3">
      <c r="A884">
        <v>882</v>
      </c>
      <c r="B884" s="1" t="s">
        <v>1081</v>
      </c>
      <c r="C884" t="s">
        <v>115</v>
      </c>
      <c r="D884" s="1" t="s">
        <v>1082</v>
      </c>
    </row>
    <row r="885" spans="1:4" hidden="1" x14ac:dyDescent="0.3">
      <c r="A885">
        <v>883</v>
      </c>
      <c r="B885" t="s">
        <v>1083</v>
      </c>
      <c r="C885" t="s">
        <v>118</v>
      </c>
      <c r="D885">
        <v>80020639.447599396</v>
      </c>
    </row>
    <row r="886" spans="1:4" hidden="1" x14ac:dyDescent="0.3">
      <c r="A886">
        <v>884</v>
      </c>
      <c r="B886" t="s">
        <v>1084</v>
      </c>
      <c r="C886" t="s">
        <v>120</v>
      </c>
      <c r="D886">
        <v>35007592.410616197</v>
      </c>
    </row>
    <row r="887" spans="1:4" hidden="1" x14ac:dyDescent="0.3">
      <c r="A887">
        <v>885</v>
      </c>
      <c r="B887" s="1" t="s">
        <v>1085</v>
      </c>
      <c r="C887" t="s">
        <v>122</v>
      </c>
      <c r="D887" s="1" t="s">
        <v>1086</v>
      </c>
    </row>
    <row r="888" spans="1:4" hidden="1" x14ac:dyDescent="0.3">
      <c r="A888">
        <v>886</v>
      </c>
      <c r="B888" t="s">
        <v>1087</v>
      </c>
      <c r="C888" t="s">
        <v>125</v>
      </c>
      <c r="D888">
        <v>0.80019447276919897</v>
      </c>
    </row>
    <row r="889" spans="1:4" hidden="1" x14ac:dyDescent="0.3">
      <c r="A889">
        <v>887</v>
      </c>
      <c r="B889" t="s">
        <v>1088</v>
      </c>
      <c r="C889" t="s">
        <v>127</v>
      </c>
      <c r="D889">
        <v>0.35007070857357903</v>
      </c>
    </row>
    <row r="890" spans="1:4" hidden="1" x14ac:dyDescent="0.3">
      <c r="A890">
        <v>888</v>
      </c>
      <c r="B890" s="1" t="s">
        <v>1089</v>
      </c>
      <c r="C890" t="s">
        <v>129</v>
      </c>
      <c r="D890" s="1" t="s">
        <v>1090</v>
      </c>
    </row>
    <row r="891" spans="1:4" x14ac:dyDescent="0.3">
      <c r="A891">
        <v>889</v>
      </c>
      <c r="B891" s="1" t="s">
        <v>3</v>
      </c>
      <c r="C891" t="s">
        <v>4</v>
      </c>
      <c r="D891" t="s">
        <v>5</v>
      </c>
    </row>
    <row r="892" spans="1:4" hidden="1" x14ac:dyDescent="0.3">
      <c r="A892">
        <v>890</v>
      </c>
      <c r="B892" t="s">
        <v>6</v>
      </c>
      <c r="C892" t="s">
        <v>7</v>
      </c>
      <c r="D892">
        <v>1981.95</v>
      </c>
    </row>
    <row r="893" spans="1:4" hidden="1" x14ac:dyDescent="0.3">
      <c r="A893">
        <v>891</v>
      </c>
      <c r="B893" s="1" t="s">
        <v>131</v>
      </c>
      <c r="C893" t="s">
        <v>9</v>
      </c>
      <c r="D893" s="1" t="s">
        <v>132</v>
      </c>
    </row>
    <row r="894" spans="1:4" hidden="1" x14ac:dyDescent="0.3">
      <c r="A894">
        <v>892</v>
      </c>
      <c r="B894" t="s">
        <v>13</v>
      </c>
      <c r="C894" t="s">
        <v>14</v>
      </c>
      <c r="D894">
        <v>91.74609375</v>
      </c>
    </row>
    <row r="895" spans="1:4" hidden="1" x14ac:dyDescent="0.3">
      <c r="A895">
        <v>893</v>
      </c>
      <c r="B895" t="s">
        <v>15</v>
      </c>
      <c r="C895" t="s">
        <v>16</v>
      </c>
      <c r="D895">
        <v>4.1883572307132804</v>
      </c>
    </row>
    <row r="896" spans="1:4" hidden="1" x14ac:dyDescent="0.3">
      <c r="A896">
        <v>894</v>
      </c>
      <c r="B896" s="1" t="s">
        <v>133</v>
      </c>
      <c r="C896" t="s">
        <v>134</v>
      </c>
      <c r="D896" s="1" t="s">
        <v>135</v>
      </c>
    </row>
    <row r="897" spans="1:4" hidden="1" x14ac:dyDescent="0.3">
      <c r="A897">
        <v>895</v>
      </c>
      <c r="B897" t="s">
        <v>21</v>
      </c>
      <c r="C897" t="s">
        <v>22</v>
      </c>
      <c r="D897">
        <v>38.25</v>
      </c>
    </row>
    <row r="898" spans="1:4" hidden="1" x14ac:dyDescent="0.3">
      <c r="A898">
        <v>896</v>
      </c>
      <c r="B898" t="s">
        <v>1091</v>
      </c>
      <c r="C898" t="s">
        <v>24</v>
      </c>
      <c r="D898">
        <v>5.7763705699547403</v>
      </c>
    </row>
    <row r="899" spans="1:4" hidden="1" x14ac:dyDescent="0.3">
      <c r="A899">
        <v>897</v>
      </c>
      <c r="B899" s="1" t="s">
        <v>1092</v>
      </c>
      <c r="C899" t="s">
        <v>138</v>
      </c>
      <c r="D899" s="1" t="s">
        <v>1093</v>
      </c>
    </row>
    <row r="900" spans="1:4" hidden="1" x14ac:dyDescent="0.3">
      <c r="A900">
        <v>898</v>
      </c>
      <c r="B900" t="s">
        <v>1094</v>
      </c>
      <c r="C900" t="s">
        <v>35</v>
      </c>
      <c r="D900">
        <v>0.542576501428092</v>
      </c>
    </row>
    <row r="901" spans="1:4" hidden="1" x14ac:dyDescent="0.3">
      <c r="A901">
        <v>899</v>
      </c>
      <c r="B901" t="s">
        <v>1095</v>
      </c>
      <c r="C901" t="s">
        <v>142</v>
      </c>
      <c r="D901">
        <v>0.68757928611926</v>
      </c>
    </row>
    <row r="902" spans="1:4" hidden="1" x14ac:dyDescent="0.3">
      <c r="A902">
        <v>900</v>
      </c>
      <c r="B902" s="1" t="s">
        <v>1096</v>
      </c>
      <c r="C902" t="s">
        <v>144</v>
      </c>
      <c r="D902" s="1" t="s">
        <v>1097</v>
      </c>
    </row>
    <row r="903" spans="1:4" hidden="1" x14ac:dyDescent="0.3">
      <c r="A903">
        <v>901</v>
      </c>
      <c r="B903" t="s">
        <v>1098</v>
      </c>
      <c r="C903" t="s">
        <v>30</v>
      </c>
      <c r="D903">
        <v>0.19161336687599301</v>
      </c>
    </row>
    <row r="904" spans="1:4" hidden="1" x14ac:dyDescent="0.3">
      <c r="A904">
        <v>902</v>
      </c>
      <c r="B904" t="s">
        <v>1099</v>
      </c>
      <c r="C904" t="s">
        <v>32</v>
      </c>
      <c r="D904">
        <v>0.25082588248700799</v>
      </c>
    </row>
    <row r="905" spans="1:4" hidden="1" x14ac:dyDescent="0.3">
      <c r="A905">
        <v>903</v>
      </c>
      <c r="B905" s="1" t="s">
        <v>1100</v>
      </c>
      <c r="C905" t="s">
        <v>148</v>
      </c>
      <c r="D905" s="1" t="s">
        <v>1101</v>
      </c>
    </row>
    <row r="906" spans="1:4" hidden="1" x14ac:dyDescent="0.3">
      <c r="A906">
        <v>904</v>
      </c>
      <c r="B906" t="s">
        <v>1102</v>
      </c>
      <c r="C906" t="s">
        <v>40</v>
      </c>
      <c r="D906">
        <v>0.265810131695913</v>
      </c>
    </row>
    <row r="907" spans="1:4" hidden="1" x14ac:dyDescent="0.3">
      <c r="A907">
        <v>905</v>
      </c>
      <c r="B907" t="s">
        <v>1103</v>
      </c>
      <c r="C907" t="s">
        <v>42</v>
      </c>
      <c r="D907">
        <v>0.20355184556245201</v>
      </c>
    </row>
    <row r="908" spans="1:4" hidden="1" x14ac:dyDescent="0.3">
      <c r="A908">
        <v>906</v>
      </c>
      <c r="B908" s="1" t="s">
        <v>1104</v>
      </c>
      <c r="C908" t="s">
        <v>152</v>
      </c>
      <c r="D908" s="1" t="s">
        <v>1105</v>
      </c>
    </row>
    <row r="909" spans="1:4" hidden="1" x14ac:dyDescent="0.3">
      <c r="A909">
        <v>907</v>
      </c>
      <c r="B909" t="s">
        <v>153</v>
      </c>
      <c r="C909" t="s">
        <v>154</v>
      </c>
      <c r="D909">
        <v>1</v>
      </c>
    </row>
    <row r="910" spans="1:4" hidden="1" x14ac:dyDescent="0.3">
      <c r="A910">
        <v>908</v>
      </c>
      <c r="B910" t="s">
        <v>155</v>
      </c>
      <c r="C910" t="s">
        <v>156</v>
      </c>
      <c r="D910">
        <v>1</v>
      </c>
    </row>
    <row r="911" spans="1:4" hidden="1" x14ac:dyDescent="0.3">
      <c r="A911">
        <v>909</v>
      </c>
      <c r="B911" s="1" t="s">
        <v>1106</v>
      </c>
      <c r="C911" t="s">
        <v>158</v>
      </c>
      <c r="D911" s="1" t="s">
        <v>1107</v>
      </c>
    </row>
    <row r="912" spans="1:4" hidden="1" x14ac:dyDescent="0.3">
      <c r="A912">
        <v>910</v>
      </c>
      <c r="B912" t="s">
        <v>1108</v>
      </c>
      <c r="C912" t="s">
        <v>161</v>
      </c>
      <c r="D912">
        <v>1.00007055820449</v>
      </c>
    </row>
    <row r="913" spans="1:4" hidden="1" x14ac:dyDescent="0.3">
      <c r="A913">
        <v>911</v>
      </c>
      <c r="B913" t="s">
        <v>1109</v>
      </c>
      <c r="C913" t="s">
        <v>163</v>
      </c>
      <c r="D913">
        <v>0.999899629510838</v>
      </c>
    </row>
    <row r="914" spans="1:4" hidden="1" x14ac:dyDescent="0.3">
      <c r="A914">
        <v>912</v>
      </c>
      <c r="B914" s="1" t="s">
        <v>1110</v>
      </c>
      <c r="C914" t="s">
        <v>165</v>
      </c>
      <c r="D914" s="1" t="s">
        <v>1111</v>
      </c>
    </row>
    <row r="915" spans="1:4" hidden="1" x14ac:dyDescent="0.3">
      <c r="A915">
        <v>913</v>
      </c>
      <c r="B915" s="1" t="s">
        <v>1112</v>
      </c>
      <c r="C915" t="s">
        <v>55</v>
      </c>
      <c r="D915" s="1" t="s">
        <v>1113</v>
      </c>
    </row>
    <row r="916" spans="1:4" hidden="1" x14ac:dyDescent="0.3">
      <c r="A916">
        <v>914</v>
      </c>
      <c r="B916" s="1" t="s">
        <v>1114</v>
      </c>
      <c r="C916" t="s">
        <v>52</v>
      </c>
      <c r="D916" s="1" t="s">
        <v>1115</v>
      </c>
    </row>
    <row r="917" spans="1:4" hidden="1" x14ac:dyDescent="0.3">
      <c r="A917">
        <v>915</v>
      </c>
      <c r="B917" s="1" t="s">
        <v>1116</v>
      </c>
      <c r="C917" t="s">
        <v>58</v>
      </c>
      <c r="D917" s="1" t="s">
        <v>1117</v>
      </c>
    </row>
    <row r="918" spans="1:4" hidden="1" x14ac:dyDescent="0.3">
      <c r="A918">
        <v>916</v>
      </c>
      <c r="B918" t="s">
        <v>1118</v>
      </c>
      <c r="C918" t="s">
        <v>60</v>
      </c>
      <c r="D918">
        <v>149988675.10733801</v>
      </c>
    </row>
    <row r="919" spans="1:4" hidden="1" x14ac:dyDescent="0.3">
      <c r="A919">
        <v>917</v>
      </c>
      <c r="B919" t="s">
        <v>1119</v>
      </c>
      <c r="C919" t="s">
        <v>62</v>
      </c>
      <c r="D919">
        <v>80020639.447599396</v>
      </c>
    </row>
    <row r="920" spans="1:4" hidden="1" x14ac:dyDescent="0.3">
      <c r="A920">
        <v>918</v>
      </c>
      <c r="B920" t="s">
        <v>1120</v>
      </c>
      <c r="C920" t="s">
        <v>64</v>
      </c>
      <c r="D920">
        <v>35007592.410616197</v>
      </c>
    </row>
    <row r="921" spans="1:4" hidden="1" x14ac:dyDescent="0.3">
      <c r="A921">
        <v>919</v>
      </c>
      <c r="B921" s="1" t="s">
        <v>1121</v>
      </c>
      <c r="C921" t="s">
        <v>66</v>
      </c>
      <c r="D921" s="1" t="s">
        <v>1122</v>
      </c>
    </row>
    <row r="922" spans="1:4" hidden="1" x14ac:dyDescent="0.3">
      <c r="A922">
        <v>920</v>
      </c>
      <c r="B922" s="1" t="s">
        <v>1123</v>
      </c>
      <c r="C922" t="s">
        <v>69</v>
      </c>
      <c r="D922" s="1" t="s">
        <v>1124</v>
      </c>
    </row>
    <row r="923" spans="1:4" hidden="1" x14ac:dyDescent="0.3">
      <c r="A923">
        <v>921</v>
      </c>
      <c r="B923" t="s">
        <v>1125</v>
      </c>
      <c r="C923" t="s">
        <v>72</v>
      </c>
      <c r="D923">
        <v>1.00016540202958</v>
      </c>
    </row>
    <row r="924" spans="1:4" hidden="1" x14ac:dyDescent="0.3">
      <c r="A924">
        <v>922</v>
      </c>
      <c r="B924" t="s">
        <v>73</v>
      </c>
      <c r="C924" t="s">
        <v>74</v>
      </c>
      <c r="D924">
        <v>2.7397260273972599E-3</v>
      </c>
    </row>
    <row r="925" spans="1:4" hidden="1" x14ac:dyDescent="0.3">
      <c r="A925">
        <v>923</v>
      </c>
      <c r="B925" t="s">
        <v>75</v>
      </c>
      <c r="C925" t="s">
        <v>76</v>
      </c>
      <c r="D925">
        <v>0</v>
      </c>
    </row>
    <row r="926" spans="1:4" hidden="1" x14ac:dyDescent="0.3">
      <c r="A926">
        <v>924</v>
      </c>
      <c r="B926" t="s">
        <v>77</v>
      </c>
      <c r="C926" t="s">
        <v>78</v>
      </c>
      <c r="D926">
        <v>0</v>
      </c>
    </row>
    <row r="927" spans="1:4" hidden="1" x14ac:dyDescent="0.3">
      <c r="A927">
        <v>925</v>
      </c>
      <c r="B927" s="1" t="s">
        <v>1126</v>
      </c>
      <c r="C927" t="s">
        <v>80</v>
      </c>
      <c r="D927" s="1" t="s">
        <v>1127</v>
      </c>
    </row>
    <row r="928" spans="1:4" hidden="1" x14ac:dyDescent="0.3">
      <c r="A928">
        <v>926</v>
      </c>
      <c r="B928" t="s">
        <v>1128</v>
      </c>
      <c r="C928" t="s">
        <v>83</v>
      </c>
      <c r="D928">
        <v>1.00014258359137</v>
      </c>
    </row>
    <row r="929" spans="1:4" hidden="1" x14ac:dyDescent="0.3">
      <c r="A929">
        <v>927</v>
      </c>
      <c r="B929" s="1" t="s">
        <v>1129</v>
      </c>
      <c r="C929" t="s">
        <v>85</v>
      </c>
      <c r="D929" s="1" t="s">
        <v>1130</v>
      </c>
    </row>
    <row r="930" spans="1:4" hidden="1" x14ac:dyDescent="0.3">
      <c r="A930">
        <v>928</v>
      </c>
      <c r="B930" t="s">
        <v>1131</v>
      </c>
      <c r="C930" t="s">
        <v>88</v>
      </c>
      <c r="D930">
        <v>99985743.673580199</v>
      </c>
    </row>
    <row r="931" spans="1:4" hidden="1" x14ac:dyDescent="0.3">
      <c r="A931">
        <v>929</v>
      </c>
      <c r="B931" s="1" t="s">
        <v>1132</v>
      </c>
      <c r="C931" t="s">
        <v>90</v>
      </c>
      <c r="D931" s="1" t="s">
        <v>1078</v>
      </c>
    </row>
    <row r="932" spans="1:4" hidden="1" x14ac:dyDescent="0.3">
      <c r="A932">
        <v>930</v>
      </c>
      <c r="B932" t="s">
        <v>1133</v>
      </c>
      <c r="C932" t="s">
        <v>93</v>
      </c>
      <c r="D932">
        <v>80020639.447599396</v>
      </c>
    </row>
    <row r="933" spans="1:4" hidden="1" x14ac:dyDescent="0.3">
      <c r="A933">
        <v>931</v>
      </c>
      <c r="B933" t="s">
        <v>1134</v>
      </c>
      <c r="C933" t="s">
        <v>95</v>
      </c>
      <c r="D933">
        <v>35007592.410616197</v>
      </c>
    </row>
    <row r="934" spans="1:4" hidden="1" x14ac:dyDescent="0.3">
      <c r="A934">
        <v>932</v>
      </c>
      <c r="B934" t="s">
        <v>1135</v>
      </c>
      <c r="C934" t="s">
        <v>97</v>
      </c>
      <c r="D934">
        <v>34960443.249123096</v>
      </c>
    </row>
    <row r="935" spans="1:4" hidden="1" x14ac:dyDescent="0.3">
      <c r="A935">
        <v>933</v>
      </c>
      <c r="B935" s="1" t="s">
        <v>1136</v>
      </c>
      <c r="C935" t="s">
        <v>99</v>
      </c>
      <c r="D935" s="1" t="s">
        <v>1137</v>
      </c>
    </row>
    <row r="936" spans="1:4" hidden="1" x14ac:dyDescent="0.3">
      <c r="A936">
        <v>934</v>
      </c>
      <c r="B936" t="s">
        <v>1138</v>
      </c>
      <c r="C936" t="s">
        <v>102</v>
      </c>
      <c r="D936">
        <v>7.7254954484836701E-3</v>
      </c>
    </row>
    <row r="937" spans="1:4" hidden="1" x14ac:dyDescent="0.3">
      <c r="A937">
        <v>935</v>
      </c>
      <c r="B937" t="s">
        <v>1139</v>
      </c>
      <c r="C937" t="s">
        <v>104</v>
      </c>
      <c r="D937">
        <v>1.4921835287600299E-3</v>
      </c>
    </row>
    <row r="938" spans="1:4" hidden="1" x14ac:dyDescent="0.3">
      <c r="A938">
        <v>936</v>
      </c>
      <c r="B938" t="s">
        <v>1140</v>
      </c>
      <c r="C938" t="s">
        <v>106</v>
      </c>
      <c r="D938">
        <v>1.9801159452392102E-2</v>
      </c>
    </row>
    <row r="939" spans="1:4" hidden="1" x14ac:dyDescent="0.3">
      <c r="A939">
        <v>937</v>
      </c>
      <c r="B939" s="1" t="s">
        <v>1141</v>
      </c>
      <c r="C939" t="s">
        <v>108</v>
      </c>
      <c r="D939" s="1" t="s">
        <v>1142</v>
      </c>
    </row>
    <row r="940" spans="1:4" hidden="1" x14ac:dyDescent="0.3">
      <c r="A940">
        <v>938</v>
      </c>
      <c r="B940" t="s">
        <v>1143</v>
      </c>
      <c r="C940" t="s">
        <v>196</v>
      </c>
      <c r="D940">
        <v>149987889.41223201</v>
      </c>
    </row>
    <row r="941" spans="1:4" hidden="1" x14ac:dyDescent="0.3">
      <c r="A941">
        <v>939</v>
      </c>
      <c r="B941" t="s">
        <v>1144</v>
      </c>
      <c r="C941" t="s">
        <v>198</v>
      </c>
      <c r="D941">
        <v>1825.63016561984</v>
      </c>
    </row>
    <row r="942" spans="1:4" hidden="1" x14ac:dyDescent="0.3">
      <c r="A942">
        <v>940</v>
      </c>
      <c r="B942" t="s">
        <v>1145</v>
      </c>
      <c r="C942" t="s">
        <v>200</v>
      </c>
      <c r="D942">
        <v>798.68440024238703</v>
      </c>
    </row>
    <row r="943" spans="1:4" hidden="1" x14ac:dyDescent="0.3">
      <c r="A943">
        <v>941</v>
      </c>
      <c r="B943" s="1" t="s">
        <v>1146</v>
      </c>
      <c r="C943" t="s">
        <v>202</v>
      </c>
      <c r="D943" s="1" t="s">
        <v>1147</v>
      </c>
    </row>
    <row r="944" spans="1:4" hidden="1" x14ac:dyDescent="0.3">
      <c r="A944">
        <v>942</v>
      </c>
      <c r="B944" t="s">
        <v>1148</v>
      </c>
      <c r="C944" t="s">
        <v>205</v>
      </c>
      <c r="D944">
        <v>80018205.209583193</v>
      </c>
    </row>
    <row r="945" spans="1:4" hidden="1" x14ac:dyDescent="0.3">
      <c r="A945">
        <v>943</v>
      </c>
      <c r="B945" t="s">
        <v>1149</v>
      </c>
      <c r="C945" t="s">
        <v>207</v>
      </c>
      <c r="D945">
        <v>35006702.584030397</v>
      </c>
    </row>
    <row r="946" spans="1:4" hidden="1" x14ac:dyDescent="0.3">
      <c r="A946">
        <v>944</v>
      </c>
      <c r="B946" t="s">
        <v>1150</v>
      </c>
      <c r="C946" t="s">
        <v>209</v>
      </c>
      <c r="D946">
        <v>34959559.695226699</v>
      </c>
    </row>
    <row r="947" spans="1:4" hidden="1" x14ac:dyDescent="0.3">
      <c r="A947">
        <v>945</v>
      </c>
      <c r="B947" s="1" t="s">
        <v>1151</v>
      </c>
      <c r="C947" t="s">
        <v>211</v>
      </c>
      <c r="D947" s="1" t="s">
        <v>1152</v>
      </c>
    </row>
    <row r="948" spans="1:4" hidden="1" x14ac:dyDescent="0.3">
      <c r="A948">
        <v>946</v>
      </c>
      <c r="B948" t="s">
        <v>1153</v>
      </c>
      <c r="C948" t="s">
        <v>214</v>
      </c>
      <c r="D948">
        <v>99983462.532372594</v>
      </c>
    </row>
    <row r="949" spans="1:4" hidden="1" x14ac:dyDescent="0.3">
      <c r="A949">
        <v>947</v>
      </c>
      <c r="B949" t="s">
        <v>1154</v>
      </c>
      <c r="C949" t="s">
        <v>216</v>
      </c>
      <c r="D949">
        <v>2281.1412076055999</v>
      </c>
    </row>
    <row r="950" spans="1:4" hidden="1" x14ac:dyDescent="0.3">
      <c r="A950">
        <v>948</v>
      </c>
      <c r="B950" s="1" t="s">
        <v>1155</v>
      </c>
      <c r="C950" t="s">
        <v>218</v>
      </c>
      <c r="D950" s="1" t="s">
        <v>1156</v>
      </c>
    </row>
    <row r="951" spans="1:4" hidden="1" x14ac:dyDescent="0.3">
      <c r="A951">
        <v>949</v>
      </c>
      <c r="B951" t="s">
        <v>1157</v>
      </c>
      <c r="C951" t="s">
        <v>111</v>
      </c>
      <c r="D951">
        <v>-608.60785052776498</v>
      </c>
    </row>
    <row r="952" spans="1:4" hidden="1" x14ac:dyDescent="0.3">
      <c r="A952">
        <v>950</v>
      </c>
      <c r="B952" t="s">
        <v>1158</v>
      </c>
      <c r="C952" t="s">
        <v>113</v>
      </c>
      <c r="D952">
        <v>-91.142185528027795</v>
      </c>
    </row>
    <row r="953" spans="1:4" hidden="1" x14ac:dyDescent="0.3">
      <c r="A953">
        <v>951</v>
      </c>
      <c r="B953" s="1" t="s">
        <v>1159</v>
      </c>
      <c r="C953" t="s">
        <v>115</v>
      </c>
      <c r="D953" s="1" t="s">
        <v>1160</v>
      </c>
    </row>
    <row r="954" spans="1:4" hidden="1" x14ac:dyDescent="0.3">
      <c r="A954">
        <v>952</v>
      </c>
      <c r="B954" t="s">
        <v>1161</v>
      </c>
      <c r="C954" t="s">
        <v>118</v>
      </c>
      <c r="D954">
        <v>80018205.209583193</v>
      </c>
    </row>
    <row r="955" spans="1:4" hidden="1" x14ac:dyDescent="0.3">
      <c r="A955">
        <v>953</v>
      </c>
      <c r="B955" t="s">
        <v>1162</v>
      </c>
      <c r="C955" t="s">
        <v>120</v>
      </c>
      <c r="D955">
        <v>35006702.584030397</v>
      </c>
    </row>
    <row r="956" spans="1:4" hidden="1" x14ac:dyDescent="0.3">
      <c r="A956">
        <v>954</v>
      </c>
      <c r="B956" s="1" t="s">
        <v>1163</v>
      </c>
      <c r="C956" t="s">
        <v>122</v>
      </c>
      <c r="D956" s="1" t="s">
        <v>1164</v>
      </c>
    </row>
    <row r="957" spans="1:4" hidden="1" x14ac:dyDescent="0.3">
      <c r="A957">
        <v>955</v>
      </c>
      <c r="B957" t="s">
        <v>1165</v>
      </c>
      <c r="C957" t="s">
        <v>125</v>
      </c>
      <c r="D957">
        <v>0.80020030839748801</v>
      </c>
    </row>
    <row r="958" spans="1:4" hidden="1" x14ac:dyDescent="0.3">
      <c r="A958">
        <v>956</v>
      </c>
      <c r="B958" t="s">
        <v>1166</v>
      </c>
      <c r="C958" t="s">
        <v>127</v>
      </c>
      <c r="D958">
        <v>0.35007501268430602</v>
      </c>
    </row>
    <row r="959" spans="1:4" hidden="1" x14ac:dyDescent="0.3">
      <c r="A959">
        <v>957</v>
      </c>
      <c r="B959" s="1" t="s">
        <v>1167</v>
      </c>
      <c r="C959" t="s">
        <v>129</v>
      </c>
      <c r="D959" s="1" t="s">
        <v>1168</v>
      </c>
    </row>
    <row r="960" spans="1:4" x14ac:dyDescent="0.3">
      <c r="A960">
        <v>958</v>
      </c>
      <c r="B960" s="1" t="s">
        <v>3</v>
      </c>
      <c r="C960" t="s">
        <v>4</v>
      </c>
      <c r="D960" t="s">
        <v>5</v>
      </c>
    </row>
    <row r="961" spans="1:4" hidden="1" x14ac:dyDescent="0.3">
      <c r="A961">
        <v>959</v>
      </c>
      <c r="B961" t="s">
        <v>6</v>
      </c>
      <c r="C961" t="s">
        <v>7</v>
      </c>
      <c r="D961">
        <v>1981.95</v>
      </c>
    </row>
    <row r="962" spans="1:4" hidden="1" x14ac:dyDescent="0.3">
      <c r="A962">
        <v>960</v>
      </c>
      <c r="B962" s="1" t="s">
        <v>131</v>
      </c>
      <c r="C962" t="s">
        <v>9</v>
      </c>
      <c r="D962" s="1" t="s">
        <v>132</v>
      </c>
    </row>
    <row r="963" spans="1:4" hidden="1" x14ac:dyDescent="0.3">
      <c r="A963">
        <v>961</v>
      </c>
      <c r="B963" t="s">
        <v>13</v>
      </c>
      <c r="C963" t="s">
        <v>14</v>
      </c>
      <c r="D963">
        <v>91.74609375</v>
      </c>
    </row>
    <row r="964" spans="1:4" hidden="1" x14ac:dyDescent="0.3">
      <c r="A964">
        <v>962</v>
      </c>
      <c r="B964" t="s">
        <v>15</v>
      </c>
      <c r="C964" t="s">
        <v>16</v>
      </c>
      <c r="D964">
        <v>4.1883572307132804</v>
      </c>
    </row>
    <row r="965" spans="1:4" hidden="1" x14ac:dyDescent="0.3">
      <c r="A965">
        <v>963</v>
      </c>
      <c r="B965" s="1" t="s">
        <v>133</v>
      </c>
      <c r="C965" t="s">
        <v>134</v>
      </c>
      <c r="D965" s="1" t="s">
        <v>135</v>
      </c>
    </row>
    <row r="966" spans="1:4" hidden="1" x14ac:dyDescent="0.3">
      <c r="A966">
        <v>964</v>
      </c>
      <c r="B966" t="s">
        <v>21</v>
      </c>
      <c r="C966" t="s">
        <v>22</v>
      </c>
      <c r="D966">
        <v>38.25</v>
      </c>
    </row>
    <row r="967" spans="1:4" hidden="1" x14ac:dyDescent="0.3">
      <c r="A967">
        <v>965</v>
      </c>
      <c r="B967" t="s">
        <v>1169</v>
      </c>
      <c r="C967" t="s">
        <v>24</v>
      </c>
      <c r="D967">
        <v>5.7673496943434301</v>
      </c>
    </row>
    <row r="968" spans="1:4" hidden="1" x14ac:dyDescent="0.3">
      <c r="A968">
        <v>966</v>
      </c>
      <c r="B968" s="1" t="s">
        <v>1170</v>
      </c>
      <c r="C968" t="s">
        <v>138</v>
      </c>
      <c r="D968" s="1" t="s">
        <v>1171</v>
      </c>
    </row>
    <row r="969" spans="1:4" hidden="1" x14ac:dyDescent="0.3">
      <c r="A969">
        <v>967</v>
      </c>
      <c r="B969" t="s">
        <v>1172</v>
      </c>
      <c r="C969" t="s">
        <v>35</v>
      </c>
      <c r="D969">
        <v>0.539031888249627</v>
      </c>
    </row>
    <row r="970" spans="1:4" hidden="1" x14ac:dyDescent="0.3">
      <c r="A970">
        <v>968</v>
      </c>
      <c r="B970" t="s">
        <v>1173</v>
      </c>
      <c r="C970" t="s">
        <v>142</v>
      </c>
      <c r="D970">
        <v>0.68705369103790304</v>
      </c>
    </row>
    <row r="971" spans="1:4" hidden="1" x14ac:dyDescent="0.3">
      <c r="A971">
        <v>969</v>
      </c>
      <c r="B971" s="1" t="s">
        <v>1174</v>
      </c>
      <c r="C971" t="s">
        <v>144</v>
      </c>
      <c r="D971" s="1" t="s">
        <v>1175</v>
      </c>
    </row>
    <row r="972" spans="1:4" hidden="1" x14ac:dyDescent="0.3">
      <c r="A972">
        <v>970</v>
      </c>
      <c r="B972" t="s">
        <v>1176</v>
      </c>
      <c r="C972" t="s">
        <v>30</v>
      </c>
      <c r="D972">
        <v>0.19036157056042999</v>
      </c>
    </row>
    <row r="973" spans="1:4" hidden="1" x14ac:dyDescent="0.3">
      <c r="A973">
        <v>971</v>
      </c>
      <c r="B973" t="s">
        <v>1177</v>
      </c>
      <c r="C973" t="s">
        <v>32</v>
      </c>
      <c r="D973">
        <v>0.25149294008134199</v>
      </c>
    </row>
    <row r="974" spans="1:4" hidden="1" x14ac:dyDescent="0.3">
      <c r="A974">
        <v>972</v>
      </c>
      <c r="B974" s="1" t="s">
        <v>1178</v>
      </c>
      <c r="C974" t="s">
        <v>148</v>
      </c>
      <c r="D974" s="1" t="s">
        <v>1179</v>
      </c>
    </row>
    <row r="975" spans="1:4" hidden="1" x14ac:dyDescent="0.3">
      <c r="A975">
        <v>973</v>
      </c>
      <c r="B975" t="s">
        <v>1180</v>
      </c>
      <c r="C975" t="s">
        <v>40</v>
      </c>
      <c r="D975">
        <v>0.27060654118994198</v>
      </c>
    </row>
    <row r="976" spans="1:4" hidden="1" x14ac:dyDescent="0.3">
      <c r="A976">
        <v>974</v>
      </c>
      <c r="B976" t="s">
        <v>1181</v>
      </c>
      <c r="C976" t="s">
        <v>42</v>
      </c>
      <c r="D976">
        <v>0.203997384829571</v>
      </c>
    </row>
    <row r="977" spans="1:4" hidden="1" x14ac:dyDescent="0.3">
      <c r="A977">
        <v>975</v>
      </c>
      <c r="B977" s="1" t="s">
        <v>1182</v>
      </c>
      <c r="C977" t="s">
        <v>152</v>
      </c>
      <c r="D977" s="1" t="s">
        <v>1183</v>
      </c>
    </row>
    <row r="978" spans="1:4" hidden="1" x14ac:dyDescent="0.3">
      <c r="A978">
        <v>976</v>
      </c>
      <c r="B978" t="s">
        <v>153</v>
      </c>
      <c r="C978" t="s">
        <v>154</v>
      </c>
      <c r="D978">
        <v>1</v>
      </c>
    </row>
    <row r="979" spans="1:4" hidden="1" x14ac:dyDescent="0.3">
      <c r="A979">
        <v>977</v>
      </c>
      <c r="B979" t="s">
        <v>155</v>
      </c>
      <c r="C979" t="s">
        <v>156</v>
      </c>
      <c r="D979">
        <v>1</v>
      </c>
    </row>
    <row r="980" spans="1:4" hidden="1" x14ac:dyDescent="0.3">
      <c r="A980">
        <v>978</v>
      </c>
      <c r="B980" s="1" t="s">
        <v>1184</v>
      </c>
      <c r="C980" t="s">
        <v>158</v>
      </c>
      <c r="D980" s="1" t="s">
        <v>1185</v>
      </c>
    </row>
    <row r="981" spans="1:4" hidden="1" x14ac:dyDescent="0.3">
      <c r="A981">
        <v>979</v>
      </c>
      <c r="B981" t="s">
        <v>1186</v>
      </c>
      <c r="C981" t="s">
        <v>161</v>
      </c>
      <c r="D981">
        <v>0.99968855088132402</v>
      </c>
    </row>
    <row r="982" spans="1:4" hidden="1" x14ac:dyDescent="0.3">
      <c r="A982">
        <v>980</v>
      </c>
      <c r="B982" t="s">
        <v>1187</v>
      </c>
      <c r="C982" t="s">
        <v>163</v>
      </c>
      <c r="D982">
        <v>1.0005332937250999</v>
      </c>
    </row>
    <row r="983" spans="1:4" hidden="1" x14ac:dyDescent="0.3">
      <c r="A983">
        <v>981</v>
      </c>
      <c r="B983" s="1" t="s">
        <v>1188</v>
      </c>
      <c r="C983" t="s">
        <v>165</v>
      </c>
      <c r="D983" s="1" t="s">
        <v>1189</v>
      </c>
    </row>
    <row r="984" spans="1:4" hidden="1" x14ac:dyDescent="0.3">
      <c r="A984">
        <v>982</v>
      </c>
      <c r="B984" s="1" t="s">
        <v>1190</v>
      </c>
      <c r="C984" t="s">
        <v>55</v>
      </c>
      <c r="D984" s="1" t="s">
        <v>1191</v>
      </c>
    </row>
    <row r="985" spans="1:4" hidden="1" x14ac:dyDescent="0.3">
      <c r="A985">
        <v>983</v>
      </c>
      <c r="B985" s="1" t="s">
        <v>1192</v>
      </c>
      <c r="C985" t="s">
        <v>52</v>
      </c>
      <c r="D985" s="1" t="s">
        <v>1193</v>
      </c>
    </row>
    <row r="986" spans="1:4" hidden="1" x14ac:dyDescent="0.3">
      <c r="A986">
        <v>984</v>
      </c>
      <c r="B986" s="1" t="s">
        <v>1194</v>
      </c>
      <c r="C986" t="s">
        <v>58</v>
      </c>
      <c r="D986" s="1" t="s">
        <v>1195</v>
      </c>
    </row>
    <row r="987" spans="1:4" hidden="1" x14ac:dyDescent="0.3">
      <c r="A987">
        <v>985</v>
      </c>
      <c r="B987" t="s">
        <v>1196</v>
      </c>
      <c r="C987" t="s">
        <v>60</v>
      </c>
      <c r="D987">
        <v>149977304.37647399</v>
      </c>
    </row>
    <row r="988" spans="1:4" hidden="1" x14ac:dyDescent="0.3">
      <c r="A988">
        <v>986</v>
      </c>
      <c r="B988" t="s">
        <v>1197</v>
      </c>
      <c r="C988" t="s">
        <v>62</v>
      </c>
      <c r="D988">
        <v>80018205.209583193</v>
      </c>
    </row>
    <row r="989" spans="1:4" hidden="1" x14ac:dyDescent="0.3">
      <c r="A989">
        <v>987</v>
      </c>
      <c r="B989" t="s">
        <v>1198</v>
      </c>
      <c r="C989" t="s">
        <v>64</v>
      </c>
      <c r="D989">
        <v>35006702.584030397</v>
      </c>
    </row>
    <row r="990" spans="1:4" hidden="1" x14ac:dyDescent="0.3">
      <c r="A990">
        <v>988</v>
      </c>
      <c r="B990" s="1" t="s">
        <v>1199</v>
      </c>
      <c r="C990" t="s">
        <v>66</v>
      </c>
      <c r="D990" s="1" t="s">
        <v>1200</v>
      </c>
    </row>
    <row r="991" spans="1:4" hidden="1" x14ac:dyDescent="0.3">
      <c r="A991">
        <v>989</v>
      </c>
      <c r="B991" s="1" t="s">
        <v>1201</v>
      </c>
      <c r="C991" t="s">
        <v>69</v>
      </c>
      <c r="D991" s="1" t="s">
        <v>1202</v>
      </c>
    </row>
    <row r="992" spans="1:4" hidden="1" x14ac:dyDescent="0.3">
      <c r="A992">
        <v>990</v>
      </c>
      <c r="B992" t="s">
        <v>1203</v>
      </c>
      <c r="C992" t="s">
        <v>72</v>
      </c>
      <c r="D992">
        <v>1.00014258359137</v>
      </c>
    </row>
    <row r="993" spans="1:4" hidden="1" x14ac:dyDescent="0.3">
      <c r="A993">
        <v>991</v>
      </c>
      <c r="B993" t="s">
        <v>73</v>
      </c>
      <c r="C993" t="s">
        <v>74</v>
      </c>
      <c r="D993">
        <v>2.7397260273972599E-3</v>
      </c>
    </row>
    <row r="994" spans="1:4" hidden="1" x14ac:dyDescent="0.3">
      <c r="A994">
        <v>992</v>
      </c>
      <c r="B994" t="s">
        <v>75</v>
      </c>
      <c r="C994" t="s">
        <v>76</v>
      </c>
      <c r="D994">
        <v>0</v>
      </c>
    </row>
    <row r="995" spans="1:4" hidden="1" x14ac:dyDescent="0.3">
      <c r="A995">
        <v>993</v>
      </c>
      <c r="B995" t="s">
        <v>77</v>
      </c>
      <c r="C995" t="s">
        <v>78</v>
      </c>
      <c r="D995">
        <v>0</v>
      </c>
    </row>
    <row r="996" spans="1:4" hidden="1" x14ac:dyDescent="0.3">
      <c r="A996">
        <v>994</v>
      </c>
      <c r="B996" s="1" t="s">
        <v>1204</v>
      </c>
      <c r="C996" t="s">
        <v>80</v>
      </c>
      <c r="D996" s="1" t="s">
        <v>1205</v>
      </c>
    </row>
    <row r="997" spans="1:4" hidden="1" x14ac:dyDescent="0.3">
      <c r="A997">
        <v>995</v>
      </c>
      <c r="B997" t="s">
        <v>1206</v>
      </c>
      <c r="C997" t="s">
        <v>83</v>
      </c>
      <c r="D997">
        <v>1.0001677398776201</v>
      </c>
    </row>
    <row r="998" spans="1:4" hidden="1" x14ac:dyDescent="0.3">
      <c r="A998">
        <v>996</v>
      </c>
      <c r="B998" s="1" t="s">
        <v>1207</v>
      </c>
      <c r="C998" t="s">
        <v>85</v>
      </c>
      <c r="D998" s="1" t="s">
        <v>1208</v>
      </c>
    </row>
    <row r="999" spans="1:4" hidden="1" x14ac:dyDescent="0.3">
      <c r="A999">
        <v>997</v>
      </c>
      <c r="B999" t="s">
        <v>1209</v>
      </c>
      <c r="C999" t="s">
        <v>88</v>
      </c>
      <c r="D999">
        <v>99983228.825432405</v>
      </c>
    </row>
    <row r="1000" spans="1:4" hidden="1" x14ac:dyDescent="0.3">
      <c r="A1000">
        <v>998</v>
      </c>
      <c r="B1000" s="1" t="s">
        <v>1210</v>
      </c>
      <c r="C1000" t="s">
        <v>90</v>
      </c>
      <c r="D1000" s="1" t="s">
        <v>1156</v>
      </c>
    </row>
    <row r="1001" spans="1:4" hidden="1" x14ac:dyDescent="0.3">
      <c r="A1001">
        <v>999</v>
      </c>
      <c r="B1001" t="s">
        <v>1211</v>
      </c>
      <c r="C1001" t="s">
        <v>93</v>
      </c>
      <c r="D1001">
        <v>80018205.209583193</v>
      </c>
    </row>
    <row r="1002" spans="1:4" hidden="1" x14ac:dyDescent="0.3">
      <c r="A1002">
        <v>1000</v>
      </c>
      <c r="B1002" t="s">
        <v>1212</v>
      </c>
      <c r="C1002" t="s">
        <v>95</v>
      </c>
      <c r="D1002">
        <v>35006702.584030397</v>
      </c>
    </row>
    <row r="1003" spans="1:4" hidden="1" x14ac:dyDescent="0.3">
      <c r="A1003">
        <v>1001</v>
      </c>
      <c r="B1003" t="s">
        <v>1213</v>
      </c>
      <c r="C1003" t="s">
        <v>97</v>
      </c>
      <c r="D1003">
        <v>34952396.582861297</v>
      </c>
    </row>
    <row r="1004" spans="1:4" hidden="1" x14ac:dyDescent="0.3">
      <c r="A1004">
        <v>1002</v>
      </c>
      <c r="B1004" s="1" t="s">
        <v>1214</v>
      </c>
      <c r="C1004" t="s">
        <v>99</v>
      </c>
      <c r="D1004" s="1" t="s">
        <v>1215</v>
      </c>
    </row>
    <row r="1005" spans="1:4" hidden="1" x14ac:dyDescent="0.3">
      <c r="A1005">
        <v>1003</v>
      </c>
      <c r="B1005" t="s">
        <v>1216</v>
      </c>
      <c r="C1005" t="s">
        <v>102</v>
      </c>
      <c r="D1005">
        <v>7.7710161351545503E-3</v>
      </c>
    </row>
    <row r="1006" spans="1:4" hidden="1" x14ac:dyDescent="0.3">
      <c r="A1006">
        <v>1004</v>
      </c>
      <c r="B1006" t="s">
        <v>1217</v>
      </c>
      <c r="C1006" t="s">
        <v>104</v>
      </c>
      <c r="D1006">
        <v>1.50015612863306E-3</v>
      </c>
    </row>
    <row r="1007" spans="1:4" hidden="1" x14ac:dyDescent="0.3">
      <c r="A1007">
        <v>1005</v>
      </c>
      <c r="B1007" t="s">
        <v>1218</v>
      </c>
      <c r="C1007" t="s">
        <v>106</v>
      </c>
      <c r="D1007">
        <v>1.9913256901468002E-2</v>
      </c>
    </row>
    <row r="1008" spans="1:4" hidden="1" x14ac:dyDescent="0.3">
      <c r="A1008">
        <v>1006</v>
      </c>
      <c r="B1008" s="1" t="s">
        <v>1219</v>
      </c>
      <c r="C1008" t="s">
        <v>108</v>
      </c>
      <c r="D1008" s="1" t="s">
        <v>1220</v>
      </c>
    </row>
    <row r="1009" spans="1:4" hidden="1" x14ac:dyDescent="0.3">
      <c r="A1009">
        <v>1007</v>
      </c>
      <c r="B1009" t="s">
        <v>1221</v>
      </c>
      <c r="C1009" t="s">
        <v>196</v>
      </c>
      <c r="D1009">
        <v>149978170.460428</v>
      </c>
    </row>
    <row r="1010" spans="1:4" hidden="1" x14ac:dyDescent="0.3">
      <c r="A1010">
        <v>1008</v>
      </c>
      <c r="B1010" t="s">
        <v>1222</v>
      </c>
      <c r="C1010" t="s">
        <v>198</v>
      </c>
      <c r="D1010">
        <v>-2012.6898612013999</v>
      </c>
    </row>
    <row r="1011" spans="1:4" hidden="1" x14ac:dyDescent="0.3">
      <c r="A1011">
        <v>1009</v>
      </c>
      <c r="B1011" t="s">
        <v>1223</v>
      </c>
      <c r="C1011" t="s">
        <v>200</v>
      </c>
      <c r="D1011">
        <v>-880.51547281122396</v>
      </c>
    </row>
    <row r="1012" spans="1:4" hidden="1" x14ac:dyDescent="0.3">
      <c r="A1012">
        <v>1010</v>
      </c>
      <c r="B1012" s="1" t="s">
        <v>1224</v>
      </c>
      <c r="C1012" t="s">
        <v>202</v>
      </c>
      <c r="D1012" s="1" t="s">
        <v>1225</v>
      </c>
    </row>
    <row r="1013" spans="1:4" hidden="1" x14ac:dyDescent="0.3">
      <c r="A1013">
        <v>1011</v>
      </c>
      <c r="B1013" t="s">
        <v>1226</v>
      </c>
      <c r="C1013" t="s">
        <v>205</v>
      </c>
      <c r="D1013">
        <v>80020852.444622695</v>
      </c>
    </row>
    <row r="1014" spans="1:4" hidden="1" x14ac:dyDescent="0.3">
      <c r="A1014">
        <v>1012</v>
      </c>
      <c r="B1014" t="s">
        <v>1227</v>
      </c>
      <c r="C1014" t="s">
        <v>207</v>
      </c>
      <c r="D1014">
        <v>35007678.074641801</v>
      </c>
    </row>
    <row r="1015" spans="1:4" hidden="1" x14ac:dyDescent="0.3">
      <c r="A1015">
        <v>1013</v>
      </c>
      <c r="B1015" t="s">
        <v>1228</v>
      </c>
      <c r="C1015" t="s">
        <v>209</v>
      </c>
      <c r="D1015">
        <v>34953412.297074199</v>
      </c>
    </row>
    <row r="1016" spans="1:4" hidden="1" x14ac:dyDescent="0.3">
      <c r="A1016">
        <v>1014</v>
      </c>
      <c r="B1016" s="1" t="s">
        <v>1229</v>
      </c>
      <c r="C1016" t="s">
        <v>211</v>
      </c>
      <c r="D1016" s="1" t="s">
        <v>1230</v>
      </c>
    </row>
    <row r="1017" spans="1:4" hidden="1" x14ac:dyDescent="0.3">
      <c r="A1017">
        <v>1015</v>
      </c>
      <c r="B1017" t="s">
        <v>1231</v>
      </c>
      <c r="C1017" t="s">
        <v>214</v>
      </c>
      <c r="D1017">
        <v>99985743.673580199</v>
      </c>
    </row>
    <row r="1018" spans="1:4" hidden="1" x14ac:dyDescent="0.3">
      <c r="A1018">
        <v>1016</v>
      </c>
      <c r="B1018" t="s">
        <v>1232</v>
      </c>
      <c r="C1018" t="s">
        <v>216</v>
      </c>
      <c r="D1018">
        <v>-2514.8481478095</v>
      </c>
    </row>
    <row r="1019" spans="1:4" hidden="1" x14ac:dyDescent="0.3">
      <c r="A1019">
        <v>1017</v>
      </c>
      <c r="B1019" s="1" t="s">
        <v>1233</v>
      </c>
      <c r="C1019" t="s">
        <v>218</v>
      </c>
      <c r="D1019" s="1" t="s">
        <v>1234</v>
      </c>
    </row>
    <row r="1020" spans="1:4" hidden="1" x14ac:dyDescent="0.3">
      <c r="A1020">
        <v>1018</v>
      </c>
      <c r="B1020" t="s">
        <v>1235</v>
      </c>
      <c r="C1020" t="s">
        <v>111</v>
      </c>
      <c r="D1020">
        <v>634.54517824716902</v>
      </c>
    </row>
    <row r="1021" spans="1:4" hidden="1" x14ac:dyDescent="0.3">
      <c r="A1021">
        <v>1019</v>
      </c>
      <c r="B1021" t="s">
        <v>1236</v>
      </c>
      <c r="C1021" t="s">
        <v>113</v>
      </c>
      <c r="D1021">
        <v>94.975138576299898</v>
      </c>
    </row>
    <row r="1022" spans="1:4" hidden="1" x14ac:dyDescent="0.3">
      <c r="A1022">
        <v>1020</v>
      </c>
      <c r="B1022" s="1" t="s">
        <v>1237</v>
      </c>
      <c r="C1022" t="s">
        <v>115</v>
      </c>
      <c r="D1022" s="1" t="s">
        <v>1238</v>
      </c>
    </row>
    <row r="1023" spans="1:4" hidden="1" x14ac:dyDescent="0.3">
      <c r="A1023">
        <v>1021</v>
      </c>
      <c r="B1023" t="s">
        <v>1239</v>
      </c>
      <c r="C1023" t="s">
        <v>118</v>
      </c>
      <c r="D1023">
        <v>80020852.444622695</v>
      </c>
    </row>
    <row r="1024" spans="1:4" hidden="1" x14ac:dyDescent="0.3">
      <c r="A1024">
        <v>1022</v>
      </c>
      <c r="B1024" t="s">
        <v>1240</v>
      </c>
      <c r="C1024" t="s">
        <v>120</v>
      </c>
      <c r="D1024">
        <v>35007678.074641801</v>
      </c>
    </row>
    <row r="1025" spans="1:4" hidden="1" x14ac:dyDescent="0.3">
      <c r="A1025">
        <v>1023</v>
      </c>
      <c r="B1025" s="1" t="s">
        <v>1241</v>
      </c>
      <c r="C1025" t="s">
        <v>122</v>
      </c>
      <c r="D1025" s="1" t="s">
        <v>1242</v>
      </c>
    </row>
    <row r="1026" spans="1:4" hidden="1" x14ac:dyDescent="0.3">
      <c r="A1026">
        <v>1024</v>
      </c>
      <c r="B1026" t="s">
        <v>1243</v>
      </c>
      <c r="C1026" t="s">
        <v>125</v>
      </c>
      <c r="D1026">
        <v>0.80018839754761495</v>
      </c>
    </row>
    <row r="1027" spans="1:4" hidden="1" x14ac:dyDescent="0.3">
      <c r="A1027">
        <v>1025</v>
      </c>
      <c r="B1027" t="s">
        <v>1244</v>
      </c>
      <c r="C1027" t="s">
        <v>127</v>
      </c>
      <c r="D1027">
        <v>0.35006797559168901</v>
      </c>
    </row>
    <row r="1028" spans="1:4" hidden="1" x14ac:dyDescent="0.3">
      <c r="A1028">
        <v>1026</v>
      </c>
      <c r="B1028" s="1" t="s">
        <v>1245</v>
      </c>
      <c r="C1028" t="s">
        <v>129</v>
      </c>
      <c r="D1028" s="1" t="s">
        <v>1246</v>
      </c>
    </row>
    <row r="1029" spans="1:4" x14ac:dyDescent="0.3">
      <c r="A1029">
        <v>1027</v>
      </c>
      <c r="B1029" s="1" t="s">
        <v>3</v>
      </c>
      <c r="C1029" t="s">
        <v>4</v>
      </c>
      <c r="D1029" t="s">
        <v>5</v>
      </c>
    </row>
    <row r="1030" spans="1:4" hidden="1" x14ac:dyDescent="0.3">
      <c r="A1030">
        <v>1028</v>
      </c>
      <c r="B1030" t="s">
        <v>6</v>
      </c>
      <c r="C1030" t="s">
        <v>7</v>
      </c>
      <c r="D1030">
        <v>1981.95</v>
      </c>
    </row>
    <row r="1031" spans="1:4" hidden="1" x14ac:dyDescent="0.3">
      <c r="A1031">
        <v>1029</v>
      </c>
      <c r="B1031" s="1" t="s">
        <v>131</v>
      </c>
      <c r="C1031" t="s">
        <v>9</v>
      </c>
      <c r="D1031" s="1" t="s">
        <v>132</v>
      </c>
    </row>
    <row r="1032" spans="1:4" hidden="1" x14ac:dyDescent="0.3">
      <c r="A1032">
        <v>1030</v>
      </c>
      <c r="B1032" t="s">
        <v>13</v>
      </c>
      <c r="C1032" t="s">
        <v>14</v>
      </c>
      <c r="D1032">
        <v>91.74609375</v>
      </c>
    </row>
    <row r="1033" spans="1:4" hidden="1" x14ac:dyDescent="0.3">
      <c r="A1033">
        <v>1031</v>
      </c>
      <c r="B1033" t="s">
        <v>15</v>
      </c>
      <c r="C1033" t="s">
        <v>16</v>
      </c>
      <c r="D1033">
        <v>4.1883572307132804</v>
      </c>
    </row>
    <row r="1034" spans="1:4" hidden="1" x14ac:dyDescent="0.3">
      <c r="A1034">
        <v>1032</v>
      </c>
      <c r="B1034" s="1" t="s">
        <v>133</v>
      </c>
      <c r="C1034" t="s">
        <v>134</v>
      </c>
      <c r="D1034" s="1" t="s">
        <v>135</v>
      </c>
    </row>
    <row r="1035" spans="1:4" hidden="1" x14ac:dyDescent="0.3">
      <c r="A1035">
        <v>1033</v>
      </c>
      <c r="B1035" t="s">
        <v>21</v>
      </c>
      <c r="C1035" t="s">
        <v>22</v>
      </c>
      <c r="D1035">
        <v>38.25</v>
      </c>
    </row>
    <row r="1036" spans="1:4" hidden="1" x14ac:dyDescent="0.3">
      <c r="A1036">
        <v>1034</v>
      </c>
      <c r="B1036" t="s">
        <v>1247</v>
      </c>
      <c r="C1036" t="s">
        <v>24</v>
      </c>
      <c r="D1036">
        <v>5.7587403797543901</v>
      </c>
    </row>
    <row r="1037" spans="1:4" hidden="1" x14ac:dyDescent="0.3">
      <c r="A1037">
        <v>1035</v>
      </c>
      <c r="B1037" s="1" t="s">
        <v>1248</v>
      </c>
      <c r="C1037" t="s">
        <v>138</v>
      </c>
      <c r="D1037" s="1" t="s">
        <v>1249</v>
      </c>
    </row>
    <row r="1038" spans="1:4" hidden="1" x14ac:dyDescent="0.3">
      <c r="A1038">
        <v>1036</v>
      </c>
      <c r="B1038" t="s">
        <v>1250</v>
      </c>
      <c r="C1038" t="s">
        <v>35</v>
      </c>
      <c r="D1038">
        <v>0.54301760339670802</v>
      </c>
    </row>
    <row r="1039" spans="1:4" hidden="1" x14ac:dyDescent="0.3">
      <c r="A1039">
        <v>1037</v>
      </c>
      <c r="B1039" t="s">
        <v>1251</v>
      </c>
      <c r="C1039" t="s">
        <v>142</v>
      </c>
      <c r="D1039">
        <v>0.69156977183130297</v>
      </c>
    </row>
    <row r="1040" spans="1:4" hidden="1" x14ac:dyDescent="0.3">
      <c r="A1040">
        <v>1038</v>
      </c>
      <c r="B1040" s="1" t="s">
        <v>1252</v>
      </c>
      <c r="C1040" t="s">
        <v>144</v>
      </c>
      <c r="D1040" s="1" t="s">
        <v>1253</v>
      </c>
    </row>
    <row r="1041" spans="1:4" hidden="1" x14ac:dyDescent="0.3">
      <c r="A1041">
        <v>1039</v>
      </c>
      <c r="B1041" t="s">
        <v>1254</v>
      </c>
      <c r="C1041" t="s">
        <v>30</v>
      </c>
      <c r="D1041">
        <v>0.191769144048649</v>
      </c>
    </row>
    <row r="1042" spans="1:4" hidden="1" x14ac:dyDescent="0.3">
      <c r="A1042">
        <v>1040</v>
      </c>
      <c r="B1042" t="s">
        <v>1255</v>
      </c>
      <c r="C1042" t="s">
        <v>32</v>
      </c>
      <c r="D1042">
        <v>0.24596927393807599</v>
      </c>
    </row>
    <row r="1043" spans="1:4" hidden="1" x14ac:dyDescent="0.3">
      <c r="A1043">
        <v>1041</v>
      </c>
      <c r="B1043" s="1" t="s">
        <v>1256</v>
      </c>
      <c r="C1043" t="s">
        <v>148</v>
      </c>
      <c r="D1043" s="1" t="s">
        <v>1257</v>
      </c>
    </row>
    <row r="1044" spans="1:4" hidden="1" x14ac:dyDescent="0.3">
      <c r="A1044">
        <v>1042</v>
      </c>
      <c r="B1044" t="s">
        <v>1258</v>
      </c>
      <c r="C1044" t="s">
        <v>40</v>
      </c>
      <c r="D1044">
        <v>0.26521325255464101</v>
      </c>
    </row>
    <row r="1045" spans="1:4" hidden="1" x14ac:dyDescent="0.3">
      <c r="A1045">
        <v>1043</v>
      </c>
      <c r="B1045" t="s">
        <v>1259</v>
      </c>
      <c r="C1045" t="s">
        <v>42</v>
      </c>
      <c r="D1045">
        <v>0.20001642516493801</v>
      </c>
    </row>
    <row r="1046" spans="1:4" hidden="1" x14ac:dyDescent="0.3">
      <c r="A1046">
        <v>1044</v>
      </c>
      <c r="B1046" s="1" t="s">
        <v>1260</v>
      </c>
      <c r="C1046" t="s">
        <v>152</v>
      </c>
      <c r="D1046" s="1" t="s">
        <v>1261</v>
      </c>
    </row>
    <row r="1047" spans="1:4" hidden="1" x14ac:dyDescent="0.3">
      <c r="A1047">
        <v>1045</v>
      </c>
      <c r="B1047" t="s">
        <v>153</v>
      </c>
      <c r="C1047" t="s">
        <v>154</v>
      </c>
      <c r="D1047">
        <v>1</v>
      </c>
    </row>
    <row r="1048" spans="1:4" hidden="1" x14ac:dyDescent="0.3">
      <c r="A1048">
        <v>1046</v>
      </c>
      <c r="B1048" t="s">
        <v>155</v>
      </c>
      <c r="C1048" t="s">
        <v>156</v>
      </c>
      <c r="D1048">
        <v>1</v>
      </c>
    </row>
    <row r="1049" spans="1:4" hidden="1" x14ac:dyDescent="0.3">
      <c r="A1049">
        <v>1047</v>
      </c>
      <c r="B1049" s="1" t="s">
        <v>1262</v>
      </c>
      <c r="C1049" t="s">
        <v>158</v>
      </c>
      <c r="D1049" s="1" t="s">
        <v>1263</v>
      </c>
    </row>
    <row r="1050" spans="1:4" hidden="1" x14ac:dyDescent="0.3">
      <c r="A1050">
        <v>1048</v>
      </c>
      <c r="B1050" t="s">
        <v>1264</v>
      </c>
      <c r="C1050" t="s">
        <v>161</v>
      </c>
      <c r="D1050">
        <v>1.0026769040116399</v>
      </c>
    </row>
    <row r="1051" spans="1:4" hidden="1" x14ac:dyDescent="0.3">
      <c r="A1051">
        <v>1049</v>
      </c>
      <c r="B1051" t="s">
        <v>1265</v>
      </c>
      <c r="C1051" t="s">
        <v>163</v>
      </c>
      <c r="D1051">
        <v>0.99558633855105305</v>
      </c>
    </row>
    <row r="1052" spans="1:4" hidden="1" x14ac:dyDescent="0.3">
      <c r="A1052">
        <v>1050</v>
      </c>
      <c r="B1052" s="1" t="s">
        <v>1266</v>
      </c>
      <c r="C1052" t="s">
        <v>165</v>
      </c>
      <c r="D1052" s="1" t="s">
        <v>1267</v>
      </c>
    </row>
    <row r="1053" spans="1:4" hidden="1" x14ac:dyDescent="0.3">
      <c r="A1053">
        <v>1051</v>
      </c>
      <c r="B1053" s="1" t="s">
        <v>1268</v>
      </c>
      <c r="C1053" t="s">
        <v>55</v>
      </c>
      <c r="D1053" s="1" t="s">
        <v>1269</v>
      </c>
    </row>
    <row r="1054" spans="1:4" hidden="1" x14ac:dyDescent="0.3">
      <c r="A1054">
        <v>1052</v>
      </c>
      <c r="B1054" s="1" t="s">
        <v>1270</v>
      </c>
      <c r="C1054" t="s">
        <v>52</v>
      </c>
      <c r="D1054" s="1" t="s">
        <v>1271</v>
      </c>
    </row>
    <row r="1055" spans="1:4" hidden="1" x14ac:dyDescent="0.3">
      <c r="A1055">
        <v>1053</v>
      </c>
      <c r="B1055" s="1" t="s">
        <v>1272</v>
      </c>
      <c r="C1055" t="s">
        <v>58</v>
      </c>
      <c r="D1055" s="1" t="s">
        <v>1273</v>
      </c>
    </row>
    <row r="1056" spans="1:4" hidden="1" x14ac:dyDescent="0.3">
      <c r="A1056">
        <v>1054</v>
      </c>
      <c r="B1056" t="s">
        <v>1274</v>
      </c>
      <c r="C1056" t="s">
        <v>60</v>
      </c>
      <c r="D1056">
        <v>149975106.30926701</v>
      </c>
    </row>
    <row r="1057" spans="1:4" hidden="1" x14ac:dyDescent="0.3">
      <c r="A1057">
        <v>1055</v>
      </c>
      <c r="B1057" t="s">
        <v>1275</v>
      </c>
      <c r="C1057" t="s">
        <v>62</v>
      </c>
      <c r="D1057">
        <v>80020852.444622695</v>
      </c>
    </row>
    <row r="1058" spans="1:4" hidden="1" x14ac:dyDescent="0.3">
      <c r="A1058">
        <v>1056</v>
      </c>
      <c r="B1058" t="s">
        <v>1276</v>
      </c>
      <c r="C1058" t="s">
        <v>64</v>
      </c>
      <c r="D1058">
        <v>35007678.074641801</v>
      </c>
    </row>
    <row r="1059" spans="1:4" hidden="1" x14ac:dyDescent="0.3">
      <c r="A1059">
        <v>1057</v>
      </c>
      <c r="B1059" s="1" t="s">
        <v>1277</v>
      </c>
      <c r="C1059" t="s">
        <v>66</v>
      </c>
      <c r="D1059" s="1" t="s">
        <v>1278</v>
      </c>
    </row>
    <row r="1060" spans="1:4" hidden="1" x14ac:dyDescent="0.3">
      <c r="A1060">
        <v>1058</v>
      </c>
      <c r="B1060" s="1" t="s">
        <v>1279</v>
      </c>
      <c r="C1060" t="s">
        <v>69</v>
      </c>
      <c r="D1060" s="1" t="s">
        <v>1280</v>
      </c>
    </row>
    <row r="1061" spans="1:4" hidden="1" x14ac:dyDescent="0.3">
      <c r="A1061">
        <v>1059</v>
      </c>
      <c r="B1061" t="s">
        <v>1281</v>
      </c>
      <c r="C1061" t="s">
        <v>72</v>
      </c>
      <c r="D1061">
        <v>1.0001677398776201</v>
      </c>
    </row>
    <row r="1062" spans="1:4" hidden="1" x14ac:dyDescent="0.3">
      <c r="A1062">
        <v>1060</v>
      </c>
      <c r="B1062" t="s">
        <v>73</v>
      </c>
      <c r="C1062" t="s">
        <v>74</v>
      </c>
      <c r="D1062">
        <v>2.7397260273972599E-3</v>
      </c>
    </row>
    <row r="1063" spans="1:4" hidden="1" x14ac:dyDescent="0.3">
      <c r="A1063">
        <v>1061</v>
      </c>
      <c r="B1063" t="s">
        <v>75</v>
      </c>
      <c r="C1063" t="s">
        <v>76</v>
      </c>
      <c r="D1063">
        <v>0</v>
      </c>
    </row>
    <row r="1064" spans="1:4" hidden="1" x14ac:dyDescent="0.3">
      <c r="A1064">
        <v>1062</v>
      </c>
      <c r="B1064" t="s">
        <v>77</v>
      </c>
      <c r="C1064" t="s">
        <v>78</v>
      </c>
      <c r="D1064">
        <v>0</v>
      </c>
    </row>
    <row r="1065" spans="1:4" hidden="1" x14ac:dyDescent="0.3">
      <c r="A1065">
        <v>1063</v>
      </c>
      <c r="B1065" s="1" t="s">
        <v>1282</v>
      </c>
      <c r="C1065" t="s">
        <v>80</v>
      </c>
      <c r="D1065" s="1" t="s">
        <v>1283</v>
      </c>
    </row>
    <row r="1066" spans="1:4" hidden="1" x14ac:dyDescent="0.3">
      <c r="A1066">
        <v>1064</v>
      </c>
      <c r="B1066" t="s">
        <v>1284</v>
      </c>
      <c r="C1066" t="s">
        <v>83</v>
      </c>
      <c r="D1066">
        <v>1.0001908123957799</v>
      </c>
    </row>
    <row r="1067" spans="1:4" hidden="1" x14ac:dyDescent="0.3">
      <c r="A1067">
        <v>1065</v>
      </c>
      <c r="B1067" s="1" t="s">
        <v>1285</v>
      </c>
      <c r="C1067" t="s">
        <v>85</v>
      </c>
      <c r="D1067" s="1" t="s">
        <v>1286</v>
      </c>
    </row>
    <row r="1068" spans="1:4" hidden="1" x14ac:dyDescent="0.3">
      <c r="A1068">
        <v>1066</v>
      </c>
      <c r="B1068" t="s">
        <v>1287</v>
      </c>
      <c r="C1068" t="s">
        <v>88</v>
      </c>
      <c r="D1068">
        <v>99980922.400664195</v>
      </c>
    </row>
    <row r="1069" spans="1:4" hidden="1" x14ac:dyDescent="0.3">
      <c r="A1069">
        <v>1067</v>
      </c>
      <c r="B1069" s="1" t="s">
        <v>1288</v>
      </c>
      <c r="C1069" t="s">
        <v>90</v>
      </c>
      <c r="D1069" s="1" t="s">
        <v>1234</v>
      </c>
    </row>
    <row r="1070" spans="1:4" hidden="1" x14ac:dyDescent="0.3">
      <c r="A1070">
        <v>1068</v>
      </c>
      <c r="B1070" t="s">
        <v>1289</v>
      </c>
      <c r="C1070" t="s">
        <v>93</v>
      </c>
      <c r="D1070">
        <v>80020852.444622695</v>
      </c>
    </row>
    <row r="1071" spans="1:4" hidden="1" x14ac:dyDescent="0.3">
      <c r="A1071">
        <v>1069</v>
      </c>
      <c r="B1071" t="s">
        <v>1290</v>
      </c>
      <c r="C1071" t="s">
        <v>95</v>
      </c>
      <c r="D1071">
        <v>35007678.074641801</v>
      </c>
    </row>
    <row r="1072" spans="1:4" hidden="1" x14ac:dyDescent="0.3">
      <c r="A1072">
        <v>1070</v>
      </c>
      <c r="B1072" t="s">
        <v>1291</v>
      </c>
      <c r="C1072" t="s">
        <v>97</v>
      </c>
      <c r="D1072">
        <v>34946575.790003397</v>
      </c>
    </row>
    <row r="1073" spans="1:4" hidden="1" x14ac:dyDescent="0.3">
      <c r="A1073">
        <v>1071</v>
      </c>
      <c r="B1073" s="1" t="s">
        <v>1292</v>
      </c>
      <c r="C1073" t="s">
        <v>99</v>
      </c>
      <c r="D1073" s="1" t="s">
        <v>1293</v>
      </c>
    </row>
    <row r="1074" spans="1:4" hidden="1" x14ac:dyDescent="0.3">
      <c r="A1074">
        <v>1072</v>
      </c>
      <c r="B1074" t="s">
        <v>1294</v>
      </c>
      <c r="C1074" t="s">
        <v>102</v>
      </c>
      <c r="D1074">
        <v>7.8044479151370303E-3</v>
      </c>
    </row>
    <row r="1075" spans="1:4" hidden="1" x14ac:dyDescent="0.3">
      <c r="A1075">
        <v>1073</v>
      </c>
      <c r="B1075" t="s">
        <v>1295</v>
      </c>
      <c r="C1075" t="s">
        <v>104</v>
      </c>
      <c r="D1075">
        <v>1.47131903913684E-3</v>
      </c>
    </row>
    <row r="1076" spans="1:4" hidden="1" x14ac:dyDescent="0.3">
      <c r="A1076">
        <v>1074</v>
      </c>
      <c r="B1076" t="s">
        <v>1296</v>
      </c>
      <c r="C1076" t="s">
        <v>106</v>
      </c>
      <c r="D1076">
        <v>2.0020223415734499E-2</v>
      </c>
    </row>
    <row r="1077" spans="1:4" hidden="1" x14ac:dyDescent="0.3">
      <c r="A1077">
        <v>1075</v>
      </c>
      <c r="B1077" s="1" t="s">
        <v>1297</v>
      </c>
      <c r="C1077" t="s">
        <v>108</v>
      </c>
      <c r="D1077" s="1" t="s">
        <v>1298</v>
      </c>
    </row>
    <row r="1078" spans="1:4" hidden="1" x14ac:dyDescent="0.3">
      <c r="A1078">
        <v>1076</v>
      </c>
      <c r="B1078" t="s">
        <v>1299</v>
      </c>
      <c r="C1078" t="s">
        <v>196</v>
      </c>
      <c r="D1078">
        <v>149975901.320263</v>
      </c>
    </row>
    <row r="1079" spans="1:4" hidden="1" x14ac:dyDescent="0.3">
      <c r="A1079">
        <v>1077</v>
      </c>
      <c r="B1079" t="s">
        <v>1300</v>
      </c>
      <c r="C1079" t="s">
        <v>198</v>
      </c>
      <c r="D1079">
        <v>-1845.98635149505</v>
      </c>
    </row>
    <row r="1080" spans="1:4" hidden="1" x14ac:dyDescent="0.3">
      <c r="A1080">
        <v>1078</v>
      </c>
      <c r="B1080" t="s">
        <v>1301</v>
      </c>
      <c r="C1080" t="s">
        <v>200</v>
      </c>
      <c r="D1080">
        <v>-807.58184307662998</v>
      </c>
    </row>
    <row r="1081" spans="1:4" hidden="1" x14ac:dyDescent="0.3">
      <c r="A1081">
        <v>1079</v>
      </c>
      <c r="B1081" s="1" t="s">
        <v>1302</v>
      </c>
      <c r="C1081" t="s">
        <v>202</v>
      </c>
      <c r="D1081" s="1" t="s">
        <v>1303</v>
      </c>
    </row>
    <row r="1082" spans="1:4" hidden="1" x14ac:dyDescent="0.3">
      <c r="A1082">
        <v>1080</v>
      </c>
      <c r="B1082" t="s">
        <v>1304</v>
      </c>
      <c r="C1082" t="s">
        <v>205</v>
      </c>
      <c r="D1082">
        <v>80023280.330559194</v>
      </c>
    </row>
    <row r="1083" spans="1:4" hidden="1" x14ac:dyDescent="0.3">
      <c r="A1083">
        <v>1081</v>
      </c>
      <c r="B1083" t="s">
        <v>1305</v>
      </c>
      <c r="C1083" t="s">
        <v>207</v>
      </c>
      <c r="D1083">
        <v>35008573.149011098</v>
      </c>
    </row>
    <row r="1084" spans="1:4" hidden="1" x14ac:dyDescent="0.3">
      <c r="A1084">
        <v>1082</v>
      </c>
      <c r="B1084" t="s">
        <v>1306</v>
      </c>
      <c r="C1084" t="s">
        <v>209</v>
      </c>
      <c r="D1084">
        <v>34947507.582063302</v>
      </c>
    </row>
    <row r="1085" spans="1:4" hidden="1" x14ac:dyDescent="0.3">
      <c r="A1085">
        <v>1083</v>
      </c>
      <c r="B1085" s="1" t="s">
        <v>1307</v>
      </c>
      <c r="C1085" t="s">
        <v>211</v>
      </c>
      <c r="D1085" s="1" t="s">
        <v>1308</v>
      </c>
    </row>
    <row r="1086" spans="1:4" hidden="1" x14ac:dyDescent="0.3">
      <c r="A1086">
        <v>1084</v>
      </c>
      <c r="B1086" t="s">
        <v>1309</v>
      </c>
      <c r="C1086" t="s">
        <v>214</v>
      </c>
      <c r="D1086">
        <v>99983228.825432405</v>
      </c>
    </row>
    <row r="1087" spans="1:4" hidden="1" x14ac:dyDescent="0.3">
      <c r="A1087">
        <v>1085</v>
      </c>
      <c r="B1087" t="s">
        <v>1310</v>
      </c>
      <c r="C1087" t="s">
        <v>216</v>
      </c>
      <c r="D1087">
        <v>-2306.4247682392502</v>
      </c>
    </row>
    <row r="1088" spans="1:4" hidden="1" x14ac:dyDescent="0.3">
      <c r="A1088">
        <v>1086</v>
      </c>
      <c r="B1088" s="1" t="s">
        <v>1311</v>
      </c>
      <c r="C1088" t="s">
        <v>218</v>
      </c>
      <c r="D1088" s="1" t="s">
        <v>1312</v>
      </c>
    </row>
    <row r="1089" spans="1:4" hidden="1" x14ac:dyDescent="0.3">
      <c r="A1089">
        <v>1087</v>
      </c>
      <c r="B1089" t="s">
        <v>1313</v>
      </c>
      <c r="C1089" t="s">
        <v>111</v>
      </c>
      <c r="D1089">
        <v>581.89958503868195</v>
      </c>
    </row>
    <row r="1090" spans="1:4" hidden="1" x14ac:dyDescent="0.3">
      <c r="A1090">
        <v>1088</v>
      </c>
      <c r="B1090" t="s">
        <v>1314</v>
      </c>
      <c r="C1090" t="s">
        <v>113</v>
      </c>
      <c r="D1090">
        <v>87.492526293732993</v>
      </c>
    </row>
    <row r="1091" spans="1:4" hidden="1" x14ac:dyDescent="0.3">
      <c r="A1091">
        <v>1089</v>
      </c>
      <c r="B1091" s="1" t="s">
        <v>1315</v>
      </c>
      <c r="C1091" t="s">
        <v>115</v>
      </c>
      <c r="D1091" s="1" t="s">
        <v>1316</v>
      </c>
    </row>
    <row r="1092" spans="1:4" hidden="1" x14ac:dyDescent="0.3">
      <c r="A1092">
        <v>1090</v>
      </c>
      <c r="B1092" t="s">
        <v>1317</v>
      </c>
      <c r="C1092" t="s">
        <v>118</v>
      </c>
      <c r="D1092">
        <v>80023280.330559194</v>
      </c>
    </row>
    <row r="1093" spans="1:4" hidden="1" x14ac:dyDescent="0.3">
      <c r="A1093">
        <v>1091</v>
      </c>
      <c r="B1093" t="s">
        <v>1318</v>
      </c>
      <c r="C1093" t="s">
        <v>120</v>
      </c>
      <c r="D1093">
        <v>35008573.149011098</v>
      </c>
    </row>
    <row r="1094" spans="1:4" hidden="1" x14ac:dyDescent="0.3">
      <c r="A1094">
        <v>1092</v>
      </c>
      <c r="B1094" s="1" t="s">
        <v>1319</v>
      </c>
      <c r="C1094" t="s">
        <v>122</v>
      </c>
      <c r="D1094" s="1" t="s">
        <v>1320</v>
      </c>
    </row>
    <row r="1095" spans="1:4" hidden="1" x14ac:dyDescent="0.3">
      <c r="A1095">
        <v>1093</v>
      </c>
      <c r="B1095" t="s">
        <v>1321</v>
      </c>
      <c r="C1095" t="s">
        <v>125</v>
      </c>
      <c r="D1095">
        <v>0.80021434344207698</v>
      </c>
    </row>
    <row r="1096" spans="1:4" hidden="1" x14ac:dyDescent="0.3">
      <c r="A1096">
        <v>1094</v>
      </c>
      <c r="B1096" t="s">
        <v>1322</v>
      </c>
      <c r="C1096" t="s">
        <v>127</v>
      </c>
      <c r="D1096">
        <v>0.35007765567168098</v>
      </c>
    </row>
    <row r="1097" spans="1:4" hidden="1" x14ac:dyDescent="0.3">
      <c r="A1097">
        <v>1095</v>
      </c>
      <c r="B1097" s="1" t="s">
        <v>1323</v>
      </c>
      <c r="C1097" t="s">
        <v>129</v>
      </c>
      <c r="D1097" s="1" t="s">
        <v>1324</v>
      </c>
    </row>
    <row r="1098" spans="1:4" x14ac:dyDescent="0.3">
      <c r="A1098">
        <v>1096</v>
      </c>
      <c r="B1098" s="1" t="s">
        <v>3</v>
      </c>
      <c r="C1098" t="s">
        <v>4</v>
      </c>
      <c r="D1098" t="s">
        <v>5</v>
      </c>
    </row>
    <row r="1099" spans="1:4" hidden="1" x14ac:dyDescent="0.3">
      <c r="A1099">
        <v>1097</v>
      </c>
      <c r="B1099" t="s">
        <v>6</v>
      </c>
      <c r="C1099" t="s">
        <v>7</v>
      </c>
      <c r="D1099">
        <v>1981.95</v>
      </c>
    </row>
    <row r="1100" spans="1:4" hidden="1" x14ac:dyDescent="0.3">
      <c r="A1100">
        <v>1098</v>
      </c>
      <c r="B1100" s="1" t="s">
        <v>131</v>
      </c>
      <c r="C1100" t="s">
        <v>9</v>
      </c>
      <c r="D1100" s="1" t="s">
        <v>132</v>
      </c>
    </row>
    <row r="1101" spans="1:4" hidden="1" x14ac:dyDescent="0.3">
      <c r="A1101">
        <v>1099</v>
      </c>
      <c r="B1101" t="s">
        <v>13</v>
      </c>
      <c r="C1101" t="s">
        <v>14</v>
      </c>
      <c r="D1101">
        <v>91.74609375</v>
      </c>
    </row>
    <row r="1102" spans="1:4" hidden="1" x14ac:dyDescent="0.3">
      <c r="A1102">
        <v>1100</v>
      </c>
      <c r="B1102" t="s">
        <v>15</v>
      </c>
      <c r="C1102" t="s">
        <v>16</v>
      </c>
      <c r="D1102">
        <v>4.1883572307132804</v>
      </c>
    </row>
    <row r="1103" spans="1:4" hidden="1" x14ac:dyDescent="0.3">
      <c r="A1103">
        <v>1101</v>
      </c>
      <c r="B1103" s="1" t="s">
        <v>133</v>
      </c>
      <c r="C1103" t="s">
        <v>134</v>
      </c>
      <c r="D1103" s="1" t="s">
        <v>135</v>
      </c>
    </row>
    <row r="1104" spans="1:4" hidden="1" x14ac:dyDescent="0.3">
      <c r="A1104">
        <v>1102</v>
      </c>
      <c r="B1104" t="s">
        <v>21</v>
      </c>
      <c r="C1104" t="s">
        <v>22</v>
      </c>
      <c r="D1104">
        <v>38.25</v>
      </c>
    </row>
    <row r="1105" spans="1:4" hidden="1" x14ac:dyDescent="0.3">
      <c r="A1105">
        <v>1103</v>
      </c>
      <c r="B1105" t="s">
        <v>1325</v>
      </c>
      <c r="C1105" t="s">
        <v>24</v>
      </c>
      <c r="D1105">
        <v>5.7511459383863004</v>
      </c>
    </row>
    <row r="1106" spans="1:4" hidden="1" x14ac:dyDescent="0.3">
      <c r="A1106">
        <v>1104</v>
      </c>
      <c r="B1106" s="1" t="s">
        <v>1326</v>
      </c>
      <c r="C1106" t="s">
        <v>138</v>
      </c>
      <c r="D1106" s="1" t="s">
        <v>1327</v>
      </c>
    </row>
    <row r="1107" spans="1:4" hidden="1" x14ac:dyDescent="0.3">
      <c r="A1107">
        <v>1105</v>
      </c>
      <c r="B1107" t="s">
        <v>1328</v>
      </c>
      <c r="C1107" t="s">
        <v>35</v>
      </c>
      <c r="D1107">
        <v>0.54370286515433097</v>
      </c>
    </row>
    <row r="1108" spans="1:4" hidden="1" x14ac:dyDescent="0.3">
      <c r="A1108">
        <v>1106</v>
      </c>
      <c r="B1108" t="s">
        <v>1329</v>
      </c>
      <c r="C1108" t="s">
        <v>142</v>
      </c>
      <c r="D1108">
        <v>0.69158770907309297</v>
      </c>
    </row>
    <row r="1109" spans="1:4" hidden="1" x14ac:dyDescent="0.3">
      <c r="A1109">
        <v>1107</v>
      </c>
      <c r="B1109" s="1" t="s">
        <v>1330</v>
      </c>
      <c r="C1109" t="s">
        <v>144</v>
      </c>
      <c r="D1109" s="1" t="s">
        <v>1331</v>
      </c>
    </row>
    <row r="1110" spans="1:4" hidden="1" x14ac:dyDescent="0.3">
      <c r="A1110">
        <v>1108</v>
      </c>
      <c r="B1110" t="s">
        <v>1332</v>
      </c>
      <c r="C1110" t="s">
        <v>30</v>
      </c>
      <c r="D1110">
        <v>0.19201114736472299</v>
      </c>
    </row>
    <row r="1111" spans="1:4" hidden="1" x14ac:dyDescent="0.3">
      <c r="A1111">
        <v>1109</v>
      </c>
      <c r="B1111" t="s">
        <v>1333</v>
      </c>
      <c r="C1111" t="s">
        <v>32</v>
      </c>
      <c r="D1111">
        <v>0.24581991618160801</v>
      </c>
    </row>
    <row r="1112" spans="1:4" hidden="1" x14ac:dyDescent="0.3">
      <c r="A1112">
        <v>1110</v>
      </c>
      <c r="B1112" s="1" t="s">
        <v>1334</v>
      </c>
      <c r="C1112" t="s">
        <v>148</v>
      </c>
      <c r="D1112" s="1" t="s">
        <v>1335</v>
      </c>
    </row>
    <row r="1113" spans="1:4" hidden="1" x14ac:dyDescent="0.3">
      <c r="A1113">
        <v>1111</v>
      </c>
      <c r="B1113" t="s">
        <v>1336</v>
      </c>
      <c r="C1113" t="s">
        <v>40</v>
      </c>
      <c r="D1113">
        <v>0.26428598748094401</v>
      </c>
    </row>
    <row r="1114" spans="1:4" hidden="1" x14ac:dyDescent="0.3">
      <c r="A1114">
        <v>1112</v>
      </c>
      <c r="B1114" t="s">
        <v>1337</v>
      </c>
      <c r="C1114" t="s">
        <v>42</v>
      </c>
      <c r="D1114">
        <v>0.20012827937013</v>
      </c>
    </row>
    <row r="1115" spans="1:4" hidden="1" x14ac:dyDescent="0.3">
      <c r="A1115">
        <v>1113</v>
      </c>
      <c r="B1115" s="1" t="s">
        <v>1338</v>
      </c>
      <c r="C1115" t="s">
        <v>152</v>
      </c>
      <c r="D1115" s="1" t="s">
        <v>1339</v>
      </c>
    </row>
    <row r="1116" spans="1:4" hidden="1" x14ac:dyDescent="0.3">
      <c r="A1116">
        <v>1114</v>
      </c>
      <c r="B1116" t="s">
        <v>153</v>
      </c>
      <c r="C1116" t="s">
        <v>154</v>
      </c>
      <c r="D1116">
        <v>1</v>
      </c>
    </row>
    <row r="1117" spans="1:4" hidden="1" x14ac:dyDescent="0.3">
      <c r="A1117">
        <v>1115</v>
      </c>
      <c r="B1117" t="s">
        <v>155</v>
      </c>
      <c r="C1117" t="s">
        <v>156</v>
      </c>
      <c r="D1117">
        <v>1</v>
      </c>
    </row>
    <row r="1118" spans="1:4" hidden="1" x14ac:dyDescent="0.3">
      <c r="A1118">
        <v>1116</v>
      </c>
      <c r="B1118" s="1" t="s">
        <v>1340</v>
      </c>
      <c r="C1118" t="s">
        <v>158</v>
      </c>
      <c r="D1118" s="1" t="s">
        <v>1341</v>
      </c>
    </row>
    <row r="1119" spans="1:4" hidden="1" x14ac:dyDescent="0.3">
      <c r="A1119">
        <v>1117</v>
      </c>
      <c r="B1119" t="s">
        <v>1342</v>
      </c>
      <c r="C1119" t="s">
        <v>161</v>
      </c>
      <c r="D1119">
        <v>1.0000106039029999</v>
      </c>
    </row>
    <row r="1120" spans="1:4" hidden="1" x14ac:dyDescent="0.3">
      <c r="A1120">
        <v>1118</v>
      </c>
      <c r="B1120" t="s">
        <v>1343</v>
      </c>
      <c r="C1120" t="s">
        <v>163</v>
      </c>
      <c r="D1120">
        <v>0.99988012725546804</v>
      </c>
    </row>
    <row r="1121" spans="1:4" hidden="1" x14ac:dyDescent="0.3">
      <c r="A1121">
        <v>1119</v>
      </c>
      <c r="B1121" s="1" t="s">
        <v>1344</v>
      </c>
      <c r="C1121" t="s">
        <v>165</v>
      </c>
      <c r="D1121" s="1" t="s">
        <v>1345</v>
      </c>
    </row>
    <row r="1122" spans="1:4" hidden="1" x14ac:dyDescent="0.3">
      <c r="A1122">
        <v>1120</v>
      </c>
      <c r="B1122" s="1" t="s">
        <v>1346</v>
      </c>
      <c r="C1122" t="s">
        <v>55</v>
      </c>
      <c r="D1122" s="1" t="s">
        <v>1347</v>
      </c>
    </row>
    <row r="1123" spans="1:4" hidden="1" x14ac:dyDescent="0.3">
      <c r="A1123">
        <v>1121</v>
      </c>
      <c r="B1123" s="1" t="s">
        <v>1348</v>
      </c>
      <c r="C1123" t="s">
        <v>52</v>
      </c>
      <c r="D1123" s="1" t="s">
        <v>1349</v>
      </c>
    </row>
    <row r="1124" spans="1:4" hidden="1" x14ac:dyDescent="0.3">
      <c r="A1124">
        <v>1122</v>
      </c>
      <c r="B1124" s="1" t="s">
        <v>1350</v>
      </c>
      <c r="C1124" t="s">
        <v>58</v>
      </c>
      <c r="D1124" s="1" t="s">
        <v>1351</v>
      </c>
    </row>
    <row r="1125" spans="1:4" hidden="1" x14ac:dyDescent="0.3">
      <c r="A1125">
        <v>1123</v>
      </c>
      <c r="B1125" t="s">
        <v>1352</v>
      </c>
      <c r="C1125" t="s">
        <v>60</v>
      </c>
      <c r="D1125">
        <v>149973330.28695101</v>
      </c>
    </row>
    <row r="1126" spans="1:4" hidden="1" x14ac:dyDescent="0.3">
      <c r="A1126">
        <v>1124</v>
      </c>
      <c r="B1126" t="s">
        <v>1353</v>
      </c>
      <c r="C1126" t="s">
        <v>62</v>
      </c>
      <c r="D1126">
        <v>80023280.330559194</v>
      </c>
    </row>
    <row r="1127" spans="1:4" hidden="1" x14ac:dyDescent="0.3">
      <c r="A1127">
        <v>1125</v>
      </c>
      <c r="B1127" t="s">
        <v>1354</v>
      </c>
      <c r="C1127" t="s">
        <v>64</v>
      </c>
      <c r="D1127">
        <v>35008573.149011098</v>
      </c>
    </row>
    <row r="1128" spans="1:4" hidden="1" x14ac:dyDescent="0.3">
      <c r="A1128">
        <v>1126</v>
      </c>
      <c r="B1128" s="1" t="s">
        <v>1355</v>
      </c>
      <c r="C1128" t="s">
        <v>66</v>
      </c>
      <c r="D1128" s="1" t="s">
        <v>1356</v>
      </c>
    </row>
    <row r="1129" spans="1:4" hidden="1" x14ac:dyDescent="0.3">
      <c r="A1129">
        <v>1127</v>
      </c>
      <c r="B1129" s="1" t="s">
        <v>1357</v>
      </c>
      <c r="C1129" t="s">
        <v>69</v>
      </c>
      <c r="D1129" s="1" t="s">
        <v>1358</v>
      </c>
    </row>
    <row r="1130" spans="1:4" hidden="1" x14ac:dyDescent="0.3">
      <c r="A1130">
        <v>1128</v>
      </c>
      <c r="B1130" t="s">
        <v>1359</v>
      </c>
      <c r="C1130" t="s">
        <v>72</v>
      </c>
      <c r="D1130">
        <v>1.0001908123957799</v>
      </c>
    </row>
    <row r="1131" spans="1:4" hidden="1" x14ac:dyDescent="0.3">
      <c r="A1131">
        <v>1129</v>
      </c>
      <c r="B1131" t="s">
        <v>73</v>
      </c>
      <c r="C1131" t="s">
        <v>74</v>
      </c>
      <c r="D1131">
        <v>2.7397260273972599E-3</v>
      </c>
    </row>
    <row r="1132" spans="1:4" hidden="1" x14ac:dyDescent="0.3">
      <c r="A1132">
        <v>1130</v>
      </c>
      <c r="B1132" t="s">
        <v>75</v>
      </c>
      <c r="C1132" t="s">
        <v>76</v>
      </c>
      <c r="D1132">
        <v>0</v>
      </c>
    </row>
    <row r="1133" spans="1:4" hidden="1" x14ac:dyDescent="0.3">
      <c r="A1133">
        <v>1131</v>
      </c>
      <c r="B1133" t="s">
        <v>77</v>
      </c>
      <c r="C1133" t="s">
        <v>78</v>
      </c>
      <c r="D1133">
        <v>0</v>
      </c>
    </row>
    <row r="1134" spans="1:4" hidden="1" x14ac:dyDescent="0.3">
      <c r="A1134">
        <v>1132</v>
      </c>
      <c r="B1134" s="1" t="s">
        <v>1360</v>
      </c>
      <c r="C1134" t="s">
        <v>80</v>
      </c>
      <c r="D1134" s="1" t="s">
        <v>1361</v>
      </c>
    </row>
    <row r="1135" spans="1:4" hidden="1" x14ac:dyDescent="0.3">
      <c r="A1135">
        <v>1133</v>
      </c>
      <c r="B1135" t="s">
        <v>1362</v>
      </c>
      <c r="C1135" t="s">
        <v>83</v>
      </c>
      <c r="D1135">
        <v>1.0002193848824901</v>
      </c>
    </row>
    <row r="1136" spans="1:4" hidden="1" x14ac:dyDescent="0.3">
      <c r="A1136">
        <v>1134</v>
      </c>
      <c r="B1136" s="1" t="s">
        <v>1363</v>
      </c>
      <c r="C1136" t="s">
        <v>85</v>
      </c>
      <c r="D1136" s="1" t="s">
        <v>1364</v>
      </c>
    </row>
    <row r="1137" spans="1:4" hidden="1" x14ac:dyDescent="0.3">
      <c r="A1137">
        <v>1135</v>
      </c>
      <c r="B1137" t="s">
        <v>1365</v>
      </c>
      <c r="C1137" t="s">
        <v>88</v>
      </c>
      <c r="D1137">
        <v>99978066.323667496</v>
      </c>
    </row>
    <row r="1138" spans="1:4" hidden="1" x14ac:dyDescent="0.3">
      <c r="A1138">
        <v>1136</v>
      </c>
      <c r="B1138" s="1" t="s">
        <v>1366</v>
      </c>
      <c r="C1138" t="s">
        <v>90</v>
      </c>
      <c r="D1138" s="1" t="s">
        <v>1312</v>
      </c>
    </row>
    <row r="1139" spans="1:4" hidden="1" x14ac:dyDescent="0.3">
      <c r="A1139">
        <v>1137</v>
      </c>
      <c r="B1139" t="s">
        <v>1367</v>
      </c>
      <c r="C1139" t="s">
        <v>93</v>
      </c>
      <c r="D1139">
        <v>80023280.330559194</v>
      </c>
    </row>
    <row r="1140" spans="1:4" hidden="1" x14ac:dyDescent="0.3">
      <c r="A1140">
        <v>1138</v>
      </c>
      <c r="B1140" t="s">
        <v>1368</v>
      </c>
      <c r="C1140" t="s">
        <v>95</v>
      </c>
      <c r="D1140">
        <v>35008573.149011098</v>
      </c>
    </row>
    <row r="1141" spans="1:4" hidden="1" x14ac:dyDescent="0.3">
      <c r="A1141">
        <v>1139</v>
      </c>
      <c r="B1141" t="s">
        <v>1369</v>
      </c>
      <c r="C1141" t="s">
        <v>97</v>
      </c>
      <c r="D1141">
        <v>34941476.807380699</v>
      </c>
    </row>
    <row r="1142" spans="1:4" hidden="1" x14ac:dyDescent="0.3">
      <c r="A1142">
        <v>1140</v>
      </c>
      <c r="B1142" s="1" t="s">
        <v>1370</v>
      </c>
      <c r="C1142" t="s">
        <v>99</v>
      </c>
      <c r="D1142" s="1" t="s">
        <v>1371</v>
      </c>
    </row>
    <row r="1143" spans="1:4" hidden="1" x14ac:dyDescent="0.3">
      <c r="A1143">
        <v>1141</v>
      </c>
      <c r="B1143" t="s">
        <v>1372</v>
      </c>
      <c r="C1143" t="s">
        <v>102</v>
      </c>
      <c r="D1143">
        <v>7.8412646470091395E-3</v>
      </c>
    </row>
    <row r="1144" spans="1:4" hidden="1" x14ac:dyDescent="0.3">
      <c r="A1144">
        <v>1142</v>
      </c>
      <c r="B1144" t="s">
        <v>1373</v>
      </c>
      <c r="C1144" t="s">
        <v>104</v>
      </c>
      <c r="D1144">
        <v>1.47982837548548E-3</v>
      </c>
    </row>
    <row r="1145" spans="1:4" hidden="1" x14ac:dyDescent="0.3">
      <c r="A1145">
        <v>1143</v>
      </c>
      <c r="B1145" t="s">
        <v>1374</v>
      </c>
      <c r="C1145" t="s">
        <v>106</v>
      </c>
      <c r="D1145">
        <v>2.0114567099231401E-2</v>
      </c>
    </row>
    <row r="1146" spans="1:4" hidden="1" x14ac:dyDescent="0.3">
      <c r="A1146">
        <v>1144</v>
      </c>
      <c r="B1146" s="1" t="s">
        <v>1375</v>
      </c>
      <c r="C1146" t="s">
        <v>108</v>
      </c>
      <c r="D1146" s="1" t="s">
        <v>1376</v>
      </c>
    </row>
    <row r="1147" spans="1:4" hidden="1" x14ac:dyDescent="0.3">
      <c r="A1147">
        <v>1145</v>
      </c>
      <c r="B1147" t="s">
        <v>1377</v>
      </c>
      <c r="C1147" t="s">
        <v>196</v>
      </c>
      <c r="D1147">
        <v>149974314.041087</v>
      </c>
    </row>
    <row r="1148" spans="1:4" hidden="1" x14ac:dyDescent="0.3">
      <c r="A1148">
        <v>1146</v>
      </c>
      <c r="B1148" t="s">
        <v>1378</v>
      </c>
      <c r="C1148" t="s">
        <v>198</v>
      </c>
      <c r="D1148">
        <v>-2286.04850140498</v>
      </c>
    </row>
    <row r="1149" spans="1:4" hidden="1" x14ac:dyDescent="0.3">
      <c r="A1149">
        <v>1147</v>
      </c>
      <c r="B1149" t="s">
        <v>1379</v>
      </c>
      <c r="C1149" t="s">
        <v>200</v>
      </c>
      <c r="D1149">
        <v>-1000.09424511476</v>
      </c>
    </row>
    <row r="1150" spans="1:4" hidden="1" x14ac:dyDescent="0.3">
      <c r="A1150">
        <v>1148</v>
      </c>
      <c r="B1150" s="1" t="s">
        <v>1380</v>
      </c>
      <c r="C1150" t="s">
        <v>202</v>
      </c>
      <c r="D1150" s="1" t="s">
        <v>1381</v>
      </c>
    </row>
    <row r="1151" spans="1:4" hidden="1" x14ac:dyDescent="0.3">
      <c r="A1151">
        <v>1149</v>
      </c>
      <c r="B1151" t="s">
        <v>1382</v>
      </c>
      <c r="C1151" t="s">
        <v>205</v>
      </c>
      <c r="D1151">
        <v>80026287.136552095</v>
      </c>
    </row>
    <row r="1152" spans="1:4" hidden="1" x14ac:dyDescent="0.3">
      <c r="A1152">
        <v>1150</v>
      </c>
      <c r="B1152" t="s">
        <v>1383</v>
      </c>
      <c r="C1152" t="s">
        <v>207</v>
      </c>
      <c r="D1152">
        <v>35009681.191794097</v>
      </c>
    </row>
    <row r="1153" spans="1:4" hidden="1" x14ac:dyDescent="0.3">
      <c r="A1153">
        <v>1151</v>
      </c>
      <c r="B1153" t="s">
        <v>1384</v>
      </c>
      <c r="C1153" t="s">
        <v>209</v>
      </c>
      <c r="D1153">
        <v>34942630.034335099</v>
      </c>
    </row>
    <row r="1154" spans="1:4" hidden="1" x14ac:dyDescent="0.3">
      <c r="A1154">
        <v>1152</v>
      </c>
      <c r="B1154" s="1" t="s">
        <v>1385</v>
      </c>
      <c r="C1154" t="s">
        <v>211</v>
      </c>
      <c r="D1154" s="1" t="s">
        <v>1386</v>
      </c>
    </row>
    <row r="1155" spans="1:4" hidden="1" x14ac:dyDescent="0.3">
      <c r="A1155">
        <v>1153</v>
      </c>
      <c r="B1155" t="s">
        <v>1387</v>
      </c>
      <c r="C1155" t="s">
        <v>214</v>
      </c>
      <c r="D1155">
        <v>99980922.400664195</v>
      </c>
    </row>
    <row r="1156" spans="1:4" hidden="1" x14ac:dyDescent="0.3">
      <c r="A1156">
        <v>1154</v>
      </c>
      <c r="B1156" t="s">
        <v>1388</v>
      </c>
      <c r="C1156" t="s">
        <v>216</v>
      </c>
      <c r="D1156">
        <v>-2856.0769967138699</v>
      </c>
    </row>
    <row r="1157" spans="1:4" hidden="1" x14ac:dyDescent="0.3">
      <c r="A1157">
        <v>1155</v>
      </c>
      <c r="B1157" s="1" t="s">
        <v>1389</v>
      </c>
      <c r="C1157" t="s">
        <v>218</v>
      </c>
      <c r="D1157" s="1" t="s">
        <v>1390</v>
      </c>
    </row>
    <row r="1158" spans="1:4" hidden="1" x14ac:dyDescent="0.3">
      <c r="A1158">
        <v>1156</v>
      </c>
      <c r="B1158" t="s">
        <v>1391</v>
      </c>
      <c r="C1158" t="s">
        <v>111</v>
      </c>
      <c r="D1158">
        <v>720.75749153946401</v>
      </c>
    </row>
    <row r="1159" spans="1:4" hidden="1" x14ac:dyDescent="0.3">
      <c r="A1159">
        <v>1157</v>
      </c>
      <c r="B1159" t="s">
        <v>1392</v>
      </c>
      <c r="C1159" t="s">
        <v>113</v>
      </c>
      <c r="D1159">
        <v>107.948537833301</v>
      </c>
    </row>
    <row r="1160" spans="1:4" hidden="1" x14ac:dyDescent="0.3">
      <c r="A1160">
        <v>1158</v>
      </c>
      <c r="B1160" s="1" t="s">
        <v>1393</v>
      </c>
      <c r="C1160" t="s">
        <v>115</v>
      </c>
      <c r="D1160" s="1" t="s">
        <v>1394</v>
      </c>
    </row>
    <row r="1161" spans="1:4" hidden="1" x14ac:dyDescent="0.3">
      <c r="A1161">
        <v>1159</v>
      </c>
      <c r="B1161" t="s">
        <v>1395</v>
      </c>
      <c r="C1161" t="s">
        <v>118</v>
      </c>
      <c r="D1161">
        <v>80026287.136552095</v>
      </c>
    </row>
    <row r="1162" spans="1:4" hidden="1" x14ac:dyDescent="0.3">
      <c r="A1162">
        <v>1160</v>
      </c>
      <c r="B1162" t="s">
        <v>1396</v>
      </c>
      <c r="C1162" t="s">
        <v>120</v>
      </c>
      <c r="D1162">
        <v>35009681.191794097</v>
      </c>
    </row>
    <row r="1163" spans="1:4" hidden="1" x14ac:dyDescent="0.3">
      <c r="A1163">
        <v>1161</v>
      </c>
      <c r="B1163" s="1" t="s">
        <v>1397</v>
      </c>
      <c r="C1163" t="s">
        <v>122</v>
      </c>
      <c r="D1163" s="1" t="s">
        <v>1398</v>
      </c>
    </row>
    <row r="1164" spans="1:4" hidden="1" x14ac:dyDescent="0.3">
      <c r="A1164">
        <v>1162</v>
      </c>
      <c r="B1164" t="s">
        <v>1399</v>
      </c>
      <c r="C1164" t="s">
        <v>125</v>
      </c>
      <c r="D1164">
        <v>0.800240010880507</v>
      </c>
    </row>
    <row r="1165" spans="1:4" hidden="1" x14ac:dyDescent="0.3">
      <c r="A1165">
        <v>1163</v>
      </c>
      <c r="B1165" t="s">
        <v>1400</v>
      </c>
      <c r="C1165" t="s">
        <v>127</v>
      </c>
      <c r="D1165">
        <v>0.35008681097548999</v>
      </c>
    </row>
    <row r="1166" spans="1:4" hidden="1" x14ac:dyDescent="0.3">
      <c r="A1166">
        <v>1164</v>
      </c>
      <c r="B1166" s="1" t="s">
        <v>1401</v>
      </c>
      <c r="C1166" t="s">
        <v>129</v>
      </c>
      <c r="D1166" s="1" t="s">
        <v>1402</v>
      </c>
    </row>
    <row r="1167" spans="1:4" x14ac:dyDescent="0.3">
      <c r="A1167">
        <v>1165</v>
      </c>
      <c r="B1167" s="1" t="s">
        <v>3</v>
      </c>
      <c r="C1167" t="s">
        <v>4</v>
      </c>
      <c r="D1167" t="s">
        <v>5</v>
      </c>
    </row>
    <row r="1168" spans="1:4" hidden="1" x14ac:dyDescent="0.3">
      <c r="A1168">
        <v>1166</v>
      </c>
      <c r="B1168" t="s">
        <v>6</v>
      </c>
      <c r="C1168" t="s">
        <v>7</v>
      </c>
      <c r="D1168">
        <v>1981.95</v>
      </c>
    </row>
    <row r="1169" spans="1:4" hidden="1" x14ac:dyDescent="0.3">
      <c r="A1169">
        <v>1167</v>
      </c>
      <c r="B1169" s="1" t="s">
        <v>131</v>
      </c>
      <c r="C1169" t="s">
        <v>9</v>
      </c>
      <c r="D1169" s="1" t="s">
        <v>132</v>
      </c>
    </row>
    <row r="1170" spans="1:4" hidden="1" x14ac:dyDescent="0.3">
      <c r="A1170">
        <v>1168</v>
      </c>
      <c r="B1170" t="s">
        <v>13</v>
      </c>
      <c r="C1170" t="s">
        <v>14</v>
      </c>
      <c r="D1170">
        <v>91.74609375</v>
      </c>
    </row>
    <row r="1171" spans="1:4" hidden="1" x14ac:dyDescent="0.3">
      <c r="A1171">
        <v>1169</v>
      </c>
      <c r="B1171" t="s">
        <v>15</v>
      </c>
      <c r="C1171" t="s">
        <v>16</v>
      </c>
      <c r="D1171">
        <v>4.1883572307132804</v>
      </c>
    </row>
    <row r="1172" spans="1:4" hidden="1" x14ac:dyDescent="0.3">
      <c r="A1172">
        <v>1170</v>
      </c>
      <c r="B1172" s="1" t="s">
        <v>133</v>
      </c>
      <c r="C1172" t="s">
        <v>134</v>
      </c>
      <c r="D1172" s="1" t="s">
        <v>135</v>
      </c>
    </row>
    <row r="1173" spans="1:4" hidden="1" x14ac:dyDescent="0.3">
      <c r="A1173">
        <v>1171</v>
      </c>
      <c r="B1173" t="s">
        <v>21</v>
      </c>
      <c r="C1173" t="s">
        <v>22</v>
      </c>
      <c r="D1173">
        <v>38.25</v>
      </c>
    </row>
    <row r="1174" spans="1:4" hidden="1" x14ac:dyDescent="0.3">
      <c r="A1174">
        <v>1172</v>
      </c>
      <c r="B1174" t="s">
        <v>1403</v>
      </c>
      <c r="C1174" t="s">
        <v>24</v>
      </c>
      <c r="D1174">
        <v>5.7448188789269201</v>
      </c>
    </row>
    <row r="1175" spans="1:4" hidden="1" x14ac:dyDescent="0.3">
      <c r="A1175">
        <v>1173</v>
      </c>
      <c r="B1175" s="1" t="s">
        <v>1404</v>
      </c>
      <c r="C1175" t="s">
        <v>138</v>
      </c>
      <c r="D1175" s="1" t="s">
        <v>1405</v>
      </c>
    </row>
    <row r="1176" spans="1:4" hidden="1" x14ac:dyDescent="0.3">
      <c r="A1176">
        <v>1174</v>
      </c>
      <c r="B1176" t="s">
        <v>1406</v>
      </c>
      <c r="C1176" t="s">
        <v>35</v>
      </c>
      <c r="D1176">
        <v>0.54216650269282896</v>
      </c>
    </row>
    <row r="1177" spans="1:4" hidden="1" x14ac:dyDescent="0.3">
      <c r="A1177">
        <v>1175</v>
      </c>
      <c r="B1177" t="s">
        <v>1407</v>
      </c>
      <c r="C1177" t="s">
        <v>142</v>
      </c>
      <c r="D1177">
        <v>0.69170905468340804</v>
      </c>
    </row>
    <row r="1178" spans="1:4" hidden="1" x14ac:dyDescent="0.3">
      <c r="A1178">
        <v>1176</v>
      </c>
      <c r="B1178" s="1" t="s">
        <v>1408</v>
      </c>
      <c r="C1178" t="s">
        <v>144</v>
      </c>
      <c r="D1178" s="1" t="s">
        <v>1409</v>
      </c>
    </row>
    <row r="1179" spans="1:4" hidden="1" x14ac:dyDescent="0.3">
      <c r="A1179">
        <v>1177</v>
      </c>
      <c r="B1179" t="s">
        <v>1410</v>
      </c>
      <c r="C1179" t="s">
        <v>30</v>
      </c>
      <c r="D1179">
        <v>0.19146857395209799</v>
      </c>
    </row>
    <row r="1180" spans="1:4" hidden="1" x14ac:dyDescent="0.3">
      <c r="A1180">
        <v>1178</v>
      </c>
      <c r="B1180" t="s">
        <v>1411</v>
      </c>
      <c r="C1180" t="s">
        <v>32</v>
      </c>
      <c r="D1180">
        <v>0.24569347959364701</v>
      </c>
    </row>
    <row r="1181" spans="1:4" hidden="1" x14ac:dyDescent="0.3">
      <c r="A1181">
        <v>1179</v>
      </c>
      <c r="B1181" s="1" t="s">
        <v>1412</v>
      </c>
      <c r="C1181" t="s">
        <v>148</v>
      </c>
      <c r="D1181" s="1" t="s">
        <v>1413</v>
      </c>
    </row>
    <row r="1182" spans="1:4" hidden="1" x14ac:dyDescent="0.3">
      <c r="A1182">
        <v>1180</v>
      </c>
      <c r="B1182" t="s">
        <v>1414</v>
      </c>
      <c r="C1182" t="s">
        <v>40</v>
      </c>
      <c r="D1182">
        <v>0.266364923355072</v>
      </c>
    </row>
    <row r="1183" spans="1:4" hidden="1" x14ac:dyDescent="0.3">
      <c r="A1183">
        <v>1181</v>
      </c>
      <c r="B1183" t="s">
        <v>1415</v>
      </c>
      <c r="C1183" t="s">
        <v>42</v>
      </c>
      <c r="D1183">
        <v>0.200001055166629</v>
      </c>
    </row>
    <row r="1184" spans="1:4" hidden="1" x14ac:dyDescent="0.3">
      <c r="A1184">
        <v>1182</v>
      </c>
      <c r="B1184" s="1" t="s">
        <v>1416</v>
      </c>
      <c r="C1184" t="s">
        <v>152</v>
      </c>
      <c r="D1184" s="1" t="s">
        <v>1417</v>
      </c>
    </row>
    <row r="1185" spans="1:4" hidden="1" x14ac:dyDescent="0.3">
      <c r="A1185">
        <v>1183</v>
      </c>
      <c r="B1185" t="s">
        <v>153</v>
      </c>
      <c r="C1185" t="s">
        <v>154</v>
      </c>
      <c r="D1185">
        <v>1</v>
      </c>
    </row>
    <row r="1186" spans="1:4" hidden="1" x14ac:dyDescent="0.3">
      <c r="A1186">
        <v>1184</v>
      </c>
      <c r="B1186" t="s">
        <v>155</v>
      </c>
      <c r="C1186" t="s">
        <v>156</v>
      </c>
      <c r="D1186">
        <v>1</v>
      </c>
    </row>
    <row r="1187" spans="1:4" hidden="1" x14ac:dyDescent="0.3">
      <c r="A1187">
        <v>1185</v>
      </c>
      <c r="B1187" s="1" t="s">
        <v>1418</v>
      </c>
      <c r="C1187" t="s">
        <v>158</v>
      </c>
      <c r="D1187" s="1" t="s">
        <v>1419</v>
      </c>
    </row>
    <row r="1188" spans="1:4" hidden="1" x14ac:dyDescent="0.3">
      <c r="A1188">
        <v>1186</v>
      </c>
      <c r="B1188" t="s">
        <v>1420</v>
      </c>
      <c r="C1188" t="s">
        <v>161</v>
      </c>
      <c r="D1188">
        <v>1.00007173474343</v>
      </c>
    </row>
    <row r="1189" spans="1:4" hidden="1" x14ac:dyDescent="0.3">
      <c r="A1189">
        <v>1187</v>
      </c>
      <c r="B1189" t="s">
        <v>1421</v>
      </c>
      <c r="C1189" t="s">
        <v>163</v>
      </c>
      <c r="D1189">
        <v>0.99989851134476204</v>
      </c>
    </row>
    <row r="1190" spans="1:4" hidden="1" x14ac:dyDescent="0.3">
      <c r="A1190">
        <v>1188</v>
      </c>
      <c r="B1190" s="1" t="s">
        <v>1422</v>
      </c>
      <c r="C1190" t="s">
        <v>165</v>
      </c>
      <c r="D1190" s="1" t="s">
        <v>1423</v>
      </c>
    </row>
    <row r="1191" spans="1:4" hidden="1" x14ac:dyDescent="0.3">
      <c r="A1191">
        <v>1189</v>
      </c>
      <c r="B1191" s="1" t="s">
        <v>1424</v>
      </c>
      <c r="C1191" t="s">
        <v>55</v>
      </c>
      <c r="D1191" s="1" t="s">
        <v>1425</v>
      </c>
    </row>
    <row r="1192" spans="1:4" hidden="1" x14ac:dyDescent="0.3">
      <c r="A1192">
        <v>1190</v>
      </c>
      <c r="B1192" s="1" t="s">
        <v>1426</v>
      </c>
      <c r="C1192" t="s">
        <v>52</v>
      </c>
      <c r="D1192" s="1" t="s">
        <v>1427</v>
      </c>
    </row>
    <row r="1193" spans="1:4" hidden="1" x14ac:dyDescent="0.3">
      <c r="A1193">
        <v>1191</v>
      </c>
      <c r="B1193" s="1" t="s">
        <v>1428</v>
      </c>
      <c r="C1193" t="s">
        <v>58</v>
      </c>
      <c r="D1193" s="1" t="s">
        <v>1429</v>
      </c>
    </row>
    <row r="1194" spans="1:4" hidden="1" x14ac:dyDescent="0.3">
      <c r="A1194">
        <v>1192</v>
      </c>
      <c r="B1194" t="s">
        <v>1430</v>
      </c>
      <c r="C1194" t="s">
        <v>60</v>
      </c>
      <c r="D1194">
        <v>149973573.85495099</v>
      </c>
    </row>
    <row r="1195" spans="1:4" hidden="1" x14ac:dyDescent="0.3">
      <c r="A1195">
        <v>1193</v>
      </c>
      <c r="B1195" t="s">
        <v>1431</v>
      </c>
      <c r="C1195" t="s">
        <v>62</v>
      </c>
      <c r="D1195">
        <v>80026287.136552095</v>
      </c>
    </row>
    <row r="1196" spans="1:4" hidden="1" x14ac:dyDescent="0.3">
      <c r="A1196">
        <v>1194</v>
      </c>
      <c r="B1196" t="s">
        <v>1432</v>
      </c>
      <c r="C1196" t="s">
        <v>64</v>
      </c>
      <c r="D1196">
        <v>35009681.191794097</v>
      </c>
    </row>
    <row r="1197" spans="1:4" hidden="1" x14ac:dyDescent="0.3">
      <c r="A1197">
        <v>1195</v>
      </c>
      <c r="B1197" s="1" t="s">
        <v>1433</v>
      </c>
      <c r="C1197" t="s">
        <v>66</v>
      </c>
      <c r="D1197" s="1" t="s">
        <v>1434</v>
      </c>
    </row>
    <row r="1198" spans="1:4" hidden="1" x14ac:dyDescent="0.3">
      <c r="A1198">
        <v>1196</v>
      </c>
      <c r="B1198" s="1" t="s">
        <v>1435</v>
      </c>
      <c r="C1198" t="s">
        <v>69</v>
      </c>
      <c r="D1198" s="1" t="s">
        <v>1436</v>
      </c>
    </row>
    <row r="1199" spans="1:4" hidden="1" x14ac:dyDescent="0.3">
      <c r="A1199">
        <v>1197</v>
      </c>
      <c r="B1199" t="s">
        <v>1437</v>
      </c>
      <c r="C1199" t="s">
        <v>72</v>
      </c>
      <c r="D1199">
        <v>1.0002193848824901</v>
      </c>
    </row>
    <row r="1200" spans="1:4" hidden="1" x14ac:dyDescent="0.3">
      <c r="A1200">
        <v>1198</v>
      </c>
      <c r="B1200" t="s">
        <v>73</v>
      </c>
      <c r="C1200" t="s">
        <v>74</v>
      </c>
      <c r="D1200">
        <v>2.7397260273972599E-3</v>
      </c>
    </row>
    <row r="1201" spans="1:4" hidden="1" x14ac:dyDescent="0.3">
      <c r="A1201">
        <v>1199</v>
      </c>
      <c r="B1201" t="s">
        <v>75</v>
      </c>
      <c r="C1201" t="s">
        <v>76</v>
      </c>
      <c r="D1201">
        <v>0</v>
      </c>
    </row>
    <row r="1202" spans="1:4" hidden="1" x14ac:dyDescent="0.3">
      <c r="A1202">
        <v>1200</v>
      </c>
      <c r="B1202" t="s">
        <v>77</v>
      </c>
      <c r="C1202" t="s">
        <v>78</v>
      </c>
      <c r="D1202">
        <v>0</v>
      </c>
    </row>
    <row r="1203" spans="1:4" hidden="1" x14ac:dyDescent="0.3">
      <c r="A1203">
        <v>1201</v>
      </c>
      <c r="B1203" s="1" t="s">
        <v>1438</v>
      </c>
      <c r="C1203" t="s">
        <v>80</v>
      </c>
      <c r="D1203" s="1" t="s">
        <v>1439</v>
      </c>
    </row>
    <row r="1204" spans="1:4" hidden="1" x14ac:dyDescent="0.3">
      <c r="A1204">
        <v>1202</v>
      </c>
      <c r="B1204" t="s">
        <v>1440</v>
      </c>
      <c r="C1204" t="s">
        <v>83</v>
      </c>
      <c r="D1204">
        <v>1.0001995555111001</v>
      </c>
    </row>
    <row r="1205" spans="1:4" hidden="1" x14ac:dyDescent="0.3">
      <c r="A1205">
        <v>1203</v>
      </c>
      <c r="B1205" s="1" t="s">
        <v>1441</v>
      </c>
      <c r="C1205" t="s">
        <v>85</v>
      </c>
      <c r="D1205" s="1" t="s">
        <v>1442</v>
      </c>
    </row>
    <row r="1206" spans="1:4" hidden="1" x14ac:dyDescent="0.3">
      <c r="A1206">
        <v>1204</v>
      </c>
      <c r="B1206" t="s">
        <v>1443</v>
      </c>
      <c r="C1206" t="s">
        <v>88</v>
      </c>
      <c r="D1206">
        <v>99980048.430335</v>
      </c>
    </row>
    <row r="1207" spans="1:4" hidden="1" x14ac:dyDescent="0.3">
      <c r="A1207">
        <v>1205</v>
      </c>
      <c r="B1207" s="1" t="s">
        <v>1444</v>
      </c>
      <c r="C1207" t="s">
        <v>90</v>
      </c>
      <c r="D1207" s="1" t="s">
        <v>1390</v>
      </c>
    </row>
    <row r="1208" spans="1:4" hidden="1" x14ac:dyDescent="0.3">
      <c r="A1208">
        <v>1206</v>
      </c>
      <c r="B1208" t="s">
        <v>1445</v>
      </c>
      <c r="C1208" t="s">
        <v>93</v>
      </c>
      <c r="D1208">
        <v>80026287.136552095</v>
      </c>
    </row>
    <row r="1209" spans="1:4" hidden="1" x14ac:dyDescent="0.3">
      <c r="A1209">
        <v>1207</v>
      </c>
      <c r="B1209" t="s">
        <v>1446</v>
      </c>
      <c r="C1209" t="s">
        <v>95</v>
      </c>
      <c r="D1209">
        <v>35009681.191794097</v>
      </c>
    </row>
    <row r="1210" spans="1:4" hidden="1" x14ac:dyDescent="0.3">
      <c r="A1210">
        <v>1208</v>
      </c>
      <c r="B1210" t="s">
        <v>1447</v>
      </c>
      <c r="C1210" t="s">
        <v>97</v>
      </c>
      <c r="D1210">
        <v>34937605.526605196</v>
      </c>
    </row>
    <row r="1211" spans="1:4" hidden="1" x14ac:dyDescent="0.3">
      <c r="A1211">
        <v>1209</v>
      </c>
      <c r="B1211" s="1" t="s">
        <v>1448</v>
      </c>
      <c r="C1211" t="s">
        <v>99</v>
      </c>
      <c r="D1211" s="1" t="s">
        <v>1449</v>
      </c>
    </row>
    <row r="1212" spans="1:4" hidden="1" x14ac:dyDescent="0.3">
      <c r="A1212">
        <v>1210</v>
      </c>
      <c r="B1212" t="s">
        <v>1450</v>
      </c>
      <c r="C1212" t="s">
        <v>102</v>
      </c>
      <c r="D1212">
        <v>7.85804260290714E-3</v>
      </c>
    </row>
    <row r="1213" spans="1:4" hidden="1" x14ac:dyDescent="0.3">
      <c r="A1213">
        <v>1211</v>
      </c>
      <c r="B1213" t="s">
        <v>1451</v>
      </c>
      <c r="C1213" t="s">
        <v>104</v>
      </c>
      <c r="D1213">
        <v>1.4869986286364901E-3</v>
      </c>
    </row>
    <row r="1214" spans="1:4" hidden="1" x14ac:dyDescent="0.3">
      <c r="A1214">
        <v>1212</v>
      </c>
      <c r="B1214" t="s">
        <v>1452</v>
      </c>
      <c r="C1214" t="s">
        <v>106</v>
      </c>
      <c r="D1214">
        <v>2.01931567614137E-2</v>
      </c>
    </row>
    <row r="1215" spans="1:4" hidden="1" x14ac:dyDescent="0.3">
      <c r="A1215">
        <v>1213</v>
      </c>
      <c r="B1215" s="1" t="s">
        <v>1453</v>
      </c>
      <c r="C1215" t="s">
        <v>108</v>
      </c>
      <c r="D1215" s="1" t="s">
        <v>1454</v>
      </c>
    </row>
    <row r="1216" spans="1:4" hidden="1" x14ac:dyDescent="0.3">
      <c r="A1216">
        <v>1214</v>
      </c>
      <c r="B1216" t="s">
        <v>1455</v>
      </c>
      <c r="C1216" t="s">
        <v>196</v>
      </c>
      <c r="D1216">
        <v>149972891.09699401</v>
      </c>
    </row>
    <row r="1217" spans="1:4" hidden="1" x14ac:dyDescent="0.3">
      <c r="A1217">
        <v>1215</v>
      </c>
      <c r="B1217" t="s">
        <v>1456</v>
      </c>
      <c r="C1217" t="s">
        <v>198</v>
      </c>
      <c r="D1217">
        <v>1586.51242297359</v>
      </c>
    </row>
    <row r="1218" spans="1:4" hidden="1" x14ac:dyDescent="0.3">
      <c r="A1218">
        <v>1216</v>
      </c>
      <c r="B1218" t="s">
        <v>1457</v>
      </c>
      <c r="C1218" t="s">
        <v>200</v>
      </c>
      <c r="D1218">
        <v>694.06613205300596</v>
      </c>
    </row>
    <row r="1219" spans="1:4" hidden="1" x14ac:dyDescent="0.3">
      <c r="A1219">
        <v>1217</v>
      </c>
      <c r="B1219" s="1" t="s">
        <v>1458</v>
      </c>
      <c r="C1219" t="s">
        <v>202</v>
      </c>
      <c r="D1219" s="1" t="s">
        <v>1459</v>
      </c>
    </row>
    <row r="1220" spans="1:4" hidden="1" x14ac:dyDescent="0.3">
      <c r="A1220">
        <v>1218</v>
      </c>
      <c r="B1220" t="s">
        <v>1460</v>
      </c>
      <c r="C1220" t="s">
        <v>205</v>
      </c>
      <c r="D1220">
        <v>80024171.679488495</v>
      </c>
    </row>
    <row r="1221" spans="1:4" hidden="1" x14ac:dyDescent="0.3">
      <c r="A1221">
        <v>1219</v>
      </c>
      <c r="B1221" t="s">
        <v>1461</v>
      </c>
      <c r="C1221" t="s">
        <v>207</v>
      </c>
      <c r="D1221">
        <v>35008907.906454399</v>
      </c>
    </row>
    <row r="1222" spans="1:4" hidden="1" x14ac:dyDescent="0.3">
      <c r="A1222">
        <v>1220</v>
      </c>
      <c r="B1222" t="s">
        <v>1462</v>
      </c>
      <c r="C1222" t="s">
        <v>209</v>
      </c>
      <c r="D1222">
        <v>34936838.295174502</v>
      </c>
    </row>
    <row r="1223" spans="1:4" hidden="1" x14ac:dyDescent="0.3">
      <c r="A1223">
        <v>1221</v>
      </c>
      <c r="B1223" s="1" t="s">
        <v>1463</v>
      </c>
      <c r="C1223" t="s">
        <v>211</v>
      </c>
      <c r="D1223" s="1" t="s">
        <v>1464</v>
      </c>
    </row>
    <row r="1224" spans="1:4" hidden="1" x14ac:dyDescent="0.3">
      <c r="A1224">
        <v>1222</v>
      </c>
      <c r="B1224" t="s">
        <v>1465</v>
      </c>
      <c r="C1224" t="s">
        <v>214</v>
      </c>
      <c r="D1224">
        <v>99978066.323667496</v>
      </c>
    </row>
    <row r="1225" spans="1:4" hidden="1" x14ac:dyDescent="0.3">
      <c r="A1225">
        <v>1223</v>
      </c>
      <c r="B1225" t="s">
        <v>1466</v>
      </c>
      <c r="C1225" t="s">
        <v>216</v>
      </c>
      <c r="D1225">
        <v>1982.10666750371</v>
      </c>
    </row>
    <row r="1226" spans="1:4" hidden="1" x14ac:dyDescent="0.3">
      <c r="A1226">
        <v>1224</v>
      </c>
      <c r="B1226" s="1" t="s">
        <v>1467</v>
      </c>
      <c r="C1226" t="s">
        <v>218</v>
      </c>
      <c r="D1226" s="1" t="s">
        <v>1468</v>
      </c>
    </row>
    <row r="1227" spans="1:4" hidden="1" x14ac:dyDescent="0.3">
      <c r="A1227">
        <v>1225</v>
      </c>
      <c r="B1227" t="s">
        <v>1469</v>
      </c>
      <c r="C1227" t="s">
        <v>111</v>
      </c>
      <c r="D1227">
        <v>-528.94464071353298</v>
      </c>
    </row>
    <row r="1228" spans="1:4" hidden="1" x14ac:dyDescent="0.3">
      <c r="A1228">
        <v>1226</v>
      </c>
      <c r="B1228" t="s">
        <v>1470</v>
      </c>
      <c r="C1228" t="s">
        <v>113</v>
      </c>
      <c r="D1228">
        <v>-79.219207651813804</v>
      </c>
    </row>
    <row r="1229" spans="1:4" hidden="1" x14ac:dyDescent="0.3">
      <c r="A1229">
        <v>1227</v>
      </c>
      <c r="B1229" s="1" t="s">
        <v>1471</v>
      </c>
      <c r="C1229" t="s">
        <v>115</v>
      </c>
      <c r="D1229" s="1" t="s">
        <v>1472</v>
      </c>
    </row>
    <row r="1230" spans="1:4" hidden="1" x14ac:dyDescent="0.3">
      <c r="A1230">
        <v>1228</v>
      </c>
      <c r="B1230" t="s">
        <v>1473</v>
      </c>
      <c r="C1230" t="s">
        <v>118</v>
      </c>
      <c r="D1230">
        <v>80024171.679488495</v>
      </c>
    </row>
    <row r="1231" spans="1:4" hidden="1" x14ac:dyDescent="0.3">
      <c r="A1231">
        <v>1229</v>
      </c>
      <c r="B1231" t="s">
        <v>1474</v>
      </c>
      <c r="C1231" t="s">
        <v>120</v>
      </c>
      <c r="D1231">
        <v>35008907.906454399</v>
      </c>
    </row>
    <row r="1232" spans="1:4" hidden="1" x14ac:dyDescent="0.3">
      <c r="A1232">
        <v>1230</v>
      </c>
      <c r="B1232" s="1" t="s">
        <v>1475</v>
      </c>
      <c r="C1232" t="s">
        <v>122</v>
      </c>
      <c r="D1232" s="1" t="s">
        <v>1476</v>
      </c>
    </row>
    <row r="1233" spans="1:4" hidden="1" x14ac:dyDescent="0.3">
      <c r="A1233">
        <v>1231</v>
      </c>
      <c r="B1233" t="s">
        <v>1477</v>
      </c>
      <c r="C1233" t="s">
        <v>125</v>
      </c>
      <c r="D1233">
        <v>0.800257581919114</v>
      </c>
    </row>
    <row r="1234" spans="1:4" hidden="1" x14ac:dyDescent="0.3">
      <c r="A1234">
        <v>1232</v>
      </c>
      <c r="B1234" t="s">
        <v>1478</v>
      </c>
      <c r="C1234" t="s">
        <v>127</v>
      </c>
      <c r="D1234">
        <v>0.35009601972586402</v>
      </c>
    </row>
    <row r="1235" spans="1:4" hidden="1" x14ac:dyDescent="0.3">
      <c r="A1235">
        <v>1233</v>
      </c>
      <c r="B1235" s="1" t="s">
        <v>1479</v>
      </c>
      <c r="C1235" t="s">
        <v>129</v>
      </c>
      <c r="D1235" s="1" t="s">
        <v>1480</v>
      </c>
    </row>
    <row r="1236" spans="1:4" x14ac:dyDescent="0.3">
      <c r="A1236">
        <v>1234</v>
      </c>
      <c r="B1236" s="1" t="s">
        <v>3</v>
      </c>
      <c r="C1236" t="s">
        <v>4</v>
      </c>
      <c r="D1236" t="s">
        <v>5</v>
      </c>
    </row>
    <row r="1237" spans="1:4" hidden="1" x14ac:dyDescent="0.3">
      <c r="A1237">
        <v>1235</v>
      </c>
      <c r="B1237" t="s">
        <v>6</v>
      </c>
      <c r="C1237" t="s">
        <v>7</v>
      </c>
      <c r="D1237">
        <v>1981.95</v>
      </c>
    </row>
    <row r="1238" spans="1:4" hidden="1" x14ac:dyDescent="0.3">
      <c r="A1238">
        <v>1236</v>
      </c>
      <c r="B1238" s="1" t="s">
        <v>131</v>
      </c>
      <c r="C1238" t="s">
        <v>9</v>
      </c>
      <c r="D1238" s="1" t="s">
        <v>132</v>
      </c>
    </row>
    <row r="1239" spans="1:4" hidden="1" x14ac:dyDescent="0.3">
      <c r="A1239">
        <v>1237</v>
      </c>
      <c r="B1239" t="s">
        <v>13</v>
      </c>
      <c r="C1239" t="s">
        <v>14</v>
      </c>
      <c r="D1239">
        <v>91.74609375</v>
      </c>
    </row>
    <row r="1240" spans="1:4" hidden="1" x14ac:dyDescent="0.3">
      <c r="A1240">
        <v>1238</v>
      </c>
      <c r="B1240" t="s">
        <v>15</v>
      </c>
      <c r="C1240" t="s">
        <v>16</v>
      </c>
      <c r="D1240">
        <v>4.1883572307132804</v>
      </c>
    </row>
    <row r="1241" spans="1:4" hidden="1" x14ac:dyDescent="0.3">
      <c r="A1241">
        <v>1239</v>
      </c>
      <c r="B1241" s="1" t="s">
        <v>133</v>
      </c>
      <c r="C1241" t="s">
        <v>134</v>
      </c>
      <c r="D1241" s="1" t="s">
        <v>135</v>
      </c>
    </row>
    <row r="1242" spans="1:4" hidden="1" x14ac:dyDescent="0.3">
      <c r="A1242">
        <v>1240</v>
      </c>
      <c r="B1242" t="s">
        <v>21</v>
      </c>
      <c r="C1242" t="s">
        <v>22</v>
      </c>
      <c r="D1242">
        <v>38.25</v>
      </c>
    </row>
    <row r="1243" spans="1:4" hidden="1" x14ac:dyDescent="0.3">
      <c r="A1243">
        <v>1241</v>
      </c>
      <c r="B1243" t="s">
        <v>1481</v>
      </c>
      <c r="C1243" t="s">
        <v>24</v>
      </c>
      <c r="D1243">
        <v>5.7378579142326203</v>
      </c>
    </row>
    <row r="1244" spans="1:4" hidden="1" x14ac:dyDescent="0.3">
      <c r="A1244">
        <v>1242</v>
      </c>
      <c r="B1244" s="1" t="s">
        <v>1482</v>
      </c>
      <c r="C1244" t="s">
        <v>138</v>
      </c>
      <c r="D1244" s="1" t="s">
        <v>1483</v>
      </c>
    </row>
    <row r="1245" spans="1:4" hidden="1" x14ac:dyDescent="0.3">
      <c r="A1245">
        <v>1243</v>
      </c>
      <c r="B1245" t="s">
        <v>1484</v>
      </c>
      <c r="C1245" t="s">
        <v>35</v>
      </c>
      <c r="D1245">
        <v>0.54044261353619105</v>
      </c>
    </row>
    <row r="1246" spans="1:4" hidden="1" x14ac:dyDescent="0.3">
      <c r="A1246">
        <v>1244</v>
      </c>
      <c r="B1246" t="s">
        <v>1485</v>
      </c>
      <c r="C1246" t="s">
        <v>142</v>
      </c>
      <c r="D1246">
        <v>0.69265545427752395</v>
      </c>
    </row>
    <row r="1247" spans="1:4" hidden="1" x14ac:dyDescent="0.3">
      <c r="A1247">
        <v>1245</v>
      </c>
      <c r="B1247" s="1" t="s">
        <v>1486</v>
      </c>
      <c r="C1247" t="s">
        <v>144</v>
      </c>
      <c r="D1247" s="1" t="s">
        <v>1487</v>
      </c>
    </row>
    <row r="1248" spans="1:4" hidden="1" x14ac:dyDescent="0.3">
      <c r="A1248">
        <v>1246</v>
      </c>
      <c r="B1248" t="s">
        <v>1488</v>
      </c>
      <c r="C1248" t="s">
        <v>30</v>
      </c>
      <c r="D1248">
        <v>0.190859774631532</v>
      </c>
    </row>
    <row r="1249" spans="1:4" hidden="1" x14ac:dyDescent="0.3">
      <c r="A1249">
        <v>1247</v>
      </c>
      <c r="B1249" t="s">
        <v>1489</v>
      </c>
      <c r="C1249" t="s">
        <v>32</v>
      </c>
      <c r="D1249">
        <v>0.244615199299654</v>
      </c>
    </row>
    <row r="1250" spans="1:4" hidden="1" x14ac:dyDescent="0.3">
      <c r="A1250">
        <v>1248</v>
      </c>
      <c r="B1250" s="1" t="s">
        <v>1490</v>
      </c>
      <c r="C1250" t="s">
        <v>148</v>
      </c>
      <c r="D1250" s="1" t="s">
        <v>1491</v>
      </c>
    </row>
    <row r="1251" spans="1:4" hidden="1" x14ac:dyDescent="0.3">
      <c r="A1251">
        <v>1249</v>
      </c>
      <c r="B1251" t="s">
        <v>1492</v>
      </c>
      <c r="C1251" t="s">
        <v>40</v>
      </c>
      <c r="D1251">
        <v>0.26869761183227497</v>
      </c>
    </row>
    <row r="1252" spans="1:4" hidden="1" x14ac:dyDescent="0.3">
      <c r="A1252">
        <v>1250</v>
      </c>
      <c r="B1252" t="s">
        <v>1493</v>
      </c>
      <c r="C1252" t="s">
        <v>42</v>
      </c>
      <c r="D1252">
        <v>0.199104031992693</v>
      </c>
    </row>
    <row r="1253" spans="1:4" hidden="1" x14ac:dyDescent="0.3">
      <c r="A1253">
        <v>1251</v>
      </c>
      <c r="B1253" s="1" t="s">
        <v>1494</v>
      </c>
      <c r="C1253" t="s">
        <v>152</v>
      </c>
      <c r="D1253" s="1" t="s">
        <v>1495</v>
      </c>
    </row>
    <row r="1254" spans="1:4" hidden="1" x14ac:dyDescent="0.3">
      <c r="A1254">
        <v>1252</v>
      </c>
      <c r="B1254" t="s">
        <v>153</v>
      </c>
      <c r="C1254" t="s">
        <v>154</v>
      </c>
      <c r="D1254">
        <v>1</v>
      </c>
    </row>
    <row r="1255" spans="1:4" hidden="1" x14ac:dyDescent="0.3">
      <c r="A1255">
        <v>1253</v>
      </c>
      <c r="B1255" t="s">
        <v>155</v>
      </c>
      <c r="C1255" t="s">
        <v>156</v>
      </c>
      <c r="D1255">
        <v>1</v>
      </c>
    </row>
    <row r="1256" spans="1:4" hidden="1" x14ac:dyDescent="0.3">
      <c r="A1256">
        <v>1254</v>
      </c>
      <c r="B1256" s="1" t="s">
        <v>1496</v>
      </c>
      <c r="C1256" t="s">
        <v>158</v>
      </c>
      <c r="D1256" s="1" t="s">
        <v>1497</v>
      </c>
    </row>
    <row r="1257" spans="1:4" hidden="1" x14ac:dyDescent="0.3">
      <c r="A1257">
        <v>1255</v>
      </c>
      <c r="B1257" t="s">
        <v>1498</v>
      </c>
      <c r="C1257" t="s">
        <v>161</v>
      </c>
      <c r="D1257">
        <v>1.00055943401821</v>
      </c>
    </row>
    <row r="1258" spans="1:4" hidden="1" x14ac:dyDescent="0.3">
      <c r="A1258">
        <v>1256</v>
      </c>
      <c r="B1258" t="s">
        <v>1499</v>
      </c>
      <c r="C1258" t="s">
        <v>163</v>
      </c>
      <c r="D1258">
        <v>0.99913439356337896</v>
      </c>
    </row>
    <row r="1259" spans="1:4" hidden="1" x14ac:dyDescent="0.3">
      <c r="A1259">
        <v>1257</v>
      </c>
      <c r="B1259" s="1" t="s">
        <v>1500</v>
      </c>
      <c r="C1259" t="s">
        <v>165</v>
      </c>
      <c r="D1259" s="1" t="s">
        <v>1501</v>
      </c>
    </row>
    <row r="1260" spans="1:4" hidden="1" x14ac:dyDescent="0.3">
      <c r="A1260">
        <v>1258</v>
      </c>
      <c r="B1260" s="1" t="s">
        <v>1502</v>
      </c>
      <c r="C1260" t="s">
        <v>55</v>
      </c>
      <c r="D1260" s="1" t="s">
        <v>1503</v>
      </c>
    </row>
    <row r="1261" spans="1:4" hidden="1" x14ac:dyDescent="0.3">
      <c r="A1261">
        <v>1259</v>
      </c>
      <c r="B1261" s="1" t="s">
        <v>1504</v>
      </c>
      <c r="C1261" t="s">
        <v>52</v>
      </c>
      <c r="D1261" s="1" t="s">
        <v>1505</v>
      </c>
    </row>
    <row r="1262" spans="1:4" hidden="1" x14ac:dyDescent="0.3">
      <c r="A1262">
        <v>1260</v>
      </c>
      <c r="B1262" s="1" t="s">
        <v>1506</v>
      </c>
      <c r="C1262" t="s">
        <v>58</v>
      </c>
      <c r="D1262" s="1" t="s">
        <v>1507</v>
      </c>
    </row>
    <row r="1263" spans="1:4" hidden="1" x14ac:dyDescent="0.3">
      <c r="A1263">
        <v>1261</v>
      </c>
      <c r="B1263" t="s">
        <v>1508</v>
      </c>
      <c r="C1263" t="s">
        <v>60</v>
      </c>
      <c r="D1263">
        <v>149964390.091616</v>
      </c>
    </row>
    <row r="1264" spans="1:4" hidden="1" x14ac:dyDescent="0.3">
      <c r="A1264">
        <v>1262</v>
      </c>
      <c r="B1264" t="s">
        <v>1509</v>
      </c>
      <c r="C1264" t="s">
        <v>62</v>
      </c>
      <c r="D1264">
        <v>80024171.679488495</v>
      </c>
    </row>
    <row r="1265" spans="1:4" hidden="1" x14ac:dyDescent="0.3">
      <c r="A1265">
        <v>1263</v>
      </c>
      <c r="B1265" t="s">
        <v>1510</v>
      </c>
      <c r="C1265" t="s">
        <v>64</v>
      </c>
      <c r="D1265">
        <v>35008907.906454399</v>
      </c>
    </row>
    <row r="1266" spans="1:4" hidden="1" x14ac:dyDescent="0.3">
      <c r="A1266">
        <v>1264</v>
      </c>
      <c r="B1266" s="1" t="s">
        <v>1511</v>
      </c>
      <c r="C1266" t="s">
        <v>66</v>
      </c>
      <c r="D1266" s="1" t="s">
        <v>1512</v>
      </c>
    </row>
    <row r="1267" spans="1:4" hidden="1" x14ac:dyDescent="0.3">
      <c r="A1267">
        <v>1265</v>
      </c>
      <c r="B1267" s="1" t="s">
        <v>1513</v>
      </c>
      <c r="C1267" t="s">
        <v>69</v>
      </c>
      <c r="D1267" s="1" t="s">
        <v>1514</v>
      </c>
    </row>
    <row r="1268" spans="1:4" hidden="1" x14ac:dyDescent="0.3">
      <c r="A1268">
        <v>1266</v>
      </c>
      <c r="B1268" t="s">
        <v>1515</v>
      </c>
      <c r="C1268" t="s">
        <v>72</v>
      </c>
      <c r="D1268">
        <v>1.0001995555111001</v>
      </c>
    </row>
    <row r="1269" spans="1:4" hidden="1" x14ac:dyDescent="0.3">
      <c r="A1269">
        <v>1267</v>
      </c>
      <c r="B1269" t="s">
        <v>73</v>
      </c>
      <c r="C1269" t="s">
        <v>74</v>
      </c>
      <c r="D1269">
        <v>2.7397260273972599E-3</v>
      </c>
    </row>
    <row r="1270" spans="1:4" hidden="1" x14ac:dyDescent="0.3">
      <c r="A1270">
        <v>1268</v>
      </c>
      <c r="B1270" t="s">
        <v>75</v>
      </c>
      <c r="C1270" t="s">
        <v>76</v>
      </c>
      <c r="D1270">
        <v>0</v>
      </c>
    </row>
    <row r="1271" spans="1:4" hidden="1" x14ac:dyDescent="0.3">
      <c r="A1271">
        <v>1269</v>
      </c>
      <c r="B1271" t="s">
        <v>77</v>
      </c>
      <c r="C1271" t="s">
        <v>78</v>
      </c>
      <c r="D1271">
        <v>0</v>
      </c>
    </row>
    <row r="1272" spans="1:4" hidden="1" x14ac:dyDescent="0.3">
      <c r="A1272">
        <v>1270</v>
      </c>
      <c r="B1272" s="1" t="s">
        <v>1516</v>
      </c>
      <c r="C1272" t="s">
        <v>80</v>
      </c>
      <c r="D1272" s="1" t="s">
        <v>1517</v>
      </c>
    </row>
    <row r="1273" spans="1:4" hidden="1" x14ac:dyDescent="0.3">
      <c r="A1273">
        <v>1271</v>
      </c>
      <c r="B1273" t="s">
        <v>1518</v>
      </c>
      <c r="C1273" t="s">
        <v>83</v>
      </c>
      <c r="D1273">
        <v>1.0002140146418701</v>
      </c>
    </row>
    <row r="1274" spans="1:4" hidden="1" x14ac:dyDescent="0.3">
      <c r="A1274">
        <v>1272</v>
      </c>
      <c r="B1274" s="1" t="s">
        <v>1519</v>
      </c>
      <c r="C1274" t="s">
        <v>85</v>
      </c>
      <c r="D1274" s="1" t="s">
        <v>1520</v>
      </c>
    </row>
    <row r="1275" spans="1:4" hidden="1" x14ac:dyDescent="0.3">
      <c r="A1275">
        <v>1273</v>
      </c>
      <c r="B1275" t="s">
        <v>1521</v>
      </c>
      <c r="C1275" t="s">
        <v>88</v>
      </c>
      <c r="D1275">
        <v>99978603.115059599</v>
      </c>
    </row>
    <row r="1276" spans="1:4" hidden="1" x14ac:dyDescent="0.3">
      <c r="A1276">
        <v>1274</v>
      </c>
      <c r="B1276" s="1" t="s">
        <v>1522</v>
      </c>
      <c r="C1276" t="s">
        <v>90</v>
      </c>
      <c r="D1276" s="1" t="s">
        <v>1468</v>
      </c>
    </row>
    <row r="1277" spans="1:4" hidden="1" x14ac:dyDescent="0.3">
      <c r="A1277">
        <v>1275</v>
      </c>
      <c r="B1277" t="s">
        <v>1523</v>
      </c>
      <c r="C1277" t="s">
        <v>93</v>
      </c>
      <c r="D1277">
        <v>80024171.679488495</v>
      </c>
    </row>
    <row r="1278" spans="1:4" hidden="1" x14ac:dyDescent="0.3">
      <c r="A1278">
        <v>1276</v>
      </c>
      <c r="B1278" t="s">
        <v>1524</v>
      </c>
      <c r="C1278" t="s">
        <v>95</v>
      </c>
      <c r="D1278">
        <v>35008907.906454399</v>
      </c>
    </row>
    <row r="1279" spans="1:4" hidden="1" x14ac:dyDescent="0.3">
      <c r="A1279">
        <v>1277</v>
      </c>
      <c r="B1279" t="s">
        <v>1525</v>
      </c>
      <c r="C1279" t="s">
        <v>97</v>
      </c>
      <c r="D1279">
        <v>34931310.505673401</v>
      </c>
    </row>
    <row r="1280" spans="1:4" hidden="1" x14ac:dyDescent="0.3">
      <c r="A1280">
        <v>1278</v>
      </c>
      <c r="B1280" s="1" t="s">
        <v>1526</v>
      </c>
      <c r="C1280" t="s">
        <v>99</v>
      </c>
      <c r="D1280" s="1" t="s">
        <v>1527</v>
      </c>
    </row>
    <row r="1281" spans="1:4" hidden="1" x14ac:dyDescent="0.3">
      <c r="A1281">
        <v>1279</v>
      </c>
      <c r="B1281" t="s">
        <v>1528</v>
      </c>
      <c r="C1281" t="s">
        <v>102</v>
      </c>
      <c r="D1281">
        <v>7.8768791202921806E-3</v>
      </c>
    </row>
    <row r="1282" spans="1:4" hidden="1" x14ac:dyDescent="0.3">
      <c r="A1282">
        <v>1280</v>
      </c>
      <c r="B1282" t="s">
        <v>1529</v>
      </c>
      <c r="C1282" t="s">
        <v>104</v>
      </c>
      <c r="D1282">
        <v>1.4889491956773999E-3</v>
      </c>
    </row>
    <row r="1283" spans="1:4" hidden="1" x14ac:dyDescent="0.3">
      <c r="A1283">
        <v>1281</v>
      </c>
      <c r="B1283" t="s">
        <v>1530</v>
      </c>
      <c r="C1283" t="s">
        <v>106</v>
      </c>
      <c r="D1283">
        <v>2.0279610124568401E-2</v>
      </c>
    </row>
    <row r="1284" spans="1:4" hidden="1" x14ac:dyDescent="0.3">
      <c r="A1284">
        <v>1282</v>
      </c>
      <c r="B1284" s="1" t="s">
        <v>1531</v>
      </c>
      <c r="C1284" t="s">
        <v>108</v>
      </c>
      <c r="D1284" s="1" t="s">
        <v>1532</v>
      </c>
    </row>
    <row r="1285" spans="1:4" hidden="1" x14ac:dyDescent="0.3">
      <c r="A1285">
        <v>1283</v>
      </c>
      <c r="B1285" t="s">
        <v>1533</v>
      </c>
      <c r="C1285" t="s">
        <v>196</v>
      </c>
      <c r="D1285">
        <v>149964888.00874799</v>
      </c>
    </row>
    <row r="1286" spans="1:4" hidden="1" x14ac:dyDescent="0.3">
      <c r="A1286">
        <v>1284</v>
      </c>
      <c r="B1286" t="s">
        <v>1534</v>
      </c>
      <c r="C1286" t="s">
        <v>198</v>
      </c>
      <c r="D1286">
        <v>-1156.85438002567</v>
      </c>
    </row>
    <row r="1287" spans="1:4" hidden="1" x14ac:dyDescent="0.3">
      <c r="A1287">
        <v>1285</v>
      </c>
      <c r="B1287" t="s">
        <v>1535</v>
      </c>
      <c r="C1287" t="s">
        <v>200</v>
      </c>
      <c r="D1287">
        <v>-506.09817310282602</v>
      </c>
    </row>
    <row r="1288" spans="1:4" hidden="1" x14ac:dyDescent="0.3">
      <c r="A1288">
        <v>1286</v>
      </c>
      <c r="B1288" s="1" t="s">
        <v>1536</v>
      </c>
      <c r="C1288" t="s">
        <v>202</v>
      </c>
      <c r="D1288" s="1" t="s">
        <v>1537</v>
      </c>
    </row>
    <row r="1289" spans="1:4" hidden="1" x14ac:dyDescent="0.3">
      <c r="A1289">
        <v>1287</v>
      </c>
      <c r="B1289" t="s">
        <v>1538</v>
      </c>
      <c r="C1289" t="s">
        <v>205</v>
      </c>
      <c r="D1289">
        <v>80025693.295268193</v>
      </c>
    </row>
    <row r="1290" spans="1:4" hidden="1" x14ac:dyDescent="0.3">
      <c r="A1290">
        <v>1288</v>
      </c>
      <c r="B1290" t="s">
        <v>1539</v>
      </c>
      <c r="C1290" t="s">
        <v>207</v>
      </c>
      <c r="D1290">
        <v>35009468.674115703</v>
      </c>
    </row>
    <row r="1291" spans="1:4" hidden="1" x14ac:dyDescent="0.3">
      <c r="A1291">
        <v>1289</v>
      </c>
      <c r="B1291" t="s">
        <v>1540</v>
      </c>
      <c r="C1291" t="s">
        <v>209</v>
      </c>
      <c r="D1291">
        <v>34931893.968667798</v>
      </c>
    </row>
    <row r="1292" spans="1:4" hidden="1" x14ac:dyDescent="0.3">
      <c r="A1292">
        <v>1290</v>
      </c>
      <c r="B1292" s="1" t="s">
        <v>1541</v>
      </c>
      <c r="C1292" t="s">
        <v>211</v>
      </c>
      <c r="D1292" s="1" t="s">
        <v>1542</v>
      </c>
    </row>
    <row r="1293" spans="1:4" hidden="1" x14ac:dyDescent="0.3">
      <c r="A1293">
        <v>1291</v>
      </c>
      <c r="B1293" t="s">
        <v>1543</v>
      </c>
      <c r="C1293" t="s">
        <v>214</v>
      </c>
      <c r="D1293">
        <v>99980048.430335</v>
      </c>
    </row>
    <row r="1294" spans="1:4" hidden="1" x14ac:dyDescent="0.3">
      <c r="A1294">
        <v>1292</v>
      </c>
      <c r="B1294" t="s">
        <v>1544</v>
      </c>
      <c r="C1294" t="s">
        <v>216</v>
      </c>
      <c r="D1294">
        <v>-1445.3152753710699</v>
      </c>
    </row>
    <row r="1295" spans="1:4" hidden="1" x14ac:dyDescent="0.3">
      <c r="A1295">
        <v>1293</v>
      </c>
      <c r="B1295" s="1" t="s">
        <v>1545</v>
      </c>
      <c r="C1295" t="s">
        <v>218</v>
      </c>
      <c r="D1295" s="1" t="s">
        <v>1546</v>
      </c>
    </row>
    <row r="1296" spans="1:4" hidden="1" x14ac:dyDescent="0.3">
      <c r="A1296">
        <v>1294</v>
      </c>
      <c r="B1296" t="s">
        <v>1547</v>
      </c>
      <c r="C1296" t="s">
        <v>111</v>
      </c>
      <c r="D1296">
        <v>364.76139970609898</v>
      </c>
    </row>
    <row r="1297" spans="1:4" hidden="1" x14ac:dyDescent="0.3">
      <c r="A1297">
        <v>1295</v>
      </c>
      <c r="B1297" t="s">
        <v>1548</v>
      </c>
      <c r="C1297" t="s">
        <v>113</v>
      </c>
      <c r="D1297">
        <v>54.669488244145803</v>
      </c>
    </row>
    <row r="1298" spans="1:4" hidden="1" x14ac:dyDescent="0.3">
      <c r="A1298">
        <v>1296</v>
      </c>
      <c r="B1298" s="1" t="s">
        <v>1549</v>
      </c>
      <c r="C1298" t="s">
        <v>115</v>
      </c>
      <c r="D1298" s="1" t="s">
        <v>1550</v>
      </c>
    </row>
    <row r="1299" spans="1:4" hidden="1" x14ac:dyDescent="0.3">
      <c r="A1299">
        <v>1297</v>
      </c>
      <c r="B1299" t="s">
        <v>1551</v>
      </c>
      <c r="C1299" t="s">
        <v>118</v>
      </c>
      <c r="D1299">
        <v>80025693.295268193</v>
      </c>
    </row>
    <row r="1300" spans="1:4" hidden="1" x14ac:dyDescent="0.3">
      <c r="A1300">
        <v>1298</v>
      </c>
      <c r="B1300" t="s">
        <v>1552</v>
      </c>
      <c r="C1300" t="s">
        <v>120</v>
      </c>
      <c r="D1300">
        <v>35009468.674115703</v>
      </c>
    </row>
    <row r="1301" spans="1:4" hidden="1" x14ac:dyDescent="0.3">
      <c r="A1301">
        <v>1299</v>
      </c>
      <c r="B1301" s="1" t="s">
        <v>1553</v>
      </c>
      <c r="C1301" t="s">
        <v>122</v>
      </c>
      <c r="D1301" s="1" t="s">
        <v>1554</v>
      </c>
    </row>
    <row r="1302" spans="1:4" hidden="1" x14ac:dyDescent="0.3">
      <c r="A1302">
        <v>1300</v>
      </c>
      <c r="B1302" t="s">
        <v>1555</v>
      </c>
      <c r="C1302" t="s">
        <v>125</v>
      </c>
      <c r="D1302">
        <v>0.80024536440888105</v>
      </c>
    </row>
    <row r="1303" spans="1:4" hidden="1" x14ac:dyDescent="0.3">
      <c r="A1303">
        <v>1301</v>
      </c>
      <c r="B1303" t="s">
        <v>1556</v>
      </c>
      <c r="C1303" t="s">
        <v>127</v>
      </c>
      <c r="D1303">
        <v>0.35008962575942598</v>
      </c>
    </row>
    <row r="1304" spans="1:4" hidden="1" x14ac:dyDescent="0.3">
      <c r="A1304">
        <v>1302</v>
      </c>
      <c r="B1304" s="1" t="s">
        <v>1557</v>
      </c>
      <c r="C1304" t="s">
        <v>129</v>
      </c>
      <c r="D1304" s="1" t="s">
        <v>1558</v>
      </c>
    </row>
    <row r="1305" spans="1:4" x14ac:dyDescent="0.3">
      <c r="A1305">
        <v>1303</v>
      </c>
      <c r="B1305" s="1" t="s">
        <v>3</v>
      </c>
      <c r="C1305" t="s">
        <v>4</v>
      </c>
      <c r="D1305" t="s">
        <v>5</v>
      </c>
    </row>
    <row r="1306" spans="1:4" hidden="1" x14ac:dyDescent="0.3">
      <c r="A1306">
        <v>1304</v>
      </c>
      <c r="B1306" t="s">
        <v>6</v>
      </c>
      <c r="C1306" t="s">
        <v>7</v>
      </c>
      <c r="D1306">
        <v>1981.95</v>
      </c>
    </row>
    <row r="1307" spans="1:4" hidden="1" x14ac:dyDescent="0.3">
      <c r="A1307">
        <v>1305</v>
      </c>
      <c r="B1307" s="1" t="s">
        <v>131</v>
      </c>
      <c r="C1307" t="s">
        <v>9</v>
      </c>
      <c r="D1307" s="1" t="s">
        <v>132</v>
      </c>
    </row>
    <row r="1308" spans="1:4" hidden="1" x14ac:dyDescent="0.3">
      <c r="A1308">
        <v>1306</v>
      </c>
      <c r="B1308" t="s">
        <v>13</v>
      </c>
      <c r="C1308" t="s">
        <v>14</v>
      </c>
      <c r="D1308">
        <v>91.74609375</v>
      </c>
    </row>
    <row r="1309" spans="1:4" hidden="1" x14ac:dyDescent="0.3">
      <c r="A1309">
        <v>1307</v>
      </c>
      <c r="B1309" t="s">
        <v>15</v>
      </c>
      <c r="C1309" t="s">
        <v>16</v>
      </c>
      <c r="D1309">
        <v>4.1883572307132804</v>
      </c>
    </row>
    <row r="1310" spans="1:4" hidden="1" x14ac:dyDescent="0.3">
      <c r="A1310">
        <v>1308</v>
      </c>
      <c r="B1310" s="1" t="s">
        <v>133</v>
      </c>
      <c r="C1310" t="s">
        <v>134</v>
      </c>
      <c r="D1310" s="1" t="s">
        <v>135</v>
      </c>
    </row>
    <row r="1311" spans="1:4" hidden="1" x14ac:dyDescent="0.3">
      <c r="A1311">
        <v>1309</v>
      </c>
      <c r="B1311" t="s">
        <v>21</v>
      </c>
      <c r="C1311" t="s">
        <v>22</v>
      </c>
      <c r="D1311">
        <v>38.25</v>
      </c>
    </row>
    <row r="1312" spans="1:4" hidden="1" x14ac:dyDescent="0.3">
      <c r="A1312">
        <v>1310</v>
      </c>
      <c r="B1312" t="s">
        <v>1559</v>
      </c>
      <c r="C1312" t="s">
        <v>24</v>
      </c>
      <c r="D1312">
        <v>5.7363718240057997</v>
      </c>
    </row>
    <row r="1313" spans="1:4" hidden="1" x14ac:dyDescent="0.3">
      <c r="A1313">
        <v>1311</v>
      </c>
      <c r="B1313" s="1" t="s">
        <v>1560</v>
      </c>
      <c r="C1313" t="s">
        <v>138</v>
      </c>
      <c r="D1313" s="1" t="s">
        <v>1561</v>
      </c>
    </row>
    <row r="1314" spans="1:4" hidden="1" x14ac:dyDescent="0.3">
      <c r="A1314">
        <v>1312</v>
      </c>
      <c r="B1314" t="s">
        <v>1562</v>
      </c>
      <c r="C1314" t="s">
        <v>35</v>
      </c>
      <c r="D1314">
        <v>0.54421134068305299</v>
      </c>
    </row>
    <row r="1315" spans="1:4" hidden="1" x14ac:dyDescent="0.3">
      <c r="A1315">
        <v>1313</v>
      </c>
      <c r="B1315" t="s">
        <v>1563</v>
      </c>
      <c r="C1315" t="s">
        <v>142</v>
      </c>
      <c r="D1315">
        <v>0.69307528638347005</v>
      </c>
    </row>
    <row r="1316" spans="1:4" hidden="1" x14ac:dyDescent="0.3">
      <c r="A1316">
        <v>1314</v>
      </c>
      <c r="B1316" s="1" t="s">
        <v>1564</v>
      </c>
      <c r="C1316" t="s">
        <v>144</v>
      </c>
      <c r="D1316" s="1" t="s">
        <v>1565</v>
      </c>
    </row>
    <row r="1317" spans="1:4" hidden="1" x14ac:dyDescent="0.3">
      <c r="A1317">
        <v>1315</v>
      </c>
      <c r="B1317" t="s">
        <v>1566</v>
      </c>
      <c r="C1317" t="s">
        <v>30</v>
      </c>
      <c r="D1317">
        <v>0.19219071781750999</v>
      </c>
    </row>
    <row r="1318" spans="1:4" hidden="1" x14ac:dyDescent="0.3">
      <c r="A1318">
        <v>1316</v>
      </c>
      <c r="B1318" t="s">
        <v>1567</v>
      </c>
      <c r="C1318" t="s">
        <v>32</v>
      </c>
      <c r="D1318">
        <v>0.24389945317016601</v>
      </c>
    </row>
    <row r="1319" spans="1:4" hidden="1" x14ac:dyDescent="0.3">
      <c r="A1319">
        <v>1317</v>
      </c>
      <c r="B1319" s="1" t="s">
        <v>1568</v>
      </c>
      <c r="C1319" t="s">
        <v>148</v>
      </c>
      <c r="D1319" s="1" t="s">
        <v>1569</v>
      </c>
    </row>
    <row r="1320" spans="1:4" hidden="1" x14ac:dyDescent="0.3">
      <c r="A1320">
        <v>1318</v>
      </c>
      <c r="B1320" t="s">
        <v>1570</v>
      </c>
      <c r="C1320" t="s">
        <v>40</v>
      </c>
      <c r="D1320">
        <v>0.26359794149943599</v>
      </c>
    </row>
    <row r="1321" spans="1:4" hidden="1" x14ac:dyDescent="0.3">
      <c r="A1321">
        <v>1319</v>
      </c>
      <c r="B1321" t="s">
        <v>1571</v>
      </c>
      <c r="C1321" t="s">
        <v>42</v>
      </c>
      <c r="D1321">
        <v>0.19894524154992799</v>
      </c>
    </row>
    <row r="1322" spans="1:4" hidden="1" x14ac:dyDescent="0.3">
      <c r="A1322">
        <v>1320</v>
      </c>
      <c r="B1322" s="1" t="s">
        <v>1572</v>
      </c>
      <c r="C1322" t="s">
        <v>152</v>
      </c>
      <c r="D1322" s="1" t="s">
        <v>1573</v>
      </c>
    </row>
    <row r="1323" spans="1:4" hidden="1" x14ac:dyDescent="0.3">
      <c r="A1323">
        <v>1321</v>
      </c>
      <c r="B1323" t="s">
        <v>153</v>
      </c>
      <c r="C1323" t="s">
        <v>154</v>
      </c>
      <c r="D1323">
        <v>1</v>
      </c>
    </row>
    <row r="1324" spans="1:4" hidden="1" x14ac:dyDescent="0.3">
      <c r="A1324">
        <v>1322</v>
      </c>
      <c r="B1324" t="s">
        <v>155</v>
      </c>
      <c r="C1324" t="s">
        <v>156</v>
      </c>
      <c r="D1324">
        <v>1</v>
      </c>
    </row>
    <row r="1325" spans="1:4" hidden="1" x14ac:dyDescent="0.3">
      <c r="A1325">
        <v>1323</v>
      </c>
      <c r="B1325" s="1" t="s">
        <v>1574</v>
      </c>
      <c r="C1325" t="s">
        <v>158</v>
      </c>
      <c r="D1325" s="1" t="s">
        <v>1575</v>
      </c>
    </row>
    <row r="1326" spans="1:4" hidden="1" x14ac:dyDescent="0.3">
      <c r="A1326">
        <v>1324</v>
      </c>
      <c r="B1326" t="s">
        <v>1576</v>
      </c>
      <c r="C1326" t="s">
        <v>161</v>
      </c>
      <c r="D1326">
        <v>1.00024803163862</v>
      </c>
    </row>
    <row r="1327" spans="1:4" hidden="1" x14ac:dyDescent="0.3">
      <c r="A1327">
        <v>1325</v>
      </c>
      <c r="B1327" t="s">
        <v>1577</v>
      </c>
      <c r="C1327" t="s">
        <v>163</v>
      </c>
      <c r="D1327">
        <v>0.99942492576830899</v>
      </c>
    </row>
    <row r="1328" spans="1:4" hidden="1" x14ac:dyDescent="0.3">
      <c r="A1328">
        <v>1326</v>
      </c>
      <c r="B1328" s="1" t="s">
        <v>1578</v>
      </c>
      <c r="C1328" t="s">
        <v>165</v>
      </c>
      <c r="D1328" s="1" t="s">
        <v>1579</v>
      </c>
    </row>
    <row r="1329" spans="1:4" hidden="1" x14ac:dyDescent="0.3">
      <c r="A1329">
        <v>1327</v>
      </c>
      <c r="B1329" s="1" t="s">
        <v>1580</v>
      </c>
      <c r="C1329" t="s">
        <v>55</v>
      </c>
      <c r="D1329" s="1" t="s">
        <v>1581</v>
      </c>
    </row>
    <row r="1330" spans="1:4" hidden="1" x14ac:dyDescent="0.3">
      <c r="A1330">
        <v>1328</v>
      </c>
      <c r="B1330" s="1" t="s">
        <v>1582</v>
      </c>
      <c r="C1330" t="s">
        <v>52</v>
      </c>
      <c r="D1330" s="1" t="s">
        <v>1583</v>
      </c>
    </row>
    <row r="1331" spans="1:4" hidden="1" x14ac:dyDescent="0.3">
      <c r="A1331">
        <v>1329</v>
      </c>
      <c r="B1331" s="1" t="s">
        <v>1584</v>
      </c>
      <c r="C1331" t="s">
        <v>58</v>
      </c>
      <c r="D1331" s="1" t="s">
        <v>1585</v>
      </c>
    </row>
    <row r="1332" spans="1:4" hidden="1" x14ac:dyDescent="0.3">
      <c r="A1332">
        <v>1330</v>
      </c>
      <c r="B1332" t="s">
        <v>1586</v>
      </c>
      <c r="C1332" t="s">
        <v>60</v>
      </c>
      <c r="D1332">
        <v>149965875.79542401</v>
      </c>
    </row>
    <row r="1333" spans="1:4" hidden="1" x14ac:dyDescent="0.3">
      <c r="A1333">
        <v>1331</v>
      </c>
      <c r="B1333" t="s">
        <v>1587</v>
      </c>
      <c r="C1333" t="s">
        <v>62</v>
      </c>
      <c r="D1333">
        <v>80025693.295268193</v>
      </c>
    </row>
    <row r="1334" spans="1:4" hidden="1" x14ac:dyDescent="0.3">
      <c r="A1334">
        <v>1332</v>
      </c>
      <c r="B1334" t="s">
        <v>1588</v>
      </c>
      <c r="C1334" t="s">
        <v>64</v>
      </c>
      <c r="D1334">
        <v>35009468.674115703</v>
      </c>
    </row>
    <row r="1335" spans="1:4" hidden="1" x14ac:dyDescent="0.3">
      <c r="A1335">
        <v>1333</v>
      </c>
      <c r="B1335" s="1" t="s">
        <v>1589</v>
      </c>
      <c r="C1335" t="s">
        <v>66</v>
      </c>
      <c r="D1335" s="1" t="s">
        <v>1590</v>
      </c>
    </row>
    <row r="1336" spans="1:4" hidden="1" x14ac:dyDescent="0.3">
      <c r="A1336">
        <v>1334</v>
      </c>
      <c r="B1336" s="1" t="s">
        <v>1591</v>
      </c>
      <c r="C1336" t="s">
        <v>69</v>
      </c>
      <c r="D1336" s="1" t="s">
        <v>1592</v>
      </c>
    </row>
    <row r="1337" spans="1:4" hidden="1" x14ac:dyDescent="0.3">
      <c r="A1337">
        <v>1335</v>
      </c>
      <c r="B1337" t="s">
        <v>1593</v>
      </c>
      <c r="C1337" t="s">
        <v>72</v>
      </c>
      <c r="D1337">
        <v>1.0002140146418701</v>
      </c>
    </row>
    <row r="1338" spans="1:4" hidden="1" x14ac:dyDescent="0.3">
      <c r="A1338">
        <v>1336</v>
      </c>
      <c r="B1338" t="s">
        <v>73</v>
      </c>
      <c r="C1338" t="s">
        <v>74</v>
      </c>
      <c r="D1338">
        <v>2.7397260273972599E-3</v>
      </c>
    </row>
    <row r="1339" spans="1:4" hidden="1" x14ac:dyDescent="0.3">
      <c r="A1339">
        <v>1337</v>
      </c>
      <c r="B1339" t="s">
        <v>75</v>
      </c>
      <c r="C1339" t="s">
        <v>76</v>
      </c>
      <c r="D1339">
        <v>0</v>
      </c>
    </row>
    <row r="1340" spans="1:4" hidden="1" x14ac:dyDescent="0.3">
      <c r="A1340">
        <v>1338</v>
      </c>
      <c r="B1340" t="s">
        <v>77</v>
      </c>
      <c r="C1340" t="s">
        <v>78</v>
      </c>
      <c r="D1340">
        <v>0</v>
      </c>
    </row>
    <row r="1341" spans="1:4" hidden="1" x14ac:dyDescent="0.3">
      <c r="A1341">
        <v>1339</v>
      </c>
      <c r="B1341" s="1" t="s">
        <v>1594</v>
      </c>
      <c r="C1341" t="s">
        <v>80</v>
      </c>
      <c r="D1341" s="1" t="s">
        <v>1595</v>
      </c>
    </row>
    <row r="1342" spans="1:4" hidden="1" x14ac:dyDescent="0.3">
      <c r="A1342">
        <v>1340</v>
      </c>
      <c r="B1342" t="s">
        <v>1596</v>
      </c>
      <c r="C1342" t="s">
        <v>83</v>
      </c>
      <c r="D1342">
        <v>1.00018194128015</v>
      </c>
    </row>
    <row r="1343" spans="1:4" hidden="1" x14ac:dyDescent="0.3">
      <c r="A1343">
        <v>1341</v>
      </c>
      <c r="B1343" s="1" t="s">
        <v>1597</v>
      </c>
      <c r="C1343" t="s">
        <v>85</v>
      </c>
      <c r="D1343" s="1" t="s">
        <v>1598</v>
      </c>
    </row>
    <row r="1344" spans="1:4" hidden="1" x14ac:dyDescent="0.3">
      <c r="A1344">
        <v>1342</v>
      </c>
      <c r="B1344" t="s">
        <v>1599</v>
      </c>
      <c r="C1344" t="s">
        <v>88</v>
      </c>
      <c r="D1344">
        <v>99981809.1816452</v>
      </c>
    </row>
    <row r="1345" spans="1:4" hidden="1" x14ac:dyDescent="0.3">
      <c r="A1345">
        <v>1343</v>
      </c>
      <c r="B1345" s="1" t="s">
        <v>1600</v>
      </c>
      <c r="C1345" t="s">
        <v>90</v>
      </c>
      <c r="D1345" s="1" t="s">
        <v>1546</v>
      </c>
    </row>
    <row r="1346" spans="1:4" hidden="1" x14ac:dyDescent="0.3">
      <c r="A1346">
        <v>1344</v>
      </c>
      <c r="B1346" t="s">
        <v>1601</v>
      </c>
      <c r="C1346" t="s">
        <v>93</v>
      </c>
      <c r="D1346">
        <v>80025693.295268193</v>
      </c>
    </row>
    <row r="1347" spans="1:4" hidden="1" x14ac:dyDescent="0.3">
      <c r="A1347">
        <v>1345</v>
      </c>
      <c r="B1347" t="s">
        <v>1602</v>
      </c>
      <c r="C1347" t="s">
        <v>95</v>
      </c>
      <c r="D1347">
        <v>35009468.674115703</v>
      </c>
    </row>
    <row r="1348" spans="1:4" hidden="1" x14ac:dyDescent="0.3">
      <c r="A1348">
        <v>1346</v>
      </c>
      <c r="B1348" t="s">
        <v>1603</v>
      </c>
      <c r="C1348" t="s">
        <v>97</v>
      </c>
      <c r="D1348">
        <v>34930713.82604</v>
      </c>
    </row>
    <row r="1349" spans="1:4" hidden="1" x14ac:dyDescent="0.3">
      <c r="A1349">
        <v>1347</v>
      </c>
      <c r="B1349" s="1" t="s">
        <v>1604</v>
      </c>
      <c r="C1349" t="s">
        <v>99</v>
      </c>
      <c r="D1349" s="1" t="s">
        <v>1605</v>
      </c>
    </row>
    <row r="1350" spans="1:4" hidden="1" x14ac:dyDescent="0.3">
      <c r="A1350">
        <v>1348</v>
      </c>
      <c r="B1350" t="s">
        <v>1606</v>
      </c>
      <c r="C1350" t="s">
        <v>102</v>
      </c>
      <c r="D1350">
        <v>7.9243988008738594E-3</v>
      </c>
    </row>
    <row r="1351" spans="1:4" hidden="1" x14ac:dyDescent="0.3">
      <c r="A1351">
        <v>1349</v>
      </c>
      <c r="B1351" t="s">
        <v>1607</v>
      </c>
      <c r="C1351" t="s">
        <v>104</v>
      </c>
      <c r="D1351">
        <v>1.4912269079364699E-3</v>
      </c>
    </row>
    <row r="1352" spans="1:4" hidden="1" x14ac:dyDescent="0.3">
      <c r="A1352">
        <v>1350</v>
      </c>
      <c r="B1352" t="s">
        <v>1608</v>
      </c>
      <c r="C1352" t="s">
        <v>106</v>
      </c>
      <c r="D1352">
        <v>2.0298065598210201E-2</v>
      </c>
    </row>
    <row r="1353" spans="1:4" hidden="1" x14ac:dyDescent="0.3">
      <c r="A1353">
        <v>1351</v>
      </c>
      <c r="B1353" s="1" t="s">
        <v>1609</v>
      </c>
      <c r="C1353" t="s">
        <v>108</v>
      </c>
      <c r="D1353" s="1" t="s">
        <v>1610</v>
      </c>
    </row>
    <row r="1354" spans="1:4" hidden="1" x14ac:dyDescent="0.3">
      <c r="A1354">
        <v>1352</v>
      </c>
      <c r="B1354" t="s">
        <v>1611</v>
      </c>
      <c r="C1354" t="s">
        <v>196</v>
      </c>
      <c r="D1354">
        <v>149964771.37277299</v>
      </c>
    </row>
    <row r="1355" spans="1:4" hidden="1" x14ac:dyDescent="0.3">
      <c r="A1355">
        <v>1353</v>
      </c>
      <c r="B1355" t="s">
        <v>1612</v>
      </c>
      <c r="C1355" t="s">
        <v>198</v>
      </c>
      <c r="D1355">
        <v>2566.1163789789698</v>
      </c>
    </row>
    <row r="1356" spans="1:4" hidden="1" x14ac:dyDescent="0.3">
      <c r="A1356">
        <v>1354</v>
      </c>
      <c r="B1356" t="s">
        <v>1613</v>
      </c>
      <c r="C1356" t="s">
        <v>200</v>
      </c>
      <c r="D1356">
        <v>1122.62698167799</v>
      </c>
    </row>
    <row r="1357" spans="1:4" hidden="1" x14ac:dyDescent="0.3">
      <c r="A1357">
        <v>1355</v>
      </c>
      <c r="B1357" s="1" t="s">
        <v>1614</v>
      </c>
      <c r="C1357" t="s">
        <v>202</v>
      </c>
      <c r="D1357" s="1" t="s">
        <v>1615</v>
      </c>
    </row>
    <row r="1358" spans="1:4" hidden="1" x14ac:dyDescent="0.3">
      <c r="A1358">
        <v>1356</v>
      </c>
      <c r="B1358" t="s">
        <v>1616</v>
      </c>
      <c r="C1358" t="s">
        <v>205</v>
      </c>
      <c r="D1358">
        <v>80022271.575542301</v>
      </c>
    </row>
    <row r="1359" spans="1:4" hidden="1" x14ac:dyDescent="0.3">
      <c r="A1359">
        <v>1357</v>
      </c>
      <c r="B1359" t="s">
        <v>1617</v>
      </c>
      <c r="C1359" t="s">
        <v>207</v>
      </c>
      <c r="D1359">
        <v>35008217.843031697</v>
      </c>
    </row>
    <row r="1360" spans="1:4" hidden="1" x14ac:dyDescent="0.3">
      <c r="A1360">
        <v>1358</v>
      </c>
      <c r="B1360" t="s">
        <v>1618</v>
      </c>
      <c r="C1360" t="s">
        <v>209</v>
      </c>
      <c r="D1360">
        <v>34929473.109006301</v>
      </c>
    </row>
    <row r="1361" spans="1:4" hidden="1" x14ac:dyDescent="0.3">
      <c r="A1361">
        <v>1359</v>
      </c>
      <c r="B1361" s="1" t="s">
        <v>1619</v>
      </c>
      <c r="C1361" t="s">
        <v>211</v>
      </c>
      <c r="D1361" s="1" t="s">
        <v>1620</v>
      </c>
    </row>
    <row r="1362" spans="1:4" hidden="1" x14ac:dyDescent="0.3">
      <c r="A1362">
        <v>1360</v>
      </c>
      <c r="B1362" t="s">
        <v>1621</v>
      </c>
      <c r="C1362" t="s">
        <v>214</v>
      </c>
      <c r="D1362">
        <v>99978603.115059599</v>
      </c>
    </row>
    <row r="1363" spans="1:4" hidden="1" x14ac:dyDescent="0.3">
      <c r="A1363">
        <v>1361</v>
      </c>
      <c r="B1363" t="s">
        <v>1622</v>
      </c>
      <c r="C1363" t="s">
        <v>216</v>
      </c>
      <c r="D1363">
        <v>3206.06658558547</v>
      </c>
    </row>
    <row r="1364" spans="1:4" hidden="1" x14ac:dyDescent="0.3">
      <c r="A1364">
        <v>1362</v>
      </c>
      <c r="B1364" s="1" t="s">
        <v>1623</v>
      </c>
      <c r="C1364" t="s">
        <v>218</v>
      </c>
      <c r="D1364" s="1" t="s">
        <v>1624</v>
      </c>
    </row>
    <row r="1365" spans="1:4" hidden="1" x14ac:dyDescent="0.3">
      <c r="A1365">
        <v>1363</v>
      </c>
      <c r="B1365" t="s">
        <v>1625</v>
      </c>
      <c r="C1365" t="s">
        <v>111</v>
      </c>
      <c r="D1365">
        <v>-855.603346913927</v>
      </c>
    </row>
    <row r="1366" spans="1:4" hidden="1" x14ac:dyDescent="0.3">
      <c r="A1366">
        <v>1364</v>
      </c>
      <c r="B1366" t="s">
        <v>1626</v>
      </c>
      <c r="C1366" t="s">
        <v>113</v>
      </c>
      <c r="D1366">
        <v>-128.20410233225201</v>
      </c>
    </row>
    <row r="1367" spans="1:4" hidden="1" x14ac:dyDescent="0.3">
      <c r="A1367">
        <v>1365</v>
      </c>
      <c r="B1367" s="1" t="s">
        <v>1627</v>
      </c>
      <c r="C1367" t="s">
        <v>115</v>
      </c>
      <c r="D1367" s="1" t="s">
        <v>1628</v>
      </c>
    </row>
    <row r="1368" spans="1:4" hidden="1" x14ac:dyDescent="0.3">
      <c r="A1368">
        <v>1366</v>
      </c>
      <c r="B1368" t="s">
        <v>1629</v>
      </c>
      <c r="C1368" t="s">
        <v>118</v>
      </c>
      <c r="D1368">
        <v>80022271.575542301</v>
      </c>
    </row>
    <row r="1369" spans="1:4" hidden="1" x14ac:dyDescent="0.3">
      <c r="A1369">
        <v>1367</v>
      </c>
      <c r="B1369" t="s">
        <v>1630</v>
      </c>
      <c r="C1369" t="s">
        <v>120</v>
      </c>
      <c r="D1369">
        <v>35008217.843031697</v>
      </c>
    </row>
    <row r="1370" spans="1:4" hidden="1" x14ac:dyDescent="0.3">
      <c r="A1370">
        <v>1368</v>
      </c>
      <c r="B1370" s="1" t="s">
        <v>1631</v>
      </c>
      <c r="C1370" t="s">
        <v>122</v>
      </c>
      <c r="D1370" s="1" t="s">
        <v>1632</v>
      </c>
    </row>
    <row r="1371" spans="1:4" hidden="1" x14ac:dyDescent="0.3">
      <c r="A1371">
        <v>1369</v>
      </c>
      <c r="B1371" t="s">
        <v>1633</v>
      </c>
      <c r="C1371" t="s">
        <v>125</v>
      </c>
      <c r="D1371">
        <v>0.80024837691921302</v>
      </c>
    </row>
    <row r="1372" spans="1:4" hidden="1" x14ac:dyDescent="0.3">
      <c r="A1372">
        <v>1370</v>
      </c>
      <c r="B1372" t="s">
        <v>1634</v>
      </c>
      <c r="C1372" t="s">
        <v>127</v>
      </c>
      <c r="D1372">
        <v>0.350093404700134</v>
      </c>
    </row>
    <row r="1373" spans="1:4" hidden="1" x14ac:dyDescent="0.3">
      <c r="A1373">
        <v>1371</v>
      </c>
      <c r="B1373" s="1" t="s">
        <v>1635</v>
      </c>
      <c r="C1373" t="s">
        <v>129</v>
      </c>
      <c r="D1373" s="1" t="s">
        <v>1636</v>
      </c>
    </row>
    <row r="1374" spans="1:4" x14ac:dyDescent="0.3">
      <c r="A1374">
        <v>1372</v>
      </c>
      <c r="B1374" s="1" t="s">
        <v>3</v>
      </c>
      <c r="C1374" t="s">
        <v>4</v>
      </c>
      <c r="D1374" t="s">
        <v>5</v>
      </c>
    </row>
    <row r="1375" spans="1:4" hidden="1" x14ac:dyDescent="0.3">
      <c r="A1375">
        <v>1373</v>
      </c>
      <c r="B1375" t="s">
        <v>6</v>
      </c>
      <c r="C1375" t="s">
        <v>7</v>
      </c>
      <c r="D1375">
        <v>1981.95</v>
      </c>
    </row>
    <row r="1376" spans="1:4" hidden="1" x14ac:dyDescent="0.3">
      <c r="A1376">
        <v>1374</v>
      </c>
      <c r="B1376" s="1" t="s">
        <v>131</v>
      </c>
      <c r="C1376" t="s">
        <v>9</v>
      </c>
      <c r="D1376" s="1" t="s">
        <v>132</v>
      </c>
    </row>
    <row r="1377" spans="1:4" hidden="1" x14ac:dyDescent="0.3">
      <c r="A1377">
        <v>1375</v>
      </c>
      <c r="B1377" t="s">
        <v>13</v>
      </c>
      <c r="C1377" t="s">
        <v>14</v>
      </c>
      <c r="D1377">
        <v>91.74609375</v>
      </c>
    </row>
    <row r="1378" spans="1:4" hidden="1" x14ac:dyDescent="0.3">
      <c r="A1378">
        <v>1376</v>
      </c>
      <c r="B1378" t="s">
        <v>15</v>
      </c>
      <c r="C1378" t="s">
        <v>16</v>
      </c>
      <c r="D1378">
        <v>4.1883572307132804</v>
      </c>
    </row>
    <row r="1379" spans="1:4" hidden="1" x14ac:dyDescent="0.3">
      <c r="A1379">
        <v>1377</v>
      </c>
      <c r="B1379" s="1" t="s">
        <v>133</v>
      </c>
      <c r="C1379" t="s">
        <v>134</v>
      </c>
      <c r="D1379" s="1" t="s">
        <v>135</v>
      </c>
    </row>
    <row r="1380" spans="1:4" hidden="1" x14ac:dyDescent="0.3">
      <c r="A1380">
        <v>1378</v>
      </c>
      <c r="B1380" t="s">
        <v>21</v>
      </c>
      <c r="C1380" t="s">
        <v>22</v>
      </c>
      <c r="D1380">
        <v>38.25</v>
      </c>
    </row>
    <row r="1381" spans="1:4" hidden="1" x14ac:dyDescent="0.3">
      <c r="A1381">
        <v>1379</v>
      </c>
      <c r="B1381" t="s">
        <v>1637</v>
      </c>
      <c r="C1381" t="s">
        <v>24</v>
      </c>
      <c r="D1381">
        <v>5.7354430858886403</v>
      </c>
    </row>
    <row r="1382" spans="1:4" hidden="1" x14ac:dyDescent="0.3">
      <c r="A1382">
        <v>1380</v>
      </c>
      <c r="B1382" s="1" t="s">
        <v>1638</v>
      </c>
      <c r="C1382" t="s">
        <v>138</v>
      </c>
      <c r="D1382" s="1" t="s">
        <v>1639</v>
      </c>
    </row>
    <row r="1383" spans="1:4" hidden="1" x14ac:dyDescent="0.3">
      <c r="A1383">
        <v>1381</v>
      </c>
      <c r="B1383" t="s">
        <v>1640</v>
      </c>
      <c r="C1383" t="s">
        <v>35</v>
      </c>
      <c r="D1383">
        <v>0.54251448833845095</v>
      </c>
    </row>
    <row r="1384" spans="1:4" hidden="1" x14ac:dyDescent="0.3">
      <c r="A1384">
        <v>1382</v>
      </c>
      <c r="B1384" t="s">
        <v>1641</v>
      </c>
      <c r="C1384" t="s">
        <v>142</v>
      </c>
      <c r="D1384">
        <v>0.69347461190946602</v>
      </c>
    </row>
    <row r="1385" spans="1:4" hidden="1" x14ac:dyDescent="0.3">
      <c r="A1385">
        <v>1383</v>
      </c>
      <c r="B1385" s="1" t="s">
        <v>1642</v>
      </c>
      <c r="C1385" t="s">
        <v>144</v>
      </c>
      <c r="D1385" s="1" t="s">
        <v>1643</v>
      </c>
    </row>
    <row r="1386" spans="1:4" hidden="1" x14ac:dyDescent="0.3">
      <c r="A1386">
        <v>1384</v>
      </c>
      <c r="B1386" t="s">
        <v>1644</v>
      </c>
      <c r="C1386" t="s">
        <v>30</v>
      </c>
      <c r="D1386">
        <v>0.19159146667046401</v>
      </c>
    </row>
    <row r="1387" spans="1:4" hidden="1" x14ac:dyDescent="0.3">
      <c r="A1387">
        <v>1385</v>
      </c>
      <c r="B1387" t="s">
        <v>1645</v>
      </c>
      <c r="C1387" t="s">
        <v>32</v>
      </c>
      <c r="D1387">
        <v>0.24353566163695201</v>
      </c>
    </row>
    <row r="1388" spans="1:4" hidden="1" x14ac:dyDescent="0.3">
      <c r="A1388">
        <v>1386</v>
      </c>
      <c r="B1388" s="1" t="s">
        <v>1646</v>
      </c>
      <c r="C1388" t="s">
        <v>148</v>
      </c>
      <c r="D1388" s="1" t="s">
        <v>1647</v>
      </c>
    </row>
    <row r="1389" spans="1:4" hidden="1" x14ac:dyDescent="0.3">
      <c r="A1389">
        <v>1387</v>
      </c>
      <c r="B1389" t="s">
        <v>1648</v>
      </c>
      <c r="C1389" t="s">
        <v>40</v>
      </c>
      <c r="D1389">
        <v>0.26589404499108299</v>
      </c>
    </row>
    <row r="1390" spans="1:4" hidden="1" x14ac:dyDescent="0.3">
      <c r="A1390">
        <v>1388</v>
      </c>
      <c r="B1390" t="s">
        <v>1649</v>
      </c>
      <c r="C1390" t="s">
        <v>42</v>
      </c>
      <c r="D1390">
        <v>0.198478195577693</v>
      </c>
    </row>
    <row r="1391" spans="1:4" hidden="1" x14ac:dyDescent="0.3">
      <c r="A1391">
        <v>1389</v>
      </c>
      <c r="B1391" s="1" t="s">
        <v>1650</v>
      </c>
      <c r="C1391" t="s">
        <v>152</v>
      </c>
      <c r="D1391" s="1" t="s">
        <v>1651</v>
      </c>
    </row>
    <row r="1392" spans="1:4" hidden="1" x14ac:dyDescent="0.3">
      <c r="A1392">
        <v>1390</v>
      </c>
      <c r="B1392" t="s">
        <v>153</v>
      </c>
      <c r="C1392" t="s">
        <v>154</v>
      </c>
      <c r="D1392">
        <v>1</v>
      </c>
    </row>
    <row r="1393" spans="1:4" hidden="1" x14ac:dyDescent="0.3">
      <c r="A1393">
        <v>1391</v>
      </c>
      <c r="B1393" t="s">
        <v>155</v>
      </c>
      <c r="C1393" t="s">
        <v>156</v>
      </c>
      <c r="D1393">
        <v>1</v>
      </c>
    </row>
    <row r="1394" spans="1:4" hidden="1" x14ac:dyDescent="0.3">
      <c r="A1394">
        <v>1392</v>
      </c>
      <c r="B1394" s="1" t="s">
        <v>1652</v>
      </c>
      <c r="C1394" t="s">
        <v>158</v>
      </c>
      <c r="D1394" s="1" t="s">
        <v>1653</v>
      </c>
    </row>
    <row r="1395" spans="1:4" hidden="1" x14ac:dyDescent="0.3">
      <c r="A1395">
        <v>1393</v>
      </c>
      <c r="B1395" t="s">
        <v>1654</v>
      </c>
      <c r="C1395" t="s">
        <v>161</v>
      </c>
      <c r="D1395">
        <v>1.0002358581034201</v>
      </c>
    </row>
    <row r="1396" spans="1:4" hidden="1" x14ac:dyDescent="0.3">
      <c r="A1396">
        <v>1394</v>
      </c>
      <c r="B1396" t="s">
        <v>1655</v>
      </c>
      <c r="C1396" t="s">
        <v>163</v>
      </c>
      <c r="D1396">
        <v>0.99970753943794499</v>
      </c>
    </row>
    <row r="1397" spans="1:4" hidden="1" x14ac:dyDescent="0.3">
      <c r="A1397">
        <v>1395</v>
      </c>
      <c r="B1397" s="1" t="s">
        <v>1656</v>
      </c>
      <c r="C1397" t="s">
        <v>165</v>
      </c>
      <c r="D1397" s="1" t="s">
        <v>1657</v>
      </c>
    </row>
    <row r="1398" spans="1:4" hidden="1" x14ac:dyDescent="0.3">
      <c r="A1398">
        <v>1396</v>
      </c>
      <c r="B1398" s="1" t="s">
        <v>1658</v>
      </c>
      <c r="C1398" t="s">
        <v>55</v>
      </c>
      <c r="D1398" s="1" t="s">
        <v>1659</v>
      </c>
    </row>
    <row r="1399" spans="1:4" hidden="1" x14ac:dyDescent="0.3">
      <c r="A1399">
        <v>1397</v>
      </c>
      <c r="B1399" s="1" t="s">
        <v>1660</v>
      </c>
      <c r="C1399" t="s">
        <v>52</v>
      </c>
      <c r="D1399" s="1" t="s">
        <v>1661</v>
      </c>
    </row>
    <row r="1400" spans="1:4" hidden="1" x14ac:dyDescent="0.3">
      <c r="A1400">
        <v>1398</v>
      </c>
      <c r="B1400" s="1" t="s">
        <v>1662</v>
      </c>
      <c r="C1400" t="s">
        <v>58</v>
      </c>
      <c r="D1400" s="1" t="s">
        <v>1663</v>
      </c>
    </row>
    <row r="1401" spans="1:4" hidden="1" x14ac:dyDescent="0.3">
      <c r="A1401">
        <v>1399</v>
      </c>
      <c r="B1401" t="s">
        <v>1664</v>
      </c>
      <c r="C1401" t="s">
        <v>60</v>
      </c>
      <c r="D1401">
        <v>149959225.01885301</v>
      </c>
    </row>
    <row r="1402" spans="1:4" hidden="1" x14ac:dyDescent="0.3">
      <c r="A1402">
        <v>1400</v>
      </c>
      <c r="B1402" t="s">
        <v>1665</v>
      </c>
      <c r="C1402" t="s">
        <v>62</v>
      </c>
      <c r="D1402">
        <v>80022271.575542301</v>
      </c>
    </row>
    <row r="1403" spans="1:4" hidden="1" x14ac:dyDescent="0.3">
      <c r="A1403">
        <v>1401</v>
      </c>
      <c r="B1403" t="s">
        <v>1666</v>
      </c>
      <c r="C1403" t="s">
        <v>64</v>
      </c>
      <c r="D1403">
        <v>35008217.843031697</v>
      </c>
    </row>
    <row r="1404" spans="1:4" hidden="1" x14ac:dyDescent="0.3">
      <c r="A1404">
        <v>1402</v>
      </c>
      <c r="B1404" s="1" t="s">
        <v>1667</v>
      </c>
      <c r="C1404" t="s">
        <v>66</v>
      </c>
      <c r="D1404" s="1" t="s">
        <v>1668</v>
      </c>
    </row>
    <row r="1405" spans="1:4" hidden="1" x14ac:dyDescent="0.3">
      <c r="A1405">
        <v>1403</v>
      </c>
      <c r="B1405" s="1" t="s">
        <v>1669</v>
      </c>
      <c r="C1405" t="s">
        <v>69</v>
      </c>
      <c r="D1405" s="1" t="s">
        <v>1670</v>
      </c>
    </row>
    <row r="1406" spans="1:4" hidden="1" x14ac:dyDescent="0.3">
      <c r="A1406">
        <v>1404</v>
      </c>
      <c r="B1406" t="s">
        <v>1671</v>
      </c>
      <c r="C1406" t="s">
        <v>72</v>
      </c>
      <c r="D1406">
        <v>1.00018194128015</v>
      </c>
    </row>
    <row r="1407" spans="1:4" hidden="1" x14ac:dyDescent="0.3">
      <c r="A1407">
        <v>1405</v>
      </c>
      <c r="B1407" t="s">
        <v>73</v>
      </c>
      <c r="C1407" t="s">
        <v>74</v>
      </c>
      <c r="D1407">
        <v>2.7397260273972599E-3</v>
      </c>
    </row>
    <row r="1408" spans="1:4" hidden="1" x14ac:dyDescent="0.3">
      <c r="A1408">
        <v>1406</v>
      </c>
      <c r="B1408" t="s">
        <v>75</v>
      </c>
      <c r="C1408" t="s">
        <v>76</v>
      </c>
      <c r="D1408">
        <v>0</v>
      </c>
    </row>
    <row r="1409" spans="1:4" hidden="1" x14ac:dyDescent="0.3">
      <c r="A1409">
        <v>1407</v>
      </c>
      <c r="B1409" t="s">
        <v>77</v>
      </c>
      <c r="C1409" t="s">
        <v>78</v>
      </c>
      <c r="D1409">
        <v>0</v>
      </c>
    </row>
    <row r="1410" spans="1:4" hidden="1" x14ac:dyDescent="0.3">
      <c r="A1410">
        <v>1408</v>
      </c>
      <c r="B1410" s="1" t="s">
        <v>1672</v>
      </c>
      <c r="C1410" t="s">
        <v>80</v>
      </c>
      <c r="D1410" s="1" t="s">
        <v>1673</v>
      </c>
    </row>
    <row r="1411" spans="1:4" hidden="1" x14ac:dyDescent="0.3">
      <c r="A1411">
        <v>1409</v>
      </c>
      <c r="B1411" t="s">
        <v>1674</v>
      </c>
      <c r="C1411" t="s">
        <v>83</v>
      </c>
      <c r="D1411">
        <v>1.0001877305476301</v>
      </c>
    </row>
    <row r="1412" spans="1:4" hidden="1" x14ac:dyDescent="0.3">
      <c r="A1412">
        <v>1410</v>
      </c>
      <c r="B1412" s="1" t="s">
        <v>1675</v>
      </c>
      <c r="C1412" t="s">
        <v>85</v>
      </c>
      <c r="D1412" s="1" t="s">
        <v>1676</v>
      </c>
    </row>
    <row r="1413" spans="1:4" hidden="1" x14ac:dyDescent="0.3">
      <c r="A1413">
        <v>1411</v>
      </c>
      <c r="B1413" t="s">
        <v>1677</v>
      </c>
      <c r="C1413" t="s">
        <v>88</v>
      </c>
      <c r="D1413">
        <v>99981230.468850896</v>
      </c>
    </row>
    <row r="1414" spans="1:4" hidden="1" x14ac:dyDescent="0.3">
      <c r="A1414">
        <v>1412</v>
      </c>
      <c r="B1414" s="1" t="s">
        <v>1678</v>
      </c>
      <c r="C1414" t="s">
        <v>90</v>
      </c>
      <c r="D1414" s="1" t="s">
        <v>1624</v>
      </c>
    </row>
    <row r="1415" spans="1:4" hidden="1" x14ac:dyDescent="0.3">
      <c r="A1415">
        <v>1413</v>
      </c>
      <c r="B1415" t="s">
        <v>1679</v>
      </c>
      <c r="C1415" t="s">
        <v>93</v>
      </c>
      <c r="D1415">
        <v>80022271.575542301</v>
      </c>
    </row>
    <row r="1416" spans="1:4" hidden="1" x14ac:dyDescent="0.3">
      <c r="A1416">
        <v>1414</v>
      </c>
      <c r="B1416" t="s">
        <v>1680</v>
      </c>
      <c r="C1416" t="s">
        <v>95</v>
      </c>
      <c r="D1416">
        <v>35008217.843031697</v>
      </c>
    </row>
    <row r="1417" spans="1:4" hidden="1" x14ac:dyDescent="0.3">
      <c r="A1417">
        <v>1415</v>
      </c>
      <c r="B1417" t="s">
        <v>1681</v>
      </c>
      <c r="C1417" t="s">
        <v>97</v>
      </c>
      <c r="D1417">
        <v>34928735.600279301</v>
      </c>
    </row>
    <row r="1418" spans="1:4" hidden="1" x14ac:dyDescent="0.3">
      <c r="A1418">
        <v>1416</v>
      </c>
      <c r="B1418" s="1" t="s">
        <v>1682</v>
      </c>
      <c r="C1418" t="s">
        <v>99</v>
      </c>
      <c r="D1418" s="1" t="s">
        <v>1683</v>
      </c>
    </row>
    <row r="1419" spans="1:4" hidden="1" x14ac:dyDescent="0.3">
      <c r="A1419">
        <v>1417</v>
      </c>
      <c r="B1419" t="s">
        <v>1684</v>
      </c>
      <c r="C1419" t="s">
        <v>102</v>
      </c>
      <c r="D1419">
        <v>7.9750330205868806E-3</v>
      </c>
    </row>
    <row r="1420" spans="1:4" hidden="1" x14ac:dyDescent="0.3">
      <c r="A1420">
        <v>1418</v>
      </c>
      <c r="B1420" t="s">
        <v>1685</v>
      </c>
      <c r="C1420" t="s">
        <v>104</v>
      </c>
      <c r="D1420">
        <v>1.4951682673415699E-3</v>
      </c>
    </row>
    <row r="1421" spans="1:4" hidden="1" x14ac:dyDescent="0.3">
      <c r="A1421">
        <v>1419</v>
      </c>
      <c r="B1421" t="s">
        <v>1686</v>
      </c>
      <c r="C1421" t="s">
        <v>106</v>
      </c>
      <c r="D1421">
        <v>2.0309599175049101E-2</v>
      </c>
    </row>
    <row r="1422" spans="1:4" hidden="1" x14ac:dyDescent="0.3">
      <c r="A1422">
        <v>1420</v>
      </c>
      <c r="B1422" s="1" t="s">
        <v>1687</v>
      </c>
      <c r="C1422" t="s">
        <v>108</v>
      </c>
      <c r="D1422" s="1" t="s">
        <v>1688</v>
      </c>
    </row>
    <row r="1423" spans="1:4" hidden="1" x14ac:dyDescent="0.3">
      <c r="A1423">
        <v>1421</v>
      </c>
      <c r="B1423" t="s">
        <v>1689</v>
      </c>
      <c r="C1423" t="s">
        <v>196</v>
      </c>
      <c r="D1423">
        <v>149959424.36633</v>
      </c>
    </row>
    <row r="1424" spans="1:4" hidden="1" x14ac:dyDescent="0.3">
      <c r="A1424">
        <v>1422</v>
      </c>
      <c r="B1424" t="s">
        <v>1690</v>
      </c>
      <c r="C1424" t="s">
        <v>198</v>
      </c>
      <c r="D1424">
        <v>-463.18690712562301</v>
      </c>
    </row>
    <row r="1425" spans="1:4" hidden="1" x14ac:dyDescent="0.3">
      <c r="A1425">
        <v>1423</v>
      </c>
      <c r="B1425" t="s">
        <v>1691</v>
      </c>
      <c r="C1425" t="s">
        <v>200</v>
      </c>
      <c r="D1425">
        <v>-202.63519599826901</v>
      </c>
    </row>
    <row r="1426" spans="1:4" hidden="1" x14ac:dyDescent="0.3">
      <c r="A1426">
        <v>1424</v>
      </c>
      <c r="B1426" s="1" t="s">
        <v>1692</v>
      </c>
      <c r="C1426" t="s">
        <v>202</v>
      </c>
      <c r="D1426" s="1" t="s">
        <v>1693</v>
      </c>
    </row>
    <row r="1427" spans="1:4" hidden="1" x14ac:dyDescent="0.3">
      <c r="A1427">
        <v>1425</v>
      </c>
      <c r="B1427" t="s">
        <v>1694</v>
      </c>
      <c r="C1427" t="s">
        <v>205</v>
      </c>
      <c r="D1427">
        <v>80022880.817348793</v>
      </c>
    </row>
    <row r="1428" spans="1:4" hidden="1" x14ac:dyDescent="0.3">
      <c r="A1428">
        <v>1426</v>
      </c>
      <c r="B1428" t="s">
        <v>1695</v>
      </c>
      <c r="C1428" t="s">
        <v>207</v>
      </c>
      <c r="D1428">
        <v>35008442.357313298</v>
      </c>
    </row>
    <row r="1429" spans="1:4" hidden="1" x14ac:dyDescent="0.3">
      <c r="A1429">
        <v>1427</v>
      </c>
      <c r="B1429" t="s">
        <v>1696</v>
      </c>
      <c r="C1429" t="s">
        <v>209</v>
      </c>
      <c r="D1429">
        <v>34928969.188962899</v>
      </c>
    </row>
    <row r="1430" spans="1:4" hidden="1" x14ac:dyDescent="0.3">
      <c r="A1430">
        <v>1428</v>
      </c>
      <c r="B1430" s="1" t="s">
        <v>1697</v>
      </c>
      <c r="C1430" t="s">
        <v>211</v>
      </c>
      <c r="D1430" s="1" t="s">
        <v>1698</v>
      </c>
    </row>
    <row r="1431" spans="1:4" hidden="1" x14ac:dyDescent="0.3">
      <c r="A1431">
        <v>1429</v>
      </c>
      <c r="B1431" t="s">
        <v>1699</v>
      </c>
      <c r="C1431" t="s">
        <v>214</v>
      </c>
      <c r="D1431">
        <v>99981809.1816452</v>
      </c>
    </row>
    <row r="1432" spans="1:4" hidden="1" x14ac:dyDescent="0.3">
      <c r="A1432">
        <v>1430</v>
      </c>
      <c r="B1432" t="s">
        <v>1700</v>
      </c>
      <c r="C1432" t="s">
        <v>216</v>
      </c>
      <c r="D1432">
        <v>-578.71279427409104</v>
      </c>
    </row>
    <row r="1433" spans="1:4" hidden="1" x14ac:dyDescent="0.3">
      <c r="A1433">
        <v>1431</v>
      </c>
      <c r="B1433" s="1" t="s">
        <v>1701</v>
      </c>
      <c r="C1433" t="s">
        <v>218</v>
      </c>
      <c r="D1433" s="1" t="s">
        <v>1702</v>
      </c>
    </row>
    <row r="1434" spans="1:4" hidden="1" x14ac:dyDescent="0.3">
      <c r="A1434">
        <v>1432</v>
      </c>
      <c r="B1434" t="s">
        <v>1703</v>
      </c>
      <c r="C1434" t="s">
        <v>111</v>
      </c>
      <c r="D1434">
        <v>146.054899338556</v>
      </c>
    </row>
    <row r="1435" spans="1:4" hidden="1" x14ac:dyDescent="0.3">
      <c r="A1435">
        <v>1433</v>
      </c>
      <c r="B1435" t="s">
        <v>1704</v>
      </c>
      <c r="C1435" t="s">
        <v>113</v>
      </c>
      <c r="D1435">
        <v>21.8790855524066</v>
      </c>
    </row>
    <row r="1436" spans="1:4" hidden="1" x14ac:dyDescent="0.3">
      <c r="A1436">
        <v>1434</v>
      </c>
      <c r="B1436" s="1" t="s">
        <v>1705</v>
      </c>
      <c r="C1436" t="s">
        <v>115</v>
      </c>
      <c r="D1436" s="1" t="s">
        <v>1706</v>
      </c>
    </row>
    <row r="1437" spans="1:4" hidden="1" x14ac:dyDescent="0.3">
      <c r="A1437">
        <v>1435</v>
      </c>
      <c r="B1437" t="s">
        <v>1707</v>
      </c>
      <c r="C1437" t="s">
        <v>118</v>
      </c>
      <c r="D1437">
        <v>80022880.817348793</v>
      </c>
    </row>
    <row r="1438" spans="1:4" hidden="1" x14ac:dyDescent="0.3">
      <c r="A1438">
        <v>1436</v>
      </c>
      <c r="B1438" t="s">
        <v>1708</v>
      </c>
      <c r="C1438" t="s">
        <v>120</v>
      </c>
      <c r="D1438">
        <v>35008442.357313298</v>
      </c>
    </row>
    <row r="1439" spans="1:4" hidden="1" x14ac:dyDescent="0.3">
      <c r="A1439">
        <v>1437</v>
      </c>
      <c r="B1439" s="1" t="s">
        <v>1709</v>
      </c>
      <c r="C1439" t="s">
        <v>122</v>
      </c>
      <c r="D1439" s="1" t="s">
        <v>1710</v>
      </c>
    </row>
    <row r="1440" spans="1:4" hidden="1" x14ac:dyDescent="0.3">
      <c r="A1440">
        <v>1438</v>
      </c>
      <c r="B1440" t="s">
        <v>1711</v>
      </c>
      <c r="C1440" t="s">
        <v>125</v>
      </c>
      <c r="D1440">
        <v>0.800224176304416</v>
      </c>
    </row>
    <row r="1441" spans="1:4" hidden="1" x14ac:dyDescent="0.3">
      <c r="A1441">
        <v>1439</v>
      </c>
      <c r="B1441" t="s">
        <v>1712</v>
      </c>
      <c r="C1441" t="s">
        <v>127</v>
      </c>
      <c r="D1441">
        <v>0.35008239722117301</v>
      </c>
    </row>
    <row r="1442" spans="1:4" hidden="1" x14ac:dyDescent="0.3">
      <c r="A1442">
        <v>1440</v>
      </c>
      <c r="B1442" s="1" t="s">
        <v>1713</v>
      </c>
      <c r="C1442" t="s">
        <v>129</v>
      </c>
      <c r="D1442" s="1" t="s">
        <v>1714</v>
      </c>
    </row>
    <row r="1443" spans="1:4" x14ac:dyDescent="0.3">
      <c r="A1443">
        <v>1441</v>
      </c>
      <c r="B1443" s="1" t="s">
        <v>3</v>
      </c>
      <c r="C1443" t="s">
        <v>4</v>
      </c>
      <c r="D1443" t="s">
        <v>5</v>
      </c>
    </row>
    <row r="1444" spans="1:4" hidden="1" x14ac:dyDescent="0.3">
      <c r="A1444">
        <v>1442</v>
      </c>
      <c r="B1444" t="s">
        <v>6</v>
      </c>
      <c r="C1444" t="s">
        <v>7</v>
      </c>
      <c r="D1444">
        <v>1981.95</v>
      </c>
    </row>
    <row r="1445" spans="1:4" hidden="1" x14ac:dyDescent="0.3">
      <c r="A1445">
        <v>1443</v>
      </c>
      <c r="B1445" s="1" t="s">
        <v>131</v>
      </c>
      <c r="C1445" t="s">
        <v>9</v>
      </c>
      <c r="D1445" s="1" t="s">
        <v>132</v>
      </c>
    </row>
    <row r="1446" spans="1:4" hidden="1" x14ac:dyDescent="0.3">
      <c r="A1446">
        <v>1444</v>
      </c>
      <c r="B1446" t="s">
        <v>13</v>
      </c>
      <c r="C1446" t="s">
        <v>14</v>
      </c>
      <c r="D1446">
        <v>91.74609375</v>
      </c>
    </row>
    <row r="1447" spans="1:4" hidden="1" x14ac:dyDescent="0.3">
      <c r="A1447">
        <v>1445</v>
      </c>
      <c r="B1447" t="s">
        <v>15</v>
      </c>
      <c r="C1447" t="s">
        <v>16</v>
      </c>
      <c r="D1447">
        <v>4.1883572307132804</v>
      </c>
    </row>
    <row r="1448" spans="1:4" hidden="1" x14ac:dyDescent="0.3">
      <c r="A1448">
        <v>1446</v>
      </c>
      <c r="B1448" s="1" t="s">
        <v>133</v>
      </c>
      <c r="C1448" t="s">
        <v>134</v>
      </c>
      <c r="D1448" s="1" t="s">
        <v>135</v>
      </c>
    </row>
    <row r="1449" spans="1:4" hidden="1" x14ac:dyDescent="0.3">
      <c r="A1449">
        <v>1447</v>
      </c>
      <c r="B1449" t="s">
        <v>21</v>
      </c>
      <c r="C1449" t="s">
        <v>22</v>
      </c>
      <c r="D1449">
        <v>38.25</v>
      </c>
    </row>
    <row r="1450" spans="1:4" hidden="1" x14ac:dyDescent="0.3">
      <c r="A1450">
        <v>1448</v>
      </c>
      <c r="B1450" t="s">
        <v>1715</v>
      </c>
      <c r="C1450" t="s">
        <v>24</v>
      </c>
      <c r="D1450">
        <v>5.7543689289269198</v>
      </c>
    </row>
    <row r="1451" spans="1:4" hidden="1" x14ac:dyDescent="0.3">
      <c r="A1451">
        <v>1449</v>
      </c>
      <c r="B1451" s="1" t="s">
        <v>1716</v>
      </c>
      <c r="C1451" t="s">
        <v>138</v>
      </c>
      <c r="D1451" s="1" t="s">
        <v>1717</v>
      </c>
    </row>
    <row r="1452" spans="1:4" hidden="1" x14ac:dyDescent="0.3">
      <c r="A1452">
        <v>1450</v>
      </c>
      <c r="B1452" t="s">
        <v>1718</v>
      </c>
      <c r="C1452" t="s">
        <v>35</v>
      </c>
      <c r="D1452">
        <v>0.54405503128389598</v>
      </c>
    </row>
    <row r="1453" spans="1:4" hidden="1" x14ac:dyDescent="0.3">
      <c r="A1453">
        <v>1451</v>
      </c>
      <c r="B1453" t="s">
        <v>1719</v>
      </c>
      <c r="C1453" t="s">
        <v>142</v>
      </c>
      <c r="D1453">
        <v>0.69548696988917902</v>
      </c>
    </row>
    <row r="1454" spans="1:4" hidden="1" x14ac:dyDescent="0.3">
      <c r="A1454">
        <v>1452</v>
      </c>
      <c r="B1454" s="1" t="s">
        <v>1720</v>
      </c>
      <c r="C1454" t="s">
        <v>144</v>
      </c>
      <c r="D1454" s="1" t="s">
        <v>1721</v>
      </c>
    </row>
    <row r="1455" spans="1:4" hidden="1" x14ac:dyDescent="0.3">
      <c r="A1455">
        <v>1453</v>
      </c>
      <c r="B1455" t="s">
        <v>1722</v>
      </c>
      <c r="C1455" t="s">
        <v>30</v>
      </c>
      <c r="D1455">
        <v>0.19213551644006699</v>
      </c>
    </row>
    <row r="1456" spans="1:4" hidden="1" x14ac:dyDescent="0.3">
      <c r="A1456">
        <v>1454</v>
      </c>
      <c r="B1456" t="s">
        <v>1723</v>
      </c>
      <c r="C1456" t="s">
        <v>32</v>
      </c>
      <c r="D1456">
        <v>0.24136842682474199</v>
      </c>
    </row>
    <row r="1457" spans="1:4" hidden="1" x14ac:dyDescent="0.3">
      <c r="A1457">
        <v>1455</v>
      </c>
      <c r="B1457" s="1" t="s">
        <v>1724</v>
      </c>
      <c r="C1457" t="s">
        <v>148</v>
      </c>
      <c r="D1457" s="1" t="s">
        <v>1725</v>
      </c>
    </row>
    <row r="1458" spans="1:4" hidden="1" x14ac:dyDescent="0.3">
      <c r="A1458">
        <v>1456</v>
      </c>
      <c r="B1458" t="s">
        <v>1726</v>
      </c>
      <c r="C1458" t="s">
        <v>40</v>
      </c>
      <c r="D1458">
        <v>0.26380945227603603</v>
      </c>
    </row>
    <row r="1459" spans="1:4" hidden="1" x14ac:dyDescent="0.3">
      <c r="A1459">
        <v>1457</v>
      </c>
      <c r="B1459" t="s">
        <v>1727</v>
      </c>
      <c r="C1459" t="s">
        <v>42</v>
      </c>
      <c r="D1459">
        <v>0.19647303289281701</v>
      </c>
    </row>
    <row r="1460" spans="1:4" hidden="1" x14ac:dyDescent="0.3">
      <c r="A1460">
        <v>1458</v>
      </c>
      <c r="B1460" s="1" t="s">
        <v>1728</v>
      </c>
      <c r="C1460" t="s">
        <v>152</v>
      </c>
      <c r="D1460" s="1" t="s">
        <v>1729</v>
      </c>
    </row>
    <row r="1461" spans="1:4" hidden="1" x14ac:dyDescent="0.3">
      <c r="A1461">
        <v>1459</v>
      </c>
      <c r="B1461" t="s">
        <v>153</v>
      </c>
      <c r="C1461" t="s">
        <v>154</v>
      </c>
      <c r="D1461">
        <v>1</v>
      </c>
    </row>
    <row r="1462" spans="1:4" hidden="1" x14ac:dyDescent="0.3">
      <c r="A1462">
        <v>1460</v>
      </c>
      <c r="B1462" t="s">
        <v>155</v>
      </c>
      <c r="C1462" t="s">
        <v>156</v>
      </c>
      <c r="D1462">
        <v>1</v>
      </c>
    </row>
    <row r="1463" spans="1:4" hidden="1" x14ac:dyDescent="0.3">
      <c r="A1463">
        <v>1461</v>
      </c>
      <c r="B1463" s="1" t="s">
        <v>1730</v>
      </c>
      <c r="C1463" t="s">
        <v>158</v>
      </c>
      <c r="D1463" s="1" t="s">
        <v>1731</v>
      </c>
    </row>
    <row r="1464" spans="1:4" hidden="1" x14ac:dyDescent="0.3">
      <c r="A1464">
        <v>1462</v>
      </c>
      <c r="B1464" t="s">
        <v>1732</v>
      </c>
      <c r="C1464" t="s">
        <v>161</v>
      </c>
      <c r="D1464">
        <v>1.0011883012390901</v>
      </c>
    </row>
    <row r="1465" spans="1:4" hidden="1" x14ac:dyDescent="0.3">
      <c r="A1465">
        <v>1463</v>
      </c>
      <c r="B1465" t="s">
        <v>1733</v>
      </c>
      <c r="C1465" t="s">
        <v>163</v>
      </c>
      <c r="D1465">
        <v>0.99825719930753098</v>
      </c>
    </row>
    <row r="1466" spans="1:4" hidden="1" x14ac:dyDescent="0.3">
      <c r="A1466">
        <v>1464</v>
      </c>
      <c r="B1466" s="1" t="s">
        <v>1734</v>
      </c>
      <c r="C1466" t="s">
        <v>165</v>
      </c>
      <c r="D1466" s="1" t="s">
        <v>1735</v>
      </c>
    </row>
    <row r="1467" spans="1:4" hidden="1" x14ac:dyDescent="0.3">
      <c r="A1467">
        <v>1465</v>
      </c>
      <c r="B1467" s="1" t="s">
        <v>1736</v>
      </c>
      <c r="C1467" t="s">
        <v>55</v>
      </c>
      <c r="D1467" s="1" t="s">
        <v>1737</v>
      </c>
    </row>
    <row r="1468" spans="1:4" hidden="1" x14ac:dyDescent="0.3">
      <c r="A1468">
        <v>1466</v>
      </c>
      <c r="B1468" s="1" t="s">
        <v>1738</v>
      </c>
      <c r="C1468" t="s">
        <v>52</v>
      </c>
      <c r="D1468" s="1" t="s">
        <v>1739</v>
      </c>
    </row>
    <row r="1469" spans="1:4" hidden="1" x14ac:dyDescent="0.3">
      <c r="A1469">
        <v>1467</v>
      </c>
      <c r="B1469" s="1" t="s">
        <v>1740</v>
      </c>
      <c r="C1469" t="s">
        <v>58</v>
      </c>
      <c r="D1469" s="1" t="s">
        <v>1741</v>
      </c>
    </row>
    <row r="1470" spans="1:4" hidden="1" x14ac:dyDescent="0.3">
      <c r="A1470">
        <v>1468</v>
      </c>
      <c r="B1470" t="s">
        <v>1742</v>
      </c>
      <c r="C1470" t="s">
        <v>60</v>
      </c>
      <c r="D1470">
        <v>149975321.431016</v>
      </c>
    </row>
    <row r="1471" spans="1:4" hidden="1" x14ac:dyDescent="0.3">
      <c r="A1471">
        <v>1469</v>
      </c>
      <c r="B1471" t="s">
        <v>1743</v>
      </c>
      <c r="C1471" t="s">
        <v>62</v>
      </c>
      <c r="D1471">
        <v>80022880.817348793</v>
      </c>
    </row>
    <row r="1472" spans="1:4" hidden="1" x14ac:dyDescent="0.3">
      <c r="A1472">
        <v>1470</v>
      </c>
      <c r="B1472" t="s">
        <v>1744</v>
      </c>
      <c r="C1472" t="s">
        <v>64</v>
      </c>
      <c r="D1472">
        <v>35008442.357313298</v>
      </c>
    </row>
    <row r="1473" spans="1:4" hidden="1" x14ac:dyDescent="0.3">
      <c r="A1473">
        <v>1471</v>
      </c>
      <c r="B1473" s="1" t="s">
        <v>1745</v>
      </c>
      <c r="C1473" t="s">
        <v>66</v>
      </c>
      <c r="D1473" s="1" t="s">
        <v>1746</v>
      </c>
    </row>
    <row r="1474" spans="1:4" hidden="1" x14ac:dyDescent="0.3">
      <c r="A1474">
        <v>1472</v>
      </c>
      <c r="B1474" s="1" t="s">
        <v>1747</v>
      </c>
      <c r="C1474" t="s">
        <v>69</v>
      </c>
      <c r="D1474" s="1" t="s">
        <v>1748</v>
      </c>
    </row>
    <row r="1475" spans="1:4" hidden="1" x14ac:dyDescent="0.3">
      <c r="A1475">
        <v>1473</v>
      </c>
      <c r="B1475" t="s">
        <v>1749</v>
      </c>
      <c r="C1475" t="s">
        <v>72</v>
      </c>
      <c r="D1475">
        <v>1.0001877305476301</v>
      </c>
    </row>
    <row r="1476" spans="1:4" hidden="1" x14ac:dyDescent="0.3">
      <c r="A1476">
        <v>1474</v>
      </c>
      <c r="B1476" t="s">
        <v>73</v>
      </c>
      <c r="C1476" t="s">
        <v>74</v>
      </c>
      <c r="D1476">
        <v>2.7397260273972599E-3</v>
      </c>
    </row>
    <row r="1477" spans="1:4" hidden="1" x14ac:dyDescent="0.3">
      <c r="A1477">
        <v>1475</v>
      </c>
      <c r="B1477" t="s">
        <v>75</v>
      </c>
      <c r="C1477" t="s">
        <v>76</v>
      </c>
      <c r="D1477">
        <v>0</v>
      </c>
    </row>
    <row r="1478" spans="1:4" hidden="1" x14ac:dyDescent="0.3">
      <c r="A1478">
        <v>1476</v>
      </c>
      <c r="B1478" t="s">
        <v>77</v>
      </c>
      <c r="C1478" t="s">
        <v>78</v>
      </c>
      <c r="D1478">
        <v>0</v>
      </c>
    </row>
    <row r="1479" spans="1:4" hidden="1" x14ac:dyDescent="0.3">
      <c r="A1479">
        <v>1477</v>
      </c>
      <c r="B1479" s="1" t="s">
        <v>1750</v>
      </c>
      <c r="C1479" t="s">
        <v>80</v>
      </c>
      <c r="D1479" s="1" t="s">
        <v>1751</v>
      </c>
    </row>
    <row r="1480" spans="1:4" hidden="1" x14ac:dyDescent="0.3">
      <c r="A1480">
        <v>1478</v>
      </c>
      <c r="B1480" t="s">
        <v>1752</v>
      </c>
      <c r="C1480" t="s">
        <v>83</v>
      </c>
      <c r="D1480">
        <v>1.0001988604727801</v>
      </c>
    </row>
    <row r="1481" spans="1:4" hidden="1" x14ac:dyDescent="0.3">
      <c r="A1481">
        <v>1479</v>
      </c>
      <c r="B1481" s="1" t="s">
        <v>1753</v>
      </c>
      <c r="C1481" t="s">
        <v>85</v>
      </c>
      <c r="D1481" s="1" t="s">
        <v>1754</v>
      </c>
    </row>
    <row r="1482" spans="1:4" hidden="1" x14ac:dyDescent="0.3">
      <c r="A1482">
        <v>1480</v>
      </c>
      <c r="B1482" t="s">
        <v>1755</v>
      </c>
      <c r="C1482" t="s">
        <v>88</v>
      </c>
      <c r="D1482">
        <v>99980117.906483904</v>
      </c>
    </row>
    <row r="1483" spans="1:4" hidden="1" x14ac:dyDescent="0.3">
      <c r="A1483">
        <v>1481</v>
      </c>
      <c r="B1483" s="1" t="s">
        <v>1756</v>
      </c>
      <c r="C1483" t="s">
        <v>90</v>
      </c>
      <c r="D1483" s="1" t="s">
        <v>1702</v>
      </c>
    </row>
    <row r="1484" spans="1:4" hidden="1" x14ac:dyDescent="0.3">
      <c r="A1484">
        <v>1482</v>
      </c>
      <c r="B1484" t="s">
        <v>1757</v>
      </c>
      <c r="C1484" t="s">
        <v>93</v>
      </c>
      <c r="D1484">
        <v>80022880.817348793</v>
      </c>
    </row>
    <row r="1485" spans="1:4" hidden="1" x14ac:dyDescent="0.3">
      <c r="A1485">
        <v>1483</v>
      </c>
      <c r="B1485" t="s">
        <v>1758</v>
      </c>
      <c r="C1485" t="s">
        <v>95</v>
      </c>
      <c r="D1485">
        <v>35008442.357313298</v>
      </c>
    </row>
    <row r="1486" spans="1:4" hidden="1" x14ac:dyDescent="0.3">
      <c r="A1486">
        <v>1484</v>
      </c>
      <c r="B1486" t="s">
        <v>1759</v>
      </c>
      <c r="C1486" t="s">
        <v>97</v>
      </c>
      <c r="D1486">
        <v>34943998.2563539</v>
      </c>
    </row>
    <row r="1487" spans="1:4" hidden="1" x14ac:dyDescent="0.3">
      <c r="A1487">
        <v>1485</v>
      </c>
      <c r="B1487" s="1" t="s">
        <v>1760</v>
      </c>
      <c r="C1487" t="s">
        <v>99</v>
      </c>
      <c r="D1487" s="1" t="s">
        <v>1761</v>
      </c>
    </row>
    <row r="1488" spans="1:4" hidden="1" x14ac:dyDescent="0.3">
      <c r="A1488">
        <v>1486</v>
      </c>
      <c r="B1488" t="s">
        <v>1762</v>
      </c>
      <c r="C1488" t="s">
        <v>102</v>
      </c>
      <c r="D1488">
        <v>8.0128179433815398E-3</v>
      </c>
    </row>
    <row r="1489" spans="1:4" hidden="1" x14ac:dyDescent="0.3">
      <c r="A1489">
        <v>1487</v>
      </c>
      <c r="B1489" t="s">
        <v>1763</v>
      </c>
      <c r="C1489" t="s">
        <v>104</v>
      </c>
      <c r="D1489">
        <v>1.4920880053936999E-3</v>
      </c>
    </row>
    <row r="1490" spans="1:4" hidden="1" x14ac:dyDescent="0.3">
      <c r="A1490">
        <v>1488</v>
      </c>
      <c r="B1490" t="s">
        <v>1764</v>
      </c>
      <c r="C1490" t="s">
        <v>106</v>
      </c>
      <c r="D1490">
        <v>2.0074530311246602E-2</v>
      </c>
    </row>
    <row r="1491" spans="1:4" hidden="1" x14ac:dyDescent="0.3">
      <c r="A1491">
        <v>1489</v>
      </c>
      <c r="B1491" s="1" t="s">
        <v>1765</v>
      </c>
      <c r="C1491" t="s">
        <v>108</v>
      </c>
      <c r="D1491" s="1" t="s">
        <v>1766</v>
      </c>
    </row>
    <row r="1492" spans="1:4" hidden="1" x14ac:dyDescent="0.3">
      <c r="A1492">
        <v>1490</v>
      </c>
      <c r="B1492" t="s">
        <v>1767</v>
      </c>
      <c r="C1492" t="s">
        <v>196</v>
      </c>
      <c r="D1492">
        <v>149975704.77083701</v>
      </c>
    </row>
    <row r="1493" spans="1:4" hidden="1" x14ac:dyDescent="0.3">
      <c r="A1493">
        <v>1491</v>
      </c>
      <c r="B1493" t="s">
        <v>1768</v>
      </c>
      <c r="C1493" t="s">
        <v>198</v>
      </c>
      <c r="D1493">
        <v>-890.48480686101198</v>
      </c>
    </row>
    <row r="1494" spans="1:4" hidden="1" x14ac:dyDescent="0.3">
      <c r="A1494">
        <v>1492</v>
      </c>
      <c r="B1494" t="s">
        <v>1769</v>
      </c>
      <c r="C1494" t="s">
        <v>200</v>
      </c>
      <c r="D1494">
        <v>-389.568704742617</v>
      </c>
    </row>
    <row r="1495" spans="1:4" hidden="1" x14ac:dyDescent="0.3">
      <c r="A1495">
        <v>1493</v>
      </c>
      <c r="B1495" s="1" t="s">
        <v>1770</v>
      </c>
      <c r="C1495" t="s">
        <v>202</v>
      </c>
      <c r="D1495" s="1" t="s">
        <v>1771</v>
      </c>
    </row>
    <row r="1496" spans="1:4" hidden="1" x14ac:dyDescent="0.3">
      <c r="A1496">
        <v>1494</v>
      </c>
      <c r="B1496" t="s">
        <v>1772</v>
      </c>
      <c r="C1496" t="s">
        <v>205</v>
      </c>
      <c r="D1496">
        <v>80024068.174862996</v>
      </c>
    </row>
    <row r="1497" spans="1:4" hidden="1" x14ac:dyDescent="0.3">
      <c r="A1497">
        <v>1495</v>
      </c>
      <c r="B1497" t="s">
        <v>1773</v>
      </c>
      <c r="C1497" t="s">
        <v>207</v>
      </c>
      <c r="D1497">
        <v>35008876.453500301</v>
      </c>
    </row>
    <row r="1498" spans="1:4" hidden="1" x14ac:dyDescent="0.3">
      <c r="A1498">
        <v>1496</v>
      </c>
      <c r="B1498" t="s">
        <v>1774</v>
      </c>
      <c r="C1498" t="s">
        <v>209</v>
      </c>
      <c r="D1498">
        <v>34944429.047537901</v>
      </c>
    </row>
    <row r="1499" spans="1:4" hidden="1" x14ac:dyDescent="0.3">
      <c r="A1499">
        <v>1497</v>
      </c>
      <c r="B1499" s="1" t="s">
        <v>1775</v>
      </c>
      <c r="C1499" t="s">
        <v>211</v>
      </c>
      <c r="D1499" s="1" t="s">
        <v>1776</v>
      </c>
    </row>
    <row r="1500" spans="1:4" hidden="1" x14ac:dyDescent="0.3">
      <c r="A1500">
        <v>1498</v>
      </c>
      <c r="B1500" t="s">
        <v>1777</v>
      </c>
      <c r="C1500" t="s">
        <v>214</v>
      </c>
      <c r="D1500">
        <v>99981230.468850896</v>
      </c>
    </row>
    <row r="1501" spans="1:4" hidden="1" x14ac:dyDescent="0.3">
      <c r="A1501">
        <v>1499</v>
      </c>
      <c r="B1501" t="s">
        <v>1778</v>
      </c>
      <c r="C1501" t="s">
        <v>216</v>
      </c>
      <c r="D1501">
        <v>-1112.5623669773299</v>
      </c>
    </row>
    <row r="1502" spans="1:4" hidden="1" x14ac:dyDescent="0.3">
      <c r="A1502">
        <v>1500</v>
      </c>
      <c r="B1502" s="1" t="s">
        <v>1779</v>
      </c>
      <c r="C1502" t="s">
        <v>218</v>
      </c>
      <c r="D1502" s="1" t="s">
        <v>1780</v>
      </c>
    </row>
    <row r="1503" spans="1:4" hidden="1" x14ac:dyDescent="0.3">
      <c r="A1503">
        <v>1501</v>
      </c>
      <c r="B1503" t="s">
        <v>1781</v>
      </c>
      <c r="C1503" t="s">
        <v>111</v>
      </c>
      <c r="D1503">
        <v>296.87270738567503</v>
      </c>
    </row>
    <row r="1504" spans="1:4" hidden="1" x14ac:dyDescent="0.3">
      <c r="A1504">
        <v>1502</v>
      </c>
      <c r="B1504" t="s">
        <v>1782</v>
      </c>
      <c r="C1504" t="s">
        <v>113</v>
      </c>
      <c r="D1504">
        <v>44.527482243764503</v>
      </c>
    </row>
    <row r="1505" spans="1:4" hidden="1" x14ac:dyDescent="0.3">
      <c r="A1505">
        <v>1503</v>
      </c>
      <c r="B1505" s="1" t="s">
        <v>1783</v>
      </c>
      <c r="C1505" t="s">
        <v>115</v>
      </c>
      <c r="D1505" s="1" t="s">
        <v>1784</v>
      </c>
    </row>
    <row r="1506" spans="1:4" hidden="1" x14ac:dyDescent="0.3">
      <c r="A1506">
        <v>1504</v>
      </c>
      <c r="B1506" t="s">
        <v>1785</v>
      </c>
      <c r="C1506" t="s">
        <v>118</v>
      </c>
      <c r="D1506">
        <v>80024068.174862996</v>
      </c>
    </row>
    <row r="1507" spans="1:4" hidden="1" x14ac:dyDescent="0.3">
      <c r="A1507">
        <v>1505</v>
      </c>
      <c r="B1507" t="s">
        <v>1786</v>
      </c>
      <c r="C1507" t="s">
        <v>120</v>
      </c>
      <c r="D1507">
        <v>35008876.453500301</v>
      </c>
    </row>
    <row r="1508" spans="1:4" hidden="1" x14ac:dyDescent="0.3">
      <c r="A1508">
        <v>1506</v>
      </c>
      <c r="B1508" s="1" t="s">
        <v>1787</v>
      </c>
      <c r="C1508" t="s">
        <v>122</v>
      </c>
      <c r="D1508" s="1" t="s">
        <v>1788</v>
      </c>
    </row>
    <row r="1509" spans="1:4" hidden="1" x14ac:dyDescent="0.3">
      <c r="A1509">
        <v>1507</v>
      </c>
      <c r="B1509" t="s">
        <v>1789</v>
      </c>
      <c r="C1509" t="s">
        <v>125</v>
      </c>
      <c r="D1509">
        <v>0.80023177690056102</v>
      </c>
    </row>
    <row r="1510" spans="1:4" hidden="1" x14ac:dyDescent="0.3">
      <c r="A1510">
        <v>1508</v>
      </c>
      <c r="B1510" t="s">
        <v>1790</v>
      </c>
      <c r="C1510" t="s">
        <v>127</v>
      </c>
      <c r="D1510">
        <v>0.35008486884795498</v>
      </c>
    </row>
    <row r="1511" spans="1:4" hidden="1" x14ac:dyDescent="0.3">
      <c r="A1511">
        <v>1509</v>
      </c>
      <c r="B1511" s="1" t="s">
        <v>1791</v>
      </c>
      <c r="C1511" t="s">
        <v>129</v>
      </c>
      <c r="D1511" s="1" t="s">
        <v>1792</v>
      </c>
    </row>
    <row r="1512" spans="1:4" x14ac:dyDescent="0.3">
      <c r="A1512">
        <v>1510</v>
      </c>
      <c r="B1512" s="1" t="s">
        <v>3</v>
      </c>
      <c r="C1512" t="s">
        <v>4</v>
      </c>
      <c r="D1512" t="s">
        <v>5</v>
      </c>
    </row>
    <row r="1513" spans="1:4" hidden="1" x14ac:dyDescent="0.3">
      <c r="A1513">
        <v>1511</v>
      </c>
      <c r="B1513" t="s">
        <v>6</v>
      </c>
      <c r="C1513" t="s">
        <v>7</v>
      </c>
      <c r="D1513">
        <v>1981.95</v>
      </c>
    </row>
    <row r="1514" spans="1:4" hidden="1" x14ac:dyDescent="0.3">
      <c r="A1514">
        <v>1512</v>
      </c>
      <c r="B1514" s="1" t="s">
        <v>131</v>
      </c>
      <c r="C1514" t="s">
        <v>9</v>
      </c>
      <c r="D1514" s="1" t="s">
        <v>132</v>
      </c>
    </row>
    <row r="1515" spans="1:4" hidden="1" x14ac:dyDescent="0.3">
      <c r="A1515">
        <v>1513</v>
      </c>
      <c r="B1515" t="s">
        <v>13</v>
      </c>
      <c r="C1515" t="s">
        <v>14</v>
      </c>
      <c r="D1515">
        <v>91.74609375</v>
      </c>
    </row>
    <row r="1516" spans="1:4" hidden="1" x14ac:dyDescent="0.3">
      <c r="A1516">
        <v>1514</v>
      </c>
      <c r="B1516" t="s">
        <v>15</v>
      </c>
      <c r="C1516" t="s">
        <v>16</v>
      </c>
      <c r="D1516">
        <v>4.1883572307132804</v>
      </c>
    </row>
    <row r="1517" spans="1:4" hidden="1" x14ac:dyDescent="0.3">
      <c r="A1517">
        <v>1515</v>
      </c>
      <c r="B1517" s="1" t="s">
        <v>133</v>
      </c>
      <c r="C1517" t="s">
        <v>134</v>
      </c>
      <c r="D1517" s="1" t="s">
        <v>135</v>
      </c>
    </row>
    <row r="1518" spans="1:4" hidden="1" x14ac:dyDescent="0.3">
      <c r="A1518">
        <v>1516</v>
      </c>
      <c r="B1518" t="s">
        <v>21</v>
      </c>
      <c r="C1518" t="s">
        <v>22</v>
      </c>
      <c r="D1518">
        <v>38.25</v>
      </c>
    </row>
    <row r="1519" spans="1:4" hidden="1" x14ac:dyDescent="0.3">
      <c r="A1519">
        <v>1517</v>
      </c>
      <c r="B1519" t="s">
        <v>1793</v>
      </c>
      <c r="C1519" t="s">
        <v>24</v>
      </c>
      <c r="D1519">
        <v>5.74544555435976</v>
      </c>
    </row>
    <row r="1520" spans="1:4" hidden="1" x14ac:dyDescent="0.3">
      <c r="A1520">
        <v>1518</v>
      </c>
      <c r="B1520" s="1" t="s">
        <v>1794</v>
      </c>
      <c r="C1520" t="s">
        <v>138</v>
      </c>
      <c r="D1520" s="1" t="s">
        <v>1795</v>
      </c>
    </row>
    <row r="1521" spans="1:4" hidden="1" x14ac:dyDescent="0.3">
      <c r="A1521">
        <v>1519</v>
      </c>
      <c r="B1521" t="s">
        <v>1796</v>
      </c>
      <c r="C1521" t="s">
        <v>35</v>
      </c>
      <c r="D1521">
        <v>0.54461186438315001</v>
      </c>
    </row>
    <row r="1522" spans="1:4" hidden="1" x14ac:dyDescent="0.3">
      <c r="A1522">
        <v>1520</v>
      </c>
      <c r="B1522" t="s">
        <v>1797</v>
      </c>
      <c r="C1522" t="s">
        <v>142</v>
      </c>
      <c r="D1522">
        <v>0.69539304875097396</v>
      </c>
    </row>
    <row r="1523" spans="1:4" hidden="1" x14ac:dyDescent="0.3">
      <c r="A1523">
        <v>1521</v>
      </c>
      <c r="B1523" s="1" t="s">
        <v>1798</v>
      </c>
      <c r="C1523" t="s">
        <v>144</v>
      </c>
      <c r="D1523" s="1" t="s">
        <v>1799</v>
      </c>
    </row>
    <row r="1524" spans="1:4" hidden="1" x14ac:dyDescent="0.3">
      <c r="A1524">
        <v>1522</v>
      </c>
      <c r="B1524" t="s">
        <v>1800</v>
      </c>
      <c r="C1524" t="s">
        <v>30</v>
      </c>
      <c r="D1524">
        <v>0.192332164589508</v>
      </c>
    </row>
    <row r="1525" spans="1:4" hidden="1" x14ac:dyDescent="0.3">
      <c r="A1525">
        <v>1523</v>
      </c>
      <c r="B1525" t="s">
        <v>1801</v>
      </c>
      <c r="C1525" t="s">
        <v>32</v>
      </c>
      <c r="D1525">
        <v>0.241334789771635</v>
      </c>
    </row>
    <row r="1526" spans="1:4" hidden="1" x14ac:dyDescent="0.3">
      <c r="A1526">
        <v>1524</v>
      </c>
      <c r="B1526" s="1" t="s">
        <v>1802</v>
      </c>
      <c r="C1526" t="s">
        <v>148</v>
      </c>
      <c r="D1526" s="1" t="s">
        <v>1803</v>
      </c>
    </row>
    <row r="1527" spans="1:4" hidden="1" x14ac:dyDescent="0.3">
      <c r="A1527">
        <v>1525</v>
      </c>
      <c r="B1527" t="s">
        <v>1804</v>
      </c>
      <c r="C1527" t="s">
        <v>40</v>
      </c>
      <c r="D1527">
        <v>0.26305597102734102</v>
      </c>
    </row>
    <row r="1528" spans="1:4" hidden="1" x14ac:dyDescent="0.3">
      <c r="A1528">
        <v>1526</v>
      </c>
      <c r="B1528" t="s">
        <v>1805</v>
      </c>
      <c r="C1528" t="s">
        <v>42</v>
      </c>
      <c r="D1528">
        <v>0.196700867611111</v>
      </c>
    </row>
    <row r="1529" spans="1:4" hidden="1" x14ac:dyDescent="0.3">
      <c r="A1529">
        <v>1527</v>
      </c>
      <c r="B1529" s="1" t="s">
        <v>1806</v>
      </c>
      <c r="C1529" t="s">
        <v>152</v>
      </c>
      <c r="D1529" s="1" t="s">
        <v>1807</v>
      </c>
    </row>
    <row r="1530" spans="1:4" hidden="1" x14ac:dyDescent="0.3">
      <c r="A1530">
        <v>1528</v>
      </c>
      <c r="B1530" t="s">
        <v>153</v>
      </c>
      <c r="C1530" t="s">
        <v>154</v>
      </c>
      <c r="D1530">
        <v>1</v>
      </c>
    </row>
    <row r="1531" spans="1:4" hidden="1" x14ac:dyDescent="0.3">
      <c r="A1531">
        <v>1529</v>
      </c>
      <c r="B1531" t="s">
        <v>155</v>
      </c>
      <c r="C1531" t="s">
        <v>156</v>
      </c>
      <c r="D1531">
        <v>1</v>
      </c>
    </row>
    <row r="1532" spans="1:4" hidden="1" x14ac:dyDescent="0.3">
      <c r="A1532">
        <v>1530</v>
      </c>
      <c r="B1532" s="1" t="s">
        <v>1808</v>
      </c>
      <c r="C1532" t="s">
        <v>158</v>
      </c>
      <c r="D1532" s="1" t="s">
        <v>1809</v>
      </c>
    </row>
    <row r="1533" spans="1:4" hidden="1" x14ac:dyDescent="0.3">
      <c r="A1533">
        <v>1531</v>
      </c>
      <c r="B1533" t="s">
        <v>1810</v>
      </c>
      <c r="C1533" t="s">
        <v>161</v>
      </c>
      <c r="D1533">
        <v>0.99994460521379802</v>
      </c>
    </row>
    <row r="1534" spans="1:4" hidden="1" x14ac:dyDescent="0.3">
      <c r="A1534">
        <v>1532</v>
      </c>
      <c r="B1534" t="s">
        <v>1811</v>
      </c>
      <c r="C1534" t="s">
        <v>163</v>
      </c>
      <c r="D1534">
        <v>0.99997290324743104</v>
      </c>
    </row>
    <row r="1535" spans="1:4" hidden="1" x14ac:dyDescent="0.3">
      <c r="A1535">
        <v>1533</v>
      </c>
      <c r="B1535" s="1" t="s">
        <v>1812</v>
      </c>
      <c r="C1535" t="s">
        <v>165</v>
      </c>
      <c r="D1535" s="1" t="s">
        <v>1813</v>
      </c>
    </row>
    <row r="1536" spans="1:4" hidden="1" x14ac:dyDescent="0.3">
      <c r="A1536">
        <v>1534</v>
      </c>
      <c r="B1536" s="1" t="s">
        <v>1814</v>
      </c>
      <c r="C1536" t="s">
        <v>55</v>
      </c>
      <c r="D1536" s="1" t="s">
        <v>1815</v>
      </c>
    </row>
    <row r="1537" spans="1:4" hidden="1" x14ac:dyDescent="0.3">
      <c r="A1537">
        <v>1535</v>
      </c>
      <c r="B1537" s="1" t="s">
        <v>1816</v>
      </c>
      <c r="C1537" t="s">
        <v>52</v>
      </c>
      <c r="D1537" s="1" t="s">
        <v>1817</v>
      </c>
    </row>
    <row r="1538" spans="1:4" hidden="1" x14ac:dyDescent="0.3">
      <c r="A1538">
        <v>1536</v>
      </c>
      <c r="B1538" s="1" t="s">
        <v>1818</v>
      </c>
      <c r="C1538" t="s">
        <v>58</v>
      </c>
      <c r="D1538" s="1" t="s">
        <v>1819</v>
      </c>
    </row>
    <row r="1539" spans="1:4" hidden="1" x14ac:dyDescent="0.3">
      <c r="A1539">
        <v>1537</v>
      </c>
      <c r="B1539" t="s">
        <v>1820</v>
      </c>
      <c r="C1539" t="s">
        <v>60</v>
      </c>
      <c r="D1539">
        <v>149970287.510663</v>
      </c>
    </row>
    <row r="1540" spans="1:4" hidden="1" x14ac:dyDescent="0.3">
      <c r="A1540">
        <v>1538</v>
      </c>
      <c r="B1540" t="s">
        <v>1821</v>
      </c>
      <c r="C1540" t="s">
        <v>62</v>
      </c>
      <c r="D1540">
        <v>80024068.174862996</v>
      </c>
    </row>
    <row r="1541" spans="1:4" hidden="1" x14ac:dyDescent="0.3">
      <c r="A1541">
        <v>1539</v>
      </c>
      <c r="B1541" t="s">
        <v>1822</v>
      </c>
      <c r="C1541" t="s">
        <v>64</v>
      </c>
      <c r="D1541">
        <v>35008876.453500301</v>
      </c>
    </row>
    <row r="1542" spans="1:4" hidden="1" x14ac:dyDescent="0.3">
      <c r="A1542">
        <v>1540</v>
      </c>
      <c r="B1542" s="1" t="s">
        <v>1823</v>
      </c>
      <c r="C1542" t="s">
        <v>66</v>
      </c>
      <c r="D1542" s="1" t="s">
        <v>1824</v>
      </c>
    </row>
    <row r="1543" spans="1:4" hidden="1" x14ac:dyDescent="0.3">
      <c r="A1543">
        <v>1541</v>
      </c>
      <c r="B1543" s="1" t="s">
        <v>1825</v>
      </c>
      <c r="C1543" t="s">
        <v>69</v>
      </c>
      <c r="D1543" s="1" t="s">
        <v>1826</v>
      </c>
    </row>
    <row r="1544" spans="1:4" hidden="1" x14ac:dyDescent="0.3">
      <c r="A1544">
        <v>1542</v>
      </c>
      <c r="B1544" t="s">
        <v>1827</v>
      </c>
      <c r="C1544" t="s">
        <v>72</v>
      </c>
      <c r="D1544">
        <v>1.0001988604727801</v>
      </c>
    </row>
    <row r="1545" spans="1:4" hidden="1" x14ac:dyDescent="0.3">
      <c r="A1545">
        <v>1543</v>
      </c>
      <c r="B1545" t="s">
        <v>73</v>
      </c>
      <c r="C1545" t="s">
        <v>74</v>
      </c>
      <c r="D1545">
        <v>2.7397260273972599E-3</v>
      </c>
    </row>
    <row r="1546" spans="1:4" hidden="1" x14ac:dyDescent="0.3">
      <c r="A1546">
        <v>1544</v>
      </c>
      <c r="B1546" t="s">
        <v>75</v>
      </c>
      <c r="C1546" t="s">
        <v>76</v>
      </c>
      <c r="D1546">
        <v>0</v>
      </c>
    </row>
    <row r="1547" spans="1:4" hidden="1" x14ac:dyDescent="0.3">
      <c r="A1547">
        <v>1545</v>
      </c>
      <c r="B1547" t="s">
        <v>77</v>
      </c>
      <c r="C1547" t="s">
        <v>78</v>
      </c>
      <c r="D1547">
        <v>0</v>
      </c>
    </row>
    <row r="1548" spans="1:4" hidden="1" x14ac:dyDescent="0.3">
      <c r="A1548">
        <v>1546</v>
      </c>
      <c r="B1548" s="1" t="s">
        <v>1828</v>
      </c>
      <c r="C1548" t="s">
        <v>80</v>
      </c>
      <c r="D1548" s="1" t="s">
        <v>1829</v>
      </c>
    </row>
    <row r="1549" spans="1:4" hidden="1" x14ac:dyDescent="0.3">
      <c r="A1549">
        <v>1547</v>
      </c>
      <c r="B1549" t="s">
        <v>1830</v>
      </c>
      <c r="C1549" t="s">
        <v>83</v>
      </c>
      <c r="D1549">
        <v>1.0001865623687101</v>
      </c>
    </row>
    <row r="1550" spans="1:4" hidden="1" x14ac:dyDescent="0.3">
      <c r="A1550">
        <v>1548</v>
      </c>
      <c r="B1550" s="1" t="s">
        <v>1831</v>
      </c>
      <c r="C1550" t="s">
        <v>85</v>
      </c>
      <c r="D1550" s="1" t="s">
        <v>1832</v>
      </c>
    </row>
    <row r="1551" spans="1:4" hidden="1" x14ac:dyDescent="0.3">
      <c r="A1551">
        <v>1549</v>
      </c>
      <c r="B1551" t="s">
        <v>1833</v>
      </c>
      <c r="C1551" t="s">
        <v>88</v>
      </c>
      <c r="D1551">
        <v>99981347.243030697</v>
      </c>
    </row>
    <row r="1552" spans="1:4" hidden="1" x14ac:dyDescent="0.3">
      <c r="A1552">
        <v>1550</v>
      </c>
      <c r="B1552" s="1" t="s">
        <v>1834</v>
      </c>
      <c r="C1552" t="s">
        <v>90</v>
      </c>
      <c r="D1552" s="1" t="s">
        <v>1780</v>
      </c>
    </row>
    <row r="1553" spans="1:4" hidden="1" x14ac:dyDescent="0.3">
      <c r="A1553">
        <v>1551</v>
      </c>
      <c r="B1553" t="s">
        <v>1835</v>
      </c>
      <c r="C1553" t="s">
        <v>93</v>
      </c>
      <c r="D1553">
        <v>80024068.174862996</v>
      </c>
    </row>
    <row r="1554" spans="1:4" hidden="1" x14ac:dyDescent="0.3">
      <c r="A1554">
        <v>1552</v>
      </c>
      <c r="B1554" t="s">
        <v>1836</v>
      </c>
      <c r="C1554" t="s">
        <v>95</v>
      </c>
      <c r="D1554">
        <v>35008876.453500301</v>
      </c>
    </row>
    <row r="1555" spans="1:4" hidden="1" x14ac:dyDescent="0.3">
      <c r="A1555">
        <v>1553</v>
      </c>
      <c r="B1555" t="s">
        <v>1837</v>
      </c>
      <c r="C1555" t="s">
        <v>97</v>
      </c>
      <c r="D1555">
        <v>34937342.882299803</v>
      </c>
    </row>
    <row r="1556" spans="1:4" hidden="1" x14ac:dyDescent="0.3">
      <c r="A1556">
        <v>1554</v>
      </c>
      <c r="B1556" s="1" t="s">
        <v>1838</v>
      </c>
      <c r="C1556" t="s">
        <v>99</v>
      </c>
      <c r="D1556" s="1" t="s">
        <v>1839</v>
      </c>
    </row>
    <row r="1557" spans="1:4" hidden="1" x14ac:dyDescent="0.3">
      <c r="A1557">
        <v>1555</v>
      </c>
      <c r="B1557" t="s">
        <v>1840</v>
      </c>
      <c r="C1557" t="s">
        <v>102</v>
      </c>
      <c r="D1557">
        <v>8.0560573119641595E-3</v>
      </c>
    </row>
    <row r="1558" spans="1:4" hidden="1" x14ac:dyDescent="0.3">
      <c r="A1558">
        <v>1556</v>
      </c>
      <c r="B1558" t="s">
        <v>1841</v>
      </c>
      <c r="C1558" t="s">
        <v>104</v>
      </c>
      <c r="D1558">
        <v>1.5017126923647999E-3</v>
      </c>
    </row>
    <row r="1559" spans="1:4" hidden="1" x14ac:dyDescent="0.3">
      <c r="A1559">
        <v>1557</v>
      </c>
      <c r="B1559" t="s">
        <v>1842</v>
      </c>
      <c r="C1559" t="s">
        <v>106</v>
      </c>
      <c r="D1559">
        <v>2.0185373093897601E-2</v>
      </c>
    </row>
    <row r="1560" spans="1:4" hidden="1" x14ac:dyDescent="0.3">
      <c r="A1560">
        <v>1558</v>
      </c>
      <c r="B1560" s="1" t="s">
        <v>1843</v>
      </c>
      <c r="C1560" t="s">
        <v>108</v>
      </c>
      <c r="D1560" s="1" t="s">
        <v>1844</v>
      </c>
    </row>
    <row r="1561" spans="1:4" hidden="1" x14ac:dyDescent="0.3">
      <c r="A1561">
        <v>1559</v>
      </c>
      <c r="B1561" t="s">
        <v>1845</v>
      </c>
      <c r="C1561" t="s">
        <v>196</v>
      </c>
      <c r="D1561">
        <v>149969864.07707801</v>
      </c>
    </row>
    <row r="1562" spans="1:4" hidden="1" x14ac:dyDescent="0.3">
      <c r="A1562">
        <v>1560</v>
      </c>
      <c r="B1562" t="s">
        <v>1846</v>
      </c>
      <c r="C1562" t="s">
        <v>198</v>
      </c>
      <c r="D1562">
        <v>983.94461621685696</v>
      </c>
    </row>
    <row r="1563" spans="1:4" hidden="1" x14ac:dyDescent="0.3">
      <c r="A1563">
        <v>1561</v>
      </c>
      <c r="B1563" t="s">
        <v>1847</v>
      </c>
      <c r="C1563" t="s">
        <v>200</v>
      </c>
      <c r="D1563">
        <v>430.45660091271498</v>
      </c>
    </row>
    <row r="1564" spans="1:4" hidden="1" x14ac:dyDescent="0.3">
      <c r="A1564">
        <v>1562</v>
      </c>
      <c r="B1564" s="1" t="s">
        <v>1848</v>
      </c>
      <c r="C1564" t="s">
        <v>202</v>
      </c>
      <c r="D1564" s="1" t="s">
        <v>1849</v>
      </c>
    </row>
    <row r="1565" spans="1:4" hidden="1" x14ac:dyDescent="0.3">
      <c r="A1565">
        <v>1563</v>
      </c>
      <c r="B1565" t="s">
        <v>1850</v>
      </c>
      <c r="C1565" t="s">
        <v>205</v>
      </c>
      <c r="D1565">
        <v>80022756.178349093</v>
      </c>
    </row>
    <row r="1566" spans="1:4" hidden="1" x14ac:dyDescent="0.3">
      <c r="A1566">
        <v>1564</v>
      </c>
      <c r="B1566" t="s">
        <v>1851</v>
      </c>
      <c r="C1566" t="s">
        <v>207</v>
      </c>
      <c r="D1566">
        <v>35008396.867540099</v>
      </c>
    </row>
    <row r="1567" spans="1:4" hidden="1" x14ac:dyDescent="0.3">
      <c r="A1567">
        <v>1565</v>
      </c>
      <c r="B1567" t="s">
        <v>1852</v>
      </c>
      <c r="C1567" t="s">
        <v>209</v>
      </c>
      <c r="D1567">
        <v>34936867.0528877</v>
      </c>
    </row>
    <row r="1568" spans="1:4" hidden="1" x14ac:dyDescent="0.3">
      <c r="A1568">
        <v>1566</v>
      </c>
      <c r="B1568" s="1" t="s">
        <v>1853</v>
      </c>
      <c r="C1568" t="s">
        <v>211</v>
      </c>
      <c r="D1568" s="1" t="s">
        <v>1854</v>
      </c>
    </row>
    <row r="1569" spans="1:4" hidden="1" x14ac:dyDescent="0.3">
      <c r="A1569">
        <v>1567</v>
      </c>
      <c r="B1569" t="s">
        <v>1855</v>
      </c>
      <c r="C1569" t="s">
        <v>214</v>
      </c>
      <c r="D1569">
        <v>99980117.906483904</v>
      </c>
    </row>
    <row r="1570" spans="1:4" hidden="1" x14ac:dyDescent="0.3">
      <c r="A1570">
        <v>1568</v>
      </c>
      <c r="B1570" t="s">
        <v>1856</v>
      </c>
      <c r="C1570" t="s">
        <v>216</v>
      </c>
      <c r="D1570">
        <v>1229.33654676377</v>
      </c>
    </row>
    <row r="1571" spans="1:4" hidden="1" x14ac:dyDescent="0.3">
      <c r="A1571">
        <v>1569</v>
      </c>
      <c r="B1571" s="1" t="s">
        <v>1857</v>
      </c>
      <c r="C1571" t="s">
        <v>218</v>
      </c>
      <c r="D1571" s="1" t="s">
        <v>1858</v>
      </c>
    </row>
    <row r="1572" spans="1:4" hidden="1" x14ac:dyDescent="0.3">
      <c r="A1572">
        <v>1570</v>
      </c>
      <c r="B1572" t="s">
        <v>1859</v>
      </c>
      <c r="C1572" t="s">
        <v>111</v>
      </c>
      <c r="D1572">
        <v>-328.05189768193901</v>
      </c>
    </row>
    <row r="1573" spans="1:4" hidden="1" x14ac:dyDescent="0.3">
      <c r="A1573">
        <v>1571</v>
      </c>
      <c r="B1573" t="s">
        <v>1860</v>
      </c>
      <c r="C1573" t="s">
        <v>113</v>
      </c>
      <c r="D1573">
        <v>-49.129359286525101</v>
      </c>
    </row>
    <row r="1574" spans="1:4" hidden="1" x14ac:dyDescent="0.3">
      <c r="A1574">
        <v>1572</v>
      </c>
      <c r="B1574" s="1" t="s">
        <v>1861</v>
      </c>
      <c r="C1574" t="s">
        <v>115</v>
      </c>
      <c r="D1574" s="1" t="s">
        <v>1862</v>
      </c>
    </row>
    <row r="1575" spans="1:4" hidden="1" x14ac:dyDescent="0.3">
      <c r="A1575">
        <v>1573</v>
      </c>
      <c r="B1575" t="s">
        <v>1863</v>
      </c>
      <c r="C1575" t="s">
        <v>118</v>
      </c>
      <c r="D1575">
        <v>80022756.178349093</v>
      </c>
    </row>
    <row r="1576" spans="1:4" hidden="1" x14ac:dyDescent="0.3">
      <c r="A1576">
        <v>1574</v>
      </c>
      <c r="B1576" t="s">
        <v>1864</v>
      </c>
      <c r="C1576" t="s">
        <v>120</v>
      </c>
      <c r="D1576">
        <v>35008396.867540099</v>
      </c>
    </row>
    <row r="1577" spans="1:4" hidden="1" x14ac:dyDescent="0.3">
      <c r="A1577">
        <v>1575</v>
      </c>
      <c r="B1577" s="1" t="s">
        <v>1865</v>
      </c>
      <c r="C1577" t="s">
        <v>122</v>
      </c>
      <c r="D1577" s="1" t="s">
        <v>1866</v>
      </c>
    </row>
    <row r="1578" spans="1:4" hidden="1" x14ac:dyDescent="0.3">
      <c r="A1578">
        <v>1576</v>
      </c>
      <c r="B1578" t="s">
        <v>1867</v>
      </c>
      <c r="C1578" t="s">
        <v>125</v>
      </c>
      <c r="D1578">
        <v>0.80023740122965303</v>
      </c>
    </row>
    <row r="1579" spans="1:4" hidden="1" x14ac:dyDescent="0.3">
      <c r="A1579">
        <v>1577</v>
      </c>
      <c r="B1579" t="s">
        <v>1868</v>
      </c>
      <c r="C1579" t="s">
        <v>127</v>
      </c>
      <c r="D1579">
        <v>0.35008827324141001</v>
      </c>
    </row>
    <row r="1580" spans="1:4" hidden="1" x14ac:dyDescent="0.3">
      <c r="A1580">
        <v>1578</v>
      </c>
      <c r="B1580" s="1" t="s">
        <v>1869</v>
      </c>
      <c r="C1580" t="s">
        <v>129</v>
      </c>
      <c r="D1580" s="1" t="s">
        <v>1870</v>
      </c>
    </row>
    <row r="1581" spans="1:4" x14ac:dyDescent="0.3">
      <c r="A1581">
        <v>1579</v>
      </c>
      <c r="B1581" s="1" t="s">
        <v>3</v>
      </c>
      <c r="C1581" t="s">
        <v>4</v>
      </c>
      <c r="D1581" t="s">
        <v>5</v>
      </c>
    </row>
    <row r="1582" spans="1:4" hidden="1" x14ac:dyDescent="0.3">
      <c r="A1582">
        <v>1580</v>
      </c>
      <c r="B1582" t="s">
        <v>6</v>
      </c>
      <c r="C1582" t="s">
        <v>7</v>
      </c>
      <c r="D1582">
        <v>1981.95</v>
      </c>
    </row>
    <row r="1583" spans="1:4" hidden="1" x14ac:dyDescent="0.3">
      <c r="A1583">
        <v>1581</v>
      </c>
      <c r="B1583" s="1" t="s">
        <v>131</v>
      </c>
      <c r="C1583" t="s">
        <v>9</v>
      </c>
      <c r="D1583" s="1" t="s">
        <v>132</v>
      </c>
    </row>
    <row r="1584" spans="1:4" hidden="1" x14ac:dyDescent="0.3">
      <c r="A1584">
        <v>1582</v>
      </c>
      <c r="B1584" t="s">
        <v>13</v>
      </c>
      <c r="C1584" t="s">
        <v>14</v>
      </c>
      <c r="D1584">
        <v>91.74609375</v>
      </c>
    </row>
    <row r="1585" spans="1:4" hidden="1" x14ac:dyDescent="0.3">
      <c r="A1585">
        <v>1583</v>
      </c>
      <c r="B1585" t="s">
        <v>15</v>
      </c>
      <c r="C1585" t="s">
        <v>16</v>
      </c>
      <c r="D1585">
        <v>4.1883572307132804</v>
      </c>
    </row>
    <row r="1586" spans="1:4" hidden="1" x14ac:dyDescent="0.3">
      <c r="A1586">
        <v>1584</v>
      </c>
      <c r="B1586" s="1" t="s">
        <v>133</v>
      </c>
      <c r="C1586" t="s">
        <v>134</v>
      </c>
      <c r="D1586" s="1" t="s">
        <v>135</v>
      </c>
    </row>
    <row r="1587" spans="1:4" hidden="1" x14ac:dyDescent="0.3">
      <c r="A1587">
        <v>1585</v>
      </c>
      <c r="B1587" t="s">
        <v>21</v>
      </c>
      <c r="C1587" t="s">
        <v>22</v>
      </c>
      <c r="D1587">
        <v>38.25</v>
      </c>
    </row>
    <row r="1588" spans="1:4" hidden="1" x14ac:dyDescent="0.3">
      <c r="A1588">
        <v>1586</v>
      </c>
      <c r="B1588" t="s">
        <v>1871</v>
      </c>
      <c r="C1588" t="s">
        <v>24</v>
      </c>
      <c r="D1588">
        <v>5.7383312371846902</v>
      </c>
    </row>
    <row r="1589" spans="1:4" hidden="1" x14ac:dyDescent="0.3">
      <c r="A1589">
        <v>1587</v>
      </c>
      <c r="B1589" s="1" t="s">
        <v>1872</v>
      </c>
      <c r="C1589" t="s">
        <v>138</v>
      </c>
      <c r="D1589" s="1" t="s">
        <v>1873</v>
      </c>
    </row>
    <row r="1590" spans="1:4" hidden="1" x14ac:dyDescent="0.3">
      <c r="A1590">
        <v>1588</v>
      </c>
      <c r="B1590" t="s">
        <v>1874</v>
      </c>
      <c r="C1590" t="s">
        <v>35</v>
      </c>
      <c r="D1590">
        <v>0.54257165420271303</v>
      </c>
    </row>
    <row r="1591" spans="1:4" hidden="1" x14ac:dyDescent="0.3">
      <c r="A1591">
        <v>1589</v>
      </c>
      <c r="B1591" t="s">
        <v>1875</v>
      </c>
      <c r="C1591" t="s">
        <v>142</v>
      </c>
      <c r="D1591">
        <v>0.69559176949405099</v>
      </c>
    </row>
    <row r="1592" spans="1:4" hidden="1" x14ac:dyDescent="0.3">
      <c r="A1592">
        <v>1590</v>
      </c>
      <c r="B1592" s="1" t="s">
        <v>1876</v>
      </c>
      <c r="C1592" t="s">
        <v>144</v>
      </c>
      <c r="D1592" s="1" t="s">
        <v>1877</v>
      </c>
    </row>
    <row r="1593" spans="1:4" hidden="1" x14ac:dyDescent="0.3">
      <c r="A1593">
        <v>1591</v>
      </c>
      <c r="B1593" t="s">
        <v>1878</v>
      </c>
      <c r="C1593" t="s">
        <v>30</v>
      </c>
      <c r="D1593">
        <v>0.19161165505623601</v>
      </c>
    </row>
    <row r="1594" spans="1:4" hidden="1" x14ac:dyDescent="0.3">
      <c r="A1594">
        <v>1592</v>
      </c>
      <c r="B1594" t="s">
        <v>1879</v>
      </c>
      <c r="C1594" t="s">
        <v>32</v>
      </c>
      <c r="D1594">
        <v>0.24114774960041399</v>
      </c>
    </row>
    <row r="1595" spans="1:4" hidden="1" x14ac:dyDescent="0.3">
      <c r="A1595">
        <v>1593</v>
      </c>
      <c r="B1595" s="1" t="s">
        <v>1880</v>
      </c>
      <c r="C1595" t="s">
        <v>148</v>
      </c>
      <c r="D1595" s="1" t="s">
        <v>1881</v>
      </c>
    </row>
    <row r="1596" spans="1:4" hidden="1" x14ac:dyDescent="0.3">
      <c r="A1596">
        <v>1594</v>
      </c>
      <c r="B1596" t="s">
        <v>1882</v>
      </c>
      <c r="C1596" t="s">
        <v>40</v>
      </c>
      <c r="D1596">
        <v>0.26581669074104902</v>
      </c>
    </row>
    <row r="1597" spans="1:4" hidden="1" x14ac:dyDescent="0.3">
      <c r="A1597">
        <v>1595</v>
      </c>
      <c r="B1597" t="s">
        <v>1883</v>
      </c>
      <c r="C1597" t="s">
        <v>42</v>
      </c>
      <c r="D1597">
        <v>0.19647708130775399</v>
      </c>
    </row>
    <row r="1598" spans="1:4" hidden="1" x14ac:dyDescent="0.3">
      <c r="A1598">
        <v>1596</v>
      </c>
      <c r="B1598" s="1" t="s">
        <v>1884</v>
      </c>
      <c r="C1598" t="s">
        <v>152</v>
      </c>
      <c r="D1598" s="1" t="s">
        <v>1885</v>
      </c>
    </row>
    <row r="1599" spans="1:4" hidden="1" x14ac:dyDescent="0.3">
      <c r="A1599">
        <v>1597</v>
      </c>
      <c r="B1599" t="s">
        <v>153</v>
      </c>
      <c r="C1599" t="s">
        <v>154</v>
      </c>
      <c r="D1599">
        <v>1</v>
      </c>
    </row>
    <row r="1600" spans="1:4" hidden="1" x14ac:dyDescent="0.3">
      <c r="A1600">
        <v>1598</v>
      </c>
      <c r="B1600" t="s">
        <v>155</v>
      </c>
      <c r="C1600" t="s">
        <v>156</v>
      </c>
      <c r="D1600">
        <v>1</v>
      </c>
    </row>
    <row r="1601" spans="1:4" hidden="1" x14ac:dyDescent="0.3">
      <c r="A1601">
        <v>1599</v>
      </c>
      <c r="B1601" s="1" t="s">
        <v>1886</v>
      </c>
      <c r="C1601" t="s">
        <v>158</v>
      </c>
      <c r="D1601" s="1" t="s">
        <v>1887</v>
      </c>
    </row>
    <row r="1602" spans="1:4" hidden="1" x14ac:dyDescent="0.3">
      <c r="A1602">
        <v>1600</v>
      </c>
      <c r="B1602" t="s">
        <v>1888</v>
      </c>
      <c r="C1602" t="s">
        <v>161</v>
      </c>
      <c r="D1602">
        <v>1.0001172121964399</v>
      </c>
    </row>
    <row r="1603" spans="1:4" hidden="1" x14ac:dyDescent="0.3">
      <c r="A1603">
        <v>1601</v>
      </c>
      <c r="B1603" t="s">
        <v>1889</v>
      </c>
      <c r="C1603" t="s">
        <v>163</v>
      </c>
      <c r="D1603">
        <v>0.99984932334712395</v>
      </c>
    </row>
    <row r="1604" spans="1:4" hidden="1" x14ac:dyDescent="0.3">
      <c r="A1604">
        <v>1602</v>
      </c>
      <c r="B1604" s="1" t="s">
        <v>1890</v>
      </c>
      <c r="C1604" t="s">
        <v>165</v>
      </c>
      <c r="D1604" s="1" t="s">
        <v>1891</v>
      </c>
    </row>
    <row r="1605" spans="1:4" hidden="1" x14ac:dyDescent="0.3">
      <c r="A1605">
        <v>1603</v>
      </c>
      <c r="B1605" s="1" t="s">
        <v>1892</v>
      </c>
      <c r="C1605" t="s">
        <v>55</v>
      </c>
      <c r="D1605" s="1" t="s">
        <v>1893</v>
      </c>
    </row>
    <row r="1606" spans="1:4" hidden="1" x14ac:dyDescent="0.3">
      <c r="A1606">
        <v>1604</v>
      </c>
      <c r="B1606" s="1" t="s">
        <v>1894</v>
      </c>
      <c r="C1606" t="s">
        <v>52</v>
      </c>
      <c r="D1606" s="1" t="s">
        <v>1895</v>
      </c>
    </row>
    <row r="1607" spans="1:4" hidden="1" x14ac:dyDescent="0.3">
      <c r="A1607">
        <v>1605</v>
      </c>
      <c r="B1607" s="1" t="s">
        <v>1896</v>
      </c>
      <c r="C1607" t="s">
        <v>58</v>
      </c>
      <c r="D1607" s="1" t="s">
        <v>1897</v>
      </c>
    </row>
    <row r="1608" spans="1:4" hidden="1" x14ac:dyDescent="0.3">
      <c r="A1608">
        <v>1606</v>
      </c>
      <c r="B1608" t="s">
        <v>1898</v>
      </c>
      <c r="C1608" t="s">
        <v>60</v>
      </c>
      <c r="D1608">
        <v>149962370.60596699</v>
      </c>
    </row>
    <row r="1609" spans="1:4" hidden="1" x14ac:dyDescent="0.3">
      <c r="A1609">
        <v>1607</v>
      </c>
      <c r="B1609" t="s">
        <v>1899</v>
      </c>
      <c r="C1609" t="s">
        <v>62</v>
      </c>
      <c r="D1609">
        <v>80022756.178349093</v>
      </c>
    </row>
    <row r="1610" spans="1:4" hidden="1" x14ac:dyDescent="0.3">
      <c r="A1610">
        <v>1608</v>
      </c>
      <c r="B1610" t="s">
        <v>1900</v>
      </c>
      <c r="C1610" t="s">
        <v>64</v>
      </c>
      <c r="D1610">
        <v>35008396.867540099</v>
      </c>
    </row>
    <row r="1611" spans="1:4" hidden="1" x14ac:dyDescent="0.3">
      <c r="A1611">
        <v>1609</v>
      </c>
      <c r="B1611" s="1" t="s">
        <v>1901</v>
      </c>
      <c r="C1611" t="s">
        <v>66</v>
      </c>
      <c r="D1611" s="1" t="s">
        <v>1902</v>
      </c>
    </row>
    <row r="1612" spans="1:4" hidden="1" x14ac:dyDescent="0.3">
      <c r="A1612">
        <v>1610</v>
      </c>
      <c r="B1612" s="1" t="s">
        <v>1903</v>
      </c>
      <c r="C1612" t="s">
        <v>69</v>
      </c>
      <c r="D1612" s="1" t="s">
        <v>1904</v>
      </c>
    </row>
    <row r="1613" spans="1:4" hidden="1" x14ac:dyDescent="0.3">
      <c r="A1613">
        <v>1611</v>
      </c>
      <c r="B1613" t="s">
        <v>1905</v>
      </c>
      <c r="C1613" t="s">
        <v>72</v>
      </c>
      <c r="D1613">
        <v>1.0001865623687101</v>
      </c>
    </row>
    <row r="1614" spans="1:4" hidden="1" x14ac:dyDescent="0.3">
      <c r="A1614">
        <v>1612</v>
      </c>
      <c r="B1614" t="s">
        <v>73</v>
      </c>
      <c r="C1614" t="s">
        <v>74</v>
      </c>
      <c r="D1614">
        <v>2.7397260273972599E-3</v>
      </c>
    </row>
    <row r="1615" spans="1:4" hidden="1" x14ac:dyDescent="0.3">
      <c r="A1615">
        <v>1613</v>
      </c>
      <c r="B1615" t="s">
        <v>75</v>
      </c>
      <c r="C1615" t="s">
        <v>76</v>
      </c>
      <c r="D1615">
        <v>0</v>
      </c>
    </row>
    <row r="1616" spans="1:4" hidden="1" x14ac:dyDescent="0.3">
      <c r="A1616">
        <v>1614</v>
      </c>
      <c r="B1616" t="s">
        <v>969</v>
      </c>
      <c r="C1616" t="s">
        <v>78</v>
      </c>
      <c r="D1616" s="2">
        <v>2.2204460492503101E-16</v>
      </c>
    </row>
    <row r="1617" spans="1:4" hidden="1" x14ac:dyDescent="0.3">
      <c r="A1617">
        <v>1615</v>
      </c>
      <c r="B1617" s="1" t="s">
        <v>1906</v>
      </c>
      <c r="C1617" t="s">
        <v>80</v>
      </c>
      <c r="D1617" s="1" t="s">
        <v>1907</v>
      </c>
    </row>
    <row r="1618" spans="1:4" hidden="1" x14ac:dyDescent="0.3">
      <c r="A1618">
        <v>1616</v>
      </c>
      <c r="B1618" t="s">
        <v>1908</v>
      </c>
      <c r="C1618" t="s">
        <v>83</v>
      </c>
      <c r="D1618">
        <v>1.00013254800898</v>
      </c>
    </row>
    <row r="1619" spans="1:4" hidden="1" x14ac:dyDescent="0.3">
      <c r="A1619">
        <v>1617</v>
      </c>
      <c r="B1619" s="1" t="s">
        <v>1909</v>
      </c>
      <c r="C1619" t="s">
        <v>85</v>
      </c>
      <c r="D1619" s="1" t="s">
        <v>1910</v>
      </c>
    </row>
    <row r="1620" spans="1:4" hidden="1" x14ac:dyDescent="0.3">
      <c r="A1620">
        <v>1618</v>
      </c>
      <c r="B1620" t="s">
        <v>1911</v>
      </c>
      <c r="C1620" t="s">
        <v>88</v>
      </c>
      <c r="D1620">
        <v>99986746.955766499</v>
      </c>
    </row>
    <row r="1621" spans="1:4" hidden="1" x14ac:dyDescent="0.3">
      <c r="A1621">
        <v>1619</v>
      </c>
      <c r="B1621" s="1" t="s">
        <v>1912</v>
      </c>
      <c r="C1621" t="s">
        <v>90</v>
      </c>
      <c r="D1621" s="1" t="s">
        <v>1858</v>
      </c>
    </row>
    <row r="1622" spans="1:4" hidden="1" x14ac:dyDescent="0.3">
      <c r="A1622">
        <v>1620</v>
      </c>
      <c r="B1622" t="s">
        <v>1913</v>
      </c>
      <c r="C1622" t="s">
        <v>93</v>
      </c>
      <c r="D1622">
        <v>80022756.178349093</v>
      </c>
    </row>
    <row r="1623" spans="1:4" hidden="1" x14ac:dyDescent="0.3">
      <c r="A1623">
        <v>1621</v>
      </c>
      <c r="B1623" t="s">
        <v>1914</v>
      </c>
      <c r="C1623" t="s">
        <v>95</v>
      </c>
      <c r="D1623">
        <v>35008396.867540099</v>
      </c>
    </row>
    <row r="1624" spans="1:4" hidden="1" x14ac:dyDescent="0.3">
      <c r="A1624">
        <v>1622</v>
      </c>
      <c r="B1624" t="s">
        <v>1915</v>
      </c>
      <c r="C1624" t="s">
        <v>97</v>
      </c>
      <c r="D1624">
        <v>34931217.560078099</v>
      </c>
    </row>
    <row r="1625" spans="1:4" hidden="1" x14ac:dyDescent="0.3">
      <c r="A1625">
        <v>1623</v>
      </c>
      <c r="B1625" s="1" t="s">
        <v>1916</v>
      </c>
      <c r="C1625" t="s">
        <v>99</v>
      </c>
      <c r="D1625" s="1" t="s">
        <v>1917</v>
      </c>
    </row>
    <row r="1626" spans="1:4" hidden="1" x14ac:dyDescent="0.3">
      <c r="A1626">
        <v>1624</v>
      </c>
      <c r="B1626" t="s">
        <v>1918</v>
      </c>
      <c r="C1626" t="s">
        <v>102</v>
      </c>
      <c r="D1626">
        <v>8.0787152167595307E-3</v>
      </c>
    </row>
    <row r="1627" spans="1:4" hidden="1" x14ac:dyDescent="0.3">
      <c r="A1627">
        <v>1625</v>
      </c>
      <c r="B1627" t="s">
        <v>1919</v>
      </c>
      <c r="C1627" t="s">
        <v>104</v>
      </c>
      <c r="D1627">
        <v>1.51037537002543E-3</v>
      </c>
    </row>
    <row r="1628" spans="1:4" hidden="1" x14ac:dyDescent="0.3">
      <c r="A1628">
        <v>1626</v>
      </c>
      <c r="B1628" t="s">
        <v>1920</v>
      </c>
      <c r="C1628" t="s">
        <v>106</v>
      </c>
      <c r="D1628">
        <v>2.02737319144339E-2</v>
      </c>
    </row>
    <row r="1629" spans="1:4" hidden="1" x14ac:dyDescent="0.3">
      <c r="A1629">
        <v>1627</v>
      </c>
      <c r="B1629" s="1" t="s">
        <v>1921</v>
      </c>
      <c r="C1629" t="s">
        <v>108</v>
      </c>
      <c r="D1629" s="1" t="s">
        <v>1922</v>
      </c>
    </row>
    <row r="1630" spans="1:4" hidden="1" x14ac:dyDescent="0.3">
      <c r="A1630">
        <v>1628</v>
      </c>
      <c r="B1630" t="s">
        <v>1923</v>
      </c>
      <c r="C1630" t="s">
        <v>196</v>
      </c>
      <c r="D1630">
        <v>149960510.64289299</v>
      </c>
    </row>
    <row r="1631" spans="1:4" hidden="1" x14ac:dyDescent="0.3">
      <c r="A1631">
        <v>1629</v>
      </c>
      <c r="B1631" t="s">
        <v>1924</v>
      </c>
      <c r="C1631" t="s">
        <v>198</v>
      </c>
      <c r="D1631">
        <v>4321.4938785487402</v>
      </c>
    </row>
    <row r="1632" spans="1:4" hidden="1" x14ac:dyDescent="0.3">
      <c r="A1632">
        <v>1630</v>
      </c>
      <c r="B1632" t="s">
        <v>1925</v>
      </c>
      <c r="C1632" t="s">
        <v>200</v>
      </c>
      <c r="D1632">
        <v>1890.59177116564</v>
      </c>
    </row>
    <row r="1633" spans="1:4" hidden="1" x14ac:dyDescent="0.3">
      <c r="A1633">
        <v>1631</v>
      </c>
      <c r="B1633" s="1" t="s">
        <v>1926</v>
      </c>
      <c r="C1633" t="s">
        <v>202</v>
      </c>
      <c r="D1633" s="1" t="s">
        <v>1927</v>
      </c>
    </row>
    <row r="1634" spans="1:4" hidden="1" x14ac:dyDescent="0.3">
      <c r="A1634">
        <v>1632</v>
      </c>
      <c r="B1634" t="s">
        <v>1928</v>
      </c>
      <c r="C1634" t="s">
        <v>205</v>
      </c>
      <c r="D1634">
        <v>80016993.721289203</v>
      </c>
    </row>
    <row r="1635" spans="1:4" hidden="1" x14ac:dyDescent="0.3">
      <c r="A1635">
        <v>1633</v>
      </c>
      <c r="B1635" t="s">
        <v>1929</v>
      </c>
      <c r="C1635" t="s">
        <v>207</v>
      </c>
      <c r="D1635">
        <v>35006290.448266402</v>
      </c>
    </row>
    <row r="1636" spans="1:4" hidden="1" x14ac:dyDescent="0.3">
      <c r="A1636">
        <v>1634</v>
      </c>
      <c r="B1636" t="s">
        <v>1930</v>
      </c>
      <c r="C1636" t="s">
        <v>209</v>
      </c>
      <c r="D1636">
        <v>34929127.963246301</v>
      </c>
    </row>
    <row r="1637" spans="1:4" hidden="1" x14ac:dyDescent="0.3">
      <c r="A1637">
        <v>1635</v>
      </c>
      <c r="B1637" s="1" t="s">
        <v>1931</v>
      </c>
      <c r="C1637" t="s">
        <v>211</v>
      </c>
      <c r="D1637" s="1" t="s">
        <v>1932</v>
      </c>
    </row>
    <row r="1638" spans="1:4" hidden="1" x14ac:dyDescent="0.3">
      <c r="A1638">
        <v>1636</v>
      </c>
      <c r="B1638" t="s">
        <v>1933</v>
      </c>
      <c r="C1638" t="s">
        <v>214</v>
      </c>
      <c r="D1638">
        <v>99981347.243030697</v>
      </c>
    </row>
    <row r="1639" spans="1:4" hidden="1" x14ac:dyDescent="0.3">
      <c r="A1639">
        <v>1637</v>
      </c>
      <c r="B1639" t="s">
        <v>1934</v>
      </c>
      <c r="C1639" t="s">
        <v>216</v>
      </c>
      <c r="D1639">
        <v>5399.7127358317302</v>
      </c>
    </row>
    <row r="1640" spans="1:4" hidden="1" x14ac:dyDescent="0.3">
      <c r="A1640">
        <v>1638</v>
      </c>
      <c r="B1640" s="1" t="s">
        <v>1935</v>
      </c>
      <c r="C1640" t="s">
        <v>218</v>
      </c>
      <c r="D1640" s="1" t="s">
        <v>1936</v>
      </c>
    </row>
    <row r="1641" spans="1:4" hidden="1" x14ac:dyDescent="0.3">
      <c r="A1641">
        <v>1639</v>
      </c>
      <c r="B1641" t="s">
        <v>1937</v>
      </c>
      <c r="C1641" t="s">
        <v>111</v>
      </c>
      <c r="D1641">
        <v>-1440.96318137546</v>
      </c>
    </row>
    <row r="1642" spans="1:4" hidden="1" x14ac:dyDescent="0.3">
      <c r="A1642">
        <v>1640</v>
      </c>
      <c r="B1642" t="s">
        <v>1938</v>
      </c>
      <c r="C1642" t="s">
        <v>113</v>
      </c>
      <c r="D1642">
        <v>-215.82750250693201</v>
      </c>
    </row>
    <row r="1643" spans="1:4" hidden="1" x14ac:dyDescent="0.3">
      <c r="A1643">
        <v>1641</v>
      </c>
      <c r="B1643" s="1" t="s">
        <v>1939</v>
      </c>
      <c r="C1643" t="s">
        <v>115</v>
      </c>
      <c r="D1643" s="1" t="s">
        <v>1940</v>
      </c>
    </row>
    <row r="1644" spans="1:4" hidden="1" x14ac:dyDescent="0.3">
      <c r="A1644">
        <v>1642</v>
      </c>
      <c r="B1644" t="s">
        <v>1941</v>
      </c>
      <c r="C1644" t="s">
        <v>118</v>
      </c>
      <c r="D1644">
        <v>80016993.721289203</v>
      </c>
    </row>
    <row r="1645" spans="1:4" hidden="1" x14ac:dyDescent="0.3">
      <c r="A1645">
        <v>1643</v>
      </c>
      <c r="B1645" t="s">
        <v>1942</v>
      </c>
      <c r="C1645" t="s">
        <v>120</v>
      </c>
      <c r="D1645">
        <v>35006290.448266402</v>
      </c>
    </row>
    <row r="1646" spans="1:4" hidden="1" x14ac:dyDescent="0.3">
      <c r="A1646">
        <v>1644</v>
      </c>
      <c r="B1646" s="1" t="s">
        <v>1943</v>
      </c>
      <c r="C1646" t="s">
        <v>122</v>
      </c>
      <c r="D1646" s="1" t="s">
        <v>1944</v>
      </c>
    </row>
    <row r="1647" spans="1:4" hidden="1" x14ac:dyDescent="0.3">
      <c r="A1647">
        <v>1645</v>
      </c>
      <c r="B1647" t="s">
        <v>1945</v>
      </c>
      <c r="C1647" t="s">
        <v>125</v>
      </c>
      <c r="D1647">
        <v>0.80021315215167699</v>
      </c>
    </row>
    <row r="1648" spans="1:4" hidden="1" x14ac:dyDescent="0.3">
      <c r="A1648">
        <v>1646</v>
      </c>
      <c r="B1648" t="s">
        <v>1946</v>
      </c>
      <c r="C1648" t="s">
        <v>127</v>
      </c>
      <c r="D1648">
        <v>0.350081810400375</v>
      </c>
    </row>
    <row r="1649" spans="1:4" hidden="1" x14ac:dyDescent="0.3">
      <c r="A1649">
        <v>1647</v>
      </c>
      <c r="B1649" s="1" t="s">
        <v>1947</v>
      </c>
      <c r="C1649" t="s">
        <v>129</v>
      </c>
      <c r="D1649" s="1" t="s">
        <v>1948</v>
      </c>
    </row>
    <row r="1650" spans="1:4" x14ac:dyDescent="0.3">
      <c r="A1650">
        <v>1648</v>
      </c>
      <c r="B1650" s="1" t="s">
        <v>3</v>
      </c>
      <c r="C1650" t="s">
        <v>4</v>
      </c>
      <c r="D1650" t="s">
        <v>5</v>
      </c>
    </row>
    <row r="1651" spans="1:4" hidden="1" x14ac:dyDescent="0.3">
      <c r="A1651">
        <v>1649</v>
      </c>
      <c r="B1651" t="s">
        <v>6</v>
      </c>
      <c r="C1651" t="s">
        <v>7</v>
      </c>
      <c r="D1651">
        <v>1981.95</v>
      </c>
    </row>
    <row r="1652" spans="1:4" hidden="1" x14ac:dyDescent="0.3">
      <c r="A1652">
        <v>1650</v>
      </c>
      <c r="B1652" s="1" t="s">
        <v>131</v>
      </c>
      <c r="C1652" t="s">
        <v>9</v>
      </c>
      <c r="D1652" s="1" t="s">
        <v>132</v>
      </c>
    </row>
    <row r="1653" spans="1:4" hidden="1" x14ac:dyDescent="0.3">
      <c r="A1653">
        <v>1651</v>
      </c>
      <c r="B1653" t="s">
        <v>13</v>
      </c>
      <c r="C1653" t="s">
        <v>14</v>
      </c>
      <c r="D1653">
        <v>91.74609375</v>
      </c>
    </row>
    <row r="1654" spans="1:4" hidden="1" x14ac:dyDescent="0.3">
      <c r="A1654">
        <v>1652</v>
      </c>
      <c r="B1654" t="s">
        <v>15</v>
      </c>
      <c r="C1654" t="s">
        <v>16</v>
      </c>
      <c r="D1654">
        <v>4.1883572307132804</v>
      </c>
    </row>
    <row r="1655" spans="1:4" hidden="1" x14ac:dyDescent="0.3">
      <c r="A1655">
        <v>1653</v>
      </c>
      <c r="B1655" s="1" t="s">
        <v>133</v>
      </c>
      <c r="C1655" t="s">
        <v>134</v>
      </c>
      <c r="D1655" s="1" t="s">
        <v>135</v>
      </c>
    </row>
    <row r="1656" spans="1:4" hidden="1" x14ac:dyDescent="0.3">
      <c r="A1656">
        <v>1654</v>
      </c>
      <c r="B1656" t="s">
        <v>21</v>
      </c>
      <c r="C1656" t="s">
        <v>22</v>
      </c>
      <c r="D1656">
        <v>38.25</v>
      </c>
    </row>
    <row r="1657" spans="1:4" hidden="1" x14ac:dyDescent="0.3">
      <c r="A1657">
        <v>1655</v>
      </c>
      <c r="B1657" t="s">
        <v>1949</v>
      </c>
      <c r="C1657" t="s">
        <v>24</v>
      </c>
      <c r="D1657">
        <v>5.7278930738518996</v>
      </c>
    </row>
    <row r="1658" spans="1:4" hidden="1" x14ac:dyDescent="0.3">
      <c r="A1658">
        <v>1656</v>
      </c>
      <c r="B1658" s="1" t="s">
        <v>1950</v>
      </c>
      <c r="C1658" t="s">
        <v>138</v>
      </c>
      <c r="D1658" s="1" t="s">
        <v>1951</v>
      </c>
    </row>
    <row r="1659" spans="1:4" hidden="1" x14ac:dyDescent="0.3">
      <c r="A1659">
        <v>1657</v>
      </c>
      <c r="B1659" t="s">
        <v>1952</v>
      </c>
      <c r="C1659" t="s">
        <v>35</v>
      </c>
      <c r="D1659">
        <v>0.54096931454184805</v>
      </c>
    </row>
    <row r="1660" spans="1:4" hidden="1" x14ac:dyDescent="0.3">
      <c r="A1660">
        <v>1658</v>
      </c>
      <c r="B1660" t="s">
        <v>1953</v>
      </c>
      <c r="C1660" t="s">
        <v>142</v>
      </c>
      <c r="D1660">
        <v>0.69538400181184401</v>
      </c>
    </row>
    <row r="1661" spans="1:4" hidden="1" x14ac:dyDescent="0.3">
      <c r="A1661">
        <v>1659</v>
      </c>
      <c r="B1661" s="1" t="s">
        <v>1954</v>
      </c>
      <c r="C1661" t="s">
        <v>144</v>
      </c>
      <c r="D1661" s="1" t="s">
        <v>1955</v>
      </c>
    </row>
    <row r="1662" spans="1:4" hidden="1" x14ac:dyDescent="0.3">
      <c r="A1662">
        <v>1660</v>
      </c>
      <c r="B1662" t="s">
        <v>1956</v>
      </c>
      <c r="C1662" t="s">
        <v>30</v>
      </c>
      <c r="D1662">
        <v>0.19104578149464799</v>
      </c>
    </row>
    <row r="1663" spans="1:4" hidden="1" x14ac:dyDescent="0.3">
      <c r="A1663">
        <v>1661</v>
      </c>
      <c r="B1663" t="s">
        <v>1957</v>
      </c>
      <c r="C1663" t="s">
        <v>32</v>
      </c>
      <c r="D1663">
        <v>0.241353450716455</v>
      </c>
    </row>
    <row r="1664" spans="1:4" hidden="1" x14ac:dyDescent="0.3">
      <c r="A1664">
        <v>1662</v>
      </c>
      <c r="B1664" s="1" t="s">
        <v>1958</v>
      </c>
      <c r="C1664" t="s">
        <v>148</v>
      </c>
      <c r="D1664" s="1" t="s">
        <v>1959</v>
      </c>
    </row>
    <row r="1665" spans="1:4" hidden="1" x14ac:dyDescent="0.3">
      <c r="A1665">
        <v>1663</v>
      </c>
      <c r="B1665" t="s">
        <v>1960</v>
      </c>
      <c r="C1665" t="s">
        <v>40</v>
      </c>
      <c r="D1665">
        <v>0.267984903963503</v>
      </c>
    </row>
    <row r="1666" spans="1:4" hidden="1" x14ac:dyDescent="0.3">
      <c r="A1666">
        <v>1664</v>
      </c>
      <c r="B1666" t="s">
        <v>1961</v>
      </c>
      <c r="C1666" t="s">
        <v>42</v>
      </c>
      <c r="D1666">
        <v>0.196700915496268</v>
      </c>
    </row>
    <row r="1667" spans="1:4" hidden="1" x14ac:dyDescent="0.3">
      <c r="A1667">
        <v>1665</v>
      </c>
      <c r="B1667" s="1" t="s">
        <v>1962</v>
      </c>
      <c r="C1667" t="s">
        <v>152</v>
      </c>
      <c r="D1667" s="1" t="s">
        <v>1963</v>
      </c>
    </row>
    <row r="1668" spans="1:4" hidden="1" x14ac:dyDescent="0.3">
      <c r="A1668">
        <v>1666</v>
      </c>
      <c r="B1668" t="s">
        <v>153</v>
      </c>
      <c r="C1668" t="s">
        <v>154</v>
      </c>
      <c r="D1668">
        <v>1</v>
      </c>
    </row>
    <row r="1669" spans="1:4" hidden="1" x14ac:dyDescent="0.3">
      <c r="A1669">
        <v>1667</v>
      </c>
      <c r="B1669" t="s">
        <v>155</v>
      </c>
      <c r="C1669" t="s">
        <v>156</v>
      </c>
      <c r="D1669">
        <v>1</v>
      </c>
    </row>
    <row r="1670" spans="1:4" hidden="1" x14ac:dyDescent="0.3">
      <c r="A1670">
        <v>1668</v>
      </c>
      <c r="B1670" s="1" t="s">
        <v>1964</v>
      </c>
      <c r="C1670" t="s">
        <v>158</v>
      </c>
      <c r="D1670" s="1" t="s">
        <v>1965</v>
      </c>
    </row>
    <row r="1671" spans="1:4" hidden="1" x14ac:dyDescent="0.3">
      <c r="A1671">
        <v>1669</v>
      </c>
      <c r="B1671" t="s">
        <v>1966</v>
      </c>
      <c r="C1671" t="s">
        <v>161</v>
      </c>
      <c r="D1671">
        <v>0.99987746597621796</v>
      </c>
    </row>
    <row r="1672" spans="1:4" hidden="1" x14ac:dyDescent="0.3">
      <c r="A1672">
        <v>1670</v>
      </c>
      <c r="B1672" t="s">
        <v>1967</v>
      </c>
      <c r="C1672" t="s">
        <v>163</v>
      </c>
      <c r="D1672">
        <v>1.00016573459212</v>
      </c>
    </row>
    <row r="1673" spans="1:4" hidden="1" x14ac:dyDescent="0.3">
      <c r="A1673">
        <v>1671</v>
      </c>
      <c r="B1673" s="1" t="s">
        <v>1968</v>
      </c>
      <c r="C1673" t="s">
        <v>165</v>
      </c>
      <c r="D1673" s="1" t="s">
        <v>1969</v>
      </c>
    </row>
    <row r="1674" spans="1:4" hidden="1" x14ac:dyDescent="0.3">
      <c r="A1674">
        <v>1672</v>
      </c>
      <c r="B1674" s="1" t="s">
        <v>1970</v>
      </c>
      <c r="C1674" t="s">
        <v>55</v>
      </c>
      <c r="D1674" s="1" t="s">
        <v>1971</v>
      </c>
    </row>
    <row r="1675" spans="1:4" hidden="1" x14ac:dyDescent="0.3">
      <c r="A1675">
        <v>1673</v>
      </c>
      <c r="B1675" s="1" t="s">
        <v>1972</v>
      </c>
      <c r="C1675" t="s">
        <v>52</v>
      </c>
      <c r="D1675" s="1" t="s">
        <v>1973</v>
      </c>
    </row>
    <row r="1676" spans="1:4" hidden="1" x14ac:dyDescent="0.3">
      <c r="A1676">
        <v>1674</v>
      </c>
      <c r="B1676" s="1" t="s">
        <v>1974</v>
      </c>
      <c r="C1676" t="s">
        <v>58</v>
      </c>
      <c r="D1676" s="1" t="s">
        <v>1975</v>
      </c>
    </row>
    <row r="1677" spans="1:4" hidden="1" x14ac:dyDescent="0.3">
      <c r="A1677">
        <v>1675</v>
      </c>
      <c r="B1677" t="s">
        <v>1976</v>
      </c>
      <c r="C1677" t="s">
        <v>60</v>
      </c>
      <c r="D1677">
        <v>149944123.66328001</v>
      </c>
    </row>
    <row r="1678" spans="1:4" hidden="1" x14ac:dyDescent="0.3">
      <c r="A1678">
        <v>1676</v>
      </c>
      <c r="B1678" t="s">
        <v>1977</v>
      </c>
      <c r="C1678" t="s">
        <v>62</v>
      </c>
      <c r="D1678">
        <v>80016993.721289203</v>
      </c>
    </row>
    <row r="1679" spans="1:4" hidden="1" x14ac:dyDescent="0.3">
      <c r="A1679">
        <v>1677</v>
      </c>
      <c r="B1679" t="s">
        <v>1978</v>
      </c>
      <c r="C1679" t="s">
        <v>64</v>
      </c>
      <c r="D1679">
        <v>35006290.448266402</v>
      </c>
    </row>
    <row r="1680" spans="1:4" hidden="1" x14ac:dyDescent="0.3">
      <c r="A1680">
        <v>1678</v>
      </c>
      <c r="B1680" s="1" t="s">
        <v>1979</v>
      </c>
      <c r="C1680" t="s">
        <v>66</v>
      </c>
      <c r="D1680" s="1" t="s">
        <v>1980</v>
      </c>
    </row>
    <row r="1681" spans="1:4" hidden="1" x14ac:dyDescent="0.3">
      <c r="A1681">
        <v>1679</v>
      </c>
      <c r="B1681" s="1" t="s">
        <v>1981</v>
      </c>
      <c r="C1681" t="s">
        <v>69</v>
      </c>
      <c r="D1681" s="1" t="s">
        <v>1982</v>
      </c>
    </row>
    <row r="1682" spans="1:4" hidden="1" x14ac:dyDescent="0.3">
      <c r="A1682">
        <v>1680</v>
      </c>
      <c r="B1682" t="s">
        <v>1983</v>
      </c>
      <c r="C1682" t="s">
        <v>72</v>
      </c>
      <c r="D1682">
        <v>1.00013254800898</v>
      </c>
    </row>
    <row r="1683" spans="1:4" hidden="1" x14ac:dyDescent="0.3">
      <c r="A1683">
        <v>1681</v>
      </c>
      <c r="B1683" t="s">
        <v>73</v>
      </c>
      <c r="C1683" t="s">
        <v>74</v>
      </c>
      <c r="D1683">
        <v>2.7397260273972599E-3</v>
      </c>
    </row>
    <row r="1684" spans="1:4" hidden="1" x14ac:dyDescent="0.3">
      <c r="A1684">
        <v>1682</v>
      </c>
      <c r="B1684" t="s">
        <v>75</v>
      </c>
      <c r="C1684" t="s">
        <v>76</v>
      </c>
      <c r="D1684">
        <v>0</v>
      </c>
    </row>
    <row r="1685" spans="1:4" hidden="1" x14ac:dyDescent="0.3">
      <c r="A1685">
        <v>1683</v>
      </c>
      <c r="B1685" t="s">
        <v>77</v>
      </c>
      <c r="C1685" t="s">
        <v>78</v>
      </c>
      <c r="D1685">
        <v>0</v>
      </c>
    </row>
    <row r="1686" spans="1:4" hidden="1" x14ac:dyDescent="0.3">
      <c r="A1686">
        <v>1684</v>
      </c>
      <c r="B1686" s="1" t="s">
        <v>1984</v>
      </c>
      <c r="C1686" t="s">
        <v>80</v>
      </c>
      <c r="D1686" s="1" t="s">
        <v>1985</v>
      </c>
    </row>
    <row r="1687" spans="1:4" hidden="1" x14ac:dyDescent="0.3">
      <c r="A1687">
        <v>1685</v>
      </c>
      <c r="B1687" t="s">
        <v>1986</v>
      </c>
      <c r="C1687" t="s">
        <v>83</v>
      </c>
      <c r="D1687">
        <v>1.00013473400769</v>
      </c>
    </row>
    <row r="1688" spans="1:4" hidden="1" x14ac:dyDescent="0.3">
      <c r="A1688">
        <v>1686</v>
      </c>
      <c r="B1688" s="1" t="s">
        <v>1987</v>
      </c>
      <c r="C1688" t="s">
        <v>85</v>
      </c>
      <c r="D1688" s="1" t="s">
        <v>1988</v>
      </c>
    </row>
    <row r="1689" spans="1:4" hidden="1" x14ac:dyDescent="0.3">
      <c r="A1689">
        <v>1687</v>
      </c>
      <c r="B1689" t="s">
        <v>1989</v>
      </c>
      <c r="C1689" t="s">
        <v>88</v>
      </c>
      <c r="D1689">
        <v>99986528.4143112</v>
      </c>
    </row>
    <row r="1690" spans="1:4" hidden="1" x14ac:dyDescent="0.3">
      <c r="A1690">
        <v>1688</v>
      </c>
      <c r="B1690" s="1" t="s">
        <v>1990</v>
      </c>
      <c r="C1690" t="s">
        <v>90</v>
      </c>
      <c r="D1690" s="1" t="s">
        <v>1936</v>
      </c>
    </row>
    <row r="1691" spans="1:4" hidden="1" x14ac:dyDescent="0.3">
      <c r="A1691">
        <v>1689</v>
      </c>
      <c r="B1691" t="s">
        <v>1991</v>
      </c>
      <c r="C1691" t="s">
        <v>93</v>
      </c>
      <c r="D1691">
        <v>80016993.721289203</v>
      </c>
    </row>
    <row r="1692" spans="1:4" hidden="1" x14ac:dyDescent="0.3">
      <c r="A1692">
        <v>1690</v>
      </c>
      <c r="B1692" t="s">
        <v>1992</v>
      </c>
      <c r="C1692" t="s">
        <v>95</v>
      </c>
      <c r="D1692">
        <v>35006290.448266402</v>
      </c>
    </row>
    <row r="1693" spans="1:4" hidden="1" x14ac:dyDescent="0.3">
      <c r="A1693">
        <v>1691</v>
      </c>
      <c r="B1693" t="s">
        <v>1993</v>
      </c>
      <c r="C1693" t="s">
        <v>97</v>
      </c>
      <c r="D1693">
        <v>34920839.493725002</v>
      </c>
    </row>
    <row r="1694" spans="1:4" hidden="1" x14ac:dyDescent="0.3">
      <c r="A1694">
        <v>1692</v>
      </c>
      <c r="B1694" s="1" t="s">
        <v>1994</v>
      </c>
      <c r="C1694" t="s">
        <v>99</v>
      </c>
      <c r="D1694" s="1" t="s">
        <v>1995</v>
      </c>
    </row>
    <row r="1695" spans="1:4" hidden="1" x14ac:dyDescent="0.3">
      <c r="A1695">
        <v>1693</v>
      </c>
      <c r="B1695" t="s">
        <v>1996</v>
      </c>
      <c r="C1695" t="s">
        <v>102</v>
      </c>
      <c r="D1695">
        <v>8.1295321431493397E-3</v>
      </c>
    </row>
    <row r="1696" spans="1:4" hidden="1" x14ac:dyDescent="0.3">
      <c r="A1696">
        <v>1694</v>
      </c>
      <c r="B1696" t="s">
        <v>1997</v>
      </c>
      <c r="C1696" t="s">
        <v>104</v>
      </c>
      <c r="D1696">
        <v>1.5192368381407701E-3</v>
      </c>
    </row>
    <row r="1697" spans="1:4" hidden="1" x14ac:dyDescent="0.3">
      <c r="A1697">
        <v>1695</v>
      </c>
      <c r="B1697" t="s">
        <v>1998</v>
      </c>
      <c r="C1697" t="s">
        <v>106</v>
      </c>
      <c r="D1697">
        <v>2.04033523162792E-2</v>
      </c>
    </row>
    <row r="1698" spans="1:4" hidden="1" x14ac:dyDescent="0.3">
      <c r="A1698">
        <v>1696</v>
      </c>
      <c r="B1698" s="1" t="s">
        <v>1999</v>
      </c>
      <c r="C1698" t="s">
        <v>108</v>
      </c>
      <c r="D1698" s="1" t="s">
        <v>2000</v>
      </c>
    </row>
    <row r="1699" spans="1:4" hidden="1" x14ac:dyDescent="0.3">
      <c r="A1699">
        <v>1697</v>
      </c>
      <c r="B1699" t="s">
        <v>2001</v>
      </c>
      <c r="C1699" t="s">
        <v>196</v>
      </c>
      <c r="D1699">
        <v>149944198.93269399</v>
      </c>
    </row>
    <row r="1700" spans="1:4" hidden="1" x14ac:dyDescent="0.3">
      <c r="A1700">
        <v>1698</v>
      </c>
      <c r="B1700" t="s">
        <v>2002</v>
      </c>
      <c r="C1700" t="s">
        <v>198</v>
      </c>
      <c r="D1700">
        <v>-174.89398414607899</v>
      </c>
    </row>
    <row r="1701" spans="1:4" hidden="1" x14ac:dyDescent="0.3">
      <c r="A1701">
        <v>1699</v>
      </c>
      <c r="B1701" t="s">
        <v>2003</v>
      </c>
      <c r="C1701" t="s">
        <v>200</v>
      </c>
      <c r="D1701">
        <v>-76.513582255852796</v>
      </c>
    </row>
    <row r="1702" spans="1:4" hidden="1" x14ac:dyDescent="0.3">
      <c r="A1702">
        <v>1700</v>
      </c>
      <c r="B1702" s="1" t="s">
        <v>2004</v>
      </c>
      <c r="C1702" t="s">
        <v>202</v>
      </c>
      <c r="D1702" s="1" t="s">
        <v>2005</v>
      </c>
    </row>
    <row r="1703" spans="1:4" hidden="1" x14ac:dyDescent="0.3">
      <c r="A1703">
        <v>1701</v>
      </c>
      <c r="B1703" t="s">
        <v>2006</v>
      </c>
      <c r="C1703" t="s">
        <v>205</v>
      </c>
      <c r="D1703">
        <v>80017223.772178099</v>
      </c>
    </row>
    <row r="1704" spans="1:4" hidden="1" x14ac:dyDescent="0.3">
      <c r="A1704">
        <v>1702</v>
      </c>
      <c r="B1704" t="s">
        <v>2007</v>
      </c>
      <c r="C1704" t="s">
        <v>207</v>
      </c>
      <c r="D1704">
        <v>35006375.2213673</v>
      </c>
    </row>
    <row r="1705" spans="1:4" hidden="1" x14ac:dyDescent="0.3">
      <c r="A1705">
        <v>1703</v>
      </c>
      <c r="B1705" t="s">
        <v>2008</v>
      </c>
      <c r="C1705" t="s">
        <v>209</v>
      </c>
      <c r="D1705">
        <v>34920927.673534296</v>
      </c>
    </row>
    <row r="1706" spans="1:4" hidden="1" x14ac:dyDescent="0.3">
      <c r="A1706">
        <v>1704</v>
      </c>
      <c r="B1706" s="1" t="s">
        <v>2009</v>
      </c>
      <c r="C1706" t="s">
        <v>211</v>
      </c>
      <c r="D1706" s="1" t="s">
        <v>2010</v>
      </c>
    </row>
    <row r="1707" spans="1:4" hidden="1" x14ac:dyDescent="0.3">
      <c r="A1707">
        <v>1705</v>
      </c>
      <c r="B1707" t="s">
        <v>2011</v>
      </c>
      <c r="C1707" t="s">
        <v>214</v>
      </c>
      <c r="D1707">
        <v>99986746.955766499</v>
      </c>
    </row>
    <row r="1708" spans="1:4" hidden="1" x14ac:dyDescent="0.3">
      <c r="A1708">
        <v>1706</v>
      </c>
      <c r="B1708" t="s">
        <v>2012</v>
      </c>
      <c r="C1708" t="s">
        <v>216</v>
      </c>
      <c r="D1708">
        <v>-218.54145535826601</v>
      </c>
    </row>
    <row r="1709" spans="1:4" hidden="1" x14ac:dyDescent="0.3">
      <c r="A1709">
        <v>1707</v>
      </c>
      <c r="B1709" s="1" t="s">
        <v>2013</v>
      </c>
      <c r="C1709" t="s">
        <v>218</v>
      </c>
      <c r="D1709" s="1" t="s">
        <v>2014</v>
      </c>
    </row>
    <row r="1710" spans="1:4" hidden="1" x14ac:dyDescent="0.3">
      <c r="A1710">
        <v>1708</v>
      </c>
      <c r="B1710" t="s">
        <v>2015</v>
      </c>
      <c r="C1710" t="s">
        <v>111</v>
      </c>
      <c r="D1710">
        <v>55.156904773155397</v>
      </c>
    </row>
    <row r="1711" spans="1:4" hidden="1" x14ac:dyDescent="0.3">
      <c r="A1711">
        <v>1709</v>
      </c>
      <c r="B1711" t="s">
        <v>2016</v>
      </c>
      <c r="C1711" t="s">
        <v>113</v>
      </c>
      <c r="D1711">
        <v>8.2595186440028794</v>
      </c>
    </row>
    <row r="1712" spans="1:4" hidden="1" x14ac:dyDescent="0.3">
      <c r="A1712">
        <v>1710</v>
      </c>
      <c r="B1712" s="1" t="s">
        <v>2017</v>
      </c>
      <c r="C1712" t="s">
        <v>115</v>
      </c>
      <c r="D1712" s="1" t="s">
        <v>2018</v>
      </c>
    </row>
    <row r="1713" spans="1:4" hidden="1" x14ac:dyDescent="0.3">
      <c r="A1713">
        <v>1711</v>
      </c>
      <c r="B1713" t="s">
        <v>2019</v>
      </c>
      <c r="C1713" t="s">
        <v>118</v>
      </c>
      <c r="D1713">
        <v>80017223.772178099</v>
      </c>
    </row>
    <row r="1714" spans="1:4" hidden="1" x14ac:dyDescent="0.3">
      <c r="A1714">
        <v>1712</v>
      </c>
      <c r="B1714" t="s">
        <v>2020</v>
      </c>
      <c r="C1714" t="s">
        <v>120</v>
      </c>
      <c r="D1714">
        <v>35006375.2213673</v>
      </c>
    </row>
    <row r="1715" spans="1:4" hidden="1" x14ac:dyDescent="0.3">
      <c r="A1715">
        <v>1713</v>
      </c>
      <c r="B1715" s="1" t="s">
        <v>2021</v>
      </c>
      <c r="C1715" t="s">
        <v>122</v>
      </c>
      <c r="D1715" s="1" t="s">
        <v>2022</v>
      </c>
    </row>
    <row r="1716" spans="1:4" hidden="1" x14ac:dyDescent="0.3">
      <c r="A1716">
        <v>1714</v>
      </c>
      <c r="B1716" t="s">
        <v>2023</v>
      </c>
      <c r="C1716" t="s">
        <v>125</v>
      </c>
      <c r="D1716">
        <v>0.80017048878193897</v>
      </c>
    </row>
    <row r="1717" spans="1:4" hidden="1" x14ac:dyDescent="0.3">
      <c r="A1717">
        <v>1715</v>
      </c>
      <c r="B1717" t="s">
        <v>2024</v>
      </c>
      <c r="C1717" t="s">
        <v>127</v>
      </c>
      <c r="D1717">
        <v>0.35006298707785</v>
      </c>
    </row>
    <row r="1718" spans="1:4" hidden="1" x14ac:dyDescent="0.3">
      <c r="A1718">
        <v>1716</v>
      </c>
      <c r="B1718" s="1" t="s">
        <v>2025</v>
      </c>
      <c r="C1718" t="s">
        <v>129</v>
      </c>
      <c r="D1718" s="1" t="s">
        <v>2026</v>
      </c>
    </row>
    <row r="1719" spans="1:4" ht="72" x14ac:dyDescent="0.3">
      <c r="A1719">
        <v>1717</v>
      </c>
      <c r="B1719" s="1" t="s">
        <v>3</v>
      </c>
      <c r="C1719" t="s">
        <v>4</v>
      </c>
      <c r="D1719" t="s">
        <v>5</v>
      </c>
    </row>
    <row r="1720" spans="1:4" hidden="1" x14ac:dyDescent="0.3">
      <c r="A1720">
        <v>1718</v>
      </c>
      <c r="B1720" t="s">
        <v>6</v>
      </c>
      <c r="C1720" t="s">
        <v>7</v>
      </c>
      <c r="D1720">
        <v>1981.95</v>
      </c>
    </row>
    <row r="1721" spans="1:4" hidden="1" x14ac:dyDescent="0.3">
      <c r="A1721">
        <v>1719</v>
      </c>
      <c r="B1721" s="1" t="s">
        <v>131</v>
      </c>
      <c r="C1721" t="s">
        <v>9</v>
      </c>
      <c r="D1721" s="1" t="s">
        <v>132</v>
      </c>
    </row>
    <row r="1722" spans="1:4" hidden="1" x14ac:dyDescent="0.3">
      <c r="A1722">
        <v>1720</v>
      </c>
      <c r="B1722" t="s">
        <v>13</v>
      </c>
      <c r="C1722" t="s">
        <v>14</v>
      </c>
      <c r="D1722">
        <v>91.74609375</v>
      </c>
    </row>
    <row r="1723" spans="1:4" hidden="1" x14ac:dyDescent="0.3">
      <c r="A1723">
        <v>1721</v>
      </c>
      <c r="B1723" t="s">
        <v>15</v>
      </c>
      <c r="C1723" t="s">
        <v>16</v>
      </c>
      <c r="D1723">
        <v>4.1883572307132804</v>
      </c>
    </row>
    <row r="1724" spans="1:4" hidden="1" x14ac:dyDescent="0.3">
      <c r="A1724">
        <v>1722</v>
      </c>
      <c r="B1724" s="1" t="s">
        <v>133</v>
      </c>
      <c r="C1724" t="s">
        <v>134</v>
      </c>
      <c r="D1724" s="1" t="s">
        <v>135</v>
      </c>
    </row>
    <row r="1725" spans="1:4" hidden="1" x14ac:dyDescent="0.3">
      <c r="A1725">
        <v>1723</v>
      </c>
      <c r="B1725" t="s">
        <v>21</v>
      </c>
      <c r="C1725" t="s">
        <v>22</v>
      </c>
      <c r="D1725">
        <v>38.25</v>
      </c>
    </row>
    <row r="1726" spans="1:4" hidden="1" x14ac:dyDescent="0.3">
      <c r="A1726">
        <v>1724</v>
      </c>
      <c r="B1726" t="s">
        <v>2027</v>
      </c>
      <c r="C1726" t="s">
        <v>24</v>
      </c>
      <c r="D1726">
        <v>5.7324527654991897</v>
      </c>
    </row>
    <row r="1727" spans="1:4" hidden="1" x14ac:dyDescent="0.3">
      <c r="A1727">
        <v>1725</v>
      </c>
      <c r="B1727" s="1" t="s">
        <v>2028</v>
      </c>
      <c r="C1727" t="s">
        <v>138</v>
      </c>
      <c r="D1727" s="1" t="s">
        <v>2029</v>
      </c>
    </row>
    <row r="1728" spans="1:4" hidden="1" x14ac:dyDescent="0.3">
      <c r="A1728">
        <v>1726</v>
      </c>
      <c r="B1728" t="s">
        <v>2030</v>
      </c>
      <c r="C1728" t="s">
        <v>35</v>
      </c>
      <c r="D1728">
        <v>0.54373075661021297</v>
      </c>
    </row>
    <row r="1729" spans="1:4" hidden="1" x14ac:dyDescent="0.3">
      <c r="A1729">
        <v>1727</v>
      </c>
      <c r="B1729" t="s">
        <v>2031</v>
      </c>
      <c r="C1729" t="s">
        <v>142</v>
      </c>
      <c r="D1729">
        <v>0.69434435324472099</v>
      </c>
    </row>
    <row r="1730" spans="1:4" hidden="1" x14ac:dyDescent="0.3">
      <c r="A1730">
        <v>1728</v>
      </c>
      <c r="B1730" s="1" t="s">
        <v>2032</v>
      </c>
      <c r="C1730" t="s">
        <v>144</v>
      </c>
      <c r="D1730" s="1" t="s">
        <v>2033</v>
      </c>
    </row>
    <row r="1731" spans="1:4" hidden="1" x14ac:dyDescent="0.3">
      <c r="A1731">
        <v>1729</v>
      </c>
      <c r="B1731" t="s">
        <v>2034</v>
      </c>
      <c r="C1731" t="s">
        <v>30</v>
      </c>
      <c r="D1731">
        <v>0.192020997359618</v>
      </c>
    </row>
    <row r="1732" spans="1:4" hidden="1" x14ac:dyDescent="0.3">
      <c r="A1732">
        <v>1730</v>
      </c>
      <c r="B1732" t="s">
        <v>2035</v>
      </c>
      <c r="C1732" t="s">
        <v>32</v>
      </c>
      <c r="D1732">
        <v>0.242430532663614</v>
      </c>
    </row>
    <row r="1733" spans="1:4" hidden="1" x14ac:dyDescent="0.3">
      <c r="A1733">
        <v>1731</v>
      </c>
      <c r="B1733" s="1" t="s">
        <v>2036</v>
      </c>
      <c r="C1733" t="s">
        <v>148</v>
      </c>
      <c r="D1733" s="1" t="s">
        <v>2037</v>
      </c>
    </row>
    <row r="1734" spans="1:4" hidden="1" x14ac:dyDescent="0.3">
      <c r="A1734">
        <v>1732</v>
      </c>
      <c r="B1734" t="s">
        <v>2038</v>
      </c>
      <c r="C1734" t="s">
        <v>40</v>
      </c>
      <c r="D1734">
        <v>0.264248246030168</v>
      </c>
    </row>
    <row r="1735" spans="1:4" hidden="1" x14ac:dyDescent="0.3">
      <c r="A1735">
        <v>1733</v>
      </c>
      <c r="B1735" t="s">
        <v>2039</v>
      </c>
      <c r="C1735" t="s">
        <v>42</v>
      </c>
      <c r="D1735">
        <v>0.19777704636677301</v>
      </c>
    </row>
    <row r="1736" spans="1:4" hidden="1" x14ac:dyDescent="0.3">
      <c r="A1736">
        <v>1734</v>
      </c>
      <c r="B1736" s="1" t="s">
        <v>2040</v>
      </c>
      <c r="C1736" t="s">
        <v>152</v>
      </c>
      <c r="D1736" s="1" t="s">
        <v>2041</v>
      </c>
    </row>
    <row r="1737" spans="1:4" hidden="1" x14ac:dyDescent="0.3">
      <c r="A1737">
        <v>1735</v>
      </c>
      <c r="B1737" t="s">
        <v>153</v>
      </c>
      <c r="C1737" t="s">
        <v>154</v>
      </c>
      <c r="D1737">
        <v>1</v>
      </c>
    </row>
    <row r="1738" spans="1:4" hidden="1" x14ac:dyDescent="0.3">
      <c r="A1738">
        <v>1736</v>
      </c>
      <c r="B1738" t="s">
        <v>155</v>
      </c>
      <c r="C1738" t="s">
        <v>156</v>
      </c>
      <c r="D1738">
        <v>1</v>
      </c>
    </row>
    <row r="1739" spans="1:4" hidden="1" x14ac:dyDescent="0.3">
      <c r="A1739">
        <v>1737</v>
      </c>
      <c r="B1739" s="1" t="s">
        <v>2042</v>
      </c>
      <c r="C1739" t="s">
        <v>158</v>
      </c>
      <c r="D1739" s="1" t="s">
        <v>2043</v>
      </c>
    </row>
    <row r="1740" spans="1:4" hidden="1" x14ac:dyDescent="0.3">
      <c r="A1740">
        <v>1738</v>
      </c>
      <c r="B1740" t="s">
        <v>2044</v>
      </c>
      <c r="C1740" t="s">
        <v>161</v>
      </c>
      <c r="D1740">
        <v>0.999386776939022</v>
      </c>
    </row>
    <row r="1741" spans="1:4" hidden="1" x14ac:dyDescent="0.3">
      <c r="A1741">
        <v>1739</v>
      </c>
      <c r="B1741" t="s">
        <v>2045</v>
      </c>
      <c r="C1741" t="s">
        <v>163</v>
      </c>
      <c r="D1741">
        <v>1.00086766742102</v>
      </c>
    </row>
    <row r="1742" spans="1:4" hidden="1" x14ac:dyDescent="0.3">
      <c r="A1742">
        <v>1740</v>
      </c>
      <c r="B1742" s="1" t="s">
        <v>2046</v>
      </c>
      <c r="C1742" t="s">
        <v>165</v>
      </c>
      <c r="D1742" s="1" t="s">
        <v>2047</v>
      </c>
    </row>
    <row r="1743" spans="1:4" hidden="1" x14ac:dyDescent="0.3">
      <c r="A1743">
        <v>1741</v>
      </c>
      <c r="B1743" s="1" t="s">
        <v>2048</v>
      </c>
      <c r="C1743" t="s">
        <v>55</v>
      </c>
      <c r="D1743" s="1" t="s">
        <v>2049</v>
      </c>
    </row>
    <row r="1744" spans="1:4" hidden="1" x14ac:dyDescent="0.3">
      <c r="A1744">
        <v>1742</v>
      </c>
      <c r="B1744" s="1" t="s">
        <v>2050</v>
      </c>
      <c r="C1744" t="s">
        <v>52</v>
      </c>
      <c r="D1744" s="1" t="s">
        <v>2051</v>
      </c>
    </row>
    <row r="1745" spans="1:4" hidden="1" x14ac:dyDescent="0.3">
      <c r="A1745">
        <v>1743</v>
      </c>
      <c r="B1745" s="1" t="s">
        <v>2052</v>
      </c>
      <c r="C1745" t="s">
        <v>58</v>
      </c>
      <c r="D1745" s="1" t="s">
        <v>2053</v>
      </c>
    </row>
    <row r="1746" spans="1:4" hidden="1" x14ac:dyDescent="0.3">
      <c r="A1746">
        <v>1744</v>
      </c>
      <c r="B1746" t="s">
        <v>2054</v>
      </c>
      <c r="C1746" t="s">
        <v>60</v>
      </c>
      <c r="D1746">
        <v>149948147.319437</v>
      </c>
    </row>
    <row r="1747" spans="1:4" hidden="1" x14ac:dyDescent="0.3">
      <c r="A1747">
        <v>1745</v>
      </c>
      <c r="B1747" t="s">
        <v>2055</v>
      </c>
      <c r="C1747" t="s">
        <v>62</v>
      </c>
      <c r="D1747">
        <v>80017223.772178099</v>
      </c>
    </row>
    <row r="1748" spans="1:4" hidden="1" x14ac:dyDescent="0.3">
      <c r="A1748">
        <v>1746</v>
      </c>
      <c r="B1748" t="s">
        <v>2056</v>
      </c>
      <c r="C1748" t="s">
        <v>64</v>
      </c>
      <c r="D1748">
        <v>35006375.2213673</v>
      </c>
    </row>
    <row r="1749" spans="1:4" hidden="1" x14ac:dyDescent="0.3">
      <c r="A1749">
        <v>1747</v>
      </c>
      <c r="B1749" s="1" t="s">
        <v>2057</v>
      </c>
      <c r="C1749" t="s">
        <v>66</v>
      </c>
      <c r="D1749" s="1" t="s">
        <v>2058</v>
      </c>
    </row>
    <row r="1750" spans="1:4" hidden="1" x14ac:dyDescent="0.3">
      <c r="A1750">
        <v>1748</v>
      </c>
      <c r="B1750" s="1" t="s">
        <v>2059</v>
      </c>
      <c r="C1750" t="s">
        <v>69</v>
      </c>
      <c r="D1750" s="1" t="s">
        <v>2060</v>
      </c>
    </row>
    <row r="1751" spans="1:4" hidden="1" x14ac:dyDescent="0.3">
      <c r="A1751">
        <v>1749</v>
      </c>
      <c r="B1751" t="s">
        <v>2061</v>
      </c>
      <c r="C1751" t="s">
        <v>72</v>
      </c>
      <c r="D1751">
        <v>1.00013473400769</v>
      </c>
    </row>
    <row r="1752" spans="1:4" hidden="1" x14ac:dyDescent="0.3">
      <c r="A1752">
        <v>1750</v>
      </c>
      <c r="B1752" t="s">
        <v>73</v>
      </c>
      <c r="C1752" t="s">
        <v>74</v>
      </c>
      <c r="D1752">
        <v>2.7397260273972599E-3</v>
      </c>
    </row>
    <row r="1753" spans="1:4" hidden="1" x14ac:dyDescent="0.3">
      <c r="A1753">
        <v>1751</v>
      </c>
      <c r="B1753" t="s">
        <v>75</v>
      </c>
      <c r="C1753" t="s">
        <v>76</v>
      </c>
      <c r="D1753">
        <v>0</v>
      </c>
    </row>
    <row r="1754" spans="1:4" hidden="1" x14ac:dyDescent="0.3">
      <c r="A1754">
        <v>1752</v>
      </c>
      <c r="B1754" t="s">
        <v>77</v>
      </c>
      <c r="C1754" t="s">
        <v>78</v>
      </c>
      <c r="D1754">
        <v>0</v>
      </c>
    </row>
    <row r="1755" spans="1:4" hidden="1" x14ac:dyDescent="0.3">
      <c r="A1755">
        <v>1753</v>
      </c>
      <c r="B1755" s="1" t="s">
        <v>2062</v>
      </c>
      <c r="C1755" t="s">
        <v>80</v>
      </c>
      <c r="D1755" s="1" t="s">
        <v>2063</v>
      </c>
    </row>
    <row r="1756" spans="1:4" hidden="1" x14ac:dyDescent="0.3">
      <c r="A1756">
        <v>1754</v>
      </c>
      <c r="B1756" t="s">
        <v>2064</v>
      </c>
      <c r="C1756" t="s">
        <v>83</v>
      </c>
      <c r="D1756">
        <v>1.00009430279772</v>
      </c>
    </row>
    <row r="1757" spans="1:4" hidden="1" x14ac:dyDescent="0.3">
      <c r="A1757">
        <v>1755</v>
      </c>
      <c r="B1757" s="1" t="s">
        <v>2065</v>
      </c>
      <c r="C1757" t="s">
        <v>85</v>
      </c>
      <c r="D1757" s="1" t="s">
        <v>2066</v>
      </c>
    </row>
    <row r="1758" spans="1:4" hidden="1" x14ac:dyDescent="0.3">
      <c r="A1758">
        <v>1756</v>
      </c>
      <c r="B1758" t="s">
        <v>2067</v>
      </c>
      <c r="C1758" t="s">
        <v>88</v>
      </c>
      <c r="D1758">
        <v>99990570.609445497</v>
      </c>
    </row>
    <row r="1759" spans="1:4" hidden="1" x14ac:dyDescent="0.3">
      <c r="A1759">
        <v>1757</v>
      </c>
      <c r="B1759" s="1" t="s">
        <v>2068</v>
      </c>
      <c r="C1759" t="s">
        <v>90</v>
      </c>
      <c r="D1759" s="1" t="s">
        <v>2014</v>
      </c>
    </row>
    <row r="1760" spans="1:4" hidden="1" x14ac:dyDescent="0.3">
      <c r="A1760">
        <v>1758</v>
      </c>
      <c r="B1760" t="s">
        <v>2069</v>
      </c>
      <c r="C1760" t="s">
        <v>93</v>
      </c>
      <c r="D1760">
        <v>80017223.772178099</v>
      </c>
    </row>
    <row r="1761" spans="1:4" hidden="1" x14ac:dyDescent="0.3">
      <c r="A1761">
        <v>1759</v>
      </c>
      <c r="B1761" t="s">
        <v>2070</v>
      </c>
      <c r="C1761" t="s">
        <v>95</v>
      </c>
      <c r="D1761">
        <v>35006375.2213673</v>
      </c>
    </row>
    <row r="1762" spans="1:4" hidden="1" x14ac:dyDescent="0.3">
      <c r="A1762">
        <v>1760</v>
      </c>
      <c r="B1762" t="s">
        <v>2071</v>
      </c>
      <c r="C1762" t="s">
        <v>97</v>
      </c>
      <c r="D1762">
        <v>34924548.325891599</v>
      </c>
    </row>
    <row r="1763" spans="1:4" hidden="1" x14ac:dyDescent="0.3">
      <c r="A1763">
        <v>1761</v>
      </c>
      <c r="B1763" s="1" t="s">
        <v>2072</v>
      </c>
      <c r="C1763" t="s">
        <v>99</v>
      </c>
      <c r="D1763" s="1" t="s">
        <v>2073</v>
      </c>
    </row>
    <row r="1764" spans="1:4" hidden="1" x14ac:dyDescent="0.3">
      <c r="A1764">
        <v>1762</v>
      </c>
      <c r="B1764" t="s">
        <v>2074</v>
      </c>
      <c r="C1764" t="s">
        <v>102</v>
      </c>
      <c r="D1764">
        <v>8.18434226060058E-3</v>
      </c>
    </row>
    <row r="1765" spans="1:4" hidden="1" x14ac:dyDescent="0.3">
      <c r="A1765">
        <v>1763</v>
      </c>
      <c r="B1765" t="s">
        <v>2075</v>
      </c>
      <c r="C1765" t="s">
        <v>104</v>
      </c>
      <c r="D1765">
        <v>1.5293907541059301E-3</v>
      </c>
    </row>
    <row r="1766" spans="1:4" hidden="1" x14ac:dyDescent="0.3">
      <c r="A1766">
        <v>1764</v>
      </c>
      <c r="B1766" t="s">
        <v>2076</v>
      </c>
      <c r="C1766" t="s">
        <v>106</v>
      </c>
      <c r="D1766">
        <v>2.0346733318847898E-2</v>
      </c>
    </row>
    <row r="1767" spans="1:4" hidden="1" x14ac:dyDescent="0.3">
      <c r="A1767">
        <v>1765</v>
      </c>
      <c r="B1767" s="1" t="s">
        <v>2077</v>
      </c>
      <c r="C1767" t="s">
        <v>108</v>
      </c>
      <c r="D1767" s="1" t="s">
        <v>2078</v>
      </c>
    </row>
    <row r="1768" spans="1:4" hidden="1" x14ac:dyDescent="0.3">
      <c r="A1768">
        <v>1766</v>
      </c>
      <c r="B1768" t="s">
        <v>2079</v>
      </c>
      <c r="C1768" t="s">
        <v>196</v>
      </c>
      <c r="D1768">
        <v>149946755.316506</v>
      </c>
    </row>
    <row r="1769" spans="1:4" hidden="1" x14ac:dyDescent="0.3">
      <c r="A1769">
        <v>1767</v>
      </c>
      <c r="B1769" t="s">
        <v>2080</v>
      </c>
      <c r="C1769" t="s">
        <v>198</v>
      </c>
      <c r="D1769">
        <v>3234.7161014206799</v>
      </c>
    </row>
    <row r="1770" spans="1:4" hidden="1" x14ac:dyDescent="0.3">
      <c r="A1770">
        <v>1768</v>
      </c>
      <c r="B1770" t="s">
        <v>2081</v>
      </c>
      <c r="C1770" t="s">
        <v>200</v>
      </c>
      <c r="D1770">
        <v>1415.15326494498</v>
      </c>
    </row>
    <row r="1771" spans="1:4" hidden="1" x14ac:dyDescent="0.3">
      <c r="A1771">
        <v>1769</v>
      </c>
      <c r="B1771" s="1" t="s">
        <v>2082</v>
      </c>
      <c r="C1771" t="s">
        <v>202</v>
      </c>
      <c r="D1771" s="1" t="s">
        <v>2083</v>
      </c>
    </row>
    <row r="1772" spans="1:4" hidden="1" x14ac:dyDescent="0.3">
      <c r="A1772">
        <v>1770</v>
      </c>
      <c r="B1772" t="s">
        <v>2084</v>
      </c>
      <c r="C1772" t="s">
        <v>205</v>
      </c>
      <c r="D1772">
        <v>80012968.854555994</v>
      </c>
    </row>
    <row r="1773" spans="1:4" hidden="1" x14ac:dyDescent="0.3">
      <c r="A1773">
        <v>1771</v>
      </c>
      <c r="B1773" t="s">
        <v>2085</v>
      </c>
      <c r="C1773" t="s">
        <v>207</v>
      </c>
      <c r="D1773">
        <v>35004807.396462202</v>
      </c>
    </row>
    <row r="1774" spans="1:4" hidden="1" x14ac:dyDescent="0.3">
      <c r="A1774">
        <v>1772</v>
      </c>
      <c r="B1774" t="s">
        <v>2086</v>
      </c>
      <c r="C1774" t="s">
        <v>209</v>
      </c>
      <c r="D1774">
        <v>34922917.3534583</v>
      </c>
    </row>
    <row r="1775" spans="1:4" hidden="1" x14ac:dyDescent="0.3">
      <c r="A1775">
        <v>1773</v>
      </c>
      <c r="B1775" s="1" t="s">
        <v>2087</v>
      </c>
      <c r="C1775" t="s">
        <v>211</v>
      </c>
      <c r="D1775" s="1" t="s">
        <v>2088</v>
      </c>
    </row>
    <row r="1776" spans="1:4" hidden="1" x14ac:dyDescent="0.3">
      <c r="A1776">
        <v>1774</v>
      </c>
      <c r="B1776" t="s">
        <v>2089</v>
      </c>
      <c r="C1776" t="s">
        <v>214</v>
      </c>
      <c r="D1776">
        <v>99986528.4143112</v>
      </c>
    </row>
    <row r="1777" spans="1:4" hidden="1" x14ac:dyDescent="0.3">
      <c r="A1777">
        <v>1775</v>
      </c>
      <c r="B1777" t="s">
        <v>2090</v>
      </c>
      <c r="C1777" t="s">
        <v>216</v>
      </c>
      <c r="D1777">
        <v>4042.1951343268101</v>
      </c>
    </row>
    <row r="1778" spans="1:4" hidden="1" x14ac:dyDescent="0.3">
      <c r="A1778">
        <v>1776</v>
      </c>
      <c r="B1778" s="1" t="s">
        <v>2091</v>
      </c>
      <c r="C1778" t="s">
        <v>218</v>
      </c>
      <c r="D1778" s="1" t="s">
        <v>2092</v>
      </c>
    </row>
    <row r="1779" spans="1:4" hidden="1" x14ac:dyDescent="0.3">
      <c r="A1779">
        <v>1777</v>
      </c>
      <c r="B1779" t="s">
        <v>2093</v>
      </c>
      <c r="C1779" t="s">
        <v>111</v>
      </c>
      <c r="D1779">
        <v>-1020.20152072368</v>
      </c>
    </row>
    <row r="1780" spans="1:4" hidden="1" x14ac:dyDescent="0.3">
      <c r="A1780">
        <v>1778</v>
      </c>
      <c r="B1780" t="s">
        <v>2094</v>
      </c>
      <c r="C1780" t="s">
        <v>113</v>
      </c>
      <c r="D1780">
        <v>-152.67164018166201</v>
      </c>
    </row>
    <row r="1781" spans="1:4" hidden="1" x14ac:dyDescent="0.3">
      <c r="A1781">
        <v>1779</v>
      </c>
      <c r="B1781" s="1" t="s">
        <v>2095</v>
      </c>
      <c r="C1781" t="s">
        <v>115</v>
      </c>
      <c r="D1781" s="1" t="s">
        <v>2096</v>
      </c>
    </row>
    <row r="1782" spans="1:4" hidden="1" x14ac:dyDescent="0.3">
      <c r="A1782">
        <v>1780</v>
      </c>
      <c r="B1782" t="s">
        <v>2097</v>
      </c>
      <c r="C1782" t="s">
        <v>118</v>
      </c>
      <c r="D1782">
        <v>80012968.854555994</v>
      </c>
    </row>
    <row r="1783" spans="1:4" hidden="1" x14ac:dyDescent="0.3">
      <c r="A1783">
        <v>1781</v>
      </c>
      <c r="B1783" t="s">
        <v>2098</v>
      </c>
      <c r="C1783" t="s">
        <v>120</v>
      </c>
      <c r="D1783">
        <v>35004807.396462202</v>
      </c>
    </row>
    <row r="1784" spans="1:4" hidden="1" x14ac:dyDescent="0.3">
      <c r="A1784">
        <v>1782</v>
      </c>
      <c r="B1784" s="1" t="s">
        <v>2099</v>
      </c>
      <c r="C1784" t="s">
        <v>122</v>
      </c>
      <c r="D1784" s="1" t="s">
        <v>2100</v>
      </c>
    </row>
    <row r="1785" spans="1:4" hidden="1" x14ac:dyDescent="0.3">
      <c r="A1785">
        <v>1783</v>
      </c>
      <c r="B1785" t="s">
        <v>2101</v>
      </c>
      <c r="C1785" t="s">
        <v>125</v>
      </c>
      <c r="D1785">
        <v>0.80016203570657296</v>
      </c>
    </row>
    <row r="1786" spans="1:4" hidden="1" x14ac:dyDescent="0.3">
      <c r="A1786">
        <v>1784</v>
      </c>
      <c r="B1786" t="s">
        <v>2102</v>
      </c>
      <c r="C1786" t="s">
        <v>127</v>
      </c>
      <c r="D1786">
        <v>0.35006222549727101</v>
      </c>
    </row>
    <row r="1787" spans="1:4" hidden="1" x14ac:dyDescent="0.3">
      <c r="A1787">
        <v>1785</v>
      </c>
      <c r="B1787" s="1" t="s">
        <v>2103</v>
      </c>
      <c r="C1787" t="s">
        <v>129</v>
      </c>
      <c r="D1787" s="1" t="s">
        <v>2104</v>
      </c>
    </row>
    <row r="1788" spans="1:4" ht="72" x14ac:dyDescent="0.3">
      <c r="A1788">
        <v>1786</v>
      </c>
      <c r="B1788" s="1" t="s">
        <v>3</v>
      </c>
      <c r="C1788" t="s">
        <v>4</v>
      </c>
      <c r="D1788" t="s">
        <v>5</v>
      </c>
    </row>
    <row r="1789" spans="1:4" hidden="1" x14ac:dyDescent="0.3">
      <c r="A1789">
        <v>1787</v>
      </c>
      <c r="B1789" t="s">
        <v>6</v>
      </c>
      <c r="C1789" t="s">
        <v>7</v>
      </c>
      <c r="D1789">
        <v>1981.95</v>
      </c>
    </row>
    <row r="1790" spans="1:4" hidden="1" x14ac:dyDescent="0.3">
      <c r="A1790">
        <v>1788</v>
      </c>
      <c r="B1790" s="1" t="s">
        <v>131</v>
      </c>
      <c r="C1790" t="s">
        <v>9</v>
      </c>
      <c r="D1790" s="1" t="s">
        <v>132</v>
      </c>
    </row>
    <row r="1791" spans="1:4" hidden="1" x14ac:dyDescent="0.3">
      <c r="A1791">
        <v>1789</v>
      </c>
      <c r="B1791" t="s">
        <v>13</v>
      </c>
      <c r="C1791" t="s">
        <v>14</v>
      </c>
      <c r="D1791">
        <v>91.74609375</v>
      </c>
    </row>
    <row r="1792" spans="1:4" hidden="1" x14ac:dyDescent="0.3">
      <c r="A1792">
        <v>1790</v>
      </c>
      <c r="B1792" t="s">
        <v>15</v>
      </c>
      <c r="C1792" t="s">
        <v>16</v>
      </c>
      <c r="D1792">
        <v>4.1883572307132804</v>
      </c>
    </row>
    <row r="1793" spans="1:4" hidden="1" x14ac:dyDescent="0.3">
      <c r="A1793">
        <v>1791</v>
      </c>
      <c r="B1793" s="1" t="s">
        <v>133</v>
      </c>
      <c r="C1793" t="s">
        <v>134</v>
      </c>
      <c r="D1793" s="1" t="s">
        <v>135</v>
      </c>
    </row>
    <row r="1794" spans="1:4" hidden="1" x14ac:dyDescent="0.3">
      <c r="A1794">
        <v>1792</v>
      </c>
      <c r="B1794" t="s">
        <v>21</v>
      </c>
      <c r="C1794" t="s">
        <v>22</v>
      </c>
      <c r="D1794">
        <v>38.25</v>
      </c>
    </row>
    <row r="1795" spans="1:4" hidden="1" x14ac:dyDescent="0.3">
      <c r="A1795">
        <v>1793</v>
      </c>
      <c r="B1795" t="s">
        <v>2105</v>
      </c>
      <c r="C1795" t="s">
        <v>24</v>
      </c>
      <c r="D1795">
        <v>5.7243557724137597</v>
      </c>
    </row>
    <row r="1796" spans="1:4" hidden="1" x14ac:dyDescent="0.3">
      <c r="A1796">
        <v>1794</v>
      </c>
      <c r="B1796" s="1" t="s">
        <v>2106</v>
      </c>
      <c r="C1796" t="s">
        <v>138</v>
      </c>
      <c r="D1796" s="1" t="s">
        <v>2107</v>
      </c>
    </row>
    <row r="1797" spans="1:4" hidden="1" x14ac:dyDescent="0.3">
      <c r="A1797">
        <v>1795</v>
      </c>
      <c r="B1797" t="s">
        <v>2108</v>
      </c>
      <c r="C1797" t="s">
        <v>35</v>
      </c>
      <c r="D1797">
        <v>0.54596645076521499</v>
      </c>
    </row>
    <row r="1798" spans="1:4" hidden="1" x14ac:dyDescent="0.3">
      <c r="A1798">
        <v>1796</v>
      </c>
      <c r="B1798" t="s">
        <v>2109</v>
      </c>
      <c r="C1798" t="s">
        <v>142</v>
      </c>
      <c r="D1798">
        <v>0.69490809265190401</v>
      </c>
    </row>
    <row r="1799" spans="1:4" hidden="1" x14ac:dyDescent="0.3">
      <c r="A1799">
        <v>1797</v>
      </c>
      <c r="B1799" s="1" t="s">
        <v>2110</v>
      </c>
      <c r="C1799" t="s">
        <v>144</v>
      </c>
      <c r="D1799" s="1" t="s">
        <v>2111</v>
      </c>
    </row>
    <row r="1800" spans="1:4" hidden="1" x14ac:dyDescent="0.3">
      <c r="A1800">
        <v>1798</v>
      </c>
      <c r="B1800" t="s">
        <v>2112</v>
      </c>
      <c r="C1800" t="s">
        <v>30</v>
      </c>
      <c r="D1800">
        <v>0.19281054295036301</v>
      </c>
    </row>
    <row r="1801" spans="1:4" hidden="1" x14ac:dyDescent="0.3">
      <c r="A1801">
        <v>1799</v>
      </c>
      <c r="B1801" t="s">
        <v>2113</v>
      </c>
      <c r="C1801" t="s">
        <v>32</v>
      </c>
      <c r="D1801">
        <v>0.24153070847528699</v>
      </c>
    </row>
    <row r="1802" spans="1:4" hidden="1" x14ac:dyDescent="0.3">
      <c r="A1802">
        <v>1800</v>
      </c>
      <c r="B1802" s="1" t="s">
        <v>2114</v>
      </c>
      <c r="C1802" t="s">
        <v>148</v>
      </c>
      <c r="D1802" s="1" t="s">
        <v>2115</v>
      </c>
    </row>
    <row r="1803" spans="1:4" hidden="1" x14ac:dyDescent="0.3">
      <c r="A1803">
        <v>1801</v>
      </c>
      <c r="B1803" t="s">
        <v>2116</v>
      </c>
      <c r="C1803" t="s">
        <v>40</v>
      </c>
      <c r="D1803">
        <v>0.26122300628442002</v>
      </c>
    </row>
    <row r="1804" spans="1:4" hidden="1" x14ac:dyDescent="0.3">
      <c r="A1804">
        <v>1802</v>
      </c>
      <c r="B1804" t="s">
        <v>2117</v>
      </c>
      <c r="C1804" t="s">
        <v>42</v>
      </c>
      <c r="D1804">
        <v>0.197508512069411</v>
      </c>
    </row>
    <row r="1805" spans="1:4" hidden="1" x14ac:dyDescent="0.3">
      <c r="A1805">
        <v>1803</v>
      </c>
      <c r="B1805" s="1" t="s">
        <v>2118</v>
      </c>
      <c r="C1805" t="s">
        <v>152</v>
      </c>
      <c r="D1805" s="1" t="s">
        <v>2119</v>
      </c>
    </row>
    <row r="1806" spans="1:4" hidden="1" x14ac:dyDescent="0.3">
      <c r="A1806">
        <v>1804</v>
      </c>
      <c r="B1806" t="s">
        <v>153</v>
      </c>
      <c r="C1806" t="s">
        <v>154</v>
      </c>
      <c r="D1806">
        <v>1</v>
      </c>
    </row>
    <row r="1807" spans="1:4" hidden="1" x14ac:dyDescent="0.3">
      <c r="A1807">
        <v>1805</v>
      </c>
      <c r="B1807" t="s">
        <v>155</v>
      </c>
      <c r="C1807" t="s">
        <v>156</v>
      </c>
      <c r="D1807">
        <v>1</v>
      </c>
    </row>
    <row r="1808" spans="1:4" hidden="1" x14ac:dyDescent="0.3">
      <c r="A1808">
        <v>1806</v>
      </c>
      <c r="B1808" s="1" t="s">
        <v>2120</v>
      </c>
      <c r="C1808" t="s">
        <v>158</v>
      </c>
      <c r="D1808" s="1" t="s">
        <v>2121</v>
      </c>
    </row>
    <row r="1809" spans="1:4" hidden="1" x14ac:dyDescent="0.3">
      <c r="A1809">
        <v>1807</v>
      </c>
      <c r="B1809" t="s">
        <v>2122</v>
      </c>
      <c r="C1809" t="s">
        <v>161</v>
      </c>
      <c r="D1809">
        <v>1.0003327183202699</v>
      </c>
    </row>
    <row r="1810" spans="1:4" hidden="1" x14ac:dyDescent="0.3">
      <c r="A1810">
        <v>1808</v>
      </c>
      <c r="B1810" t="s">
        <v>2123</v>
      </c>
      <c r="C1810" t="s">
        <v>163</v>
      </c>
      <c r="D1810">
        <v>0.99927575492981602</v>
      </c>
    </row>
    <row r="1811" spans="1:4" hidden="1" x14ac:dyDescent="0.3">
      <c r="A1811">
        <v>1809</v>
      </c>
      <c r="B1811" s="1" t="s">
        <v>2124</v>
      </c>
      <c r="C1811" t="s">
        <v>165</v>
      </c>
      <c r="D1811" s="1" t="s">
        <v>2125</v>
      </c>
    </row>
    <row r="1812" spans="1:4" hidden="1" x14ac:dyDescent="0.3">
      <c r="A1812">
        <v>1810</v>
      </c>
      <c r="B1812" s="1" t="s">
        <v>2126</v>
      </c>
      <c r="C1812" t="s">
        <v>55</v>
      </c>
      <c r="D1812" s="1" t="s">
        <v>2127</v>
      </c>
    </row>
    <row r="1813" spans="1:4" hidden="1" x14ac:dyDescent="0.3">
      <c r="A1813">
        <v>1811</v>
      </c>
      <c r="B1813" s="1" t="s">
        <v>2128</v>
      </c>
      <c r="C1813" t="s">
        <v>52</v>
      </c>
      <c r="D1813" s="1" t="s">
        <v>2129</v>
      </c>
    </row>
    <row r="1814" spans="1:4" hidden="1" x14ac:dyDescent="0.3">
      <c r="A1814">
        <v>1812</v>
      </c>
      <c r="B1814" s="1" t="s">
        <v>2130</v>
      </c>
      <c r="C1814" t="s">
        <v>58</v>
      </c>
      <c r="D1814" s="1" t="s">
        <v>2131</v>
      </c>
    </row>
    <row r="1815" spans="1:4" hidden="1" x14ac:dyDescent="0.3">
      <c r="A1815">
        <v>1813</v>
      </c>
      <c r="B1815" t="s">
        <v>2132</v>
      </c>
      <c r="C1815" t="s">
        <v>60</v>
      </c>
      <c r="D1815">
        <v>149934264.43551099</v>
      </c>
    </row>
    <row r="1816" spans="1:4" hidden="1" x14ac:dyDescent="0.3">
      <c r="A1816">
        <v>1814</v>
      </c>
      <c r="B1816" t="s">
        <v>2133</v>
      </c>
      <c r="C1816" t="s">
        <v>62</v>
      </c>
      <c r="D1816">
        <v>80012968.854555994</v>
      </c>
    </row>
    <row r="1817" spans="1:4" hidden="1" x14ac:dyDescent="0.3">
      <c r="A1817">
        <v>1815</v>
      </c>
      <c r="B1817" t="s">
        <v>2134</v>
      </c>
      <c r="C1817" t="s">
        <v>64</v>
      </c>
      <c r="D1817">
        <v>35004807.396462202</v>
      </c>
    </row>
    <row r="1818" spans="1:4" hidden="1" x14ac:dyDescent="0.3">
      <c r="A1818">
        <v>1816</v>
      </c>
      <c r="B1818" s="1" t="s">
        <v>2135</v>
      </c>
      <c r="C1818" t="s">
        <v>66</v>
      </c>
      <c r="D1818" s="1" t="s">
        <v>2136</v>
      </c>
    </row>
    <row r="1819" spans="1:4" hidden="1" x14ac:dyDescent="0.3">
      <c r="A1819">
        <v>1817</v>
      </c>
      <c r="B1819" s="1" t="s">
        <v>2137</v>
      </c>
      <c r="C1819" t="s">
        <v>69</v>
      </c>
      <c r="D1819" s="1" t="s">
        <v>2138</v>
      </c>
    </row>
    <row r="1820" spans="1:4" hidden="1" x14ac:dyDescent="0.3">
      <c r="A1820">
        <v>1818</v>
      </c>
      <c r="B1820" t="s">
        <v>2139</v>
      </c>
      <c r="C1820" t="s">
        <v>72</v>
      </c>
      <c r="D1820">
        <v>1.00009430279772</v>
      </c>
    </row>
    <row r="1821" spans="1:4" hidden="1" x14ac:dyDescent="0.3">
      <c r="A1821">
        <v>1819</v>
      </c>
      <c r="B1821" t="s">
        <v>73</v>
      </c>
      <c r="C1821" t="s">
        <v>74</v>
      </c>
      <c r="D1821">
        <v>2.7397260273972599E-3</v>
      </c>
    </row>
    <row r="1822" spans="1:4" hidden="1" x14ac:dyDescent="0.3">
      <c r="A1822">
        <v>1820</v>
      </c>
      <c r="B1822" t="s">
        <v>75</v>
      </c>
      <c r="C1822" t="s">
        <v>76</v>
      </c>
      <c r="D1822">
        <v>0</v>
      </c>
    </row>
    <row r="1823" spans="1:4" hidden="1" x14ac:dyDescent="0.3">
      <c r="A1823">
        <v>1821</v>
      </c>
      <c r="B1823" t="s">
        <v>77</v>
      </c>
      <c r="C1823" t="s">
        <v>78</v>
      </c>
      <c r="D1823">
        <v>0</v>
      </c>
    </row>
    <row r="1824" spans="1:4" hidden="1" x14ac:dyDescent="0.3">
      <c r="A1824">
        <v>1822</v>
      </c>
      <c r="B1824" s="1" t="s">
        <v>2140</v>
      </c>
      <c r="C1824" t="s">
        <v>80</v>
      </c>
      <c r="D1824" s="1" t="s">
        <v>2141</v>
      </c>
    </row>
    <row r="1825" spans="1:4" hidden="1" x14ac:dyDescent="0.3">
      <c r="A1825">
        <v>1823</v>
      </c>
      <c r="B1825" t="s">
        <v>2142</v>
      </c>
      <c r="C1825" t="s">
        <v>83</v>
      </c>
      <c r="D1825">
        <v>1.0001285575966401</v>
      </c>
    </row>
    <row r="1826" spans="1:4" hidden="1" x14ac:dyDescent="0.3">
      <c r="A1826">
        <v>1824</v>
      </c>
      <c r="B1826" s="1" t="s">
        <v>2143</v>
      </c>
      <c r="C1826" t="s">
        <v>85</v>
      </c>
      <c r="D1826" s="1" t="s">
        <v>2144</v>
      </c>
    </row>
    <row r="1827" spans="1:4" hidden="1" x14ac:dyDescent="0.3">
      <c r="A1827">
        <v>1825</v>
      </c>
      <c r="B1827" t="s">
        <v>2145</v>
      </c>
      <c r="C1827" t="s">
        <v>88</v>
      </c>
      <c r="D1827">
        <v>99987145.892828196</v>
      </c>
    </row>
    <row r="1828" spans="1:4" hidden="1" x14ac:dyDescent="0.3">
      <c r="A1828">
        <v>1826</v>
      </c>
      <c r="B1828" s="1" t="s">
        <v>2146</v>
      </c>
      <c r="C1828" t="s">
        <v>90</v>
      </c>
      <c r="D1828" s="1" t="s">
        <v>2092</v>
      </c>
    </row>
    <row r="1829" spans="1:4" hidden="1" x14ac:dyDescent="0.3">
      <c r="A1829">
        <v>1827</v>
      </c>
      <c r="B1829" t="s">
        <v>2147</v>
      </c>
      <c r="C1829" t="s">
        <v>93</v>
      </c>
      <c r="D1829">
        <v>80012968.854555994</v>
      </c>
    </row>
    <row r="1830" spans="1:4" hidden="1" x14ac:dyDescent="0.3">
      <c r="A1830">
        <v>1828</v>
      </c>
      <c r="B1830" t="s">
        <v>2148</v>
      </c>
      <c r="C1830" t="s">
        <v>95</v>
      </c>
      <c r="D1830">
        <v>35004807.396462202</v>
      </c>
    </row>
    <row r="1831" spans="1:4" hidden="1" x14ac:dyDescent="0.3">
      <c r="A1831">
        <v>1829</v>
      </c>
      <c r="B1831" t="s">
        <v>2149</v>
      </c>
      <c r="C1831" t="s">
        <v>97</v>
      </c>
      <c r="D1831">
        <v>34916488.184493102</v>
      </c>
    </row>
    <row r="1832" spans="1:4" hidden="1" x14ac:dyDescent="0.3">
      <c r="A1832">
        <v>1830</v>
      </c>
      <c r="B1832" s="1" t="s">
        <v>2150</v>
      </c>
      <c r="C1832" t="s">
        <v>99</v>
      </c>
      <c r="D1832" s="1" t="s">
        <v>2151</v>
      </c>
    </row>
    <row r="1833" spans="1:4" hidden="1" x14ac:dyDescent="0.3">
      <c r="A1833">
        <v>1831</v>
      </c>
      <c r="B1833" t="s">
        <v>2152</v>
      </c>
      <c r="C1833" t="s">
        <v>102</v>
      </c>
      <c r="D1833">
        <v>8.2371081913588003E-3</v>
      </c>
    </row>
    <row r="1834" spans="1:4" hidden="1" x14ac:dyDescent="0.3">
      <c r="A1834">
        <v>1832</v>
      </c>
      <c r="B1834" t="s">
        <v>2153</v>
      </c>
      <c r="C1834" t="s">
        <v>104</v>
      </c>
      <c r="D1834">
        <v>1.53008644369285E-3</v>
      </c>
    </row>
    <row r="1835" spans="1:4" hidden="1" x14ac:dyDescent="0.3">
      <c r="A1835">
        <v>1833</v>
      </c>
      <c r="B1835" t="s">
        <v>2154</v>
      </c>
      <c r="C1835" t="s">
        <v>106</v>
      </c>
      <c r="D1835">
        <v>2.0447272857401399E-2</v>
      </c>
    </row>
    <row r="1836" spans="1:4" hidden="1" x14ac:dyDescent="0.3">
      <c r="A1836">
        <v>1834</v>
      </c>
      <c r="B1836" s="1" t="s">
        <v>2155</v>
      </c>
      <c r="C1836" t="s">
        <v>108</v>
      </c>
      <c r="D1836" s="1" t="s">
        <v>2156</v>
      </c>
    </row>
    <row r="1837" spans="1:4" hidden="1" x14ac:dyDescent="0.3">
      <c r="A1837">
        <v>1835</v>
      </c>
      <c r="B1837" t="s">
        <v>2157</v>
      </c>
      <c r="C1837" t="s">
        <v>196</v>
      </c>
      <c r="D1837">
        <v>149935444.07741901</v>
      </c>
    </row>
    <row r="1838" spans="1:4" hidden="1" x14ac:dyDescent="0.3">
      <c r="A1838">
        <v>1836</v>
      </c>
      <c r="B1838" t="s">
        <v>2158</v>
      </c>
      <c r="C1838" t="s">
        <v>198</v>
      </c>
      <c r="D1838">
        <v>-2740.59932047244</v>
      </c>
    </row>
    <row r="1839" spans="1:4" hidden="1" x14ac:dyDescent="0.3">
      <c r="A1839">
        <v>1837</v>
      </c>
      <c r="B1839" t="s">
        <v>2159</v>
      </c>
      <c r="C1839" t="s">
        <v>200</v>
      </c>
      <c r="D1839">
        <v>-1198.9740095158199</v>
      </c>
    </row>
    <row r="1840" spans="1:4" hidden="1" x14ac:dyDescent="0.3">
      <c r="A1840">
        <v>1838</v>
      </c>
      <c r="B1840" s="1" t="s">
        <v>2160</v>
      </c>
      <c r="C1840" t="s">
        <v>202</v>
      </c>
      <c r="D1840" s="1" t="s">
        <v>2161</v>
      </c>
    </row>
    <row r="1841" spans="1:4" hidden="1" x14ac:dyDescent="0.3">
      <c r="A1841">
        <v>1839</v>
      </c>
      <c r="B1841" t="s">
        <v>2162</v>
      </c>
      <c r="C1841" t="s">
        <v>205</v>
      </c>
      <c r="D1841">
        <v>80016573.7747536</v>
      </c>
    </row>
    <row r="1842" spans="1:4" hidden="1" x14ac:dyDescent="0.3">
      <c r="A1842">
        <v>1840</v>
      </c>
      <c r="B1842" t="s">
        <v>2163</v>
      </c>
      <c r="C1842" t="s">
        <v>207</v>
      </c>
      <c r="D1842">
        <v>35006135.909680098</v>
      </c>
    </row>
    <row r="1843" spans="1:4" hidden="1" x14ac:dyDescent="0.3">
      <c r="A1843">
        <v>1841</v>
      </c>
      <c r="B1843" t="s">
        <v>2164</v>
      </c>
      <c r="C1843" t="s">
        <v>209</v>
      </c>
      <c r="D1843">
        <v>34917869.917179599</v>
      </c>
    </row>
    <row r="1844" spans="1:4" hidden="1" x14ac:dyDescent="0.3">
      <c r="A1844">
        <v>1842</v>
      </c>
      <c r="B1844" s="1" t="s">
        <v>2165</v>
      </c>
      <c r="C1844" t="s">
        <v>211</v>
      </c>
      <c r="D1844" s="1" t="s">
        <v>2166</v>
      </c>
    </row>
    <row r="1845" spans="1:4" hidden="1" x14ac:dyDescent="0.3">
      <c r="A1845">
        <v>1843</v>
      </c>
      <c r="B1845" t="s">
        <v>2167</v>
      </c>
      <c r="C1845" t="s">
        <v>214</v>
      </c>
      <c r="D1845">
        <v>99990570.609445497</v>
      </c>
    </row>
    <row r="1846" spans="1:4" hidden="1" x14ac:dyDescent="0.3">
      <c r="A1846">
        <v>1844</v>
      </c>
      <c r="B1846" t="s">
        <v>2168</v>
      </c>
      <c r="C1846" t="s">
        <v>216</v>
      </c>
      <c r="D1846">
        <v>-3424.7166173011001</v>
      </c>
    </row>
    <row r="1847" spans="1:4" hidden="1" x14ac:dyDescent="0.3">
      <c r="A1847">
        <v>1845</v>
      </c>
      <c r="B1847" s="1" t="s">
        <v>2169</v>
      </c>
      <c r="C1847" t="s">
        <v>218</v>
      </c>
      <c r="D1847" s="1" t="s">
        <v>2170</v>
      </c>
    </row>
    <row r="1848" spans="1:4" hidden="1" x14ac:dyDescent="0.3">
      <c r="A1848">
        <v>1846</v>
      </c>
      <c r="B1848" t="s">
        <v>2171</v>
      </c>
      <c r="C1848" t="s">
        <v>111</v>
      </c>
      <c r="D1848">
        <v>864.32087713057604</v>
      </c>
    </row>
    <row r="1849" spans="1:4" hidden="1" x14ac:dyDescent="0.3">
      <c r="A1849">
        <v>1847</v>
      </c>
      <c r="B1849" t="s">
        <v>2172</v>
      </c>
      <c r="C1849" t="s">
        <v>113</v>
      </c>
      <c r="D1849">
        <v>129.53920839153599</v>
      </c>
    </row>
    <row r="1850" spans="1:4" hidden="1" x14ac:dyDescent="0.3">
      <c r="A1850">
        <v>1848</v>
      </c>
      <c r="B1850" s="1" t="s">
        <v>2173</v>
      </c>
      <c r="C1850" t="s">
        <v>115</v>
      </c>
      <c r="D1850" s="1" t="s">
        <v>2174</v>
      </c>
    </row>
    <row r="1851" spans="1:4" hidden="1" x14ac:dyDescent="0.3">
      <c r="A1851">
        <v>1849</v>
      </c>
      <c r="B1851" t="s">
        <v>2175</v>
      </c>
      <c r="C1851" t="s">
        <v>118</v>
      </c>
      <c r="D1851">
        <v>80016573.7747536</v>
      </c>
    </row>
    <row r="1852" spans="1:4" hidden="1" x14ac:dyDescent="0.3">
      <c r="A1852">
        <v>1850</v>
      </c>
      <c r="B1852" t="s">
        <v>2176</v>
      </c>
      <c r="C1852" t="s">
        <v>120</v>
      </c>
      <c r="D1852">
        <v>35006135.909680098</v>
      </c>
    </row>
    <row r="1853" spans="1:4" hidden="1" x14ac:dyDescent="0.3">
      <c r="A1853">
        <v>1851</v>
      </c>
      <c r="B1853" s="1" t="s">
        <v>2177</v>
      </c>
      <c r="C1853" t="s">
        <v>122</v>
      </c>
      <c r="D1853" s="1" t="s">
        <v>2178</v>
      </c>
    </row>
    <row r="1854" spans="1:4" hidden="1" x14ac:dyDescent="0.3">
      <c r="A1854">
        <v>1852</v>
      </c>
      <c r="B1854" t="s">
        <v>2179</v>
      </c>
      <c r="C1854" t="s">
        <v>125</v>
      </c>
      <c r="D1854">
        <v>0.80013833175433002</v>
      </c>
    </row>
    <row r="1855" spans="1:4" hidden="1" x14ac:dyDescent="0.3">
      <c r="A1855">
        <v>1853</v>
      </c>
      <c r="B1855" t="s">
        <v>2180</v>
      </c>
      <c r="C1855" t="s">
        <v>127</v>
      </c>
      <c r="D1855">
        <v>0.350049369356705</v>
      </c>
    </row>
    <row r="1856" spans="1:4" hidden="1" x14ac:dyDescent="0.3">
      <c r="A1856">
        <v>1854</v>
      </c>
      <c r="B1856" s="1" t="s">
        <v>2181</v>
      </c>
      <c r="C1856" t="s">
        <v>129</v>
      </c>
      <c r="D1856" s="1" t="s">
        <v>2182</v>
      </c>
    </row>
    <row r="1857" spans="1:4" ht="72" x14ac:dyDescent="0.3">
      <c r="A1857">
        <v>1855</v>
      </c>
      <c r="B1857" s="1" t="s">
        <v>3</v>
      </c>
      <c r="C1857" t="s">
        <v>4</v>
      </c>
      <c r="D1857" t="s">
        <v>5</v>
      </c>
    </row>
    <row r="1858" spans="1:4" hidden="1" x14ac:dyDescent="0.3">
      <c r="A1858">
        <v>1856</v>
      </c>
      <c r="B1858" t="s">
        <v>6</v>
      </c>
      <c r="C1858" t="s">
        <v>7</v>
      </c>
      <c r="D1858">
        <v>1981.95</v>
      </c>
    </row>
    <row r="1859" spans="1:4" hidden="1" x14ac:dyDescent="0.3">
      <c r="A1859">
        <v>1857</v>
      </c>
      <c r="B1859" s="1" t="s">
        <v>131</v>
      </c>
      <c r="C1859" t="s">
        <v>9</v>
      </c>
      <c r="D1859" s="1" t="s">
        <v>132</v>
      </c>
    </row>
    <row r="1860" spans="1:4" hidden="1" x14ac:dyDescent="0.3">
      <c r="A1860">
        <v>1858</v>
      </c>
      <c r="B1860" t="s">
        <v>13</v>
      </c>
      <c r="C1860" t="s">
        <v>14</v>
      </c>
      <c r="D1860">
        <v>91.74609375</v>
      </c>
    </row>
    <row r="1861" spans="1:4" hidden="1" x14ac:dyDescent="0.3">
      <c r="A1861">
        <v>1859</v>
      </c>
      <c r="B1861" t="s">
        <v>15</v>
      </c>
      <c r="C1861" t="s">
        <v>16</v>
      </c>
      <c r="D1861">
        <v>4.1883572307132804</v>
      </c>
    </row>
    <row r="1862" spans="1:4" hidden="1" x14ac:dyDescent="0.3">
      <c r="A1862">
        <v>1860</v>
      </c>
      <c r="B1862" s="1" t="s">
        <v>133</v>
      </c>
      <c r="C1862" t="s">
        <v>134</v>
      </c>
      <c r="D1862" s="1" t="s">
        <v>135</v>
      </c>
    </row>
    <row r="1863" spans="1:4" hidden="1" x14ac:dyDescent="0.3">
      <c r="A1863">
        <v>1861</v>
      </c>
      <c r="B1863" t="s">
        <v>21</v>
      </c>
      <c r="C1863" t="s">
        <v>22</v>
      </c>
      <c r="D1863">
        <v>38.25</v>
      </c>
    </row>
    <row r="1864" spans="1:4" hidden="1" x14ac:dyDescent="0.3">
      <c r="A1864">
        <v>1862</v>
      </c>
      <c r="B1864" t="s">
        <v>2183</v>
      </c>
      <c r="C1864" t="s">
        <v>24</v>
      </c>
      <c r="D1864">
        <v>5.7142811704547496</v>
      </c>
    </row>
    <row r="1865" spans="1:4" hidden="1" x14ac:dyDescent="0.3">
      <c r="A1865">
        <v>1863</v>
      </c>
      <c r="B1865" s="1" t="s">
        <v>2184</v>
      </c>
      <c r="C1865" t="s">
        <v>138</v>
      </c>
      <c r="D1865" s="1" t="s">
        <v>2185</v>
      </c>
    </row>
    <row r="1866" spans="1:4" hidden="1" x14ac:dyDescent="0.3">
      <c r="A1866">
        <v>1864</v>
      </c>
      <c r="B1866" t="s">
        <v>2186</v>
      </c>
      <c r="C1866" t="s">
        <v>35</v>
      </c>
      <c r="D1866">
        <v>0.54393688820723596</v>
      </c>
    </row>
    <row r="1867" spans="1:4" hidden="1" x14ac:dyDescent="0.3">
      <c r="A1867">
        <v>1865</v>
      </c>
      <c r="B1867" t="s">
        <v>2187</v>
      </c>
      <c r="C1867" t="s">
        <v>142</v>
      </c>
      <c r="D1867">
        <v>0.69512908633327997</v>
      </c>
    </row>
    <row r="1868" spans="1:4" hidden="1" x14ac:dyDescent="0.3">
      <c r="A1868">
        <v>1866</v>
      </c>
      <c r="B1868" s="1" t="s">
        <v>2188</v>
      </c>
      <c r="C1868" t="s">
        <v>144</v>
      </c>
      <c r="D1868" s="1" t="s">
        <v>2189</v>
      </c>
    </row>
    <row r="1869" spans="1:4" hidden="1" x14ac:dyDescent="0.3">
      <c r="A1869">
        <v>1867</v>
      </c>
      <c r="B1869" t="s">
        <v>2190</v>
      </c>
      <c r="C1869" t="s">
        <v>30</v>
      </c>
      <c r="D1869">
        <v>0.19209379367353999</v>
      </c>
    </row>
    <row r="1870" spans="1:4" hidden="1" x14ac:dyDescent="0.3">
      <c r="A1870">
        <v>1868</v>
      </c>
      <c r="B1870" t="s">
        <v>2191</v>
      </c>
      <c r="C1870" t="s">
        <v>32</v>
      </c>
      <c r="D1870">
        <v>0.24129962407775499</v>
      </c>
    </row>
    <row r="1871" spans="1:4" hidden="1" x14ac:dyDescent="0.3">
      <c r="A1871">
        <v>1869</v>
      </c>
      <c r="B1871" s="1" t="s">
        <v>2192</v>
      </c>
      <c r="C1871" t="s">
        <v>148</v>
      </c>
      <c r="D1871" s="1" t="s">
        <v>2193</v>
      </c>
    </row>
    <row r="1872" spans="1:4" hidden="1" x14ac:dyDescent="0.3">
      <c r="A1872">
        <v>1870</v>
      </c>
      <c r="B1872" t="s">
        <v>2194</v>
      </c>
      <c r="C1872" t="s">
        <v>40</v>
      </c>
      <c r="D1872">
        <v>0.26396931811922297</v>
      </c>
    </row>
    <row r="1873" spans="1:4" hidden="1" x14ac:dyDescent="0.3">
      <c r="A1873">
        <v>1871</v>
      </c>
      <c r="B1873" t="s">
        <v>2195</v>
      </c>
      <c r="C1873" t="s">
        <v>42</v>
      </c>
      <c r="D1873">
        <v>0.197282100756801</v>
      </c>
    </row>
    <row r="1874" spans="1:4" hidden="1" x14ac:dyDescent="0.3">
      <c r="A1874">
        <v>1872</v>
      </c>
      <c r="B1874" s="1" t="s">
        <v>2196</v>
      </c>
      <c r="C1874" t="s">
        <v>152</v>
      </c>
      <c r="D1874" s="1" t="s">
        <v>2197</v>
      </c>
    </row>
    <row r="1875" spans="1:4" hidden="1" x14ac:dyDescent="0.3">
      <c r="A1875">
        <v>1873</v>
      </c>
      <c r="B1875" t="s">
        <v>153</v>
      </c>
      <c r="C1875" t="s">
        <v>154</v>
      </c>
      <c r="D1875">
        <v>1</v>
      </c>
    </row>
    <row r="1876" spans="1:4" hidden="1" x14ac:dyDescent="0.3">
      <c r="A1876">
        <v>1874</v>
      </c>
      <c r="B1876" t="s">
        <v>155</v>
      </c>
      <c r="C1876" t="s">
        <v>156</v>
      </c>
      <c r="D1876">
        <v>1</v>
      </c>
    </row>
    <row r="1877" spans="1:4" hidden="1" x14ac:dyDescent="0.3">
      <c r="A1877">
        <v>1875</v>
      </c>
      <c r="B1877" s="1" t="s">
        <v>2198</v>
      </c>
      <c r="C1877" t="s">
        <v>158</v>
      </c>
      <c r="D1877" s="1" t="s">
        <v>2199</v>
      </c>
    </row>
    <row r="1878" spans="1:4" hidden="1" x14ac:dyDescent="0.3">
      <c r="A1878">
        <v>1876</v>
      </c>
      <c r="B1878" t="s">
        <v>2200</v>
      </c>
      <c r="C1878" t="s">
        <v>161</v>
      </c>
      <c r="D1878">
        <v>1.0001303868229301</v>
      </c>
    </row>
    <row r="1879" spans="1:4" hidden="1" x14ac:dyDescent="0.3">
      <c r="A1879">
        <v>1877</v>
      </c>
      <c r="B1879" t="s">
        <v>2201</v>
      </c>
      <c r="C1879" t="s">
        <v>163</v>
      </c>
      <c r="D1879">
        <v>0.99981387137993805</v>
      </c>
    </row>
    <row r="1880" spans="1:4" hidden="1" x14ac:dyDescent="0.3">
      <c r="A1880">
        <v>1878</v>
      </c>
      <c r="B1880" s="1" t="s">
        <v>2202</v>
      </c>
      <c r="C1880" t="s">
        <v>165</v>
      </c>
      <c r="D1880" s="1" t="s">
        <v>2203</v>
      </c>
    </row>
    <row r="1881" spans="1:4" hidden="1" x14ac:dyDescent="0.3">
      <c r="A1881">
        <v>1879</v>
      </c>
      <c r="B1881" s="1" t="s">
        <v>2204</v>
      </c>
      <c r="C1881" t="s">
        <v>55</v>
      </c>
      <c r="D1881" s="1" t="s">
        <v>2205</v>
      </c>
    </row>
    <row r="1882" spans="1:4" hidden="1" x14ac:dyDescent="0.3">
      <c r="A1882">
        <v>1880</v>
      </c>
      <c r="B1882" s="1" t="s">
        <v>2206</v>
      </c>
      <c r="C1882" t="s">
        <v>52</v>
      </c>
      <c r="D1882" s="1" t="s">
        <v>2207</v>
      </c>
    </row>
    <row r="1883" spans="1:4" hidden="1" x14ac:dyDescent="0.3">
      <c r="A1883">
        <v>1881</v>
      </c>
      <c r="B1883" s="1" t="s">
        <v>2208</v>
      </c>
      <c r="C1883" t="s">
        <v>58</v>
      </c>
      <c r="D1883" s="1" t="s">
        <v>2209</v>
      </c>
    </row>
    <row r="1884" spans="1:4" hidden="1" x14ac:dyDescent="0.3">
      <c r="A1884">
        <v>1882</v>
      </c>
      <c r="B1884" t="s">
        <v>2210</v>
      </c>
      <c r="C1884" t="s">
        <v>60</v>
      </c>
      <c r="D1884">
        <v>149932579.85643199</v>
      </c>
    </row>
    <row r="1885" spans="1:4" hidden="1" x14ac:dyDescent="0.3">
      <c r="A1885">
        <v>1883</v>
      </c>
      <c r="B1885" t="s">
        <v>2211</v>
      </c>
      <c r="C1885" t="s">
        <v>62</v>
      </c>
      <c r="D1885">
        <v>80016573.7747536</v>
      </c>
    </row>
    <row r="1886" spans="1:4" hidden="1" x14ac:dyDescent="0.3">
      <c r="A1886">
        <v>1884</v>
      </c>
      <c r="B1886" t="s">
        <v>2212</v>
      </c>
      <c r="C1886" t="s">
        <v>64</v>
      </c>
      <c r="D1886">
        <v>35006135.909680098</v>
      </c>
    </row>
    <row r="1887" spans="1:4" hidden="1" x14ac:dyDescent="0.3">
      <c r="A1887">
        <v>1885</v>
      </c>
      <c r="B1887" s="1" t="s">
        <v>2213</v>
      </c>
      <c r="C1887" t="s">
        <v>66</v>
      </c>
      <c r="D1887" s="1" t="s">
        <v>2214</v>
      </c>
    </row>
    <row r="1888" spans="1:4" hidden="1" x14ac:dyDescent="0.3">
      <c r="A1888">
        <v>1886</v>
      </c>
      <c r="B1888" s="1" t="s">
        <v>2215</v>
      </c>
      <c r="C1888" t="s">
        <v>69</v>
      </c>
      <c r="D1888" s="1" t="s">
        <v>2216</v>
      </c>
    </row>
    <row r="1889" spans="1:4" hidden="1" x14ac:dyDescent="0.3">
      <c r="A1889">
        <v>1887</v>
      </c>
      <c r="B1889" t="s">
        <v>2217</v>
      </c>
      <c r="C1889" t="s">
        <v>72</v>
      </c>
      <c r="D1889">
        <v>1.0001285575966401</v>
      </c>
    </row>
    <row r="1890" spans="1:4" hidden="1" x14ac:dyDescent="0.3">
      <c r="A1890">
        <v>1888</v>
      </c>
      <c r="B1890" t="s">
        <v>73</v>
      </c>
      <c r="C1890" t="s">
        <v>74</v>
      </c>
      <c r="D1890">
        <v>2.7397260273972599E-3</v>
      </c>
    </row>
    <row r="1891" spans="1:4" hidden="1" x14ac:dyDescent="0.3">
      <c r="A1891">
        <v>1889</v>
      </c>
      <c r="B1891" t="s">
        <v>75</v>
      </c>
      <c r="C1891" t="s">
        <v>76</v>
      </c>
      <c r="D1891">
        <v>0</v>
      </c>
    </row>
    <row r="1892" spans="1:4" hidden="1" x14ac:dyDescent="0.3">
      <c r="A1892">
        <v>1890</v>
      </c>
      <c r="B1892" t="s">
        <v>77</v>
      </c>
      <c r="C1892" t="s">
        <v>78</v>
      </c>
      <c r="D1892">
        <v>0</v>
      </c>
    </row>
    <row r="1893" spans="1:4" hidden="1" x14ac:dyDescent="0.3">
      <c r="A1893">
        <v>1891</v>
      </c>
      <c r="B1893" s="1" t="s">
        <v>2218</v>
      </c>
      <c r="C1893" t="s">
        <v>80</v>
      </c>
      <c r="D1893" s="1" t="s">
        <v>2219</v>
      </c>
    </row>
    <row r="1894" spans="1:4" hidden="1" x14ac:dyDescent="0.3">
      <c r="A1894">
        <v>1892</v>
      </c>
      <c r="B1894" t="s">
        <v>2220</v>
      </c>
      <c r="C1894" t="s">
        <v>83</v>
      </c>
      <c r="D1894">
        <v>1.0001400766214401</v>
      </c>
    </row>
    <row r="1895" spans="1:4" hidden="1" x14ac:dyDescent="0.3">
      <c r="A1895">
        <v>1893</v>
      </c>
      <c r="B1895" s="1" t="s">
        <v>2221</v>
      </c>
      <c r="C1895" t="s">
        <v>85</v>
      </c>
      <c r="D1895" s="1" t="s">
        <v>2222</v>
      </c>
    </row>
    <row r="1896" spans="1:4" hidden="1" x14ac:dyDescent="0.3">
      <c r="A1896">
        <v>1894</v>
      </c>
      <c r="B1896" t="s">
        <v>2223</v>
      </c>
      <c r="C1896" t="s">
        <v>88</v>
      </c>
      <c r="D1896">
        <v>99985994.299726501</v>
      </c>
    </row>
    <row r="1897" spans="1:4" hidden="1" x14ac:dyDescent="0.3">
      <c r="A1897">
        <v>1895</v>
      </c>
      <c r="B1897" s="1" t="s">
        <v>2224</v>
      </c>
      <c r="C1897" t="s">
        <v>90</v>
      </c>
      <c r="D1897" s="1" t="s">
        <v>2170</v>
      </c>
    </row>
    <row r="1898" spans="1:4" hidden="1" x14ac:dyDescent="0.3">
      <c r="A1898">
        <v>1896</v>
      </c>
      <c r="B1898" t="s">
        <v>2225</v>
      </c>
      <c r="C1898" t="s">
        <v>93</v>
      </c>
      <c r="D1898">
        <v>80016573.7747536</v>
      </c>
    </row>
    <row r="1899" spans="1:4" hidden="1" x14ac:dyDescent="0.3">
      <c r="A1899">
        <v>1897</v>
      </c>
      <c r="B1899" t="s">
        <v>2226</v>
      </c>
      <c r="C1899" t="s">
        <v>95</v>
      </c>
      <c r="D1899">
        <v>35006135.909680098</v>
      </c>
    </row>
    <row r="1900" spans="1:4" hidden="1" x14ac:dyDescent="0.3">
      <c r="A1900">
        <v>1898</v>
      </c>
      <c r="B1900" t="s">
        <v>2227</v>
      </c>
      <c r="C1900" t="s">
        <v>97</v>
      </c>
      <c r="D1900">
        <v>34909870.171998799</v>
      </c>
    </row>
    <row r="1901" spans="1:4" hidden="1" x14ac:dyDescent="0.3">
      <c r="A1901">
        <v>1899</v>
      </c>
      <c r="B1901" s="1" t="s">
        <v>2228</v>
      </c>
      <c r="C1901" t="s">
        <v>99</v>
      </c>
      <c r="D1901" s="1" t="s">
        <v>2229</v>
      </c>
    </row>
    <row r="1902" spans="1:4" hidden="1" x14ac:dyDescent="0.3">
      <c r="A1902">
        <v>1900</v>
      </c>
      <c r="B1902" t="s">
        <v>2230</v>
      </c>
      <c r="C1902" t="s">
        <v>102</v>
      </c>
      <c r="D1902">
        <v>8.2946715827155893E-3</v>
      </c>
    </row>
    <row r="1903" spans="1:4" hidden="1" x14ac:dyDescent="0.3">
      <c r="A1903">
        <v>1901</v>
      </c>
      <c r="B1903" t="s">
        <v>2231</v>
      </c>
      <c r="C1903" t="s">
        <v>104</v>
      </c>
      <c r="D1903">
        <v>1.5355675465182799E-3</v>
      </c>
    </row>
    <row r="1904" spans="1:4" hidden="1" x14ac:dyDescent="0.3">
      <c r="A1904">
        <v>1902</v>
      </c>
      <c r="B1904" t="s">
        <v>2232</v>
      </c>
      <c r="C1904" t="s">
        <v>106</v>
      </c>
      <c r="D1904">
        <v>2.05723480710438E-2</v>
      </c>
    </row>
    <row r="1905" spans="1:4" hidden="1" x14ac:dyDescent="0.3">
      <c r="A1905">
        <v>1903</v>
      </c>
      <c r="B1905" s="1" t="s">
        <v>2233</v>
      </c>
      <c r="C1905" t="s">
        <v>108</v>
      </c>
      <c r="D1905" s="1" t="s">
        <v>2234</v>
      </c>
    </row>
    <row r="1906" spans="1:4" hidden="1" x14ac:dyDescent="0.3">
      <c r="A1906">
        <v>1904</v>
      </c>
      <c r="B1906" t="s">
        <v>2235</v>
      </c>
      <c r="C1906" t="s">
        <v>196</v>
      </c>
      <c r="D1906">
        <v>149932976.51728299</v>
      </c>
    </row>
    <row r="1907" spans="1:4" hidden="1" x14ac:dyDescent="0.3">
      <c r="A1907">
        <v>1905</v>
      </c>
      <c r="B1907" t="s">
        <v>2236</v>
      </c>
      <c r="C1907" t="s">
        <v>198</v>
      </c>
      <c r="D1907">
        <v>-921.59776731751299</v>
      </c>
    </row>
    <row r="1908" spans="1:4" hidden="1" x14ac:dyDescent="0.3">
      <c r="A1908">
        <v>1906</v>
      </c>
      <c r="B1908" t="s">
        <v>2237</v>
      </c>
      <c r="C1908" t="s">
        <v>200</v>
      </c>
      <c r="D1908">
        <v>-403.18521663811799</v>
      </c>
    </row>
    <row r="1909" spans="1:4" hidden="1" x14ac:dyDescent="0.3">
      <c r="A1909">
        <v>1907</v>
      </c>
      <c r="B1909" s="1" t="s">
        <v>2238</v>
      </c>
      <c r="C1909" t="s">
        <v>202</v>
      </c>
      <c r="D1909" s="1" t="s">
        <v>2239</v>
      </c>
    </row>
    <row r="1910" spans="1:4" hidden="1" x14ac:dyDescent="0.3">
      <c r="A1910">
        <v>1908</v>
      </c>
      <c r="B1910" t="s">
        <v>2240</v>
      </c>
      <c r="C1910" t="s">
        <v>205</v>
      </c>
      <c r="D1910">
        <v>80017786.040938497</v>
      </c>
    </row>
    <row r="1911" spans="1:4" hidden="1" x14ac:dyDescent="0.3">
      <c r="A1911">
        <v>1909</v>
      </c>
      <c r="B1911" t="s">
        <v>2241</v>
      </c>
      <c r="C1911" t="s">
        <v>207</v>
      </c>
      <c r="D1911">
        <v>35006582.637155302</v>
      </c>
    </row>
    <row r="1912" spans="1:4" hidden="1" x14ac:dyDescent="0.3">
      <c r="A1912">
        <v>1910</v>
      </c>
      <c r="B1912" t="s">
        <v>2242</v>
      </c>
      <c r="C1912" t="s">
        <v>209</v>
      </c>
      <c r="D1912">
        <v>34910334.698863298</v>
      </c>
    </row>
    <row r="1913" spans="1:4" hidden="1" x14ac:dyDescent="0.3">
      <c r="A1913">
        <v>1911</v>
      </c>
      <c r="B1913" s="1" t="s">
        <v>2243</v>
      </c>
      <c r="C1913" t="s">
        <v>211</v>
      </c>
      <c r="D1913" s="1" t="s">
        <v>2244</v>
      </c>
    </row>
    <row r="1914" spans="1:4" hidden="1" x14ac:dyDescent="0.3">
      <c r="A1914">
        <v>1912</v>
      </c>
      <c r="B1914" t="s">
        <v>2245</v>
      </c>
      <c r="C1914" t="s">
        <v>214</v>
      </c>
      <c r="D1914">
        <v>99987145.892828196</v>
      </c>
    </row>
    <row r="1915" spans="1:4" hidden="1" x14ac:dyDescent="0.3">
      <c r="A1915">
        <v>1913</v>
      </c>
      <c r="B1915" t="s">
        <v>2246</v>
      </c>
      <c r="C1915" t="s">
        <v>216</v>
      </c>
      <c r="D1915">
        <v>-1151.5931016653701</v>
      </c>
    </row>
    <row r="1916" spans="1:4" hidden="1" x14ac:dyDescent="0.3">
      <c r="A1916">
        <v>1914</v>
      </c>
      <c r="B1916" s="1" t="s">
        <v>2247</v>
      </c>
      <c r="C1916" t="s">
        <v>218</v>
      </c>
      <c r="D1916" s="1" t="s">
        <v>2248</v>
      </c>
    </row>
    <row r="1917" spans="1:4" hidden="1" x14ac:dyDescent="0.3">
      <c r="A1917">
        <v>1915</v>
      </c>
      <c r="B1917" t="s">
        <v>2249</v>
      </c>
      <c r="C1917" t="s">
        <v>111</v>
      </c>
      <c r="D1917">
        <v>290.66841764683198</v>
      </c>
    </row>
    <row r="1918" spans="1:4" hidden="1" x14ac:dyDescent="0.3">
      <c r="A1918">
        <v>1916</v>
      </c>
      <c r="B1918" t="s">
        <v>2250</v>
      </c>
      <c r="C1918" t="s">
        <v>113</v>
      </c>
      <c r="D1918">
        <v>43.542258612248197</v>
      </c>
    </row>
    <row r="1919" spans="1:4" hidden="1" x14ac:dyDescent="0.3">
      <c r="A1919">
        <v>1917</v>
      </c>
      <c r="B1919" s="1" t="s">
        <v>2251</v>
      </c>
      <c r="C1919" t="s">
        <v>115</v>
      </c>
      <c r="D1919" s="1" t="s">
        <v>2252</v>
      </c>
    </row>
    <row r="1920" spans="1:4" hidden="1" x14ac:dyDescent="0.3">
      <c r="A1920">
        <v>1918</v>
      </c>
      <c r="B1920" t="s">
        <v>2253</v>
      </c>
      <c r="C1920" t="s">
        <v>118</v>
      </c>
      <c r="D1920">
        <v>80017786.040938497</v>
      </c>
    </row>
    <row r="1921" spans="1:4" hidden="1" x14ac:dyDescent="0.3">
      <c r="A1921">
        <v>1919</v>
      </c>
      <c r="B1921" t="s">
        <v>2254</v>
      </c>
      <c r="C1921" t="s">
        <v>120</v>
      </c>
      <c r="D1921">
        <v>35006582.637155302</v>
      </c>
    </row>
    <row r="1922" spans="1:4" hidden="1" x14ac:dyDescent="0.3">
      <c r="A1922">
        <v>1920</v>
      </c>
      <c r="B1922" s="1" t="s">
        <v>2255</v>
      </c>
      <c r="C1922" t="s">
        <v>122</v>
      </c>
      <c r="D1922" s="1" t="s">
        <v>2256</v>
      </c>
    </row>
    <row r="1923" spans="1:4" hidden="1" x14ac:dyDescent="0.3">
      <c r="A1923">
        <v>1921</v>
      </c>
      <c r="B1923" t="s">
        <v>2257</v>
      </c>
      <c r="C1923" t="s">
        <v>125</v>
      </c>
      <c r="D1923">
        <v>0.80016864443171198</v>
      </c>
    </row>
    <row r="1924" spans="1:4" hidden="1" x14ac:dyDescent="0.3">
      <c r="A1924">
        <v>1922</v>
      </c>
      <c r="B1924" t="s">
        <v>2258</v>
      </c>
      <c r="C1924" t="s">
        <v>127</v>
      </c>
      <c r="D1924">
        <v>0.35006179451938702</v>
      </c>
    </row>
    <row r="1925" spans="1:4" hidden="1" x14ac:dyDescent="0.3">
      <c r="A1925">
        <v>1923</v>
      </c>
      <c r="B1925" s="1" t="s">
        <v>2259</v>
      </c>
      <c r="C1925" t="s">
        <v>129</v>
      </c>
      <c r="D1925" s="1" t="s">
        <v>2260</v>
      </c>
    </row>
    <row r="1926" spans="1:4" ht="72" x14ac:dyDescent="0.3">
      <c r="A1926">
        <v>1924</v>
      </c>
      <c r="B1926" s="1" t="s">
        <v>3</v>
      </c>
      <c r="C1926" t="s">
        <v>4</v>
      </c>
      <c r="D1926" t="s">
        <v>5</v>
      </c>
    </row>
    <row r="1927" spans="1:4" hidden="1" x14ac:dyDescent="0.3">
      <c r="A1927">
        <v>1925</v>
      </c>
      <c r="B1927" t="s">
        <v>6</v>
      </c>
      <c r="C1927" t="s">
        <v>7</v>
      </c>
      <c r="D1927">
        <v>1981.95</v>
      </c>
    </row>
    <row r="1928" spans="1:4" hidden="1" x14ac:dyDescent="0.3">
      <c r="A1928">
        <v>1926</v>
      </c>
      <c r="B1928" s="1" t="s">
        <v>131</v>
      </c>
      <c r="C1928" t="s">
        <v>9</v>
      </c>
      <c r="D1928" s="1" t="s">
        <v>132</v>
      </c>
    </row>
    <row r="1929" spans="1:4" hidden="1" x14ac:dyDescent="0.3">
      <c r="A1929">
        <v>1927</v>
      </c>
      <c r="B1929" t="s">
        <v>13</v>
      </c>
      <c r="C1929" t="s">
        <v>14</v>
      </c>
      <c r="D1929">
        <v>91.74609375</v>
      </c>
    </row>
    <row r="1930" spans="1:4" hidden="1" x14ac:dyDescent="0.3">
      <c r="A1930">
        <v>1928</v>
      </c>
      <c r="B1930" t="s">
        <v>15</v>
      </c>
      <c r="C1930" t="s">
        <v>16</v>
      </c>
      <c r="D1930">
        <v>4.1883572307132804</v>
      </c>
    </row>
    <row r="1931" spans="1:4" hidden="1" x14ac:dyDescent="0.3">
      <c r="A1931">
        <v>1929</v>
      </c>
      <c r="B1931" s="1" t="s">
        <v>133</v>
      </c>
      <c r="C1931" t="s">
        <v>134</v>
      </c>
      <c r="D1931" s="1" t="s">
        <v>135</v>
      </c>
    </row>
    <row r="1932" spans="1:4" hidden="1" x14ac:dyDescent="0.3">
      <c r="A1932">
        <v>1930</v>
      </c>
      <c r="B1932" t="s">
        <v>21</v>
      </c>
      <c r="C1932" t="s">
        <v>22</v>
      </c>
      <c r="D1932">
        <v>38.25</v>
      </c>
    </row>
    <row r="1933" spans="1:4" hidden="1" x14ac:dyDescent="0.3">
      <c r="A1933">
        <v>1931</v>
      </c>
      <c r="B1933" t="s">
        <v>2261</v>
      </c>
      <c r="C1933" t="s">
        <v>24</v>
      </c>
      <c r="D1933">
        <v>5.7040391505703703</v>
      </c>
    </row>
    <row r="1934" spans="1:4" hidden="1" x14ac:dyDescent="0.3">
      <c r="A1934">
        <v>1932</v>
      </c>
      <c r="B1934" s="1" t="s">
        <v>2262</v>
      </c>
      <c r="C1934" t="s">
        <v>138</v>
      </c>
      <c r="D1934" s="1" t="s">
        <v>2263</v>
      </c>
    </row>
    <row r="1935" spans="1:4" hidden="1" x14ac:dyDescent="0.3">
      <c r="A1935">
        <v>1933</v>
      </c>
      <c r="B1935" t="s">
        <v>2264</v>
      </c>
      <c r="C1935" t="s">
        <v>35</v>
      </c>
      <c r="D1935">
        <v>0.54633370741631704</v>
      </c>
    </row>
    <row r="1936" spans="1:4" hidden="1" x14ac:dyDescent="0.3">
      <c r="A1936">
        <v>1934</v>
      </c>
      <c r="B1936" t="s">
        <v>2265</v>
      </c>
      <c r="C1936" t="s">
        <v>142</v>
      </c>
      <c r="D1936">
        <v>0.69540965347927897</v>
      </c>
    </row>
    <row r="1937" spans="1:4" hidden="1" x14ac:dyDescent="0.3">
      <c r="A1937">
        <v>1935</v>
      </c>
      <c r="B1937" s="1" t="s">
        <v>2266</v>
      </c>
      <c r="C1937" t="s">
        <v>144</v>
      </c>
      <c r="D1937" s="1" t="s">
        <v>2267</v>
      </c>
    </row>
    <row r="1938" spans="1:4" hidden="1" x14ac:dyDescent="0.3">
      <c r="A1938">
        <v>1936</v>
      </c>
      <c r="B1938" t="s">
        <v>2268</v>
      </c>
      <c r="C1938" t="s">
        <v>30</v>
      </c>
      <c r="D1938">
        <v>0.192940241312235</v>
      </c>
    </row>
    <row r="1939" spans="1:4" hidden="1" x14ac:dyDescent="0.3">
      <c r="A1939">
        <v>1937</v>
      </c>
      <c r="B1939" t="s">
        <v>2269</v>
      </c>
      <c r="C1939" t="s">
        <v>32</v>
      </c>
      <c r="D1939">
        <v>0.24066802142042101</v>
      </c>
    </row>
    <row r="1940" spans="1:4" hidden="1" x14ac:dyDescent="0.3">
      <c r="A1940">
        <v>1938</v>
      </c>
      <c r="B1940" s="1" t="s">
        <v>2270</v>
      </c>
      <c r="C1940" t="s">
        <v>148</v>
      </c>
      <c r="D1940" s="1" t="s">
        <v>2271</v>
      </c>
    </row>
    <row r="1941" spans="1:4" hidden="1" x14ac:dyDescent="0.3">
      <c r="A1941">
        <v>1939</v>
      </c>
      <c r="B1941" t="s">
        <v>2272</v>
      </c>
      <c r="C1941" t="s">
        <v>40</v>
      </c>
      <c r="D1941">
        <v>0.26072605127144599</v>
      </c>
    </row>
    <row r="1942" spans="1:4" hidden="1" x14ac:dyDescent="0.3">
      <c r="A1942">
        <v>1940</v>
      </c>
      <c r="B1942" t="s">
        <v>2273</v>
      </c>
      <c r="C1942" t="s">
        <v>42</v>
      </c>
      <c r="D1942">
        <v>0.19733329909158501</v>
      </c>
    </row>
    <row r="1943" spans="1:4" hidden="1" x14ac:dyDescent="0.3">
      <c r="A1943">
        <v>1941</v>
      </c>
      <c r="B1943" s="1" t="s">
        <v>2274</v>
      </c>
      <c r="C1943" t="s">
        <v>152</v>
      </c>
      <c r="D1943" s="1" t="s">
        <v>2275</v>
      </c>
    </row>
    <row r="1944" spans="1:4" hidden="1" x14ac:dyDescent="0.3">
      <c r="A1944">
        <v>1942</v>
      </c>
      <c r="B1944" t="s">
        <v>153</v>
      </c>
      <c r="C1944" t="s">
        <v>154</v>
      </c>
      <c r="D1944">
        <v>1</v>
      </c>
    </row>
    <row r="1945" spans="1:4" hidden="1" x14ac:dyDescent="0.3">
      <c r="A1945">
        <v>1943</v>
      </c>
      <c r="B1945" t="s">
        <v>155</v>
      </c>
      <c r="C1945" t="s">
        <v>156</v>
      </c>
      <c r="D1945">
        <v>1</v>
      </c>
    </row>
    <row r="1946" spans="1:4" hidden="1" x14ac:dyDescent="0.3">
      <c r="A1946">
        <v>1944</v>
      </c>
      <c r="B1946" s="1" t="s">
        <v>2276</v>
      </c>
      <c r="C1946" t="s">
        <v>158</v>
      </c>
      <c r="D1946" s="1" t="s">
        <v>2277</v>
      </c>
    </row>
    <row r="1947" spans="1:4" hidden="1" x14ac:dyDescent="0.3">
      <c r="A1947">
        <v>1945</v>
      </c>
      <c r="B1947" t="s">
        <v>2278</v>
      </c>
      <c r="C1947" t="s">
        <v>161</v>
      </c>
      <c r="D1947">
        <v>1.00016551373477</v>
      </c>
    </row>
    <row r="1948" spans="1:4" hidden="1" x14ac:dyDescent="0.3">
      <c r="A1948">
        <v>1946</v>
      </c>
      <c r="B1948" t="s">
        <v>2279</v>
      </c>
      <c r="C1948" t="s">
        <v>163</v>
      </c>
      <c r="D1948">
        <v>0.99949117630821505</v>
      </c>
    </row>
    <row r="1949" spans="1:4" hidden="1" x14ac:dyDescent="0.3">
      <c r="A1949">
        <v>1947</v>
      </c>
      <c r="B1949" s="1" t="s">
        <v>2280</v>
      </c>
      <c r="C1949" t="s">
        <v>165</v>
      </c>
      <c r="D1949" s="1" t="s">
        <v>2281</v>
      </c>
    </row>
    <row r="1950" spans="1:4" hidden="1" x14ac:dyDescent="0.3">
      <c r="A1950">
        <v>1948</v>
      </c>
      <c r="B1950" s="1" t="s">
        <v>2282</v>
      </c>
      <c r="C1950" t="s">
        <v>55</v>
      </c>
      <c r="D1950" s="1" t="s">
        <v>2283</v>
      </c>
    </row>
    <row r="1951" spans="1:4" hidden="1" x14ac:dyDescent="0.3">
      <c r="A1951">
        <v>1949</v>
      </c>
      <c r="B1951" s="1" t="s">
        <v>2284</v>
      </c>
      <c r="C1951" t="s">
        <v>52</v>
      </c>
      <c r="D1951" s="1" t="s">
        <v>2285</v>
      </c>
    </row>
    <row r="1952" spans="1:4" hidden="1" x14ac:dyDescent="0.3">
      <c r="A1952">
        <v>1950</v>
      </c>
      <c r="B1952" s="1" t="s">
        <v>2286</v>
      </c>
      <c r="C1952" t="s">
        <v>58</v>
      </c>
      <c r="D1952" s="1" t="s">
        <v>2287</v>
      </c>
    </row>
    <row r="1953" spans="1:4" hidden="1" x14ac:dyDescent="0.3">
      <c r="A1953">
        <v>1951</v>
      </c>
      <c r="B1953" t="s">
        <v>2288</v>
      </c>
      <c r="C1953" t="s">
        <v>60</v>
      </c>
      <c r="D1953">
        <v>149926570.58522999</v>
      </c>
    </row>
    <row r="1954" spans="1:4" hidden="1" x14ac:dyDescent="0.3">
      <c r="A1954">
        <v>1952</v>
      </c>
      <c r="B1954" t="s">
        <v>2289</v>
      </c>
      <c r="C1954" t="s">
        <v>62</v>
      </c>
      <c r="D1954">
        <v>80017786.040938497</v>
      </c>
    </row>
    <row r="1955" spans="1:4" hidden="1" x14ac:dyDescent="0.3">
      <c r="A1955">
        <v>1953</v>
      </c>
      <c r="B1955" t="s">
        <v>2290</v>
      </c>
      <c r="C1955" t="s">
        <v>64</v>
      </c>
      <c r="D1955">
        <v>35006582.637155302</v>
      </c>
    </row>
    <row r="1956" spans="1:4" hidden="1" x14ac:dyDescent="0.3">
      <c r="A1956">
        <v>1954</v>
      </c>
      <c r="B1956" s="1" t="s">
        <v>2291</v>
      </c>
      <c r="C1956" t="s">
        <v>66</v>
      </c>
      <c r="D1956" s="1" t="s">
        <v>2292</v>
      </c>
    </row>
    <row r="1957" spans="1:4" hidden="1" x14ac:dyDescent="0.3">
      <c r="A1957">
        <v>1955</v>
      </c>
      <c r="B1957" s="1" t="s">
        <v>2293</v>
      </c>
      <c r="C1957" t="s">
        <v>69</v>
      </c>
      <c r="D1957" s="1" t="s">
        <v>2294</v>
      </c>
    </row>
    <row r="1958" spans="1:4" hidden="1" x14ac:dyDescent="0.3">
      <c r="A1958">
        <v>1956</v>
      </c>
      <c r="B1958" t="s">
        <v>2295</v>
      </c>
      <c r="C1958" t="s">
        <v>72</v>
      </c>
      <c r="D1958">
        <v>1.0001400766214401</v>
      </c>
    </row>
    <row r="1959" spans="1:4" hidden="1" x14ac:dyDescent="0.3">
      <c r="A1959">
        <v>1957</v>
      </c>
      <c r="B1959" t="s">
        <v>73</v>
      </c>
      <c r="C1959" t="s">
        <v>74</v>
      </c>
      <c r="D1959">
        <v>2.7397260273972599E-3</v>
      </c>
    </row>
    <row r="1960" spans="1:4" hidden="1" x14ac:dyDescent="0.3">
      <c r="A1960">
        <v>1958</v>
      </c>
      <c r="B1960" t="s">
        <v>75</v>
      </c>
      <c r="C1960" t="s">
        <v>76</v>
      </c>
      <c r="D1960">
        <v>0</v>
      </c>
    </row>
    <row r="1961" spans="1:4" hidden="1" x14ac:dyDescent="0.3">
      <c r="A1961">
        <v>1959</v>
      </c>
      <c r="B1961" t="s">
        <v>77</v>
      </c>
      <c r="C1961" t="s">
        <v>78</v>
      </c>
      <c r="D1961">
        <v>0</v>
      </c>
    </row>
    <row r="1962" spans="1:4" hidden="1" x14ac:dyDescent="0.3">
      <c r="A1962">
        <v>1960</v>
      </c>
      <c r="B1962" s="1" t="s">
        <v>2296</v>
      </c>
      <c r="C1962" t="s">
        <v>80</v>
      </c>
      <c r="D1962" s="1" t="s">
        <v>2297</v>
      </c>
    </row>
    <row r="1963" spans="1:4" hidden="1" x14ac:dyDescent="0.3">
      <c r="A1963">
        <v>1961</v>
      </c>
      <c r="B1963" t="s">
        <v>2298</v>
      </c>
      <c r="C1963" t="s">
        <v>83</v>
      </c>
      <c r="D1963">
        <v>1.00012553328702</v>
      </c>
    </row>
    <row r="1964" spans="1:4" hidden="1" x14ac:dyDescent="0.3">
      <c r="A1964">
        <v>1962</v>
      </c>
      <c r="B1964" s="1" t="s">
        <v>2299</v>
      </c>
      <c r="C1964" t="s">
        <v>85</v>
      </c>
      <c r="D1964" s="1" t="s">
        <v>2300</v>
      </c>
    </row>
    <row r="1965" spans="1:4" hidden="1" x14ac:dyDescent="0.3">
      <c r="A1965">
        <v>1963</v>
      </c>
      <c r="B1965" t="s">
        <v>2301</v>
      </c>
      <c r="C1965" t="s">
        <v>88</v>
      </c>
      <c r="D1965">
        <v>99987448.246960297</v>
      </c>
    </row>
    <row r="1966" spans="1:4" hidden="1" x14ac:dyDescent="0.3">
      <c r="A1966">
        <v>1964</v>
      </c>
      <c r="B1966" s="1" t="s">
        <v>2302</v>
      </c>
      <c r="C1966" t="s">
        <v>90</v>
      </c>
      <c r="D1966" s="1" t="s">
        <v>2248</v>
      </c>
    </row>
    <row r="1967" spans="1:4" hidden="1" x14ac:dyDescent="0.3">
      <c r="A1967">
        <v>1965</v>
      </c>
      <c r="B1967" t="s">
        <v>2303</v>
      </c>
      <c r="C1967" t="s">
        <v>93</v>
      </c>
      <c r="D1967">
        <v>80017786.040938497</v>
      </c>
    </row>
    <row r="1968" spans="1:4" hidden="1" x14ac:dyDescent="0.3">
      <c r="A1968">
        <v>1966</v>
      </c>
      <c r="B1968" t="s">
        <v>2304</v>
      </c>
      <c r="C1968" t="s">
        <v>95</v>
      </c>
      <c r="D1968">
        <v>35006582.637155302</v>
      </c>
    </row>
    <row r="1969" spans="1:4" hidden="1" x14ac:dyDescent="0.3">
      <c r="A1969">
        <v>1967</v>
      </c>
      <c r="B1969" t="s">
        <v>2305</v>
      </c>
      <c r="C1969" t="s">
        <v>97</v>
      </c>
      <c r="D1969">
        <v>34902201.907136999</v>
      </c>
    </row>
    <row r="1970" spans="1:4" hidden="1" x14ac:dyDescent="0.3">
      <c r="A1970">
        <v>1968</v>
      </c>
      <c r="B1970" s="1" t="s">
        <v>2306</v>
      </c>
      <c r="C1970" t="s">
        <v>99</v>
      </c>
      <c r="D1970" s="1" t="s">
        <v>2307</v>
      </c>
    </row>
    <row r="1971" spans="1:4" hidden="1" x14ac:dyDescent="0.3">
      <c r="A1971">
        <v>1969</v>
      </c>
      <c r="B1971" t="s">
        <v>2308</v>
      </c>
      <c r="C1971" t="s">
        <v>102</v>
      </c>
      <c r="D1971">
        <v>8.2881437184109796E-3</v>
      </c>
    </row>
    <row r="1972" spans="1:4" hidden="1" x14ac:dyDescent="0.3">
      <c r="A1972">
        <v>1970</v>
      </c>
      <c r="B1972" t="s">
        <v>2309</v>
      </c>
      <c r="C1972" t="s">
        <v>104</v>
      </c>
      <c r="D1972">
        <v>1.5307626687000599E-3</v>
      </c>
    </row>
    <row r="1973" spans="1:4" hidden="1" x14ac:dyDescent="0.3">
      <c r="A1973">
        <v>1971</v>
      </c>
      <c r="B1973" t="s">
        <v>2310</v>
      </c>
      <c r="C1973" t="s">
        <v>106</v>
      </c>
      <c r="D1973">
        <v>2.0699478934113499E-2</v>
      </c>
    </row>
    <row r="1974" spans="1:4" hidden="1" x14ac:dyDescent="0.3">
      <c r="A1974">
        <v>1972</v>
      </c>
      <c r="B1974" s="1" t="s">
        <v>2311</v>
      </c>
      <c r="C1974" t="s">
        <v>108</v>
      </c>
      <c r="D1974" s="1" t="s">
        <v>2312</v>
      </c>
    </row>
    <row r="1975" spans="1:4" hidden="1" x14ac:dyDescent="0.3">
      <c r="A1975">
        <v>1973</v>
      </c>
      <c r="B1975" t="s">
        <v>2313</v>
      </c>
      <c r="C1975" t="s">
        <v>196</v>
      </c>
      <c r="D1975">
        <v>149926069.764007</v>
      </c>
    </row>
    <row r="1976" spans="1:4" hidden="1" x14ac:dyDescent="0.3">
      <c r="A1976">
        <v>1974</v>
      </c>
      <c r="B1976" t="s">
        <v>2314</v>
      </c>
      <c r="C1976" t="s">
        <v>198</v>
      </c>
      <c r="D1976">
        <v>1163.5567913758</v>
      </c>
    </row>
    <row r="1977" spans="1:4" hidden="1" x14ac:dyDescent="0.3">
      <c r="A1977">
        <v>1975</v>
      </c>
      <c r="B1977" t="s">
        <v>2315</v>
      </c>
      <c r="C1977" t="s">
        <v>200</v>
      </c>
      <c r="D1977">
        <v>509.04028788224599</v>
      </c>
    </row>
    <row r="1978" spans="1:4" hidden="1" x14ac:dyDescent="0.3">
      <c r="A1978">
        <v>1976</v>
      </c>
      <c r="B1978" s="1" t="s">
        <v>2316</v>
      </c>
      <c r="C1978" t="s">
        <v>202</v>
      </c>
      <c r="D1978" s="1" t="s">
        <v>2317</v>
      </c>
    </row>
    <row r="1979" spans="1:4" hidden="1" x14ac:dyDescent="0.3">
      <c r="A1979">
        <v>1977</v>
      </c>
      <c r="B1979" t="s">
        <v>2318</v>
      </c>
      <c r="C1979" t="s">
        <v>205</v>
      </c>
      <c r="D1979">
        <v>80016234.434400693</v>
      </c>
    </row>
    <row r="1980" spans="1:4" hidden="1" x14ac:dyDescent="0.3">
      <c r="A1980">
        <v>1978</v>
      </c>
      <c r="B1980" t="s">
        <v>2319</v>
      </c>
      <c r="C1980" t="s">
        <v>207</v>
      </c>
      <c r="D1980">
        <v>35006015.446464904</v>
      </c>
    </row>
    <row r="1981" spans="1:4" hidden="1" x14ac:dyDescent="0.3">
      <c r="A1981">
        <v>1979</v>
      </c>
      <c r="B1981" t="s">
        <v>2320</v>
      </c>
      <c r="C1981" t="s">
        <v>209</v>
      </c>
      <c r="D1981">
        <v>34901639.7635547</v>
      </c>
    </row>
    <row r="1982" spans="1:4" hidden="1" x14ac:dyDescent="0.3">
      <c r="A1982">
        <v>1980</v>
      </c>
      <c r="B1982" s="1" t="s">
        <v>2321</v>
      </c>
      <c r="C1982" t="s">
        <v>211</v>
      </c>
      <c r="D1982" s="1" t="s">
        <v>2322</v>
      </c>
    </row>
    <row r="1983" spans="1:4" hidden="1" x14ac:dyDescent="0.3">
      <c r="A1983">
        <v>1981</v>
      </c>
      <c r="B1983" t="s">
        <v>2323</v>
      </c>
      <c r="C1983" t="s">
        <v>214</v>
      </c>
      <c r="D1983">
        <v>99985994.299726501</v>
      </c>
    </row>
    <row r="1984" spans="1:4" hidden="1" x14ac:dyDescent="0.3">
      <c r="A1984">
        <v>1982</v>
      </c>
      <c r="B1984" t="s">
        <v>2324</v>
      </c>
      <c r="C1984" t="s">
        <v>216</v>
      </c>
      <c r="D1984">
        <v>1453.94723373651</v>
      </c>
    </row>
    <row r="1985" spans="1:4" hidden="1" x14ac:dyDescent="0.3">
      <c r="A1985">
        <v>1983</v>
      </c>
      <c r="B1985" s="1" t="s">
        <v>2325</v>
      </c>
      <c r="C1985" t="s">
        <v>218</v>
      </c>
      <c r="D1985" s="1" t="s">
        <v>2326</v>
      </c>
    </row>
    <row r="1986" spans="1:4" hidden="1" x14ac:dyDescent="0.3">
      <c r="A1986">
        <v>1984</v>
      </c>
      <c r="B1986" t="s">
        <v>2327</v>
      </c>
      <c r="C1986" t="s">
        <v>111</v>
      </c>
      <c r="D1986">
        <v>-388.04974646451899</v>
      </c>
    </row>
    <row r="1987" spans="1:4" hidden="1" x14ac:dyDescent="0.3">
      <c r="A1987">
        <v>1985</v>
      </c>
      <c r="B1987" t="s">
        <v>2328</v>
      </c>
      <c r="C1987" t="s">
        <v>113</v>
      </c>
      <c r="D1987">
        <v>-58.150402523462098</v>
      </c>
    </row>
    <row r="1988" spans="1:4" hidden="1" x14ac:dyDescent="0.3">
      <c r="A1988">
        <v>1986</v>
      </c>
      <c r="B1988" s="1" t="s">
        <v>2329</v>
      </c>
      <c r="C1988" t="s">
        <v>115</v>
      </c>
      <c r="D1988" s="1" t="s">
        <v>2330</v>
      </c>
    </row>
    <row r="1989" spans="1:4" hidden="1" x14ac:dyDescent="0.3">
      <c r="A1989">
        <v>1987</v>
      </c>
      <c r="B1989" t="s">
        <v>2331</v>
      </c>
      <c r="C1989" t="s">
        <v>118</v>
      </c>
      <c r="D1989">
        <v>80016234.434400693</v>
      </c>
    </row>
    <row r="1990" spans="1:4" hidden="1" x14ac:dyDescent="0.3">
      <c r="A1990">
        <v>1988</v>
      </c>
      <c r="B1990" t="s">
        <v>2332</v>
      </c>
      <c r="C1990" t="s">
        <v>120</v>
      </c>
      <c r="D1990">
        <v>35006015.446464904</v>
      </c>
    </row>
    <row r="1991" spans="1:4" hidden="1" x14ac:dyDescent="0.3">
      <c r="A1991">
        <v>1989</v>
      </c>
      <c r="B1991" s="1" t="s">
        <v>2333</v>
      </c>
      <c r="C1991" t="s">
        <v>122</v>
      </c>
      <c r="D1991" s="1" t="s">
        <v>2334</v>
      </c>
    </row>
    <row r="1992" spans="1:4" hidden="1" x14ac:dyDescent="0.3">
      <c r="A1992">
        <v>1990</v>
      </c>
      <c r="B1992" t="s">
        <v>2335</v>
      </c>
      <c r="C1992" t="s">
        <v>125</v>
      </c>
      <c r="D1992">
        <v>0.80017397991191996</v>
      </c>
    </row>
    <row r="1993" spans="1:4" hidden="1" x14ac:dyDescent="0.3">
      <c r="A1993">
        <v>1991</v>
      </c>
      <c r="B1993" t="s">
        <v>2336</v>
      </c>
      <c r="C1993" t="s">
        <v>127</v>
      </c>
      <c r="D1993">
        <v>0.35006524486752799</v>
      </c>
    </row>
    <row r="1994" spans="1:4" hidden="1" x14ac:dyDescent="0.3">
      <c r="A1994">
        <v>1992</v>
      </c>
      <c r="B1994" s="1" t="s">
        <v>2337</v>
      </c>
      <c r="C1994" t="s">
        <v>129</v>
      </c>
      <c r="D1994" s="1" t="s">
        <v>2338</v>
      </c>
    </row>
    <row r="1995" spans="1:4" ht="72" x14ac:dyDescent="0.3">
      <c r="A1995">
        <v>1993</v>
      </c>
      <c r="B1995" s="1" t="s">
        <v>3</v>
      </c>
      <c r="C1995" t="s">
        <v>4</v>
      </c>
      <c r="D1995" t="s">
        <v>5</v>
      </c>
    </row>
    <row r="1996" spans="1:4" hidden="1" x14ac:dyDescent="0.3">
      <c r="A1996">
        <v>1994</v>
      </c>
      <c r="B1996" t="s">
        <v>6</v>
      </c>
      <c r="C1996" t="s">
        <v>7</v>
      </c>
      <c r="D1996">
        <v>1981.95</v>
      </c>
    </row>
    <row r="1997" spans="1:4" hidden="1" x14ac:dyDescent="0.3">
      <c r="A1997">
        <v>1995</v>
      </c>
      <c r="B1997" s="1" t="s">
        <v>131</v>
      </c>
      <c r="C1997" t="s">
        <v>9</v>
      </c>
      <c r="D1997" s="1" t="s">
        <v>132</v>
      </c>
    </row>
    <row r="1998" spans="1:4" hidden="1" x14ac:dyDescent="0.3">
      <c r="A1998">
        <v>1996</v>
      </c>
      <c r="B1998" t="s">
        <v>13</v>
      </c>
      <c r="C1998" t="s">
        <v>14</v>
      </c>
      <c r="D1998">
        <v>91.74609375</v>
      </c>
    </row>
    <row r="1999" spans="1:4" hidden="1" x14ac:dyDescent="0.3">
      <c r="A1999">
        <v>1997</v>
      </c>
      <c r="B1999" t="s">
        <v>15</v>
      </c>
      <c r="C1999" t="s">
        <v>16</v>
      </c>
      <c r="D1999">
        <v>4.1883572307132804</v>
      </c>
    </row>
    <row r="2000" spans="1:4" hidden="1" x14ac:dyDescent="0.3">
      <c r="A2000">
        <v>1998</v>
      </c>
      <c r="B2000" s="1" t="s">
        <v>133</v>
      </c>
      <c r="C2000" t="s">
        <v>134</v>
      </c>
      <c r="D2000" s="1" t="s">
        <v>135</v>
      </c>
    </row>
    <row r="2001" spans="1:4" hidden="1" x14ac:dyDescent="0.3">
      <c r="A2001">
        <v>1999</v>
      </c>
      <c r="B2001" t="s">
        <v>21</v>
      </c>
      <c r="C2001" t="s">
        <v>22</v>
      </c>
      <c r="D2001">
        <v>38.25</v>
      </c>
    </row>
    <row r="2002" spans="1:4" hidden="1" x14ac:dyDescent="0.3">
      <c r="A2002">
        <v>2000</v>
      </c>
      <c r="B2002" t="s">
        <v>2339</v>
      </c>
      <c r="C2002" t="s">
        <v>24</v>
      </c>
      <c r="D2002">
        <v>5.7279657827498403</v>
      </c>
    </row>
    <row r="2003" spans="1:4" hidden="1" x14ac:dyDescent="0.3">
      <c r="A2003">
        <v>2001</v>
      </c>
      <c r="B2003" s="1" t="s">
        <v>2340</v>
      </c>
      <c r="C2003" t="s">
        <v>138</v>
      </c>
      <c r="D2003" s="1" t="s">
        <v>2341</v>
      </c>
    </row>
    <row r="2004" spans="1:4" hidden="1" x14ac:dyDescent="0.3">
      <c r="A2004">
        <v>2002</v>
      </c>
      <c r="B2004" t="s">
        <v>2342</v>
      </c>
      <c r="C2004" t="s">
        <v>35</v>
      </c>
      <c r="D2004">
        <v>0.54438479024239195</v>
      </c>
    </row>
    <row r="2005" spans="1:4" hidden="1" x14ac:dyDescent="0.3">
      <c r="A2005">
        <v>2003</v>
      </c>
      <c r="B2005" t="s">
        <v>2343</v>
      </c>
      <c r="C2005" t="s">
        <v>142</v>
      </c>
      <c r="D2005">
        <v>0.69639929553885305</v>
      </c>
    </row>
    <row r="2006" spans="1:4" hidden="1" x14ac:dyDescent="0.3">
      <c r="A2006">
        <v>2004</v>
      </c>
      <c r="B2006" s="1" t="s">
        <v>2344</v>
      </c>
      <c r="C2006" t="s">
        <v>144</v>
      </c>
      <c r="D2006" s="1" t="s">
        <v>2345</v>
      </c>
    </row>
    <row r="2007" spans="1:4" hidden="1" x14ac:dyDescent="0.3">
      <c r="A2007">
        <v>2005</v>
      </c>
      <c r="B2007" t="s">
        <v>2346</v>
      </c>
      <c r="C2007" t="s">
        <v>30</v>
      </c>
      <c r="D2007">
        <v>0.192251972320719</v>
      </c>
    </row>
    <row r="2008" spans="1:4" hidden="1" x14ac:dyDescent="0.3">
      <c r="A2008">
        <v>2006</v>
      </c>
      <c r="B2008" t="s">
        <v>2347</v>
      </c>
      <c r="C2008" t="s">
        <v>32</v>
      </c>
      <c r="D2008">
        <v>0.239993065762689</v>
      </c>
    </row>
    <row r="2009" spans="1:4" hidden="1" x14ac:dyDescent="0.3">
      <c r="A2009">
        <v>2007</v>
      </c>
      <c r="B2009" s="1" t="s">
        <v>2348</v>
      </c>
      <c r="C2009" t="s">
        <v>148</v>
      </c>
      <c r="D2009" s="1" t="s">
        <v>2349</v>
      </c>
    </row>
    <row r="2010" spans="1:4" hidden="1" x14ac:dyDescent="0.3">
      <c r="A2010">
        <v>2008</v>
      </c>
      <c r="B2010" t="s">
        <v>2350</v>
      </c>
      <c r="C2010" t="s">
        <v>40</v>
      </c>
      <c r="D2010">
        <v>0.263363237436887</v>
      </c>
    </row>
    <row r="2011" spans="1:4" hidden="1" x14ac:dyDescent="0.3">
      <c r="A2011">
        <v>2009</v>
      </c>
      <c r="B2011" t="s">
        <v>2351</v>
      </c>
      <c r="C2011" t="s">
        <v>42</v>
      </c>
      <c r="D2011">
        <v>0.19596473374402701</v>
      </c>
    </row>
    <row r="2012" spans="1:4" hidden="1" x14ac:dyDescent="0.3">
      <c r="A2012">
        <v>2010</v>
      </c>
      <c r="B2012" s="1" t="s">
        <v>2352</v>
      </c>
      <c r="C2012" t="s">
        <v>152</v>
      </c>
      <c r="D2012" s="1" t="s">
        <v>2353</v>
      </c>
    </row>
    <row r="2013" spans="1:4" hidden="1" x14ac:dyDescent="0.3">
      <c r="A2013">
        <v>2011</v>
      </c>
      <c r="B2013" t="s">
        <v>153</v>
      </c>
      <c r="C2013" t="s">
        <v>154</v>
      </c>
      <c r="D2013">
        <v>1</v>
      </c>
    </row>
    <row r="2014" spans="1:4" hidden="1" x14ac:dyDescent="0.3">
      <c r="A2014">
        <v>2012</v>
      </c>
      <c r="B2014" t="s">
        <v>155</v>
      </c>
      <c r="C2014" t="s">
        <v>156</v>
      </c>
      <c r="D2014">
        <v>1</v>
      </c>
    </row>
    <row r="2015" spans="1:4" hidden="1" x14ac:dyDescent="0.3">
      <c r="A2015">
        <v>2013</v>
      </c>
      <c r="B2015" s="1" t="s">
        <v>2354</v>
      </c>
      <c r="C2015" t="s">
        <v>158</v>
      </c>
      <c r="D2015" s="1" t="s">
        <v>2355</v>
      </c>
    </row>
    <row r="2016" spans="1:4" hidden="1" x14ac:dyDescent="0.3">
      <c r="A2016">
        <v>2014</v>
      </c>
      <c r="B2016" t="s">
        <v>2356</v>
      </c>
      <c r="C2016" t="s">
        <v>161</v>
      </c>
      <c r="D2016">
        <v>1.0005837185470401</v>
      </c>
    </row>
    <row r="2017" spans="1:4" hidden="1" x14ac:dyDescent="0.3">
      <c r="A2017">
        <v>2015</v>
      </c>
      <c r="B2017" t="s">
        <v>2357</v>
      </c>
      <c r="C2017" t="s">
        <v>163</v>
      </c>
      <c r="D2017">
        <v>0.99945597400265096</v>
      </c>
    </row>
    <row r="2018" spans="1:4" hidden="1" x14ac:dyDescent="0.3">
      <c r="A2018">
        <v>2016</v>
      </c>
      <c r="B2018" s="1" t="s">
        <v>2358</v>
      </c>
      <c r="C2018" t="s">
        <v>165</v>
      </c>
      <c r="D2018" s="1" t="s">
        <v>2359</v>
      </c>
    </row>
    <row r="2019" spans="1:4" hidden="1" x14ac:dyDescent="0.3">
      <c r="A2019">
        <v>2017</v>
      </c>
      <c r="B2019" s="1" t="s">
        <v>2360</v>
      </c>
      <c r="C2019" t="s">
        <v>55</v>
      </c>
      <c r="D2019" s="1" t="s">
        <v>2361</v>
      </c>
    </row>
    <row r="2020" spans="1:4" hidden="1" x14ac:dyDescent="0.3">
      <c r="A2020">
        <v>2018</v>
      </c>
      <c r="B2020" s="1" t="s">
        <v>2362</v>
      </c>
      <c r="C2020" t="s">
        <v>52</v>
      </c>
      <c r="D2020" s="1" t="s">
        <v>2363</v>
      </c>
    </row>
    <row r="2021" spans="1:4" hidden="1" x14ac:dyDescent="0.3">
      <c r="A2021">
        <v>2019</v>
      </c>
      <c r="B2021" s="1" t="s">
        <v>2364</v>
      </c>
      <c r="C2021" t="s">
        <v>58</v>
      </c>
      <c r="D2021" s="1" t="s">
        <v>2365</v>
      </c>
    </row>
    <row r="2022" spans="1:4" hidden="1" x14ac:dyDescent="0.3">
      <c r="A2022">
        <v>2020</v>
      </c>
      <c r="B2022" t="s">
        <v>2366</v>
      </c>
      <c r="C2022" t="s">
        <v>60</v>
      </c>
      <c r="D2022">
        <v>149942888.55130601</v>
      </c>
    </row>
    <row r="2023" spans="1:4" hidden="1" x14ac:dyDescent="0.3">
      <c r="A2023">
        <v>2021</v>
      </c>
      <c r="B2023" t="s">
        <v>2367</v>
      </c>
      <c r="C2023" t="s">
        <v>62</v>
      </c>
      <c r="D2023">
        <v>80016234.434400693</v>
      </c>
    </row>
    <row r="2024" spans="1:4" hidden="1" x14ac:dyDescent="0.3">
      <c r="A2024">
        <v>2022</v>
      </c>
      <c r="B2024" t="s">
        <v>2368</v>
      </c>
      <c r="C2024" t="s">
        <v>64</v>
      </c>
      <c r="D2024">
        <v>35006015.446464904</v>
      </c>
    </row>
    <row r="2025" spans="1:4" hidden="1" x14ac:dyDescent="0.3">
      <c r="A2025">
        <v>2023</v>
      </c>
      <c r="B2025" s="1" t="s">
        <v>2369</v>
      </c>
      <c r="C2025" t="s">
        <v>66</v>
      </c>
      <c r="D2025" s="1" t="s">
        <v>2370</v>
      </c>
    </row>
    <row r="2026" spans="1:4" hidden="1" x14ac:dyDescent="0.3">
      <c r="A2026">
        <v>2024</v>
      </c>
      <c r="B2026" s="1" t="s">
        <v>2371</v>
      </c>
      <c r="C2026" t="s">
        <v>69</v>
      </c>
      <c r="D2026" s="1" t="s">
        <v>2372</v>
      </c>
    </row>
    <row r="2027" spans="1:4" hidden="1" x14ac:dyDescent="0.3">
      <c r="A2027">
        <v>2025</v>
      </c>
      <c r="B2027" t="s">
        <v>2373</v>
      </c>
      <c r="C2027" t="s">
        <v>72</v>
      </c>
      <c r="D2027">
        <v>1.00012553328702</v>
      </c>
    </row>
    <row r="2028" spans="1:4" hidden="1" x14ac:dyDescent="0.3">
      <c r="A2028">
        <v>2026</v>
      </c>
      <c r="B2028" t="s">
        <v>73</v>
      </c>
      <c r="C2028" t="s">
        <v>74</v>
      </c>
      <c r="D2028">
        <v>2.7397260273972599E-3</v>
      </c>
    </row>
    <row r="2029" spans="1:4" hidden="1" x14ac:dyDescent="0.3">
      <c r="A2029">
        <v>2027</v>
      </c>
      <c r="B2029" t="s">
        <v>75</v>
      </c>
      <c r="C2029" t="s">
        <v>76</v>
      </c>
      <c r="D2029">
        <v>0</v>
      </c>
    </row>
    <row r="2030" spans="1:4" hidden="1" x14ac:dyDescent="0.3">
      <c r="A2030">
        <v>2028</v>
      </c>
      <c r="B2030" t="s">
        <v>77</v>
      </c>
      <c r="C2030" t="s">
        <v>78</v>
      </c>
      <c r="D2030">
        <v>0</v>
      </c>
    </row>
    <row r="2031" spans="1:4" hidden="1" x14ac:dyDescent="0.3">
      <c r="A2031">
        <v>2029</v>
      </c>
      <c r="B2031" s="1" t="s">
        <v>2374</v>
      </c>
      <c r="C2031" t="s">
        <v>80</v>
      </c>
      <c r="D2031" s="1" t="s">
        <v>2375</v>
      </c>
    </row>
    <row r="2032" spans="1:4" hidden="1" x14ac:dyDescent="0.3">
      <c r="A2032">
        <v>2030</v>
      </c>
      <c r="B2032" t="s">
        <v>2376</v>
      </c>
      <c r="C2032" t="s">
        <v>83</v>
      </c>
      <c r="D2032">
        <v>1.0001178065670899</v>
      </c>
    </row>
    <row r="2033" spans="1:4" hidden="1" x14ac:dyDescent="0.3">
      <c r="A2033">
        <v>2031</v>
      </c>
      <c r="B2033" s="1" t="s">
        <v>2377</v>
      </c>
      <c r="C2033" t="s">
        <v>85</v>
      </c>
      <c r="D2033" s="1" t="s">
        <v>2378</v>
      </c>
    </row>
    <row r="2034" spans="1:4" hidden="1" x14ac:dyDescent="0.3">
      <c r="A2034">
        <v>2032</v>
      </c>
      <c r="B2034" t="s">
        <v>2379</v>
      </c>
      <c r="C2034" t="s">
        <v>88</v>
      </c>
      <c r="D2034">
        <v>99988220.730965704</v>
      </c>
    </row>
    <row r="2035" spans="1:4" hidden="1" x14ac:dyDescent="0.3">
      <c r="A2035">
        <v>2033</v>
      </c>
      <c r="B2035" s="1" t="s">
        <v>2380</v>
      </c>
      <c r="C2035" t="s">
        <v>90</v>
      </c>
      <c r="D2035" s="1" t="s">
        <v>2326</v>
      </c>
    </row>
    <row r="2036" spans="1:4" hidden="1" x14ac:dyDescent="0.3">
      <c r="A2036">
        <v>2034</v>
      </c>
      <c r="B2036" t="s">
        <v>2381</v>
      </c>
      <c r="C2036" t="s">
        <v>93</v>
      </c>
      <c r="D2036">
        <v>80016234.434400693</v>
      </c>
    </row>
    <row r="2037" spans="1:4" hidden="1" x14ac:dyDescent="0.3">
      <c r="A2037">
        <v>2035</v>
      </c>
      <c r="B2037" t="s">
        <v>2382</v>
      </c>
      <c r="C2037" t="s">
        <v>95</v>
      </c>
      <c r="D2037">
        <v>35006015.446464904</v>
      </c>
    </row>
    <row r="2038" spans="1:4" hidden="1" x14ac:dyDescent="0.3">
      <c r="A2038">
        <v>2036</v>
      </c>
      <c r="B2038" t="s">
        <v>2383</v>
      </c>
      <c r="C2038" t="s">
        <v>97</v>
      </c>
      <c r="D2038">
        <v>34920638.670440599</v>
      </c>
    </row>
    <row r="2039" spans="1:4" hidden="1" x14ac:dyDescent="0.3">
      <c r="A2039">
        <v>2037</v>
      </c>
      <c r="B2039" s="1" t="s">
        <v>2384</v>
      </c>
      <c r="C2039" t="s">
        <v>99</v>
      </c>
      <c r="D2039" s="1" t="s">
        <v>2385</v>
      </c>
    </row>
    <row r="2040" spans="1:4" hidden="1" x14ac:dyDescent="0.3">
      <c r="A2040">
        <v>2038</v>
      </c>
      <c r="B2040" t="s">
        <v>2386</v>
      </c>
      <c r="C2040" t="s">
        <v>102</v>
      </c>
      <c r="D2040">
        <v>8.3479833032711302E-3</v>
      </c>
    </row>
    <row r="2041" spans="1:4" hidden="1" x14ac:dyDescent="0.3">
      <c r="A2041">
        <v>2039</v>
      </c>
      <c r="B2041" t="s">
        <v>2387</v>
      </c>
      <c r="C2041" t="s">
        <v>104</v>
      </c>
      <c r="D2041">
        <v>1.53365017356798E-3</v>
      </c>
    </row>
    <row r="2042" spans="1:4" hidden="1" x14ac:dyDescent="0.3">
      <c r="A2042">
        <v>2040</v>
      </c>
      <c r="B2042" t="s">
        <v>2388</v>
      </c>
      <c r="C2042" t="s">
        <v>106</v>
      </c>
      <c r="D2042">
        <v>2.04024495048803E-2</v>
      </c>
    </row>
    <row r="2043" spans="1:4" hidden="1" x14ac:dyDescent="0.3">
      <c r="A2043">
        <v>2041</v>
      </c>
      <c r="B2043" s="1" t="s">
        <v>2389</v>
      </c>
      <c r="C2043" t="s">
        <v>108</v>
      </c>
      <c r="D2043" s="1" t="s">
        <v>2390</v>
      </c>
    </row>
    <row r="2044" spans="1:4" hidden="1" x14ac:dyDescent="0.3">
      <c r="A2044">
        <v>2042</v>
      </c>
      <c r="B2044" t="s">
        <v>2391</v>
      </c>
      <c r="C2044" t="s">
        <v>196</v>
      </c>
      <c r="D2044">
        <v>149942622.442909</v>
      </c>
    </row>
    <row r="2045" spans="1:4" hidden="1" x14ac:dyDescent="0.3">
      <c r="A2045">
        <v>2043</v>
      </c>
      <c r="B2045" t="s">
        <v>2392</v>
      </c>
      <c r="C2045" t="s">
        <v>198</v>
      </c>
      <c r="D2045">
        <v>618.18392433156805</v>
      </c>
    </row>
    <row r="2046" spans="1:4" hidden="1" x14ac:dyDescent="0.3">
      <c r="A2046">
        <v>2044</v>
      </c>
      <c r="B2046" t="s">
        <v>2393</v>
      </c>
      <c r="C2046" t="s">
        <v>200</v>
      </c>
      <c r="D2046">
        <v>270.44750134467301</v>
      </c>
    </row>
    <row r="2047" spans="1:4" hidden="1" x14ac:dyDescent="0.3">
      <c r="A2047">
        <v>2045</v>
      </c>
      <c r="B2047" s="1" t="s">
        <v>2394</v>
      </c>
      <c r="C2047" t="s">
        <v>202</v>
      </c>
      <c r="D2047" s="1" t="s">
        <v>2395</v>
      </c>
    </row>
    <row r="2048" spans="1:4" hidden="1" x14ac:dyDescent="0.3">
      <c r="A2048">
        <v>2046</v>
      </c>
      <c r="B2048" t="s">
        <v>2396</v>
      </c>
      <c r="C2048" t="s">
        <v>205</v>
      </c>
      <c r="D2048">
        <v>80015421.301414907</v>
      </c>
    </row>
    <row r="2049" spans="1:4" hidden="1" x14ac:dyDescent="0.3">
      <c r="A2049">
        <v>2047</v>
      </c>
      <c r="B2049" t="s">
        <v>2397</v>
      </c>
      <c r="C2049" t="s">
        <v>207</v>
      </c>
      <c r="D2049">
        <v>35005715.788238898</v>
      </c>
    </row>
    <row r="2050" spans="1:4" hidden="1" x14ac:dyDescent="0.3">
      <c r="A2050">
        <v>2048</v>
      </c>
      <c r="B2050" t="s">
        <v>2398</v>
      </c>
      <c r="C2050" t="s">
        <v>209</v>
      </c>
      <c r="D2050">
        <v>34920326.934026599</v>
      </c>
    </row>
    <row r="2051" spans="1:4" hidden="1" x14ac:dyDescent="0.3">
      <c r="A2051">
        <v>2049</v>
      </c>
      <c r="B2051" s="1" t="s">
        <v>2399</v>
      </c>
      <c r="C2051" t="s">
        <v>211</v>
      </c>
      <c r="D2051" s="1" t="s">
        <v>2400</v>
      </c>
    </row>
    <row r="2052" spans="1:4" hidden="1" x14ac:dyDescent="0.3">
      <c r="A2052">
        <v>2050</v>
      </c>
      <c r="B2052" t="s">
        <v>2401</v>
      </c>
      <c r="C2052" t="s">
        <v>214</v>
      </c>
      <c r="D2052">
        <v>99987448.246960297</v>
      </c>
    </row>
    <row r="2053" spans="1:4" hidden="1" x14ac:dyDescent="0.3">
      <c r="A2053">
        <v>2051</v>
      </c>
      <c r="B2053" t="s">
        <v>2402</v>
      </c>
      <c r="C2053" t="s">
        <v>216</v>
      </c>
      <c r="D2053">
        <v>772.484005406498</v>
      </c>
    </row>
    <row r="2054" spans="1:4" hidden="1" x14ac:dyDescent="0.3">
      <c r="A2054">
        <v>2052</v>
      </c>
      <c r="B2054" s="1" t="s">
        <v>2403</v>
      </c>
      <c r="C2054" t="s">
        <v>218</v>
      </c>
      <c r="D2054" s="1" t="s">
        <v>2404</v>
      </c>
    </row>
    <row r="2055" spans="1:4" hidden="1" x14ac:dyDescent="0.3">
      <c r="A2055">
        <v>2053</v>
      </c>
      <c r="B2055" t="s">
        <v>2405</v>
      </c>
      <c r="C2055" t="s">
        <v>111</v>
      </c>
      <c r="D2055">
        <v>-194.94906140210799</v>
      </c>
    </row>
    <row r="2056" spans="1:4" hidden="1" x14ac:dyDescent="0.3">
      <c r="A2056">
        <v>2054</v>
      </c>
      <c r="B2056" t="s">
        <v>2406</v>
      </c>
      <c r="C2056" t="s">
        <v>113</v>
      </c>
      <c r="D2056">
        <v>-29.210724710632199</v>
      </c>
    </row>
    <row r="2057" spans="1:4" hidden="1" x14ac:dyDescent="0.3">
      <c r="A2057">
        <v>2055</v>
      </c>
      <c r="B2057" s="1" t="s">
        <v>2407</v>
      </c>
      <c r="C2057" t="s">
        <v>115</v>
      </c>
      <c r="D2057" s="1" t="s">
        <v>2408</v>
      </c>
    </row>
    <row r="2058" spans="1:4" hidden="1" x14ac:dyDescent="0.3">
      <c r="A2058">
        <v>2056</v>
      </c>
      <c r="B2058" t="s">
        <v>2409</v>
      </c>
      <c r="C2058" t="s">
        <v>118</v>
      </c>
      <c r="D2058">
        <v>80015421.301414907</v>
      </c>
    </row>
    <row r="2059" spans="1:4" hidden="1" x14ac:dyDescent="0.3">
      <c r="A2059">
        <v>2057</v>
      </c>
      <c r="B2059" t="s">
        <v>2410</v>
      </c>
      <c r="C2059" t="s">
        <v>120</v>
      </c>
      <c r="D2059">
        <v>35005715.788238898</v>
      </c>
    </row>
    <row r="2060" spans="1:4" hidden="1" x14ac:dyDescent="0.3">
      <c r="A2060">
        <v>2058</v>
      </c>
      <c r="B2060" s="1" t="s">
        <v>2411</v>
      </c>
      <c r="C2060" t="s">
        <v>122</v>
      </c>
      <c r="D2060" s="1" t="s">
        <v>2412</v>
      </c>
    </row>
    <row r="2061" spans="1:4" hidden="1" x14ac:dyDescent="0.3">
      <c r="A2061">
        <v>2059</v>
      </c>
      <c r="B2061" t="s">
        <v>2413</v>
      </c>
      <c r="C2061" t="s">
        <v>125</v>
      </c>
      <c r="D2061">
        <v>0.80016039485339197</v>
      </c>
    </row>
    <row r="2062" spans="1:4" hidden="1" x14ac:dyDescent="0.3">
      <c r="A2062">
        <v>2060</v>
      </c>
      <c r="B2062" t="s">
        <v>2414</v>
      </c>
      <c r="C2062" t="s">
        <v>127</v>
      </c>
      <c r="D2062">
        <v>0.350059862357402</v>
      </c>
    </row>
    <row r="2063" spans="1:4" hidden="1" x14ac:dyDescent="0.3">
      <c r="A2063">
        <v>2061</v>
      </c>
      <c r="B2063" s="1" t="s">
        <v>2415</v>
      </c>
      <c r="C2063" t="s">
        <v>129</v>
      </c>
      <c r="D2063" s="1" t="s">
        <v>2416</v>
      </c>
    </row>
    <row r="2064" spans="1:4" ht="72" x14ac:dyDescent="0.3">
      <c r="A2064">
        <v>2062</v>
      </c>
      <c r="B2064" s="1" t="s">
        <v>3</v>
      </c>
      <c r="C2064" t="s">
        <v>4</v>
      </c>
      <c r="D2064" t="s">
        <v>5</v>
      </c>
    </row>
    <row r="2065" spans="1:4" hidden="1" x14ac:dyDescent="0.3">
      <c r="A2065">
        <v>2063</v>
      </c>
      <c r="B2065" t="s">
        <v>6</v>
      </c>
      <c r="C2065" t="s">
        <v>7</v>
      </c>
      <c r="D2065">
        <v>1981.95</v>
      </c>
    </row>
    <row r="2066" spans="1:4" hidden="1" x14ac:dyDescent="0.3">
      <c r="A2066">
        <v>2064</v>
      </c>
      <c r="B2066" s="1" t="s">
        <v>131</v>
      </c>
      <c r="C2066" t="s">
        <v>9</v>
      </c>
      <c r="D2066" s="1" t="s">
        <v>132</v>
      </c>
    </row>
    <row r="2067" spans="1:4" hidden="1" x14ac:dyDescent="0.3">
      <c r="A2067">
        <v>2065</v>
      </c>
      <c r="B2067" t="s">
        <v>13</v>
      </c>
      <c r="C2067" t="s">
        <v>14</v>
      </c>
      <c r="D2067">
        <v>91.74609375</v>
      </c>
    </row>
    <row r="2068" spans="1:4" hidden="1" x14ac:dyDescent="0.3">
      <c r="A2068">
        <v>2066</v>
      </c>
      <c r="B2068" t="s">
        <v>15</v>
      </c>
      <c r="C2068" t="s">
        <v>16</v>
      </c>
      <c r="D2068">
        <v>4.1883572307132804</v>
      </c>
    </row>
    <row r="2069" spans="1:4" hidden="1" x14ac:dyDescent="0.3">
      <c r="A2069">
        <v>2067</v>
      </c>
      <c r="B2069" s="1" t="s">
        <v>133</v>
      </c>
      <c r="C2069" t="s">
        <v>134</v>
      </c>
      <c r="D2069" s="1" t="s">
        <v>135</v>
      </c>
    </row>
    <row r="2070" spans="1:4" hidden="1" x14ac:dyDescent="0.3">
      <c r="A2070">
        <v>2068</v>
      </c>
      <c r="B2070" t="s">
        <v>21</v>
      </c>
      <c r="C2070" t="s">
        <v>22</v>
      </c>
      <c r="D2070">
        <v>38.25</v>
      </c>
    </row>
    <row r="2071" spans="1:4" hidden="1" x14ac:dyDescent="0.3">
      <c r="A2071">
        <v>2069</v>
      </c>
      <c r="B2071" t="s">
        <v>2417</v>
      </c>
      <c r="C2071" t="s">
        <v>24</v>
      </c>
      <c r="D2071">
        <v>5.7173084761933302</v>
      </c>
    </row>
    <row r="2072" spans="1:4" hidden="1" x14ac:dyDescent="0.3">
      <c r="A2072">
        <v>2070</v>
      </c>
      <c r="B2072" s="1" t="s">
        <v>2418</v>
      </c>
      <c r="C2072" t="s">
        <v>138</v>
      </c>
      <c r="D2072" s="1" t="s">
        <v>2419</v>
      </c>
    </row>
    <row r="2073" spans="1:4" hidden="1" x14ac:dyDescent="0.3">
      <c r="A2073">
        <v>2071</v>
      </c>
      <c r="B2073" t="s">
        <v>2420</v>
      </c>
      <c r="C2073" t="s">
        <v>35</v>
      </c>
      <c r="D2073">
        <v>0.54278774192953005</v>
      </c>
    </row>
    <row r="2074" spans="1:4" hidden="1" x14ac:dyDescent="0.3">
      <c r="A2074">
        <v>2072</v>
      </c>
      <c r="B2074" t="s">
        <v>2421</v>
      </c>
      <c r="C2074" t="s">
        <v>142</v>
      </c>
      <c r="D2074">
        <v>0.69621048847186595</v>
      </c>
    </row>
    <row r="2075" spans="1:4" hidden="1" x14ac:dyDescent="0.3">
      <c r="A2075">
        <v>2073</v>
      </c>
      <c r="B2075" s="1" t="s">
        <v>2422</v>
      </c>
      <c r="C2075" t="s">
        <v>144</v>
      </c>
      <c r="D2075" s="1" t="s">
        <v>2423</v>
      </c>
    </row>
    <row r="2076" spans="1:4" hidden="1" x14ac:dyDescent="0.3">
      <c r="A2076">
        <v>2074</v>
      </c>
      <c r="B2076" t="s">
        <v>2424</v>
      </c>
      <c r="C2076" t="s">
        <v>30</v>
      </c>
      <c r="D2076">
        <v>0.19168796742281799</v>
      </c>
    </row>
    <row r="2077" spans="1:4" hidden="1" x14ac:dyDescent="0.3">
      <c r="A2077">
        <v>2075</v>
      </c>
      <c r="B2077" t="s">
        <v>2425</v>
      </c>
      <c r="C2077" t="s">
        <v>32</v>
      </c>
      <c r="D2077">
        <v>0.24018325358117801</v>
      </c>
    </row>
    <row r="2078" spans="1:4" hidden="1" x14ac:dyDescent="0.3">
      <c r="A2078">
        <v>2076</v>
      </c>
      <c r="B2078" s="1" t="s">
        <v>2426</v>
      </c>
      <c r="C2078" t="s">
        <v>148</v>
      </c>
      <c r="D2078" s="1" t="s">
        <v>2427</v>
      </c>
    </row>
    <row r="2079" spans="1:4" hidden="1" x14ac:dyDescent="0.3">
      <c r="A2079">
        <v>2077</v>
      </c>
      <c r="B2079" t="s">
        <v>2428</v>
      </c>
      <c r="C2079" t="s">
        <v>40</v>
      </c>
      <c r="D2079">
        <v>0.26552429064764999</v>
      </c>
    </row>
    <row r="2080" spans="1:4" hidden="1" x14ac:dyDescent="0.3">
      <c r="A2080">
        <v>2078</v>
      </c>
      <c r="B2080" t="s">
        <v>2429</v>
      </c>
      <c r="C2080" t="s">
        <v>42</v>
      </c>
      <c r="D2080">
        <v>0.19616396691952201</v>
      </c>
    </row>
    <row r="2081" spans="1:4" hidden="1" x14ac:dyDescent="0.3">
      <c r="A2081">
        <v>2079</v>
      </c>
      <c r="B2081" s="1" t="s">
        <v>2430</v>
      </c>
      <c r="C2081" t="s">
        <v>152</v>
      </c>
      <c r="D2081" s="1" t="s">
        <v>2431</v>
      </c>
    </row>
    <row r="2082" spans="1:4" hidden="1" x14ac:dyDescent="0.3">
      <c r="A2082">
        <v>2080</v>
      </c>
      <c r="B2082" t="s">
        <v>153</v>
      </c>
      <c r="C2082" t="s">
        <v>154</v>
      </c>
      <c r="D2082">
        <v>1</v>
      </c>
    </row>
    <row r="2083" spans="1:4" hidden="1" x14ac:dyDescent="0.3">
      <c r="A2083">
        <v>2081</v>
      </c>
      <c r="B2083" t="s">
        <v>155</v>
      </c>
      <c r="C2083" t="s">
        <v>156</v>
      </c>
      <c r="D2083">
        <v>1</v>
      </c>
    </row>
    <row r="2084" spans="1:4" hidden="1" x14ac:dyDescent="0.3">
      <c r="A2084">
        <v>2082</v>
      </c>
      <c r="B2084" s="1" t="s">
        <v>2432</v>
      </c>
      <c r="C2084" t="s">
        <v>158</v>
      </c>
      <c r="D2084" s="1" t="s">
        <v>2433</v>
      </c>
    </row>
    <row r="2085" spans="1:4" hidden="1" x14ac:dyDescent="0.3">
      <c r="A2085">
        <v>2083</v>
      </c>
      <c r="B2085" t="s">
        <v>2434</v>
      </c>
      <c r="C2085" t="s">
        <v>161</v>
      </c>
      <c r="D2085">
        <v>0.999888701281895</v>
      </c>
    </row>
    <row r="2086" spans="1:4" hidden="1" x14ac:dyDescent="0.3">
      <c r="A2086">
        <v>2084</v>
      </c>
      <c r="B2086" t="s">
        <v>2435</v>
      </c>
      <c r="C2086" t="s">
        <v>163</v>
      </c>
      <c r="D2086">
        <v>1.0001533781306799</v>
      </c>
    </row>
    <row r="2087" spans="1:4" hidden="1" x14ac:dyDescent="0.3">
      <c r="A2087">
        <v>2085</v>
      </c>
      <c r="B2087" s="1" t="s">
        <v>2436</v>
      </c>
      <c r="C2087" t="s">
        <v>165</v>
      </c>
      <c r="D2087" s="1" t="s">
        <v>2437</v>
      </c>
    </row>
    <row r="2088" spans="1:4" hidden="1" x14ac:dyDescent="0.3">
      <c r="A2088">
        <v>2086</v>
      </c>
      <c r="B2088" s="1" t="s">
        <v>2438</v>
      </c>
      <c r="C2088" t="s">
        <v>55</v>
      </c>
      <c r="D2088" s="1" t="s">
        <v>2439</v>
      </c>
    </row>
    <row r="2089" spans="1:4" hidden="1" x14ac:dyDescent="0.3">
      <c r="A2089">
        <v>2087</v>
      </c>
      <c r="B2089" s="1" t="s">
        <v>2440</v>
      </c>
      <c r="C2089" t="s">
        <v>52</v>
      </c>
      <c r="D2089" s="1" t="s">
        <v>2441</v>
      </c>
    </row>
    <row r="2090" spans="1:4" hidden="1" x14ac:dyDescent="0.3">
      <c r="A2090">
        <v>2088</v>
      </c>
      <c r="B2090" s="1" t="s">
        <v>2442</v>
      </c>
      <c r="C2090" t="s">
        <v>58</v>
      </c>
      <c r="D2090" s="1" t="s">
        <v>2443</v>
      </c>
    </row>
    <row r="2091" spans="1:4" hidden="1" x14ac:dyDescent="0.3">
      <c r="A2091">
        <v>2089</v>
      </c>
      <c r="B2091" t="s">
        <v>2444</v>
      </c>
      <c r="C2091" t="s">
        <v>60</v>
      </c>
      <c r="D2091">
        <v>149933001.68071899</v>
      </c>
    </row>
    <row r="2092" spans="1:4" hidden="1" x14ac:dyDescent="0.3">
      <c r="A2092">
        <v>2090</v>
      </c>
      <c r="B2092" t="s">
        <v>2445</v>
      </c>
      <c r="C2092" t="s">
        <v>62</v>
      </c>
      <c r="D2092">
        <v>80015421.301414907</v>
      </c>
    </row>
    <row r="2093" spans="1:4" hidden="1" x14ac:dyDescent="0.3">
      <c r="A2093">
        <v>2091</v>
      </c>
      <c r="B2093" t="s">
        <v>2446</v>
      </c>
      <c r="C2093" t="s">
        <v>64</v>
      </c>
      <c r="D2093">
        <v>35005715.788238898</v>
      </c>
    </row>
    <row r="2094" spans="1:4" hidden="1" x14ac:dyDescent="0.3">
      <c r="A2094">
        <v>2092</v>
      </c>
      <c r="B2094" s="1" t="s">
        <v>2447</v>
      </c>
      <c r="C2094" t="s">
        <v>66</v>
      </c>
      <c r="D2094" s="1" t="s">
        <v>2448</v>
      </c>
    </row>
    <row r="2095" spans="1:4" hidden="1" x14ac:dyDescent="0.3">
      <c r="A2095">
        <v>2093</v>
      </c>
      <c r="B2095" s="1" t="s">
        <v>2449</v>
      </c>
      <c r="C2095" t="s">
        <v>69</v>
      </c>
      <c r="D2095" s="1" t="s">
        <v>2450</v>
      </c>
    </row>
    <row r="2096" spans="1:4" hidden="1" x14ac:dyDescent="0.3">
      <c r="A2096">
        <v>2094</v>
      </c>
      <c r="B2096" t="s">
        <v>2451</v>
      </c>
      <c r="C2096" t="s">
        <v>72</v>
      </c>
      <c r="D2096">
        <v>1.0001178065670899</v>
      </c>
    </row>
    <row r="2097" spans="1:4" hidden="1" x14ac:dyDescent="0.3">
      <c r="A2097">
        <v>2095</v>
      </c>
      <c r="B2097" t="s">
        <v>73</v>
      </c>
      <c r="C2097" t="s">
        <v>74</v>
      </c>
      <c r="D2097">
        <v>2.7397260273972599E-3</v>
      </c>
    </row>
    <row r="2098" spans="1:4" hidden="1" x14ac:dyDescent="0.3">
      <c r="A2098">
        <v>2096</v>
      </c>
      <c r="B2098" t="s">
        <v>75</v>
      </c>
      <c r="C2098" t="s">
        <v>76</v>
      </c>
      <c r="D2098">
        <v>0</v>
      </c>
    </row>
    <row r="2099" spans="1:4" hidden="1" x14ac:dyDescent="0.3">
      <c r="A2099">
        <v>2097</v>
      </c>
      <c r="B2099" t="s">
        <v>77</v>
      </c>
      <c r="C2099" t="s">
        <v>78</v>
      </c>
      <c r="D2099">
        <v>0</v>
      </c>
    </row>
    <row r="2100" spans="1:4" hidden="1" x14ac:dyDescent="0.3">
      <c r="A2100">
        <v>2098</v>
      </c>
      <c r="B2100" s="1" t="s">
        <v>2452</v>
      </c>
      <c r="C2100" t="s">
        <v>80</v>
      </c>
      <c r="D2100" s="1" t="s">
        <v>2453</v>
      </c>
    </row>
    <row r="2101" spans="1:4" hidden="1" x14ac:dyDescent="0.3">
      <c r="A2101">
        <v>2099</v>
      </c>
      <c r="B2101" t="s">
        <v>2454</v>
      </c>
      <c r="C2101" t="s">
        <v>83</v>
      </c>
      <c r="D2101">
        <v>1.00012321360357</v>
      </c>
    </row>
    <row r="2102" spans="1:4" hidden="1" x14ac:dyDescent="0.3">
      <c r="A2102">
        <v>2100</v>
      </c>
      <c r="B2102" s="1" t="s">
        <v>2455</v>
      </c>
      <c r="C2102" t="s">
        <v>85</v>
      </c>
      <c r="D2102" s="1" t="s">
        <v>2456</v>
      </c>
    </row>
    <row r="2103" spans="1:4" hidden="1" x14ac:dyDescent="0.3">
      <c r="A2103">
        <v>2101</v>
      </c>
      <c r="B2103" t="s">
        <v>2457</v>
      </c>
      <c r="C2103" t="s">
        <v>88</v>
      </c>
      <c r="D2103">
        <v>99987680.157614201</v>
      </c>
    </row>
    <row r="2104" spans="1:4" hidden="1" x14ac:dyDescent="0.3">
      <c r="A2104">
        <v>2102</v>
      </c>
      <c r="B2104" s="1" t="s">
        <v>2458</v>
      </c>
      <c r="C2104" t="s">
        <v>90</v>
      </c>
      <c r="D2104" s="1" t="s">
        <v>2404</v>
      </c>
    </row>
    <row r="2105" spans="1:4" hidden="1" x14ac:dyDescent="0.3">
      <c r="A2105">
        <v>2103</v>
      </c>
      <c r="B2105" t="s">
        <v>2459</v>
      </c>
      <c r="C2105" t="s">
        <v>93</v>
      </c>
      <c r="D2105">
        <v>80015421.301414907</v>
      </c>
    </row>
    <row r="2106" spans="1:4" hidden="1" x14ac:dyDescent="0.3">
      <c r="A2106">
        <v>2104</v>
      </c>
      <c r="B2106" t="s">
        <v>2460</v>
      </c>
      <c r="C2106" t="s">
        <v>95</v>
      </c>
      <c r="D2106">
        <v>35005715.788238898</v>
      </c>
    </row>
    <row r="2107" spans="1:4" hidden="1" x14ac:dyDescent="0.3">
      <c r="A2107">
        <v>2105</v>
      </c>
      <c r="B2107" t="s">
        <v>2461</v>
      </c>
      <c r="C2107" t="s">
        <v>97</v>
      </c>
      <c r="D2107">
        <v>34911864.591065399</v>
      </c>
    </row>
    <row r="2108" spans="1:4" hidden="1" x14ac:dyDescent="0.3">
      <c r="A2108">
        <v>2106</v>
      </c>
      <c r="B2108" s="1" t="s">
        <v>2462</v>
      </c>
      <c r="C2108" t="s">
        <v>99</v>
      </c>
      <c r="D2108" s="1" t="s">
        <v>2463</v>
      </c>
    </row>
    <row r="2109" spans="1:4" hidden="1" x14ac:dyDescent="0.3">
      <c r="A2109">
        <v>2107</v>
      </c>
      <c r="B2109" t="s">
        <v>2464</v>
      </c>
      <c r="C2109" t="s">
        <v>102</v>
      </c>
      <c r="D2109">
        <v>8.4065741901023002E-3</v>
      </c>
    </row>
    <row r="2110" spans="1:4" hidden="1" x14ac:dyDescent="0.3">
      <c r="A2110">
        <v>2108</v>
      </c>
      <c r="B2110" t="s">
        <v>2465</v>
      </c>
      <c r="C2110" t="s">
        <v>104</v>
      </c>
      <c r="D2110">
        <v>1.54164501943249E-3</v>
      </c>
    </row>
    <row r="2111" spans="1:4" hidden="1" x14ac:dyDescent="0.3">
      <c r="A2111">
        <v>2109</v>
      </c>
      <c r="B2111" t="s">
        <v>2466</v>
      </c>
      <c r="C2111" t="s">
        <v>106</v>
      </c>
      <c r="D2111">
        <v>2.05347667026624E-2</v>
      </c>
    </row>
    <row r="2112" spans="1:4" hidden="1" x14ac:dyDescent="0.3">
      <c r="A2112">
        <v>2110</v>
      </c>
      <c r="B2112" s="1" t="s">
        <v>2467</v>
      </c>
      <c r="C2112" t="s">
        <v>108</v>
      </c>
      <c r="D2112" s="1" t="s">
        <v>2468</v>
      </c>
    </row>
    <row r="2113" spans="1:4" hidden="1" x14ac:dyDescent="0.3">
      <c r="A2113">
        <v>2111</v>
      </c>
      <c r="B2113" t="s">
        <v>2469</v>
      </c>
      <c r="C2113" t="s">
        <v>196</v>
      </c>
      <c r="D2113">
        <v>149933187.863242</v>
      </c>
    </row>
    <row r="2114" spans="1:4" hidden="1" x14ac:dyDescent="0.3">
      <c r="A2114">
        <v>2112</v>
      </c>
      <c r="B2114" t="s">
        <v>2470</v>
      </c>
      <c r="C2114" t="s">
        <v>198</v>
      </c>
      <c r="D2114">
        <v>-432.596077333555</v>
      </c>
    </row>
    <row r="2115" spans="1:4" hidden="1" x14ac:dyDescent="0.3">
      <c r="A2115">
        <v>2113</v>
      </c>
      <c r="B2115" t="s">
        <v>2471</v>
      </c>
      <c r="C2115" t="s">
        <v>200</v>
      </c>
      <c r="D2115">
        <v>-189.25499740890899</v>
      </c>
    </row>
    <row r="2116" spans="1:4" hidden="1" x14ac:dyDescent="0.3">
      <c r="A2116">
        <v>2114</v>
      </c>
      <c r="B2116" s="1" t="s">
        <v>2472</v>
      </c>
      <c r="C2116" t="s">
        <v>202</v>
      </c>
      <c r="D2116" s="1" t="s">
        <v>2473</v>
      </c>
    </row>
    <row r="2117" spans="1:4" hidden="1" x14ac:dyDescent="0.3">
      <c r="A2117">
        <v>2115</v>
      </c>
      <c r="B2117" t="s">
        <v>2474</v>
      </c>
      <c r="C2117" t="s">
        <v>205</v>
      </c>
      <c r="D2117">
        <v>80015990.339029804</v>
      </c>
    </row>
    <row r="2118" spans="1:4" hidden="1" x14ac:dyDescent="0.3">
      <c r="A2118">
        <v>2116</v>
      </c>
      <c r="B2118" t="s">
        <v>2475</v>
      </c>
      <c r="C2118" t="s">
        <v>207</v>
      </c>
      <c r="D2118">
        <v>35005925.475852102</v>
      </c>
    </row>
    <row r="2119" spans="1:4" hidden="1" x14ac:dyDescent="0.3">
      <c r="A2119">
        <v>2117</v>
      </c>
      <c r="B2119" t="s">
        <v>2476</v>
      </c>
      <c r="C2119" t="s">
        <v>209</v>
      </c>
      <c r="D2119">
        <v>34912082.647083499</v>
      </c>
    </row>
    <row r="2120" spans="1:4" hidden="1" x14ac:dyDescent="0.3">
      <c r="A2120">
        <v>2118</v>
      </c>
      <c r="B2120" s="1" t="s">
        <v>2477</v>
      </c>
      <c r="C2120" t="s">
        <v>211</v>
      </c>
      <c r="D2120" s="1" t="s">
        <v>2478</v>
      </c>
    </row>
    <row r="2121" spans="1:4" hidden="1" x14ac:dyDescent="0.3">
      <c r="A2121">
        <v>2119</v>
      </c>
      <c r="B2121" t="s">
        <v>2479</v>
      </c>
      <c r="C2121" t="s">
        <v>214</v>
      </c>
      <c r="D2121">
        <v>99988220.730965704</v>
      </c>
    </row>
    <row r="2122" spans="1:4" hidden="1" x14ac:dyDescent="0.3">
      <c r="A2122">
        <v>2120</v>
      </c>
      <c r="B2122" t="s">
        <v>2480</v>
      </c>
      <c r="C2122" t="s">
        <v>216</v>
      </c>
      <c r="D2122">
        <v>-540.57335145771503</v>
      </c>
    </row>
    <row r="2123" spans="1:4" hidden="1" x14ac:dyDescent="0.3">
      <c r="A2123">
        <v>2121</v>
      </c>
      <c r="B2123" s="1" t="s">
        <v>2481</v>
      </c>
      <c r="C2123" t="s">
        <v>218</v>
      </c>
      <c r="D2123" s="1" t="s">
        <v>2482</v>
      </c>
    </row>
    <row r="2124" spans="1:4" hidden="1" x14ac:dyDescent="0.3">
      <c r="A2124">
        <v>2122</v>
      </c>
      <c r="B2124" t="s">
        <v>2483</v>
      </c>
      <c r="C2124" t="s">
        <v>111</v>
      </c>
      <c r="D2124">
        <v>136.44153748012999</v>
      </c>
    </row>
    <row r="2125" spans="1:4" hidden="1" x14ac:dyDescent="0.3">
      <c r="A2125">
        <v>2123</v>
      </c>
      <c r="B2125" t="s">
        <v>2484</v>
      </c>
      <c r="C2125" t="s">
        <v>113</v>
      </c>
      <c r="D2125">
        <v>20.4326158401378</v>
      </c>
    </row>
    <row r="2126" spans="1:4" hidden="1" x14ac:dyDescent="0.3">
      <c r="A2126">
        <v>2124</v>
      </c>
      <c r="B2126" s="1" t="s">
        <v>2485</v>
      </c>
      <c r="C2126" t="s">
        <v>115</v>
      </c>
      <c r="D2126" s="1" t="s">
        <v>2486</v>
      </c>
    </row>
    <row r="2127" spans="1:4" hidden="1" x14ac:dyDescent="0.3">
      <c r="A2127">
        <v>2125</v>
      </c>
      <c r="B2127" t="s">
        <v>2487</v>
      </c>
      <c r="C2127" t="s">
        <v>118</v>
      </c>
      <c r="D2127">
        <v>80015990.339029804</v>
      </c>
    </row>
    <row r="2128" spans="1:4" hidden="1" x14ac:dyDescent="0.3">
      <c r="A2128">
        <v>2126</v>
      </c>
      <c r="B2128" t="s">
        <v>2488</v>
      </c>
      <c r="C2128" t="s">
        <v>120</v>
      </c>
      <c r="D2128">
        <v>35005925.475852102</v>
      </c>
    </row>
    <row r="2129" spans="1:4" hidden="1" x14ac:dyDescent="0.3">
      <c r="A2129">
        <v>2127</v>
      </c>
      <c r="B2129" s="1" t="s">
        <v>2489</v>
      </c>
      <c r="C2129" t="s">
        <v>122</v>
      </c>
      <c r="D2129" s="1" t="s">
        <v>2490</v>
      </c>
    </row>
    <row r="2130" spans="1:4" hidden="1" x14ac:dyDescent="0.3">
      <c r="A2130">
        <v>2128</v>
      </c>
      <c r="B2130" t="s">
        <v>2491</v>
      </c>
      <c r="C2130" t="s">
        <v>125</v>
      </c>
      <c r="D2130">
        <v>0.80015557742952403</v>
      </c>
    </row>
    <row r="2131" spans="1:4" hidden="1" x14ac:dyDescent="0.3">
      <c r="A2131">
        <v>2129</v>
      </c>
      <c r="B2131" t="s">
        <v>2492</v>
      </c>
      <c r="C2131" t="s">
        <v>127</v>
      </c>
      <c r="D2131">
        <v>0.350057362208547</v>
      </c>
    </row>
    <row r="2132" spans="1:4" hidden="1" x14ac:dyDescent="0.3">
      <c r="A2132">
        <v>2130</v>
      </c>
      <c r="B2132" s="1" t="s">
        <v>2493</v>
      </c>
      <c r="C2132" t="s">
        <v>129</v>
      </c>
      <c r="D2132" s="1" t="s">
        <v>2494</v>
      </c>
    </row>
    <row r="2133" spans="1:4" ht="72" x14ac:dyDescent="0.3">
      <c r="A2133">
        <v>2131</v>
      </c>
      <c r="B2133" s="1" t="s">
        <v>3</v>
      </c>
      <c r="C2133" t="s">
        <v>4</v>
      </c>
      <c r="D2133" t="s">
        <v>5</v>
      </c>
    </row>
    <row r="2134" spans="1:4" hidden="1" x14ac:dyDescent="0.3">
      <c r="A2134">
        <v>2132</v>
      </c>
      <c r="B2134" t="s">
        <v>6</v>
      </c>
      <c r="C2134" t="s">
        <v>7</v>
      </c>
      <c r="D2134">
        <v>1981.95</v>
      </c>
    </row>
    <row r="2135" spans="1:4" hidden="1" x14ac:dyDescent="0.3">
      <c r="A2135">
        <v>2133</v>
      </c>
      <c r="B2135" s="1" t="s">
        <v>131</v>
      </c>
      <c r="C2135" t="s">
        <v>9</v>
      </c>
      <c r="D2135" s="1" t="s">
        <v>132</v>
      </c>
    </row>
    <row r="2136" spans="1:4" hidden="1" x14ac:dyDescent="0.3">
      <c r="A2136">
        <v>2134</v>
      </c>
      <c r="B2136" t="s">
        <v>13</v>
      </c>
      <c r="C2136" t="s">
        <v>14</v>
      </c>
      <c r="D2136">
        <v>91.74609375</v>
      </c>
    </row>
    <row r="2137" spans="1:4" hidden="1" x14ac:dyDescent="0.3">
      <c r="A2137">
        <v>2135</v>
      </c>
      <c r="B2137" t="s">
        <v>15</v>
      </c>
      <c r="C2137" t="s">
        <v>16</v>
      </c>
      <c r="D2137">
        <v>4.1883572307132804</v>
      </c>
    </row>
    <row r="2138" spans="1:4" hidden="1" x14ac:dyDescent="0.3">
      <c r="A2138">
        <v>2136</v>
      </c>
      <c r="B2138" s="1" t="s">
        <v>133</v>
      </c>
      <c r="C2138" t="s">
        <v>134</v>
      </c>
      <c r="D2138" s="1" t="s">
        <v>135</v>
      </c>
    </row>
    <row r="2139" spans="1:4" hidden="1" x14ac:dyDescent="0.3">
      <c r="A2139">
        <v>2137</v>
      </c>
      <c r="B2139" t="s">
        <v>21</v>
      </c>
      <c r="C2139" t="s">
        <v>22</v>
      </c>
      <c r="D2139">
        <v>38.25</v>
      </c>
    </row>
    <row r="2140" spans="1:4" hidden="1" x14ac:dyDescent="0.3">
      <c r="A2140">
        <v>2138</v>
      </c>
      <c r="B2140" t="s">
        <v>2495</v>
      </c>
      <c r="C2140" t="s">
        <v>24</v>
      </c>
      <c r="D2140">
        <v>5.70765383562241</v>
      </c>
    </row>
    <row r="2141" spans="1:4" hidden="1" x14ac:dyDescent="0.3">
      <c r="A2141">
        <v>2139</v>
      </c>
      <c r="B2141" s="1" t="s">
        <v>2496</v>
      </c>
      <c r="C2141" t="s">
        <v>138</v>
      </c>
      <c r="D2141" s="1" t="s">
        <v>2497</v>
      </c>
    </row>
    <row r="2142" spans="1:4" hidden="1" x14ac:dyDescent="0.3">
      <c r="A2142">
        <v>2140</v>
      </c>
      <c r="B2142" t="s">
        <v>2498</v>
      </c>
      <c r="C2142" t="s">
        <v>35</v>
      </c>
      <c r="D2142">
        <v>0.54661559658731895</v>
      </c>
    </row>
    <row r="2143" spans="1:4" hidden="1" x14ac:dyDescent="0.3">
      <c r="A2143">
        <v>2141</v>
      </c>
      <c r="B2143" t="s">
        <v>2499</v>
      </c>
      <c r="C2143" t="s">
        <v>142</v>
      </c>
      <c r="D2143">
        <v>0.69552835810341496</v>
      </c>
    </row>
    <row r="2144" spans="1:4" hidden="1" x14ac:dyDescent="0.3">
      <c r="A2144">
        <v>2142</v>
      </c>
      <c r="B2144" s="1" t="s">
        <v>2500</v>
      </c>
      <c r="C2144" t="s">
        <v>144</v>
      </c>
      <c r="D2144" s="1" t="s">
        <v>2501</v>
      </c>
    </row>
    <row r="2145" spans="1:4" hidden="1" x14ac:dyDescent="0.3">
      <c r="A2145">
        <v>2143</v>
      </c>
      <c r="B2145" t="s">
        <v>2502</v>
      </c>
      <c r="C2145" t="s">
        <v>30</v>
      </c>
      <c r="D2145">
        <v>0.19303979175903699</v>
      </c>
    </row>
    <row r="2146" spans="1:4" hidden="1" x14ac:dyDescent="0.3">
      <c r="A2146">
        <v>2144</v>
      </c>
      <c r="B2146" t="s">
        <v>2503</v>
      </c>
      <c r="C2146" t="s">
        <v>32</v>
      </c>
      <c r="D2146">
        <v>0.24055733399742399</v>
      </c>
    </row>
    <row r="2147" spans="1:4" hidden="1" x14ac:dyDescent="0.3">
      <c r="A2147">
        <v>2145</v>
      </c>
      <c r="B2147" s="1" t="s">
        <v>2504</v>
      </c>
      <c r="C2147" t="s">
        <v>148</v>
      </c>
      <c r="D2147" s="1" t="s">
        <v>2505</v>
      </c>
    </row>
    <row r="2148" spans="1:4" hidden="1" x14ac:dyDescent="0.3">
      <c r="A2148">
        <v>2146</v>
      </c>
      <c r="B2148" t="s">
        <v>2506</v>
      </c>
      <c r="C2148" t="s">
        <v>40</v>
      </c>
      <c r="D2148">
        <v>0.26034461165364198</v>
      </c>
    </row>
    <row r="2149" spans="1:4" hidden="1" x14ac:dyDescent="0.3">
      <c r="A2149">
        <v>2147</v>
      </c>
      <c r="B2149" t="s">
        <v>2507</v>
      </c>
      <c r="C2149" t="s">
        <v>42</v>
      </c>
      <c r="D2149">
        <v>0.19719856531173699</v>
      </c>
    </row>
    <row r="2150" spans="1:4" hidden="1" x14ac:dyDescent="0.3">
      <c r="A2150">
        <v>2148</v>
      </c>
      <c r="B2150" s="1" t="s">
        <v>2508</v>
      </c>
      <c r="C2150" t="s">
        <v>152</v>
      </c>
      <c r="D2150" s="1" t="s">
        <v>2509</v>
      </c>
    </row>
    <row r="2151" spans="1:4" hidden="1" x14ac:dyDescent="0.3">
      <c r="A2151">
        <v>2149</v>
      </c>
      <c r="B2151" t="s">
        <v>153</v>
      </c>
      <c r="C2151" t="s">
        <v>154</v>
      </c>
      <c r="D2151">
        <v>1</v>
      </c>
    </row>
    <row r="2152" spans="1:4" hidden="1" x14ac:dyDescent="0.3">
      <c r="A2152">
        <v>2150</v>
      </c>
      <c r="B2152" t="s">
        <v>155</v>
      </c>
      <c r="C2152" t="s">
        <v>156</v>
      </c>
      <c r="D2152">
        <v>1</v>
      </c>
    </row>
    <row r="2153" spans="1:4" hidden="1" x14ac:dyDescent="0.3">
      <c r="A2153">
        <v>2151</v>
      </c>
      <c r="B2153" s="1" t="s">
        <v>2510</v>
      </c>
      <c r="C2153" t="s">
        <v>158</v>
      </c>
      <c r="D2153" s="1" t="s">
        <v>2511</v>
      </c>
    </row>
    <row r="2154" spans="1:4" hidden="1" x14ac:dyDescent="0.3">
      <c r="A2154">
        <v>2152</v>
      </c>
      <c r="B2154" t="s">
        <v>2512</v>
      </c>
      <c r="C2154" t="s">
        <v>161</v>
      </c>
      <c r="D2154">
        <v>0.99959785040059101</v>
      </c>
    </row>
    <row r="2155" spans="1:4" hidden="1" x14ac:dyDescent="0.3">
      <c r="A2155">
        <v>2153</v>
      </c>
      <c r="B2155" t="s">
        <v>2513</v>
      </c>
      <c r="C2155" t="s">
        <v>163</v>
      </c>
      <c r="D2155">
        <v>1.00030163317813</v>
      </c>
    </row>
    <row r="2156" spans="1:4" hidden="1" x14ac:dyDescent="0.3">
      <c r="A2156">
        <v>2154</v>
      </c>
      <c r="B2156" s="1" t="s">
        <v>2514</v>
      </c>
      <c r="C2156" t="s">
        <v>165</v>
      </c>
      <c r="D2156" s="1" t="s">
        <v>2515</v>
      </c>
    </row>
    <row r="2157" spans="1:4" hidden="1" x14ac:dyDescent="0.3">
      <c r="A2157">
        <v>2155</v>
      </c>
      <c r="B2157" s="1" t="s">
        <v>2516</v>
      </c>
      <c r="C2157" t="s">
        <v>55</v>
      </c>
      <c r="D2157" s="1" t="s">
        <v>2517</v>
      </c>
    </row>
    <row r="2158" spans="1:4" hidden="1" x14ac:dyDescent="0.3">
      <c r="A2158">
        <v>2156</v>
      </c>
      <c r="B2158" s="1" t="s">
        <v>2518</v>
      </c>
      <c r="C2158" t="s">
        <v>52</v>
      </c>
      <c r="D2158" s="1" t="s">
        <v>2519</v>
      </c>
    </row>
    <row r="2159" spans="1:4" hidden="1" x14ac:dyDescent="0.3">
      <c r="A2159">
        <v>2157</v>
      </c>
      <c r="B2159" s="1" t="s">
        <v>2520</v>
      </c>
      <c r="C2159" t="s">
        <v>58</v>
      </c>
      <c r="D2159" s="1" t="s">
        <v>2521</v>
      </c>
    </row>
    <row r="2160" spans="1:4" hidden="1" x14ac:dyDescent="0.3">
      <c r="A2160">
        <v>2158</v>
      </c>
      <c r="B2160" t="s">
        <v>2522</v>
      </c>
      <c r="C2160" t="s">
        <v>60</v>
      </c>
      <c r="D2160">
        <v>149926332.22945699</v>
      </c>
    </row>
    <row r="2161" spans="1:4" hidden="1" x14ac:dyDescent="0.3">
      <c r="A2161">
        <v>2159</v>
      </c>
      <c r="B2161" t="s">
        <v>2523</v>
      </c>
      <c r="C2161" t="s">
        <v>62</v>
      </c>
      <c r="D2161">
        <v>80015990.339029804</v>
      </c>
    </row>
    <row r="2162" spans="1:4" hidden="1" x14ac:dyDescent="0.3">
      <c r="A2162">
        <v>2160</v>
      </c>
      <c r="B2162" t="s">
        <v>2524</v>
      </c>
      <c r="C2162" t="s">
        <v>64</v>
      </c>
      <c r="D2162">
        <v>35005925.475852102</v>
      </c>
    </row>
    <row r="2163" spans="1:4" hidden="1" x14ac:dyDescent="0.3">
      <c r="A2163">
        <v>2161</v>
      </c>
      <c r="B2163" s="1" t="s">
        <v>2525</v>
      </c>
      <c r="C2163" t="s">
        <v>66</v>
      </c>
      <c r="D2163" s="1" t="s">
        <v>2526</v>
      </c>
    </row>
    <row r="2164" spans="1:4" hidden="1" x14ac:dyDescent="0.3">
      <c r="A2164">
        <v>2162</v>
      </c>
      <c r="B2164" s="1" t="s">
        <v>2527</v>
      </c>
      <c r="C2164" t="s">
        <v>69</v>
      </c>
      <c r="D2164" s="1" t="s">
        <v>2528</v>
      </c>
    </row>
    <row r="2165" spans="1:4" hidden="1" x14ac:dyDescent="0.3">
      <c r="A2165">
        <v>2163</v>
      </c>
      <c r="B2165" t="s">
        <v>2529</v>
      </c>
      <c r="C2165" t="s">
        <v>72</v>
      </c>
      <c r="D2165">
        <v>1.00012321360357</v>
      </c>
    </row>
    <row r="2166" spans="1:4" hidden="1" x14ac:dyDescent="0.3">
      <c r="A2166">
        <v>2164</v>
      </c>
      <c r="B2166" t="s">
        <v>73</v>
      </c>
      <c r="C2166" t="s">
        <v>74</v>
      </c>
      <c r="D2166">
        <v>2.7397260273972599E-3</v>
      </c>
    </row>
    <row r="2167" spans="1:4" hidden="1" x14ac:dyDescent="0.3">
      <c r="A2167">
        <v>2165</v>
      </c>
      <c r="B2167" t="s">
        <v>75</v>
      </c>
      <c r="C2167" t="s">
        <v>76</v>
      </c>
      <c r="D2167">
        <v>0</v>
      </c>
    </row>
    <row r="2168" spans="1:4" hidden="1" x14ac:dyDescent="0.3">
      <c r="A2168">
        <v>2166</v>
      </c>
      <c r="B2168" t="s">
        <v>77</v>
      </c>
      <c r="C2168" t="s">
        <v>78</v>
      </c>
      <c r="D2168">
        <v>0</v>
      </c>
    </row>
    <row r="2169" spans="1:4" hidden="1" x14ac:dyDescent="0.3">
      <c r="A2169">
        <v>2167</v>
      </c>
      <c r="B2169" s="1" t="s">
        <v>2530</v>
      </c>
      <c r="C2169" t="s">
        <v>80</v>
      </c>
      <c r="D2169" s="1" t="s">
        <v>2531</v>
      </c>
    </row>
    <row r="2170" spans="1:4" hidden="1" x14ac:dyDescent="0.3">
      <c r="A2170">
        <v>2168</v>
      </c>
      <c r="B2170" t="s">
        <v>2532</v>
      </c>
      <c r="C2170" t="s">
        <v>83</v>
      </c>
      <c r="D2170">
        <v>1.0001572951995701</v>
      </c>
    </row>
    <row r="2171" spans="1:4" hidden="1" x14ac:dyDescent="0.3">
      <c r="A2171">
        <v>2169</v>
      </c>
      <c r="B2171" s="1" t="s">
        <v>2533</v>
      </c>
      <c r="C2171" t="s">
        <v>85</v>
      </c>
      <c r="D2171" s="1" t="s">
        <v>2534</v>
      </c>
    </row>
    <row r="2172" spans="1:4" hidden="1" x14ac:dyDescent="0.3">
      <c r="A2172">
        <v>2170</v>
      </c>
      <c r="B2172" t="s">
        <v>2535</v>
      </c>
      <c r="C2172" t="s">
        <v>88</v>
      </c>
      <c r="D2172">
        <v>99984272.953831106</v>
      </c>
    </row>
    <row r="2173" spans="1:4" hidden="1" x14ac:dyDescent="0.3">
      <c r="A2173">
        <v>2171</v>
      </c>
      <c r="B2173" s="1" t="s">
        <v>2536</v>
      </c>
      <c r="C2173" t="s">
        <v>90</v>
      </c>
      <c r="D2173" s="1" t="s">
        <v>2482</v>
      </c>
    </row>
    <row r="2174" spans="1:4" hidden="1" x14ac:dyDescent="0.3">
      <c r="A2174">
        <v>2172</v>
      </c>
      <c r="B2174" t="s">
        <v>2537</v>
      </c>
      <c r="C2174" t="s">
        <v>93</v>
      </c>
      <c r="D2174">
        <v>80015990.339029804</v>
      </c>
    </row>
    <row r="2175" spans="1:4" hidden="1" x14ac:dyDescent="0.3">
      <c r="A2175">
        <v>2173</v>
      </c>
      <c r="B2175" t="s">
        <v>2538</v>
      </c>
      <c r="C2175" t="s">
        <v>95</v>
      </c>
      <c r="D2175">
        <v>35005925.475852102</v>
      </c>
    </row>
    <row r="2176" spans="1:4" hidden="1" x14ac:dyDescent="0.3">
      <c r="A2176">
        <v>2174</v>
      </c>
      <c r="B2176" t="s">
        <v>2539</v>
      </c>
      <c r="C2176" t="s">
        <v>97</v>
      </c>
      <c r="D2176">
        <v>34904416.414575301</v>
      </c>
    </row>
    <row r="2177" spans="1:4" hidden="1" x14ac:dyDescent="0.3">
      <c r="A2177">
        <v>2175</v>
      </c>
      <c r="B2177" s="1" t="s">
        <v>2540</v>
      </c>
      <c r="C2177" t="s">
        <v>99</v>
      </c>
      <c r="D2177" s="1" t="s">
        <v>2541</v>
      </c>
    </row>
    <row r="2178" spans="1:4" hidden="1" x14ac:dyDescent="0.3">
      <c r="A2178">
        <v>2176</v>
      </c>
      <c r="B2178" t="s">
        <v>2542</v>
      </c>
      <c r="C2178" t="s">
        <v>102</v>
      </c>
      <c r="D2178">
        <v>8.4654562758126207E-3</v>
      </c>
    </row>
    <row r="2179" spans="1:4" hidden="1" x14ac:dyDescent="0.3">
      <c r="A2179">
        <v>2177</v>
      </c>
      <c r="B2179" t="s">
        <v>2543</v>
      </c>
      <c r="C2179" t="s">
        <v>104</v>
      </c>
      <c r="D2179">
        <v>1.55112835822875E-3</v>
      </c>
    </row>
    <row r="2180" spans="1:4" hidden="1" x14ac:dyDescent="0.3">
      <c r="A2180">
        <v>2178</v>
      </c>
      <c r="B2180" t="s">
        <v>2544</v>
      </c>
      <c r="C2180" t="s">
        <v>106</v>
      </c>
      <c r="D2180">
        <v>2.0654613651133899E-2</v>
      </c>
    </row>
    <row r="2181" spans="1:4" hidden="1" x14ac:dyDescent="0.3">
      <c r="A2181">
        <v>2179</v>
      </c>
      <c r="B2181" s="1" t="s">
        <v>2545</v>
      </c>
      <c r="C2181" t="s">
        <v>108</v>
      </c>
      <c r="D2181" s="1" t="s">
        <v>2546</v>
      </c>
    </row>
    <row r="2182" spans="1:4" hidden="1" x14ac:dyDescent="0.3">
      <c r="A2182">
        <v>2180</v>
      </c>
      <c r="B2182" t="s">
        <v>2547</v>
      </c>
      <c r="C2182" t="s">
        <v>196</v>
      </c>
      <c r="D2182">
        <v>149927505.647903</v>
      </c>
    </row>
    <row r="2183" spans="1:4" hidden="1" x14ac:dyDescent="0.3">
      <c r="A2183">
        <v>2181</v>
      </c>
      <c r="B2183" t="s">
        <v>2548</v>
      </c>
      <c r="C2183" t="s">
        <v>198</v>
      </c>
      <c r="D2183">
        <v>-2726.76599440982</v>
      </c>
    </row>
    <row r="2184" spans="1:4" hidden="1" x14ac:dyDescent="0.3">
      <c r="A2184">
        <v>2182</v>
      </c>
      <c r="B2184" t="s">
        <v>2549</v>
      </c>
      <c r="C2184" t="s">
        <v>200</v>
      </c>
      <c r="D2184">
        <v>-1192.91521561376</v>
      </c>
    </row>
    <row r="2185" spans="1:4" hidden="1" x14ac:dyDescent="0.3">
      <c r="A2185">
        <v>2183</v>
      </c>
      <c r="B2185" s="1" t="s">
        <v>2550</v>
      </c>
      <c r="C2185" t="s">
        <v>202</v>
      </c>
      <c r="D2185" s="1" t="s">
        <v>2551</v>
      </c>
    </row>
    <row r="2186" spans="1:4" hidden="1" x14ac:dyDescent="0.3">
      <c r="A2186">
        <v>2184</v>
      </c>
      <c r="B2186" t="s">
        <v>2552</v>
      </c>
      <c r="C2186" t="s">
        <v>205</v>
      </c>
      <c r="D2186">
        <v>80019577.186449498</v>
      </c>
    </row>
    <row r="2187" spans="1:4" hidden="1" x14ac:dyDescent="0.3">
      <c r="A2187">
        <v>2185</v>
      </c>
      <c r="B2187" t="s">
        <v>2553</v>
      </c>
      <c r="C2187" t="s">
        <v>207</v>
      </c>
      <c r="D2187">
        <v>35007247.181603499</v>
      </c>
    </row>
    <row r="2188" spans="1:4" hidden="1" x14ac:dyDescent="0.3">
      <c r="A2188">
        <v>2186</v>
      </c>
      <c r="B2188" t="s">
        <v>2554</v>
      </c>
      <c r="C2188" t="s">
        <v>209</v>
      </c>
      <c r="D2188">
        <v>34905790.419011697</v>
      </c>
    </row>
    <row r="2189" spans="1:4" hidden="1" x14ac:dyDescent="0.3">
      <c r="A2189">
        <v>2187</v>
      </c>
      <c r="B2189" s="1" t="s">
        <v>2555</v>
      </c>
      <c r="C2189" t="s">
        <v>211</v>
      </c>
      <c r="D2189" s="1" t="s">
        <v>2556</v>
      </c>
    </row>
    <row r="2190" spans="1:4" hidden="1" x14ac:dyDescent="0.3">
      <c r="A2190">
        <v>2188</v>
      </c>
      <c r="B2190" t="s">
        <v>2557</v>
      </c>
      <c r="C2190" t="s">
        <v>214</v>
      </c>
      <c r="D2190">
        <v>99987680.157614201</v>
      </c>
    </row>
    <row r="2191" spans="1:4" hidden="1" x14ac:dyDescent="0.3">
      <c r="A2191">
        <v>2189</v>
      </c>
      <c r="B2191" t="s">
        <v>2558</v>
      </c>
      <c r="C2191" t="s">
        <v>216</v>
      </c>
      <c r="D2191">
        <v>-3407.2037831246798</v>
      </c>
    </row>
    <row r="2192" spans="1:4" hidden="1" x14ac:dyDescent="0.3">
      <c r="A2192">
        <v>2190</v>
      </c>
      <c r="B2192" s="1" t="s">
        <v>2559</v>
      </c>
      <c r="C2192" t="s">
        <v>218</v>
      </c>
      <c r="D2192" s="1" t="s">
        <v>2560</v>
      </c>
    </row>
    <row r="2193" spans="1:4" hidden="1" x14ac:dyDescent="0.3">
      <c r="A2193">
        <v>2191</v>
      </c>
      <c r="B2193" t="s">
        <v>2561</v>
      </c>
      <c r="C2193" t="s">
        <v>111</v>
      </c>
      <c r="D2193">
        <v>860.081425287054</v>
      </c>
    </row>
    <row r="2194" spans="1:4" hidden="1" x14ac:dyDescent="0.3">
      <c r="A2194">
        <v>2192</v>
      </c>
      <c r="B2194" t="s">
        <v>2562</v>
      </c>
      <c r="C2194" t="s">
        <v>113</v>
      </c>
      <c r="D2194">
        <v>128.79053581466201</v>
      </c>
    </row>
    <row r="2195" spans="1:4" hidden="1" x14ac:dyDescent="0.3">
      <c r="A2195">
        <v>2193</v>
      </c>
      <c r="B2195" s="1" t="s">
        <v>2563</v>
      </c>
      <c r="C2195" t="s">
        <v>115</v>
      </c>
      <c r="D2195" s="1" t="s">
        <v>2564</v>
      </c>
    </row>
    <row r="2196" spans="1:4" hidden="1" x14ac:dyDescent="0.3">
      <c r="A2196">
        <v>2194</v>
      </c>
      <c r="B2196" t="s">
        <v>2565</v>
      </c>
      <c r="C2196" t="s">
        <v>118</v>
      </c>
      <c r="D2196">
        <v>80019577.186449498</v>
      </c>
    </row>
    <row r="2197" spans="1:4" hidden="1" x14ac:dyDescent="0.3">
      <c r="A2197">
        <v>2195</v>
      </c>
      <c r="B2197" t="s">
        <v>2566</v>
      </c>
      <c r="C2197" t="s">
        <v>120</v>
      </c>
      <c r="D2197">
        <v>35007247.181603499</v>
      </c>
    </row>
    <row r="2198" spans="1:4" hidden="1" x14ac:dyDescent="0.3">
      <c r="A2198">
        <v>2196</v>
      </c>
      <c r="B2198" s="1" t="s">
        <v>2567</v>
      </c>
      <c r="C2198" t="s">
        <v>122</v>
      </c>
      <c r="D2198" s="1" t="s">
        <v>2568</v>
      </c>
    </row>
    <row r="2199" spans="1:4" hidden="1" x14ac:dyDescent="0.3">
      <c r="A2199">
        <v>2197</v>
      </c>
      <c r="B2199" t="s">
        <v>2569</v>
      </c>
      <c r="C2199" t="s">
        <v>125</v>
      </c>
      <c r="D2199">
        <v>0.80016850420454999</v>
      </c>
    </row>
    <row r="2200" spans="1:4" hidden="1" x14ac:dyDescent="0.3">
      <c r="A2200">
        <v>2198</v>
      </c>
      <c r="B2200" t="s">
        <v>2570</v>
      </c>
      <c r="C2200" t="s">
        <v>127</v>
      </c>
      <c r="D2200">
        <v>0.35006054266387898</v>
      </c>
    </row>
    <row r="2201" spans="1:4" hidden="1" x14ac:dyDescent="0.3">
      <c r="A2201">
        <v>2199</v>
      </c>
      <c r="B2201" s="1" t="s">
        <v>2571</v>
      </c>
      <c r="C2201" t="s">
        <v>129</v>
      </c>
      <c r="D2201" s="1" t="s">
        <v>2572</v>
      </c>
    </row>
    <row r="2202" spans="1:4" ht="72" x14ac:dyDescent="0.3">
      <c r="A2202">
        <v>2200</v>
      </c>
      <c r="B2202" s="1" t="s">
        <v>3</v>
      </c>
      <c r="C2202" t="s">
        <v>4</v>
      </c>
      <c r="D2202" t="s">
        <v>5</v>
      </c>
    </row>
    <row r="2203" spans="1:4" hidden="1" x14ac:dyDescent="0.3">
      <c r="A2203">
        <v>2201</v>
      </c>
      <c r="B2203" t="s">
        <v>6</v>
      </c>
      <c r="C2203" t="s">
        <v>7</v>
      </c>
      <c r="D2203">
        <v>1981.95</v>
      </c>
    </row>
    <row r="2204" spans="1:4" hidden="1" x14ac:dyDescent="0.3">
      <c r="A2204">
        <v>2202</v>
      </c>
      <c r="B2204" s="1" t="s">
        <v>131</v>
      </c>
      <c r="C2204" t="s">
        <v>9</v>
      </c>
      <c r="D2204" s="1" t="s">
        <v>132</v>
      </c>
    </row>
    <row r="2205" spans="1:4" hidden="1" x14ac:dyDescent="0.3">
      <c r="A2205">
        <v>2203</v>
      </c>
      <c r="B2205" t="s">
        <v>13</v>
      </c>
      <c r="C2205" t="s">
        <v>14</v>
      </c>
      <c r="D2205">
        <v>91.74609375</v>
      </c>
    </row>
    <row r="2206" spans="1:4" hidden="1" x14ac:dyDescent="0.3">
      <c r="A2206">
        <v>2204</v>
      </c>
      <c r="B2206" t="s">
        <v>15</v>
      </c>
      <c r="C2206" t="s">
        <v>16</v>
      </c>
      <c r="D2206">
        <v>4.1883572307132804</v>
      </c>
    </row>
    <row r="2207" spans="1:4" hidden="1" x14ac:dyDescent="0.3">
      <c r="A2207">
        <v>2205</v>
      </c>
      <c r="B2207" s="1" t="s">
        <v>133</v>
      </c>
      <c r="C2207" t="s">
        <v>134</v>
      </c>
      <c r="D2207" s="1" t="s">
        <v>135</v>
      </c>
    </row>
    <row r="2208" spans="1:4" hidden="1" x14ac:dyDescent="0.3">
      <c r="A2208">
        <v>2206</v>
      </c>
      <c r="B2208" t="s">
        <v>21</v>
      </c>
      <c r="C2208" t="s">
        <v>22</v>
      </c>
      <c r="D2208">
        <v>38.25</v>
      </c>
    </row>
    <row r="2209" spans="1:4" hidden="1" x14ac:dyDescent="0.3">
      <c r="A2209">
        <v>2207</v>
      </c>
      <c r="B2209" t="s">
        <v>2573</v>
      </c>
      <c r="C2209" t="s">
        <v>24</v>
      </c>
      <c r="D2209">
        <v>5.7001345709356901</v>
      </c>
    </row>
    <row r="2210" spans="1:4" hidden="1" x14ac:dyDescent="0.3">
      <c r="A2210">
        <v>2208</v>
      </c>
      <c r="B2210" s="1" t="s">
        <v>2574</v>
      </c>
      <c r="C2210" t="s">
        <v>138</v>
      </c>
      <c r="D2210" s="1" t="s">
        <v>2575</v>
      </c>
    </row>
    <row r="2211" spans="1:4" hidden="1" x14ac:dyDescent="0.3">
      <c r="A2211">
        <v>2209</v>
      </c>
      <c r="B2211" t="s">
        <v>2576</v>
      </c>
      <c r="C2211" t="s">
        <v>35</v>
      </c>
      <c r="D2211">
        <v>0.54367419199862199</v>
      </c>
    </row>
    <row r="2212" spans="1:4" hidden="1" x14ac:dyDescent="0.3">
      <c r="A2212">
        <v>2210</v>
      </c>
      <c r="B2212" t="s">
        <v>2577</v>
      </c>
      <c r="C2212" t="s">
        <v>142</v>
      </c>
      <c r="D2212">
        <v>0.69897153921192001</v>
      </c>
    </row>
    <row r="2213" spans="1:4" hidden="1" x14ac:dyDescent="0.3">
      <c r="A2213">
        <v>2211</v>
      </c>
      <c r="B2213" s="1" t="s">
        <v>2578</v>
      </c>
      <c r="C2213" t="s">
        <v>144</v>
      </c>
      <c r="D2213" s="1" t="s">
        <v>2579</v>
      </c>
    </row>
    <row r="2214" spans="1:4" hidden="1" x14ac:dyDescent="0.3">
      <c r="A2214">
        <v>2212</v>
      </c>
      <c r="B2214" t="s">
        <v>2580</v>
      </c>
      <c r="C2214" t="s">
        <v>30</v>
      </c>
      <c r="D2214">
        <v>0.19200102130896901</v>
      </c>
    </row>
    <row r="2215" spans="1:4" hidden="1" x14ac:dyDescent="0.3">
      <c r="A2215">
        <v>2213</v>
      </c>
      <c r="B2215" t="s">
        <v>2581</v>
      </c>
      <c r="C2215" t="s">
        <v>32</v>
      </c>
      <c r="D2215">
        <v>0.23679433148117501</v>
      </c>
    </row>
    <row r="2216" spans="1:4" hidden="1" x14ac:dyDescent="0.3">
      <c r="A2216">
        <v>2214</v>
      </c>
      <c r="B2216" s="1" t="s">
        <v>2582</v>
      </c>
      <c r="C2216" t="s">
        <v>148</v>
      </c>
      <c r="D2216" s="1" t="s">
        <v>2583</v>
      </c>
    </row>
    <row r="2217" spans="1:4" hidden="1" x14ac:dyDescent="0.3">
      <c r="A2217">
        <v>2215</v>
      </c>
      <c r="B2217" t="s">
        <v>2584</v>
      </c>
      <c r="C2217" t="s">
        <v>40</v>
      </c>
      <c r="D2217">
        <v>0.264324786692407</v>
      </c>
    </row>
    <row r="2218" spans="1:4" hidden="1" x14ac:dyDescent="0.3">
      <c r="A2218">
        <v>2216</v>
      </c>
      <c r="B2218" t="s">
        <v>2585</v>
      </c>
      <c r="C2218" t="s">
        <v>42</v>
      </c>
      <c r="D2218">
        <v>0.193879084960764</v>
      </c>
    </row>
    <row r="2219" spans="1:4" hidden="1" x14ac:dyDescent="0.3">
      <c r="A2219">
        <v>2217</v>
      </c>
      <c r="B2219" s="1" t="s">
        <v>2586</v>
      </c>
      <c r="C2219" t="s">
        <v>152</v>
      </c>
      <c r="D2219" s="1" t="s">
        <v>2587</v>
      </c>
    </row>
    <row r="2220" spans="1:4" hidden="1" x14ac:dyDescent="0.3">
      <c r="A2220">
        <v>2218</v>
      </c>
      <c r="B2220" t="s">
        <v>153</v>
      </c>
      <c r="C2220" t="s">
        <v>154</v>
      </c>
      <c r="D2220">
        <v>1</v>
      </c>
    </row>
    <row r="2221" spans="1:4" hidden="1" x14ac:dyDescent="0.3">
      <c r="A2221">
        <v>2219</v>
      </c>
      <c r="B2221" t="s">
        <v>155</v>
      </c>
      <c r="C2221" t="s">
        <v>156</v>
      </c>
      <c r="D2221">
        <v>1</v>
      </c>
    </row>
    <row r="2222" spans="1:4" hidden="1" x14ac:dyDescent="0.3">
      <c r="A2222">
        <v>2220</v>
      </c>
      <c r="B2222" s="1" t="s">
        <v>2588</v>
      </c>
      <c r="C2222" t="s">
        <v>158</v>
      </c>
      <c r="D2222" s="1" t="s">
        <v>2589</v>
      </c>
    </row>
    <row r="2223" spans="1:4" hidden="1" x14ac:dyDescent="0.3">
      <c r="A2223">
        <v>2221</v>
      </c>
      <c r="B2223" t="s">
        <v>2590</v>
      </c>
      <c r="C2223" t="s">
        <v>161</v>
      </c>
      <c r="D2223">
        <v>1.00203074227101</v>
      </c>
    </row>
    <row r="2224" spans="1:4" hidden="1" x14ac:dyDescent="0.3">
      <c r="A2224">
        <v>2222</v>
      </c>
      <c r="B2224" t="s">
        <v>2591</v>
      </c>
      <c r="C2224" t="s">
        <v>163</v>
      </c>
      <c r="D2224">
        <v>0.99696668391445997</v>
      </c>
    </row>
    <row r="2225" spans="1:4" hidden="1" x14ac:dyDescent="0.3">
      <c r="A2225">
        <v>2223</v>
      </c>
      <c r="B2225" s="1" t="s">
        <v>2592</v>
      </c>
      <c r="C2225" t="s">
        <v>165</v>
      </c>
      <c r="D2225" s="1" t="s">
        <v>2593</v>
      </c>
    </row>
    <row r="2226" spans="1:4" hidden="1" x14ac:dyDescent="0.3">
      <c r="A2226">
        <v>2224</v>
      </c>
      <c r="B2226" s="1" t="s">
        <v>2594</v>
      </c>
      <c r="C2226" t="s">
        <v>55</v>
      </c>
      <c r="D2226" s="1" t="s">
        <v>2595</v>
      </c>
    </row>
    <row r="2227" spans="1:4" hidden="1" x14ac:dyDescent="0.3">
      <c r="A2227">
        <v>2225</v>
      </c>
      <c r="B2227" s="1" t="s">
        <v>2596</v>
      </c>
      <c r="C2227" t="s">
        <v>52</v>
      </c>
      <c r="D2227" s="1" t="s">
        <v>2597</v>
      </c>
    </row>
    <row r="2228" spans="1:4" hidden="1" x14ac:dyDescent="0.3">
      <c r="A2228">
        <v>2226</v>
      </c>
      <c r="B2228" s="1" t="s">
        <v>2598</v>
      </c>
      <c r="C2228" t="s">
        <v>58</v>
      </c>
      <c r="D2228" s="1" t="s">
        <v>2599</v>
      </c>
    </row>
    <row r="2229" spans="1:4" hidden="1" x14ac:dyDescent="0.3">
      <c r="A2229">
        <v>2227</v>
      </c>
      <c r="B2229" t="s">
        <v>2600</v>
      </c>
      <c r="C2229" t="s">
        <v>60</v>
      </c>
      <c r="D2229">
        <v>149926643.90703899</v>
      </c>
    </row>
    <row r="2230" spans="1:4" hidden="1" x14ac:dyDescent="0.3">
      <c r="A2230">
        <v>2228</v>
      </c>
      <c r="B2230" t="s">
        <v>2601</v>
      </c>
      <c r="C2230" t="s">
        <v>62</v>
      </c>
      <c r="D2230">
        <v>80019577.186449498</v>
      </c>
    </row>
    <row r="2231" spans="1:4" hidden="1" x14ac:dyDescent="0.3">
      <c r="A2231">
        <v>2229</v>
      </c>
      <c r="B2231" t="s">
        <v>2602</v>
      </c>
      <c r="C2231" t="s">
        <v>64</v>
      </c>
      <c r="D2231">
        <v>35007247.181603499</v>
      </c>
    </row>
    <row r="2232" spans="1:4" hidden="1" x14ac:dyDescent="0.3">
      <c r="A2232">
        <v>2230</v>
      </c>
      <c r="B2232" s="1" t="s">
        <v>2603</v>
      </c>
      <c r="C2232" t="s">
        <v>66</v>
      </c>
      <c r="D2232" s="1" t="s">
        <v>2604</v>
      </c>
    </row>
    <row r="2233" spans="1:4" hidden="1" x14ac:dyDescent="0.3">
      <c r="A2233">
        <v>2231</v>
      </c>
      <c r="B2233" s="1" t="s">
        <v>2605</v>
      </c>
      <c r="C2233" t="s">
        <v>69</v>
      </c>
      <c r="D2233" s="1" t="s">
        <v>2606</v>
      </c>
    </row>
    <row r="2234" spans="1:4" hidden="1" x14ac:dyDescent="0.3">
      <c r="A2234">
        <v>2232</v>
      </c>
      <c r="B2234" t="s">
        <v>2607</v>
      </c>
      <c r="C2234" t="s">
        <v>72</v>
      </c>
      <c r="D2234">
        <v>1.0001572951995701</v>
      </c>
    </row>
    <row r="2235" spans="1:4" hidden="1" x14ac:dyDescent="0.3">
      <c r="A2235">
        <v>2233</v>
      </c>
      <c r="B2235" t="s">
        <v>73</v>
      </c>
      <c r="C2235" t="s">
        <v>74</v>
      </c>
      <c r="D2235">
        <v>2.7397260273972599E-3</v>
      </c>
    </row>
    <row r="2236" spans="1:4" hidden="1" x14ac:dyDescent="0.3">
      <c r="A2236">
        <v>2234</v>
      </c>
      <c r="B2236" t="s">
        <v>75</v>
      </c>
      <c r="C2236" t="s">
        <v>76</v>
      </c>
      <c r="D2236">
        <v>0</v>
      </c>
    </row>
    <row r="2237" spans="1:4" hidden="1" x14ac:dyDescent="0.3">
      <c r="A2237">
        <v>2235</v>
      </c>
      <c r="B2237" t="s">
        <v>77</v>
      </c>
      <c r="C2237" t="s">
        <v>78</v>
      </c>
      <c r="D2237">
        <v>0</v>
      </c>
    </row>
    <row r="2238" spans="1:4" hidden="1" x14ac:dyDescent="0.3">
      <c r="A2238">
        <v>2236</v>
      </c>
      <c r="B2238" s="1" t="s">
        <v>2608</v>
      </c>
      <c r="C2238" t="s">
        <v>80</v>
      </c>
      <c r="D2238" s="1" t="s">
        <v>2609</v>
      </c>
    </row>
    <row r="2239" spans="1:4" hidden="1" x14ac:dyDescent="0.3">
      <c r="A2239">
        <v>2237</v>
      </c>
      <c r="B2239" t="s">
        <v>2610</v>
      </c>
      <c r="C2239" t="s">
        <v>83</v>
      </c>
      <c r="D2239">
        <v>1.00019609746688</v>
      </c>
    </row>
    <row r="2240" spans="1:4" hidden="1" x14ac:dyDescent="0.3">
      <c r="A2240">
        <v>2238</v>
      </c>
      <c r="B2240" s="1" t="s">
        <v>2611</v>
      </c>
      <c r="C2240" t="s">
        <v>85</v>
      </c>
      <c r="D2240" s="1" t="s">
        <v>2612</v>
      </c>
    </row>
    <row r="2241" spans="1:4" hidden="1" x14ac:dyDescent="0.3">
      <c r="A2241">
        <v>2239</v>
      </c>
      <c r="B2241" t="s">
        <v>2613</v>
      </c>
      <c r="C2241" t="s">
        <v>88</v>
      </c>
      <c r="D2241">
        <v>99980394.097979695</v>
      </c>
    </row>
    <row r="2242" spans="1:4" hidden="1" x14ac:dyDescent="0.3">
      <c r="A2242">
        <v>2240</v>
      </c>
      <c r="B2242" s="1" t="s">
        <v>2614</v>
      </c>
      <c r="C2242" t="s">
        <v>90</v>
      </c>
      <c r="D2242" s="1" t="s">
        <v>2560</v>
      </c>
    </row>
    <row r="2243" spans="1:4" hidden="1" x14ac:dyDescent="0.3">
      <c r="A2243">
        <v>2241</v>
      </c>
      <c r="B2243" t="s">
        <v>2615</v>
      </c>
      <c r="C2243" t="s">
        <v>93</v>
      </c>
      <c r="D2243">
        <v>80019577.186449498</v>
      </c>
    </row>
    <row r="2244" spans="1:4" hidden="1" x14ac:dyDescent="0.3">
      <c r="A2244">
        <v>2242</v>
      </c>
      <c r="B2244" t="s">
        <v>2616</v>
      </c>
      <c r="C2244" t="s">
        <v>95</v>
      </c>
      <c r="D2244">
        <v>35007247.181603499</v>
      </c>
    </row>
    <row r="2245" spans="1:4" hidden="1" x14ac:dyDescent="0.3">
      <c r="A2245">
        <v>2243</v>
      </c>
      <c r="B2245" t="s">
        <v>2617</v>
      </c>
      <c r="C2245" t="s">
        <v>97</v>
      </c>
      <c r="D2245">
        <v>34899819.538986102</v>
      </c>
    </row>
    <row r="2246" spans="1:4" hidden="1" x14ac:dyDescent="0.3">
      <c r="A2246">
        <v>2244</v>
      </c>
      <c r="B2246" s="1" t="s">
        <v>2618</v>
      </c>
      <c r="C2246" t="s">
        <v>99</v>
      </c>
      <c r="D2246" s="1" t="s">
        <v>2619</v>
      </c>
    </row>
    <row r="2247" spans="1:4" hidden="1" x14ac:dyDescent="0.3">
      <c r="A2247">
        <v>2245</v>
      </c>
      <c r="B2247" t="s">
        <v>2620</v>
      </c>
      <c r="C2247" t="s">
        <v>102</v>
      </c>
      <c r="D2247">
        <v>8.4659834132176596E-3</v>
      </c>
    </row>
    <row r="2248" spans="1:4" hidden="1" x14ac:dyDescent="0.3">
      <c r="A2248">
        <v>2246</v>
      </c>
      <c r="B2248" t="s">
        <v>2621</v>
      </c>
      <c r="C2248" t="s">
        <v>104</v>
      </c>
      <c r="D2248">
        <v>1.52692670011976E-3</v>
      </c>
    </row>
    <row r="2249" spans="1:4" hidden="1" x14ac:dyDescent="0.3">
      <c r="A2249">
        <v>2247</v>
      </c>
      <c r="B2249" t="s">
        <v>2622</v>
      </c>
      <c r="C2249" t="s">
        <v>106</v>
      </c>
      <c r="D2249">
        <v>2.0747939154196499E-2</v>
      </c>
    </row>
    <row r="2250" spans="1:4" hidden="1" x14ac:dyDescent="0.3">
      <c r="A2250">
        <v>2248</v>
      </c>
      <c r="B2250" s="1" t="s">
        <v>2623</v>
      </c>
      <c r="C2250" t="s">
        <v>108</v>
      </c>
      <c r="D2250" s="1" t="s">
        <v>2624</v>
      </c>
    </row>
    <row r="2251" spans="1:4" hidden="1" x14ac:dyDescent="0.3">
      <c r="A2251">
        <v>2249</v>
      </c>
      <c r="B2251" t="s">
        <v>2625</v>
      </c>
      <c r="C2251" t="s">
        <v>196</v>
      </c>
      <c r="D2251">
        <v>149927980.73987299</v>
      </c>
    </row>
    <row r="2252" spans="1:4" hidden="1" x14ac:dyDescent="0.3">
      <c r="A2252">
        <v>2250</v>
      </c>
      <c r="B2252" t="s">
        <v>2626</v>
      </c>
      <c r="C2252" t="s">
        <v>198</v>
      </c>
      <c r="D2252">
        <v>-3104.4906911017401</v>
      </c>
    </row>
    <row r="2253" spans="1:4" hidden="1" x14ac:dyDescent="0.3">
      <c r="A2253">
        <v>2251</v>
      </c>
      <c r="B2253" t="s">
        <v>2627</v>
      </c>
      <c r="C2253" t="s">
        <v>200</v>
      </c>
      <c r="D2253">
        <v>-1358.1526375594101</v>
      </c>
    </row>
    <row r="2254" spans="1:4" hidden="1" x14ac:dyDescent="0.3">
      <c r="A2254">
        <v>2252</v>
      </c>
      <c r="B2254" s="1" t="s">
        <v>2628</v>
      </c>
      <c r="C2254" t="s">
        <v>202</v>
      </c>
      <c r="D2254" s="1" t="s">
        <v>2629</v>
      </c>
    </row>
    <row r="2255" spans="1:4" hidden="1" x14ac:dyDescent="0.3">
      <c r="A2255">
        <v>2253</v>
      </c>
      <c r="B2255" t="s">
        <v>2630</v>
      </c>
      <c r="C2255" t="s">
        <v>205</v>
      </c>
      <c r="D2255">
        <v>80023660.722310796</v>
      </c>
    </row>
    <row r="2256" spans="1:4" hidden="1" x14ac:dyDescent="0.3">
      <c r="A2256">
        <v>2254</v>
      </c>
      <c r="B2256" t="s">
        <v>2631</v>
      </c>
      <c r="C2256" t="s">
        <v>207</v>
      </c>
      <c r="D2256">
        <v>35008752.382051997</v>
      </c>
    </row>
    <row r="2257" spans="1:4" hidden="1" x14ac:dyDescent="0.3">
      <c r="A2257">
        <v>2255</v>
      </c>
      <c r="B2257" t="s">
        <v>2632</v>
      </c>
      <c r="C2257" t="s">
        <v>209</v>
      </c>
      <c r="D2257">
        <v>34901384.266167201</v>
      </c>
    </row>
    <row r="2258" spans="1:4" hidden="1" x14ac:dyDescent="0.3">
      <c r="A2258">
        <v>2256</v>
      </c>
      <c r="B2258" s="1" t="s">
        <v>2633</v>
      </c>
      <c r="C2258" t="s">
        <v>211</v>
      </c>
      <c r="D2258" s="1" t="s">
        <v>2634</v>
      </c>
    </row>
    <row r="2259" spans="1:4" hidden="1" x14ac:dyDescent="0.3">
      <c r="A2259">
        <v>2257</v>
      </c>
      <c r="B2259" t="s">
        <v>2635</v>
      </c>
      <c r="C2259" t="s">
        <v>214</v>
      </c>
      <c r="D2259">
        <v>99984272.953831106</v>
      </c>
    </row>
    <row r="2260" spans="1:4" hidden="1" x14ac:dyDescent="0.3">
      <c r="A2260">
        <v>2258</v>
      </c>
      <c r="B2260" t="s">
        <v>2636</v>
      </c>
      <c r="C2260" t="s">
        <v>216</v>
      </c>
      <c r="D2260">
        <v>-3878.8558513820099</v>
      </c>
    </row>
    <row r="2261" spans="1:4" hidden="1" x14ac:dyDescent="0.3">
      <c r="A2261">
        <v>2259</v>
      </c>
      <c r="B2261" s="1" t="s">
        <v>2637</v>
      </c>
      <c r="C2261" t="s">
        <v>218</v>
      </c>
      <c r="D2261" s="1" t="s">
        <v>2638</v>
      </c>
    </row>
    <row r="2262" spans="1:4" hidden="1" x14ac:dyDescent="0.3">
      <c r="A2262">
        <v>2260</v>
      </c>
      <c r="B2262" t="s">
        <v>2639</v>
      </c>
      <c r="C2262" t="s">
        <v>111</v>
      </c>
      <c r="D2262">
        <v>979.04517028009798</v>
      </c>
    </row>
    <row r="2263" spans="1:4" hidden="1" x14ac:dyDescent="0.3">
      <c r="A2263">
        <v>2261</v>
      </c>
      <c r="B2263" t="s">
        <v>2640</v>
      </c>
      <c r="C2263" t="s">
        <v>113</v>
      </c>
      <c r="D2263">
        <v>147.047810897452</v>
      </c>
    </row>
    <row r="2264" spans="1:4" hidden="1" x14ac:dyDescent="0.3">
      <c r="A2264">
        <v>2262</v>
      </c>
      <c r="B2264" s="1" t="s">
        <v>2641</v>
      </c>
      <c r="C2264" t="s">
        <v>115</v>
      </c>
      <c r="D2264" s="1" t="s">
        <v>2642</v>
      </c>
    </row>
    <row r="2265" spans="1:4" hidden="1" x14ac:dyDescent="0.3">
      <c r="A2265">
        <v>2263</v>
      </c>
      <c r="B2265" t="s">
        <v>2643</v>
      </c>
      <c r="C2265" t="s">
        <v>118</v>
      </c>
      <c r="D2265">
        <v>80023660.722310796</v>
      </c>
    </row>
    <row r="2266" spans="1:4" hidden="1" x14ac:dyDescent="0.3">
      <c r="A2266">
        <v>2264</v>
      </c>
      <c r="B2266" t="s">
        <v>2644</v>
      </c>
      <c r="C2266" t="s">
        <v>120</v>
      </c>
      <c r="D2266">
        <v>35008752.382051997</v>
      </c>
    </row>
    <row r="2267" spans="1:4" hidden="1" x14ac:dyDescent="0.3">
      <c r="A2267">
        <v>2265</v>
      </c>
      <c r="B2267" s="1" t="s">
        <v>2645</v>
      </c>
      <c r="C2267" t="s">
        <v>122</v>
      </c>
      <c r="D2267" s="1" t="s">
        <v>2646</v>
      </c>
    </row>
    <row r="2268" spans="1:4" hidden="1" x14ac:dyDescent="0.3">
      <c r="A2268">
        <v>2266</v>
      </c>
      <c r="B2268" t="s">
        <v>2647</v>
      </c>
      <c r="C2268" t="s">
        <v>125</v>
      </c>
      <c r="D2268">
        <v>0.80020556231619699</v>
      </c>
    </row>
    <row r="2269" spans="1:4" hidden="1" x14ac:dyDescent="0.3">
      <c r="A2269">
        <v>2267</v>
      </c>
      <c r="B2269" t="s">
        <v>2648</v>
      </c>
      <c r="C2269" t="s">
        <v>127</v>
      </c>
      <c r="D2269">
        <v>0.35007394229414401</v>
      </c>
    </row>
    <row r="2270" spans="1:4" hidden="1" x14ac:dyDescent="0.3">
      <c r="A2270">
        <v>2268</v>
      </c>
      <c r="B2270" s="1" t="s">
        <v>2649</v>
      </c>
      <c r="C2270" t="s">
        <v>129</v>
      </c>
      <c r="D2270" s="1" t="s">
        <v>2650</v>
      </c>
    </row>
    <row r="2271" spans="1:4" ht="72" x14ac:dyDescent="0.3">
      <c r="A2271">
        <v>2269</v>
      </c>
      <c r="B2271" s="1" t="s">
        <v>3</v>
      </c>
      <c r="C2271" t="s">
        <v>4</v>
      </c>
      <c r="D2271" t="s">
        <v>5</v>
      </c>
    </row>
    <row r="2272" spans="1:4" hidden="1" x14ac:dyDescent="0.3">
      <c r="A2272">
        <v>2270</v>
      </c>
      <c r="B2272" t="s">
        <v>6</v>
      </c>
      <c r="C2272" t="s">
        <v>7</v>
      </c>
      <c r="D2272">
        <v>1981.95</v>
      </c>
    </row>
    <row r="2273" spans="1:4" hidden="1" x14ac:dyDescent="0.3">
      <c r="A2273">
        <v>2271</v>
      </c>
      <c r="B2273" s="1" t="s">
        <v>131</v>
      </c>
      <c r="C2273" t="s">
        <v>9</v>
      </c>
      <c r="D2273" s="1" t="s">
        <v>132</v>
      </c>
    </row>
    <row r="2274" spans="1:4" hidden="1" x14ac:dyDescent="0.3">
      <c r="A2274">
        <v>2272</v>
      </c>
      <c r="B2274" t="s">
        <v>13</v>
      </c>
      <c r="C2274" t="s">
        <v>14</v>
      </c>
      <c r="D2274">
        <v>91.74609375</v>
      </c>
    </row>
    <row r="2275" spans="1:4" hidden="1" x14ac:dyDescent="0.3">
      <c r="A2275">
        <v>2273</v>
      </c>
      <c r="B2275" t="s">
        <v>15</v>
      </c>
      <c r="C2275" t="s">
        <v>16</v>
      </c>
      <c r="D2275">
        <v>4.1883572307132804</v>
      </c>
    </row>
    <row r="2276" spans="1:4" hidden="1" x14ac:dyDescent="0.3">
      <c r="A2276">
        <v>2274</v>
      </c>
      <c r="B2276" s="1" t="s">
        <v>133</v>
      </c>
      <c r="C2276" t="s">
        <v>134</v>
      </c>
      <c r="D2276" s="1" t="s">
        <v>135</v>
      </c>
    </row>
    <row r="2277" spans="1:4" hidden="1" x14ac:dyDescent="0.3">
      <c r="A2277">
        <v>2275</v>
      </c>
      <c r="B2277" t="s">
        <v>21</v>
      </c>
      <c r="C2277" t="s">
        <v>22</v>
      </c>
      <c r="D2277">
        <v>38.25</v>
      </c>
    </row>
    <row r="2278" spans="1:4" hidden="1" x14ac:dyDescent="0.3">
      <c r="A2278">
        <v>2276</v>
      </c>
      <c r="B2278" t="s">
        <v>2651</v>
      </c>
      <c r="C2278" t="s">
        <v>24</v>
      </c>
      <c r="D2278">
        <v>5.7035860497783197</v>
      </c>
    </row>
    <row r="2279" spans="1:4" hidden="1" x14ac:dyDescent="0.3">
      <c r="A2279">
        <v>2277</v>
      </c>
      <c r="B2279" s="1" t="s">
        <v>2652</v>
      </c>
      <c r="C2279" t="s">
        <v>138</v>
      </c>
      <c r="D2279" s="1" t="s">
        <v>2653</v>
      </c>
    </row>
    <row r="2280" spans="1:4" hidden="1" x14ac:dyDescent="0.3">
      <c r="A2280">
        <v>2278</v>
      </c>
      <c r="B2280" t="s">
        <v>2654</v>
      </c>
      <c r="C2280" t="s">
        <v>35</v>
      </c>
      <c r="D2280">
        <v>0.54540176281512098</v>
      </c>
    </row>
    <row r="2281" spans="1:4" hidden="1" x14ac:dyDescent="0.3">
      <c r="A2281">
        <v>2279</v>
      </c>
      <c r="B2281" t="s">
        <v>2655</v>
      </c>
      <c r="C2281" t="s">
        <v>142</v>
      </c>
      <c r="D2281">
        <v>0.69833835248070197</v>
      </c>
    </row>
    <row r="2282" spans="1:4" hidden="1" x14ac:dyDescent="0.3">
      <c r="A2282">
        <v>2280</v>
      </c>
      <c r="B2282" s="1" t="s">
        <v>2656</v>
      </c>
      <c r="C2282" t="s">
        <v>144</v>
      </c>
      <c r="D2282" s="1" t="s">
        <v>2657</v>
      </c>
    </row>
    <row r="2283" spans="1:4" hidden="1" x14ac:dyDescent="0.3">
      <c r="A2283">
        <v>2281</v>
      </c>
      <c r="B2283" t="s">
        <v>2658</v>
      </c>
      <c r="C2283" t="s">
        <v>30</v>
      </c>
      <c r="D2283">
        <v>0.19261112082451201</v>
      </c>
    </row>
    <row r="2284" spans="1:4" hidden="1" x14ac:dyDescent="0.3">
      <c r="A2284">
        <v>2282</v>
      </c>
      <c r="B2284" t="s">
        <v>2659</v>
      </c>
      <c r="C2284" t="s">
        <v>32</v>
      </c>
      <c r="D2284">
        <v>0.23742245781036</v>
      </c>
    </row>
    <row r="2285" spans="1:4" hidden="1" x14ac:dyDescent="0.3">
      <c r="A2285">
        <v>2283</v>
      </c>
      <c r="B2285" s="1" t="s">
        <v>2660</v>
      </c>
      <c r="C2285" t="s">
        <v>148</v>
      </c>
      <c r="D2285" s="1" t="s">
        <v>2661</v>
      </c>
    </row>
    <row r="2286" spans="1:4" hidden="1" x14ac:dyDescent="0.3">
      <c r="A2286">
        <v>2284</v>
      </c>
      <c r="B2286" t="s">
        <v>2662</v>
      </c>
      <c r="C2286" t="s">
        <v>40</v>
      </c>
      <c r="D2286">
        <v>0.26198711636036498</v>
      </c>
    </row>
    <row r="2287" spans="1:4" hidden="1" x14ac:dyDescent="0.3">
      <c r="A2287">
        <v>2285</v>
      </c>
      <c r="B2287" t="s">
        <v>2663</v>
      </c>
      <c r="C2287" t="s">
        <v>42</v>
      </c>
      <c r="D2287">
        <v>0.194548157075256</v>
      </c>
    </row>
    <row r="2288" spans="1:4" hidden="1" x14ac:dyDescent="0.3">
      <c r="A2288">
        <v>2286</v>
      </c>
      <c r="B2288" s="1" t="s">
        <v>2664</v>
      </c>
      <c r="C2288" t="s">
        <v>152</v>
      </c>
      <c r="D2288" s="1" t="s">
        <v>2665</v>
      </c>
    </row>
    <row r="2289" spans="1:4" hidden="1" x14ac:dyDescent="0.3">
      <c r="A2289">
        <v>2287</v>
      </c>
      <c r="B2289" t="s">
        <v>153</v>
      </c>
      <c r="C2289" t="s">
        <v>154</v>
      </c>
      <c r="D2289">
        <v>1</v>
      </c>
    </row>
    <row r="2290" spans="1:4" hidden="1" x14ac:dyDescent="0.3">
      <c r="A2290">
        <v>2288</v>
      </c>
      <c r="B2290" t="s">
        <v>155</v>
      </c>
      <c r="C2290" t="s">
        <v>156</v>
      </c>
      <c r="D2290">
        <v>1</v>
      </c>
    </row>
    <row r="2291" spans="1:4" hidden="1" x14ac:dyDescent="0.3">
      <c r="A2291">
        <v>2289</v>
      </c>
      <c r="B2291" s="1" t="s">
        <v>2666</v>
      </c>
      <c r="C2291" t="s">
        <v>158</v>
      </c>
      <c r="D2291" s="1" t="s">
        <v>2667</v>
      </c>
    </row>
    <row r="2292" spans="1:4" hidden="1" x14ac:dyDescent="0.3">
      <c r="A2292">
        <v>2290</v>
      </c>
      <c r="B2292" t="s">
        <v>2668</v>
      </c>
      <c r="C2292" t="s">
        <v>161</v>
      </c>
      <c r="D2292">
        <v>0.99962731174913499</v>
      </c>
    </row>
    <row r="2293" spans="1:4" hidden="1" x14ac:dyDescent="0.3">
      <c r="A2293">
        <v>2291</v>
      </c>
      <c r="B2293" t="s">
        <v>2669</v>
      </c>
      <c r="C2293" t="s">
        <v>163</v>
      </c>
      <c r="D2293">
        <v>1.0005078664359901</v>
      </c>
    </row>
    <row r="2294" spans="1:4" hidden="1" x14ac:dyDescent="0.3">
      <c r="A2294">
        <v>2292</v>
      </c>
      <c r="B2294" s="1" t="s">
        <v>2670</v>
      </c>
      <c r="C2294" t="s">
        <v>165</v>
      </c>
      <c r="D2294" s="1" t="s">
        <v>2671</v>
      </c>
    </row>
    <row r="2295" spans="1:4" hidden="1" x14ac:dyDescent="0.3">
      <c r="A2295">
        <v>2293</v>
      </c>
      <c r="B2295" s="1" t="s">
        <v>2672</v>
      </c>
      <c r="C2295" t="s">
        <v>55</v>
      </c>
      <c r="D2295" s="1" t="s">
        <v>2673</v>
      </c>
    </row>
    <row r="2296" spans="1:4" hidden="1" x14ac:dyDescent="0.3">
      <c r="A2296">
        <v>2294</v>
      </c>
      <c r="B2296" s="1" t="s">
        <v>2674</v>
      </c>
      <c r="C2296" t="s">
        <v>52</v>
      </c>
      <c r="D2296" s="1" t="s">
        <v>2675</v>
      </c>
    </row>
    <row r="2297" spans="1:4" hidden="1" x14ac:dyDescent="0.3">
      <c r="A2297">
        <v>2295</v>
      </c>
      <c r="B2297" s="1" t="s">
        <v>2676</v>
      </c>
      <c r="C2297" t="s">
        <v>58</v>
      </c>
      <c r="D2297" s="1" t="s">
        <v>2677</v>
      </c>
    </row>
    <row r="2298" spans="1:4" hidden="1" x14ac:dyDescent="0.3">
      <c r="A2298">
        <v>2296</v>
      </c>
      <c r="B2298" t="s">
        <v>2678</v>
      </c>
      <c r="C2298" t="s">
        <v>60</v>
      </c>
      <c r="D2298">
        <v>149936538.235616</v>
      </c>
    </row>
    <row r="2299" spans="1:4" hidden="1" x14ac:dyDescent="0.3">
      <c r="A2299">
        <v>2297</v>
      </c>
      <c r="B2299" t="s">
        <v>2679</v>
      </c>
      <c r="C2299" t="s">
        <v>62</v>
      </c>
      <c r="D2299">
        <v>80023660.722310796</v>
      </c>
    </row>
    <row r="2300" spans="1:4" hidden="1" x14ac:dyDescent="0.3">
      <c r="A2300">
        <v>2298</v>
      </c>
      <c r="B2300" t="s">
        <v>2680</v>
      </c>
      <c r="C2300" t="s">
        <v>64</v>
      </c>
      <c r="D2300">
        <v>35008752.382051997</v>
      </c>
    </row>
    <row r="2301" spans="1:4" hidden="1" x14ac:dyDescent="0.3">
      <c r="A2301">
        <v>2299</v>
      </c>
      <c r="B2301" s="1" t="s">
        <v>2681</v>
      </c>
      <c r="C2301" t="s">
        <v>66</v>
      </c>
      <c r="D2301" s="1" t="s">
        <v>2682</v>
      </c>
    </row>
    <row r="2302" spans="1:4" hidden="1" x14ac:dyDescent="0.3">
      <c r="A2302">
        <v>2300</v>
      </c>
      <c r="B2302" s="1" t="s">
        <v>2683</v>
      </c>
      <c r="C2302" t="s">
        <v>69</v>
      </c>
      <c r="D2302" s="1" t="s">
        <v>2684</v>
      </c>
    </row>
    <row r="2303" spans="1:4" hidden="1" x14ac:dyDescent="0.3">
      <c r="A2303">
        <v>2301</v>
      </c>
      <c r="B2303" t="s">
        <v>2685</v>
      </c>
      <c r="C2303" t="s">
        <v>72</v>
      </c>
      <c r="D2303">
        <v>1.00019609746688</v>
      </c>
    </row>
    <row r="2304" spans="1:4" hidden="1" x14ac:dyDescent="0.3">
      <c r="A2304">
        <v>2302</v>
      </c>
      <c r="B2304" t="s">
        <v>73</v>
      </c>
      <c r="C2304" t="s">
        <v>74</v>
      </c>
      <c r="D2304">
        <v>2.7397260273972599E-3</v>
      </c>
    </row>
    <row r="2305" spans="1:4" hidden="1" x14ac:dyDescent="0.3">
      <c r="A2305">
        <v>2303</v>
      </c>
      <c r="B2305" t="s">
        <v>75</v>
      </c>
      <c r="C2305" t="s">
        <v>76</v>
      </c>
      <c r="D2305">
        <v>0</v>
      </c>
    </row>
    <row r="2306" spans="1:4" hidden="1" x14ac:dyDescent="0.3">
      <c r="A2306">
        <v>2304</v>
      </c>
      <c r="B2306" t="s">
        <v>2686</v>
      </c>
      <c r="C2306" t="s">
        <v>78</v>
      </c>
      <c r="D2306" s="2">
        <v>-2.2204460492503101E-16</v>
      </c>
    </row>
    <row r="2307" spans="1:4" hidden="1" x14ac:dyDescent="0.3">
      <c r="A2307">
        <v>2305</v>
      </c>
      <c r="B2307" s="1" t="s">
        <v>2687</v>
      </c>
      <c r="C2307" t="s">
        <v>80</v>
      </c>
      <c r="D2307" s="1" t="s">
        <v>2688</v>
      </c>
    </row>
    <row r="2308" spans="1:4" hidden="1" x14ac:dyDescent="0.3">
      <c r="A2308">
        <v>2306</v>
      </c>
      <c r="B2308" t="s">
        <v>2689</v>
      </c>
      <c r="C2308" t="s">
        <v>83</v>
      </c>
      <c r="D2308">
        <v>1.00021048716659</v>
      </c>
    </row>
    <row r="2309" spans="1:4" hidden="1" x14ac:dyDescent="0.3">
      <c r="A2309">
        <v>2307</v>
      </c>
      <c r="B2309" s="1" t="s">
        <v>2690</v>
      </c>
      <c r="C2309" t="s">
        <v>85</v>
      </c>
      <c r="D2309" s="1" t="s">
        <v>2691</v>
      </c>
    </row>
    <row r="2310" spans="1:4" hidden="1" x14ac:dyDescent="0.3">
      <c r="A2310">
        <v>2308</v>
      </c>
      <c r="B2310" t="s">
        <v>2692</v>
      </c>
      <c r="C2310" t="s">
        <v>88</v>
      </c>
      <c r="D2310">
        <v>99978955.712892607</v>
      </c>
    </row>
    <row r="2311" spans="1:4" hidden="1" x14ac:dyDescent="0.3">
      <c r="A2311">
        <v>2309</v>
      </c>
      <c r="B2311" s="1" t="s">
        <v>2693</v>
      </c>
      <c r="C2311" t="s">
        <v>90</v>
      </c>
      <c r="D2311" s="1" t="s">
        <v>2638</v>
      </c>
    </row>
    <row r="2312" spans="1:4" hidden="1" x14ac:dyDescent="0.3">
      <c r="A2312">
        <v>2310</v>
      </c>
      <c r="B2312" t="s">
        <v>2694</v>
      </c>
      <c r="C2312" t="s">
        <v>93</v>
      </c>
      <c r="D2312">
        <v>80023660.722310796</v>
      </c>
    </row>
    <row r="2313" spans="1:4" hidden="1" x14ac:dyDescent="0.3">
      <c r="A2313">
        <v>2311</v>
      </c>
      <c r="B2313" t="s">
        <v>2695</v>
      </c>
      <c r="C2313" t="s">
        <v>95</v>
      </c>
      <c r="D2313">
        <v>35008752.382051997</v>
      </c>
    </row>
    <row r="2314" spans="1:4" hidden="1" x14ac:dyDescent="0.3">
      <c r="A2314">
        <v>2312</v>
      </c>
      <c r="B2314" t="s">
        <v>2696</v>
      </c>
      <c r="C2314" t="s">
        <v>97</v>
      </c>
      <c r="D2314">
        <v>34904125.131253302</v>
      </c>
    </row>
    <row r="2315" spans="1:4" hidden="1" x14ac:dyDescent="0.3">
      <c r="A2315">
        <v>2313</v>
      </c>
      <c r="B2315" s="1" t="s">
        <v>2697</v>
      </c>
      <c r="C2315" t="s">
        <v>99</v>
      </c>
      <c r="D2315" s="1" t="s">
        <v>2698</v>
      </c>
    </row>
    <row r="2316" spans="1:4" hidden="1" x14ac:dyDescent="0.3">
      <c r="A2316">
        <v>2314</v>
      </c>
      <c r="B2316" t="s">
        <v>2699</v>
      </c>
      <c r="C2316" t="s">
        <v>102</v>
      </c>
      <c r="D2316">
        <v>8.5274988388031395E-3</v>
      </c>
    </row>
    <row r="2317" spans="1:4" hidden="1" x14ac:dyDescent="0.3">
      <c r="A2317">
        <v>2315</v>
      </c>
      <c r="B2317" t="s">
        <v>2700</v>
      </c>
      <c r="C2317" t="s">
        <v>104</v>
      </c>
      <c r="D2317">
        <v>1.5382796343143101E-3</v>
      </c>
    </row>
    <row r="2318" spans="1:4" hidden="1" x14ac:dyDescent="0.3">
      <c r="A2318">
        <v>2316</v>
      </c>
      <c r="B2318" t="s">
        <v>2701</v>
      </c>
      <c r="C2318" t="s">
        <v>106</v>
      </c>
      <c r="D2318">
        <v>2.0705102595477299E-2</v>
      </c>
    </row>
    <row r="2319" spans="1:4" hidden="1" x14ac:dyDescent="0.3">
      <c r="A2319">
        <v>2317</v>
      </c>
      <c r="B2319" s="1" t="s">
        <v>2702</v>
      </c>
      <c r="C2319" t="s">
        <v>108</v>
      </c>
      <c r="D2319" s="1" t="s">
        <v>2703</v>
      </c>
    </row>
    <row r="2320" spans="1:4" hidden="1" x14ac:dyDescent="0.3">
      <c r="A2320">
        <v>2318</v>
      </c>
      <c r="B2320" t="s">
        <v>2704</v>
      </c>
      <c r="C2320" t="s">
        <v>196</v>
      </c>
      <c r="D2320">
        <v>149937033.64916301</v>
      </c>
    </row>
    <row r="2321" spans="1:4" hidden="1" x14ac:dyDescent="0.3">
      <c r="A2321">
        <v>2319</v>
      </c>
      <c r="B2321" t="s">
        <v>2705</v>
      </c>
      <c r="C2321" t="s">
        <v>198</v>
      </c>
      <c r="D2321">
        <v>-1151.2962063172099</v>
      </c>
    </row>
    <row r="2322" spans="1:4" hidden="1" x14ac:dyDescent="0.3">
      <c r="A2322">
        <v>2320</v>
      </c>
      <c r="B2322" t="s">
        <v>2706</v>
      </c>
      <c r="C2322" t="s">
        <v>200</v>
      </c>
      <c r="D2322">
        <v>-503.66749340584602</v>
      </c>
    </row>
    <row r="2323" spans="1:4" hidden="1" x14ac:dyDescent="0.3">
      <c r="A2323">
        <v>2321</v>
      </c>
      <c r="B2323" s="1" t="s">
        <v>2707</v>
      </c>
      <c r="C2323" t="s">
        <v>202</v>
      </c>
      <c r="D2323" s="1" t="s">
        <v>2708</v>
      </c>
    </row>
    <row r="2324" spans="1:4" hidden="1" x14ac:dyDescent="0.3">
      <c r="A2324">
        <v>2322</v>
      </c>
      <c r="B2324" t="s">
        <v>2709</v>
      </c>
      <c r="C2324" t="s">
        <v>205</v>
      </c>
      <c r="D2324">
        <v>80025195.938985497</v>
      </c>
    </row>
    <row r="2325" spans="1:4" hidden="1" x14ac:dyDescent="0.3">
      <c r="A2325">
        <v>2323</v>
      </c>
      <c r="B2325" t="s">
        <v>2710</v>
      </c>
      <c r="C2325" t="s">
        <v>207</v>
      </c>
      <c r="D2325">
        <v>35009313.525693104</v>
      </c>
    </row>
    <row r="2326" spans="1:4" hidden="1" x14ac:dyDescent="0.3">
      <c r="A2326">
        <v>2324</v>
      </c>
      <c r="B2326" t="s">
        <v>2711</v>
      </c>
      <c r="C2326" t="s">
        <v>209</v>
      </c>
      <c r="D2326">
        <v>34904681.310368501</v>
      </c>
    </row>
    <row r="2327" spans="1:4" hidden="1" x14ac:dyDescent="0.3">
      <c r="A2327">
        <v>2325</v>
      </c>
      <c r="B2327" s="1" t="s">
        <v>2712</v>
      </c>
      <c r="C2327" t="s">
        <v>211</v>
      </c>
      <c r="D2327" s="1" t="s">
        <v>2713</v>
      </c>
    </row>
    <row r="2328" spans="1:4" hidden="1" x14ac:dyDescent="0.3">
      <c r="A2328">
        <v>2326</v>
      </c>
      <c r="B2328" t="s">
        <v>2714</v>
      </c>
      <c r="C2328" t="s">
        <v>214</v>
      </c>
      <c r="D2328">
        <v>99980394.097979695</v>
      </c>
    </row>
    <row r="2329" spans="1:4" hidden="1" x14ac:dyDescent="0.3">
      <c r="A2329">
        <v>2327</v>
      </c>
      <c r="B2329" t="s">
        <v>2715</v>
      </c>
      <c r="C2329" t="s">
        <v>216</v>
      </c>
      <c r="D2329">
        <v>-1438.38508710265</v>
      </c>
    </row>
    <row r="2330" spans="1:4" hidden="1" x14ac:dyDescent="0.3">
      <c r="A2330">
        <v>2328</v>
      </c>
      <c r="B2330" s="1" t="s">
        <v>2716</v>
      </c>
      <c r="C2330" t="s">
        <v>218</v>
      </c>
      <c r="D2330" s="1" t="s">
        <v>2717</v>
      </c>
    </row>
    <row r="2331" spans="1:4" hidden="1" x14ac:dyDescent="0.3">
      <c r="A2331">
        <v>2329</v>
      </c>
      <c r="B2331" t="s">
        <v>2718</v>
      </c>
      <c r="C2331" t="s">
        <v>111</v>
      </c>
      <c r="D2331">
        <v>383.92046835175699</v>
      </c>
    </row>
    <row r="2332" spans="1:4" hidden="1" x14ac:dyDescent="0.3">
      <c r="A2332">
        <v>2330</v>
      </c>
      <c r="B2332" t="s">
        <v>2719</v>
      </c>
      <c r="C2332" t="s">
        <v>113</v>
      </c>
      <c r="D2332">
        <v>57.476147722381398</v>
      </c>
    </row>
    <row r="2333" spans="1:4" hidden="1" x14ac:dyDescent="0.3">
      <c r="A2333">
        <v>2331</v>
      </c>
      <c r="B2333" s="1" t="s">
        <v>2720</v>
      </c>
      <c r="C2333" t="s">
        <v>115</v>
      </c>
      <c r="D2333" s="1" t="s">
        <v>2721</v>
      </c>
    </row>
    <row r="2334" spans="1:4" hidden="1" x14ac:dyDescent="0.3">
      <c r="A2334">
        <v>2332</v>
      </c>
      <c r="B2334" t="s">
        <v>2722</v>
      </c>
      <c r="C2334" t="s">
        <v>118</v>
      </c>
      <c r="D2334">
        <v>80025195.938985497</v>
      </c>
    </row>
    <row r="2335" spans="1:4" hidden="1" x14ac:dyDescent="0.3">
      <c r="A2335">
        <v>2333</v>
      </c>
      <c r="B2335" t="s">
        <v>2723</v>
      </c>
      <c r="C2335" t="s">
        <v>120</v>
      </c>
      <c r="D2335">
        <v>35009313.525693104</v>
      </c>
    </row>
    <row r="2336" spans="1:4" hidden="1" x14ac:dyDescent="0.3">
      <c r="A2336">
        <v>2334</v>
      </c>
      <c r="B2336" s="1" t="s">
        <v>2724</v>
      </c>
      <c r="C2336" t="s">
        <v>122</v>
      </c>
      <c r="D2336" s="1" t="s">
        <v>2725</v>
      </c>
    </row>
    <row r="2337" spans="1:4" hidden="1" x14ac:dyDescent="0.3">
      <c r="A2337">
        <v>2335</v>
      </c>
      <c r="B2337" t="s">
        <v>2726</v>
      </c>
      <c r="C2337" t="s">
        <v>125</v>
      </c>
      <c r="D2337">
        <v>0.80024044642779202</v>
      </c>
    </row>
    <row r="2338" spans="1:4" hidden="1" x14ac:dyDescent="0.3">
      <c r="A2338">
        <v>2336</v>
      </c>
      <c r="B2338" t="s">
        <v>2727</v>
      </c>
      <c r="C2338" t="s">
        <v>127</v>
      </c>
      <c r="D2338">
        <v>0.35008809858199702</v>
      </c>
    </row>
    <row r="2339" spans="1:4" hidden="1" x14ac:dyDescent="0.3">
      <c r="A2339">
        <v>2337</v>
      </c>
      <c r="B2339" s="1" t="s">
        <v>2728</v>
      </c>
      <c r="C2339" t="s">
        <v>129</v>
      </c>
      <c r="D2339" s="1" t="s">
        <v>2729</v>
      </c>
    </row>
    <row r="2340" spans="1:4" ht="72" x14ac:dyDescent="0.3">
      <c r="A2340">
        <v>2338</v>
      </c>
      <c r="B2340" s="1" t="s">
        <v>3</v>
      </c>
      <c r="C2340" t="s">
        <v>4</v>
      </c>
      <c r="D2340" t="s">
        <v>5</v>
      </c>
    </row>
    <row r="2341" spans="1:4" hidden="1" x14ac:dyDescent="0.3">
      <c r="A2341">
        <v>2339</v>
      </c>
      <c r="B2341" t="s">
        <v>6</v>
      </c>
      <c r="C2341" t="s">
        <v>7</v>
      </c>
      <c r="D2341">
        <v>1981.95</v>
      </c>
    </row>
    <row r="2342" spans="1:4" hidden="1" x14ac:dyDescent="0.3">
      <c r="A2342">
        <v>2340</v>
      </c>
      <c r="B2342" s="1" t="s">
        <v>131</v>
      </c>
      <c r="C2342" t="s">
        <v>9</v>
      </c>
      <c r="D2342" s="1" t="s">
        <v>132</v>
      </c>
    </row>
    <row r="2343" spans="1:4" hidden="1" x14ac:dyDescent="0.3">
      <c r="A2343">
        <v>2341</v>
      </c>
      <c r="B2343" t="s">
        <v>13</v>
      </c>
      <c r="C2343" t="s">
        <v>14</v>
      </c>
      <c r="D2343">
        <v>91.74609375</v>
      </c>
    </row>
    <row r="2344" spans="1:4" hidden="1" x14ac:dyDescent="0.3">
      <c r="A2344">
        <v>2342</v>
      </c>
      <c r="B2344" t="s">
        <v>15</v>
      </c>
      <c r="C2344" t="s">
        <v>16</v>
      </c>
      <c r="D2344">
        <v>4.1883572307132804</v>
      </c>
    </row>
    <row r="2345" spans="1:4" hidden="1" x14ac:dyDescent="0.3">
      <c r="A2345">
        <v>2343</v>
      </c>
      <c r="B2345" s="1" t="s">
        <v>133</v>
      </c>
      <c r="C2345" t="s">
        <v>134</v>
      </c>
      <c r="D2345" s="1" t="s">
        <v>135</v>
      </c>
    </row>
    <row r="2346" spans="1:4" hidden="1" x14ac:dyDescent="0.3">
      <c r="A2346">
        <v>2344</v>
      </c>
      <c r="B2346" t="s">
        <v>21</v>
      </c>
      <c r="C2346" t="s">
        <v>22</v>
      </c>
      <c r="D2346">
        <v>38.25</v>
      </c>
    </row>
    <row r="2347" spans="1:4" hidden="1" x14ac:dyDescent="0.3">
      <c r="A2347">
        <v>2345</v>
      </c>
      <c r="B2347" t="s">
        <v>2730</v>
      </c>
      <c r="C2347" t="s">
        <v>24</v>
      </c>
      <c r="D2347">
        <v>5.6986798677968604</v>
      </c>
    </row>
    <row r="2348" spans="1:4" hidden="1" x14ac:dyDescent="0.3">
      <c r="A2348">
        <v>2346</v>
      </c>
      <c r="B2348" s="1" t="s">
        <v>2731</v>
      </c>
      <c r="C2348" t="s">
        <v>138</v>
      </c>
      <c r="D2348" s="1" t="s">
        <v>2732</v>
      </c>
    </row>
    <row r="2349" spans="1:4" hidden="1" x14ac:dyDescent="0.3">
      <c r="A2349">
        <v>2347</v>
      </c>
      <c r="B2349" t="s">
        <v>2733</v>
      </c>
      <c r="C2349" t="s">
        <v>35</v>
      </c>
      <c r="D2349">
        <v>0.54684434056797304</v>
      </c>
    </row>
    <row r="2350" spans="1:4" hidden="1" x14ac:dyDescent="0.3">
      <c r="A2350">
        <v>2348</v>
      </c>
      <c r="B2350" t="s">
        <v>2734</v>
      </c>
      <c r="C2350" t="s">
        <v>142</v>
      </c>
      <c r="D2350">
        <v>0.69761171832301505</v>
      </c>
    </row>
    <row r="2351" spans="1:4" hidden="1" x14ac:dyDescent="0.3">
      <c r="A2351">
        <v>2349</v>
      </c>
      <c r="B2351" s="1" t="s">
        <v>2735</v>
      </c>
      <c r="C2351" t="s">
        <v>144</v>
      </c>
      <c r="D2351" s="1" t="s">
        <v>2736</v>
      </c>
    </row>
    <row r="2352" spans="1:4" hidden="1" x14ac:dyDescent="0.3">
      <c r="A2352">
        <v>2350</v>
      </c>
      <c r="B2352" t="s">
        <v>2737</v>
      </c>
      <c r="C2352" t="s">
        <v>30</v>
      </c>
      <c r="D2352">
        <v>0.193120573739404</v>
      </c>
    </row>
    <row r="2353" spans="1:4" hidden="1" x14ac:dyDescent="0.3">
      <c r="A2353">
        <v>2351</v>
      </c>
      <c r="B2353" t="s">
        <v>2738</v>
      </c>
      <c r="C2353" t="s">
        <v>32</v>
      </c>
      <c r="D2353">
        <v>0.238061290736759</v>
      </c>
    </row>
    <row r="2354" spans="1:4" hidden="1" x14ac:dyDescent="0.3">
      <c r="A2354">
        <v>2352</v>
      </c>
      <c r="B2354" s="1" t="s">
        <v>2739</v>
      </c>
      <c r="C2354" t="s">
        <v>148</v>
      </c>
      <c r="D2354" s="1" t="s">
        <v>2740</v>
      </c>
    </row>
    <row r="2355" spans="1:4" hidden="1" x14ac:dyDescent="0.3">
      <c r="A2355">
        <v>2353</v>
      </c>
      <c r="B2355" t="s">
        <v>2741</v>
      </c>
      <c r="C2355" t="s">
        <v>40</v>
      </c>
      <c r="D2355">
        <v>0.26003508569262102</v>
      </c>
    </row>
    <row r="2356" spans="1:4" hidden="1" x14ac:dyDescent="0.3">
      <c r="A2356">
        <v>2354</v>
      </c>
      <c r="B2356" t="s">
        <v>2742</v>
      </c>
      <c r="C2356" t="s">
        <v>42</v>
      </c>
      <c r="D2356">
        <v>0.19540086841947299</v>
      </c>
    </row>
    <row r="2357" spans="1:4" hidden="1" x14ac:dyDescent="0.3">
      <c r="A2357">
        <v>2355</v>
      </c>
      <c r="B2357" s="1" t="s">
        <v>2743</v>
      </c>
      <c r="C2357" t="s">
        <v>152</v>
      </c>
      <c r="D2357" s="1" t="s">
        <v>2744</v>
      </c>
    </row>
    <row r="2358" spans="1:4" hidden="1" x14ac:dyDescent="0.3">
      <c r="A2358">
        <v>2356</v>
      </c>
      <c r="B2358" t="s">
        <v>153</v>
      </c>
      <c r="C2358" t="s">
        <v>154</v>
      </c>
      <c r="D2358">
        <v>1</v>
      </c>
    </row>
    <row r="2359" spans="1:4" hidden="1" x14ac:dyDescent="0.3">
      <c r="A2359">
        <v>2357</v>
      </c>
      <c r="B2359" t="s">
        <v>155</v>
      </c>
      <c r="C2359" t="s">
        <v>156</v>
      </c>
      <c r="D2359">
        <v>1</v>
      </c>
    </row>
    <row r="2360" spans="1:4" hidden="1" x14ac:dyDescent="0.3">
      <c r="A2360">
        <v>2358</v>
      </c>
      <c r="B2360" s="1" t="s">
        <v>2745</v>
      </c>
      <c r="C2360" t="s">
        <v>158</v>
      </c>
      <c r="D2360" s="1" t="s">
        <v>2746</v>
      </c>
    </row>
    <row r="2361" spans="1:4" hidden="1" x14ac:dyDescent="0.3">
      <c r="A2361">
        <v>2359</v>
      </c>
      <c r="B2361" t="s">
        <v>2747</v>
      </c>
      <c r="C2361" t="s">
        <v>161</v>
      </c>
      <c r="D2361">
        <v>0.99957214994489996</v>
      </c>
    </row>
    <row r="2362" spans="1:4" hidden="1" x14ac:dyDescent="0.3">
      <c r="A2362">
        <v>2360</v>
      </c>
      <c r="B2362" t="s">
        <v>2748</v>
      </c>
      <c r="C2362" t="s">
        <v>163</v>
      </c>
      <c r="D2362">
        <v>1.0005162609764799</v>
      </c>
    </row>
    <row r="2363" spans="1:4" hidden="1" x14ac:dyDescent="0.3">
      <c r="A2363">
        <v>2361</v>
      </c>
      <c r="B2363" s="1" t="s">
        <v>2749</v>
      </c>
      <c r="C2363" t="s">
        <v>165</v>
      </c>
      <c r="D2363" s="1" t="s">
        <v>2750</v>
      </c>
    </row>
    <row r="2364" spans="1:4" hidden="1" x14ac:dyDescent="0.3">
      <c r="A2364">
        <v>2362</v>
      </c>
      <c r="B2364" s="1" t="s">
        <v>2751</v>
      </c>
      <c r="C2364" t="s">
        <v>55</v>
      </c>
      <c r="D2364" s="1" t="s">
        <v>2752</v>
      </c>
    </row>
    <row r="2365" spans="1:4" hidden="1" x14ac:dyDescent="0.3">
      <c r="A2365">
        <v>2363</v>
      </c>
      <c r="B2365" s="1" t="s">
        <v>2753</v>
      </c>
      <c r="C2365" t="s">
        <v>52</v>
      </c>
      <c r="D2365" s="1" t="s">
        <v>2754</v>
      </c>
    </row>
    <row r="2366" spans="1:4" hidden="1" x14ac:dyDescent="0.3">
      <c r="A2366">
        <v>2364</v>
      </c>
      <c r="B2366" s="1" t="s">
        <v>2755</v>
      </c>
      <c r="C2366" t="s">
        <v>58</v>
      </c>
      <c r="D2366" s="1" t="s">
        <v>2756</v>
      </c>
    </row>
    <row r="2367" spans="1:4" hidden="1" x14ac:dyDescent="0.3">
      <c r="A2367">
        <v>2365</v>
      </c>
      <c r="B2367" t="s">
        <v>2757</v>
      </c>
      <c r="C2367" t="s">
        <v>60</v>
      </c>
      <c r="D2367">
        <v>149935294.648839</v>
      </c>
    </row>
    <row r="2368" spans="1:4" hidden="1" x14ac:dyDescent="0.3">
      <c r="A2368">
        <v>2366</v>
      </c>
      <c r="B2368" t="s">
        <v>2758</v>
      </c>
      <c r="C2368" t="s">
        <v>62</v>
      </c>
      <c r="D2368">
        <v>80025195.938985497</v>
      </c>
    </row>
    <row r="2369" spans="1:4" hidden="1" x14ac:dyDescent="0.3">
      <c r="A2369">
        <v>2367</v>
      </c>
      <c r="B2369" t="s">
        <v>2759</v>
      </c>
      <c r="C2369" t="s">
        <v>64</v>
      </c>
      <c r="D2369">
        <v>35009313.525693104</v>
      </c>
    </row>
    <row r="2370" spans="1:4" hidden="1" x14ac:dyDescent="0.3">
      <c r="A2370">
        <v>2368</v>
      </c>
      <c r="B2370" s="1" t="s">
        <v>2760</v>
      </c>
      <c r="C2370" t="s">
        <v>66</v>
      </c>
      <c r="D2370" s="1" t="s">
        <v>2761</v>
      </c>
    </row>
    <row r="2371" spans="1:4" hidden="1" x14ac:dyDescent="0.3">
      <c r="A2371">
        <v>2369</v>
      </c>
      <c r="B2371" s="1" t="s">
        <v>2762</v>
      </c>
      <c r="C2371" t="s">
        <v>69</v>
      </c>
      <c r="D2371" s="1" t="s">
        <v>2763</v>
      </c>
    </row>
    <row r="2372" spans="1:4" hidden="1" x14ac:dyDescent="0.3">
      <c r="A2372">
        <v>2370</v>
      </c>
      <c r="B2372" t="s">
        <v>2764</v>
      </c>
      <c r="C2372" t="s">
        <v>72</v>
      </c>
      <c r="D2372">
        <v>1.00021048716659</v>
      </c>
    </row>
    <row r="2373" spans="1:4" hidden="1" x14ac:dyDescent="0.3">
      <c r="A2373">
        <v>2371</v>
      </c>
      <c r="B2373" t="s">
        <v>73</v>
      </c>
      <c r="C2373" t="s">
        <v>74</v>
      </c>
      <c r="D2373">
        <v>2.7397260273972599E-3</v>
      </c>
    </row>
    <row r="2374" spans="1:4" hidden="1" x14ac:dyDescent="0.3">
      <c r="A2374">
        <v>2372</v>
      </c>
      <c r="B2374" t="s">
        <v>75</v>
      </c>
      <c r="C2374" t="s">
        <v>76</v>
      </c>
      <c r="D2374">
        <v>0</v>
      </c>
    </row>
    <row r="2375" spans="1:4" hidden="1" x14ac:dyDescent="0.3">
      <c r="A2375">
        <v>2373</v>
      </c>
      <c r="B2375" t="s">
        <v>77</v>
      </c>
      <c r="C2375" t="s">
        <v>78</v>
      </c>
      <c r="D2375">
        <v>0</v>
      </c>
    </row>
    <row r="2376" spans="1:4" hidden="1" x14ac:dyDescent="0.3">
      <c r="A2376">
        <v>2374</v>
      </c>
      <c r="B2376" s="1" t="s">
        <v>2765</v>
      </c>
      <c r="C2376" t="s">
        <v>80</v>
      </c>
      <c r="D2376" s="1" t="s">
        <v>2766</v>
      </c>
    </row>
    <row r="2377" spans="1:4" hidden="1" x14ac:dyDescent="0.3">
      <c r="A2377">
        <v>2375</v>
      </c>
      <c r="B2377" t="s">
        <v>2767</v>
      </c>
      <c r="C2377" t="s">
        <v>83</v>
      </c>
      <c r="D2377">
        <v>1.00021808081677</v>
      </c>
    </row>
    <row r="2378" spans="1:4" hidden="1" x14ac:dyDescent="0.3">
      <c r="A2378">
        <v>2376</v>
      </c>
      <c r="B2378" s="1" t="s">
        <v>2768</v>
      </c>
      <c r="C2378" t="s">
        <v>85</v>
      </c>
      <c r="D2378" s="1" t="s">
        <v>2769</v>
      </c>
    </row>
    <row r="2379" spans="1:4" hidden="1" x14ac:dyDescent="0.3">
      <c r="A2379">
        <v>2377</v>
      </c>
      <c r="B2379" t="s">
        <v>2770</v>
      </c>
      <c r="C2379" t="s">
        <v>88</v>
      </c>
      <c r="D2379">
        <v>99978196.673209995</v>
      </c>
    </row>
    <row r="2380" spans="1:4" hidden="1" x14ac:dyDescent="0.3">
      <c r="A2380">
        <v>2378</v>
      </c>
      <c r="B2380" s="1" t="s">
        <v>2771</v>
      </c>
      <c r="C2380" t="s">
        <v>90</v>
      </c>
      <c r="D2380" s="1" t="s">
        <v>2717</v>
      </c>
    </row>
    <row r="2381" spans="1:4" hidden="1" x14ac:dyDescent="0.3">
      <c r="A2381">
        <v>2379</v>
      </c>
      <c r="B2381" t="s">
        <v>2772</v>
      </c>
      <c r="C2381" t="s">
        <v>93</v>
      </c>
      <c r="D2381">
        <v>80025195.938985497</v>
      </c>
    </row>
    <row r="2382" spans="1:4" hidden="1" x14ac:dyDescent="0.3">
      <c r="A2382">
        <v>2380</v>
      </c>
      <c r="B2382" t="s">
        <v>2773</v>
      </c>
      <c r="C2382" t="s">
        <v>95</v>
      </c>
      <c r="D2382">
        <v>35009313.525693104</v>
      </c>
    </row>
    <row r="2383" spans="1:4" hidden="1" x14ac:dyDescent="0.3">
      <c r="A2383">
        <v>2381</v>
      </c>
      <c r="B2383" t="s">
        <v>2774</v>
      </c>
      <c r="C2383" t="s">
        <v>97</v>
      </c>
      <c r="D2383">
        <v>34900785.184161201</v>
      </c>
    </row>
    <row r="2384" spans="1:4" hidden="1" x14ac:dyDescent="0.3">
      <c r="A2384">
        <v>2382</v>
      </c>
      <c r="B2384" s="1" t="s">
        <v>2775</v>
      </c>
      <c r="C2384" t="s">
        <v>99</v>
      </c>
      <c r="D2384" s="1" t="s">
        <v>2776</v>
      </c>
    </row>
    <row r="2385" spans="1:4" hidden="1" x14ac:dyDescent="0.3">
      <c r="A2385">
        <v>2383</v>
      </c>
      <c r="B2385" t="s">
        <v>2777</v>
      </c>
      <c r="C2385" t="s">
        <v>102</v>
      </c>
      <c r="D2385">
        <v>8.5914412353099504E-3</v>
      </c>
    </row>
    <row r="2386" spans="1:4" hidden="1" x14ac:dyDescent="0.3">
      <c r="A2386">
        <v>2384</v>
      </c>
      <c r="B2386" t="s">
        <v>2778</v>
      </c>
      <c r="C2386" t="s">
        <v>104</v>
      </c>
      <c r="D2386">
        <v>1.5495605259550601E-3</v>
      </c>
    </row>
    <row r="2387" spans="1:4" hidden="1" x14ac:dyDescent="0.3">
      <c r="A2387">
        <v>2385</v>
      </c>
      <c r="B2387" t="s">
        <v>2779</v>
      </c>
      <c r="C2387" t="s">
        <v>106</v>
      </c>
      <c r="D2387">
        <v>2.07659927997558E-2</v>
      </c>
    </row>
    <row r="2388" spans="1:4" hidden="1" x14ac:dyDescent="0.3">
      <c r="A2388">
        <v>2386</v>
      </c>
      <c r="B2388" s="1" t="s">
        <v>2780</v>
      </c>
      <c r="C2388" t="s">
        <v>108</v>
      </c>
      <c r="D2388" s="1" t="s">
        <v>2781</v>
      </c>
    </row>
    <row r="2389" spans="1:4" hidden="1" x14ac:dyDescent="0.3">
      <c r="A2389">
        <v>2387</v>
      </c>
      <c r="B2389" t="s">
        <v>2782</v>
      </c>
      <c r="C2389" t="s">
        <v>196</v>
      </c>
      <c r="D2389">
        <v>149935556.08091101</v>
      </c>
    </row>
    <row r="2390" spans="1:4" hidden="1" x14ac:dyDescent="0.3">
      <c r="A2390">
        <v>2388</v>
      </c>
      <c r="B2390" t="s">
        <v>2783</v>
      </c>
      <c r="C2390" t="s">
        <v>198</v>
      </c>
      <c r="D2390">
        <v>-607.55691541365297</v>
      </c>
    </row>
    <row r="2391" spans="1:4" hidden="1" x14ac:dyDescent="0.3">
      <c r="A2391">
        <v>2389</v>
      </c>
      <c r="B2391" t="s">
        <v>2784</v>
      </c>
      <c r="C2391" t="s">
        <v>200</v>
      </c>
      <c r="D2391">
        <v>-265.79275167622802</v>
      </c>
    </row>
    <row r="2392" spans="1:4" hidden="1" x14ac:dyDescent="0.3">
      <c r="A2392">
        <v>2390</v>
      </c>
      <c r="B2392" s="1" t="s">
        <v>2785</v>
      </c>
      <c r="C2392" t="s">
        <v>202</v>
      </c>
      <c r="D2392" s="1" t="s">
        <v>2786</v>
      </c>
    </row>
    <row r="2393" spans="1:4" hidden="1" x14ac:dyDescent="0.3">
      <c r="A2393">
        <v>2391</v>
      </c>
      <c r="B2393" t="s">
        <v>2787</v>
      </c>
      <c r="C2393" t="s">
        <v>205</v>
      </c>
      <c r="D2393">
        <v>80025995.129740104</v>
      </c>
    </row>
    <row r="2394" spans="1:4" hidden="1" x14ac:dyDescent="0.3">
      <c r="A2394">
        <v>2392</v>
      </c>
      <c r="B2394" t="s">
        <v>2788</v>
      </c>
      <c r="C2394" t="s">
        <v>207</v>
      </c>
      <c r="D2394">
        <v>35009608.0079678</v>
      </c>
    </row>
    <row r="2395" spans="1:4" hidden="1" x14ac:dyDescent="0.3">
      <c r="A2395">
        <v>2393</v>
      </c>
      <c r="B2395" t="s">
        <v>2789</v>
      </c>
      <c r="C2395" t="s">
        <v>209</v>
      </c>
      <c r="D2395">
        <v>34901091.261763699</v>
      </c>
    </row>
    <row r="2396" spans="1:4" hidden="1" x14ac:dyDescent="0.3">
      <c r="A2396">
        <v>2394</v>
      </c>
      <c r="B2396" s="1" t="s">
        <v>2790</v>
      </c>
      <c r="C2396" t="s">
        <v>211</v>
      </c>
      <c r="D2396" s="1" t="s">
        <v>2791</v>
      </c>
    </row>
    <row r="2397" spans="1:4" hidden="1" x14ac:dyDescent="0.3">
      <c r="A2397">
        <v>2395</v>
      </c>
      <c r="B2397" t="s">
        <v>2792</v>
      </c>
      <c r="C2397" t="s">
        <v>214</v>
      </c>
      <c r="D2397">
        <v>99978955.712892607</v>
      </c>
    </row>
    <row r="2398" spans="1:4" hidden="1" x14ac:dyDescent="0.3">
      <c r="A2398">
        <v>2396</v>
      </c>
      <c r="B2398" t="s">
        <v>2793</v>
      </c>
      <c r="C2398" t="s">
        <v>216</v>
      </c>
      <c r="D2398">
        <v>-759.03968255221798</v>
      </c>
    </row>
    <row r="2399" spans="1:4" hidden="1" x14ac:dyDescent="0.3">
      <c r="A2399">
        <v>2397</v>
      </c>
      <c r="B2399" s="1" t="s">
        <v>2794</v>
      </c>
      <c r="C2399" t="s">
        <v>218</v>
      </c>
      <c r="D2399" s="1" t="s">
        <v>2795</v>
      </c>
    </row>
    <row r="2400" spans="1:4" hidden="1" x14ac:dyDescent="0.3">
      <c r="A2400">
        <v>2398</v>
      </c>
      <c r="B2400" t="s">
        <v>2796</v>
      </c>
      <c r="C2400" t="s">
        <v>111</v>
      </c>
      <c r="D2400">
        <v>191.63383915891501</v>
      </c>
    </row>
    <row r="2401" spans="1:4" hidden="1" x14ac:dyDescent="0.3">
      <c r="A2401">
        <v>2399</v>
      </c>
      <c r="B2401" t="s">
        <v>2797</v>
      </c>
      <c r="C2401" t="s">
        <v>113</v>
      </c>
      <c r="D2401">
        <v>28.689523038440701</v>
      </c>
    </row>
    <row r="2402" spans="1:4" hidden="1" x14ac:dyDescent="0.3">
      <c r="A2402">
        <v>2400</v>
      </c>
      <c r="B2402" s="1" t="s">
        <v>2798</v>
      </c>
      <c r="C2402" t="s">
        <v>115</v>
      </c>
      <c r="D2402" s="1" t="s">
        <v>2799</v>
      </c>
    </row>
    <row r="2403" spans="1:4" hidden="1" x14ac:dyDescent="0.3">
      <c r="A2403">
        <v>2401</v>
      </c>
      <c r="B2403" t="s">
        <v>2800</v>
      </c>
      <c r="C2403" t="s">
        <v>118</v>
      </c>
      <c r="D2403">
        <v>80025995.129740104</v>
      </c>
    </row>
    <row r="2404" spans="1:4" hidden="1" x14ac:dyDescent="0.3">
      <c r="A2404">
        <v>2402</v>
      </c>
      <c r="B2404" t="s">
        <v>2801</v>
      </c>
      <c r="C2404" t="s">
        <v>120</v>
      </c>
      <c r="D2404">
        <v>35009608.0079678</v>
      </c>
    </row>
    <row r="2405" spans="1:4" hidden="1" x14ac:dyDescent="0.3">
      <c r="A2405">
        <v>2403</v>
      </c>
      <c r="B2405" s="1" t="s">
        <v>2802</v>
      </c>
      <c r="C2405" t="s">
        <v>122</v>
      </c>
      <c r="D2405" s="1" t="s">
        <v>2803</v>
      </c>
    </row>
    <row r="2406" spans="1:4" hidden="1" x14ac:dyDescent="0.3">
      <c r="A2406">
        <v>2404</v>
      </c>
      <c r="B2406" t="s">
        <v>2804</v>
      </c>
      <c r="C2406" t="s">
        <v>125</v>
      </c>
      <c r="D2406">
        <v>0.80025387572824602</v>
      </c>
    </row>
    <row r="2407" spans="1:4" hidden="1" x14ac:dyDescent="0.3">
      <c r="A2407">
        <v>2405</v>
      </c>
      <c r="B2407" t="s">
        <v>2805</v>
      </c>
      <c r="C2407" t="s">
        <v>127</v>
      </c>
      <c r="D2407">
        <v>0.35009342215216099</v>
      </c>
    </row>
    <row r="2408" spans="1:4" hidden="1" x14ac:dyDescent="0.3">
      <c r="A2408">
        <v>2406</v>
      </c>
      <c r="B2408" s="1" t="s">
        <v>2806</v>
      </c>
      <c r="C2408" t="s">
        <v>129</v>
      </c>
      <c r="D2408" s="1" t="s">
        <v>2807</v>
      </c>
    </row>
    <row r="2409" spans="1:4" ht="72" x14ac:dyDescent="0.3">
      <c r="A2409">
        <v>2407</v>
      </c>
      <c r="B2409" s="1" t="s">
        <v>3</v>
      </c>
      <c r="C2409" t="s">
        <v>4</v>
      </c>
      <c r="D2409" t="s">
        <v>5</v>
      </c>
    </row>
    <row r="2410" spans="1:4" hidden="1" x14ac:dyDescent="0.3">
      <c r="A2410">
        <v>2408</v>
      </c>
      <c r="B2410" t="s">
        <v>6</v>
      </c>
      <c r="C2410" t="s">
        <v>7</v>
      </c>
      <c r="D2410">
        <v>1981.95</v>
      </c>
    </row>
    <row r="2411" spans="1:4" hidden="1" x14ac:dyDescent="0.3">
      <c r="A2411">
        <v>2409</v>
      </c>
      <c r="B2411" s="1" t="s">
        <v>131</v>
      </c>
      <c r="C2411" t="s">
        <v>9</v>
      </c>
      <c r="D2411" s="1" t="s">
        <v>132</v>
      </c>
    </row>
    <row r="2412" spans="1:4" hidden="1" x14ac:dyDescent="0.3">
      <c r="A2412">
        <v>2410</v>
      </c>
      <c r="B2412" t="s">
        <v>13</v>
      </c>
      <c r="C2412" t="s">
        <v>14</v>
      </c>
      <c r="D2412">
        <v>91.74609375</v>
      </c>
    </row>
    <row r="2413" spans="1:4" hidden="1" x14ac:dyDescent="0.3">
      <c r="A2413">
        <v>2411</v>
      </c>
      <c r="B2413" t="s">
        <v>15</v>
      </c>
      <c r="C2413" t="s">
        <v>16</v>
      </c>
      <c r="D2413">
        <v>4.1883572307132804</v>
      </c>
    </row>
    <row r="2414" spans="1:4" hidden="1" x14ac:dyDescent="0.3">
      <c r="A2414">
        <v>2412</v>
      </c>
      <c r="B2414" s="1" t="s">
        <v>133</v>
      </c>
      <c r="C2414" t="s">
        <v>134</v>
      </c>
      <c r="D2414" s="1" t="s">
        <v>135</v>
      </c>
    </row>
    <row r="2415" spans="1:4" hidden="1" x14ac:dyDescent="0.3">
      <c r="A2415">
        <v>2413</v>
      </c>
      <c r="B2415" t="s">
        <v>21</v>
      </c>
      <c r="C2415" t="s">
        <v>22</v>
      </c>
      <c r="D2415">
        <v>38.25</v>
      </c>
    </row>
    <row r="2416" spans="1:4" hidden="1" x14ac:dyDescent="0.3">
      <c r="A2416">
        <v>2414</v>
      </c>
      <c r="B2416" t="s">
        <v>2808</v>
      </c>
      <c r="C2416" t="s">
        <v>24</v>
      </c>
      <c r="D2416">
        <v>5.6856566268949598</v>
      </c>
    </row>
    <row r="2417" spans="1:4" hidden="1" x14ac:dyDescent="0.3">
      <c r="A2417">
        <v>2415</v>
      </c>
      <c r="B2417" s="1" t="s">
        <v>2809</v>
      </c>
      <c r="C2417" t="s">
        <v>138</v>
      </c>
      <c r="D2417" s="1" t="s">
        <v>2810</v>
      </c>
    </row>
    <row r="2418" spans="1:4" hidden="1" x14ac:dyDescent="0.3">
      <c r="A2418">
        <v>2416</v>
      </c>
      <c r="B2418" t="s">
        <v>2811</v>
      </c>
      <c r="C2418" t="s">
        <v>35</v>
      </c>
      <c r="D2418">
        <v>0.54500184267496599</v>
      </c>
    </row>
    <row r="2419" spans="1:4" hidden="1" x14ac:dyDescent="0.3">
      <c r="A2419">
        <v>2417</v>
      </c>
      <c r="B2419" t="s">
        <v>2812</v>
      </c>
      <c r="C2419" t="s">
        <v>142</v>
      </c>
      <c r="D2419">
        <v>0.69955801164925202</v>
      </c>
    </row>
    <row r="2420" spans="1:4" hidden="1" x14ac:dyDescent="0.3">
      <c r="A2420">
        <v>2418</v>
      </c>
      <c r="B2420" s="1" t="s">
        <v>2813</v>
      </c>
      <c r="C2420" t="s">
        <v>144</v>
      </c>
      <c r="D2420" s="1" t="s">
        <v>2814</v>
      </c>
    </row>
    <row r="2421" spans="1:4" hidden="1" x14ac:dyDescent="0.3">
      <c r="A2421">
        <v>2419</v>
      </c>
      <c r="B2421" t="s">
        <v>2815</v>
      </c>
      <c r="C2421" t="s">
        <v>30</v>
      </c>
      <c r="D2421">
        <v>0.192469887202461</v>
      </c>
    </row>
    <row r="2422" spans="1:4" hidden="1" x14ac:dyDescent="0.3">
      <c r="A2422">
        <v>2420</v>
      </c>
      <c r="B2422" t="s">
        <v>2816</v>
      </c>
      <c r="C2422" t="s">
        <v>32</v>
      </c>
      <c r="D2422">
        <v>0.23585427257638</v>
      </c>
    </row>
    <row r="2423" spans="1:4" hidden="1" x14ac:dyDescent="0.3">
      <c r="A2423">
        <v>2421</v>
      </c>
      <c r="B2423" s="1" t="s">
        <v>2817</v>
      </c>
      <c r="C2423" t="s">
        <v>148</v>
      </c>
      <c r="D2423" s="1" t="s">
        <v>2818</v>
      </c>
    </row>
    <row r="2424" spans="1:4" hidden="1" x14ac:dyDescent="0.3">
      <c r="A2424">
        <v>2422</v>
      </c>
      <c r="B2424" t="s">
        <v>2819</v>
      </c>
      <c r="C2424" t="s">
        <v>40</v>
      </c>
      <c r="D2424">
        <v>0.26252827012257202</v>
      </c>
    </row>
    <row r="2425" spans="1:4" hidden="1" x14ac:dyDescent="0.3">
      <c r="A2425">
        <v>2423</v>
      </c>
      <c r="B2425" t="s">
        <v>2820</v>
      </c>
      <c r="C2425" t="s">
        <v>42</v>
      </c>
      <c r="D2425">
        <v>0.19361974294155501</v>
      </c>
    </row>
    <row r="2426" spans="1:4" hidden="1" x14ac:dyDescent="0.3">
      <c r="A2426">
        <v>2424</v>
      </c>
      <c r="B2426" s="1" t="s">
        <v>2821</v>
      </c>
      <c r="C2426" t="s">
        <v>152</v>
      </c>
      <c r="D2426" s="1" t="s">
        <v>2822</v>
      </c>
    </row>
    <row r="2427" spans="1:4" hidden="1" x14ac:dyDescent="0.3">
      <c r="A2427">
        <v>2425</v>
      </c>
      <c r="B2427" t="s">
        <v>153</v>
      </c>
      <c r="C2427" t="s">
        <v>154</v>
      </c>
      <c r="D2427">
        <v>1</v>
      </c>
    </row>
    <row r="2428" spans="1:4" hidden="1" x14ac:dyDescent="0.3">
      <c r="A2428">
        <v>2426</v>
      </c>
      <c r="B2428" t="s">
        <v>155</v>
      </c>
      <c r="C2428" t="s">
        <v>156</v>
      </c>
      <c r="D2428">
        <v>1</v>
      </c>
    </row>
    <row r="2429" spans="1:4" hidden="1" x14ac:dyDescent="0.3">
      <c r="A2429">
        <v>2427</v>
      </c>
      <c r="B2429" s="1" t="s">
        <v>2823</v>
      </c>
      <c r="C2429" t="s">
        <v>158</v>
      </c>
      <c r="D2429" s="1" t="s">
        <v>2824</v>
      </c>
    </row>
    <row r="2430" spans="1:4" hidden="1" x14ac:dyDescent="0.3">
      <c r="A2430">
        <v>2428</v>
      </c>
      <c r="B2430" t="s">
        <v>2825</v>
      </c>
      <c r="C2430" t="s">
        <v>161</v>
      </c>
      <c r="D2430">
        <v>1.00114648909714</v>
      </c>
    </row>
    <row r="2431" spans="1:4" hidden="1" x14ac:dyDescent="0.3">
      <c r="A2431">
        <v>2429</v>
      </c>
      <c r="B2431" t="s">
        <v>2826</v>
      </c>
      <c r="C2431" t="s">
        <v>163</v>
      </c>
      <c r="D2431">
        <v>0.99821735953066904</v>
      </c>
    </row>
    <row r="2432" spans="1:4" hidden="1" x14ac:dyDescent="0.3">
      <c r="A2432">
        <v>2430</v>
      </c>
      <c r="B2432" s="1" t="s">
        <v>2827</v>
      </c>
      <c r="C2432" t="s">
        <v>165</v>
      </c>
      <c r="D2432" s="1" t="s">
        <v>2828</v>
      </c>
    </row>
    <row r="2433" spans="1:4" hidden="1" x14ac:dyDescent="0.3">
      <c r="A2433">
        <v>2431</v>
      </c>
      <c r="B2433" s="1" t="s">
        <v>2829</v>
      </c>
      <c r="C2433" t="s">
        <v>55</v>
      </c>
      <c r="D2433" s="1" t="s">
        <v>2830</v>
      </c>
    </row>
    <row r="2434" spans="1:4" hidden="1" x14ac:dyDescent="0.3">
      <c r="A2434">
        <v>2432</v>
      </c>
      <c r="B2434" s="1" t="s">
        <v>2831</v>
      </c>
      <c r="C2434" t="s">
        <v>52</v>
      </c>
      <c r="D2434" s="1" t="s">
        <v>2832</v>
      </c>
    </row>
    <row r="2435" spans="1:4" hidden="1" x14ac:dyDescent="0.3">
      <c r="A2435">
        <v>2433</v>
      </c>
      <c r="B2435" s="1" t="s">
        <v>2833</v>
      </c>
      <c r="C2435" t="s">
        <v>58</v>
      </c>
      <c r="D2435" s="1" t="s">
        <v>2834</v>
      </c>
    </row>
    <row r="2436" spans="1:4" hidden="1" x14ac:dyDescent="0.3">
      <c r="A2436">
        <v>2434</v>
      </c>
      <c r="B2436" t="s">
        <v>2835</v>
      </c>
      <c r="C2436" t="s">
        <v>60</v>
      </c>
      <c r="D2436">
        <v>149926352.215801</v>
      </c>
    </row>
    <row r="2437" spans="1:4" hidden="1" x14ac:dyDescent="0.3">
      <c r="A2437">
        <v>2435</v>
      </c>
      <c r="B2437" t="s">
        <v>2836</v>
      </c>
      <c r="C2437" t="s">
        <v>62</v>
      </c>
      <c r="D2437">
        <v>80025995.129740104</v>
      </c>
    </row>
    <row r="2438" spans="1:4" hidden="1" x14ac:dyDescent="0.3">
      <c r="A2438">
        <v>2436</v>
      </c>
      <c r="B2438" t="s">
        <v>2837</v>
      </c>
      <c r="C2438" t="s">
        <v>64</v>
      </c>
      <c r="D2438">
        <v>35009608.0079678</v>
      </c>
    </row>
    <row r="2439" spans="1:4" hidden="1" x14ac:dyDescent="0.3">
      <c r="A2439">
        <v>2437</v>
      </c>
      <c r="B2439" s="1" t="s">
        <v>2838</v>
      </c>
      <c r="C2439" t="s">
        <v>66</v>
      </c>
      <c r="D2439" s="1" t="s">
        <v>2839</v>
      </c>
    </row>
    <row r="2440" spans="1:4" hidden="1" x14ac:dyDescent="0.3">
      <c r="A2440">
        <v>2438</v>
      </c>
      <c r="B2440" s="1" t="s">
        <v>2840</v>
      </c>
      <c r="C2440" t="s">
        <v>69</v>
      </c>
      <c r="D2440" s="1" t="s">
        <v>2841</v>
      </c>
    </row>
    <row r="2441" spans="1:4" hidden="1" x14ac:dyDescent="0.3">
      <c r="A2441">
        <v>2439</v>
      </c>
      <c r="B2441" t="s">
        <v>2842</v>
      </c>
      <c r="C2441" t="s">
        <v>72</v>
      </c>
      <c r="D2441">
        <v>1.00021808081677</v>
      </c>
    </row>
    <row r="2442" spans="1:4" hidden="1" x14ac:dyDescent="0.3">
      <c r="A2442">
        <v>2440</v>
      </c>
      <c r="B2442" t="s">
        <v>73</v>
      </c>
      <c r="C2442" t="s">
        <v>74</v>
      </c>
      <c r="D2442">
        <v>2.7397260273972599E-3</v>
      </c>
    </row>
    <row r="2443" spans="1:4" hidden="1" x14ac:dyDescent="0.3">
      <c r="A2443">
        <v>2441</v>
      </c>
      <c r="B2443" t="s">
        <v>75</v>
      </c>
      <c r="C2443" t="s">
        <v>76</v>
      </c>
      <c r="D2443">
        <v>0</v>
      </c>
    </row>
    <row r="2444" spans="1:4" hidden="1" x14ac:dyDescent="0.3">
      <c r="A2444">
        <v>2442</v>
      </c>
      <c r="B2444" t="s">
        <v>77</v>
      </c>
      <c r="C2444" t="s">
        <v>78</v>
      </c>
      <c r="D2444">
        <v>0</v>
      </c>
    </row>
    <row r="2445" spans="1:4" hidden="1" x14ac:dyDescent="0.3">
      <c r="A2445">
        <v>2443</v>
      </c>
      <c r="B2445" s="1" t="s">
        <v>2843</v>
      </c>
      <c r="C2445" t="s">
        <v>80</v>
      </c>
      <c r="D2445" s="1" t="s">
        <v>2844</v>
      </c>
    </row>
    <row r="2446" spans="1:4" hidden="1" x14ac:dyDescent="0.3">
      <c r="A2446">
        <v>2444</v>
      </c>
      <c r="B2446" t="s">
        <v>2845</v>
      </c>
      <c r="C2446" t="s">
        <v>83</v>
      </c>
      <c r="D2446">
        <v>1.0001797825230101</v>
      </c>
    </row>
    <row r="2447" spans="1:4" hidden="1" x14ac:dyDescent="0.3">
      <c r="A2447">
        <v>2445</v>
      </c>
      <c r="B2447" s="1" t="s">
        <v>2846</v>
      </c>
      <c r="C2447" t="s">
        <v>85</v>
      </c>
      <c r="D2447" s="1" t="s">
        <v>2847</v>
      </c>
    </row>
    <row r="2448" spans="1:4" hidden="1" x14ac:dyDescent="0.3">
      <c r="A2448">
        <v>2446</v>
      </c>
      <c r="B2448" t="s">
        <v>2848</v>
      </c>
      <c r="C2448" t="s">
        <v>88</v>
      </c>
      <c r="D2448">
        <v>99982024.979293004</v>
      </c>
    </row>
    <row r="2449" spans="1:4" hidden="1" x14ac:dyDescent="0.3">
      <c r="A2449">
        <v>2447</v>
      </c>
      <c r="B2449" s="1" t="s">
        <v>2849</v>
      </c>
      <c r="C2449" t="s">
        <v>90</v>
      </c>
      <c r="D2449" s="1" t="s">
        <v>2795</v>
      </c>
    </row>
    <row r="2450" spans="1:4" hidden="1" x14ac:dyDescent="0.3">
      <c r="A2450">
        <v>2448</v>
      </c>
      <c r="B2450" t="s">
        <v>2850</v>
      </c>
      <c r="C2450" t="s">
        <v>93</v>
      </c>
      <c r="D2450">
        <v>80025995.129740104</v>
      </c>
    </row>
    <row r="2451" spans="1:4" hidden="1" x14ac:dyDescent="0.3">
      <c r="A2451">
        <v>2449</v>
      </c>
      <c r="B2451" t="s">
        <v>2851</v>
      </c>
      <c r="C2451" t="s">
        <v>95</v>
      </c>
      <c r="D2451">
        <v>35009608.0079678</v>
      </c>
    </row>
    <row r="2452" spans="1:4" hidden="1" x14ac:dyDescent="0.3">
      <c r="A2452">
        <v>2450</v>
      </c>
      <c r="B2452" t="s">
        <v>2852</v>
      </c>
      <c r="C2452" t="s">
        <v>97</v>
      </c>
      <c r="D2452">
        <v>34890749.078093797</v>
      </c>
    </row>
    <row r="2453" spans="1:4" hidden="1" x14ac:dyDescent="0.3">
      <c r="A2453">
        <v>2451</v>
      </c>
      <c r="B2453" s="1" t="s">
        <v>2853</v>
      </c>
      <c r="C2453" t="s">
        <v>99</v>
      </c>
      <c r="D2453" s="1" t="s">
        <v>2854</v>
      </c>
    </row>
    <row r="2454" spans="1:4" hidden="1" x14ac:dyDescent="0.3">
      <c r="A2454">
        <v>2452</v>
      </c>
      <c r="B2454" t="s">
        <v>2855</v>
      </c>
      <c r="C2454" t="s">
        <v>102</v>
      </c>
      <c r="D2454">
        <v>8.6025324462933803E-3</v>
      </c>
    </row>
    <row r="2455" spans="1:4" hidden="1" x14ac:dyDescent="0.3">
      <c r="A2455">
        <v>2453</v>
      </c>
      <c r="B2455" t="s">
        <v>2856</v>
      </c>
      <c r="C2455" t="s">
        <v>104</v>
      </c>
      <c r="D2455">
        <v>1.54360918487263E-3</v>
      </c>
    </row>
    <row r="2456" spans="1:4" hidden="1" x14ac:dyDescent="0.3">
      <c r="A2456">
        <v>2454</v>
      </c>
      <c r="B2456" t="s">
        <v>2857</v>
      </c>
      <c r="C2456" t="s">
        <v>106</v>
      </c>
      <c r="D2456">
        <v>2.0927597532325499E-2</v>
      </c>
    </row>
    <row r="2457" spans="1:4" hidden="1" x14ac:dyDescent="0.3">
      <c r="A2457">
        <v>2455</v>
      </c>
      <c r="B2457" s="1" t="s">
        <v>2858</v>
      </c>
      <c r="C2457" t="s">
        <v>108</v>
      </c>
      <c r="D2457" s="1" t="s">
        <v>2859</v>
      </c>
    </row>
    <row r="2458" spans="1:4" hidden="1" x14ac:dyDescent="0.3">
      <c r="A2458">
        <v>2456</v>
      </c>
      <c r="B2458" t="s">
        <v>2860</v>
      </c>
      <c r="C2458" t="s">
        <v>196</v>
      </c>
      <c r="D2458">
        <v>149925033.03519601</v>
      </c>
    </row>
    <row r="2459" spans="1:4" hidden="1" x14ac:dyDescent="0.3">
      <c r="A2459">
        <v>2457</v>
      </c>
      <c r="B2459" t="s">
        <v>2861</v>
      </c>
      <c r="C2459" t="s">
        <v>198</v>
      </c>
      <c r="D2459">
        <v>3064.1516984753698</v>
      </c>
    </row>
    <row r="2460" spans="1:4" hidden="1" x14ac:dyDescent="0.3">
      <c r="A2460">
        <v>2458</v>
      </c>
      <c r="B2460" t="s">
        <v>2862</v>
      </c>
      <c r="C2460" t="s">
        <v>200</v>
      </c>
      <c r="D2460">
        <v>1340.5100403516799</v>
      </c>
    </row>
    <row r="2461" spans="1:4" hidden="1" x14ac:dyDescent="0.3">
      <c r="A2461">
        <v>2459</v>
      </c>
      <c r="B2461" s="1" t="s">
        <v>2863</v>
      </c>
      <c r="C2461" t="s">
        <v>202</v>
      </c>
      <c r="D2461" s="1" t="s">
        <v>2864</v>
      </c>
    </row>
    <row r="2462" spans="1:4" hidden="1" x14ac:dyDescent="0.3">
      <c r="A2462">
        <v>2460</v>
      </c>
      <c r="B2462" t="s">
        <v>2865</v>
      </c>
      <c r="C2462" t="s">
        <v>205</v>
      </c>
      <c r="D2462">
        <v>80021909.040231705</v>
      </c>
    </row>
    <row r="2463" spans="1:4" hidden="1" x14ac:dyDescent="0.3">
      <c r="A2463">
        <v>2461</v>
      </c>
      <c r="B2463" t="s">
        <v>2866</v>
      </c>
      <c r="C2463" t="s">
        <v>207</v>
      </c>
      <c r="D2463">
        <v>35008114.177217104</v>
      </c>
    </row>
    <row r="2464" spans="1:4" hidden="1" x14ac:dyDescent="0.3">
      <c r="A2464">
        <v>2462</v>
      </c>
      <c r="B2464" t="s">
        <v>2867</v>
      </c>
      <c r="C2464" t="s">
        <v>209</v>
      </c>
      <c r="D2464">
        <v>34889269.196709797</v>
      </c>
    </row>
    <row r="2465" spans="1:4" hidden="1" x14ac:dyDescent="0.3">
      <c r="A2465">
        <v>2463</v>
      </c>
      <c r="B2465" s="1" t="s">
        <v>2868</v>
      </c>
      <c r="C2465" t="s">
        <v>211</v>
      </c>
      <c r="D2465" s="1" t="s">
        <v>2869</v>
      </c>
    </row>
    <row r="2466" spans="1:4" hidden="1" x14ac:dyDescent="0.3">
      <c r="A2466">
        <v>2464</v>
      </c>
      <c r="B2466" t="s">
        <v>2870</v>
      </c>
      <c r="C2466" t="s">
        <v>214</v>
      </c>
      <c r="D2466">
        <v>99978196.673209995</v>
      </c>
    </row>
    <row r="2467" spans="1:4" hidden="1" x14ac:dyDescent="0.3">
      <c r="A2467">
        <v>2465</v>
      </c>
      <c r="B2467" t="s">
        <v>2871</v>
      </c>
      <c r="C2467" t="s">
        <v>216</v>
      </c>
      <c r="D2467">
        <v>3828.3060829341398</v>
      </c>
    </row>
    <row r="2468" spans="1:4" hidden="1" x14ac:dyDescent="0.3">
      <c r="A2468">
        <v>2466</v>
      </c>
      <c r="B2468" s="1" t="s">
        <v>2872</v>
      </c>
      <c r="C2468" t="s">
        <v>218</v>
      </c>
      <c r="D2468" s="1" t="s">
        <v>2873</v>
      </c>
    </row>
    <row r="2469" spans="1:4" hidden="1" x14ac:dyDescent="0.3">
      <c r="A2469">
        <v>2467</v>
      </c>
      <c r="B2469" t="s">
        <v>2874</v>
      </c>
      <c r="C2469" t="s">
        <v>111</v>
      </c>
      <c r="D2469">
        <v>-1021.93780990382</v>
      </c>
    </row>
    <row r="2470" spans="1:4" hidden="1" x14ac:dyDescent="0.3">
      <c r="A2470">
        <v>2468</v>
      </c>
      <c r="B2470" t="s">
        <v>2875</v>
      </c>
      <c r="C2470" t="s">
        <v>113</v>
      </c>
      <c r="D2470">
        <v>-153.32071033041299</v>
      </c>
    </row>
    <row r="2471" spans="1:4" hidden="1" x14ac:dyDescent="0.3">
      <c r="A2471">
        <v>2469</v>
      </c>
      <c r="B2471" s="1" t="s">
        <v>2876</v>
      </c>
      <c r="C2471" t="s">
        <v>115</v>
      </c>
      <c r="D2471" s="1" t="s">
        <v>2877</v>
      </c>
    </row>
    <row r="2472" spans="1:4" hidden="1" x14ac:dyDescent="0.3">
      <c r="A2472">
        <v>2470</v>
      </c>
      <c r="B2472" t="s">
        <v>2878</v>
      </c>
      <c r="C2472" t="s">
        <v>118</v>
      </c>
      <c r="D2472">
        <v>80021909.040231705</v>
      </c>
    </row>
    <row r="2473" spans="1:4" hidden="1" x14ac:dyDescent="0.3">
      <c r="A2473">
        <v>2471</v>
      </c>
      <c r="B2473" t="s">
        <v>2879</v>
      </c>
      <c r="C2473" t="s">
        <v>120</v>
      </c>
      <c r="D2473">
        <v>35008114.177217104</v>
      </c>
    </row>
    <row r="2474" spans="1:4" hidden="1" x14ac:dyDescent="0.3">
      <c r="A2474">
        <v>2472</v>
      </c>
      <c r="B2474" s="1" t="s">
        <v>2880</v>
      </c>
      <c r="C2474" t="s">
        <v>122</v>
      </c>
      <c r="D2474" s="1" t="s">
        <v>2881</v>
      </c>
    </row>
    <row r="2475" spans="1:4" hidden="1" x14ac:dyDescent="0.3">
      <c r="A2475">
        <v>2473</v>
      </c>
      <c r="B2475" t="s">
        <v>2882</v>
      </c>
      <c r="C2475" t="s">
        <v>125</v>
      </c>
      <c r="D2475">
        <v>0.80024973191930104</v>
      </c>
    </row>
    <row r="2476" spans="1:4" hidden="1" x14ac:dyDescent="0.3">
      <c r="A2476">
        <v>2474</v>
      </c>
      <c r="B2476" t="s">
        <v>2883</v>
      </c>
      <c r="C2476" t="s">
        <v>127</v>
      </c>
      <c r="D2476">
        <v>0.35009454687257502</v>
      </c>
    </row>
    <row r="2477" spans="1:4" hidden="1" x14ac:dyDescent="0.3">
      <c r="A2477">
        <v>2475</v>
      </c>
      <c r="B2477" s="1" t="s">
        <v>2884</v>
      </c>
      <c r="C2477" t="s">
        <v>129</v>
      </c>
      <c r="D2477" s="1" t="s">
        <v>2885</v>
      </c>
    </row>
    <row r="2478" spans="1:4" ht="72" x14ac:dyDescent="0.3">
      <c r="A2478">
        <v>2476</v>
      </c>
      <c r="B2478" s="1" t="s">
        <v>3</v>
      </c>
      <c r="C2478" t="s">
        <v>4</v>
      </c>
      <c r="D2478" t="s">
        <v>5</v>
      </c>
    </row>
    <row r="2479" spans="1:4" hidden="1" x14ac:dyDescent="0.3">
      <c r="A2479">
        <v>2477</v>
      </c>
      <c r="B2479" t="s">
        <v>6</v>
      </c>
      <c r="C2479" t="s">
        <v>7</v>
      </c>
      <c r="D2479">
        <v>1981.95</v>
      </c>
    </row>
    <row r="2480" spans="1:4" hidden="1" x14ac:dyDescent="0.3">
      <c r="A2480">
        <v>2478</v>
      </c>
      <c r="B2480" s="1" t="s">
        <v>131</v>
      </c>
      <c r="C2480" t="s">
        <v>9</v>
      </c>
      <c r="D2480" s="1" t="s">
        <v>132</v>
      </c>
    </row>
    <row r="2481" spans="1:4" hidden="1" x14ac:dyDescent="0.3">
      <c r="A2481">
        <v>2479</v>
      </c>
      <c r="B2481" t="s">
        <v>13</v>
      </c>
      <c r="C2481" t="s">
        <v>14</v>
      </c>
      <c r="D2481">
        <v>91.74609375</v>
      </c>
    </row>
    <row r="2482" spans="1:4" hidden="1" x14ac:dyDescent="0.3">
      <c r="A2482">
        <v>2480</v>
      </c>
      <c r="B2482" t="s">
        <v>15</v>
      </c>
      <c r="C2482" t="s">
        <v>16</v>
      </c>
      <c r="D2482">
        <v>4.1883572307132804</v>
      </c>
    </row>
    <row r="2483" spans="1:4" hidden="1" x14ac:dyDescent="0.3">
      <c r="A2483">
        <v>2481</v>
      </c>
      <c r="B2483" s="1" t="s">
        <v>133</v>
      </c>
      <c r="C2483" t="s">
        <v>134</v>
      </c>
      <c r="D2483" s="1" t="s">
        <v>135</v>
      </c>
    </row>
    <row r="2484" spans="1:4" hidden="1" x14ac:dyDescent="0.3">
      <c r="A2484">
        <v>2482</v>
      </c>
      <c r="B2484" t="s">
        <v>21</v>
      </c>
      <c r="C2484" t="s">
        <v>22</v>
      </c>
      <c r="D2484">
        <v>38.25</v>
      </c>
    </row>
    <row r="2485" spans="1:4" hidden="1" x14ac:dyDescent="0.3">
      <c r="A2485">
        <v>2483</v>
      </c>
      <c r="B2485" t="s">
        <v>2886</v>
      </c>
      <c r="C2485" t="s">
        <v>24</v>
      </c>
      <c r="D2485">
        <v>5.6727688387845401</v>
      </c>
    </row>
    <row r="2486" spans="1:4" hidden="1" x14ac:dyDescent="0.3">
      <c r="A2486">
        <v>2484</v>
      </c>
      <c r="B2486" s="1" t="s">
        <v>2887</v>
      </c>
      <c r="C2486" t="s">
        <v>138</v>
      </c>
      <c r="D2486" s="1" t="s">
        <v>2888</v>
      </c>
    </row>
    <row r="2487" spans="1:4" hidden="1" x14ac:dyDescent="0.3">
      <c r="A2487">
        <v>2485</v>
      </c>
      <c r="B2487" t="s">
        <v>2889</v>
      </c>
      <c r="C2487" t="s">
        <v>35</v>
      </c>
      <c r="D2487">
        <v>0.54430493214637898</v>
      </c>
    </row>
    <row r="2488" spans="1:4" hidden="1" x14ac:dyDescent="0.3">
      <c r="A2488">
        <v>2486</v>
      </c>
      <c r="B2488" t="s">
        <v>2890</v>
      </c>
      <c r="C2488" t="s">
        <v>142</v>
      </c>
      <c r="D2488">
        <v>0.70127276217509704</v>
      </c>
    </row>
    <row r="2489" spans="1:4" hidden="1" x14ac:dyDescent="0.3">
      <c r="A2489">
        <v>2487</v>
      </c>
      <c r="B2489" s="1" t="s">
        <v>2891</v>
      </c>
      <c r="C2489" t="s">
        <v>144</v>
      </c>
      <c r="D2489" s="1" t="s">
        <v>2892</v>
      </c>
    </row>
    <row r="2490" spans="1:4" hidden="1" x14ac:dyDescent="0.3">
      <c r="A2490">
        <v>2488</v>
      </c>
      <c r="B2490" t="s">
        <v>2893</v>
      </c>
      <c r="C2490" t="s">
        <v>30</v>
      </c>
      <c r="D2490">
        <v>0.19222377006977501</v>
      </c>
    </row>
    <row r="2491" spans="1:4" hidden="1" x14ac:dyDescent="0.3">
      <c r="A2491">
        <v>2489</v>
      </c>
      <c r="B2491" t="s">
        <v>2894</v>
      </c>
      <c r="C2491" t="s">
        <v>32</v>
      </c>
      <c r="D2491">
        <v>0.23382736009980401</v>
      </c>
    </row>
    <row r="2492" spans="1:4" hidden="1" x14ac:dyDescent="0.3">
      <c r="A2492">
        <v>2490</v>
      </c>
      <c r="B2492" s="1" t="s">
        <v>2895</v>
      </c>
      <c r="C2492" t="s">
        <v>148</v>
      </c>
      <c r="D2492" s="1" t="s">
        <v>2896</v>
      </c>
    </row>
    <row r="2493" spans="1:4" hidden="1" x14ac:dyDescent="0.3">
      <c r="A2493">
        <v>2491</v>
      </c>
      <c r="B2493" t="s">
        <v>2897</v>
      </c>
      <c r="C2493" t="s">
        <v>40</v>
      </c>
      <c r="D2493">
        <v>0.26347129778384498</v>
      </c>
    </row>
    <row r="2494" spans="1:4" hidden="1" x14ac:dyDescent="0.3">
      <c r="A2494">
        <v>2492</v>
      </c>
      <c r="B2494" t="s">
        <v>2898</v>
      </c>
      <c r="C2494" t="s">
        <v>42</v>
      </c>
      <c r="D2494">
        <v>0.192151308882514</v>
      </c>
    </row>
    <row r="2495" spans="1:4" hidden="1" x14ac:dyDescent="0.3">
      <c r="A2495">
        <v>2493</v>
      </c>
      <c r="B2495" s="1" t="s">
        <v>2899</v>
      </c>
      <c r="C2495" t="s">
        <v>152</v>
      </c>
      <c r="D2495" s="1" t="s">
        <v>2900</v>
      </c>
    </row>
    <row r="2496" spans="1:4" hidden="1" x14ac:dyDescent="0.3">
      <c r="A2496">
        <v>2494</v>
      </c>
      <c r="B2496" t="s">
        <v>153</v>
      </c>
      <c r="C2496" t="s">
        <v>154</v>
      </c>
      <c r="D2496">
        <v>1</v>
      </c>
    </row>
    <row r="2497" spans="1:4" hidden="1" x14ac:dyDescent="0.3">
      <c r="A2497">
        <v>2495</v>
      </c>
      <c r="B2497" t="s">
        <v>155</v>
      </c>
      <c r="C2497" t="s">
        <v>156</v>
      </c>
      <c r="D2497">
        <v>1</v>
      </c>
    </row>
    <row r="2498" spans="1:4" hidden="1" x14ac:dyDescent="0.3">
      <c r="A2498">
        <v>2496</v>
      </c>
      <c r="B2498" s="1" t="s">
        <v>2901</v>
      </c>
      <c r="C2498" t="s">
        <v>158</v>
      </c>
      <c r="D2498" s="1" t="s">
        <v>2902</v>
      </c>
    </row>
    <row r="2499" spans="1:4" hidden="1" x14ac:dyDescent="0.3">
      <c r="A2499">
        <v>2497</v>
      </c>
      <c r="B2499" t="s">
        <v>2903</v>
      </c>
      <c r="C2499" t="s">
        <v>161</v>
      </c>
      <c r="D2499">
        <v>1.0010089390971599</v>
      </c>
    </row>
    <row r="2500" spans="1:4" hidden="1" x14ac:dyDescent="0.3">
      <c r="A2500">
        <v>2498</v>
      </c>
      <c r="B2500" t="s">
        <v>2904</v>
      </c>
      <c r="C2500" t="s">
        <v>163</v>
      </c>
      <c r="D2500">
        <v>0.99835990980364397</v>
      </c>
    </row>
    <row r="2501" spans="1:4" hidden="1" x14ac:dyDescent="0.3">
      <c r="A2501">
        <v>2499</v>
      </c>
      <c r="B2501" s="1" t="s">
        <v>2905</v>
      </c>
      <c r="C2501" t="s">
        <v>165</v>
      </c>
      <c r="D2501" s="1" t="s">
        <v>2906</v>
      </c>
    </row>
    <row r="2502" spans="1:4" hidden="1" x14ac:dyDescent="0.3">
      <c r="A2502">
        <v>2500</v>
      </c>
      <c r="B2502" s="1" t="s">
        <v>2907</v>
      </c>
      <c r="C2502" t="s">
        <v>55</v>
      </c>
      <c r="D2502" s="1" t="s">
        <v>2908</v>
      </c>
    </row>
    <row r="2503" spans="1:4" hidden="1" x14ac:dyDescent="0.3">
      <c r="A2503">
        <v>2501</v>
      </c>
      <c r="B2503" s="1" t="s">
        <v>2909</v>
      </c>
      <c r="C2503" t="s">
        <v>52</v>
      </c>
      <c r="D2503" s="1" t="s">
        <v>2910</v>
      </c>
    </row>
    <row r="2504" spans="1:4" hidden="1" x14ac:dyDescent="0.3">
      <c r="A2504">
        <v>2502</v>
      </c>
      <c r="B2504" s="1" t="s">
        <v>2911</v>
      </c>
      <c r="C2504" t="s">
        <v>58</v>
      </c>
      <c r="D2504" s="1" t="s">
        <v>2912</v>
      </c>
    </row>
    <row r="2505" spans="1:4" hidden="1" x14ac:dyDescent="0.3">
      <c r="A2505">
        <v>2503</v>
      </c>
      <c r="B2505" t="s">
        <v>2913</v>
      </c>
      <c r="C2505" t="s">
        <v>60</v>
      </c>
      <c r="D2505">
        <v>149909058.23210099</v>
      </c>
    </row>
    <row r="2506" spans="1:4" hidden="1" x14ac:dyDescent="0.3">
      <c r="A2506">
        <v>2504</v>
      </c>
      <c r="B2506" t="s">
        <v>2914</v>
      </c>
      <c r="C2506" t="s">
        <v>62</v>
      </c>
      <c r="D2506">
        <v>80021909.040231705</v>
      </c>
    </row>
    <row r="2507" spans="1:4" hidden="1" x14ac:dyDescent="0.3">
      <c r="A2507">
        <v>2505</v>
      </c>
      <c r="B2507" t="s">
        <v>2915</v>
      </c>
      <c r="C2507" t="s">
        <v>64</v>
      </c>
      <c r="D2507">
        <v>35008114.177217104</v>
      </c>
    </row>
    <row r="2508" spans="1:4" hidden="1" x14ac:dyDescent="0.3">
      <c r="A2508">
        <v>2506</v>
      </c>
      <c r="B2508" s="1" t="s">
        <v>2916</v>
      </c>
      <c r="C2508" t="s">
        <v>66</v>
      </c>
      <c r="D2508" s="1" t="s">
        <v>2917</v>
      </c>
    </row>
    <row r="2509" spans="1:4" hidden="1" x14ac:dyDescent="0.3">
      <c r="A2509">
        <v>2507</v>
      </c>
      <c r="B2509" s="1" t="s">
        <v>2918</v>
      </c>
      <c r="C2509" t="s">
        <v>69</v>
      </c>
      <c r="D2509" s="1" t="s">
        <v>2919</v>
      </c>
    </row>
    <row r="2510" spans="1:4" hidden="1" x14ac:dyDescent="0.3">
      <c r="A2510">
        <v>2508</v>
      </c>
      <c r="B2510" t="s">
        <v>2920</v>
      </c>
      <c r="C2510" t="s">
        <v>72</v>
      </c>
      <c r="D2510">
        <v>1.0001797825230101</v>
      </c>
    </row>
    <row r="2511" spans="1:4" hidden="1" x14ac:dyDescent="0.3">
      <c r="A2511">
        <v>2509</v>
      </c>
      <c r="B2511" t="s">
        <v>73</v>
      </c>
      <c r="C2511" t="s">
        <v>74</v>
      </c>
      <c r="D2511">
        <v>2.7397260273972599E-3</v>
      </c>
    </row>
    <row r="2512" spans="1:4" hidden="1" x14ac:dyDescent="0.3">
      <c r="A2512">
        <v>2510</v>
      </c>
      <c r="B2512" t="s">
        <v>75</v>
      </c>
      <c r="C2512" t="s">
        <v>76</v>
      </c>
      <c r="D2512">
        <v>0</v>
      </c>
    </row>
    <row r="2513" spans="1:4" hidden="1" x14ac:dyDescent="0.3">
      <c r="A2513">
        <v>2511</v>
      </c>
      <c r="B2513" t="s">
        <v>77</v>
      </c>
      <c r="C2513" t="s">
        <v>78</v>
      </c>
      <c r="D2513">
        <v>0</v>
      </c>
    </row>
    <row r="2514" spans="1:4" hidden="1" x14ac:dyDescent="0.3">
      <c r="A2514">
        <v>2512</v>
      </c>
      <c r="B2514" s="1" t="s">
        <v>2921</v>
      </c>
      <c r="C2514" t="s">
        <v>80</v>
      </c>
      <c r="D2514" s="1" t="s">
        <v>2922</v>
      </c>
    </row>
    <row r="2515" spans="1:4" hidden="1" x14ac:dyDescent="0.3">
      <c r="A2515">
        <v>2513</v>
      </c>
      <c r="B2515" t="s">
        <v>2923</v>
      </c>
      <c r="C2515" t="s">
        <v>83</v>
      </c>
      <c r="D2515">
        <v>1.00017897424258</v>
      </c>
    </row>
    <row r="2516" spans="1:4" hidden="1" x14ac:dyDescent="0.3">
      <c r="A2516">
        <v>2514</v>
      </c>
      <c r="B2516" s="1" t="s">
        <v>2924</v>
      </c>
      <c r="C2516" t="s">
        <v>85</v>
      </c>
      <c r="D2516" s="1" t="s">
        <v>2925</v>
      </c>
    </row>
    <row r="2517" spans="1:4" hidden="1" x14ac:dyDescent="0.3">
      <c r="A2517">
        <v>2515</v>
      </c>
      <c r="B2517" t="s">
        <v>2926</v>
      </c>
      <c r="C2517" t="s">
        <v>88</v>
      </c>
      <c r="D2517">
        <v>99982105.778346404</v>
      </c>
    </row>
    <row r="2518" spans="1:4" hidden="1" x14ac:dyDescent="0.3">
      <c r="A2518">
        <v>2516</v>
      </c>
      <c r="B2518" s="1" t="s">
        <v>2927</v>
      </c>
      <c r="C2518" t="s">
        <v>90</v>
      </c>
      <c r="D2518" s="1" t="s">
        <v>2873</v>
      </c>
    </row>
    <row r="2519" spans="1:4" hidden="1" x14ac:dyDescent="0.3">
      <c r="A2519">
        <v>2517</v>
      </c>
      <c r="B2519" t="s">
        <v>2928</v>
      </c>
      <c r="C2519" t="s">
        <v>93</v>
      </c>
      <c r="D2519">
        <v>80021909.040231705</v>
      </c>
    </row>
    <row r="2520" spans="1:4" hidden="1" x14ac:dyDescent="0.3">
      <c r="A2520">
        <v>2518</v>
      </c>
      <c r="B2520" t="s">
        <v>2929</v>
      </c>
      <c r="C2520" t="s">
        <v>95</v>
      </c>
      <c r="D2520">
        <v>35008114.177217104</v>
      </c>
    </row>
    <row r="2521" spans="1:4" hidden="1" x14ac:dyDescent="0.3">
      <c r="A2521">
        <v>2519</v>
      </c>
      <c r="B2521" t="s">
        <v>2930</v>
      </c>
      <c r="C2521" t="s">
        <v>97</v>
      </c>
      <c r="D2521">
        <v>34879035.014652297</v>
      </c>
    </row>
    <row r="2522" spans="1:4" hidden="1" x14ac:dyDescent="0.3">
      <c r="A2522">
        <v>2520</v>
      </c>
      <c r="B2522" s="1" t="s">
        <v>2931</v>
      </c>
      <c r="C2522" t="s">
        <v>99</v>
      </c>
      <c r="D2522" s="1" t="s">
        <v>2932</v>
      </c>
    </row>
    <row r="2523" spans="1:4" hidden="1" x14ac:dyDescent="0.3">
      <c r="A2523">
        <v>2521</v>
      </c>
      <c r="B2523" t="s">
        <v>2933</v>
      </c>
      <c r="C2523" t="s">
        <v>102</v>
      </c>
      <c r="D2523">
        <v>8.6415734466200999E-3</v>
      </c>
    </row>
    <row r="2524" spans="1:4" hidden="1" x14ac:dyDescent="0.3">
      <c r="A2524">
        <v>2522</v>
      </c>
      <c r="B2524" t="s">
        <v>2934</v>
      </c>
      <c r="C2524" t="s">
        <v>104</v>
      </c>
      <c r="D2524">
        <v>1.54308485209045E-3</v>
      </c>
    </row>
    <row r="2525" spans="1:4" hidden="1" x14ac:dyDescent="0.3">
      <c r="A2525">
        <v>2523</v>
      </c>
      <c r="B2525" t="s">
        <v>2935</v>
      </c>
      <c r="C2525" t="s">
        <v>106</v>
      </c>
      <c r="D2525">
        <v>2.1087484851731599E-2</v>
      </c>
    </row>
    <row r="2526" spans="1:4" hidden="1" x14ac:dyDescent="0.3">
      <c r="A2526">
        <v>2524</v>
      </c>
      <c r="B2526" s="1" t="s">
        <v>2936</v>
      </c>
      <c r="C2526" t="s">
        <v>108</v>
      </c>
      <c r="D2526" s="1" t="s">
        <v>2937</v>
      </c>
    </row>
    <row r="2527" spans="1:4" hidden="1" x14ac:dyDescent="0.3">
      <c r="A2527">
        <v>2525</v>
      </c>
      <c r="B2527" t="s">
        <v>2938</v>
      </c>
      <c r="C2527" t="s">
        <v>196</v>
      </c>
      <c r="D2527">
        <v>149909030.3917</v>
      </c>
    </row>
    <row r="2528" spans="1:4" hidden="1" x14ac:dyDescent="0.3">
      <c r="A2528">
        <v>2526</v>
      </c>
      <c r="B2528" t="s">
        <v>2939</v>
      </c>
      <c r="C2528" t="s">
        <v>198</v>
      </c>
      <c r="D2528">
        <v>64.6684995146002</v>
      </c>
    </row>
    <row r="2529" spans="1:4" hidden="1" x14ac:dyDescent="0.3">
      <c r="A2529">
        <v>2527</v>
      </c>
      <c r="B2529" t="s">
        <v>2940</v>
      </c>
      <c r="C2529" t="s">
        <v>200</v>
      </c>
      <c r="D2529">
        <v>28.291284759341799</v>
      </c>
    </row>
    <row r="2530" spans="1:4" hidden="1" x14ac:dyDescent="0.3">
      <c r="A2530">
        <v>2528</v>
      </c>
      <c r="B2530" s="1" t="s">
        <v>2941</v>
      </c>
      <c r="C2530" t="s">
        <v>202</v>
      </c>
      <c r="D2530" s="1" t="s">
        <v>2942</v>
      </c>
    </row>
    <row r="2531" spans="1:4" hidden="1" x14ac:dyDescent="0.3">
      <c r="A2531">
        <v>2529</v>
      </c>
      <c r="B2531" t="s">
        <v>2943</v>
      </c>
      <c r="C2531" t="s">
        <v>205</v>
      </c>
      <c r="D2531">
        <v>80021822.802465498</v>
      </c>
    </row>
    <row r="2532" spans="1:4" hidden="1" x14ac:dyDescent="0.3">
      <c r="A2532">
        <v>2530</v>
      </c>
      <c r="B2532" t="s">
        <v>2944</v>
      </c>
      <c r="C2532" t="s">
        <v>207</v>
      </c>
      <c r="D2532">
        <v>35008082.650116399</v>
      </c>
    </row>
    <row r="2533" spans="1:4" hidden="1" x14ac:dyDescent="0.3">
      <c r="A2533">
        <v>2531</v>
      </c>
      <c r="B2533" t="s">
        <v>2945</v>
      </c>
      <c r="C2533" t="s">
        <v>209</v>
      </c>
      <c r="D2533">
        <v>34879003.792362198</v>
      </c>
    </row>
    <row r="2534" spans="1:4" hidden="1" x14ac:dyDescent="0.3">
      <c r="A2534">
        <v>2532</v>
      </c>
      <c r="B2534" s="1" t="s">
        <v>2946</v>
      </c>
      <c r="C2534" t="s">
        <v>211</v>
      </c>
      <c r="D2534" s="1" t="s">
        <v>2947</v>
      </c>
    </row>
    <row r="2535" spans="1:4" hidden="1" x14ac:dyDescent="0.3">
      <c r="A2535">
        <v>2533</v>
      </c>
      <c r="B2535" t="s">
        <v>2948</v>
      </c>
      <c r="C2535" t="s">
        <v>214</v>
      </c>
      <c r="D2535">
        <v>99982024.979293004</v>
      </c>
    </row>
    <row r="2536" spans="1:4" hidden="1" x14ac:dyDescent="0.3">
      <c r="A2536">
        <v>2534</v>
      </c>
      <c r="B2536" t="s">
        <v>2949</v>
      </c>
      <c r="C2536" t="s">
        <v>216</v>
      </c>
      <c r="D2536">
        <v>80.7990534007549</v>
      </c>
    </row>
    <row r="2537" spans="1:4" hidden="1" x14ac:dyDescent="0.3">
      <c r="A2537">
        <v>2535</v>
      </c>
      <c r="B2537" s="1" t="s">
        <v>2950</v>
      </c>
      <c r="C2537" t="s">
        <v>218</v>
      </c>
      <c r="D2537" s="1" t="s">
        <v>2951</v>
      </c>
    </row>
    <row r="2538" spans="1:4" hidden="1" x14ac:dyDescent="0.3">
      <c r="A2538">
        <v>2536</v>
      </c>
      <c r="B2538" t="s">
        <v>2952</v>
      </c>
      <c r="C2538" t="s">
        <v>111</v>
      </c>
      <c r="D2538">
        <v>-21.5692667188424</v>
      </c>
    </row>
    <row r="2539" spans="1:4" hidden="1" x14ac:dyDescent="0.3">
      <c r="A2539">
        <v>2537</v>
      </c>
      <c r="B2539" t="s">
        <v>2953</v>
      </c>
      <c r="C2539" t="s">
        <v>113</v>
      </c>
      <c r="D2539">
        <v>-3.2358159268204001</v>
      </c>
    </row>
    <row r="2540" spans="1:4" hidden="1" x14ac:dyDescent="0.3">
      <c r="A2540">
        <v>2538</v>
      </c>
      <c r="B2540" s="1" t="s">
        <v>2954</v>
      </c>
      <c r="C2540" t="s">
        <v>115</v>
      </c>
      <c r="D2540" s="1" t="s">
        <v>2955</v>
      </c>
    </row>
    <row r="2541" spans="1:4" hidden="1" x14ac:dyDescent="0.3">
      <c r="A2541">
        <v>2539</v>
      </c>
      <c r="B2541" t="s">
        <v>2956</v>
      </c>
      <c r="C2541" t="s">
        <v>118</v>
      </c>
      <c r="D2541">
        <v>80021822.802465498</v>
      </c>
    </row>
    <row r="2542" spans="1:4" hidden="1" x14ac:dyDescent="0.3">
      <c r="A2542">
        <v>2540</v>
      </c>
      <c r="B2542" t="s">
        <v>2957</v>
      </c>
      <c r="C2542" t="s">
        <v>120</v>
      </c>
      <c r="D2542">
        <v>35008082.650116399</v>
      </c>
    </row>
    <row r="2543" spans="1:4" hidden="1" x14ac:dyDescent="0.3">
      <c r="A2543">
        <v>2541</v>
      </c>
      <c r="B2543" s="1" t="s">
        <v>2958</v>
      </c>
      <c r="C2543" t="s">
        <v>122</v>
      </c>
      <c r="D2543" s="1" t="s">
        <v>2959</v>
      </c>
    </row>
    <row r="2544" spans="1:4" hidden="1" x14ac:dyDescent="0.3">
      <c r="A2544">
        <v>2542</v>
      </c>
      <c r="B2544" t="s">
        <v>2960</v>
      </c>
      <c r="C2544" t="s">
        <v>125</v>
      </c>
      <c r="D2544">
        <v>0.80021887470965003</v>
      </c>
    </row>
    <row r="2545" spans="1:4" hidden="1" x14ac:dyDescent="0.3">
      <c r="A2545">
        <v>2543</v>
      </c>
      <c r="B2545" t="s">
        <v>2961</v>
      </c>
      <c r="C2545" t="s">
        <v>127</v>
      </c>
      <c r="D2545">
        <v>0.35008110941401199</v>
      </c>
    </row>
    <row r="2546" spans="1:4" hidden="1" x14ac:dyDescent="0.3">
      <c r="A2546">
        <v>2544</v>
      </c>
      <c r="B2546" s="1" t="s">
        <v>2962</v>
      </c>
      <c r="C2546" t="s">
        <v>129</v>
      </c>
      <c r="D2546" s="1" t="s">
        <v>2963</v>
      </c>
    </row>
    <row r="2547" spans="1:4" ht="72" x14ac:dyDescent="0.3">
      <c r="A2547">
        <v>2545</v>
      </c>
      <c r="B2547" s="1" t="s">
        <v>3</v>
      </c>
      <c r="C2547" t="s">
        <v>4</v>
      </c>
      <c r="D2547" t="s">
        <v>5</v>
      </c>
    </row>
    <row r="2548" spans="1:4" hidden="1" x14ac:dyDescent="0.3">
      <c r="A2548">
        <v>2546</v>
      </c>
      <c r="B2548" t="s">
        <v>6</v>
      </c>
      <c r="C2548" t="s">
        <v>7</v>
      </c>
      <c r="D2548">
        <v>1981.95</v>
      </c>
    </row>
    <row r="2549" spans="1:4" hidden="1" x14ac:dyDescent="0.3">
      <c r="A2549">
        <v>2547</v>
      </c>
      <c r="B2549" s="1" t="s">
        <v>131</v>
      </c>
      <c r="C2549" t="s">
        <v>9</v>
      </c>
      <c r="D2549" s="1" t="s">
        <v>132</v>
      </c>
    </row>
    <row r="2550" spans="1:4" hidden="1" x14ac:dyDescent="0.3">
      <c r="A2550">
        <v>2548</v>
      </c>
      <c r="B2550" t="s">
        <v>13</v>
      </c>
      <c r="C2550" t="s">
        <v>14</v>
      </c>
      <c r="D2550">
        <v>91.74609375</v>
      </c>
    </row>
    <row r="2551" spans="1:4" hidden="1" x14ac:dyDescent="0.3">
      <c r="A2551">
        <v>2549</v>
      </c>
      <c r="B2551" t="s">
        <v>15</v>
      </c>
      <c r="C2551" t="s">
        <v>16</v>
      </c>
      <c r="D2551">
        <v>4.1883572307132804</v>
      </c>
    </row>
    <row r="2552" spans="1:4" hidden="1" x14ac:dyDescent="0.3">
      <c r="A2552">
        <v>2550</v>
      </c>
      <c r="B2552" s="1" t="s">
        <v>133</v>
      </c>
      <c r="C2552" t="s">
        <v>134</v>
      </c>
      <c r="D2552" s="1" t="s">
        <v>135</v>
      </c>
    </row>
    <row r="2553" spans="1:4" hidden="1" x14ac:dyDescent="0.3">
      <c r="A2553">
        <v>2551</v>
      </c>
      <c r="B2553" t="s">
        <v>21</v>
      </c>
      <c r="C2553" t="s">
        <v>22</v>
      </c>
      <c r="D2553">
        <v>38.25</v>
      </c>
    </row>
    <row r="2554" spans="1:4" hidden="1" x14ac:dyDescent="0.3">
      <c r="A2554">
        <v>2552</v>
      </c>
      <c r="B2554" t="s">
        <v>2964</v>
      </c>
      <c r="C2554" t="s">
        <v>24</v>
      </c>
      <c r="D2554">
        <v>5.6599457489672096</v>
      </c>
    </row>
    <row r="2555" spans="1:4" hidden="1" x14ac:dyDescent="0.3">
      <c r="A2555">
        <v>2553</v>
      </c>
      <c r="B2555" s="1" t="s">
        <v>2965</v>
      </c>
      <c r="C2555" t="s">
        <v>138</v>
      </c>
      <c r="D2555" s="1" t="s">
        <v>2966</v>
      </c>
    </row>
    <row r="2556" spans="1:4" hidden="1" x14ac:dyDescent="0.3">
      <c r="A2556">
        <v>2554</v>
      </c>
      <c r="B2556" t="s">
        <v>2967</v>
      </c>
      <c r="C2556" t="s">
        <v>35</v>
      </c>
      <c r="D2556">
        <v>0.55077389545605304</v>
      </c>
    </row>
    <row r="2557" spans="1:4" hidden="1" x14ac:dyDescent="0.3">
      <c r="A2557">
        <v>2555</v>
      </c>
      <c r="B2557" t="s">
        <v>2968</v>
      </c>
      <c r="C2557" t="s">
        <v>142</v>
      </c>
      <c r="D2557">
        <v>0.70130084288071604</v>
      </c>
    </row>
    <row r="2558" spans="1:4" hidden="1" x14ac:dyDescent="0.3">
      <c r="A2558">
        <v>2556</v>
      </c>
      <c r="B2558" s="1" t="s">
        <v>2969</v>
      </c>
      <c r="C2558" t="s">
        <v>144</v>
      </c>
      <c r="D2558" s="1" t="s">
        <v>2970</v>
      </c>
    </row>
    <row r="2559" spans="1:4" hidden="1" x14ac:dyDescent="0.3">
      <c r="A2559">
        <v>2557</v>
      </c>
      <c r="B2559" t="s">
        <v>2971</v>
      </c>
      <c r="C2559" t="s">
        <v>30</v>
      </c>
      <c r="D2559">
        <v>0.19450831397593699</v>
      </c>
    </row>
    <row r="2560" spans="1:4" hidden="1" x14ac:dyDescent="0.3">
      <c r="A2560">
        <v>2558</v>
      </c>
      <c r="B2560" t="s">
        <v>2972</v>
      </c>
      <c r="C2560" t="s">
        <v>32</v>
      </c>
      <c r="D2560">
        <v>0.23301249967510501</v>
      </c>
    </row>
    <row r="2561" spans="1:4" hidden="1" x14ac:dyDescent="0.3">
      <c r="A2561">
        <v>2559</v>
      </c>
      <c r="B2561" s="1" t="s">
        <v>2973</v>
      </c>
      <c r="C2561" t="s">
        <v>148</v>
      </c>
      <c r="D2561" s="1" t="s">
        <v>2974</v>
      </c>
    </row>
    <row r="2562" spans="1:4" hidden="1" x14ac:dyDescent="0.3">
      <c r="A2562">
        <v>2560</v>
      </c>
      <c r="B2562" t="s">
        <v>2975</v>
      </c>
      <c r="C2562" t="s">
        <v>40</v>
      </c>
      <c r="D2562">
        <v>0.25471779056800897</v>
      </c>
    </row>
    <row r="2563" spans="1:4" hidden="1" x14ac:dyDescent="0.3">
      <c r="A2563">
        <v>2561</v>
      </c>
      <c r="B2563" t="s">
        <v>2976</v>
      </c>
      <c r="C2563" t="s">
        <v>42</v>
      </c>
      <c r="D2563">
        <v>0.192909071860905</v>
      </c>
    </row>
    <row r="2564" spans="1:4" hidden="1" x14ac:dyDescent="0.3">
      <c r="A2564">
        <v>2562</v>
      </c>
      <c r="B2564" s="1" t="s">
        <v>2977</v>
      </c>
      <c r="C2564" t="s">
        <v>152</v>
      </c>
      <c r="D2564" s="1" t="s">
        <v>2978</v>
      </c>
    </row>
    <row r="2565" spans="1:4" hidden="1" x14ac:dyDescent="0.3">
      <c r="A2565">
        <v>2563</v>
      </c>
      <c r="B2565" t="s">
        <v>153</v>
      </c>
      <c r="C2565" t="s">
        <v>154</v>
      </c>
      <c r="D2565">
        <v>1</v>
      </c>
    </row>
    <row r="2566" spans="1:4" hidden="1" x14ac:dyDescent="0.3">
      <c r="A2566">
        <v>2564</v>
      </c>
      <c r="B2566" t="s">
        <v>155</v>
      </c>
      <c r="C2566" t="s">
        <v>156</v>
      </c>
      <c r="D2566">
        <v>1</v>
      </c>
    </row>
    <row r="2567" spans="1:4" hidden="1" x14ac:dyDescent="0.3">
      <c r="A2567">
        <v>2565</v>
      </c>
      <c r="B2567" s="1" t="s">
        <v>2979</v>
      </c>
      <c r="C2567" t="s">
        <v>158</v>
      </c>
      <c r="D2567" s="1" t="s">
        <v>2980</v>
      </c>
    </row>
    <row r="2568" spans="1:4" hidden="1" x14ac:dyDescent="0.3">
      <c r="A2568">
        <v>2566</v>
      </c>
      <c r="B2568" t="s">
        <v>2981</v>
      </c>
      <c r="C2568" t="s">
        <v>161</v>
      </c>
      <c r="D2568">
        <v>1.00001650570457</v>
      </c>
    </row>
    <row r="2569" spans="1:4" hidden="1" x14ac:dyDescent="0.3">
      <c r="A2569">
        <v>2567</v>
      </c>
      <c r="B2569" t="s">
        <v>2982</v>
      </c>
      <c r="C2569" t="s">
        <v>163</v>
      </c>
      <c r="D2569">
        <v>0.99933956690291503</v>
      </c>
    </row>
    <row r="2570" spans="1:4" hidden="1" x14ac:dyDescent="0.3">
      <c r="A2570">
        <v>2568</v>
      </c>
      <c r="B2570" s="1" t="s">
        <v>2983</v>
      </c>
      <c r="C2570" t="s">
        <v>165</v>
      </c>
      <c r="D2570" s="1" t="s">
        <v>2984</v>
      </c>
    </row>
    <row r="2571" spans="1:4" hidden="1" x14ac:dyDescent="0.3">
      <c r="A2571">
        <v>2569</v>
      </c>
      <c r="B2571" s="1" t="s">
        <v>2985</v>
      </c>
      <c r="C2571" t="s">
        <v>55</v>
      </c>
      <c r="D2571" s="1" t="s">
        <v>2986</v>
      </c>
    </row>
    <row r="2572" spans="1:4" hidden="1" x14ac:dyDescent="0.3">
      <c r="A2572">
        <v>2570</v>
      </c>
      <c r="B2572" s="1" t="s">
        <v>2987</v>
      </c>
      <c r="C2572" t="s">
        <v>52</v>
      </c>
      <c r="D2572" s="1" t="s">
        <v>2988</v>
      </c>
    </row>
    <row r="2573" spans="1:4" hidden="1" x14ac:dyDescent="0.3">
      <c r="A2573">
        <v>2571</v>
      </c>
      <c r="B2573" s="1" t="s">
        <v>2989</v>
      </c>
      <c r="C2573" t="s">
        <v>58</v>
      </c>
      <c r="D2573" s="1" t="s">
        <v>2990</v>
      </c>
    </row>
    <row r="2574" spans="1:4" hidden="1" x14ac:dyDescent="0.3">
      <c r="A2574">
        <v>2572</v>
      </c>
      <c r="B2574" t="s">
        <v>2991</v>
      </c>
      <c r="C2574" t="s">
        <v>60</v>
      </c>
      <c r="D2574">
        <v>149898726.448863</v>
      </c>
    </row>
    <row r="2575" spans="1:4" hidden="1" x14ac:dyDescent="0.3">
      <c r="A2575">
        <v>2573</v>
      </c>
      <c r="B2575" t="s">
        <v>2992</v>
      </c>
      <c r="C2575" t="s">
        <v>62</v>
      </c>
      <c r="D2575">
        <v>80021822.802465498</v>
      </c>
    </row>
    <row r="2576" spans="1:4" hidden="1" x14ac:dyDescent="0.3">
      <c r="A2576">
        <v>2574</v>
      </c>
      <c r="B2576" t="s">
        <v>2993</v>
      </c>
      <c r="C2576" t="s">
        <v>64</v>
      </c>
      <c r="D2576">
        <v>35008082.650116399</v>
      </c>
    </row>
    <row r="2577" spans="1:4" hidden="1" x14ac:dyDescent="0.3">
      <c r="A2577">
        <v>2575</v>
      </c>
      <c r="B2577" s="1" t="s">
        <v>2994</v>
      </c>
      <c r="C2577" t="s">
        <v>66</v>
      </c>
      <c r="D2577" s="1" t="s">
        <v>2995</v>
      </c>
    </row>
    <row r="2578" spans="1:4" hidden="1" x14ac:dyDescent="0.3">
      <c r="A2578">
        <v>2576</v>
      </c>
      <c r="B2578" s="1" t="s">
        <v>2996</v>
      </c>
      <c r="C2578" t="s">
        <v>69</v>
      </c>
      <c r="D2578" s="1" t="s">
        <v>2997</v>
      </c>
    </row>
    <row r="2579" spans="1:4" hidden="1" x14ac:dyDescent="0.3">
      <c r="A2579">
        <v>2577</v>
      </c>
      <c r="B2579" t="s">
        <v>2998</v>
      </c>
      <c r="C2579" t="s">
        <v>72</v>
      </c>
      <c r="D2579">
        <v>1.00017897424258</v>
      </c>
    </row>
    <row r="2580" spans="1:4" hidden="1" x14ac:dyDescent="0.3">
      <c r="A2580">
        <v>2578</v>
      </c>
      <c r="B2580" t="s">
        <v>73</v>
      </c>
      <c r="C2580" t="s">
        <v>74</v>
      </c>
      <c r="D2580">
        <v>2.7397260273972599E-3</v>
      </c>
    </row>
    <row r="2581" spans="1:4" hidden="1" x14ac:dyDescent="0.3">
      <c r="A2581">
        <v>2579</v>
      </c>
      <c r="B2581" t="s">
        <v>75</v>
      </c>
      <c r="C2581" t="s">
        <v>76</v>
      </c>
      <c r="D2581">
        <v>0</v>
      </c>
    </row>
    <row r="2582" spans="1:4" hidden="1" x14ac:dyDescent="0.3">
      <c r="A2582">
        <v>2580</v>
      </c>
      <c r="B2582" t="s">
        <v>2686</v>
      </c>
      <c r="C2582" t="s">
        <v>78</v>
      </c>
      <c r="D2582" s="2">
        <v>-2.2204460492503101E-16</v>
      </c>
    </row>
    <row r="2583" spans="1:4" hidden="1" x14ac:dyDescent="0.3">
      <c r="A2583">
        <v>2581</v>
      </c>
      <c r="B2583" s="1" t="s">
        <v>2999</v>
      </c>
      <c r="C2583" t="s">
        <v>80</v>
      </c>
      <c r="D2583" s="1" t="s">
        <v>3000</v>
      </c>
    </row>
    <row r="2584" spans="1:4" hidden="1" x14ac:dyDescent="0.3">
      <c r="A2584">
        <v>2582</v>
      </c>
      <c r="B2584" t="s">
        <v>3001</v>
      </c>
      <c r="C2584" t="s">
        <v>83</v>
      </c>
      <c r="D2584">
        <v>1.0001697822526101</v>
      </c>
    </row>
    <row r="2585" spans="1:4" hidden="1" x14ac:dyDescent="0.3">
      <c r="A2585">
        <v>2583</v>
      </c>
      <c r="B2585" s="1" t="s">
        <v>3002</v>
      </c>
      <c r="C2585" t="s">
        <v>85</v>
      </c>
      <c r="D2585" s="1" t="s">
        <v>3003</v>
      </c>
    </row>
    <row r="2586" spans="1:4" hidden="1" x14ac:dyDescent="0.3">
      <c r="A2586">
        <v>2584</v>
      </c>
      <c r="B2586" t="s">
        <v>3004</v>
      </c>
      <c r="C2586" t="s">
        <v>88</v>
      </c>
      <c r="D2586">
        <v>99983024.656850502</v>
      </c>
    </row>
    <row r="2587" spans="1:4" hidden="1" x14ac:dyDescent="0.3">
      <c r="A2587">
        <v>2585</v>
      </c>
      <c r="B2587" s="1" t="s">
        <v>3005</v>
      </c>
      <c r="C2587" t="s">
        <v>90</v>
      </c>
      <c r="D2587" s="1" t="s">
        <v>2951</v>
      </c>
    </row>
    <row r="2588" spans="1:4" hidden="1" x14ac:dyDescent="0.3">
      <c r="A2588">
        <v>2586</v>
      </c>
      <c r="B2588" t="s">
        <v>3006</v>
      </c>
      <c r="C2588" t="s">
        <v>93</v>
      </c>
      <c r="D2588">
        <v>80021822.802465498</v>
      </c>
    </row>
    <row r="2589" spans="1:4" hidden="1" x14ac:dyDescent="0.3">
      <c r="A2589">
        <v>2587</v>
      </c>
      <c r="B2589" t="s">
        <v>3007</v>
      </c>
      <c r="C2589" t="s">
        <v>95</v>
      </c>
      <c r="D2589">
        <v>35008082.650116399</v>
      </c>
    </row>
    <row r="2590" spans="1:4" hidden="1" x14ac:dyDescent="0.3">
      <c r="A2590">
        <v>2588</v>
      </c>
      <c r="B2590" t="s">
        <v>3008</v>
      </c>
      <c r="C2590" t="s">
        <v>97</v>
      </c>
      <c r="D2590">
        <v>34868820.996281803</v>
      </c>
    </row>
    <row r="2591" spans="1:4" hidden="1" x14ac:dyDescent="0.3">
      <c r="A2591">
        <v>2589</v>
      </c>
      <c r="B2591" s="1" t="s">
        <v>3009</v>
      </c>
      <c r="C2591" t="s">
        <v>99</v>
      </c>
      <c r="D2591" s="1" t="s">
        <v>3010</v>
      </c>
    </row>
    <row r="2592" spans="1:4" hidden="1" x14ac:dyDescent="0.3">
      <c r="A2592">
        <v>2590</v>
      </c>
      <c r="B2592" t="s">
        <v>3011</v>
      </c>
      <c r="C2592" t="s">
        <v>102</v>
      </c>
      <c r="D2592">
        <v>8.7114016435706799E-3</v>
      </c>
    </row>
    <row r="2593" spans="1:4" hidden="1" x14ac:dyDescent="0.3">
      <c r="A2593">
        <v>2591</v>
      </c>
      <c r="B2593" t="s">
        <v>3012</v>
      </c>
      <c r="C2593" t="s">
        <v>104</v>
      </c>
      <c r="D2593">
        <v>1.5458428070262E-3</v>
      </c>
    </row>
    <row r="2594" spans="1:4" hidden="1" x14ac:dyDescent="0.3">
      <c r="A2594">
        <v>2592</v>
      </c>
      <c r="B2594" t="s">
        <v>3013</v>
      </c>
      <c r="C2594" t="s">
        <v>106</v>
      </c>
      <c r="D2594">
        <v>2.1246533417079098E-2</v>
      </c>
    </row>
    <row r="2595" spans="1:4" hidden="1" x14ac:dyDescent="0.3">
      <c r="A2595">
        <v>2593</v>
      </c>
      <c r="B2595" s="1" t="s">
        <v>3014</v>
      </c>
      <c r="C2595" t="s">
        <v>108</v>
      </c>
      <c r="D2595" s="1" t="s">
        <v>3015</v>
      </c>
    </row>
    <row r="2596" spans="1:4" hidden="1" x14ac:dyDescent="0.3">
      <c r="A2596">
        <v>2594</v>
      </c>
      <c r="B2596" t="s">
        <v>3016</v>
      </c>
      <c r="C2596" t="s">
        <v>196</v>
      </c>
      <c r="D2596">
        <v>149898409.92216301</v>
      </c>
    </row>
    <row r="2597" spans="1:4" hidden="1" x14ac:dyDescent="0.3">
      <c r="A2597">
        <v>2595</v>
      </c>
      <c r="B2597" t="s">
        <v>3017</v>
      </c>
      <c r="C2597" t="s">
        <v>198</v>
      </c>
      <c r="D2597">
        <v>735.42591529710603</v>
      </c>
    </row>
    <row r="2598" spans="1:4" hidden="1" x14ac:dyDescent="0.3">
      <c r="A2598">
        <v>2596</v>
      </c>
      <c r="B2598" t="s">
        <v>3018</v>
      </c>
      <c r="C2598" t="s">
        <v>200</v>
      </c>
      <c r="D2598">
        <v>321.73602407885699</v>
      </c>
    </row>
    <row r="2599" spans="1:4" hidden="1" x14ac:dyDescent="0.3">
      <c r="A2599">
        <v>2597</v>
      </c>
      <c r="B2599" s="1" t="s">
        <v>3019</v>
      </c>
      <c r="C2599" t="s">
        <v>202</v>
      </c>
      <c r="D2599" s="1" t="s">
        <v>3020</v>
      </c>
    </row>
    <row r="2600" spans="1:4" hidden="1" x14ac:dyDescent="0.3">
      <c r="A2600">
        <v>2598</v>
      </c>
      <c r="B2600" t="s">
        <v>3021</v>
      </c>
      <c r="C2600" t="s">
        <v>205</v>
      </c>
      <c r="D2600">
        <v>80020842.065950796</v>
      </c>
    </row>
    <row r="2601" spans="1:4" hidden="1" x14ac:dyDescent="0.3">
      <c r="A2601">
        <v>2599</v>
      </c>
      <c r="B2601" t="s">
        <v>3022</v>
      </c>
      <c r="C2601" t="s">
        <v>207</v>
      </c>
      <c r="D2601">
        <v>35007724.142193303</v>
      </c>
    </row>
    <row r="2602" spans="1:4" hidden="1" x14ac:dyDescent="0.3">
      <c r="A2602">
        <v>2600</v>
      </c>
      <c r="B2602" t="s">
        <v>3023</v>
      </c>
      <c r="C2602" t="s">
        <v>209</v>
      </c>
      <c r="D2602">
        <v>34868466.095897399</v>
      </c>
    </row>
    <row r="2603" spans="1:4" hidden="1" x14ac:dyDescent="0.3">
      <c r="A2603">
        <v>2601</v>
      </c>
      <c r="B2603" s="1" t="s">
        <v>3024</v>
      </c>
      <c r="C2603" t="s">
        <v>211</v>
      </c>
      <c r="D2603" s="1" t="s">
        <v>3025</v>
      </c>
    </row>
    <row r="2604" spans="1:4" hidden="1" x14ac:dyDescent="0.3">
      <c r="A2604">
        <v>2602</v>
      </c>
      <c r="B2604" t="s">
        <v>3026</v>
      </c>
      <c r="C2604" t="s">
        <v>214</v>
      </c>
      <c r="D2604">
        <v>99982105.778346404</v>
      </c>
    </row>
    <row r="2605" spans="1:4" hidden="1" x14ac:dyDescent="0.3">
      <c r="A2605">
        <v>2603</v>
      </c>
      <c r="B2605" t="s">
        <v>3027</v>
      </c>
      <c r="C2605" t="s">
        <v>216</v>
      </c>
      <c r="D2605">
        <v>918.87850411236195</v>
      </c>
    </row>
    <row r="2606" spans="1:4" hidden="1" x14ac:dyDescent="0.3">
      <c r="A2606">
        <v>2604</v>
      </c>
      <c r="B2606" s="1" t="s">
        <v>3028</v>
      </c>
      <c r="C2606" t="s">
        <v>218</v>
      </c>
      <c r="D2606" s="1" t="s">
        <v>3029</v>
      </c>
    </row>
    <row r="2607" spans="1:4" hidden="1" x14ac:dyDescent="0.3">
      <c r="A2607">
        <v>2605</v>
      </c>
      <c r="B2607" t="s">
        <v>3030</v>
      </c>
      <c r="C2607" t="s">
        <v>111</v>
      </c>
      <c r="D2607">
        <v>-245.31059940331301</v>
      </c>
    </row>
    <row r="2608" spans="1:4" hidden="1" x14ac:dyDescent="0.3">
      <c r="A2608">
        <v>2606</v>
      </c>
      <c r="B2608" t="s">
        <v>3031</v>
      </c>
      <c r="C2608" t="s">
        <v>113</v>
      </c>
      <c r="D2608">
        <v>-36.771899041256397</v>
      </c>
    </row>
    <row r="2609" spans="1:4" hidden="1" x14ac:dyDescent="0.3">
      <c r="A2609">
        <v>2607</v>
      </c>
      <c r="B2609" s="1" t="s">
        <v>3032</v>
      </c>
      <c r="C2609" t="s">
        <v>115</v>
      </c>
      <c r="D2609" s="1" t="s">
        <v>3033</v>
      </c>
    </row>
    <row r="2610" spans="1:4" hidden="1" x14ac:dyDescent="0.3">
      <c r="A2610">
        <v>2608</v>
      </c>
      <c r="B2610" t="s">
        <v>3034</v>
      </c>
      <c r="C2610" t="s">
        <v>118</v>
      </c>
      <c r="D2610">
        <v>80020842.065950796</v>
      </c>
    </row>
    <row r="2611" spans="1:4" hidden="1" x14ac:dyDescent="0.3">
      <c r="A2611">
        <v>2609</v>
      </c>
      <c r="B2611" t="s">
        <v>3035</v>
      </c>
      <c r="C2611" t="s">
        <v>120</v>
      </c>
      <c r="D2611">
        <v>35007724.142193303</v>
      </c>
    </row>
    <row r="2612" spans="1:4" hidden="1" x14ac:dyDescent="0.3">
      <c r="A2612">
        <v>2610</v>
      </c>
      <c r="B2612" s="1" t="s">
        <v>3036</v>
      </c>
      <c r="C2612" t="s">
        <v>122</v>
      </c>
      <c r="D2612" s="1" t="s">
        <v>3037</v>
      </c>
    </row>
    <row r="2613" spans="1:4" hidden="1" x14ac:dyDescent="0.3">
      <c r="A2613">
        <v>2611</v>
      </c>
      <c r="B2613" t="s">
        <v>3038</v>
      </c>
      <c r="C2613" t="s">
        <v>125</v>
      </c>
      <c r="D2613">
        <v>0.80021577491866103</v>
      </c>
    </row>
    <row r="2614" spans="1:4" hidden="1" x14ac:dyDescent="0.3">
      <c r="A2614">
        <v>2612</v>
      </c>
      <c r="B2614" t="s">
        <v>3039</v>
      </c>
      <c r="C2614" t="s">
        <v>127</v>
      </c>
      <c r="D2614">
        <v>0.35008045878217398</v>
      </c>
    </row>
    <row r="2615" spans="1:4" hidden="1" x14ac:dyDescent="0.3">
      <c r="A2615">
        <v>2613</v>
      </c>
      <c r="B2615" s="1" t="s">
        <v>3040</v>
      </c>
      <c r="C2615" t="s">
        <v>129</v>
      </c>
      <c r="D2615" s="1" t="s">
        <v>3041</v>
      </c>
    </row>
    <row r="2616" spans="1:4" ht="72" x14ac:dyDescent="0.3">
      <c r="A2616">
        <v>2614</v>
      </c>
      <c r="B2616" s="1" t="s">
        <v>3</v>
      </c>
      <c r="C2616" t="s">
        <v>4</v>
      </c>
      <c r="D2616" t="s">
        <v>5</v>
      </c>
    </row>
    <row r="2617" spans="1:4" hidden="1" x14ac:dyDescent="0.3">
      <c r="A2617">
        <v>2615</v>
      </c>
      <c r="B2617" t="s">
        <v>6</v>
      </c>
      <c r="C2617" t="s">
        <v>7</v>
      </c>
      <c r="D2617">
        <v>1981.95</v>
      </c>
    </row>
    <row r="2618" spans="1:4" hidden="1" x14ac:dyDescent="0.3">
      <c r="A2618">
        <v>2616</v>
      </c>
      <c r="B2618" s="1" t="s">
        <v>131</v>
      </c>
      <c r="C2618" t="s">
        <v>9</v>
      </c>
      <c r="D2618" s="1" t="s">
        <v>132</v>
      </c>
    </row>
    <row r="2619" spans="1:4" hidden="1" x14ac:dyDescent="0.3">
      <c r="A2619">
        <v>2617</v>
      </c>
      <c r="B2619" t="s">
        <v>13</v>
      </c>
      <c r="C2619" t="s">
        <v>14</v>
      </c>
      <c r="D2619">
        <v>91.74609375</v>
      </c>
    </row>
    <row r="2620" spans="1:4" hidden="1" x14ac:dyDescent="0.3">
      <c r="A2620">
        <v>2618</v>
      </c>
      <c r="B2620" t="s">
        <v>15</v>
      </c>
      <c r="C2620" t="s">
        <v>16</v>
      </c>
      <c r="D2620">
        <v>4.1883572307132804</v>
      </c>
    </row>
    <row r="2621" spans="1:4" hidden="1" x14ac:dyDescent="0.3">
      <c r="A2621">
        <v>2619</v>
      </c>
      <c r="B2621" s="1" t="s">
        <v>133</v>
      </c>
      <c r="C2621" t="s">
        <v>134</v>
      </c>
      <c r="D2621" s="1" t="s">
        <v>135</v>
      </c>
    </row>
    <row r="2622" spans="1:4" hidden="1" x14ac:dyDescent="0.3">
      <c r="A2622">
        <v>2620</v>
      </c>
      <c r="B2622" t="s">
        <v>21</v>
      </c>
      <c r="C2622" t="s">
        <v>22</v>
      </c>
      <c r="D2622">
        <v>38.25</v>
      </c>
    </row>
    <row r="2623" spans="1:4" hidden="1" x14ac:dyDescent="0.3">
      <c r="A2623">
        <v>2621</v>
      </c>
      <c r="B2623" t="s">
        <v>3042</v>
      </c>
      <c r="C2623" t="s">
        <v>24</v>
      </c>
      <c r="D2623">
        <v>5.6596491531884698</v>
      </c>
    </row>
    <row r="2624" spans="1:4" hidden="1" x14ac:dyDescent="0.3">
      <c r="A2624">
        <v>2622</v>
      </c>
      <c r="B2624" s="1" t="s">
        <v>3043</v>
      </c>
      <c r="C2624" t="s">
        <v>138</v>
      </c>
      <c r="D2624" s="1" t="s">
        <v>3044</v>
      </c>
    </row>
    <row r="2625" spans="1:4" hidden="1" x14ac:dyDescent="0.3">
      <c r="A2625">
        <v>2623</v>
      </c>
      <c r="B2625" t="s">
        <v>3045</v>
      </c>
      <c r="C2625" t="s">
        <v>35</v>
      </c>
      <c r="D2625">
        <v>0.54534158111099995</v>
      </c>
    </row>
    <row r="2626" spans="1:4" hidden="1" x14ac:dyDescent="0.3">
      <c r="A2626">
        <v>2624</v>
      </c>
      <c r="B2626" t="s">
        <v>3046</v>
      </c>
      <c r="C2626" t="s">
        <v>142</v>
      </c>
      <c r="D2626">
        <v>0.70147920859846602</v>
      </c>
    </row>
    <row r="2627" spans="1:4" hidden="1" x14ac:dyDescent="0.3">
      <c r="A2627">
        <v>2625</v>
      </c>
      <c r="B2627" s="1" t="s">
        <v>3047</v>
      </c>
      <c r="C2627" t="s">
        <v>144</v>
      </c>
      <c r="D2627" s="1" t="s">
        <v>3048</v>
      </c>
    </row>
    <row r="2628" spans="1:4" hidden="1" x14ac:dyDescent="0.3">
      <c r="A2628">
        <v>2626</v>
      </c>
      <c r="B2628" t="s">
        <v>3049</v>
      </c>
      <c r="C2628" t="s">
        <v>30</v>
      </c>
      <c r="D2628">
        <v>0.19258986738113501</v>
      </c>
    </row>
    <row r="2629" spans="1:4" hidden="1" x14ac:dyDescent="0.3">
      <c r="A2629">
        <v>2627</v>
      </c>
      <c r="B2629" t="s">
        <v>3050</v>
      </c>
      <c r="C2629" t="s">
        <v>32</v>
      </c>
      <c r="D2629">
        <v>0.23334308352260399</v>
      </c>
    </row>
    <row r="2630" spans="1:4" hidden="1" x14ac:dyDescent="0.3">
      <c r="A2630">
        <v>2628</v>
      </c>
      <c r="B2630" s="1" t="s">
        <v>3051</v>
      </c>
      <c r="C2630" t="s">
        <v>148</v>
      </c>
      <c r="D2630" s="1" t="s">
        <v>3052</v>
      </c>
    </row>
    <row r="2631" spans="1:4" hidden="1" x14ac:dyDescent="0.3">
      <c r="A2631">
        <v>2629</v>
      </c>
      <c r="B2631" t="s">
        <v>3053</v>
      </c>
      <c r="C2631" t="s">
        <v>40</v>
      </c>
      <c r="D2631">
        <v>0.26206855150786401</v>
      </c>
    </row>
    <row r="2632" spans="1:4" hidden="1" x14ac:dyDescent="0.3">
      <c r="A2632">
        <v>2630</v>
      </c>
      <c r="B2632" t="s">
        <v>3054</v>
      </c>
      <c r="C2632" t="s">
        <v>42</v>
      </c>
      <c r="D2632">
        <v>0.192215917717031</v>
      </c>
    </row>
    <row r="2633" spans="1:4" hidden="1" x14ac:dyDescent="0.3">
      <c r="A2633">
        <v>2631</v>
      </c>
      <c r="B2633" s="1" t="s">
        <v>3055</v>
      </c>
      <c r="C2633" t="s">
        <v>152</v>
      </c>
      <c r="D2633" s="1" t="s">
        <v>3056</v>
      </c>
    </row>
    <row r="2634" spans="1:4" hidden="1" x14ac:dyDescent="0.3">
      <c r="A2634">
        <v>2632</v>
      </c>
      <c r="B2634" t="s">
        <v>153</v>
      </c>
      <c r="C2634" t="s">
        <v>154</v>
      </c>
      <c r="D2634">
        <v>1</v>
      </c>
    </row>
    <row r="2635" spans="1:4" hidden="1" x14ac:dyDescent="0.3">
      <c r="A2635">
        <v>2633</v>
      </c>
      <c r="B2635" t="s">
        <v>155</v>
      </c>
      <c r="C2635" t="s">
        <v>156</v>
      </c>
      <c r="D2635">
        <v>1</v>
      </c>
    </row>
    <row r="2636" spans="1:4" hidden="1" x14ac:dyDescent="0.3">
      <c r="A2636">
        <v>2634</v>
      </c>
      <c r="B2636" s="1" t="s">
        <v>3057</v>
      </c>
      <c r="C2636" t="s">
        <v>158</v>
      </c>
      <c r="D2636" s="1" t="s">
        <v>3058</v>
      </c>
    </row>
    <row r="2637" spans="1:4" hidden="1" x14ac:dyDescent="0.3">
      <c r="A2637">
        <v>2635</v>
      </c>
      <c r="B2637" t="s">
        <v>3059</v>
      </c>
      <c r="C2637" t="s">
        <v>161</v>
      </c>
      <c r="D2637">
        <v>1.00010484078609</v>
      </c>
    </row>
    <row r="2638" spans="1:4" hidden="1" x14ac:dyDescent="0.3">
      <c r="A2638">
        <v>2636</v>
      </c>
      <c r="B2638" t="s">
        <v>3060</v>
      </c>
      <c r="C2638" t="s">
        <v>163</v>
      </c>
      <c r="D2638">
        <v>1.00026811070251</v>
      </c>
    </row>
    <row r="2639" spans="1:4" hidden="1" x14ac:dyDescent="0.3">
      <c r="A2639">
        <v>2637</v>
      </c>
      <c r="B2639" s="1" t="s">
        <v>3061</v>
      </c>
      <c r="C2639" t="s">
        <v>165</v>
      </c>
      <c r="D2639" s="1" t="s">
        <v>3062</v>
      </c>
    </row>
    <row r="2640" spans="1:4" hidden="1" x14ac:dyDescent="0.3">
      <c r="A2640">
        <v>2638</v>
      </c>
      <c r="B2640" s="1" t="s">
        <v>3063</v>
      </c>
      <c r="C2640" t="s">
        <v>55</v>
      </c>
      <c r="D2640" s="1" t="s">
        <v>3064</v>
      </c>
    </row>
    <row r="2641" spans="1:4" hidden="1" x14ac:dyDescent="0.3">
      <c r="A2641">
        <v>2639</v>
      </c>
      <c r="B2641" s="1" t="s">
        <v>3065</v>
      </c>
      <c r="C2641" t="s">
        <v>52</v>
      </c>
      <c r="D2641" s="1" t="s">
        <v>3066</v>
      </c>
    </row>
    <row r="2642" spans="1:4" hidden="1" x14ac:dyDescent="0.3">
      <c r="A2642">
        <v>2640</v>
      </c>
      <c r="B2642" s="1" t="s">
        <v>3067</v>
      </c>
      <c r="C2642" t="s">
        <v>58</v>
      </c>
      <c r="D2642" s="1" t="s">
        <v>3068</v>
      </c>
    </row>
    <row r="2643" spans="1:4" hidden="1" x14ac:dyDescent="0.3">
      <c r="A2643">
        <v>2641</v>
      </c>
      <c r="B2643" t="s">
        <v>3069</v>
      </c>
      <c r="C2643" t="s">
        <v>60</v>
      </c>
      <c r="D2643">
        <v>149896796.78018299</v>
      </c>
    </row>
    <row r="2644" spans="1:4" hidden="1" x14ac:dyDescent="0.3">
      <c r="A2644">
        <v>2642</v>
      </c>
      <c r="B2644" t="s">
        <v>3070</v>
      </c>
      <c r="C2644" t="s">
        <v>62</v>
      </c>
      <c r="D2644">
        <v>80020842.065950796</v>
      </c>
    </row>
    <row r="2645" spans="1:4" hidden="1" x14ac:dyDescent="0.3">
      <c r="A2645">
        <v>2643</v>
      </c>
      <c r="B2645" t="s">
        <v>3071</v>
      </c>
      <c r="C2645" t="s">
        <v>64</v>
      </c>
      <c r="D2645">
        <v>35007724.142193303</v>
      </c>
    </row>
    <row r="2646" spans="1:4" hidden="1" x14ac:dyDescent="0.3">
      <c r="A2646">
        <v>2644</v>
      </c>
      <c r="B2646" s="1" t="s">
        <v>3072</v>
      </c>
      <c r="C2646" t="s">
        <v>66</v>
      </c>
      <c r="D2646" s="1" t="s">
        <v>3073</v>
      </c>
    </row>
    <row r="2647" spans="1:4" hidden="1" x14ac:dyDescent="0.3">
      <c r="A2647">
        <v>2645</v>
      </c>
      <c r="B2647" s="1" t="s">
        <v>3074</v>
      </c>
      <c r="C2647" t="s">
        <v>69</v>
      </c>
      <c r="D2647" s="1" t="s">
        <v>3075</v>
      </c>
    </row>
    <row r="2648" spans="1:4" hidden="1" x14ac:dyDescent="0.3">
      <c r="A2648">
        <v>2646</v>
      </c>
      <c r="B2648" t="s">
        <v>3076</v>
      </c>
      <c r="C2648" t="s">
        <v>72</v>
      </c>
      <c r="D2648">
        <v>1.0001697822526101</v>
      </c>
    </row>
    <row r="2649" spans="1:4" hidden="1" x14ac:dyDescent="0.3">
      <c r="A2649">
        <v>2647</v>
      </c>
      <c r="B2649" t="s">
        <v>73</v>
      </c>
      <c r="C2649" t="s">
        <v>74</v>
      </c>
      <c r="D2649">
        <v>2.7397260273972599E-3</v>
      </c>
    </row>
    <row r="2650" spans="1:4" hidden="1" x14ac:dyDescent="0.3">
      <c r="A2650">
        <v>2648</v>
      </c>
      <c r="B2650" t="s">
        <v>75</v>
      </c>
      <c r="C2650" t="s">
        <v>76</v>
      </c>
      <c r="D2650">
        <v>0</v>
      </c>
    </row>
    <row r="2651" spans="1:4" hidden="1" x14ac:dyDescent="0.3">
      <c r="A2651">
        <v>2649</v>
      </c>
      <c r="B2651" t="s">
        <v>77</v>
      </c>
      <c r="C2651" t="s">
        <v>78</v>
      </c>
      <c r="D2651">
        <v>0</v>
      </c>
    </row>
    <row r="2652" spans="1:4" hidden="1" x14ac:dyDescent="0.3">
      <c r="A2652">
        <v>2650</v>
      </c>
      <c r="B2652" s="1" t="s">
        <v>3077</v>
      </c>
      <c r="C2652" t="s">
        <v>80</v>
      </c>
      <c r="D2652" s="1" t="s">
        <v>3078</v>
      </c>
    </row>
    <row r="2653" spans="1:4" hidden="1" x14ac:dyDescent="0.3">
      <c r="A2653">
        <v>2651</v>
      </c>
      <c r="B2653" t="s">
        <v>3079</v>
      </c>
      <c r="C2653" t="s">
        <v>83</v>
      </c>
      <c r="D2653">
        <v>1.0001588663807699</v>
      </c>
    </row>
    <row r="2654" spans="1:4" hidden="1" x14ac:dyDescent="0.3">
      <c r="A2654">
        <v>2652</v>
      </c>
      <c r="B2654" s="1" t="s">
        <v>3080</v>
      </c>
      <c r="C2654" t="s">
        <v>85</v>
      </c>
      <c r="D2654" s="1" t="s">
        <v>3081</v>
      </c>
    </row>
    <row r="2655" spans="1:4" hidden="1" x14ac:dyDescent="0.3">
      <c r="A2655">
        <v>2653</v>
      </c>
      <c r="B2655" t="s">
        <v>3082</v>
      </c>
      <c r="C2655" t="s">
        <v>88</v>
      </c>
      <c r="D2655">
        <v>99984115.885374203</v>
      </c>
    </row>
    <row r="2656" spans="1:4" hidden="1" x14ac:dyDescent="0.3">
      <c r="A2656">
        <v>2654</v>
      </c>
      <c r="B2656" s="1" t="s">
        <v>3083</v>
      </c>
      <c r="C2656" t="s">
        <v>90</v>
      </c>
      <c r="D2656" s="1" t="s">
        <v>3029</v>
      </c>
    </row>
    <row r="2657" spans="1:4" hidden="1" x14ac:dyDescent="0.3">
      <c r="A2657">
        <v>2655</v>
      </c>
      <c r="B2657" t="s">
        <v>3084</v>
      </c>
      <c r="C2657" t="s">
        <v>93</v>
      </c>
      <c r="D2657">
        <v>80020842.065950796</v>
      </c>
    </row>
    <row r="2658" spans="1:4" hidden="1" x14ac:dyDescent="0.3">
      <c r="A2658">
        <v>2656</v>
      </c>
      <c r="B2658" t="s">
        <v>3085</v>
      </c>
      <c r="C2658" t="s">
        <v>95</v>
      </c>
      <c r="D2658">
        <v>35007724.142193303</v>
      </c>
    </row>
    <row r="2659" spans="1:4" hidden="1" x14ac:dyDescent="0.3">
      <c r="A2659">
        <v>2657</v>
      </c>
      <c r="B2659" t="s">
        <v>3086</v>
      </c>
      <c r="C2659" t="s">
        <v>97</v>
      </c>
      <c r="D2659">
        <v>34868230.5720388</v>
      </c>
    </row>
    <row r="2660" spans="1:4" hidden="1" x14ac:dyDescent="0.3">
      <c r="A2660">
        <v>2658</v>
      </c>
      <c r="B2660" s="1" t="s">
        <v>3087</v>
      </c>
      <c r="C2660" t="s">
        <v>99</v>
      </c>
      <c r="D2660" s="1" t="s">
        <v>3088</v>
      </c>
    </row>
    <row r="2661" spans="1:4" hidden="1" x14ac:dyDescent="0.3">
      <c r="A2661">
        <v>2659</v>
      </c>
      <c r="B2661" t="s">
        <v>3089</v>
      </c>
      <c r="C2661" t="s">
        <v>102</v>
      </c>
      <c r="D2661">
        <v>8.7833299195329492E-3</v>
      </c>
    </row>
    <row r="2662" spans="1:4" hidden="1" x14ac:dyDescent="0.3">
      <c r="A2662">
        <v>2660</v>
      </c>
      <c r="B2662" t="s">
        <v>3090</v>
      </c>
      <c r="C2662" t="s">
        <v>104</v>
      </c>
      <c r="D2662">
        <v>1.55642793687101E-3</v>
      </c>
    </row>
    <row r="2663" spans="1:4" hidden="1" x14ac:dyDescent="0.3">
      <c r="A2663">
        <v>2661</v>
      </c>
      <c r="B2663" t="s">
        <v>3091</v>
      </c>
      <c r="C2663" t="s">
        <v>106</v>
      </c>
      <c r="D2663">
        <v>2.1250211756104899E-2</v>
      </c>
    </row>
    <row r="2664" spans="1:4" hidden="1" x14ac:dyDescent="0.3">
      <c r="A2664">
        <v>2662</v>
      </c>
      <c r="B2664" s="1" t="s">
        <v>3092</v>
      </c>
      <c r="C2664" t="s">
        <v>108</v>
      </c>
      <c r="D2664" s="1" t="s">
        <v>3093</v>
      </c>
    </row>
    <row r="2665" spans="1:4" hidden="1" x14ac:dyDescent="0.3">
      <c r="A2665">
        <v>2663</v>
      </c>
      <c r="B2665" t="s">
        <v>3094</v>
      </c>
      <c r="C2665" t="s">
        <v>196</v>
      </c>
      <c r="D2665">
        <v>149896420.877464</v>
      </c>
    </row>
    <row r="2666" spans="1:4" hidden="1" x14ac:dyDescent="0.3">
      <c r="A2666">
        <v>2664</v>
      </c>
      <c r="B2666" t="s">
        <v>3095</v>
      </c>
      <c r="C2666" t="s">
        <v>198</v>
      </c>
      <c r="D2666">
        <v>873.34579778722696</v>
      </c>
    </row>
    <row r="2667" spans="1:4" hidden="1" x14ac:dyDescent="0.3">
      <c r="A2667">
        <v>2665</v>
      </c>
      <c r="B2667" t="s">
        <v>3096</v>
      </c>
      <c r="C2667" t="s">
        <v>200</v>
      </c>
      <c r="D2667">
        <v>382.07448440123397</v>
      </c>
    </row>
    <row r="2668" spans="1:4" hidden="1" x14ac:dyDescent="0.3">
      <c r="A2668">
        <v>2666</v>
      </c>
      <c r="B2668" s="1" t="s">
        <v>3097</v>
      </c>
      <c r="C2668" t="s">
        <v>202</v>
      </c>
      <c r="D2668" s="1" t="s">
        <v>3098</v>
      </c>
    </row>
    <row r="2669" spans="1:4" hidden="1" x14ac:dyDescent="0.3">
      <c r="A2669">
        <v>2667</v>
      </c>
      <c r="B2669" t="s">
        <v>3099</v>
      </c>
      <c r="C2669" t="s">
        <v>205</v>
      </c>
      <c r="D2669">
        <v>80019677.400215596</v>
      </c>
    </row>
    <row r="2670" spans="1:4" hidden="1" x14ac:dyDescent="0.3">
      <c r="A2670">
        <v>2668</v>
      </c>
      <c r="B2670" t="s">
        <v>3100</v>
      </c>
      <c r="C2670" t="s">
        <v>207</v>
      </c>
      <c r="D2670">
        <v>35007298.440209597</v>
      </c>
    </row>
    <row r="2671" spans="1:4" hidden="1" x14ac:dyDescent="0.3">
      <c r="A2671">
        <v>2669</v>
      </c>
      <c r="B2671" t="s">
        <v>3101</v>
      </c>
      <c r="C2671" t="s">
        <v>209</v>
      </c>
      <c r="D2671">
        <v>34867809.064679399</v>
      </c>
    </row>
    <row r="2672" spans="1:4" hidden="1" x14ac:dyDescent="0.3">
      <c r="A2672">
        <v>2670</v>
      </c>
      <c r="B2672" s="1" t="s">
        <v>3102</v>
      </c>
      <c r="C2672" t="s">
        <v>211</v>
      </c>
      <c r="D2672" s="1" t="s">
        <v>3103</v>
      </c>
    </row>
    <row r="2673" spans="1:4" hidden="1" x14ac:dyDescent="0.3">
      <c r="A2673">
        <v>2671</v>
      </c>
      <c r="B2673" t="s">
        <v>3104</v>
      </c>
      <c r="C2673" t="s">
        <v>214</v>
      </c>
      <c r="D2673">
        <v>99983024.656850502</v>
      </c>
    </row>
    <row r="2674" spans="1:4" hidden="1" x14ac:dyDescent="0.3">
      <c r="A2674">
        <v>2672</v>
      </c>
      <c r="B2674" t="s">
        <v>3105</v>
      </c>
      <c r="C2674" t="s">
        <v>216</v>
      </c>
      <c r="D2674">
        <v>1091.22852367162</v>
      </c>
    </row>
    <row r="2675" spans="1:4" hidden="1" x14ac:dyDescent="0.3">
      <c r="A2675">
        <v>2673</v>
      </c>
      <c r="B2675" s="1" t="s">
        <v>3106</v>
      </c>
      <c r="C2675" t="s">
        <v>218</v>
      </c>
      <c r="D2675" s="1" t="s">
        <v>3107</v>
      </c>
    </row>
    <row r="2676" spans="1:4" hidden="1" x14ac:dyDescent="0.3">
      <c r="A2676">
        <v>2674</v>
      </c>
      <c r="B2676" t="s">
        <v>3108</v>
      </c>
      <c r="C2676" t="s">
        <v>111</v>
      </c>
      <c r="D2676">
        <v>-291.31993740620601</v>
      </c>
    </row>
    <row r="2677" spans="1:4" hidden="1" x14ac:dyDescent="0.3">
      <c r="A2677">
        <v>2675</v>
      </c>
      <c r="B2677" t="s">
        <v>3109</v>
      </c>
      <c r="C2677" t="s">
        <v>113</v>
      </c>
      <c r="D2677">
        <v>-43.627499302584297</v>
      </c>
    </row>
    <row r="2678" spans="1:4" hidden="1" x14ac:dyDescent="0.3">
      <c r="A2678">
        <v>2676</v>
      </c>
      <c r="B2678" s="1" t="s">
        <v>3110</v>
      </c>
      <c r="C2678" t="s">
        <v>115</v>
      </c>
      <c r="D2678" s="1" t="s">
        <v>3111</v>
      </c>
    </row>
    <row r="2679" spans="1:4" hidden="1" x14ac:dyDescent="0.3">
      <c r="A2679">
        <v>2677</v>
      </c>
      <c r="B2679" t="s">
        <v>3112</v>
      </c>
      <c r="C2679" t="s">
        <v>118</v>
      </c>
      <c r="D2679">
        <v>80019677.400215596</v>
      </c>
    </row>
    <row r="2680" spans="1:4" hidden="1" x14ac:dyDescent="0.3">
      <c r="A2680">
        <v>2678</v>
      </c>
      <c r="B2680" t="s">
        <v>3113</v>
      </c>
      <c r="C2680" t="s">
        <v>120</v>
      </c>
      <c r="D2680">
        <v>35007298.440209597</v>
      </c>
    </row>
    <row r="2681" spans="1:4" hidden="1" x14ac:dyDescent="0.3">
      <c r="A2681">
        <v>2679</v>
      </c>
      <c r="B2681" s="1" t="s">
        <v>3114</v>
      </c>
      <c r="C2681" t="s">
        <v>122</v>
      </c>
      <c r="D2681" s="1" t="s">
        <v>3115</v>
      </c>
    </row>
    <row r="2682" spans="1:4" hidden="1" x14ac:dyDescent="0.3">
      <c r="A2682">
        <v>2680</v>
      </c>
      <c r="B2682" t="s">
        <v>3116</v>
      </c>
      <c r="C2682" t="s">
        <v>125</v>
      </c>
      <c r="D2682">
        <v>0.80020550746013297</v>
      </c>
    </row>
    <row r="2683" spans="1:4" hidden="1" x14ac:dyDescent="0.3">
      <c r="A2683">
        <v>2681</v>
      </c>
      <c r="B2683" t="s">
        <v>3117</v>
      </c>
      <c r="C2683" t="s">
        <v>127</v>
      </c>
      <c r="D2683">
        <v>0.35007680514694001</v>
      </c>
    </row>
    <row r="2684" spans="1:4" hidden="1" x14ac:dyDescent="0.3">
      <c r="A2684">
        <v>2682</v>
      </c>
      <c r="B2684" s="1" t="s">
        <v>3118</v>
      </c>
      <c r="C2684" t="s">
        <v>129</v>
      </c>
      <c r="D2684" s="1" t="s">
        <v>3119</v>
      </c>
    </row>
    <row r="2685" spans="1:4" ht="72" x14ac:dyDescent="0.3">
      <c r="A2685">
        <v>2683</v>
      </c>
      <c r="B2685" s="1" t="s">
        <v>3</v>
      </c>
      <c r="C2685" t="s">
        <v>4</v>
      </c>
      <c r="D2685" t="s">
        <v>5</v>
      </c>
    </row>
    <row r="2686" spans="1:4" hidden="1" x14ac:dyDescent="0.3">
      <c r="A2686">
        <v>2684</v>
      </c>
      <c r="B2686" t="s">
        <v>6</v>
      </c>
      <c r="C2686" t="s">
        <v>7</v>
      </c>
      <c r="D2686">
        <v>1981.95</v>
      </c>
    </row>
    <row r="2687" spans="1:4" hidden="1" x14ac:dyDescent="0.3">
      <c r="A2687">
        <v>2685</v>
      </c>
      <c r="B2687" s="1" t="s">
        <v>131</v>
      </c>
      <c r="C2687" t="s">
        <v>9</v>
      </c>
      <c r="D2687" s="1" t="s">
        <v>132</v>
      </c>
    </row>
    <row r="2688" spans="1:4" hidden="1" x14ac:dyDescent="0.3">
      <c r="A2688">
        <v>2686</v>
      </c>
      <c r="B2688" t="s">
        <v>13</v>
      </c>
      <c r="C2688" t="s">
        <v>14</v>
      </c>
      <c r="D2688">
        <v>91.74609375</v>
      </c>
    </row>
    <row r="2689" spans="1:4" hidden="1" x14ac:dyDescent="0.3">
      <c r="A2689">
        <v>2687</v>
      </c>
      <c r="B2689" t="s">
        <v>15</v>
      </c>
      <c r="C2689" t="s">
        <v>16</v>
      </c>
      <c r="D2689">
        <v>4.1883572307132804</v>
      </c>
    </row>
    <row r="2690" spans="1:4" hidden="1" x14ac:dyDescent="0.3">
      <c r="A2690">
        <v>2688</v>
      </c>
      <c r="B2690" s="1" t="s">
        <v>133</v>
      </c>
      <c r="C2690" t="s">
        <v>134</v>
      </c>
      <c r="D2690" s="1" t="s">
        <v>135</v>
      </c>
    </row>
    <row r="2691" spans="1:4" hidden="1" x14ac:dyDescent="0.3">
      <c r="A2691">
        <v>2689</v>
      </c>
      <c r="B2691" t="s">
        <v>21</v>
      </c>
      <c r="C2691" t="s">
        <v>22</v>
      </c>
      <c r="D2691">
        <v>38.25</v>
      </c>
    </row>
    <row r="2692" spans="1:4" hidden="1" x14ac:dyDescent="0.3">
      <c r="A2692">
        <v>2690</v>
      </c>
      <c r="B2692" t="s">
        <v>3120</v>
      </c>
      <c r="C2692" t="s">
        <v>24</v>
      </c>
      <c r="D2692">
        <v>5.6460488122521104</v>
      </c>
    </row>
    <row r="2693" spans="1:4" hidden="1" x14ac:dyDescent="0.3">
      <c r="A2693">
        <v>2691</v>
      </c>
      <c r="B2693" s="1" t="s">
        <v>3121</v>
      </c>
      <c r="C2693" t="s">
        <v>138</v>
      </c>
      <c r="D2693" s="1" t="s">
        <v>3122</v>
      </c>
    </row>
    <row r="2694" spans="1:4" hidden="1" x14ac:dyDescent="0.3">
      <c r="A2694">
        <v>2692</v>
      </c>
      <c r="B2694" t="s">
        <v>3123</v>
      </c>
      <c r="C2694" t="s">
        <v>35</v>
      </c>
      <c r="D2694">
        <v>0.548022245150663</v>
      </c>
    </row>
    <row r="2695" spans="1:4" hidden="1" x14ac:dyDescent="0.3">
      <c r="A2695">
        <v>2693</v>
      </c>
      <c r="B2695" t="s">
        <v>3124</v>
      </c>
      <c r="C2695" t="s">
        <v>142</v>
      </c>
      <c r="D2695">
        <v>0.70176081310048199</v>
      </c>
    </row>
    <row r="2696" spans="1:4" hidden="1" x14ac:dyDescent="0.3">
      <c r="A2696">
        <v>2694</v>
      </c>
      <c r="B2696" s="1" t="s">
        <v>3125</v>
      </c>
      <c r="C2696" t="s">
        <v>144</v>
      </c>
      <c r="D2696" s="1" t="s">
        <v>3126</v>
      </c>
    </row>
    <row r="2697" spans="1:4" hidden="1" x14ac:dyDescent="0.3">
      <c r="A2697">
        <v>2695</v>
      </c>
      <c r="B2697" t="s">
        <v>3127</v>
      </c>
      <c r="C2697" t="s">
        <v>30</v>
      </c>
      <c r="D2697">
        <v>0.19353655611673501</v>
      </c>
    </row>
    <row r="2698" spans="1:4" hidden="1" x14ac:dyDescent="0.3">
      <c r="A2698">
        <v>2696</v>
      </c>
      <c r="B2698" t="s">
        <v>3128</v>
      </c>
      <c r="C2698" t="s">
        <v>32</v>
      </c>
      <c r="D2698">
        <v>0.23259667307444701</v>
      </c>
    </row>
    <row r="2699" spans="1:4" hidden="1" x14ac:dyDescent="0.3">
      <c r="A2699">
        <v>2697</v>
      </c>
      <c r="B2699" s="1" t="s">
        <v>3129</v>
      </c>
      <c r="C2699" t="s">
        <v>148</v>
      </c>
      <c r="D2699" s="1" t="s">
        <v>3130</v>
      </c>
    </row>
    <row r="2700" spans="1:4" hidden="1" x14ac:dyDescent="0.3">
      <c r="A2700">
        <v>2698</v>
      </c>
      <c r="B2700" t="s">
        <v>3131</v>
      </c>
      <c r="C2700" t="s">
        <v>40</v>
      </c>
      <c r="D2700">
        <v>0.25844119873260102</v>
      </c>
    </row>
    <row r="2701" spans="1:4" hidden="1" x14ac:dyDescent="0.3">
      <c r="A2701">
        <v>2699</v>
      </c>
      <c r="B2701" t="s">
        <v>3132</v>
      </c>
      <c r="C2701" t="s">
        <v>42</v>
      </c>
      <c r="D2701">
        <v>0.192390275942915</v>
      </c>
    </row>
    <row r="2702" spans="1:4" hidden="1" x14ac:dyDescent="0.3">
      <c r="A2702">
        <v>2700</v>
      </c>
      <c r="B2702" s="1" t="s">
        <v>3133</v>
      </c>
      <c r="C2702" t="s">
        <v>152</v>
      </c>
      <c r="D2702" s="1" t="s">
        <v>3134</v>
      </c>
    </row>
    <row r="2703" spans="1:4" hidden="1" x14ac:dyDescent="0.3">
      <c r="A2703">
        <v>2701</v>
      </c>
      <c r="B2703" t="s">
        <v>153</v>
      </c>
      <c r="C2703" t="s">
        <v>154</v>
      </c>
      <c r="D2703">
        <v>1</v>
      </c>
    </row>
    <row r="2704" spans="1:4" hidden="1" x14ac:dyDescent="0.3">
      <c r="A2704">
        <v>2702</v>
      </c>
      <c r="B2704" t="s">
        <v>155</v>
      </c>
      <c r="C2704" t="s">
        <v>156</v>
      </c>
      <c r="D2704">
        <v>1</v>
      </c>
    </row>
    <row r="2705" spans="1:4" hidden="1" x14ac:dyDescent="0.3">
      <c r="A2705">
        <v>2703</v>
      </c>
      <c r="B2705" s="1" t="s">
        <v>3135</v>
      </c>
      <c r="C2705" t="s">
        <v>158</v>
      </c>
      <c r="D2705" s="1" t="s">
        <v>3136</v>
      </c>
    </row>
    <row r="2706" spans="1:4" hidden="1" x14ac:dyDescent="0.3">
      <c r="A2706">
        <v>2704</v>
      </c>
      <c r="B2706" t="s">
        <v>3137</v>
      </c>
      <c r="C2706" t="s">
        <v>161</v>
      </c>
      <c r="D2706">
        <v>1.0001655056968</v>
      </c>
    </row>
    <row r="2707" spans="1:4" hidden="1" x14ac:dyDescent="0.3">
      <c r="A2707">
        <v>2705</v>
      </c>
      <c r="B2707" t="s">
        <v>3138</v>
      </c>
      <c r="C2707" t="s">
        <v>163</v>
      </c>
      <c r="D2707">
        <v>0.99939480712371997</v>
      </c>
    </row>
    <row r="2708" spans="1:4" hidden="1" x14ac:dyDescent="0.3">
      <c r="A2708">
        <v>2706</v>
      </c>
      <c r="B2708" s="1" t="s">
        <v>3139</v>
      </c>
      <c r="C2708" t="s">
        <v>165</v>
      </c>
      <c r="D2708" s="1" t="s">
        <v>3140</v>
      </c>
    </row>
    <row r="2709" spans="1:4" hidden="1" x14ac:dyDescent="0.3">
      <c r="A2709">
        <v>2707</v>
      </c>
      <c r="B2709" s="1" t="s">
        <v>3141</v>
      </c>
      <c r="C2709" t="s">
        <v>55</v>
      </c>
      <c r="D2709" s="1" t="s">
        <v>3142</v>
      </c>
    </row>
    <row r="2710" spans="1:4" hidden="1" x14ac:dyDescent="0.3">
      <c r="A2710">
        <v>2708</v>
      </c>
      <c r="B2710" s="1" t="s">
        <v>3143</v>
      </c>
      <c r="C2710" t="s">
        <v>52</v>
      </c>
      <c r="D2710" s="1" t="s">
        <v>3144</v>
      </c>
    </row>
    <row r="2711" spans="1:4" hidden="1" x14ac:dyDescent="0.3">
      <c r="A2711">
        <v>2709</v>
      </c>
      <c r="B2711" s="1" t="s">
        <v>3145</v>
      </c>
      <c r="C2711" t="s">
        <v>58</v>
      </c>
      <c r="D2711" s="1" t="s">
        <v>3146</v>
      </c>
    </row>
    <row r="2712" spans="1:4" hidden="1" x14ac:dyDescent="0.3">
      <c r="A2712">
        <v>2710</v>
      </c>
      <c r="B2712" t="s">
        <v>3147</v>
      </c>
      <c r="C2712" t="s">
        <v>60</v>
      </c>
      <c r="D2712">
        <v>149883985.135575</v>
      </c>
    </row>
    <row r="2713" spans="1:4" hidden="1" x14ac:dyDescent="0.3">
      <c r="A2713">
        <v>2711</v>
      </c>
      <c r="B2713" t="s">
        <v>3148</v>
      </c>
      <c r="C2713" t="s">
        <v>62</v>
      </c>
      <c r="D2713">
        <v>80019677.400215596</v>
      </c>
    </row>
    <row r="2714" spans="1:4" hidden="1" x14ac:dyDescent="0.3">
      <c r="A2714">
        <v>2712</v>
      </c>
      <c r="B2714" t="s">
        <v>3149</v>
      </c>
      <c r="C2714" t="s">
        <v>64</v>
      </c>
      <c r="D2714">
        <v>35007298.440209597</v>
      </c>
    </row>
    <row r="2715" spans="1:4" hidden="1" x14ac:dyDescent="0.3">
      <c r="A2715">
        <v>2713</v>
      </c>
      <c r="B2715" s="1" t="s">
        <v>3150</v>
      </c>
      <c r="C2715" t="s">
        <v>66</v>
      </c>
      <c r="D2715" s="1" t="s">
        <v>3151</v>
      </c>
    </row>
    <row r="2716" spans="1:4" hidden="1" x14ac:dyDescent="0.3">
      <c r="A2716">
        <v>2714</v>
      </c>
      <c r="B2716" s="1" t="s">
        <v>3152</v>
      </c>
      <c r="C2716" t="s">
        <v>69</v>
      </c>
      <c r="D2716" s="1" t="s">
        <v>3153</v>
      </c>
    </row>
    <row r="2717" spans="1:4" hidden="1" x14ac:dyDescent="0.3">
      <c r="A2717">
        <v>2715</v>
      </c>
      <c r="B2717" t="s">
        <v>3154</v>
      </c>
      <c r="C2717" t="s">
        <v>72</v>
      </c>
      <c r="D2717">
        <v>1.0001588663807699</v>
      </c>
    </row>
    <row r="2718" spans="1:4" hidden="1" x14ac:dyDescent="0.3">
      <c r="A2718">
        <v>2716</v>
      </c>
      <c r="B2718" t="s">
        <v>73</v>
      </c>
      <c r="C2718" t="s">
        <v>74</v>
      </c>
      <c r="D2718">
        <v>2.7397260273972599E-3</v>
      </c>
    </row>
    <row r="2719" spans="1:4" hidden="1" x14ac:dyDescent="0.3">
      <c r="A2719">
        <v>2717</v>
      </c>
      <c r="B2719" t="s">
        <v>75</v>
      </c>
      <c r="C2719" t="s">
        <v>76</v>
      </c>
      <c r="D2719">
        <v>0</v>
      </c>
    </row>
    <row r="2720" spans="1:4" hidden="1" x14ac:dyDescent="0.3">
      <c r="A2720">
        <v>2718</v>
      </c>
      <c r="B2720" t="s">
        <v>77</v>
      </c>
      <c r="C2720" t="s">
        <v>78</v>
      </c>
      <c r="D2720">
        <v>0</v>
      </c>
    </row>
    <row r="2721" spans="1:4" hidden="1" x14ac:dyDescent="0.3">
      <c r="A2721">
        <v>2719</v>
      </c>
      <c r="B2721" s="1" t="s">
        <v>3155</v>
      </c>
      <c r="C2721" t="s">
        <v>80</v>
      </c>
      <c r="D2721" s="1" t="s">
        <v>3156</v>
      </c>
    </row>
    <row r="2722" spans="1:4" hidden="1" x14ac:dyDescent="0.3">
      <c r="A2722">
        <v>2720</v>
      </c>
      <c r="B2722" t="s">
        <v>3157</v>
      </c>
      <c r="C2722" t="s">
        <v>83</v>
      </c>
      <c r="D2722">
        <v>1.00014588356961</v>
      </c>
    </row>
    <row r="2723" spans="1:4" hidden="1" x14ac:dyDescent="0.3">
      <c r="A2723">
        <v>2721</v>
      </c>
      <c r="B2723" s="1" t="s">
        <v>3158</v>
      </c>
      <c r="C2723" t="s">
        <v>85</v>
      </c>
      <c r="D2723" s="1" t="s">
        <v>3159</v>
      </c>
    </row>
    <row r="2724" spans="1:4" hidden="1" x14ac:dyDescent="0.3">
      <c r="A2724">
        <v>2722</v>
      </c>
      <c r="B2724" t="s">
        <v>3160</v>
      </c>
      <c r="C2724" t="s">
        <v>88</v>
      </c>
      <c r="D2724">
        <v>99985413.770930097</v>
      </c>
    </row>
    <row r="2725" spans="1:4" hidden="1" x14ac:dyDescent="0.3">
      <c r="A2725">
        <v>2723</v>
      </c>
      <c r="B2725" s="1" t="s">
        <v>3161</v>
      </c>
      <c r="C2725" t="s">
        <v>90</v>
      </c>
      <c r="D2725" s="1" t="s">
        <v>3107</v>
      </c>
    </row>
    <row r="2726" spans="1:4" hidden="1" x14ac:dyDescent="0.3">
      <c r="A2726">
        <v>2724</v>
      </c>
      <c r="B2726" t="s">
        <v>3162</v>
      </c>
      <c r="C2726" t="s">
        <v>93</v>
      </c>
      <c r="D2726">
        <v>80019677.400215596</v>
      </c>
    </row>
    <row r="2727" spans="1:4" hidden="1" x14ac:dyDescent="0.3">
      <c r="A2727">
        <v>2725</v>
      </c>
      <c r="B2727" t="s">
        <v>3163</v>
      </c>
      <c r="C2727" t="s">
        <v>95</v>
      </c>
      <c r="D2727">
        <v>35007298.440209597</v>
      </c>
    </row>
    <row r="2728" spans="1:4" hidden="1" x14ac:dyDescent="0.3">
      <c r="A2728">
        <v>2726</v>
      </c>
      <c r="B2728" t="s">
        <v>3164</v>
      </c>
      <c r="C2728" t="s">
        <v>97</v>
      </c>
      <c r="D2728">
        <v>34857009.295149699</v>
      </c>
    </row>
    <row r="2729" spans="1:4" hidden="1" x14ac:dyDescent="0.3">
      <c r="A2729">
        <v>2727</v>
      </c>
      <c r="B2729" s="1" t="s">
        <v>3165</v>
      </c>
      <c r="C2729" t="s">
        <v>99</v>
      </c>
      <c r="D2729" s="1" t="s">
        <v>3166</v>
      </c>
    </row>
    <row r="2730" spans="1:4" hidden="1" x14ac:dyDescent="0.3">
      <c r="A2730">
        <v>2728</v>
      </c>
      <c r="B2730" t="s">
        <v>3167</v>
      </c>
      <c r="C2730" t="s">
        <v>102</v>
      </c>
      <c r="D2730">
        <v>8.8308253013331603E-3</v>
      </c>
    </row>
    <row r="2731" spans="1:4" hidden="1" x14ac:dyDescent="0.3">
      <c r="A2731">
        <v>2729</v>
      </c>
      <c r="B2731" t="s">
        <v>3168</v>
      </c>
      <c r="C2731" t="s">
        <v>104</v>
      </c>
      <c r="D2731">
        <v>1.5650999266011E-3</v>
      </c>
    </row>
    <row r="2732" spans="1:4" hidden="1" x14ac:dyDescent="0.3">
      <c r="A2732">
        <v>2730</v>
      </c>
      <c r="B2732" t="s">
        <v>3169</v>
      </c>
      <c r="C2732" t="s">
        <v>106</v>
      </c>
      <c r="D2732">
        <v>2.1418860588508601E-2</v>
      </c>
    </row>
    <row r="2733" spans="1:4" hidden="1" x14ac:dyDescent="0.3">
      <c r="A2733">
        <v>2731</v>
      </c>
      <c r="B2733" s="1" t="s">
        <v>3170</v>
      </c>
      <c r="C2733" t="s">
        <v>108</v>
      </c>
      <c r="D2733" s="1" t="s">
        <v>3171</v>
      </c>
    </row>
    <row r="2734" spans="1:4" hidden="1" x14ac:dyDescent="0.3">
      <c r="A2734">
        <v>2732</v>
      </c>
      <c r="B2734" t="s">
        <v>3172</v>
      </c>
      <c r="C2734" t="s">
        <v>196</v>
      </c>
      <c r="D2734">
        <v>149883538.035815</v>
      </c>
    </row>
    <row r="2735" spans="1:4" hidden="1" x14ac:dyDescent="0.3">
      <c r="A2735">
        <v>2733</v>
      </c>
      <c r="B2735" t="s">
        <v>3173</v>
      </c>
      <c r="C2735" t="s">
        <v>198</v>
      </c>
      <c r="D2735">
        <v>1038.7108463253201</v>
      </c>
    </row>
    <row r="2736" spans="1:4" hidden="1" x14ac:dyDescent="0.3">
      <c r="A2736">
        <v>2734</v>
      </c>
      <c r="B2736" t="s">
        <v>3174</v>
      </c>
      <c r="C2736" t="s">
        <v>200</v>
      </c>
      <c r="D2736">
        <v>454.42027863790599</v>
      </c>
    </row>
    <row r="2737" spans="1:4" hidden="1" x14ac:dyDescent="0.3">
      <c r="A2737">
        <v>2735</v>
      </c>
      <c r="B2737" s="1" t="s">
        <v>3175</v>
      </c>
      <c r="C2737" t="s">
        <v>202</v>
      </c>
      <c r="D2737" s="1" t="s">
        <v>3176</v>
      </c>
    </row>
    <row r="2738" spans="1:4" hidden="1" x14ac:dyDescent="0.3">
      <c r="A2738">
        <v>2736</v>
      </c>
      <c r="B2738" t="s">
        <v>3177</v>
      </c>
      <c r="C2738" t="s">
        <v>205</v>
      </c>
      <c r="D2738">
        <v>80018292.178423896</v>
      </c>
    </row>
    <row r="2739" spans="1:4" hidden="1" x14ac:dyDescent="0.3">
      <c r="A2739">
        <v>2737</v>
      </c>
      <c r="B2739" t="s">
        <v>3178</v>
      </c>
      <c r="C2739" t="s">
        <v>207</v>
      </c>
      <c r="D2739">
        <v>35006792.0793235</v>
      </c>
    </row>
    <row r="2740" spans="1:4" hidden="1" x14ac:dyDescent="0.3">
      <c r="A2740">
        <v>2738</v>
      </c>
      <c r="B2740" t="s">
        <v>3179</v>
      </c>
      <c r="C2740" t="s">
        <v>209</v>
      </c>
      <c r="D2740">
        <v>34856508.1774875</v>
      </c>
    </row>
    <row r="2741" spans="1:4" hidden="1" x14ac:dyDescent="0.3">
      <c r="A2741">
        <v>2739</v>
      </c>
      <c r="B2741" s="1" t="s">
        <v>3180</v>
      </c>
      <c r="C2741" t="s">
        <v>211</v>
      </c>
      <c r="D2741" s="1" t="s">
        <v>3181</v>
      </c>
    </row>
    <row r="2742" spans="1:4" hidden="1" x14ac:dyDescent="0.3">
      <c r="A2742">
        <v>2740</v>
      </c>
      <c r="B2742" t="s">
        <v>3182</v>
      </c>
      <c r="C2742" t="s">
        <v>214</v>
      </c>
      <c r="D2742">
        <v>99984115.885374203</v>
      </c>
    </row>
    <row r="2743" spans="1:4" hidden="1" x14ac:dyDescent="0.3">
      <c r="A2743">
        <v>2741</v>
      </c>
      <c r="B2743" t="s">
        <v>3183</v>
      </c>
      <c r="C2743" t="s">
        <v>216</v>
      </c>
      <c r="D2743">
        <v>1297.8855559527799</v>
      </c>
    </row>
    <row r="2744" spans="1:4" hidden="1" x14ac:dyDescent="0.3">
      <c r="A2744">
        <v>2742</v>
      </c>
      <c r="B2744" s="1" t="s">
        <v>3184</v>
      </c>
      <c r="C2744" t="s">
        <v>218</v>
      </c>
      <c r="D2744" s="1" t="s">
        <v>3185</v>
      </c>
    </row>
    <row r="2745" spans="1:4" hidden="1" x14ac:dyDescent="0.3">
      <c r="A2745">
        <v>2743</v>
      </c>
      <c r="B2745" t="s">
        <v>3186</v>
      </c>
      <c r="C2745" t="s">
        <v>111</v>
      </c>
      <c r="D2745">
        <v>-346.51094539385599</v>
      </c>
    </row>
    <row r="2746" spans="1:4" hidden="1" x14ac:dyDescent="0.3">
      <c r="A2746">
        <v>2744</v>
      </c>
      <c r="B2746" t="s">
        <v>3187</v>
      </c>
      <c r="C2746" t="s">
        <v>113</v>
      </c>
      <c r="D2746">
        <v>-51.940607517380798</v>
      </c>
    </row>
    <row r="2747" spans="1:4" hidden="1" x14ac:dyDescent="0.3">
      <c r="A2747">
        <v>2745</v>
      </c>
      <c r="B2747" s="1" t="s">
        <v>3188</v>
      </c>
      <c r="C2747" t="s">
        <v>115</v>
      </c>
      <c r="D2747" s="1" t="s">
        <v>3189</v>
      </c>
    </row>
    <row r="2748" spans="1:4" hidden="1" x14ac:dyDescent="0.3">
      <c r="A2748">
        <v>2746</v>
      </c>
      <c r="B2748" t="s">
        <v>3190</v>
      </c>
      <c r="C2748" t="s">
        <v>118</v>
      </c>
      <c r="D2748">
        <v>80018292.178423896</v>
      </c>
    </row>
    <row r="2749" spans="1:4" hidden="1" x14ac:dyDescent="0.3">
      <c r="A2749">
        <v>2747</v>
      </c>
      <c r="B2749" t="s">
        <v>3191</v>
      </c>
      <c r="C2749" t="s">
        <v>120</v>
      </c>
      <c r="D2749">
        <v>35006792.0793235</v>
      </c>
    </row>
    <row r="2750" spans="1:4" hidden="1" x14ac:dyDescent="0.3">
      <c r="A2750">
        <v>2748</v>
      </c>
      <c r="B2750" s="1" t="s">
        <v>3192</v>
      </c>
      <c r="C2750" t="s">
        <v>122</v>
      </c>
      <c r="D2750" s="1" t="s">
        <v>3193</v>
      </c>
    </row>
    <row r="2751" spans="1:4" hidden="1" x14ac:dyDescent="0.3">
      <c r="A2751">
        <v>2749</v>
      </c>
      <c r="B2751" t="s">
        <v>3194</v>
      </c>
      <c r="C2751" t="s">
        <v>125</v>
      </c>
      <c r="D2751">
        <v>0.80019330889270202</v>
      </c>
    </row>
    <row r="2752" spans="1:4" hidden="1" x14ac:dyDescent="0.3">
      <c r="A2752">
        <v>2750</v>
      </c>
      <c r="B2752" t="s">
        <v>3195</v>
      </c>
      <c r="C2752" t="s">
        <v>127</v>
      </c>
      <c r="D2752">
        <v>0.35007246499602102</v>
      </c>
    </row>
    <row r="2753" spans="1:4" hidden="1" x14ac:dyDescent="0.3">
      <c r="A2753">
        <v>2751</v>
      </c>
      <c r="B2753" s="1" t="s">
        <v>3196</v>
      </c>
      <c r="C2753" t="s">
        <v>129</v>
      </c>
      <c r="D2753" s="1" t="s">
        <v>3197</v>
      </c>
    </row>
    <row r="2754" spans="1:4" ht="72" x14ac:dyDescent="0.3">
      <c r="A2754">
        <v>2752</v>
      </c>
      <c r="B2754" s="1" t="s">
        <v>3</v>
      </c>
      <c r="C2754" t="s">
        <v>4</v>
      </c>
      <c r="D2754" t="s">
        <v>5</v>
      </c>
    </row>
    <row r="2755" spans="1:4" hidden="1" x14ac:dyDescent="0.3">
      <c r="A2755">
        <v>2753</v>
      </c>
      <c r="B2755" t="s">
        <v>6</v>
      </c>
      <c r="C2755" t="s">
        <v>7</v>
      </c>
      <c r="D2755">
        <v>1981.95</v>
      </c>
    </row>
    <row r="2756" spans="1:4" hidden="1" x14ac:dyDescent="0.3">
      <c r="A2756">
        <v>2754</v>
      </c>
      <c r="B2756" s="1" t="s">
        <v>131</v>
      </c>
      <c r="C2756" t="s">
        <v>9</v>
      </c>
      <c r="D2756" s="1" t="s">
        <v>132</v>
      </c>
    </row>
    <row r="2757" spans="1:4" hidden="1" x14ac:dyDescent="0.3">
      <c r="A2757">
        <v>2755</v>
      </c>
      <c r="B2757" t="s">
        <v>13</v>
      </c>
      <c r="C2757" t="s">
        <v>14</v>
      </c>
      <c r="D2757">
        <v>91.74609375</v>
      </c>
    </row>
    <row r="2758" spans="1:4" hidden="1" x14ac:dyDescent="0.3">
      <c r="A2758">
        <v>2756</v>
      </c>
      <c r="B2758" t="s">
        <v>15</v>
      </c>
      <c r="C2758" t="s">
        <v>16</v>
      </c>
      <c r="D2758">
        <v>4.1883572307132804</v>
      </c>
    </row>
    <row r="2759" spans="1:4" hidden="1" x14ac:dyDescent="0.3">
      <c r="A2759">
        <v>2757</v>
      </c>
      <c r="B2759" s="1" t="s">
        <v>133</v>
      </c>
      <c r="C2759" t="s">
        <v>134</v>
      </c>
      <c r="D2759" s="1" t="s">
        <v>135</v>
      </c>
    </row>
    <row r="2760" spans="1:4" hidden="1" x14ac:dyDescent="0.3">
      <c r="A2760">
        <v>2758</v>
      </c>
      <c r="B2760" t="s">
        <v>21</v>
      </c>
      <c r="C2760" t="s">
        <v>22</v>
      </c>
      <c r="D2760">
        <v>38.25</v>
      </c>
    </row>
    <row r="2761" spans="1:4" hidden="1" x14ac:dyDescent="0.3">
      <c r="A2761">
        <v>2759</v>
      </c>
      <c r="B2761" t="s">
        <v>3198</v>
      </c>
      <c r="C2761" t="s">
        <v>24</v>
      </c>
      <c r="D2761">
        <v>5.6367370744169802</v>
      </c>
    </row>
    <row r="2762" spans="1:4" hidden="1" x14ac:dyDescent="0.3">
      <c r="A2762">
        <v>2760</v>
      </c>
      <c r="B2762" s="1" t="s">
        <v>3199</v>
      </c>
      <c r="C2762" t="s">
        <v>138</v>
      </c>
      <c r="D2762" s="1" t="s">
        <v>3200</v>
      </c>
    </row>
    <row r="2763" spans="1:4" hidden="1" x14ac:dyDescent="0.3">
      <c r="A2763">
        <v>2761</v>
      </c>
      <c r="B2763" t="s">
        <v>3201</v>
      </c>
      <c r="C2763" t="s">
        <v>35</v>
      </c>
      <c r="D2763">
        <v>0.54095507861404102</v>
      </c>
    </row>
    <row r="2764" spans="1:4" hidden="1" x14ac:dyDescent="0.3">
      <c r="A2764">
        <v>2762</v>
      </c>
      <c r="B2764" t="s">
        <v>3202</v>
      </c>
      <c r="C2764" t="s">
        <v>142</v>
      </c>
      <c r="D2764">
        <v>0.70301929853354805</v>
      </c>
    </row>
    <row r="2765" spans="1:4" hidden="1" x14ac:dyDescent="0.3">
      <c r="A2765">
        <v>2763</v>
      </c>
      <c r="B2765" s="1" t="s">
        <v>3203</v>
      </c>
      <c r="C2765" t="s">
        <v>144</v>
      </c>
      <c r="D2765" s="1" t="s">
        <v>3204</v>
      </c>
    </row>
    <row r="2766" spans="1:4" hidden="1" x14ac:dyDescent="0.3">
      <c r="A2766">
        <v>2764</v>
      </c>
      <c r="B2766" t="s">
        <v>3205</v>
      </c>
      <c r="C2766" t="s">
        <v>30</v>
      </c>
      <c r="D2766">
        <v>0.19104075401179399</v>
      </c>
    </row>
    <row r="2767" spans="1:4" hidden="1" x14ac:dyDescent="0.3">
      <c r="A2767">
        <v>2765</v>
      </c>
      <c r="B2767" t="s">
        <v>3206</v>
      </c>
      <c r="C2767" t="s">
        <v>32</v>
      </c>
      <c r="D2767">
        <v>0.23169526486439601</v>
      </c>
    </row>
    <row r="2768" spans="1:4" hidden="1" x14ac:dyDescent="0.3">
      <c r="A2768">
        <v>2766</v>
      </c>
      <c r="B2768" s="1" t="s">
        <v>3207</v>
      </c>
      <c r="C2768" t="s">
        <v>148</v>
      </c>
      <c r="D2768" s="1" t="s">
        <v>3208</v>
      </c>
    </row>
    <row r="2769" spans="1:4" hidden="1" x14ac:dyDescent="0.3">
      <c r="A2769">
        <v>2767</v>
      </c>
      <c r="B2769" t="s">
        <v>3209</v>
      </c>
      <c r="C2769" t="s">
        <v>40</v>
      </c>
      <c r="D2769">
        <v>0.26800416737416299</v>
      </c>
    </row>
    <row r="2770" spans="1:4" hidden="1" x14ac:dyDescent="0.3">
      <c r="A2770">
        <v>2768</v>
      </c>
      <c r="B2770" t="s">
        <v>3210</v>
      </c>
      <c r="C2770" t="s">
        <v>42</v>
      </c>
      <c r="D2770">
        <v>0.19074079355666401</v>
      </c>
    </row>
    <row r="2771" spans="1:4" hidden="1" x14ac:dyDescent="0.3">
      <c r="A2771">
        <v>2769</v>
      </c>
      <c r="B2771" s="1" t="s">
        <v>3211</v>
      </c>
      <c r="C2771" t="s">
        <v>152</v>
      </c>
      <c r="D2771" s="1" t="s">
        <v>3212</v>
      </c>
    </row>
    <row r="2772" spans="1:4" hidden="1" x14ac:dyDescent="0.3">
      <c r="A2772">
        <v>2770</v>
      </c>
      <c r="B2772" t="s">
        <v>153</v>
      </c>
      <c r="C2772" t="s">
        <v>154</v>
      </c>
      <c r="D2772">
        <v>1</v>
      </c>
    </row>
    <row r="2773" spans="1:4" hidden="1" x14ac:dyDescent="0.3">
      <c r="A2773">
        <v>2771</v>
      </c>
      <c r="B2773" t="s">
        <v>155</v>
      </c>
      <c r="C2773" t="s">
        <v>156</v>
      </c>
      <c r="D2773">
        <v>1</v>
      </c>
    </row>
    <row r="2774" spans="1:4" hidden="1" x14ac:dyDescent="0.3">
      <c r="A2774">
        <v>2772</v>
      </c>
      <c r="B2774" s="1" t="s">
        <v>3213</v>
      </c>
      <c r="C2774" t="s">
        <v>158</v>
      </c>
      <c r="D2774" s="1" t="s">
        <v>3214</v>
      </c>
    </row>
    <row r="2775" spans="1:4" hidden="1" x14ac:dyDescent="0.3">
      <c r="A2775">
        <v>2773</v>
      </c>
      <c r="B2775" t="s">
        <v>3215</v>
      </c>
      <c r="C2775" t="s">
        <v>161</v>
      </c>
      <c r="D2775">
        <v>1.0007395195748801</v>
      </c>
    </row>
    <row r="2776" spans="1:4" hidden="1" x14ac:dyDescent="0.3">
      <c r="A2776">
        <v>2774</v>
      </c>
      <c r="B2776" t="s">
        <v>3216</v>
      </c>
      <c r="C2776" t="s">
        <v>163</v>
      </c>
      <c r="D2776">
        <v>0.99926869167364896</v>
      </c>
    </row>
    <row r="2777" spans="1:4" hidden="1" x14ac:dyDescent="0.3">
      <c r="A2777">
        <v>2775</v>
      </c>
      <c r="B2777" s="1" t="s">
        <v>3217</v>
      </c>
      <c r="C2777" t="s">
        <v>165</v>
      </c>
      <c r="D2777" s="1" t="s">
        <v>3218</v>
      </c>
    </row>
    <row r="2778" spans="1:4" hidden="1" x14ac:dyDescent="0.3">
      <c r="A2778">
        <v>2776</v>
      </c>
      <c r="B2778" s="1" t="s">
        <v>3219</v>
      </c>
      <c r="C2778" t="s">
        <v>55</v>
      </c>
      <c r="D2778" s="1" t="s">
        <v>3220</v>
      </c>
    </row>
    <row r="2779" spans="1:4" hidden="1" x14ac:dyDescent="0.3">
      <c r="A2779">
        <v>2777</v>
      </c>
      <c r="B2779" s="1" t="s">
        <v>3221</v>
      </c>
      <c r="C2779" t="s">
        <v>52</v>
      </c>
      <c r="D2779" s="1" t="s">
        <v>3222</v>
      </c>
    </row>
    <row r="2780" spans="1:4" hidden="1" x14ac:dyDescent="0.3">
      <c r="A2780">
        <v>2778</v>
      </c>
      <c r="B2780" s="1" t="s">
        <v>3223</v>
      </c>
      <c r="C2780" t="s">
        <v>58</v>
      </c>
      <c r="D2780" s="1" t="s">
        <v>3224</v>
      </c>
    </row>
    <row r="2781" spans="1:4" hidden="1" x14ac:dyDescent="0.3">
      <c r="A2781">
        <v>2779</v>
      </c>
      <c r="B2781" t="s">
        <v>3225</v>
      </c>
      <c r="C2781" t="s">
        <v>60</v>
      </c>
      <c r="D2781">
        <v>149874198.269364</v>
      </c>
    </row>
    <row r="2782" spans="1:4" hidden="1" x14ac:dyDescent="0.3">
      <c r="A2782">
        <v>2780</v>
      </c>
      <c r="B2782" t="s">
        <v>3226</v>
      </c>
      <c r="C2782" t="s">
        <v>62</v>
      </c>
      <c r="D2782">
        <v>80018292.178423896</v>
      </c>
    </row>
    <row r="2783" spans="1:4" hidden="1" x14ac:dyDescent="0.3">
      <c r="A2783">
        <v>2781</v>
      </c>
      <c r="B2783" t="s">
        <v>3227</v>
      </c>
      <c r="C2783" t="s">
        <v>64</v>
      </c>
      <c r="D2783">
        <v>35006792.0793235</v>
      </c>
    </row>
    <row r="2784" spans="1:4" hidden="1" x14ac:dyDescent="0.3">
      <c r="A2784">
        <v>2782</v>
      </c>
      <c r="B2784" s="1" t="s">
        <v>3228</v>
      </c>
      <c r="C2784" t="s">
        <v>66</v>
      </c>
      <c r="D2784" s="1" t="s">
        <v>3229</v>
      </c>
    </row>
    <row r="2785" spans="1:4" hidden="1" x14ac:dyDescent="0.3">
      <c r="A2785">
        <v>2783</v>
      </c>
      <c r="B2785" s="1" t="s">
        <v>3230</v>
      </c>
      <c r="C2785" t="s">
        <v>69</v>
      </c>
      <c r="D2785" s="1" t="s">
        <v>3231</v>
      </c>
    </row>
    <row r="2786" spans="1:4" hidden="1" x14ac:dyDescent="0.3">
      <c r="A2786">
        <v>2784</v>
      </c>
      <c r="B2786" t="s">
        <v>3232</v>
      </c>
      <c r="C2786" t="s">
        <v>72</v>
      </c>
      <c r="D2786">
        <v>1.00014588356961</v>
      </c>
    </row>
    <row r="2787" spans="1:4" hidden="1" x14ac:dyDescent="0.3">
      <c r="A2787">
        <v>2785</v>
      </c>
      <c r="B2787" t="s">
        <v>73</v>
      </c>
      <c r="C2787" t="s">
        <v>74</v>
      </c>
      <c r="D2787">
        <v>2.7397260273972599E-3</v>
      </c>
    </row>
    <row r="2788" spans="1:4" hidden="1" x14ac:dyDescent="0.3">
      <c r="A2788">
        <v>2786</v>
      </c>
      <c r="B2788" t="s">
        <v>75</v>
      </c>
      <c r="C2788" t="s">
        <v>76</v>
      </c>
      <c r="D2788">
        <v>0</v>
      </c>
    </row>
    <row r="2789" spans="1:4" hidden="1" x14ac:dyDescent="0.3">
      <c r="A2789">
        <v>2787</v>
      </c>
      <c r="B2789" t="s">
        <v>77</v>
      </c>
      <c r="C2789" t="s">
        <v>78</v>
      </c>
      <c r="D2789">
        <v>0</v>
      </c>
    </row>
    <row r="2790" spans="1:4" hidden="1" x14ac:dyDescent="0.3">
      <c r="A2790">
        <v>2788</v>
      </c>
      <c r="B2790" s="1" t="s">
        <v>3233</v>
      </c>
      <c r="C2790" t="s">
        <v>80</v>
      </c>
      <c r="D2790" s="1" t="s">
        <v>3234</v>
      </c>
    </row>
    <row r="2791" spans="1:4" hidden="1" x14ac:dyDescent="0.3">
      <c r="A2791">
        <v>2789</v>
      </c>
      <c r="B2791" t="s">
        <v>3235</v>
      </c>
      <c r="C2791" t="s">
        <v>83</v>
      </c>
      <c r="D2791">
        <v>1.0001752891329101</v>
      </c>
    </row>
    <row r="2792" spans="1:4" hidden="1" x14ac:dyDescent="0.3">
      <c r="A2792">
        <v>2790</v>
      </c>
      <c r="B2792" s="1" t="s">
        <v>3236</v>
      </c>
      <c r="C2792" t="s">
        <v>85</v>
      </c>
      <c r="D2792" s="1" t="s">
        <v>3237</v>
      </c>
    </row>
    <row r="2793" spans="1:4" hidden="1" x14ac:dyDescent="0.3">
      <c r="A2793">
        <v>2791</v>
      </c>
      <c r="B2793" t="s">
        <v>3238</v>
      </c>
      <c r="C2793" t="s">
        <v>88</v>
      </c>
      <c r="D2793">
        <v>99982474.158798099</v>
      </c>
    </row>
    <row r="2794" spans="1:4" hidden="1" x14ac:dyDescent="0.3">
      <c r="A2794">
        <v>2792</v>
      </c>
      <c r="B2794" s="1" t="s">
        <v>3239</v>
      </c>
      <c r="C2794" t="s">
        <v>90</v>
      </c>
      <c r="D2794" s="1" t="s">
        <v>3185</v>
      </c>
    </row>
    <row r="2795" spans="1:4" hidden="1" x14ac:dyDescent="0.3">
      <c r="A2795">
        <v>2793</v>
      </c>
      <c r="B2795" t="s">
        <v>3240</v>
      </c>
      <c r="C2795" t="s">
        <v>93</v>
      </c>
      <c r="D2795">
        <v>80018292.178423896</v>
      </c>
    </row>
    <row r="2796" spans="1:4" hidden="1" x14ac:dyDescent="0.3">
      <c r="A2796">
        <v>2794</v>
      </c>
      <c r="B2796" t="s">
        <v>3241</v>
      </c>
      <c r="C2796" t="s">
        <v>95</v>
      </c>
      <c r="D2796">
        <v>35006792.0793235</v>
      </c>
    </row>
    <row r="2797" spans="1:4" hidden="1" x14ac:dyDescent="0.3">
      <c r="A2797">
        <v>2795</v>
      </c>
      <c r="B2797" t="s">
        <v>3242</v>
      </c>
      <c r="C2797" t="s">
        <v>97</v>
      </c>
      <c r="D2797">
        <v>34849114.011616603</v>
      </c>
    </row>
    <row r="2798" spans="1:4" hidden="1" x14ac:dyDescent="0.3">
      <c r="A2798">
        <v>2796</v>
      </c>
      <c r="B2798" s="1" t="s">
        <v>3243</v>
      </c>
      <c r="C2798" t="s">
        <v>99</v>
      </c>
      <c r="D2798" s="1" t="s">
        <v>3244</v>
      </c>
    </row>
    <row r="2799" spans="1:4" hidden="1" x14ac:dyDescent="0.3">
      <c r="A2799">
        <v>2797</v>
      </c>
      <c r="B2799" t="s">
        <v>3245</v>
      </c>
      <c r="C2799" t="s">
        <v>102</v>
      </c>
      <c r="D2799">
        <v>8.8929431231625101E-3</v>
      </c>
    </row>
    <row r="2800" spans="1:4" hidden="1" x14ac:dyDescent="0.3">
      <c r="A2800">
        <v>2798</v>
      </c>
      <c r="B2800" t="s">
        <v>3246</v>
      </c>
      <c r="C2800" t="s">
        <v>104</v>
      </c>
      <c r="D2800">
        <v>1.57184228512205E-3</v>
      </c>
    </row>
    <row r="2801" spans="1:4" hidden="1" x14ac:dyDescent="0.3">
      <c r="A2801">
        <v>2799</v>
      </c>
      <c r="B2801" t="s">
        <v>3247</v>
      </c>
      <c r="C2801" t="s">
        <v>106</v>
      </c>
      <c r="D2801">
        <v>2.1534305956789498E-2</v>
      </c>
    </row>
    <row r="2802" spans="1:4" hidden="1" x14ac:dyDescent="0.3">
      <c r="A2802">
        <v>2800</v>
      </c>
      <c r="B2802" s="1" t="s">
        <v>3248</v>
      </c>
      <c r="C2802" t="s">
        <v>108</v>
      </c>
      <c r="D2802" s="1" t="s">
        <v>3249</v>
      </c>
    </row>
    <row r="2803" spans="1:4" hidden="1" x14ac:dyDescent="0.3">
      <c r="A2803">
        <v>2801</v>
      </c>
      <c r="B2803" t="s">
        <v>3250</v>
      </c>
      <c r="C2803" t="s">
        <v>196</v>
      </c>
      <c r="D2803">
        <v>149875211.07781699</v>
      </c>
    </row>
    <row r="2804" spans="1:4" hidden="1" x14ac:dyDescent="0.3">
      <c r="A2804">
        <v>2802</v>
      </c>
      <c r="B2804" t="s">
        <v>3251</v>
      </c>
      <c r="C2804" t="s">
        <v>198</v>
      </c>
      <c r="D2804">
        <v>-2352.6615709683101</v>
      </c>
    </row>
    <row r="2805" spans="1:4" hidden="1" x14ac:dyDescent="0.3">
      <c r="A2805">
        <v>2803</v>
      </c>
      <c r="B2805" t="s">
        <v>3252</v>
      </c>
      <c r="C2805" t="s">
        <v>200</v>
      </c>
      <c r="D2805">
        <v>-1029.24756267776</v>
      </c>
    </row>
    <row r="2806" spans="1:4" hidden="1" x14ac:dyDescent="0.3">
      <c r="A2806">
        <v>2804</v>
      </c>
      <c r="B2806" s="1" t="s">
        <v>3253</v>
      </c>
      <c r="C2806" t="s">
        <v>202</v>
      </c>
      <c r="D2806" s="1" t="s">
        <v>3254</v>
      </c>
    </row>
    <row r="2807" spans="1:4" hidden="1" x14ac:dyDescent="0.3">
      <c r="A2807">
        <v>2805</v>
      </c>
      <c r="B2807" t="s">
        <v>3255</v>
      </c>
      <c r="C2807" t="s">
        <v>205</v>
      </c>
      <c r="D2807">
        <v>80021387.199673101</v>
      </c>
    </row>
    <row r="2808" spans="1:4" hidden="1" x14ac:dyDescent="0.3">
      <c r="A2808">
        <v>2806</v>
      </c>
      <c r="B2808" t="s">
        <v>3256</v>
      </c>
      <c r="C2808" t="s">
        <v>207</v>
      </c>
      <c r="D2808">
        <v>35007932.612874001</v>
      </c>
    </row>
    <row r="2809" spans="1:4" hidden="1" x14ac:dyDescent="0.3">
      <c r="A2809">
        <v>2807</v>
      </c>
      <c r="B2809" t="s">
        <v>3257</v>
      </c>
      <c r="C2809" t="s">
        <v>209</v>
      </c>
      <c r="D2809">
        <v>34850297.787437901</v>
      </c>
    </row>
    <row r="2810" spans="1:4" hidden="1" x14ac:dyDescent="0.3">
      <c r="A2810">
        <v>2808</v>
      </c>
      <c r="B2810" s="1" t="s">
        <v>3258</v>
      </c>
      <c r="C2810" t="s">
        <v>211</v>
      </c>
      <c r="D2810" s="1" t="s">
        <v>3259</v>
      </c>
    </row>
    <row r="2811" spans="1:4" hidden="1" x14ac:dyDescent="0.3">
      <c r="A2811">
        <v>2809</v>
      </c>
      <c r="B2811" t="s">
        <v>3260</v>
      </c>
      <c r="C2811" t="s">
        <v>214</v>
      </c>
      <c r="D2811">
        <v>99985413.770930097</v>
      </c>
    </row>
    <row r="2812" spans="1:4" hidden="1" x14ac:dyDescent="0.3">
      <c r="A2812">
        <v>2810</v>
      </c>
      <c r="B2812" t="s">
        <v>3261</v>
      </c>
      <c r="C2812" t="s">
        <v>216</v>
      </c>
      <c r="D2812">
        <v>-2939.6121320575398</v>
      </c>
    </row>
    <row r="2813" spans="1:4" hidden="1" x14ac:dyDescent="0.3">
      <c r="A2813">
        <v>2811</v>
      </c>
      <c r="B2813" s="1" t="s">
        <v>3262</v>
      </c>
      <c r="C2813" t="s">
        <v>218</v>
      </c>
      <c r="D2813" s="1" t="s">
        <v>3263</v>
      </c>
    </row>
    <row r="2814" spans="1:4" hidden="1" x14ac:dyDescent="0.3">
      <c r="A2814">
        <v>2812</v>
      </c>
      <c r="B2814" t="s">
        <v>3264</v>
      </c>
      <c r="C2814" t="s">
        <v>111</v>
      </c>
      <c r="D2814">
        <v>742.35967823235399</v>
      </c>
    </row>
    <row r="2815" spans="1:4" hidden="1" x14ac:dyDescent="0.3">
      <c r="A2815">
        <v>2813</v>
      </c>
      <c r="B2815" t="s">
        <v>3265</v>
      </c>
      <c r="C2815" t="s">
        <v>113</v>
      </c>
      <c r="D2815">
        <v>111.285987824511</v>
      </c>
    </row>
    <row r="2816" spans="1:4" hidden="1" x14ac:dyDescent="0.3">
      <c r="A2816">
        <v>2814</v>
      </c>
      <c r="B2816" s="1" t="s">
        <v>3266</v>
      </c>
      <c r="C2816" t="s">
        <v>115</v>
      </c>
      <c r="D2816" s="1" t="s">
        <v>3267</v>
      </c>
    </row>
    <row r="2817" spans="1:4" hidden="1" x14ac:dyDescent="0.3">
      <c r="A2817">
        <v>2815</v>
      </c>
      <c r="B2817" t="s">
        <v>3268</v>
      </c>
      <c r="C2817" t="s">
        <v>118</v>
      </c>
      <c r="D2817">
        <v>80021387.199673101</v>
      </c>
    </row>
    <row r="2818" spans="1:4" hidden="1" x14ac:dyDescent="0.3">
      <c r="A2818">
        <v>2816</v>
      </c>
      <c r="B2818" t="s">
        <v>3269</v>
      </c>
      <c r="C2818" t="s">
        <v>120</v>
      </c>
      <c r="D2818">
        <v>35007932.612874001</v>
      </c>
    </row>
    <row r="2819" spans="1:4" hidden="1" x14ac:dyDescent="0.3">
      <c r="A2819">
        <v>2817</v>
      </c>
      <c r="B2819" s="1" t="s">
        <v>3270</v>
      </c>
      <c r="C2819" t="s">
        <v>122</v>
      </c>
      <c r="D2819" s="1" t="s">
        <v>3271</v>
      </c>
    </row>
    <row r="2820" spans="1:4" hidden="1" x14ac:dyDescent="0.3">
      <c r="A2820">
        <v>2818</v>
      </c>
      <c r="B2820" t="s">
        <v>3272</v>
      </c>
      <c r="C2820" t="s">
        <v>125</v>
      </c>
      <c r="D2820">
        <v>0.80019034538102096</v>
      </c>
    </row>
    <row r="2821" spans="1:4" hidden="1" x14ac:dyDescent="0.3">
      <c r="A2821">
        <v>2819</v>
      </c>
      <c r="B2821" t="s">
        <v>3273</v>
      </c>
      <c r="C2821" t="s">
        <v>127</v>
      </c>
      <c r="D2821">
        <v>0.35006903365311298</v>
      </c>
    </row>
    <row r="2822" spans="1:4" hidden="1" x14ac:dyDescent="0.3">
      <c r="A2822">
        <v>2820</v>
      </c>
      <c r="B2822" s="1" t="s">
        <v>3274</v>
      </c>
      <c r="C2822" t="s">
        <v>129</v>
      </c>
      <c r="D2822" s="1" t="s">
        <v>3275</v>
      </c>
    </row>
    <row r="2823" spans="1:4" ht="72" x14ac:dyDescent="0.3">
      <c r="A2823">
        <v>2821</v>
      </c>
      <c r="B2823" s="1" t="s">
        <v>3</v>
      </c>
      <c r="C2823" t="s">
        <v>4</v>
      </c>
      <c r="D2823" t="s">
        <v>5</v>
      </c>
    </row>
    <row r="2824" spans="1:4" hidden="1" x14ac:dyDescent="0.3">
      <c r="A2824">
        <v>2822</v>
      </c>
      <c r="B2824" t="s">
        <v>6</v>
      </c>
      <c r="C2824" t="s">
        <v>7</v>
      </c>
      <c r="D2824">
        <v>1981.95</v>
      </c>
    </row>
    <row r="2825" spans="1:4" hidden="1" x14ac:dyDescent="0.3">
      <c r="A2825">
        <v>2823</v>
      </c>
      <c r="B2825" s="1" t="s">
        <v>131</v>
      </c>
      <c r="C2825" t="s">
        <v>9</v>
      </c>
      <c r="D2825" s="1" t="s">
        <v>132</v>
      </c>
    </row>
    <row r="2826" spans="1:4" hidden="1" x14ac:dyDescent="0.3">
      <c r="A2826">
        <v>2824</v>
      </c>
      <c r="B2826" t="s">
        <v>13</v>
      </c>
      <c r="C2826" t="s">
        <v>14</v>
      </c>
      <c r="D2826">
        <v>91.74609375</v>
      </c>
    </row>
    <row r="2827" spans="1:4" hidden="1" x14ac:dyDescent="0.3">
      <c r="A2827">
        <v>2825</v>
      </c>
      <c r="B2827" t="s">
        <v>15</v>
      </c>
      <c r="C2827" t="s">
        <v>16</v>
      </c>
      <c r="D2827">
        <v>4.1883572307132804</v>
      </c>
    </row>
    <row r="2828" spans="1:4" hidden="1" x14ac:dyDescent="0.3">
      <c r="A2828">
        <v>2826</v>
      </c>
      <c r="B2828" s="1" t="s">
        <v>133</v>
      </c>
      <c r="C2828" t="s">
        <v>134</v>
      </c>
      <c r="D2828" s="1" t="s">
        <v>135</v>
      </c>
    </row>
    <row r="2829" spans="1:4" hidden="1" x14ac:dyDescent="0.3">
      <c r="A2829">
        <v>2827</v>
      </c>
      <c r="B2829" t="s">
        <v>21</v>
      </c>
      <c r="C2829" t="s">
        <v>22</v>
      </c>
      <c r="D2829">
        <v>38.25</v>
      </c>
    </row>
    <row r="2830" spans="1:4" hidden="1" x14ac:dyDescent="0.3">
      <c r="A2830">
        <v>2828</v>
      </c>
      <c r="B2830" t="s">
        <v>3276</v>
      </c>
      <c r="C2830" t="s">
        <v>24</v>
      </c>
      <c r="D2830">
        <v>5.63665792394628</v>
      </c>
    </row>
    <row r="2831" spans="1:4" hidden="1" x14ac:dyDescent="0.3">
      <c r="A2831">
        <v>2829</v>
      </c>
      <c r="B2831" s="1" t="s">
        <v>3277</v>
      </c>
      <c r="C2831" t="s">
        <v>138</v>
      </c>
      <c r="D2831" s="1" t="s">
        <v>3278</v>
      </c>
    </row>
    <row r="2832" spans="1:4" hidden="1" x14ac:dyDescent="0.3">
      <c r="A2832">
        <v>2830</v>
      </c>
      <c r="B2832" t="s">
        <v>3279</v>
      </c>
      <c r="C2832" t="s">
        <v>35</v>
      </c>
      <c r="D2832">
        <v>0.54729506643586501</v>
      </c>
    </row>
    <row r="2833" spans="1:4" hidden="1" x14ac:dyDescent="0.3">
      <c r="A2833">
        <v>2831</v>
      </c>
      <c r="B2833" t="s">
        <v>3280</v>
      </c>
      <c r="C2833" t="s">
        <v>142</v>
      </c>
      <c r="D2833">
        <v>0.702879520785617</v>
      </c>
    </row>
    <row r="2834" spans="1:4" hidden="1" x14ac:dyDescent="0.3">
      <c r="A2834">
        <v>2832</v>
      </c>
      <c r="B2834" s="1" t="s">
        <v>3281</v>
      </c>
      <c r="C2834" t="s">
        <v>144</v>
      </c>
      <c r="D2834" s="1" t="s">
        <v>3282</v>
      </c>
    </row>
    <row r="2835" spans="1:4" hidden="1" x14ac:dyDescent="0.3">
      <c r="A2835">
        <v>2833</v>
      </c>
      <c r="B2835" t="s">
        <v>3283</v>
      </c>
      <c r="C2835" t="s">
        <v>30</v>
      </c>
      <c r="D2835">
        <v>0.19327974963599701</v>
      </c>
    </row>
    <row r="2836" spans="1:4" hidden="1" x14ac:dyDescent="0.3">
      <c r="A2836">
        <v>2834</v>
      </c>
      <c r="B2836" t="s">
        <v>3284</v>
      </c>
      <c r="C2836" t="s">
        <v>32</v>
      </c>
      <c r="D2836">
        <v>0.231300497368052</v>
      </c>
    </row>
    <row r="2837" spans="1:4" hidden="1" x14ac:dyDescent="0.3">
      <c r="A2837">
        <v>2835</v>
      </c>
      <c r="B2837" s="1" t="s">
        <v>3285</v>
      </c>
      <c r="C2837" t="s">
        <v>148</v>
      </c>
      <c r="D2837" s="1" t="s">
        <v>3286</v>
      </c>
    </row>
    <row r="2838" spans="1:4" hidden="1" x14ac:dyDescent="0.3">
      <c r="A2838">
        <v>2836</v>
      </c>
      <c r="B2838" t="s">
        <v>3287</v>
      </c>
      <c r="C2838" t="s">
        <v>40</v>
      </c>
      <c r="D2838">
        <v>0.25942518392813702</v>
      </c>
    </row>
    <row r="2839" spans="1:4" hidden="1" x14ac:dyDescent="0.3">
      <c r="A2839">
        <v>2837</v>
      </c>
      <c r="B2839" t="s">
        <v>3288</v>
      </c>
      <c r="C2839" t="s">
        <v>42</v>
      </c>
      <c r="D2839">
        <v>0.191418433014621</v>
      </c>
    </row>
    <row r="2840" spans="1:4" hidden="1" x14ac:dyDescent="0.3">
      <c r="A2840">
        <v>2838</v>
      </c>
      <c r="B2840" s="1" t="s">
        <v>3289</v>
      </c>
      <c r="C2840" t="s">
        <v>152</v>
      </c>
      <c r="D2840" s="1" t="s">
        <v>3290</v>
      </c>
    </row>
    <row r="2841" spans="1:4" hidden="1" x14ac:dyDescent="0.3">
      <c r="A2841">
        <v>2839</v>
      </c>
      <c r="B2841" t="s">
        <v>153</v>
      </c>
      <c r="C2841" t="s">
        <v>154</v>
      </c>
      <c r="D2841">
        <v>1</v>
      </c>
    </row>
    <row r="2842" spans="1:4" hidden="1" x14ac:dyDescent="0.3">
      <c r="A2842">
        <v>2840</v>
      </c>
      <c r="B2842" t="s">
        <v>155</v>
      </c>
      <c r="C2842" t="s">
        <v>156</v>
      </c>
      <c r="D2842">
        <v>1</v>
      </c>
    </row>
    <row r="2843" spans="1:4" hidden="1" x14ac:dyDescent="0.3">
      <c r="A2843">
        <v>2841</v>
      </c>
      <c r="B2843" s="1" t="s">
        <v>3291</v>
      </c>
      <c r="C2843" t="s">
        <v>158</v>
      </c>
      <c r="D2843" s="1" t="s">
        <v>3292</v>
      </c>
    </row>
    <row r="2844" spans="1:4" hidden="1" x14ac:dyDescent="0.3">
      <c r="A2844">
        <v>2842</v>
      </c>
      <c r="B2844" t="s">
        <v>3293</v>
      </c>
      <c r="C2844" t="s">
        <v>161</v>
      </c>
      <c r="D2844">
        <v>0.99991792356783504</v>
      </c>
    </row>
    <row r="2845" spans="1:4" hidden="1" x14ac:dyDescent="0.3">
      <c r="A2845">
        <v>2843</v>
      </c>
      <c r="B2845" t="s">
        <v>3294</v>
      </c>
      <c r="C2845" t="s">
        <v>163</v>
      </c>
      <c r="D2845">
        <v>0.99967949255988398</v>
      </c>
    </row>
    <row r="2846" spans="1:4" hidden="1" x14ac:dyDescent="0.3">
      <c r="A2846">
        <v>2844</v>
      </c>
      <c r="B2846" s="1" t="s">
        <v>3295</v>
      </c>
      <c r="C2846" t="s">
        <v>165</v>
      </c>
      <c r="D2846" s="1" t="s">
        <v>3296</v>
      </c>
    </row>
    <row r="2847" spans="1:4" hidden="1" x14ac:dyDescent="0.3">
      <c r="A2847">
        <v>2845</v>
      </c>
      <c r="B2847" s="1" t="s">
        <v>3297</v>
      </c>
      <c r="C2847" t="s">
        <v>55</v>
      </c>
      <c r="D2847" s="1" t="s">
        <v>3298</v>
      </c>
    </row>
    <row r="2848" spans="1:4" hidden="1" x14ac:dyDescent="0.3">
      <c r="A2848">
        <v>2846</v>
      </c>
      <c r="B2848" s="1" t="s">
        <v>3299</v>
      </c>
      <c r="C2848" t="s">
        <v>52</v>
      </c>
      <c r="D2848" s="1" t="s">
        <v>3300</v>
      </c>
    </row>
    <row r="2849" spans="1:4" hidden="1" x14ac:dyDescent="0.3">
      <c r="A2849">
        <v>2847</v>
      </c>
      <c r="B2849" s="1" t="s">
        <v>3301</v>
      </c>
      <c r="C2849" t="s">
        <v>58</v>
      </c>
      <c r="D2849" s="1" t="s">
        <v>3302</v>
      </c>
    </row>
    <row r="2850" spans="1:4" hidden="1" x14ac:dyDescent="0.3">
      <c r="A2850">
        <v>2848</v>
      </c>
      <c r="B2850" t="s">
        <v>3303</v>
      </c>
      <c r="C2850" t="s">
        <v>60</v>
      </c>
      <c r="D2850">
        <v>149879554.746885</v>
      </c>
    </row>
    <row r="2851" spans="1:4" hidden="1" x14ac:dyDescent="0.3">
      <c r="A2851">
        <v>2849</v>
      </c>
      <c r="B2851" t="s">
        <v>3304</v>
      </c>
      <c r="C2851" t="s">
        <v>62</v>
      </c>
      <c r="D2851">
        <v>80021387.199673101</v>
      </c>
    </row>
    <row r="2852" spans="1:4" hidden="1" x14ac:dyDescent="0.3">
      <c r="A2852">
        <v>2850</v>
      </c>
      <c r="B2852" t="s">
        <v>3305</v>
      </c>
      <c r="C2852" t="s">
        <v>64</v>
      </c>
      <c r="D2852">
        <v>35007932.612874001</v>
      </c>
    </row>
    <row r="2853" spans="1:4" hidden="1" x14ac:dyDescent="0.3">
      <c r="A2853">
        <v>2851</v>
      </c>
      <c r="B2853" s="1" t="s">
        <v>3306</v>
      </c>
      <c r="C2853" t="s">
        <v>66</v>
      </c>
      <c r="D2853" s="1" t="s">
        <v>3307</v>
      </c>
    </row>
    <row r="2854" spans="1:4" hidden="1" x14ac:dyDescent="0.3">
      <c r="A2854">
        <v>2852</v>
      </c>
      <c r="B2854" s="1" t="s">
        <v>3308</v>
      </c>
      <c r="C2854" t="s">
        <v>69</v>
      </c>
      <c r="D2854" s="1" t="s">
        <v>3309</v>
      </c>
    </row>
    <row r="2855" spans="1:4" hidden="1" x14ac:dyDescent="0.3">
      <c r="A2855">
        <v>2853</v>
      </c>
      <c r="B2855" t="s">
        <v>3310</v>
      </c>
      <c r="C2855" t="s">
        <v>72</v>
      </c>
      <c r="D2855">
        <v>1.0001752891329101</v>
      </c>
    </row>
    <row r="2856" spans="1:4" hidden="1" x14ac:dyDescent="0.3">
      <c r="A2856">
        <v>2854</v>
      </c>
      <c r="B2856" t="s">
        <v>73</v>
      </c>
      <c r="C2856" t="s">
        <v>74</v>
      </c>
      <c r="D2856">
        <v>2.7397260273972599E-3</v>
      </c>
    </row>
    <row r="2857" spans="1:4" hidden="1" x14ac:dyDescent="0.3">
      <c r="A2857">
        <v>2855</v>
      </c>
      <c r="B2857" t="s">
        <v>75</v>
      </c>
      <c r="C2857" t="s">
        <v>76</v>
      </c>
      <c r="D2857">
        <v>0</v>
      </c>
    </row>
    <row r="2858" spans="1:4" hidden="1" x14ac:dyDescent="0.3">
      <c r="A2858">
        <v>2856</v>
      </c>
      <c r="B2858" t="s">
        <v>77</v>
      </c>
      <c r="C2858" t="s">
        <v>78</v>
      </c>
      <c r="D2858">
        <v>0</v>
      </c>
    </row>
    <row r="2859" spans="1:4" hidden="1" x14ac:dyDescent="0.3">
      <c r="A2859">
        <v>2857</v>
      </c>
      <c r="B2859" s="1" t="s">
        <v>3311</v>
      </c>
      <c r="C2859" t="s">
        <v>80</v>
      </c>
      <c r="D2859" s="1" t="s">
        <v>3312</v>
      </c>
    </row>
    <row r="2860" spans="1:4" hidden="1" x14ac:dyDescent="0.3">
      <c r="A2860">
        <v>2858</v>
      </c>
      <c r="B2860" t="s">
        <v>3313</v>
      </c>
      <c r="C2860" t="s">
        <v>83</v>
      </c>
      <c r="D2860">
        <v>1.00016769509554</v>
      </c>
    </row>
    <row r="2861" spans="1:4" hidden="1" x14ac:dyDescent="0.3">
      <c r="A2861">
        <v>2859</v>
      </c>
      <c r="B2861" s="1" t="s">
        <v>3314</v>
      </c>
      <c r="C2861" t="s">
        <v>85</v>
      </c>
      <c r="D2861" s="1" t="s">
        <v>3315</v>
      </c>
    </row>
    <row r="2862" spans="1:4" hidden="1" x14ac:dyDescent="0.3">
      <c r="A2862">
        <v>2860</v>
      </c>
      <c r="B2862" t="s">
        <v>3316</v>
      </c>
      <c r="C2862" t="s">
        <v>88</v>
      </c>
      <c r="D2862">
        <v>99983233.302138194</v>
      </c>
    </row>
    <row r="2863" spans="1:4" hidden="1" x14ac:dyDescent="0.3">
      <c r="A2863">
        <v>2861</v>
      </c>
      <c r="B2863" s="1" t="s">
        <v>3317</v>
      </c>
      <c r="C2863" t="s">
        <v>90</v>
      </c>
      <c r="D2863" s="1" t="s">
        <v>3263</v>
      </c>
    </row>
    <row r="2864" spans="1:4" hidden="1" x14ac:dyDescent="0.3">
      <c r="A2864">
        <v>2862</v>
      </c>
      <c r="B2864" t="s">
        <v>3318</v>
      </c>
      <c r="C2864" t="s">
        <v>93</v>
      </c>
      <c r="D2864">
        <v>80021387.199673101</v>
      </c>
    </row>
    <row r="2865" spans="1:4" hidden="1" x14ac:dyDescent="0.3">
      <c r="A2865">
        <v>2863</v>
      </c>
      <c r="B2865" t="s">
        <v>3319</v>
      </c>
      <c r="C2865" t="s">
        <v>95</v>
      </c>
      <c r="D2865">
        <v>35007932.612874001</v>
      </c>
    </row>
    <row r="2866" spans="1:4" hidden="1" x14ac:dyDescent="0.3">
      <c r="A2866">
        <v>2864</v>
      </c>
      <c r="B2866" t="s">
        <v>3320</v>
      </c>
      <c r="C2866" t="s">
        <v>97</v>
      </c>
      <c r="D2866">
        <v>34850234.934337899</v>
      </c>
    </row>
    <row r="2867" spans="1:4" hidden="1" x14ac:dyDescent="0.3">
      <c r="A2867">
        <v>2865</v>
      </c>
      <c r="B2867" s="1" t="s">
        <v>3321</v>
      </c>
      <c r="C2867" t="s">
        <v>99</v>
      </c>
      <c r="D2867" s="1" t="s">
        <v>3322</v>
      </c>
    </row>
    <row r="2868" spans="1:4" hidden="1" x14ac:dyDescent="0.3">
      <c r="A2868">
        <v>2866</v>
      </c>
      <c r="B2868" t="s">
        <v>3323</v>
      </c>
      <c r="C2868" t="s">
        <v>102</v>
      </c>
      <c r="D2868">
        <v>8.9703549138819803E-3</v>
      </c>
    </row>
    <row r="2869" spans="1:4" hidden="1" x14ac:dyDescent="0.3">
      <c r="A2869">
        <v>2867</v>
      </c>
      <c r="B2869" t="s">
        <v>3324</v>
      </c>
      <c r="C2869" t="s">
        <v>104</v>
      </c>
      <c r="D2869">
        <v>1.57811683845797E-3</v>
      </c>
    </row>
    <row r="2870" spans="1:4" hidden="1" x14ac:dyDescent="0.3">
      <c r="A2870">
        <v>2868</v>
      </c>
      <c r="B2870" t="s">
        <v>3325</v>
      </c>
      <c r="C2870" t="s">
        <v>106</v>
      </c>
      <c r="D2870">
        <v>2.1535287169824099E-2</v>
      </c>
    </row>
    <row r="2871" spans="1:4" hidden="1" x14ac:dyDescent="0.3">
      <c r="A2871">
        <v>2869</v>
      </c>
      <c r="B2871" s="1" t="s">
        <v>3326</v>
      </c>
      <c r="C2871" t="s">
        <v>108</v>
      </c>
      <c r="D2871" s="1" t="s">
        <v>3327</v>
      </c>
    </row>
    <row r="2872" spans="1:4" hidden="1" x14ac:dyDescent="0.3">
      <c r="A2872">
        <v>2870</v>
      </c>
      <c r="B2872" t="s">
        <v>3328</v>
      </c>
      <c r="C2872" t="s">
        <v>196</v>
      </c>
      <c r="D2872">
        <v>149879293.24621701</v>
      </c>
    </row>
    <row r="2873" spans="1:4" hidden="1" x14ac:dyDescent="0.3">
      <c r="A2873">
        <v>2871</v>
      </c>
      <c r="B2873" t="s">
        <v>3329</v>
      </c>
      <c r="C2873" t="s">
        <v>198</v>
      </c>
      <c r="D2873">
        <v>607.57736359889304</v>
      </c>
    </row>
    <row r="2874" spans="1:4" hidden="1" x14ac:dyDescent="0.3">
      <c r="A2874">
        <v>2872</v>
      </c>
      <c r="B2874" t="s">
        <v>3330</v>
      </c>
      <c r="C2874" t="s">
        <v>200</v>
      </c>
      <c r="D2874">
        <v>265.804725047722</v>
      </c>
    </row>
    <row r="2875" spans="1:4" hidden="1" x14ac:dyDescent="0.3">
      <c r="A2875">
        <v>2873</v>
      </c>
      <c r="B2875" s="1" t="s">
        <v>3331</v>
      </c>
      <c r="C2875" t="s">
        <v>202</v>
      </c>
      <c r="D2875" s="1" t="s">
        <v>3332</v>
      </c>
    </row>
    <row r="2876" spans="1:4" hidden="1" x14ac:dyDescent="0.3">
      <c r="A2876">
        <v>2874</v>
      </c>
      <c r="B2876" t="s">
        <v>3333</v>
      </c>
      <c r="C2876" t="s">
        <v>205</v>
      </c>
      <c r="D2876">
        <v>80020576.931716695</v>
      </c>
    </row>
    <row r="2877" spans="1:4" hidden="1" x14ac:dyDescent="0.3">
      <c r="A2877">
        <v>2875</v>
      </c>
      <c r="B2877" t="s">
        <v>3334</v>
      </c>
      <c r="C2877" t="s">
        <v>207</v>
      </c>
      <c r="D2877">
        <v>35007636.432513401</v>
      </c>
    </row>
    <row r="2878" spans="1:4" hidden="1" x14ac:dyDescent="0.3">
      <c r="A2878">
        <v>2876</v>
      </c>
      <c r="B2878" t="s">
        <v>3335</v>
      </c>
      <c r="C2878" t="s">
        <v>209</v>
      </c>
      <c r="D2878">
        <v>34849941.892510504</v>
      </c>
    </row>
    <row r="2879" spans="1:4" hidden="1" x14ac:dyDescent="0.3">
      <c r="A2879">
        <v>2877</v>
      </c>
      <c r="B2879" s="1" t="s">
        <v>3336</v>
      </c>
      <c r="C2879" t="s">
        <v>211</v>
      </c>
      <c r="D2879" s="1" t="s">
        <v>3337</v>
      </c>
    </row>
    <row r="2880" spans="1:4" hidden="1" x14ac:dyDescent="0.3">
      <c r="A2880">
        <v>2878</v>
      </c>
      <c r="B2880" t="s">
        <v>3338</v>
      </c>
      <c r="C2880" t="s">
        <v>214</v>
      </c>
      <c r="D2880">
        <v>99982474.158798099</v>
      </c>
    </row>
    <row r="2881" spans="1:4" hidden="1" x14ac:dyDescent="0.3">
      <c r="A2881">
        <v>2879</v>
      </c>
      <c r="B2881" t="s">
        <v>3339</v>
      </c>
      <c r="C2881" t="s">
        <v>216</v>
      </c>
      <c r="D2881">
        <v>759.14334018528405</v>
      </c>
    </row>
    <row r="2882" spans="1:4" hidden="1" x14ac:dyDescent="0.3">
      <c r="A2882">
        <v>2880</v>
      </c>
      <c r="B2882" s="1" t="s">
        <v>3340</v>
      </c>
      <c r="C2882" t="s">
        <v>218</v>
      </c>
      <c r="D2882" s="1" t="s">
        <v>3341</v>
      </c>
    </row>
    <row r="2883" spans="1:4" hidden="1" x14ac:dyDescent="0.3">
      <c r="A2883">
        <v>2881</v>
      </c>
      <c r="B2883" t="s">
        <v>3342</v>
      </c>
      <c r="C2883" t="s">
        <v>111</v>
      </c>
      <c r="D2883">
        <v>-202.69059272268399</v>
      </c>
    </row>
    <row r="2884" spans="1:4" hidden="1" x14ac:dyDescent="0.3">
      <c r="A2884">
        <v>2882</v>
      </c>
      <c r="B2884" t="s">
        <v>3343</v>
      </c>
      <c r="C2884" t="s">
        <v>113</v>
      </c>
      <c r="D2884">
        <v>-30.3756355089936</v>
      </c>
    </row>
    <row r="2885" spans="1:4" hidden="1" x14ac:dyDescent="0.3">
      <c r="A2885">
        <v>2883</v>
      </c>
      <c r="B2885" s="1" t="s">
        <v>3344</v>
      </c>
      <c r="C2885" t="s">
        <v>115</v>
      </c>
      <c r="D2885" s="1" t="s">
        <v>3345</v>
      </c>
    </row>
    <row r="2886" spans="1:4" hidden="1" x14ac:dyDescent="0.3">
      <c r="A2886">
        <v>2884</v>
      </c>
      <c r="B2886" t="s">
        <v>3346</v>
      </c>
      <c r="C2886" t="s">
        <v>118</v>
      </c>
      <c r="D2886">
        <v>80020576.931716695</v>
      </c>
    </row>
    <row r="2887" spans="1:4" hidden="1" x14ac:dyDescent="0.3">
      <c r="A2887">
        <v>2885</v>
      </c>
      <c r="B2887" t="s">
        <v>3347</v>
      </c>
      <c r="C2887" t="s">
        <v>120</v>
      </c>
      <c r="D2887">
        <v>35007636.432513401</v>
      </c>
    </row>
    <row r="2888" spans="1:4" hidden="1" x14ac:dyDescent="0.3">
      <c r="A2888">
        <v>2886</v>
      </c>
      <c r="B2888" s="1" t="s">
        <v>3348</v>
      </c>
      <c r="C2888" t="s">
        <v>122</v>
      </c>
      <c r="D2888" s="1" t="s">
        <v>3349</v>
      </c>
    </row>
    <row r="2889" spans="1:4" hidden="1" x14ac:dyDescent="0.3">
      <c r="A2889">
        <v>2887</v>
      </c>
      <c r="B2889" t="s">
        <v>3350</v>
      </c>
      <c r="C2889" t="s">
        <v>125</v>
      </c>
      <c r="D2889">
        <v>0.80021184509080301</v>
      </c>
    </row>
    <row r="2890" spans="1:4" hidden="1" x14ac:dyDescent="0.3">
      <c r="A2890">
        <v>2888</v>
      </c>
      <c r="B2890" t="s">
        <v>3351</v>
      </c>
      <c r="C2890" t="s">
        <v>127</v>
      </c>
      <c r="D2890">
        <v>0.35007902237238397</v>
      </c>
    </row>
    <row r="2891" spans="1:4" hidden="1" x14ac:dyDescent="0.3">
      <c r="A2891">
        <v>2889</v>
      </c>
      <c r="B2891" s="1" t="s">
        <v>3352</v>
      </c>
      <c r="C2891" t="s">
        <v>129</v>
      </c>
      <c r="D2891" s="1" t="s">
        <v>3353</v>
      </c>
    </row>
    <row r="2892" spans="1:4" ht="72" x14ac:dyDescent="0.3">
      <c r="A2892">
        <v>2890</v>
      </c>
      <c r="B2892" s="1" t="s">
        <v>3</v>
      </c>
      <c r="C2892" t="s">
        <v>4</v>
      </c>
      <c r="D2892" t="s">
        <v>5</v>
      </c>
    </row>
    <row r="2893" spans="1:4" hidden="1" x14ac:dyDescent="0.3">
      <c r="A2893">
        <v>2891</v>
      </c>
      <c r="B2893" t="s">
        <v>6</v>
      </c>
      <c r="C2893" t="s">
        <v>7</v>
      </c>
      <c r="D2893">
        <v>1981.95</v>
      </c>
    </row>
    <row r="2894" spans="1:4" hidden="1" x14ac:dyDescent="0.3">
      <c r="A2894">
        <v>2892</v>
      </c>
      <c r="B2894" s="1" t="s">
        <v>131</v>
      </c>
      <c r="C2894" t="s">
        <v>9</v>
      </c>
      <c r="D2894" s="1" t="s">
        <v>132</v>
      </c>
    </row>
    <row r="2895" spans="1:4" hidden="1" x14ac:dyDescent="0.3">
      <c r="A2895">
        <v>2893</v>
      </c>
      <c r="B2895" t="s">
        <v>13</v>
      </c>
      <c r="C2895" t="s">
        <v>14</v>
      </c>
      <c r="D2895">
        <v>91.74609375</v>
      </c>
    </row>
    <row r="2896" spans="1:4" hidden="1" x14ac:dyDescent="0.3">
      <c r="A2896">
        <v>2894</v>
      </c>
      <c r="B2896" t="s">
        <v>15</v>
      </c>
      <c r="C2896" t="s">
        <v>16</v>
      </c>
      <c r="D2896">
        <v>4.1883572307132804</v>
      </c>
    </row>
    <row r="2897" spans="1:4" hidden="1" x14ac:dyDescent="0.3">
      <c r="A2897">
        <v>2895</v>
      </c>
      <c r="B2897" s="1" t="s">
        <v>133</v>
      </c>
      <c r="C2897" t="s">
        <v>134</v>
      </c>
      <c r="D2897" s="1" t="s">
        <v>135</v>
      </c>
    </row>
    <row r="2898" spans="1:4" hidden="1" x14ac:dyDescent="0.3">
      <c r="A2898">
        <v>2896</v>
      </c>
      <c r="B2898" t="s">
        <v>21</v>
      </c>
      <c r="C2898" t="s">
        <v>22</v>
      </c>
      <c r="D2898">
        <v>38.25</v>
      </c>
    </row>
    <row r="2899" spans="1:4" hidden="1" x14ac:dyDescent="0.3">
      <c r="A2899">
        <v>2897</v>
      </c>
      <c r="B2899" t="s">
        <v>3354</v>
      </c>
      <c r="C2899" t="s">
        <v>24</v>
      </c>
      <c r="D2899">
        <v>5.6280693233750503</v>
      </c>
    </row>
    <row r="2900" spans="1:4" hidden="1" x14ac:dyDescent="0.3">
      <c r="A2900">
        <v>2898</v>
      </c>
      <c r="B2900" s="1" t="s">
        <v>3355</v>
      </c>
      <c r="C2900" t="s">
        <v>138</v>
      </c>
      <c r="D2900" s="1" t="s">
        <v>3356</v>
      </c>
    </row>
    <row r="2901" spans="1:4" hidden="1" x14ac:dyDescent="0.3">
      <c r="A2901">
        <v>2899</v>
      </c>
      <c r="B2901" t="s">
        <v>3357</v>
      </c>
      <c r="C2901" t="s">
        <v>35</v>
      </c>
      <c r="D2901">
        <v>0.54520498147538099</v>
      </c>
    </row>
    <row r="2902" spans="1:4" hidden="1" x14ac:dyDescent="0.3">
      <c r="A2902">
        <v>2900</v>
      </c>
      <c r="B2902" t="s">
        <v>3358</v>
      </c>
      <c r="C2902" t="s">
        <v>142</v>
      </c>
      <c r="D2902">
        <v>0.701971082151154</v>
      </c>
    </row>
    <row r="2903" spans="1:4" hidden="1" x14ac:dyDescent="0.3">
      <c r="A2903">
        <v>2901</v>
      </c>
      <c r="B2903" s="1" t="s">
        <v>3359</v>
      </c>
      <c r="C2903" t="s">
        <v>144</v>
      </c>
      <c r="D2903" s="1" t="s">
        <v>3360</v>
      </c>
    </row>
    <row r="2904" spans="1:4" hidden="1" x14ac:dyDescent="0.3">
      <c r="A2904">
        <v>2902</v>
      </c>
      <c r="B2904" t="s">
        <v>3361</v>
      </c>
      <c r="C2904" t="s">
        <v>30</v>
      </c>
      <c r="D2904">
        <v>0.19254162659660701</v>
      </c>
    </row>
    <row r="2905" spans="1:4" hidden="1" x14ac:dyDescent="0.3">
      <c r="A2905">
        <v>2903</v>
      </c>
      <c r="B2905" t="s">
        <v>3362</v>
      </c>
      <c r="C2905" t="s">
        <v>32</v>
      </c>
      <c r="D2905">
        <v>0.23239456774134701</v>
      </c>
    </row>
    <row r="2906" spans="1:4" hidden="1" x14ac:dyDescent="0.3">
      <c r="A2906">
        <v>2904</v>
      </c>
      <c r="B2906" s="1" t="s">
        <v>3363</v>
      </c>
      <c r="C2906" t="s">
        <v>148</v>
      </c>
      <c r="D2906" s="1" t="s">
        <v>3364</v>
      </c>
    </row>
    <row r="2907" spans="1:4" hidden="1" x14ac:dyDescent="0.3">
      <c r="A2907">
        <v>2905</v>
      </c>
      <c r="B2907" t="s">
        <v>3365</v>
      </c>
      <c r="C2907" t="s">
        <v>40</v>
      </c>
      <c r="D2907">
        <v>0.262253391928011</v>
      </c>
    </row>
    <row r="2908" spans="1:4" hidden="1" x14ac:dyDescent="0.3">
      <c r="A2908">
        <v>2906</v>
      </c>
      <c r="B2908" t="s">
        <v>3366</v>
      </c>
      <c r="C2908" t="s">
        <v>42</v>
      </c>
      <c r="D2908">
        <v>0.19216553940088901</v>
      </c>
    </row>
    <row r="2909" spans="1:4" hidden="1" x14ac:dyDescent="0.3">
      <c r="A2909">
        <v>2907</v>
      </c>
      <c r="B2909" s="1" t="s">
        <v>3367</v>
      </c>
      <c r="C2909" t="s">
        <v>152</v>
      </c>
      <c r="D2909" s="1" t="s">
        <v>3368</v>
      </c>
    </row>
    <row r="2910" spans="1:4" hidden="1" x14ac:dyDescent="0.3">
      <c r="A2910">
        <v>2908</v>
      </c>
      <c r="B2910" t="s">
        <v>153</v>
      </c>
      <c r="C2910" t="s">
        <v>154</v>
      </c>
      <c r="D2910">
        <v>1</v>
      </c>
    </row>
    <row r="2911" spans="1:4" hidden="1" x14ac:dyDescent="0.3">
      <c r="A2911">
        <v>2909</v>
      </c>
      <c r="B2911" t="s">
        <v>155</v>
      </c>
      <c r="C2911" t="s">
        <v>156</v>
      </c>
      <c r="D2911">
        <v>1</v>
      </c>
    </row>
    <row r="2912" spans="1:4" hidden="1" x14ac:dyDescent="0.3">
      <c r="A2912">
        <v>2910</v>
      </c>
      <c r="B2912" s="1" t="s">
        <v>3369</v>
      </c>
      <c r="C2912" t="s">
        <v>158</v>
      </c>
      <c r="D2912" s="1" t="s">
        <v>3370</v>
      </c>
    </row>
    <row r="2913" spans="1:4" hidden="1" x14ac:dyDescent="0.3">
      <c r="A2913">
        <v>2911</v>
      </c>
      <c r="B2913" t="s">
        <v>3371</v>
      </c>
      <c r="C2913" t="s">
        <v>161</v>
      </c>
      <c r="D2913">
        <v>0.99946652794670698</v>
      </c>
    </row>
    <row r="2914" spans="1:4" hidden="1" x14ac:dyDescent="0.3">
      <c r="A2914">
        <v>2912</v>
      </c>
      <c r="B2914" t="s">
        <v>3372</v>
      </c>
      <c r="C2914" t="s">
        <v>163</v>
      </c>
      <c r="D2914">
        <v>1.00088854863263</v>
      </c>
    </row>
    <row r="2915" spans="1:4" hidden="1" x14ac:dyDescent="0.3">
      <c r="A2915">
        <v>2913</v>
      </c>
      <c r="B2915" s="1" t="s">
        <v>3373</v>
      </c>
      <c r="C2915" t="s">
        <v>165</v>
      </c>
      <c r="D2915" s="1" t="s">
        <v>3374</v>
      </c>
    </row>
    <row r="2916" spans="1:4" hidden="1" x14ac:dyDescent="0.3">
      <c r="A2916">
        <v>2914</v>
      </c>
      <c r="B2916" s="1" t="s">
        <v>3375</v>
      </c>
      <c r="C2916" t="s">
        <v>55</v>
      </c>
      <c r="D2916" s="1" t="s">
        <v>3376</v>
      </c>
    </row>
    <row r="2917" spans="1:4" hidden="1" x14ac:dyDescent="0.3">
      <c r="A2917">
        <v>2915</v>
      </c>
      <c r="B2917" s="1" t="s">
        <v>3377</v>
      </c>
      <c r="C2917" t="s">
        <v>52</v>
      </c>
      <c r="D2917" s="1" t="s">
        <v>3378</v>
      </c>
    </row>
    <row r="2918" spans="1:4" hidden="1" x14ac:dyDescent="0.3">
      <c r="A2918">
        <v>2916</v>
      </c>
      <c r="B2918" s="1" t="s">
        <v>3379</v>
      </c>
      <c r="C2918" t="s">
        <v>58</v>
      </c>
      <c r="D2918" s="1" t="s">
        <v>3380</v>
      </c>
    </row>
    <row r="2919" spans="1:4" hidden="1" x14ac:dyDescent="0.3">
      <c r="A2919">
        <v>2917</v>
      </c>
      <c r="B2919" t="s">
        <v>3381</v>
      </c>
      <c r="C2919" t="s">
        <v>60</v>
      </c>
      <c r="D2919">
        <v>149871335.13771099</v>
      </c>
    </row>
    <row r="2920" spans="1:4" hidden="1" x14ac:dyDescent="0.3">
      <c r="A2920">
        <v>2918</v>
      </c>
      <c r="B2920" t="s">
        <v>3382</v>
      </c>
      <c r="C2920" t="s">
        <v>62</v>
      </c>
      <c r="D2920">
        <v>80020576.931716695</v>
      </c>
    </row>
    <row r="2921" spans="1:4" hidden="1" x14ac:dyDescent="0.3">
      <c r="A2921">
        <v>2919</v>
      </c>
      <c r="B2921" t="s">
        <v>3383</v>
      </c>
      <c r="C2921" t="s">
        <v>64</v>
      </c>
      <c r="D2921">
        <v>35007636.432513401</v>
      </c>
    </row>
    <row r="2922" spans="1:4" hidden="1" x14ac:dyDescent="0.3">
      <c r="A2922">
        <v>2920</v>
      </c>
      <c r="B2922" s="1" t="s">
        <v>3384</v>
      </c>
      <c r="C2922" t="s">
        <v>66</v>
      </c>
      <c r="D2922" s="1" t="s">
        <v>3385</v>
      </c>
    </row>
    <row r="2923" spans="1:4" hidden="1" x14ac:dyDescent="0.3">
      <c r="A2923">
        <v>2921</v>
      </c>
      <c r="B2923" s="1" t="s">
        <v>3386</v>
      </c>
      <c r="C2923" t="s">
        <v>69</v>
      </c>
      <c r="D2923" s="1" t="s">
        <v>3387</v>
      </c>
    </row>
    <row r="2924" spans="1:4" hidden="1" x14ac:dyDescent="0.3">
      <c r="A2924">
        <v>2922</v>
      </c>
      <c r="B2924" t="s">
        <v>3388</v>
      </c>
      <c r="C2924" t="s">
        <v>72</v>
      </c>
      <c r="D2924">
        <v>1.00016769509554</v>
      </c>
    </row>
    <row r="2925" spans="1:4" hidden="1" x14ac:dyDescent="0.3">
      <c r="A2925">
        <v>2923</v>
      </c>
      <c r="B2925" t="s">
        <v>73</v>
      </c>
      <c r="C2925" t="s">
        <v>74</v>
      </c>
      <c r="D2925">
        <v>2.7397260273972599E-3</v>
      </c>
    </row>
    <row r="2926" spans="1:4" hidden="1" x14ac:dyDescent="0.3">
      <c r="A2926">
        <v>2924</v>
      </c>
      <c r="B2926" t="s">
        <v>75</v>
      </c>
      <c r="C2926" t="s">
        <v>76</v>
      </c>
      <c r="D2926">
        <v>0</v>
      </c>
    </row>
    <row r="2927" spans="1:4" hidden="1" x14ac:dyDescent="0.3">
      <c r="A2927">
        <v>2925</v>
      </c>
      <c r="B2927" t="s">
        <v>77</v>
      </c>
      <c r="C2927" t="s">
        <v>78</v>
      </c>
      <c r="D2927">
        <v>0</v>
      </c>
    </row>
    <row r="2928" spans="1:4" hidden="1" x14ac:dyDescent="0.3">
      <c r="A2928">
        <v>2926</v>
      </c>
      <c r="B2928" s="1" t="s">
        <v>3389</v>
      </c>
      <c r="C2928" t="s">
        <v>80</v>
      </c>
      <c r="D2928" s="1" t="s">
        <v>3390</v>
      </c>
    </row>
    <row r="2929" spans="1:4" hidden="1" x14ac:dyDescent="0.3">
      <c r="A2929">
        <v>2927</v>
      </c>
      <c r="B2929" t="s">
        <v>3391</v>
      </c>
      <c r="C2929" t="s">
        <v>83</v>
      </c>
      <c r="D2929">
        <v>1.0001911803539101</v>
      </c>
    </row>
    <row r="2930" spans="1:4" hidden="1" x14ac:dyDescent="0.3">
      <c r="A2930">
        <v>2928</v>
      </c>
      <c r="B2930" s="1" t="s">
        <v>3392</v>
      </c>
      <c r="C2930" t="s">
        <v>85</v>
      </c>
      <c r="D2930" s="1" t="s">
        <v>3393</v>
      </c>
    </row>
    <row r="2931" spans="1:4" hidden="1" x14ac:dyDescent="0.3">
      <c r="A2931">
        <v>2929</v>
      </c>
      <c r="B2931" t="s">
        <v>3394</v>
      </c>
      <c r="C2931" t="s">
        <v>88</v>
      </c>
      <c r="D2931">
        <v>99980885.618902698</v>
      </c>
    </row>
    <row r="2932" spans="1:4" hidden="1" x14ac:dyDescent="0.3">
      <c r="A2932">
        <v>2930</v>
      </c>
      <c r="B2932" s="1" t="s">
        <v>3395</v>
      </c>
      <c r="C2932" t="s">
        <v>90</v>
      </c>
      <c r="D2932" s="1" t="s">
        <v>3341</v>
      </c>
    </row>
    <row r="2933" spans="1:4" hidden="1" x14ac:dyDescent="0.3">
      <c r="A2933">
        <v>2931</v>
      </c>
      <c r="B2933" t="s">
        <v>3396</v>
      </c>
      <c r="C2933" t="s">
        <v>93</v>
      </c>
      <c r="D2933">
        <v>80020576.931716695</v>
      </c>
    </row>
    <row r="2934" spans="1:4" hidden="1" x14ac:dyDescent="0.3">
      <c r="A2934">
        <v>2932</v>
      </c>
      <c r="B2934" t="s">
        <v>3397</v>
      </c>
      <c r="C2934" t="s">
        <v>95</v>
      </c>
      <c r="D2934">
        <v>35007636.432513401</v>
      </c>
    </row>
    <row r="2935" spans="1:4" hidden="1" x14ac:dyDescent="0.3">
      <c r="A2935">
        <v>2933</v>
      </c>
      <c r="B2935" t="s">
        <v>3398</v>
      </c>
      <c r="C2935" t="s">
        <v>97</v>
      </c>
      <c r="D2935">
        <v>34843121.773481101</v>
      </c>
    </row>
    <row r="2936" spans="1:4" hidden="1" x14ac:dyDescent="0.3">
      <c r="A2936">
        <v>2934</v>
      </c>
      <c r="B2936" s="1" t="s">
        <v>3399</v>
      </c>
      <c r="C2936" t="s">
        <v>99</v>
      </c>
      <c r="D2936" s="1" t="s">
        <v>3400</v>
      </c>
    </row>
    <row r="2937" spans="1:4" hidden="1" x14ac:dyDescent="0.3">
      <c r="A2937">
        <v>2935</v>
      </c>
      <c r="B2937" t="s">
        <v>3401</v>
      </c>
      <c r="C2937" t="s">
        <v>102</v>
      </c>
      <c r="D2937">
        <v>9.0140577466494495E-3</v>
      </c>
    </row>
    <row r="2938" spans="1:4" hidden="1" x14ac:dyDescent="0.3">
      <c r="A2938">
        <v>2936</v>
      </c>
      <c r="B2938" t="s">
        <v>3402</v>
      </c>
      <c r="C2938" t="s">
        <v>104</v>
      </c>
      <c r="D2938">
        <v>1.5906596113436299E-3</v>
      </c>
    </row>
    <row r="2939" spans="1:4" hidden="1" x14ac:dyDescent="0.3">
      <c r="A2939">
        <v>2937</v>
      </c>
      <c r="B2939" t="s">
        <v>3403</v>
      </c>
      <c r="C2939" t="s">
        <v>106</v>
      </c>
      <c r="D2939">
        <v>2.16417502488454E-2</v>
      </c>
    </row>
    <row r="2940" spans="1:4" hidden="1" x14ac:dyDescent="0.3">
      <c r="A2940">
        <v>2938</v>
      </c>
      <c r="B2940" s="1" t="s">
        <v>3404</v>
      </c>
      <c r="C2940" t="s">
        <v>108</v>
      </c>
      <c r="D2940" s="1" t="s">
        <v>3405</v>
      </c>
    </row>
    <row r="2941" spans="1:4" hidden="1" x14ac:dyDescent="0.3">
      <c r="A2941">
        <v>2939</v>
      </c>
      <c r="B2941" t="s">
        <v>3406</v>
      </c>
      <c r="C2941" t="s">
        <v>196</v>
      </c>
      <c r="D2941">
        <v>149872143.73781699</v>
      </c>
    </row>
    <row r="2942" spans="1:4" hidden="1" x14ac:dyDescent="0.3">
      <c r="A2942">
        <v>2940</v>
      </c>
      <c r="B2942" t="s">
        <v>3407</v>
      </c>
      <c r="C2942" t="s">
        <v>198</v>
      </c>
      <c r="D2942">
        <v>-1879.0027508954299</v>
      </c>
    </row>
    <row r="2943" spans="1:4" hidden="1" x14ac:dyDescent="0.3">
      <c r="A2943">
        <v>2941</v>
      </c>
      <c r="B2943" t="s">
        <v>3408</v>
      </c>
      <c r="C2943" t="s">
        <v>200</v>
      </c>
      <c r="D2943">
        <v>-822.02762115154201</v>
      </c>
    </row>
    <row r="2944" spans="1:4" hidden="1" x14ac:dyDescent="0.3">
      <c r="A2944">
        <v>2942</v>
      </c>
      <c r="B2944" s="1" t="s">
        <v>3409</v>
      </c>
      <c r="C2944" t="s">
        <v>202</v>
      </c>
      <c r="D2944" s="1" t="s">
        <v>3410</v>
      </c>
    </row>
    <row r="2945" spans="1:4" hidden="1" x14ac:dyDescent="0.3">
      <c r="A2945">
        <v>2943</v>
      </c>
      <c r="B2945" t="s">
        <v>3411</v>
      </c>
      <c r="C2945" t="s">
        <v>205</v>
      </c>
      <c r="D2945">
        <v>80023048.924508601</v>
      </c>
    </row>
    <row r="2946" spans="1:4" hidden="1" x14ac:dyDescent="0.3">
      <c r="A2946">
        <v>2944</v>
      </c>
      <c r="B2946" t="s">
        <v>3412</v>
      </c>
      <c r="C2946" t="s">
        <v>207</v>
      </c>
      <c r="D2946">
        <v>35008547.227171198</v>
      </c>
    </row>
    <row r="2947" spans="1:4" hidden="1" x14ac:dyDescent="0.3">
      <c r="A2947">
        <v>2945</v>
      </c>
      <c r="B2947" t="s">
        <v>3413</v>
      </c>
      <c r="C2947" t="s">
        <v>209</v>
      </c>
      <c r="D2947">
        <v>34844066.782003403</v>
      </c>
    </row>
    <row r="2948" spans="1:4" hidden="1" x14ac:dyDescent="0.3">
      <c r="A2948">
        <v>2946</v>
      </c>
      <c r="B2948" s="1" t="s">
        <v>3414</v>
      </c>
      <c r="C2948" t="s">
        <v>211</v>
      </c>
      <c r="D2948" s="1" t="s">
        <v>3415</v>
      </c>
    </row>
    <row r="2949" spans="1:4" hidden="1" x14ac:dyDescent="0.3">
      <c r="A2949">
        <v>2947</v>
      </c>
      <c r="B2949" t="s">
        <v>3416</v>
      </c>
      <c r="C2949" t="s">
        <v>214</v>
      </c>
      <c r="D2949">
        <v>99983233.302138194</v>
      </c>
    </row>
    <row r="2950" spans="1:4" hidden="1" x14ac:dyDescent="0.3">
      <c r="A2950">
        <v>2948</v>
      </c>
      <c r="B2950" t="s">
        <v>3417</v>
      </c>
      <c r="C2950" t="s">
        <v>216</v>
      </c>
      <c r="D2950">
        <v>-2347.6832355558799</v>
      </c>
    </row>
    <row r="2951" spans="1:4" hidden="1" x14ac:dyDescent="0.3">
      <c r="A2951">
        <v>2949</v>
      </c>
      <c r="B2951" s="1" t="s">
        <v>3418</v>
      </c>
      <c r="C2951" t="s">
        <v>218</v>
      </c>
      <c r="D2951" s="1" t="s">
        <v>3419</v>
      </c>
    </row>
    <row r="2952" spans="1:4" hidden="1" x14ac:dyDescent="0.3">
      <c r="A2952">
        <v>2950</v>
      </c>
      <c r="B2952" t="s">
        <v>3420</v>
      </c>
      <c r="C2952" t="s">
        <v>111</v>
      </c>
      <c r="D2952">
        <v>592.99004100323998</v>
      </c>
    </row>
    <row r="2953" spans="1:4" hidden="1" x14ac:dyDescent="0.3">
      <c r="A2953">
        <v>2951</v>
      </c>
      <c r="B2953" t="s">
        <v>3421</v>
      </c>
      <c r="C2953" t="s">
        <v>113</v>
      </c>
      <c r="D2953">
        <v>88.767036608459804</v>
      </c>
    </row>
    <row r="2954" spans="1:4" hidden="1" x14ac:dyDescent="0.3">
      <c r="A2954">
        <v>2952</v>
      </c>
      <c r="B2954" s="1" t="s">
        <v>3422</v>
      </c>
      <c r="C2954" t="s">
        <v>115</v>
      </c>
      <c r="D2954" s="1" t="s">
        <v>3423</v>
      </c>
    </row>
    <row r="2955" spans="1:4" hidden="1" x14ac:dyDescent="0.3">
      <c r="A2955">
        <v>2953</v>
      </c>
      <c r="B2955" t="s">
        <v>3424</v>
      </c>
      <c r="C2955" t="s">
        <v>118</v>
      </c>
      <c r="D2955">
        <v>80023048.924508601</v>
      </c>
    </row>
    <row r="2956" spans="1:4" hidden="1" x14ac:dyDescent="0.3">
      <c r="A2956">
        <v>2954</v>
      </c>
      <c r="B2956" t="s">
        <v>3425</v>
      </c>
      <c r="C2956" t="s">
        <v>120</v>
      </c>
      <c r="D2956">
        <v>35008547.227171198</v>
      </c>
    </row>
    <row r="2957" spans="1:4" hidden="1" x14ac:dyDescent="0.3">
      <c r="A2957">
        <v>2955</v>
      </c>
      <c r="B2957" s="1" t="s">
        <v>3426</v>
      </c>
      <c r="C2957" t="s">
        <v>122</v>
      </c>
      <c r="D2957" s="1" t="s">
        <v>3427</v>
      </c>
    </row>
    <row r="2958" spans="1:4" hidden="1" x14ac:dyDescent="0.3">
      <c r="A2958">
        <v>2956</v>
      </c>
      <c r="B2958" t="s">
        <v>3428</v>
      </c>
      <c r="C2958" t="s">
        <v>125</v>
      </c>
      <c r="D2958">
        <v>0.80021169921757695</v>
      </c>
    </row>
    <row r="2959" spans="1:4" hidden="1" x14ac:dyDescent="0.3">
      <c r="A2959">
        <v>2957</v>
      </c>
      <c r="B2959" t="s">
        <v>3429</v>
      </c>
      <c r="C2959" t="s">
        <v>127</v>
      </c>
      <c r="D2959">
        <v>0.35007725199549999</v>
      </c>
    </row>
    <row r="2960" spans="1:4" hidden="1" x14ac:dyDescent="0.3">
      <c r="A2960">
        <v>2958</v>
      </c>
      <c r="B2960" s="1" t="s">
        <v>3430</v>
      </c>
      <c r="C2960" t="s">
        <v>129</v>
      </c>
      <c r="D2960" s="1" t="s">
        <v>3431</v>
      </c>
    </row>
    <row r="2961" spans="1:4" ht="72" x14ac:dyDescent="0.3">
      <c r="A2961">
        <v>2959</v>
      </c>
      <c r="B2961" s="1" t="s">
        <v>3</v>
      </c>
      <c r="C2961" t="s">
        <v>4</v>
      </c>
      <c r="D2961" t="s">
        <v>5</v>
      </c>
    </row>
    <row r="2962" spans="1:4" hidden="1" x14ac:dyDescent="0.3">
      <c r="A2962">
        <v>2960</v>
      </c>
      <c r="B2962" t="s">
        <v>6</v>
      </c>
      <c r="C2962" t="s">
        <v>7</v>
      </c>
      <c r="D2962">
        <v>1981.95</v>
      </c>
    </row>
    <row r="2963" spans="1:4" hidden="1" x14ac:dyDescent="0.3">
      <c r="A2963">
        <v>2961</v>
      </c>
      <c r="B2963" s="1" t="s">
        <v>131</v>
      </c>
      <c r="C2963" t="s">
        <v>9</v>
      </c>
      <c r="D2963" s="1" t="s">
        <v>132</v>
      </c>
    </row>
    <row r="2964" spans="1:4" hidden="1" x14ac:dyDescent="0.3">
      <c r="A2964">
        <v>2962</v>
      </c>
      <c r="B2964" t="s">
        <v>13</v>
      </c>
      <c r="C2964" t="s">
        <v>14</v>
      </c>
      <c r="D2964">
        <v>91.74609375</v>
      </c>
    </row>
    <row r="2965" spans="1:4" hidden="1" x14ac:dyDescent="0.3">
      <c r="A2965">
        <v>2963</v>
      </c>
      <c r="B2965" t="s">
        <v>15</v>
      </c>
      <c r="C2965" t="s">
        <v>16</v>
      </c>
      <c r="D2965">
        <v>4.1883572307132804</v>
      </c>
    </row>
    <row r="2966" spans="1:4" hidden="1" x14ac:dyDescent="0.3">
      <c r="A2966">
        <v>2964</v>
      </c>
      <c r="B2966" s="1" t="s">
        <v>133</v>
      </c>
      <c r="C2966" t="s">
        <v>134</v>
      </c>
      <c r="D2966" s="1" t="s">
        <v>135</v>
      </c>
    </row>
    <row r="2967" spans="1:4" hidden="1" x14ac:dyDescent="0.3">
      <c r="A2967">
        <v>2965</v>
      </c>
      <c r="B2967" t="s">
        <v>21</v>
      </c>
      <c r="C2967" t="s">
        <v>22</v>
      </c>
      <c r="D2967">
        <v>38.25</v>
      </c>
    </row>
    <row r="2968" spans="1:4" hidden="1" x14ac:dyDescent="0.3">
      <c r="A2968">
        <v>2966</v>
      </c>
      <c r="B2968" t="s">
        <v>3432</v>
      </c>
      <c r="C2968" t="s">
        <v>24</v>
      </c>
      <c r="D2968">
        <v>5.6166047803158303</v>
      </c>
    </row>
    <row r="2969" spans="1:4" hidden="1" x14ac:dyDescent="0.3">
      <c r="A2969">
        <v>2967</v>
      </c>
      <c r="B2969" s="1" t="s">
        <v>3433</v>
      </c>
      <c r="C2969" t="s">
        <v>138</v>
      </c>
      <c r="D2969" s="1" t="s">
        <v>3434</v>
      </c>
    </row>
    <row r="2970" spans="1:4" hidden="1" x14ac:dyDescent="0.3">
      <c r="A2970">
        <v>2968</v>
      </c>
      <c r="B2970" t="s">
        <v>3435</v>
      </c>
      <c r="C2970" t="s">
        <v>35</v>
      </c>
      <c r="D2970">
        <v>0.54829974787667202</v>
      </c>
    </row>
    <row r="2971" spans="1:4" hidden="1" x14ac:dyDescent="0.3">
      <c r="A2971">
        <v>2969</v>
      </c>
      <c r="B2971" t="s">
        <v>3436</v>
      </c>
      <c r="C2971" t="s">
        <v>142</v>
      </c>
      <c r="D2971">
        <v>0.70084345217672595</v>
      </c>
    </row>
    <row r="2972" spans="1:4" hidden="1" x14ac:dyDescent="0.3">
      <c r="A2972">
        <v>2970</v>
      </c>
      <c r="B2972" s="1" t="s">
        <v>3437</v>
      </c>
      <c r="C2972" t="s">
        <v>144</v>
      </c>
      <c r="D2972" s="1" t="s">
        <v>3438</v>
      </c>
    </row>
    <row r="2973" spans="1:4" hidden="1" x14ac:dyDescent="0.3">
      <c r="A2973">
        <v>2971</v>
      </c>
      <c r="B2973" t="s">
        <v>3439</v>
      </c>
      <c r="C2973" t="s">
        <v>30</v>
      </c>
      <c r="D2973">
        <v>0.193634557470475</v>
      </c>
    </row>
    <row r="2974" spans="1:4" hidden="1" x14ac:dyDescent="0.3">
      <c r="A2974">
        <v>2972</v>
      </c>
      <c r="B2974" t="s">
        <v>3440</v>
      </c>
      <c r="C2974" t="s">
        <v>32</v>
      </c>
      <c r="D2974">
        <v>0.23317935491723199</v>
      </c>
    </row>
    <row r="2975" spans="1:4" hidden="1" x14ac:dyDescent="0.3">
      <c r="A2975">
        <v>2973</v>
      </c>
      <c r="B2975" s="1" t="s">
        <v>3441</v>
      </c>
      <c r="C2975" t="s">
        <v>148</v>
      </c>
      <c r="D2975" s="1" t="s">
        <v>3442</v>
      </c>
    </row>
    <row r="2976" spans="1:4" hidden="1" x14ac:dyDescent="0.3">
      <c r="A2976">
        <v>2974</v>
      </c>
      <c r="B2976" t="s">
        <v>3443</v>
      </c>
      <c r="C2976" t="s">
        <v>40</v>
      </c>
      <c r="D2976">
        <v>0.25806569465285101</v>
      </c>
    </row>
    <row r="2977" spans="1:4" hidden="1" x14ac:dyDescent="0.3">
      <c r="A2977">
        <v>2975</v>
      </c>
      <c r="B2977" t="s">
        <v>3444</v>
      </c>
      <c r="C2977" t="s">
        <v>42</v>
      </c>
      <c r="D2977">
        <v>0.193672814271384</v>
      </c>
    </row>
    <row r="2978" spans="1:4" hidden="1" x14ac:dyDescent="0.3">
      <c r="A2978">
        <v>2976</v>
      </c>
      <c r="B2978" s="1" t="s">
        <v>3445</v>
      </c>
      <c r="C2978" t="s">
        <v>152</v>
      </c>
      <c r="D2978" s="1" t="s">
        <v>3446</v>
      </c>
    </row>
    <row r="2979" spans="1:4" hidden="1" x14ac:dyDescent="0.3">
      <c r="A2979">
        <v>2977</v>
      </c>
      <c r="B2979" t="s">
        <v>153</v>
      </c>
      <c r="C2979" t="s">
        <v>154</v>
      </c>
      <c r="D2979">
        <v>1</v>
      </c>
    </row>
    <row r="2980" spans="1:4" hidden="1" x14ac:dyDescent="0.3">
      <c r="A2980">
        <v>2978</v>
      </c>
      <c r="B2980" t="s">
        <v>155</v>
      </c>
      <c r="C2980" t="s">
        <v>156</v>
      </c>
      <c r="D2980">
        <v>1</v>
      </c>
    </row>
    <row r="2981" spans="1:4" hidden="1" x14ac:dyDescent="0.3">
      <c r="A2981">
        <v>2979</v>
      </c>
      <c r="B2981" s="1" t="s">
        <v>3447</v>
      </c>
      <c r="C2981" t="s">
        <v>158</v>
      </c>
      <c r="D2981" s="1" t="s">
        <v>3448</v>
      </c>
    </row>
    <row r="2982" spans="1:4" hidden="1" x14ac:dyDescent="0.3">
      <c r="A2982">
        <v>2980</v>
      </c>
      <c r="B2982" t="s">
        <v>3449</v>
      </c>
      <c r="C2982" t="s">
        <v>161</v>
      </c>
      <c r="D2982">
        <v>0.99933745644314698</v>
      </c>
    </row>
    <row r="2983" spans="1:4" hidden="1" x14ac:dyDescent="0.3">
      <c r="A2983">
        <v>2981</v>
      </c>
      <c r="B2983" t="s">
        <v>3450</v>
      </c>
      <c r="C2983" t="s">
        <v>163</v>
      </c>
      <c r="D2983">
        <v>1.0006367986328599</v>
      </c>
    </row>
    <row r="2984" spans="1:4" hidden="1" x14ac:dyDescent="0.3">
      <c r="A2984">
        <v>2982</v>
      </c>
      <c r="B2984" s="1" t="s">
        <v>3451</v>
      </c>
      <c r="C2984" t="s">
        <v>165</v>
      </c>
      <c r="D2984" s="1" t="s">
        <v>3452</v>
      </c>
    </row>
    <row r="2985" spans="1:4" hidden="1" x14ac:dyDescent="0.3">
      <c r="A2985">
        <v>2983</v>
      </c>
      <c r="B2985" s="1" t="s">
        <v>3453</v>
      </c>
      <c r="C2985" t="s">
        <v>55</v>
      </c>
      <c r="D2985" s="1" t="s">
        <v>3454</v>
      </c>
    </row>
    <row r="2986" spans="1:4" hidden="1" x14ac:dyDescent="0.3">
      <c r="A2986">
        <v>2984</v>
      </c>
      <c r="B2986" s="1" t="s">
        <v>3455</v>
      </c>
      <c r="C2986" t="s">
        <v>52</v>
      </c>
      <c r="D2986" s="1" t="s">
        <v>3456</v>
      </c>
    </row>
    <row r="2987" spans="1:4" hidden="1" x14ac:dyDescent="0.3">
      <c r="A2987">
        <v>2985</v>
      </c>
      <c r="B2987" s="1" t="s">
        <v>3457</v>
      </c>
      <c r="C2987" t="s">
        <v>58</v>
      </c>
      <c r="D2987" s="1" t="s">
        <v>3458</v>
      </c>
    </row>
    <row r="2988" spans="1:4" hidden="1" x14ac:dyDescent="0.3">
      <c r="A2988">
        <v>2986</v>
      </c>
      <c r="B2988" t="s">
        <v>3459</v>
      </c>
      <c r="C2988" t="s">
        <v>60</v>
      </c>
      <c r="D2988">
        <v>149866558.81150699</v>
      </c>
    </row>
    <row r="2989" spans="1:4" hidden="1" x14ac:dyDescent="0.3">
      <c r="A2989">
        <v>2987</v>
      </c>
      <c r="B2989" t="s">
        <v>3460</v>
      </c>
      <c r="C2989" t="s">
        <v>62</v>
      </c>
      <c r="D2989">
        <v>80023048.924508601</v>
      </c>
    </row>
    <row r="2990" spans="1:4" hidden="1" x14ac:dyDescent="0.3">
      <c r="A2990">
        <v>2988</v>
      </c>
      <c r="B2990" t="s">
        <v>3461</v>
      </c>
      <c r="C2990" t="s">
        <v>64</v>
      </c>
      <c r="D2990">
        <v>35008547.227171198</v>
      </c>
    </row>
    <row r="2991" spans="1:4" hidden="1" x14ac:dyDescent="0.3">
      <c r="A2991">
        <v>2989</v>
      </c>
      <c r="B2991" s="1" t="s">
        <v>3462</v>
      </c>
      <c r="C2991" t="s">
        <v>66</v>
      </c>
      <c r="D2991" s="1" t="s">
        <v>3463</v>
      </c>
    </row>
    <row r="2992" spans="1:4" hidden="1" x14ac:dyDescent="0.3">
      <c r="A2992">
        <v>2990</v>
      </c>
      <c r="B2992" s="1" t="s">
        <v>3464</v>
      </c>
      <c r="C2992" t="s">
        <v>69</v>
      </c>
      <c r="D2992" s="1" t="s">
        <v>3465</v>
      </c>
    </row>
    <row r="2993" spans="1:4" hidden="1" x14ac:dyDescent="0.3">
      <c r="A2993">
        <v>2991</v>
      </c>
      <c r="B2993" t="s">
        <v>3466</v>
      </c>
      <c r="C2993" t="s">
        <v>72</v>
      </c>
      <c r="D2993">
        <v>1.0001911803539101</v>
      </c>
    </row>
    <row r="2994" spans="1:4" hidden="1" x14ac:dyDescent="0.3">
      <c r="A2994">
        <v>2992</v>
      </c>
      <c r="B2994" t="s">
        <v>73</v>
      </c>
      <c r="C2994" t="s">
        <v>74</v>
      </c>
      <c r="D2994">
        <v>2.7397260273972599E-3</v>
      </c>
    </row>
    <row r="2995" spans="1:4" hidden="1" x14ac:dyDescent="0.3">
      <c r="A2995">
        <v>2993</v>
      </c>
      <c r="B2995" t="s">
        <v>75</v>
      </c>
      <c r="C2995" t="s">
        <v>76</v>
      </c>
      <c r="D2995">
        <v>0</v>
      </c>
    </row>
    <row r="2996" spans="1:4" hidden="1" x14ac:dyDescent="0.3">
      <c r="A2996">
        <v>2994</v>
      </c>
      <c r="B2996" t="s">
        <v>77</v>
      </c>
      <c r="C2996" t="s">
        <v>78</v>
      </c>
      <c r="D2996">
        <v>0</v>
      </c>
    </row>
    <row r="2997" spans="1:4" hidden="1" x14ac:dyDescent="0.3">
      <c r="A2997">
        <v>2995</v>
      </c>
      <c r="B2997" s="1" t="s">
        <v>3467</v>
      </c>
      <c r="C2997" t="s">
        <v>80</v>
      </c>
      <c r="D2997" s="1" t="s">
        <v>3468</v>
      </c>
    </row>
    <row r="2998" spans="1:4" hidden="1" x14ac:dyDescent="0.3">
      <c r="A2998">
        <v>2996</v>
      </c>
      <c r="B2998" t="s">
        <v>3469</v>
      </c>
      <c r="C2998" t="s">
        <v>83</v>
      </c>
      <c r="D2998">
        <v>1.0001778622294599</v>
      </c>
    </row>
    <row r="2999" spans="1:4" hidden="1" x14ac:dyDescent="0.3">
      <c r="A2999">
        <v>2997</v>
      </c>
      <c r="B2999" s="1" t="s">
        <v>3470</v>
      </c>
      <c r="C2999" t="s">
        <v>85</v>
      </c>
      <c r="D2999" s="1" t="s">
        <v>3471</v>
      </c>
    </row>
    <row r="3000" spans="1:4" hidden="1" x14ac:dyDescent="0.3">
      <c r="A3000">
        <v>2998</v>
      </c>
      <c r="B3000" t="s">
        <v>3472</v>
      </c>
      <c r="C3000" t="s">
        <v>88</v>
      </c>
      <c r="D3000">
        <v>99982216.939988703</v>
      </c>
    </row>
    <row r="3001" spans="1:4" hidden="1" x14ac:dyDescent="0.3">
      <c r="A3001">
        <v>2999</v>
      </c>
      <c r="B3001" s="1" t="s">
        <v>3473</v>
      </c>
      <c r="C3001" t="s">
        <v>90</v>
      </c>
      <c r="D3001" s="1" t="s">
        <v>3419</v>
      </c>
    </row>
    <row r="3002" spans="1:4" hidden="1" x14ac:dyDescent="0.3">
      <c r="A3002">
        <v>3000</v>
      </c>
      <c r="B3002" t="s">
        <v>3474</v>
      </c>
      <c r="C3002" t="s">
        <v>93</v>
      </c>
      <c r="D3002">
        <v>80023048.924508601</v>
      </c>
    </row>
    <row r="3003" spans="1:4" hidden="1" x14ac:dyDescent="0.3">
      <c r="A3003">
        <v>3001</v>
      </c>
      <c r="B3003" t="s">
        <v>3475</v>
      </c>
      <c r="C3003" t="s">
        <v>95</v>
      </c>
      <c r="D3003">
        <v>35008547.227171198</v>
      </c>
    </row>
    <row r="3004" spans="1:4" hidden="1" x14ac:dyDescent="0.3">
      <c r="A3004">
        <v>3002</v>
      </c>
      <c r="B3004" t="s">
        <v>3476</v>
      </c>
      <c r="C3004" t="s">
        <v>97</v>
      </c>
      <c r="D3004">
        <v>34834962.659827098</v>
      </c>
    </row>
    <row r="3005" spans="1:4" hidden="1" x14ac:dyDescent="0.3">
      <c r="A3005">
        <v>3003</v>
      </c>
      <c r="B3005" s="1" t="s">
        <v>3477</v>
      </c>
      <c r="C3005" t="s">
        <v>99</v>
      </c>
      <c r="D3005" s="1" t="s">
        <v>3478</v>
      </c>
    </row>
    <row r="3006" spans="1:4" hidden="1" x14ac:dyDescent="0.3">
      <c r="A3006">
        <v>3004</v>
      </c>
      <c r="B3006" t="s">
        <v>3479</v>
      </c>
      <c r="C3006" t="s">
        <v>102</v>
      </c>
      <c r="D3006">
        <v>9.0760333924440901E-3</v>
      </c>
    </row>
    <row r="3007" spans="1:4" hidden="1" x14ac:dyDescent="0.3">
      <c r="A3007">
        <v>3005</v>
      </c>
      <c r="B3007" t="s">
        <v>3480</v>
      </c>
      <c r="C3007" t="s">
        <v>104</v>
      </c>
      <c r="D3007">
        <v>1.60325692589053E-3</v>
      </c>
    </row>
    <row r="3008" spans="1:4" hidden="1" x14ac:dyDescent="0.3">
      <c r="A3008">
        <v>3006</v>
      </c>
      <c r="B3008" t="s">
        <v>3481</v>
      </c>
      <c r="C3008" t="s">
        <v>106</v>
      </c>
      <c r="D3008">
        <v>2.1783837984711299E-2</v>
      </c>
    </row>
    <row r="3009" spans="1:4" hidden="1" x14ac:dyDescent="0.3">
      <c r="A3009">
        <v>3007</v>
      </c>
      <c r="B3009" s="1" t="s">
        <v>3482</v>
      </c>
      <c r="C3009" t="s">
        <v>108</v>
      </c>
      <c r="D3009" s="1" t="s">
        <v>3483</v>
      </c>
    </row>
    <row r="3010" spans="1:4" hidden="1" x14ac:dyDescent="0.3">
      <c r="A3010">
        <v>3008</v>
      </c>
      <c r="B3010" t="s">
        <v>3484</v>
      </c>
      <c r="C3010" t="s">
        <v>196</v>
      </c>
      <c r="D3010">
        <v>149866100.27228901</v>
      </c>
    </row>
    <row r="3011" spans="1:4" hidden="1" x14ac:dyDescent="0.3">
      <c r="A3011">
        <v>3009</v>
      </c>
      <c r="B3011" t="s">
        <v>3485</v>
      </c>
      <c r="C3011" t="s">
        <v>198</v>
      </c>
      <c r="D3011">
        <v>1065.5484781907101</v>
      </c>
    </row>
    <row r="3012" spans="1:4" hidden="1" x14ac:dyDescent="0.3">
      <c r="A3012">
        <v>3010</v>
      </c>
      <c r="B3012" t="s">
        <v>3486</v>
      </c>
      <c r="C3012" t="s">
        <v>200</v>
      </c>
      <c r="D3012">
        <v>466.15835965155298</v>
      </c>
    </row>
    <row r="3013" spans="1:4" hidden="1" x14ac:dyDescent="0.3">
      <c r="A3013">
        <v>3011</v>
      </c>
      <c r="B3013" s="1" t="s">
        <v>3487</v>
      </c>
      <c r="C3013" t="s">
        <v>202</v>
      </c>
      <c r="D3013" s="1" t="s">
        <v>3488</v>
      </c>
    </row>
    <row r="3014" spans="1:4" hidden="1" x14ac:dyDescent="0.3">
      <c r="A3014">
        <v>3012</v>
      </c>
      <c r="B3014" t="s">
        <v>3489</v>
      </c>
      <c r="C3014" t="s">
        <v>205</v>
      </c>
      <c r="D3014">
        <v>80021627.870636493</v>
      </c>
    </row>
    <row r="3015" spans="1:4" hidden="1" x14ac:dyDescent="0.3">
      <c r="A3015">
        <v>3013</v>
      </c>
      <c r="B3015" t="s">
        <v>3490</v>
      </c>
      <c r="C3015" t="s">
        <v>207</v>
      </c>
      <c r="D3015">
        <v>35008027.835732602</v>
      </c>
    </row>
    <row r="3016" spans="1:4" hidden="1" x14ac:dyDescent="0.3">
      <c r="A3016">
        <v>3014</v>
      </c>
      <c r="B3016" t="s">
        <v>3491</v>
      </c>
      <c r="C3016" t="s">
        <v>209</v>
      </c>
      <c r="D3016">
        <v>34834449.012055598</v>
      </c>
    </row>
    <row r="3017" spans="1:4" hidden="1" x14ac:dyDescent="0.3">
      <c r="A3017">
        <v>3015</v>
      </c>
      <c r="B3017" s="1" t="s">
        <v>3492</v>
      </c>
      <c r="C3017" t="s">
        <v>211</v>
      </c>
      <c r="D3017" s="1" t="s">
        <v>3493</v>
      </c>
    </row>
    <row r="3018" spans="1:4" hidden="1" x14ac:dyDescent="0.3">
      <c r="A3018">
        <v>3016</v>
      </c>
      <c r="B3018" t="s">
        <v>3494</v>
      </c>
      <c r="C3018" t="s">
        <v>214</v>
      </c>
      <c r="D3018">
        <v>99980885.618902698</v>
      </c>
    </row>
    <row r="3019" spans="1:4" hidden="1" x14ac:dyDescent="0.3">
      <c r="A3019">
        <v>3017</v>
      </c>
      <c r="B3019" t="s">
        <v>3495</v>
      </c>
      <c r="C3019" t="s">
        <v>216</v>
      </c>
      <c r="D3019">
        <v>1331.32108598947</v>
      </c>
    </row>
    <row r="3020" spans="1:4" hidden="1" x14ac:dyDescent="0.3">
      <c r="A3020">
        <v>3018</v>
      </c>
      <c r="B3020" s="1" t="s">
        <v>3496</v>
      </c>
      <c r="C3020" t="s">
        <v>218</v>
      </c>
      <c r="D3020" s="1" t="s">
        <v>3497</v>
      </c>
    </row>
    <row r="3021" spans="1:4" hidden="1" x14ac:dyDescent="0.3">
      <c r="A3021">
        <v>3019</v>
      </c>
      <c r="B3021" t="s">
        <v>3498</v>
      </c>
      <c r="C3021" t="s">
        <v>111</v>
      </c>
      <c r="D3021">
        <v>-355.505393949123</v>
      </c>
    </row>
    <row r="3022" spans="1:4" hidden="1" x14ac:dyDescent="0.3">
      <c r="A3022">
        <v>3020</v>
      </c>
      <c r="B3022" t="s">
        <v>3499</v>
      </c>
      <c r="C3022" t="s">
        <v>113</v>
      </c>
      <c r="D3022">
        <v>-53.233078948858498</v>
      </c>
    </row>
    <row r="3023" spans="1:4" hidden="1" x14ac:dyDescent="0.3">
      <c r="A3023">
        <v>3021</v>
      </c>
      <c r="B3023" s="1" t="s">
        <v>3500</v>
      </c>
      <c r="C3023" t="s">
        <v>115</v>
      </c>
      <c r="D3023" s="1" t="s">
        <v>3501</v>
      </c>
    </row>
    <row r="3024" spans="1:4" hidden="1" x14ac:dyDescent="0.3">
      <c r="A3024">
        <v>3022</v>
      </c>
      <c r="B3024" t="s">
        <v>3502</v>
      </c>
      <c r="C3024" t="s">
        <v>118</v>
      </c>
      <c r="D3024">
        <v>80021627.870636493</v>
      </c>
    </row>
    <row r="3025" spans="1:4" hidden="1" x14ac:dyDescent="0.3">
      <c r="A3025">
        <v>3023</v>
      </c>
      <c r="B3025" t="s">
        <v>3503</v>
      </c>
      <c r="C3025" t="s">
        <v>120</v>
      </c>
      <c r="D3025">
        <v>35008027.835732602</v>
      </c>
    </row>
    <row r="3026" spans="1:4" hidden="1" x14ac:dyDescent="0.3">
      <c r="A3026">
        <v>3024</v>
      </c>
      <c r="B3026" s="1" t="s">
        <v>3504</v>
      </c>
      <c r="C3026" t="s">
        <v>122</v>
      </c>
      <c r="D3026" s="1" t="s">
        <v>3505</v>
      </c>
    </row>
    <row r="3027" spans="1:4" hidden="1" x14ac:dyDescent="0.3">
      <c r="A3027">
        <v>3025</v>
      </c>
      <c r="B3027" t="s">
        <v>3506</v>
      </c>
      <c r="C3027" t="s">
        <v>125</v>
      </c>
      <c r="D3027">
        <v>0.80022693419114699</v>
      </c>
    </row>
    <row r="3028" spans="1:4" hidden="1" x14ac:dyDescent="0.3">
      <c r="A3028">
        <v>3026</v>
      </c>
      <c r="B3028" t="s">
        <v>3507</v>
      </c>
      <c r="C3028" t="s">
        <v>127</v>
      </c>
      <c r="D3028">
        <v>0.35008493994092199</v>
      </c>
    </row>
    <row r="3029" spans="1:4" hidden="1" x14ac:dyDescent="0.3">
      <c r="A3029">
        <v>3027</v>
      </c>
      <c r="B3029" s="1" t="s">
        <v>3508</v>
      </c>
      <c r="C3029" t="s">
        <v>129</v>
      </c>
      <c r="D3029" s="1" t="s">
        <v>3509</v>
      </c>
    </row>
    <row r="3030" spans="1:4" ht="72" x14ac:dyDescent="0.3">
      <c r="A3030">
        <v>3028</v>
      </c>
      <c r="B3030" s="1" t="s">
        <v>3</v>
      </c>
      <c r="C3030" t="s">
        <v>4</v>
      </c>
      <c r="D3030" t="s">
        <v>5</v>
      </c>
    </row>
    <row r="3031" spans="1:4" hidden="1" x14ac:dyDescent="0.3">
      <c r="A3031">
        <v>3029</v>
      </c>
      <c r="B3031" t="s">
        <v>6</v>
      </c>
      <c r="C3031" t="s">
        <v>7</v>
      </c>
      <c r="D3031">
        <v>1981.95</v>
      </c>
    </row>
    <row r="3032" spans="1:4" hidden="1" x14ac:dyDescent="0.3">
      <c r="A3032">
        <v>3030</v>
      </c>
      <c r="B3032" s="1" t="s">
        <v>131</v>
      </c>
      <c r="C3032" t="s">
        <v>9</v>
      </c>
      <c r="D3032" s="1" t="s">
        <v>132</v>
      </c>
    </row>
    <row r="3033" spans="1:4" hidden="1" x14ac:dyDescent="0.3">
      <c r="A3033">
        <v>3031</v>
      </c>
      <c r="B3033" t="s">
        <v>13</v>
      </c>
      <c r="C3033" t="s">
        <v>14</v>
      </c>
      <c r="D3033">
        <v>91.74609375</v>
      </c>
    </row>
    <row r="3034" spans="1:4" hidden="1" x14ac:dyDescent="0.3">
      <c r="A3034">
        <v>3032</v>
      </c>
      <c r="B3034" t="s">
        <v>15</v>
      </c>
      <c r="C3034" t="s">
        <v>16</v>
      </c>
      <c r="D3034">
        <v>4.1883572307132804</v>
      </c>
    </row>
    <row r="3035" spans="1:4" hidden="1" x14ac:dyDescent="0.3">
      <c r="A3035">
        <v>3033</v>
      </c>
      <c r="B3035" s="1" t="s">
        <v>133</v>
      </c>
      <c r="C3035" t="s">
        <v>134</v>
      </c>
      <c r="D3035" s="1" t="s">
        <v>135</v>
      </c>
    </row>
    <row r="3036" spans="1:4" hidden="1" x14ac:dyDescent="0.3">
      <c r="A3036">
        <v>3034</v>
      </c>
      <c r="B3036" t="s">
        <v>21</v>
      </c>
      <c r="C3036" t="s">
        <v>22</v>
      </c>
      <c r="D3036">
        <v>38.25</v>
      </c>
    </row>
    <row r="3037" spans="1:4" hidden="1" x14ac:dyDescent="0.3">
      <c r="A3037">
        <v>3035</v>
      </c>
      <c r="B3037" t="s">
        <v>3510</v>
      </c>
      <c r="C3037" t="s">
        <v>24</v>
      </c>
      <c r="D3037">
        <v>5.6010853027929901</v>
      </c>
    </row>
    <row r="3038" spans="1:4" hidden="1" x14ac:dyDescent="0.3">
      <c r="A3038">
        <v>3036</v>
      </c>
      <c r="B3038" s="1" t="s">
        <v>3511</v>
      </c>
      <c r="C3038" t="s">
        <v>138</v>
      </c>
      <c r="D3038" s="1" t="s">
        <v>3512</v>
      </c>
    </row>
    <row r="3039" spans="1:4" hidden="1" x14ac:dyDescent="0.3">
      <c r="A3039">
        <v>3037</v>
      </c>
      <c r="B3039" t="s">
        <v>3513</v>
      </c>
      <c r="C3039" t="s">
        <v>35</v>
      </c>
      <c r="D3039">
        <v>0.54592342303871</v>
      </c>
    </row>
    <row r="3040" spans="1:4" hidden="1" x14ac:dyDescent="0.3">
      <c r="A3040">
        <v>3038</v>
      </c>
      <c r="B3040" t="s">
        <v>3514</v>
      </c>
      <c r="C3040" t="s">
        <v>142</v>
      </c>
      <c r="D3040">
        <v>0.70125563356959197</v>
      </c>
    </row>
    <row r="3041" spans="1:4" hidden="1" x14ac:dyDescent="0.3">
      <c r="A3041">
        <v>3039</v>
      </c>
      <c r="B3041" s="1" t="s">
        <v>3515</v>
      </c>
      <c r="C3041" t="s">
        <v>144</v>
      </c>
      <c r="D3041" s="1" t="s">
        <v>3516</v>
      </c>
    </row>
    <row r="3042" spans="1:4" hidden="1" x14ac:dyDescent="0.3">
      <c r="A3042">
        <v>3040</v>
      </c>
      <c r="B3042" t="s">
        <v>3517</v>
      </c>
      <c r="C3042" t="s">
        <v>30</v>
      </c>
      <c r="D3042">
        <v>0.19279534751244301</v>
      </c>
    </row>
    <row r="3043" spans="1:4" hidden="1" x14ac:dyDescent="0.3">
      <c r="A3043">
        <v>3041</v>
      </c>
      <c r="B3043" t="s">
        <v>3518</v>
      </c>
      <c r="C3043" t="s">
        <v>32</v>
      </c>
      <c r="D3043">
        <v>0.232757532811215</v>
      </c>
    </row>
    <row r="3044" spans="1:4" hidden="1" x14ac:dyDescent="0.3">
      <c r="A3044">
        <v>3042</v>
      </c>
      <c r="B3044" s="1" t="s">
        <v>3519</v>
      </c>
      <c r="C3044" t="s">
        <v>148</v>
      </c>
      <c r="D3044" s="1" t="s">
        <v>3520</v>
      </c>
    </row>
    <row r="3045" spans="1:4" hidden="1" x14ac:dyDescent="0.3">
      <c r="A3045">
        <v>3043</v>
      </c>
      <c r="B3045" t="s">
        <v>3521</v>
      </c>
      <c r="C3045" t="s">
        <v>40</v>
      </c>
      <c r="D3045">
        <v>0.26128122944884502</v>
      </c>
    </row>
    <row r="3046" spans="1:4" hidden="1" x14ac:dyDescent="0.3">
      <c r="A3046">
        <v>3044</v>
      </c>
      <c r="B3046" t="s">
        <v>3522</v>
      </c>
      <c r="C3046" t="s">
        <v>42</v>
      </c>
      <c r="D3046">
        <v>0.193255966588016</v>
      </c>
    </row>
    <row r="3047" spans="1:4" hidden="1" x14ac:dyDescent="0.3">
      <c r="A3047">
        <v>3045</v>
      </c>
      <c r="B3047" s="1" t="s">
        <v>3523</v>
      </c>
      <c r="C3047" t="s">
        <v>152</v>
      </c>
      <c r="D3047" s="1" t="s">
        <v>3524</v>
      </c>
    </row>
    <row r="3048" spans="1:4" hidden="1" x14ac:dyDescent="0.3">
      <c r="A3048">
        <v>3046</v>
      </c>
      <c r="B3048" t="s">
        <v>153</v>
      </c>
      <c r="C3048" t="s">
        <v>154</v>
      </c>
      <c r="D3048">
        <v>1</v>
      </c>
    </row>
    <row r="3049" spans="1:4" hidden="1" x14ac:dyDescent="0.3">
      <c r="A3049">
        <v>3047</v>
      </c>
      <c r="B3049" t="s">
        <v>155</v>
      </c>
      <c r="C3049" t="s">
        <v>156</v>
      </c>
      <c r="D3049">
        <v>1</v>
      </c>
    </row>
    <row r="3050" spans="1:4" hidden="1" x14ac:dyDescent="0.3">
      <c r="A3050">
        <v>3048</v>
      </c>
      <c r="B3050" s="1" t="s">
        <v>3525</v>
      </c>
      <c r="C3050" t="s">
        <v>158</v>
      </c>
      <c r="D3050" s="1" t="s">
        <v>3526</v>
      </c>
    </row>
    <row r="3051" spans="1:4" hidden="1" x14ac:dyDescent="0.3">
      <c r="A3051">
        <v>3049</v>
      </c>
      <c r="B3051" t="s">
        <v>3527</v>
      </c>
      <c r="C3051" t="s">
        <v>161</v>
      </c>
      <c r="D3051">
        <v>1.00024233940656</v>
      </c>
    </row>
    <row r="3052" spans="1:4" hidden="1" x14ac:dyDescent="0.3">
      <c r="A3052">
        <v>3050</v>
      </c>
      <c r="B3052" t="s">
        <v>3528</v>
      </c>
      <c r="C3052" t="s">
        <v>163</v>
      </c>
      <c r="D3052">
        <v>0.99965793937083403</v>
      </c>
    </row>
    <row r="3053" spans="1:4" hidden="1" x14ac:dyDescent="0.3">
      <c r="A3053">
        <v>3051</v>
      </c>
      <c r="B3053" s="1" t="s">
        <v>3529</v>
      </c>
      <c r="C3053" t="s">
        <v>165</v>
      </c>
      <c r="D3053" s="1" t="s">
        <v>3530</v>
      </c>
    </row>
    <row r="3054" spans="1:4" hidden="1" x14ac:dyDescent="0.3">
      <c r="A3054">
        <v>3052</v>
      </c>
      <c r="B3054" s="1" t="s">
        <v>3531</v>
      </c>
      <c r="C3054" t="s">
        <v>55</v>
      </c>
      <c r="D3054" s="1" t="s">
        <v>3532</v>
      </c>
    </row>
    <row r="3055" spans="1:4" hidden="1" x14ac:dyDescent="0.3">
      <c r="A3055">
        <v>3053</v>
      </c>
      <c r="B3055" s="1" t="s">
        <v>3533</v>
      </c>
      <c r="C3055" t="s">
        <v>52</v>
      </c>
      <c r="D3055" s="1" t="s">
        <v>3534</v>
      </c>
    </row>
    <row r="3056" spans="1:4" hidden="1" x14ac:dyDescent="0.3">
      <c r="A3056">
        <v>3054</v>
      </c>
      <c r="B3056" s="1" t="s">
        <v>3535</v>
      </c>
      <c r="C3056" t="s">
        <v>58</v>
      </c>
      <c r="D3056" s="1" t="s">
        <v>3536</v>
      </c>
    </row>
    <row r="3057" spans="1:4" hidden="1" x14ac:dyDescent="0.3">
      <c r="A3057">
        <v>3055</v>
      </c>
      <c r="B3057" t="s">
        <v>3537</v>
      </c>
      <c r="C3057" t="s">
        <v>60</v>
      </c>
      <c r="D3057">
        <v>149851780.709052</v>
      </c>
    </row>
    <row r="3058" spans="1:4" hidden="1" x14ac:dyDescent="0.3">
      <c r="A3058">
        <v>3056</v>
      </c>
      <c r="B3058" t="s">
        <v>3538</v>
      </c>
      <c r="C3058" t="s">
        <v>62</v>
      </c>
      <c r="D3058">
        <v>80021627.870636493</v>
      </c>
    </row>
    <row r="3059" spans="1:4" hidden="1" x14ac:dyDescent="0.3">
      <c r="A3059">
        <v>3057</v>
      </c>
      <c r="B3059" t="s">
        <v>3539</v>
      </c>
      <c r="C3059" t="s">
        <v>64</v>
      </c>
      <c r="D3059">
        <v>35008027.835732602</v>
      </c>
    </row>
    <row r="3060" spans="1:4" hidden="1" x14ac:dyDescent="0.3">
      <c r="A3060">
        <v>3058</v>
      </c>
      <c r="B3060" s="1" t="s">
        <v>3540</v>
      </c>
      <c r="C3060" t="s">
        <v>66</v>
      </c>
      <c r="D3060" s="1" t="s">
        <v>3541</v>
      </c>
    </row>
    <row r="3061" spans="1:4" hidden="1" x14ac:dyDescent="0.3">
      <c r="A3061">
        <v>3059</v>
      </c>
      <c r="B3061" s="1" t="s">
        <v>3542</v>
      </c>
      <c r="C3061" t="s">
        <v>69</v>
      </c>
      <c r="D3061" s="1" t="s">
        <v>3543</v>
      </c>
    </row>
    <row r="3062" spans="1:4" hidden="1" x14ac:dyDescent="0.3">
      <c r="A3062">
        <v>3060</v>
      </c>
      <c r="B3062" t="s">
        <v>3544</v>
      </c>
      <c r="C3062" t="s">
        <v>72</v>
      </c>
      <c r="D3062">
        <v>1.0001778622294599</v>
      </c>
    </row>
    <row r="3063" spans="1:4" hidden="1" x14ac:dyDescent="0.3">
      <c r="A3063">
        <v>3061</v>
      </c>
      <c r="B3063" t="s">
        <v>73</v>
      </c>
      <c r="C3063" t="s">
        <v>74</v>
      </c>
      <c r="D3063">
        <v>2.7397260273972599E-3</v>
      </c>
    </row>
    <row r="3064" spans="1:4" hidden="1" x14ac:dyDescent="0.3">
      <c r="A3064">
        <v>3062</v>
      </c>
      <c r="B3064" t="s">
        <v>75</v>
      </c>
      <c r="C3064" t="s">
        <v>76</v>
      </c>
      <c r="D3064">
        <v>0</v>
      </c>
    </row>
    <row r="3065" spans="1:4" hidden="1" x14ac:dyDescent="0.3">
      <c r="A3065">
        <v>3063</v>
      </c>
      <c r="B3065" t="s">
        <v>2686</v>
      </c>
      <c r="C3065" t="s">
        <v>78</v>
      </c>
      <c r="D3065" s="2">
        <v>-2.2204460492503101E-16</v>
      </c>
    </row>
    <row r="3066" spans="1:4" hidden="1" x14ac:dyDescent="0.3">
      <c r="A3066">
        <v>3064</v>
      </c>
      <c r="B3066" s="1" t="s">
        <v>3545</v>
      </c>
      <c r="C3066" t="s">
        <v>80</v>
      </c>
      <c r="D3066" s="1" t="s">
        <v>3546</v>
      </c>
    </row>
    <row r="3067" spans="1:4" hidden="1" x14ac:dyDescent="0.3">
      <c r="A3067">
        <v>3065</v>
      </c>
      <c r="B3067" t="s">
        <v>3547</v>
      </c>
      <c r="C3067" t="s">
        <v>83</v>
      </c>
      <c r="D3067">
        <v>1.0001990146602</v>
      </c>
    </row>
    <row r="3068" spans="1:4" hidden="1" x14ac:dyDescent="0.3">
      <c r="A3068">
        <v>3066</v>
      </c>
      <c r="B3068" s="1" t="s">
        <v>3548</v>
      </c>
      <c r="C3068" t="s">
        <v>85</v>
      </c>
      <c r="D3068" s="1" t="s">
        <v>3549</v>
      </c>
    </row>
    <row r="3069" spans="1:4" hidden="1" x14ac:dyDescent="0.3">
      <c r="A3069">
        <v>3067</v>
      </c>
      <c r="B3069" t="s">
        <v>3550</v>
      </c>
      <c r="C3069" t="s">
        <v>88</v>
      </c>
      <c r="D3069">
        <v>99980102.493875295</v>
      </c>
    </row>
    <row r="3070" spans="1:4" hidden="1" x14ac:dyDescent="0.3">
      <c r="A3070">
        <v>3068</v>
      </c>
      <c r="B3070" s="1" t="s">
        <v>3551</v>
      </c>
      <c r="C3070" t="s">
        <v>90</v>
      </c>
      <c r="D3070" s="1" t="s">
        <v>3497</v>
      </c>
    </row>
    <row r="3071" spans="1:4" hidden="1" x14ac:dyDescent="0.3">
      <c r="A3071">
        <v>3069</v>
      </c>
      <c r="B3071" t="s">
        <v>3552</v>
      </c>
      <c r="C3071" t="s">
        <v>93</v>
      </c>
      <c r="D3071">
        <v>80021627.870636493</v>
      </c>
    </row>
    <row r="3072" spans="1:4" hidden="1" x14ac:dyDescent="0.3">
      <c r="A3072">
        <v>3070</v>
      </c>
      <c r="B3072" t="s">
        <v>3553</v>
      </c>
      <c r="C3072" t="s">
        <v>95</v>
      </c>
      <c r="D3072">
        <v>35008027.835732602</v>
      </c>
    </row>
    <row r="3073" spans="1:4" hidden="1" x14ac:dyDescent="0.3">
      <c r="A3073">
        <v>3071</v>
      </c>
      <c r="B3073" t="s">
        <v>3554</v>
      </c>
      <c r="C3073" t="s">
        <v>97</v>
      </c>
      <c r="D3073">
        <v>34822125.002682902</v>
      </c>
    </row>
    <row r="3074" spans="1:4" hidden="1" x14ac:dyDescent="0.3">
      <c r="A3074">
        <v>3072</v>
      </c>
      <c r="B3074" s="1" t="s">
        <v>3555</v>
      </c>
      <c r="C3074" t="s">
        <v>99</v>
      </c>
      <c r="D3074" s="1" t="s">
        <v>3556</v>
      </c>
    </row>
    <row r="3075" spans="1:4" hidden="1" x14ac:dyDescent="0.3">
      <c r="A3075">
        <v>3073</v>
      </c>
      <c r="B3075" t="s">
        <v>3557</v>
      </c>
      <c r="C3075" t="s">
        <v>102</v>
      </c>
      <c r="D3075">
        <v>9.1556575516569191E-3</v>
      </c>
    </row>
    <row r="3076" spans="1:4" hidden="1" x14ac:dyDescent="0.3">
      <c r="A3076">
        <v>3074</v>
      </c>
      <c r="B3076" t="s">
        <v>3558</v>
      </c>
      <c r="C3076" t="s">
        <v>104</v>
      </c>
      <c r="D3076">
        <v>1.6097866799631899E-3</v>
      </c>
    </row>
    <row r="3077" spans="1:4" hidden="1" x14ac:dyDescent="0.3">
      <c r="A3077">
        <v>3075</v>
      </c>
      <c r="B3077" t="s">
        <v>3559</v>
      </c>
      <c r="C3077" t="s">
        <v>106</v>
      </c>
      <c r="D3077">
        <v>2.1976135498167401E-2</v>
      </c>
    </row>
    <row r="3078" spans="1:4" hidden="1" x14ac:dyDescent="0.3">
      <c r="A3078">
        <v>3076</v>
      </c>
      <c r="B3078" s="1" t="s">
        <v>3560</v>
      </c>
      <c r="C3078" t="s">
        <v>108</v>
      </c>
      <c r="D3078" s="1" t="s">
        <v>3561</v>
      </c>
    </row>
    <row r="3079" spans="1:4" hidden="1" x14ac:dyDescent="0.3">
      <c r="A3079">
        <v>3077</v>
      </c>
      <c r="B3079" t="s">
        <v>3562</v>
      </c>
      <c r="C3079" t="s">
        <v>196</v>
      </c>
      <c r="D3079">
        <v>149852509.164161</v>
      </c>
    </row>
    <row r="3080" spans="1:4" hidden="1" x14ac:dyDescent="0.3">
      <c r="A3080">
        <v>3078</v>
      </c>
      <c r="B3080" t="s">
        <v>3563</v>
      </c>
      <c r="C3080" t="s">
        <v>198</v>
      </c>
      <c r="D3080">
        <v>-1692.3622328430899</v>
      </c>
    </row>
    <row r="3081" spans="1:4" hidden="1" x14ac:dyDescent="0.3">
      <c r="A3081">
        <v>3079</v>
      </c>
      <c r="B3081" t="s">
        <v>3564</v>
      </c>
      <c r="C3081" t="s">
        <v>200</v>
      </c>
      <c r="D3081">
        <v>-740.37489288207098</v>
      </c>
    </row>
    <row r="3082" spans="1:4" hidden="1" x14ac:dyDescent="0.3">
      <c r="A3082">
        <v>3080</v>
      </c>
      <c r="B3082" s="1" t="s">
        <v>3565</v>
      </c>
      <c r="C3082" t="s">
        <v>202</v>
      </c>
      <c r="D3082" s="1" t="s">
        <v>3566</v>
      </c>
    </row>
    <row r="3083" spans="1:4" hidden="1" x14ac:dyDescent="0.3">
      <c r="A3083">
        <v>3081</v>
      </c>
      <c r="B3083" t="s">
        <v>3567</v>
      </c>
      <c r="C3083" t="s">
        <v>205</v>
      </c>
      <c r="D3083">
        <v>80023854.394885406</v>
      </c>
    </row>
    <row r="3084" spans="1:4" hidden="1" x14ac:dyDescent="0.3">
      <c r="A3084">
        <v>3082</v>
      </c>
      <c r="B3084" t="s">
        <v>3568</v>
      </c>
      <c r="C3084" t="s">
        <v>207</v>
      </c>
      <c r="D3084">
        <v>35008848.268901698</v>
      </c>
    </row>
    <row r="3085" spans="1:4" hidden="1" x14ac:dyDescent="0.3">
      <c r="A3085">
        <v>3083</v>
      </c>
      <c r="B3085" t="s">
        <v>3569</v>
      </c>
      <c r="C3085" t="s">
        <v>209</v>
      </c>
      <c r="D3085">
        <v>34822975.681517601</v>
      </c>
    </row>
    <row r="3086" spans="1:4" hidden="1" x14ac:dyDescent="0.3">
      <c r="A3086">
        <v>3084</v>
      </c>
      <c r="B3086" s="1" t="s">
        <v>3570</v>
      </c>
      <c r="C3086" t="s">
        <v>211</v>
      </c>
      <c r="D3086" s="1" t="s">
        <v>3571</v>
      </c>
    </row>
    <row r="3087" spans="1:4" hidden="1" x14ac:dyDescent="0.3">
      <c r="A3087">
        <v>3085</v>
      </c>
      <c r="B3087" t="s">
        <v>3572</v>
      </c>
      <c r="C3087" t="s">
        <v>214</v>
      </c>
      <c r="D3087">
        <v>99982216.939988703</v>
      </c>
    </row>
    <row r="3088" spans="1:4" hidden="1" x14ac:dyDescent="0.3">
      <c r="A3088">
        <v>3086</v>
      </c>
      <c r="B3088" t="s">
        <v>3573</v>
      </c>
      <c r="C3088" t="s">
        <v>216</v>
      </c>
      <c r="D3088">
        <v>-2114.44611340761</v>
      </c>
    </row>
    <row r="3089" spans="1:4" hidden="1" x14ac:dyDescent="0.3">
      <c r="A3089">
        <v>3087</v>
      </c>
      <c r="B3089" s="1" t="s">
        <v>3574</v>
      </c>
      <c r="C3089" t="s">
        <v>218</v>
      </c>
      <c r="D3089" s="1" t="s">
        <v>3575</v>
      </c>
    </row>
    <row r="3090" spans="1:4" hidden="1" x14ac:dyDescent="0.3">
      <c r="A3090">
        <v>3088</v>
      </c>
      <c r="B3090" t="s">
        <v>3576</v>
      </c>
      <c r="C3090" t="s">
        <v>111</v>
      </c>
      <c r="D3090">
        <v>534.162016093332</v>
      </c>
    </row>
    <row r="3091" spans="1:4" hidden="1" x14ac:dyDescent="0.3">
      <c r="A3091">
        <v>3089</v>
      </c>
      <c r="B3091" t="s">
        <v>3577</v>
      </c>
      <c r="C3091" t="s">
        <v>113</v>
      </c>
      <c r="D3091">
        <v>80.058276293895105</v>
      </c>
    </row>
    <row r="3092" spans="1:4" hidden="1" x14ac:dyDescent="0.3">
      <c r="A3092">
        <v>3090</v>
      </c>
      <c r="B3092" s="1" t="s">
        <v>3578</v>
      </c>
      <c r="C3092" t="s">
        <v>115</v>
      </c>
      <c r="D3092" s="1" t="s">
        <v>3579</v>
      </c>
    </row>
    <row r="3093" spans="1:4" hidden="1" x14ac:dyDescent="0.3">
      <c r="A3093">
        <v>3091</v>
      </c>
      <c r="B3093" t="s">
        <v>3580</v>
      </c>
      <c r="C3093" t="s">
        <v>118</v>
      </c>
      <c r="D3093">
        <v>80023854.394885406</v>
      </c>
    </row>
    <row r="3094" spans="1:4" hidden="1" x14ac:dyDescent="0.3">
      <c r="A3094">
        <v>3092</v>
      </c>
      <c r="B3094" t="s">
        <v>3581</v>
      </c>
      <c r="C3094" t="s">
        <v>120</v>
      </c>
      <c r="D3094">
        <v>35008848.268901698</v>
      </c>
    </row>
    <row r="3095" spans="1:4" hidden="1" x14ac:dyDescent="0.3">
      <c r="A3095">
        <v>3093</v>
      </c>
      <c r="B3095" s="1" t="s">
        <v>3582</v>
      </c>
      <c r="C3095" t="s">
        <v>122</v>
      </c>
      <c r="D3095" s="1" t="s">
        <v>3583</v>
      </c>
    </row>
    <row r="3096" spans="1:4" hidden="1" x14ac:dyDescent="0.3">
      <c r="A3096">
        <v>3094</v>
      </c>
      <c r="B3096" t="s">
        <v>3584</v>
      </c>
      <c r="C3096" t="s">
        <v>125</v>
      </c>
      <c r="D3096">
        <v>0.800221620326526</v>
      </c>
    </row>
    <row r="3097" spans="1:4" hidden="1" x14ac:dyDescent="0.3">
      <c r="A3097">
        <v>3095</v>
      </c>
      <c r="B3097" t="s">
        <v>3585</v>
      </c>
      <c r="C3097" t="s">
        <v>127</v>
      </c>
      <c r="D3097">
        <v>0.350081078940089</v>
      </c>
    </row>
    <row r="3098" spans="1:4" hidden="1" x14ac:dyDescent="0.3">
      <c r="A3098">
        <v>3096</v>
      </c>
      <c r="B3098" s="1" t="s">
        <v>3586</v>
      </c>
      <c r="C3098" t="s">
        <v>129</v>
      </c>
      <c r="D3098" s="1" t="s">
        <v>3587</v>
      </c>
    </row>
    <row r="3099" spans="1:4" ht="72" x14ac:dyDescent="0.3">
      <c r="A3099">
        <v>3097</v>
      </c>
      <c r="B3099" s="1" t="s">
        <v>3</v>
      </c>
      <c r="C3099" t="s">
        <v>4</v>
      </c>
      <c r="D3099" t="s">
        <v>5</v>
      </c>
    </row>
    <row r="3100" spans="1:4" hidden="1" x14ac:dyDescent="0.3">
      <c r="A3100">
        <v>3098</v>
      </c>
      <c r="B3100" t="s">
        <v>6</v>
      </c>
      <c r="C3100" t="s">
        <v>7</v>
      </c>
      <c r="D3100">
        <v>1981.95</v>
      </c>
    </row>
    <row r="3101" spans="1:4" hidden="1" x14ac:dyDescent="0.3">
      <c r="A3101">
        <v>3099</v>
      </c>
      <c r="B3101" s="1" t="s">
        <v>131</v>
      </c>
      <c r="C3101" t="s">
        <v>9</v>
      </c>
      <c r="D3101" s="1" t="s">
        <v>132</v>
      </c>
    </row>
    <row r="3102" spans="1:4" hidden="1" x14ac:dyDescent="0.3">
      <c r="A3102">
        <v>3100</v>
      </c>
      <c r="B3102" t="s">
        <v>13</v>
      </c>
      <c r="C3102" t="s">
        <v>14</v>
      </c>
      <c r="D3102">
        <v>91.74609375</v>
      </c>
    </row>
    <row r="3103" spans="1:4" hidden="1" x14ac:dyDescent="0.3">
      <c r="A3103">
        <v>3101</v>
      </c>
      <c r="B3103" t="s">
        <v>15</v>
      </c>
      <c r="C3103" t="s">
        <v>16</v>
      </c>
      <c r="D3103">
        <v>4.1883572307132804</v>
      </c>
    </row>
    <row r="3104" spans="1:4" hidden="1" x14ac:dyDescent="0.3">
      <c r="A3104">
        <v>3102</v>
      </c>
      <c r="B3104" s="1" t="s">
        <v>133</v>
      </c>
      <c r="C3104" t="s">
        <v>134</v>
      </c>
      <c r="D3104" s="1" t="s">
        <v>135</v>
      </c>
    </row>
    <row r="3105" spans="1:4" hidden="1" x14ac:dyDescent="0.3">
      <c r="A3105">
        <v>3103</v>
      </c>
      <c r="B3105" t="s">
        <v>21</v>
      </c>
      <c r="C3105" t="s">
        <v>22</v>
      </c>
      <c r="D3105">
        <v>38.25</v>
      </c>
    </row>
    <row r="3106" spans="1:4" hidden="1" x14ac:dyDescent="0.3">
      <c r="A3106">
        <v>3104</v>
      </c>
      <c r="B3106" t="s">
        <v>3588</v>
      </c>
      <c r="C3106" t="s">
        <v>24</v>
      </c>
      <c r="D3106">
        <v>5.58551431706345</v>
      </c>
    </row>
    <row r="3107" spans="1:4" hidden="1" x14ac:dyDescent="0.3">
      <c r="A3107">
        <v>3105</v>
      </c>
      <c r="B3107" s="1" t="s">
        <v>3589</v>
      </c>
      <c r="C3107" t="s">
        <v>138</v>
      </c>
      <c r="D3107" s="1" t="s">
        <v>3590</v>
      </c>
    </row>
    <row r="3108" spans="1:4" hidden="1" x14ac:dyDescent="0.3">
      <c r="A3108">
        <v>3106</v>
      </c>
      <c r="B3108" t="s">
        <v>3591</v>
      </c>
      <c r="C3108" t="s">
        <v>35</v>
      </c>
      <c r="D3108">
        <v>0.54467806279582498</v>
      </c>
    </row>
    <row r="3109" spans="1:4" hidden="1" x14ac:dyDescent="0.3">
      <c r="A3109">
        <v>3107</v>
      </c>
      <c r="B3109" t="s">
        <v>3592</v>
      </c>
      <c r="C3109" t="s">
        <v>142</v>
      </c>
      <c r="D3109">
        <v>0.70283920539890998</v>
      </c>
    </row>
    <row r="3110" spans="1:4" hidden="1" x14ac:dyDescent="0.3">
      <c r="A3110">
        <v>3108</v>
      </c>
      <c r="B3110" s="1" t="s">
        <v>3593</v>
      </c>
      <c r="C3110" t="s">
        <v>144</v>
      </c>
      <c r="D3110" s="1" t="s">
        <v>3594</v>
      </c>
    </row>
    <row r="3111" spans="1:4" hidden="1" x14ac:dyDescent="0.3">
      <c r="A3111">
        <v>3109</v>
      </c>
      <c r="B3111" t="s">
        <v>3595</v>
      </c>
      <c r="C3111" t="s">
        <v>30</v>
      </c>
      <c r="D3111">
        <v>0.19235554286096099</v>
      </c>
    </row>
    <row r="3112" spans="1:4" hidden="1" x14ac:dyDescent="0.3">
      <c r="A3112">
        <v>3110</v>
      </c>
      <c r="B3112" t="s">
        <v>3596</v>
      </c>
      <c r="C3112" t="s">
        <v>32</v>
      </c>
      <c r="D3112">
        <v>0.23091835349204101</v>
      </c>
    </row>
    <row r="3113" spans="1:4" hidden="1" x14ac:dyDescent="0.3">
      <c r="A3113">
        <v>3111</v>
      </c>
      <c r="B3113" s="1" t="s">
        <v>3597</v>
      </c>
      <c r="C3113" t="s">
        <v>148</v>
      </c>
      <c r="D3113" s="1" t="s">
        <v>3598</v>
      </c>
    </row>
    <row r="3114" spans="1:4" hidden="1" x14ac:dyDescent="0.3">
      <c r="A3114">
        <v>3112</v>
      </c>
      <c r="B3114" t="s">
        <v>3599</v>
      </c>
      <c r="C3114" t="s">
        <v>40</v>
      </c>
      <c r="D3114">
        <v>0.26296639434321201</v>
      </c>
    </row>
    <row r="3115" spans="1:4" hidden="1" x14ac:dyDescent="0.3">
      <c r="A3115">
        <v>3113</v>
      </c>
      <c r="B3115" t="s">
        <v>3600</v>
      </c>
      <c r="C3115" t="s">
        <v>42</v>
      </c>
      <c r="D3115">
        <v>0.19188218512109501</v>
      </c>
    </row>
    <row r="3116" spans="1:4" hidden="1" x14ac:dyDescent="0.3">
      <c r="A3116">
        <v>3114</v>
      </c>
      <c r="B3116" s="1" t="s">
        <v>3601</v>
      </c>
      <c r="C3116" t="s">
        <v>152</v>
      </c>
      <c r="D3116" s="1" t="s">
        <v>3602</v>
      </c>
    </row>
    <row r="3117" spans="1:4" hidden="1" x14ac:dyDescent="0.3">
      <c r="A3117">
        <v>3115</v>
      </c>
      <c r="B3117" t="s">
        <v>153</v>
      </c>
      <c r="C3117" t="s">
        <v>154</v>
      </c>
      <c r="D3117">
        <v>1</v>
      </c>
    </row>
    <row r="3118" spans="1:4" hidden="1" x14ac:dyDescent="0.3">
      <c r="A3118">
        <v>3116</v>
      </c>
      <c r="B3118" t="s">
        <v>155</v>
      </c>
      <c r="C3118" t="s">
        <v>156</v>
      </c>
      <c r="D3118">
        <v>1</v>
      </c>
    </row>
    <row r="3119" spans="1:4" hidden="1" x14ac:dyDescent="0.3">
      <c r="A3119">
        <v>3117</v>
      </c>
      <c r="B3119" s="1" t="s">
        <v>3603</v>
      </c>
      <c r="C3119" t="s">
        <v>158</v>
      </c>
      <c r="D3119" s="1" t="s">
        <v>3604</v>
      </c>
    </row>
    <row r="3120" spans="1:4" hidden="1" x14ac:dyDescent="0.3">
      <c r="A3120">
        <v>3118</v>
      </c>
      <c r="B3120" t="s">
        <v>3605</v>
      </c>
      <c r="C3120" t="s">
        <v>161</v>
      </c>
      <c r="D3120">
        <v>1.0009308253257601</v>
      </c>
    </row>
    <row r="3121" spans="1:4" hidden="1" x14ac:dyDescent="0.3">
      <c r="A3121">
        <v>3119</v>
      </c>
      <c r="B3121" t="s">
        <v>3606</v>
      </c>
      <c r="C3121" t="s">
        <v>163</v>
      </c>
      <c r="D3121">
        <v>0.99850807699793098</v>
      </c>
    </row>
    <row r="3122" spans="1:4" hidden="1" x14ac:dyDescent="0.3">
      <c r="A3122">
        <v>3120</v>
      </c>
      <c r="B3122" s="1" t="s">
        <v>3607</v>
      </c>
      <c r="C3122" t="s">
        <v>165</v>
      </c>
      <c r="D3122" s="1" t="s">
        <v>3608</v>
      </c>
    </row>
    <row r="3123" spans="1:4" hidden="1" x14ac:dyDescent="0.3">
      <c r="A3123">
        <v>3121</v>
      </c>
      <c r="B3123" s="1" t="s">
        <v>3609</v>
      </c>
      <c r="C3123" t="s">
        <v>55</v>
      </c>
      <c r="D3123" s="1" t="s">
        <v>3610</v>
      </c>
    </row>
    <row r="3124" spans="1:4" hidden="1" x14ac:dyDescent="0.3">
      <c r="A3124">
        <v>3122</v>
      </c>
      <c r="B3124" s="1" t="s">
        <v>3611</v>
      </c>
      <c r="C3124" t="s">
        <v>52</v>
      </c>
      <c r="D3124" s="1" t="s">
        <v>3612</v>
      </c>
    </row>
    <row r="3125" spans="1:4" hidden="1" x14ac:dyDescent="0.3">
      <c r="A3125">
        <v>3123</v>
      </c>
      <c r="B3125" s="1" t="s">
        <v>3613</v>
      </c>
      <c r="C3125" t="s">
        <v>58</v>
      </c>
      <c r="D3125" s="1" t="s">
        <v>3614</v>
      </c>
    </row>
    <row r="3126" spans="1:4" hidden="1" x14ac:dyDescent="0.3">
      <c r="A3126">
        <v>3124</v>
      </c>
      <c r="B3126" t="s">
        <v>3615</v>
      </c>
      <c r="C3126" t="s">
        <v>60</v>
      </c>
      <c r="D3126">
        <v>149843313.13122499</v>
      </c>
    </row>
    <row r="3127" spans="1:4" hidden="1" x14ac:dyDescent="0.3">
      <c r="A3127">
        <v>3125</v>
      </c>
      <c r="B3127" t="s">
        <v>3616</v>
      </c>
      <c r="C3127" t="s">
        <v>62</v>
      </c>
      <c r="D3127">
        <v>80023854.394885406</v>
      </c>
    </row>
    <row r="3128" spans="1:4" hidden="1" x14ac:dyDescent="0.3">
      <c r="A3128">
        <v>3126</v>
      </c>
      <c r="B3128" t="s">
        <v>3617</v>
      </c>
      <c r="C3128" t="s">
        <v>64</v>
      </c>
      <c r="D3128">
        <v>35008848.268901698</v>
      </c>
    </row>
    <row r="3129" spans="1:4" hidden="1" x14ac:dyDescent="0.3">
      <c r="A3129">
        <v>3127</v>
      </c>
      <c r="B3129" s="1" t="s">
        <v>3618</v>
      </c>
      <c r="C3129" t="s">
        <v>66</v>
      </c>
      <c r="D3129" s="1" t="s">
        <v>3619</v>
      </c>
    </row>
    <row r="3130" spans="1:4" hidden="1" x14ac:dyDescent="0.3">
      <c r="A3130">
        <v>3128</v>
      </c>
      <c r="B3130" s="1" t="s">
        <v>3620</v>
      </c>
      <c r="C3130" t="s">
        <v>69</v>
      </c>
      <c r="D3130" s="1" t="s">
        <v>3621</v>
      </c>
    </row>
    <row r="3131" spans="1:4" hidden="1" x14ac:dyDescent="0.3">
      <c r="A3131">
        <v>3129</v>
      </c>
      <c r="B3131" t="s">
        <v>3622</v>
      </c>
      <c r="C3131" t="s">
        <v>72</v>
      </c>
      <c r="D3131">
        <v>1.0001990146602</v>
      </c>
    </row>
    <row r="3132" spans="1:4" hidden="1" x14ac:dyDescent="0.3">
      <c r="A3132">
        <v>3130</v>
      </c>
      <c r="B3132" t="s">
        <v>73</v>
      </c>
      <c r="C3132" t="s">
        <v>74</v>
      </c>
      <c r="D3132">
        <v>2.7397260273972599E-3</v>
      </c>
    </row>
    <row r="3133" spans="1:4" hidden="1" x14ac:dyDescent="0.3">
      <c r="A3133">
        <v>3131</v>
      </c>
      <c r="B3133" t="s">
        <v>75</v>
      </c>
      <c r="C3133" t="s">
        <v>76</v>
      </c>
      <c r="D3133">
        <v>0</v>
      </c>
    </row>
    <row r="3134" spans="1:4" hidden="1" x14ac:dyDescent="0.3">
      <c r="A3134">
        <v>3132</v>
      </c>
      <c r="B3134" t="s">
        <v>2686</v>
      </c>
      <c r="C3134" t="s">
        <v>78</v>
      </c>
      <c r="D3134" s="2">
        <v>-2.2204460492503101E-16</v>
      </c>
    </row>
    <row r="3135" spans="1:4" hidden="1" x14ac:dyDescent="0.3">
      <c r="A3135">
        <v>3133</v>
      </c>
      <c r="B3135" s="1" t="s">
        <v>3623</v>
      </c>
      <c r="C3135" t="s">
        <v>80</v>
      </c>
      <c r="D3135" s="1" t="s">
        <v>3624</v>
      </c>
    </row>
    <row r="3136" spans="1:4" hidden="1" x14ac:dyDescent="0.3">
      <c r="A3136">
        <v>3134</v>
      </c>
      <c r="B3136" t="s">
        <v>3625</v>
      </c>
      <c r="C3136" t="s">
        <v>83</v>
      </c>
      <c r="D3136">
        <v>1.0002033943198201</v>
      </c>
    </row>
    <row r="3137" spans="1:4" hidden="1" x14ac:dyDescent="0.3">
      <c r="A3137">
        <v>3135</v>
      </c>
      <c r="B3137" s="1" t="s">
        <v>3626</v>
      </c>
      <c r="C3137" t="s">
        <v>85</v>
      </c>
      <c r="D3137" s="1" t="s">
        <v>3627</v>
      </c>
    </row>
    <row r="3138" spans="1:4" hidden="1" x14ac:dyDescent="0.3">
      <c r="A3138">
        <v>3136</v>
      </c>
      <c r="B3138" t="s">
        <v>3628</v>
      </c>
      <c r="C3138" t="s">
        <v>88</v>
      </c>
      <c r="D3138">
        <v>99979664.704101294</v>
      </c>
    </row>
    <row r="3139" spans="1:4" hidden="1" x14ac:dyDescent="0.3">
      <c r="A3139">
        <v>3137</v>
      </c>
      <c r="B3139" s="1" t="s">
        <v>3629</v>
      </c>
      <c r="C3139" t="s">
        <v>90</v>
      </c>
      <c r="D3139" s="1" t="s">
        <v>3575</v>
      </c>
    </row>
    <row r="3140" spans="1:4" hidden="1" x14ac:dyDescent="0.3">
      <c r="A3140">
        <v>3138</v>
      </c>
      <c r="B3140" t="s">
        <v>3630</v>
      </c>
      <c r="C3140" t="s">
        <v>93</v>
      </c>
      <c r="D3140">
        <v>80023854.394885406</v>
      </c>
    </row>
    <row r="3141" spans="1:4" hidden="1" x14ac:dyDescent="0.3">
      <c r="A3141">
        <v>3139</v>
      </c>
      <c r="B3141" t="s">
        <v>3631</v>
      </c>
      <c r="C3141" t="s">
        <v>95</v>
      </c>
      <c r="D3141">
        <v>35008848.268901698</v>
      </c>
    </row>
    <row r="3142" spans="1:4" hidden="1" x14ac:dyDescent="0.3">
      <c r="A3142">
        <v>3140</v>
      </c>
      <c r="B3142" t="s">
        <v>3632</v>
      </c>
      <c r="C3142" t="s">
        <v>97</v>
      </c>
      <c r="D3142">
        <v>34810610.467437901</v>
      </c>
    </row>
    <row r="3143" spans="1:4" hidden="1" x14ac:dyDescent="0.3">
      <c r="A3143">
        <v>3141</v>
      </c>
      <c r="B3143" s="1" t="s">
        <v>3633</v>
      </c>
      <c r="C3143" t="s">
        <v>99</v>
      </c>
      <c r="D3143" s="1" t="s">
        <v>3634</v>
      </c>
    </row>
    <row r="3144" spans="1:4" hidden="1" x14ac:dyDescent="0.3">
      <c r="A3144">
        <v>3142</v>
      </c>
      <c r="B3144" t="s">
        <v>3635</v>
      </c>
      <c r="C3144" t="s">
        <v>102</v>
      </c>
      <c r="D3144">
        <v>9.2399220330755504E-3</v>
      </c>
    </row>
    <row r="3145" spans="1:4" hidden="1" x14ac:dyDescent="0.3">
      <c r="A3145">
        <v>3143</v>
      </c>
      <c r="B3145" t="s">
        <v>3636</v>
      </c>
      <c r="C3145" t="s">
        <v>104</v>
      </c>
      <c r="D3145">
        <v>1.60268956187255E-3</v>
      </c>
    </row>
    <row r="3146" spans="1:4" hidden="1" x14ac:dyDescent="0.3">
      <c r="A3146">
        <v>3144</v>
      </c>
      <c r="B3146" t="s">
        <v>3637</v>
      </c>
      <c r="C3146" t="s">
        <v>106</v>
      </c>
      <c r="D3146">
        <v>2.2169018403384599E-2</v>
      </c>
    </row>
    <row r="3147" spans="1:4" hidden="1" x14ac:dyDescent="0.3">
      <c r="A3147">
        <v>3145</v>
      </c>
      <c r="B3147" s="1" t="s">
        <v>3638</v>
      </c>
      <c r="C3147" t="s">
        <v>108</v>
      </c>
      <c r="D3147" s="1" t="s">
        <v>3639</v>
      </c>
    </row>
    <row r="3148" spans="1:4" hidden="1" x14ac:dyDescent="0.3">
      <c r="A3148">
        <v>3146</v>
      </c>
      <c r="B3148" t="s">
        <v>3640</v>
      </c>
      <c r="C3148" t="s">
        <v>196</v>
      </c>
      <c r="D3148">
        <v>149843463.99068499</v>
      </c>
    </row>
    <row r="3149" spans="1:4" hidden="1" x14ac:dyDescent="0.3">
      <c r="A3149">
        <v>3147</v>
      </c>
      <c r="B3149" t="s">
        <v>3641</v>
      </c>
      <c r="C3149" t="s">
        <v>198</v>
      </c>
      <c r="D3149">
        <v>-350.40799198363601</v>
      </c>
    </row>
    <row r="3150" spans="1:4" hidden="1" x14ac:dyDescent="0.3">
      <c r="A3150">
        <v>3148</v>
      </c>
      <c r="B3150" t="s">
        <v>3642</v>
      </c>
      <c r="C3150" t="s">
        <v>200</v>
      </c>
      <c r="D3150">
        <v>-153.29640362771801</v>
      </c>
    </row>
    <row r="3151" spans="1:4" hidden="1" x14ac:dyDescent="0.3">
      <c r="A3151">
        <v>3149</v>
      </c>
      <c r="B3151" s="1" t="s">
        <v>3643</v>
      </c>
      <c r="C3151" t="s">
        <v>202</v>
      </c>
      <c r="D3151" s="1" t="s">
        <v>3644</v>
      </c>
    </row>
    <row r="3152" spans="1:4" hidden="1" x14ac:dyDescent="0.3">
      <c r="A3152">
        <v>3150</v>
      </c>
      <c r="B3152" t="s">
        <v>3645</v>
      </c>
      <c r="C3152" t="s">
        <v>205</v>
      </c>
      <c r="D3152">
        <v>80024315.410152093</v>
      </c>
    </row>
    <row r="3153" spans="1:4" hidden="1" x14ac:dyDescent="0.3">
      <c r="A3153">
        <v>3151</v>
      </c>
      <c r="B3153" t="s">
        <v>3646</v>
      </c>
      <c r="C3153" t="s">
        <v>207</v>
      </c>
      <c r="D3153">
        <v>35009018.161090799</v>
      </c>
    </row>
    <row r="3154" spans="1:4" hidden="1" x14ac:dyDescent="0.3">
      <c r="A3154">
        <v>3152</v>
      </c>
      <c r="B3154" t="s">
        <v>3647</v>
      </c>
      <c r="C3154" t="s">
        <v>209</v>
      </c>
      <c r="D3154">
        <v>34810786.552231498</v>
      </c>
    </row>
    <row r="3155" spans="1:4" hidden="1" x14ac:dyDescent="0.3">
      <c r="A3155">
        <v>3153</v>
      </c>
      <c r="B3155" s="1" t="s">
        <v>3648</v>
      </c>
      <c r="C3155" t="s">
        <v>211</v>
      </c>
      <c r="D3155" s="1" t="s">
        <v>3649</v>
      </c>
    </row>
    <row r="3156" spans="1:4" hidden="1" x14ac:dyDescent="0.3">
      <c r="A3156">
        <v>3154</v>
      </c>
      <c r="B3156" t="s">
        <v>3650</v>
      </c>
      <c r="C3156" t="s">
        <v>214</v>
      </c>
      <c r="D3156">
        <v>99980102.493875295</v>
      </c>
    </row>
    <row r="3157" spans="1:4" hidden="1" x14ac:dyDescent="0.3">
      <c r="A3157">
        <v>3155</v>
      </c>
      <c r="B3157" t="s">
        <v>3651</v>
      </c>
      <c r="C3157" t="s">
        <v>216</v>
      </c>
      <c r="D3157">
        <v>-437.78977394103998</v>
      </c>
    </row>
    <row r="3158" spans="1:4" hidden="1" x14ac:dyDescent="0.3">
      <c r="A3158">
        <v>3156</v>
      </c>
      <c r="B3158" s="1" t="s">
        <v>3652</v>
      </c>
      <c r="C3158" t="s">
        <v>218</v>
      </c>
      <c r="D3158" s="1" t="s">
        <v>3653</v>
      </c>
    </row>
    <row r="3159" spans="1:4" hidden="1" x14ac:dyDescent="0.3">
      <c r="A3159">
        <v>3157</v>
      </c>
      <c r="B3159" t="s">
        <v>3654</v>
      </c>
      <c r="C3159" t="s">
        <v>111</v>
      </c>
      <c r="D3159">
        <v>110.60727467408699</v>
      </c>
    </row>
    <row r="3160" spans="1:4" hidden="1" x14ac:dyDescent="0.3">
      <c r="A3160">
        <v>3158</v>
      </c>
      <c r="B3160" t="s">
        <v>3655</v>
      </c>
      <c r="C3160" t="s">
        <v>113</v>
      </c>
      <c r="D3160">
        <v>16.595785476467899</v>
      </c>
    </row>
    <row r="3161" spans="1:4" hidden="1" x14ac:dyDescent="0.3">
      <c r="A3161">
        <v>3159</v>
      </c>
      <c r="B3161" s="1" t="s">
        <v>3656</v>
      </c>
      <c r="C3161" t="s">
        <v>115</v>
      </c>
      <c r="D3161" s="1" t="s">
        <v>3657</v>
      </c>
    </row>
    <row r="3162" spans="1:4" hidden="1" x14ac:dyDescent="0.3">
      <c r="A3162">
        <v>3160</v>
      </c>
      <c r="B3162" t="s">
        <v>3658</v>
      </c>
      <c r="C3162" t="s">
        <v>118</v>
      </c>
      <c r="D3162">
        <v>80024315.410152093</v>
      </c>
    </row>
    <row r="3163" spans="1:4" hidden="1" x14ac:dyDescent="0.3">
      <c r="A3163">
        <v>3161</v>
      </c>
      <c r="B3163" t="s">
        <v>3659</v>
      </c>
      <c r="C3163" t="s">
        <v>120</v>
      </c>
      <c r="D3163">
        <v>35009018.161090799</v>
      </c>
    </row>
    <row r="3164" spans="1:4" hidden="1" x14ac:dyDescent="0.3">
      <c r="A3164">
        <v>3162</v>
      </c>
      <c r="B3164" s="1" t="s">
        <v>3660</v>
      </c>
      <c r="C3164" t="s">
        <v>122</v>
      </c>
      <c r="D3164" s="1" t="s">
        <v>3661</v>
      </c>
    </row>
    <row r="3165" spans="1:4" hidden="1" x14ac:dyDescent="0.3">
      <c r="A3165">
        <v>3163</v>
      </c>
      <c r="B3165" t="s">
        <v>3662</v>
      </c>
      <c r="C3165" t="s">
        <v>125</v>
      </c>
      <c r="D3165">
        <v>0.80023965002160102</v>
      </c>
    </row>
    <row r="3166" spans="1:4" hidden="1" x14ac:dyDescent="0.3">
      <c r="A3166">
        <v>3164</v>
      </c>
      <c r="B3166" t="s">
        <v>3663</v>
      </c>
      <c r="C3166" t="s">
        <v>127</v>
      </c>
      <c r="D3166">
        <v>0.350088648646872</v>
      </c>
    </row>
    <row r="3167" spans="1:4" hidden="1" x14ac:dyDescent="0.3">
      <c r="A3167">
        <v>3165</v>
      </c>
      <c r="B3167" s="1" t="s">
        <v>3664</v>
      </c>
      <c r="C3167" t="s">
        <v>129</v>
      </c>
      <c r="D3167" s="1" t="s">
        <v>3665</v>
      </c>
    </row>
    <row r="3168" spans="1:4" ht="72" x14ac:dyDescent="0.3">
      <c r="A3168">
        <v>3166</v>
      </c>
      <c r="B3168" s="1" t="s">
        <v>3</v>
      </c>
      <c r="C3168" t="s">
        <v>4</v>
      </c>
      <c r="D3168" t="s">
        <v>5</v>
      </c>
    </row>
    <row r="3169" spans="1:4" hidden="1" x14ac:dyDescent="0.3">
      <c r="A3169">
        <v>3167</v>
      </c>
      <c r="B3169" t="s">
        <v>6</v>
      </c>
      <c r="C3169" t="s">
        <v>7</v>
      </c>
      <c r="D3169">
        <v>1981.95</v>
      </c>
    </row>
    <row r="3170" spans="1:4" hidden="1" x14ac:dyDescent="0.3">
      <c r="A3170">
        <v>3168</v>
      </c>
      <c r="B3170" s="1" t="s">
        <v>131</v>
      </c>
      <c r="C3170" t="s">
        <v>9</v>
      </c>
      <c r="D3170" s="1" t="s">
        <v>132</v>
      </c>
    </row>
    <row r="3171" spans="1:4" hidden="1" x14ac:dyDescent="0.3">
      <c r="A3171">
        <v>3169</v>
      </c>
      <c r="B3171" t="s">
        <v>13</v>
      </c>
      <c r="C3171" t="s">
        <v>14</v>
      </c>
      <c r="D3171">
        <v>91.74609375</v>
      </c>
    </row>
    <row r="3172" spans="1:4" hidden="1" x14ac:dyDescent="0.3">
      <c r="A3172">
        <v>3170</v>
      </c>
      <c r="B3172" t="s">
        <v>15</v>
      </c>
      <c r="C3172" t="s">
        <v>16</v>
      </c>
      <c r="D3172">
        <v>4.1883572307132804</v>
      </c>
    </row>
    <row r="3173" spans="1:4" hidden="1" x14ac:dyDescent="0.3">
      <c r="A3173">
        <v>3171</v>
      </c>
      <c r="B3173" s="1" t="s">
        <v>133</v>
      </c>
      <c r="C3173" t="s">
        <v>134</v>
      </c>
      <c r="D3173" s="1" t="s">
        <v>135</v>
      </c>
    </row>
    <row r="3174" spans="1:4" hidden="1" x14ac:dyDescent="0.3">
      <c r="A3174">
        <v>3172</v>
      </c>
      <c r="B3174" t="s">
        <v>21</v>
      </c>
      <c r="C3174" t="s">
        <v>22</v>
      </c>
      <c r="D3174">
        <v>38.25</v>
      </c>
    </row>
    <row r="3175" spans="1:4" hidden="1" x14ac:dyDescent="0.3">
      <c r="A3175">
        <v>3173</v>
      </c>
      <c r="B3175" t="s">
        <v>3666</v>
      </c>
      <c r="C3175" t="s">
        <v>24</v>
      </c>
      <c r="D3175">
        <v>5.5940138725780004</v>
      </c>
    </row>
    <row r="3176" spans="1:4" hidden="1" x14ac:dyDescent="0.3">
      <c r="A3176">
        <v>3174</v>
      </c>
      <c r="B3176" s="1" t="s">
        <v>3667</v>
      </c>
      <c r="C3176" t="s">
        <v>138</v>
      </c>
      <c r="D3176" s="1" t="s">
        <v>3668</v>
      </c>
    </row>
    <row r="3177" spans="1:4" hidden="1" x14ac:dyDescent="0.3">
      <c r="A3177">
        <v>3175</v>
      </c>
      <c r="B3177" t="s">
        <v>3669</v>
      </c>
      <c r="C3177" t="s">
        <v>35</v>
      </c>
      <c r="D3177">
        <v>0.55198139131165602</v>
      </c>
    </row>
    <row r="3178" spans="1:4" hidden="1" x14ac:dyDescent="0.3">
      <c r="A3178">
        <v>3176</v>
      </c>
      <c r="B3178" t="s">
        <v>3670</v>
      </c>
      <c r="C3178" t="s">
        <v>142</v>
      </c>
      <c r="D3178">
        <v>0.70230459151216995</v>
      </c>
    </row>
    <row r="3179" spans="1:4" hidden="1" x14ac:dyDescent="0.3">
      <c r="A3179">
        <v>3177</v>
      </c>
      <c r="B3179" s="1" t="s">
        <v>3671</v>
      </c>
      <c r="C3179" t="s">
        <v>144</v>
      </c>
      <c r="D3179" s="1" t="s">
        <v>3672</v>
      </c>
    </row>
    <row r="3180" spans="1:4" hidden="1" x14ac:dyDescent="0.3">
      <c r="A3180">
        <v>3178</v>
      </c>
      <c r="B3180" t="s">
        <v>3673</v>
      </c>
      <c r="C3180" t="s">
        <v>30</v>
      </c>
      <c r="D3180">
        <v>0.194934746646301</v>
      </c>
    </row>
    <row r="3181" spans="1:4" hidden="1" x14ac:dyDescent="0.3">
      <c r="A3181">
        <v>3179</v>
      </c>
      <c r="B3181" t="s">
        <v>3674</v>
      </c>
      <c r="C3181" t="s">
        <v>32</v>
      </c>
      <c r="D3181">
        <v>0.23080083267964899</v>
      </c>
    </row>
    <row r="3182" spans="1:4" hidden="1" x14ac:dyDescent="0.3">
      <c r="A3182">
        <v>3180</v>
      </c>
      <c r="B3182" s="1" t="s">
        <v>3675</v>
      </c>
      <c r="C3182" t="s">
        <v>148</v>
      </c>
      <c r="D3182" s="1" t="s">
        <v>3676</v>
      </c>
    </row>
    <row r="3183" spans="1:4" hidden="1" x14ac:dyDescent="0.3">
      <c r="A3183">
        <v>3181</v>
      </c>
      <c r="B3183" t="s">
        <v>3677</v>
      </c>
      <c r="C3183" t="s">
        <v>40</v>
      </c>
      <c r="D3183">
        <v>0.25308386204204097</v>
      </c>
    </row>
    <row r="3184" spans="1:4" hidden="1" x14ac:dyDescent="0.3">
      <c r="A3184">
        <v>3182</v>
      </c>
      <c r="B3184" t="s">
        <v>3678</v>
      </c>
      <c r="C3184" t="s">
        <v>42</v>
      </c>
      <c r="D3184">
        <v>0.19308278147534999</v>
      </c>
    </row>
    <row r="3185" spans="1:4" hidden="1" x14ac:dyDescent="0.3">
      <c r="A3185">
        <v>3183</v>
      </c>
      <c r="B3185" s="1" t="s">
        <v>3679</v>
      </c>
      <c r="C3185" t="s">
        <v>152</v>
      </c>
      <c r="D3185" s="1" t="s">
        <v>3680</v>
      </c>
    </row>
    <row r="3186" spans="1:4" hidden="1" x14ac:dyDescent="0.3">
      <c r="A3186">
        <v>3184</v>
      </c>
      <c r="B3186" t="s">
        <v>153</v>
      </c>
      <c r="C3186" t="s">
        <v>154</v>
      </c>
      <c r="D3186">
        <v>1</v>
      </c>
    </row>
    <row r="3187" spans="1:4" hidden="1" x14ac:dyDescent="0.3">
      <c r="A3187">
        <v>3185</v>
      </c>
      <c r="B3187" t="s">
        <v>155</v>
      </c>
      <c r="C3187" t="s">
        <v>156</v>
      </c>
      <c r="D3187">
        <v>1</v>
      </c>
    </row>
    <row r="3188" spans="1:4" hidden="1" x14ac:dyDescent="0.3">
      <c r="A3188">
        <v>3186</v>
      </c>
      <c r="B3188" s="1" t="s">
        <v>3681</v>
      </c>
      <c r="C3188" t="s">
        <v>158</v>
      </c>
      <c r="D3188" s="1" t="s">
        <v>3682</v>
      </c>
    </row>
    <row r="3189" spans="1:4" hidden="1" x14ac:dyDescent="0.3">
      <c r="A3189">
        <v>3187</v>
      </c>
      <c r="B3189" t="s">
        <v>3683</v>
      </c>
      <c r="C3189" t="s">
        <v>161</v>
      </c>
      <c r="D3189">
        <v>0.99968604558489904</v>
      </c>
    </row>
    <row r="3190" spans="1:4" hidden="1" x14ac:dyDescent="0.3">
      <c r="A3190">
        <v>3188</v>
      </c>
      <c r="B3190" t="s">
        <v>3684</v>
      </c>
      <c r="C3190" t="s">
        <v>163</v>
      </c>
      <c r="D3190">
        <v>0.999904525907783</v>
      </c>
    </row>
    <row r="3191" spans="1:4" hidden="1" x14ac:dyDescent="0.3">
      <c r="A3191">
        <v>3189</v>
      </c>
      <c r="B3191" s="1" t="s">
        <v>3685</v>
      </c>
      <c r="C3191" t="s">
        <v>165</v>
      </c>
      <c r="D3191" s="1" t="s">
        <v>3686</v>
      </c>
    </row>
    <row r="3192" spans="1:4" hidden="1" x14ac:dyDescent="0.3">
      <c r="A3192">
        <v>3190</v>
      </c>
      <c r="B3192" s="1" t="s">
        <v>3687</v>
      </c>
      <c r="C3192" t="s">
        <v>55</v>
      </c>
      <c r="D3192" s="1" t="s">
        <v>3688</v>
      </c>
    </row>
    <row r="3193" spans="1:4" hidden="1" x14ac:dyDescent="0.3">
      <c r="A3193">
        <v>3191</v>
      </c>
      <c r="B3193" s="1" t="s">
        <v>3689</v>
      </c>
      <c r="C3193" t="s">
        <v>52</v>
      </c>
      <c r="D3193" s="1" t="s">
        <v>3690</v>
      </c>
    </row>
    <row r="3194" spans="1:4" hidden="1" x14ac:dyDescent="0.3">
      <c r="A3194">
        <v>3192</v>
      </c>
      <c r="B3194" s="1" t="s">
        <v>3691</v>
      </c>
      <c r="C3194" t="s">
        <v>58</v>
      </c>
      <c r="D3194" s="1" t="s">
        <v>3692</v>
      </c>
    </row>
    <row r="3195" spans="1:4" hidden="1" x14ac:dyDescent="0.3">
      <c r="A3195">
        <v>3193</v>
      </c>
      <c r="B3195" t="s">
        <v>3693</v>
      </c>
      <c r="C3195" t="s">
        <v>60</v>
      </c>
      <c r="D3195">
        <v>149850869.815303</v>
      </c>
    </row>
    <row r="3196" spans="1:4" hidden="1" x14ac:dyDescent="0.3">
      <c r="A3196">
        <v>3194</v>
      </c>
      <c r="B3196" t="s">
        <v>3694</v>
      </c>
      <c r="C3196" t="s">
        <v>62</v>
      </c>
      <c r="D3196">
        <v>80024315.410152093</v>
      </c>
    </row>
    <row r="3197" spans="1:4" hidden="1" x14ac:dyDescent="0.3">
      <c r="A3197">
        <v>3195</v>
      </c>
      <c r="B3197" t="s">
        <v>3695</v>
      </c>
      <c r="C3197" t="s">
        <v>64</v>
      </c>
      <c r="D3197">
        <v>35009018.161090799</v>
      </c>
    </row>
    <row r="3198" spans="1:4" hidden="1" x14ac:dyDescent="0.3">
      <c r="A3198">
        <v>3196</v>
      </c>
      <c r="B3198" s="1" t="s">
        <v>3696</v>
      </c>
      <c r="C3198" t="s">
        <v>66</v>
      </c>
      <c r="D3198" s="1" t="s">
        <v>3697</v>
      </c>
    </row>
    <row r="3199" spans="1:4" hidden="1" x14ac:dyDescent="0.3">
      <c r="A3199">
        <v>3197</v>
      </c>
      <c r="B3199" s="1" t="s">
        <v>3698</v>
      </c>
      <c r="C3199" t="s">
        <v>69</v>
      </c>
      <c r="D3199" s="1" t="s">
        <v>3699</v>
      </c>
    </row>
    <row r="3200" spans="1:4" hidden="1" x14ac:dyDescent="0.3">
      <c r="A3200">
        <v>3198</v>
      </c>
      <c r="B3200" t="s">
        <v>3700</v>
      </c>
      <c r="C3200" t="s">
        <v>72</v>
      </c>
      <c r="D3200">
        <v>1.0002033943198201</v>
      </c>
    </row>
    <row r="3201" spans="1:4" hidden="1" x14ac:dyDescent="0.3">
      <c r="A3201">
        <v>3199</v>
      </c>
      <c r="B3201" t="s">
        <v>73</v>
      </c>
      <c r="C3201" t="s">
        <v>74</v>
      </c>
      <c r="D3201">
        <v>2.7397260273972599E-3</v>
      </c>
    </row>
    <row r="3202" spans="1:4" hidden="1" x14ac:dyDescent="0.3">
      <c r="A3202">
        <v>3200</v>
      </c>
      <c r="B3202" t="s">
        <v>75</v>
      </c>
      <c r="C3202" t="s">
        <v>76</v>
      </c>
      <c r="D3202">
        <v>0</v>
      </c>
    </row>
    <row r="3203" spans="1:4" hidden="1" x14ac:dyDescent="0.3">
      <c r="A3203">
        <v>3201</v>
      </c>
      <c r="B3203" t="s">
        <v>77</v>
      </c>
      <c r="C3203" t="s">
        <v>78</v>
      </c>
      <c r="D3203">
        <v>0</v>
      </c>
    </row>
    <row r="3204" spans="1:4" hidden="1" x14ac:dyDescent="0.3">
      <c r="A3204">
        <v>3202</v>
      </c>
      <c r="B3204" s="1" t="s">
        <v>3701</v>
      </c>
      <c r="C3204" t="s">
        <v>80</v>
      </c>
      <c r="D3204" s="1" t="s">
        <v>3702</v>
      </c>
    </row>
    <row r="3205" spans="1:4" hidden="1" x14ac:dyDescent="0.3">
      <c r="A3205">
        <v>3203</v>
      </c>
      <c r="B3205" t="s">
        <v>3703</v>
      </c>
      <c r="C3205" t="s">
        <v>83</v>
      </c>
      <c r="D3205">
        <v>1.0002101578510101</v>
      </c>
    </row>
    <row r="3206" spans="1:4" hidden="1" x14ac:dyDescent="0.3">
      <c r="A3206">
        <v>3204</v>
      </c>
      <c r="B3206" s="1" t="s">
        <v>3704</v>
      </c>
      <c r="C3206" t="s">
        <v>85</v>
      </c>
      <c r="D3206" s="1" t="s">
        <v>3705</v>
      </c>
    </row>
    <row r="3207" spans="1:4" hidden="1" x14ac:dyDescent="0.3">
      <c r="A3207">
        <v>3205</v>
      </c>
      <c r="B3207" t="s">
        <v>3706</v>
      </c>
      <c r="C3207" t="s">
        <v>88</v>
      </c>
      <c r="D3207">
        <v>99978988.630602896</v>
      </c>
    </row>
    <row r="3208" spans="1:4" hidden="1" x14ac:dyDescent="0.3">
      <c r="A3208">
        <v>3206</v>
      </c>
      <c r="B3208" s="1" t="s">
        <v>3707</v>
      </c>
      <c r="C3208" t="s">
        <v>90</v>
      </c>
      <c r="D3208" s="1" t="s">
        <v>3653</v>
      </c>
    </row>
    <row r="3209" spans="1:4" hidden="1" x14ac:dyDescent="0.3">
      <c r="A3209">
        <v>3207</v>
      </c>
      <c r="B3209" t="s">
        <v>3708</v>
      </c>
      <c r="C3209" t="s">
        <v>93</v>
      </c>
      <c r="D3209">
        <v>80024315.410152093</v>
      </c>
    </row>
    <row r="3210" spans="1:4" hidden="1" x14ac:dyDescent="0.3">
      <c r="A3210">
        <v>3208</v>
      </c>
      <c r="B3210" t="s">
        <v>3709</v>
      </c>
      <c r="C3210" t="s">
        <v>95</v>
      </c>
      <c r="D3210">
        <v>35009018.161090799</v>
      </c>
    </row>
    <row r="3211" spans="1:4" hidden="1" x14ac:dyDescent="0.3">
      <c r="A3211">
        <v>3209</v>
      </c>
      <c r="B3211" t="s">
        <v>3710</v>
      </c>
      <c r="C3211" t="s">
        <v>97</v>
      </c>
      <c r="D3211">
        <v>34817536.244060501</v>
      </c>
    </row>
    <row r="3212" spans="1:4" hidden="1" x14ac:dyDescent="0.3">
      <c r="A3212">
        <v>3210</v>
      </c>
      <c r="B3212" s="1" t="s">
        <v>3711</v>
      </c>
      <c r="C3212" t="s">
        <v>99</v>
      </c>
      <c r="D3212" s="1" t="s">
        <v>3712</v>
      </c>
    </row>
    <row r="3213" spans="1:4" hidden="1" x14ac:dyDescent="0.3">
      <c r="A3213">
        <v>3211</v>
      </c>
      <c r="B3213" t="s">
        <v>3713</v>
      </c>
      <c r="C3213" t="s">
        <v>102</v>
      </c>
      <c r="D3213">
        <v>9.2894059441995299E-3</v>
      </c>
    </row>
    <row r="3214" spans="1:4" hidden="1" x14ac:dyDescent="0.3">
      <c r="A3214">
        <v>3212</v>
      </c>
      <c r="B3214" t="s">
        <v>3714</v>
      </c>
      <c r="C3214" t="s">
        <v>104</v>
      </c>
      <c r="D3214">
        <v>1.61741237110225E-3</v>
      </c>
    </row>
    <row r="3215" spans="1:4" hidden="1" x14ac:dyDescent="0.3">
      <c r="A3215">
        <v>3213</v>
      </c>
      <c r="B3215" t="s">
        <v>3715</v>
      </c>
      <c r="C3215" t="s">
        <v>106</v>
      </c>
      <c r="D3215">
        <v>2.2063738179643098E-2</v>
      </c>
    </row>
    <row r="3216" spans="1:4" hidden="1" x14ac:dyDescent="0.3">
      <c r="A3216">
        <v>3214</v>
      </c>
      <c r="B3216" s="1" t="s">
        <v>3716</v>
      </c>
      <c r="C3216" t="s">
        <v>108</v>
      </c>
      <c r="D3216" s="1" t="s">
        <v>3717</v>
      </c>
    </row>
    <row r="3217" spans="1:4" hidden="1" x14ac:dyDescent="0.3">
      <c r="A3217">
        <v>3215</v>
      </c>
      <c r="B3217" t="s">
        <v>3718</v>
      </c>
      <c r="C3217" t="s">
        <v>196</v>
      </c>
      <c r="D3217">
        <v>149851102.702694</v>
      </c>
    </row>
    <row r="3218" spans="1:4" hidden="1" x14ac:dyDescent="0.3">
      <c r="A3218">
        <v>3216</v>
      </c>
      <c r="B3218" t="s">
        <v>3719</v>
      </c>
      <c r="C3218" t="s">
        <v>198</v>
      </c>
      <c r="D3218">
        <v>-541.13811003720502</v>
      </c>
    </row>
    <row r="3219" spans="1:4" hidden="1" x14ac:dyDescent="0.3">
      <c r="A3219">
        <v>3217</v>
      </c>
      <c r="B3219" t="s">
        <v>3720</v>
      </c>
      <c r="C3219" t="s">
        <v>200</v>
      </c>
      <c r="D3219">
        <v>-236.736618388202</v>
      </c>
    </row>
    <row r="3220" spans="1:4" hidden="1" x14ac:dyDescent="0.3">
      <c r="A3220">
        <v>3218</v>
      </c>
      <c r="B3220" s="1" t="s">
        <v>3721</v>
      </c>
      <c r="C3220" t="s">
        <v>202</v>
      </c>
      <c r="D3220" s="1" t="s">
        <v>3722</v>
      </c>
    </row>
    <row r="3221" spans="1:4" hidden="1" x14ac:dyDescent="0.3">
      <c r="A3221">
        <v>3219</v>
      </c>
      <c r="B3221" t="s">
        <v>3723</v>
      </c>
      <c r="C3221" t="s">
        <v>205</v>
      </c>
      <c r="D3221">
        <v>80025037.105515704</v>
      </c>
    </row>
    <row r="3222" spans="1:4" hidden="1" x14ac:dyDescent="0.3">
      <c r="A3222">
        <v>3220</v>
      </c>
      <c r="B3222" t="s">
        <v>3724</v>
      </c>
      <c r="C3222" t="s">
        <v>207</v>
      </c>
      <c r="D3222">
        <v>35009281.954744697</v>
      </c>
    </row>
    <row r="3223" spans="1:4" hidden="1" x14ac:dyDescent="0.3">
      <c r="A3223">
        <v>3221</v>
      </c>
      <c r="B3223" t="s">
        <v>3725</v>
      </c>
      <c r="C3223" t="s">
        <v>209</v>
      </c>
      <c r="D3223">
        <v>34817796.958938196</v>
      </c>
    </row>
    <row r="3224" spans="1:4" hidden="1" x14ac:dyDescent="0.3">
      <c r="A3224">
        <v>3222</v>
      </c>
      <c r="B3224" s="1" t="s">
        <v>3726</v>
      </c>
      <c r="C3224" t="s">
        <v>211</v>
      </c>
      <c r="D3224" s="1" t="s">
        <v>3727</v>
      </c>
    </row>
    <row r="3225" spans="1:4" hidden="1" x14ac:dyDescent="0.3">
      <c r="A3225">
        <v>3223</v>
      </c>
      <c r="B3225" t="s">
        <v>3728</v>
      </c>
      <c r="C3225" t="s">
        <v>214</v>
      </c>
      <c r="D3225">
        <v>99979664.704101294</v>
      </c>
    </row>
    <row r="3226" spans="1:4" hidden="1" x14ac:dyDescent="0.3">
      <c r="A3226">
        <v>3224</v>
      </c>
      <c r="B3226" t="s">
        <v>3729</v>
      </c>
      <c r="C3226" t="s">
        <v>216</v>
      </c>
      <c r="D3226">
        <v>-676.07349845766998</v>
      </c>
    </row>
    <row r="3227" spans="1:4" hidden="1" x14ac:dyDescent="0.3">
      <c r="A3227">
        <v>3225</v>
      </c>
      <c r="B3227" s="1" t="s">
        <v>3730</v>
      </c>
      <c r="C3227" t="s">
        <v>218</v>
      </c>
      <c r="D3227" s="1" t="s">
        <v>3731</v>
      </c>
    </row>
    <row r="3228" spans="1:4" hidden="1" x14ac:dyDescent="0.3">
      <c r="A3228">
        <v>3226</v>
      </c>
      <c r="B3228" t="s">
        <v>3732</v>
      </c>
      <c r="C3228" t="s">
        <v>111</v>
      </c>
      <c r="D3228">
        <v>180.55725352916701</v>
      </c>
    </row>
    <row r="3229" spans="1:4" hidden="1" x14ac:dyDescent="0.3">
      <c r="A3229">
        <v>3227</v>
      </c>
      <c r="B3229" t="s">
        <v>3733</v>
      </c>
      <c r="C3229" t="s">
        <v>113</v>
      </c>
      <c r="D3229">
        <v>27.057035435658701</v>
      </c>
    </row>
    <row r="3230" spans="1:4" hidden="1" x14ac:dyDescent="0.3">
      <c r="A3230">
        <v>3228</v>
      </c>
      <c r="B3230" s="1" t="s">
        <v>3734</v>
      </c>
      <c r="C3230" t="s">
        <v>115</v>
      </c>
      <c r="D3230" s="1" t="s">
        <v>3735</v>
      </c>
    </row>
    <row r="3231" spans="1:4" hidden="1" x14ac:dyDescent="0.3">
      <c r="A3231">
        <v>3229</v>
      </c>
      <c r="B3231" t="s">
        <v>3736</v>
      </c>
      <c r="C3231" t="s">
        <v>118</v>
      </c>
      <c r="D3231">
        <v>80025037.105515704</v>
      </c>
    </row>
    <row r="3232" spans="1:4" hidden="1" x14ac:dyDescent="0.3">
      <c r="A3232">
        <v>3230</v>
      </c>
      <c r="B3232" t="s">
        <v>3737</v>
      </c>
      <c r="C3232" t="s">
        <v>120</v>
      </c>
      <c r="D3232">
        <v>35009281.954744697</v>
      </c>
    </row>
    <row r="3233" spans="1:4" hidden="1" x14ac:dyDescent="0.3">
      <c r="A3233">
        <v>3231</v>
      </c>
      <c r="B3233" s="1" t="s">
        <v>3738</v>
      </c>
      <c r="C3233" t="s">
        <v>122</v>
      </c>
      <c r="D3233" s="1" t="s">
        <v>3739</v>
      </c>
    </row>
    <row r="3234" spans="1:4" hidden="1" x14ac:dyDescent="0.3">
      <c r="A3234">
        <v>3232</v>
      </c>
      <c r="B3234" t="s">
        <v>3740</v>
      </c>
      <c r="C3234" t="s">
        <v>125</v>
      </c>
      <c r="D3234">
        <v>0.80024495967405596</v>
      </c>
    </row>
    <row r="3235" spans="1:4" hidden="1" x14ac:dyDescent="0.3">
      <c r="A3235">
        <v>3233</v>
      </c>
      <c r="B3235" t="s">
        <v>3741</v>
      </c>
      <c r="C3235" t="s">
        <v>127</v>
      </c>
      <c r="D3235">
        <v>0.350090452181263</v>
      </c>
    </row>
    <row r="3236" spans="1:4" hidden="1" x14ac:dyDescent="0.3">
      <c r="A3236">
        <v>3234</v>
      </c>
      <c r="B3236" s="1" t="s">
        <v>3742</v>
      </c>
      <c r="C3236" t="s">
        <v>129</v>
      </c>
      <c r="D3236" s="1" t="s">
        <v>3743</v>
      </c>
    </row>
    <row r="3237" spans="1:4" ht="72" x14ac:dyDescent="0.3">
      <c r="A3237">
        <v>3235</v>
      </c>
      <c r="B3237" s="1" t="s">
        <v>3</v>
      </c>
      <c r="C3237" t="s">
        <v>4</v>
      </c>
      <c r="D3237" t="s">
        <v>5</v>
      </c>
    </row>
    <row r="3238" spans="1:4" hidden="1" x14ac:dyDescent="0.3">
      <c r="A3238">
        <v>3236</v>
      </c>
      <c r="B3238" t="s">
        <v>6</v>
      </c>
      <c r="C3238" t="s">
        <v>7</v>
      </c>
      <c r="D3238">
        <v>1981.95</v>
      </c>
    </row>
    <row r="3239" spans="1:4" hidden="1" x14ac:dyDescent="0.3">
      <c r="A3239">
        <v>3237</v>
      </c>
      <c r="B3239" s="1" t="s">
        <v>131</v>
      </c>
      <c r="C3239" t="s">
        <v>9</v>
      </c>
      <c r="D3239" s="1" t="s">
        <v>132</v>
      </c>
    </row>
    <row r="3240" spans="1:4" hidden="1" x14ac:dyDescent="0.3">
      <c r="A3240">
        <v>3238</v>
      </c>
      <c r="B3240" t="s">
        <v>13</v>
      </c>
      <c r="C3240" t="s">
        <v>14</v>
      </c>
      <c r="D3240">
        <v>91.74609375</v>
      </c>
    </row>
    <row r="3241" spans="1:4" hidden="1" x14ac:dyDescent="0.3">
      <c r="A3241">
        <v>3239</v>
      </c>
      <c r="B3241" t="s">
        <v>15</v>
      </c>
      <c r="C3241" t="s">
        <v>16</v>
      </c>
      <c r="D3241">
        <v>4.1883572307132804</v>
      </c>
    </row>
    <row r="3242" spans="1:4" hidden="1" x14ac:dyDescent="0.3">
      <c r="A3242">
        <v>3240</v>
      </c>
      <c r="B3242" s="1" t="s">
        <v>133</v>
      </c>
      <c r="C3242" t="s">
        <v>134</v>
      </c>
      <c r="D3242" s="1" t="s">
        <v>135</v>
      </c>
    </row>
    <row r="3243" spans="1:4" hidden="1" x14ac:dyDescent="0.3">
      <c r="A3243">
        <v>3241</v>
      </c>
      <c r="B3243" t="s">
        <v>21</v>
      </c>
      <c r="C3243" t="s">
        <v>22</v>
      </c>
      <c r="D3243">
        <v>38.25</v>
      </c>
    </row>
    <row r="3244" spans="1:4" hidden="1" x14ac:dyDescent="0.3">
      <c r="A3244">
        <v>3242</v>
      </c>
      <c r="B3244" t="s">
        <v>3744</v>
      </c>
      <c r="C3244" t="s">
        <v>24</v>
      </c>
      <c r="D3244">
        <v>5.6128746144061497</v>
      </c>
    </row>
    <row r="3245" spans="1:4" hidden="1" x14ac:dyDescent="0.3">
      <c r="A3245">
        <v>3243</v>
      </c>
      <c r="B3245" s="1" t="s">
        <v>3745</v>
      </c>
      <c r="C3245" t="s">
        <v>138</v>
      </c>
      <c r="D3245" s="1" t="s">
        <v>3746</v>
      </c>
    </row>
    <row r="3246" spans="1:4" hidden="1" x14ac:dyDescent="0.3">
      <c r="A3246">
        <v>3244</v>
      </c>
      <c r="B3246" t="s">
        <v>3747</v>
      </c>
      <c r="C3246" t="s">
        <v>35</v>
      </c>
      <c r="D3246">
        <v>0.55102580203120599</v>
      </c>
    </row>
    <row r="3247" spans="1:4" hidden="1" x14ac:dyDescent="0.3">
      <c r="A3247">
        <v>3245</v>
      </c>
      <c r="B3247" t="s">
        <v>3748</v>
      </c>
      <c r="C3247" t="s">
        <v>142</v>
      </c>
      <c r="D3247">
        <v>0.70276260971930204</v>
      </c>
    </row>
    <row r="3248" spans="1:4" hidden="1" x14ac:dyDescent="0.3">
      <c r="A3248">
        <v>3246</v>
      </c>
      <c r="B3248" s="1" t="s">
        <v>3749</v>
      </c>
      <c r="C3248" t="s">
        <v>144</v>
      </c>
      <c r="D3248" s="1" t="s">
        <v>3750</v>
      </c>
    </row>
    <row r="3249" spans="1:4" hidden="1" x14ac:dyDescent="0.3">
      <c r="A3249">
        <v>3247</v>
      </c>
      <c r="B3249" t="s">
        <v>3751</v>
      </c>
      <c r="C3249" t="s">
        <v>30</v>
      </c>
      <c r="D3249">
        <v>0.19459727593222501</v>
      </c>
    </row>
    <row r="3250" spans="1:4" hidden="1" x14ac:dyDescent="0.3">
      <c r="A3250">
        <v>3248</v>
      </c>
      <c r="B3250" t="s">
        <v>3752</v>
      </c>
      <c r="C3250" t="s">
        <v>32</v>
      </c>
      <c r="D3250">
        <v>0.23068789178589799</v>
      </c>
    </row>
    <row r="3251" spans="1:4" hidden="1" x14ac:dyDescent="0.3">
      <c r="A3251">
        <v>3249</v>
      </c>
      <c r="B3251" s="1" t="s">
        <v>3753</v>
      </c>
      <c r="C3251" t="s">
        <v>148</v>
      </c>
      <c r="D3251" s="1" t="s">
        <v>3754</v>
      </c>
    </row>
    <row r="3252" spans="1:4" hidden="1" x14ac:dyDescent="0.3">
      <c r="A3252">
        <v>3250</v>
      </c>
      <c r="B3252" t="s">
        <v>3755</v>
      </c>
      <c r="C3252" t="s">
        <v>40</v>
      </c>
      <c r="D3252">
        <v>0.25437692203656698</v>
      </c>
    </row>
    <row r="3253" spans="1:4" hidden="1" x14ac:dyDescent="0.3">
      <c r="A3253">
        <v>3251</v>
      </c>
      <c r="B3253" t="s">
        <v>3756</v>
      </c>
      <c r="C3253" t="s">
        <v>42</v>
      </c>
      <c r="D3253">
        <v>0.19226772106239901</v>
      </c>
    </row>
    <row r="3254" spans="1:4" hidden="1" x14ac:dyDescent="0.3">
      <c r="A3254">
        <v>3252</v>
      </c>
      <c r="B3254" s="1" t="s">
        <v>3757</v>
      </c>
      <c r="C3254" t="s">
        <v>152</v>
      </c>
      <c r="D3254" s="1" t="s">
        <v>3758</v>
      </c>
    </row>
    <row r="3255" spans="1:4" hidden="1" x14ac:dyDescent="0.3">
      <c r="A3255">
        <v>3253</v>
      </c>
      <c r="B3255" t="s">
        <v>153</v>
      </c>
      <c r="C3255" t="s">
        <v>154</v>
      </c>
      <c r="D3255">
        <v>1</v>
      </c>
    </row>
    <row r="3256" spans="1:4" hidden="1" x14ac:dyDescent="0.3">
      <c r="A3256">
        <v>3254</v>
      </c>
      <c r="B3256" t="s">
        <v>155</v>
      </c>
      <c r="C3256" t="s">
        <v>156</v>
      </c>
      <c r="D3256">
        <v>1</v>
      </c>
    </row>
    <row r="3257" spans="1:4" hidden="1" x14ac:dyDescent="0.3">
      <c r="A3257">
        <v>3255</v>
      </c>
      <c r="B3257" s="1" t="s">
        <v>3759</v>
      </c>
      <c r="C3257" t="s">
        <v>158</v>
      </c>
      <c r="D3257" s="1" t="s">
        <v>3760</v>
      </c>
    </row>
    <row r="3258" spans="1:4" hidden="1" x14ac:dyDescent="0.3">
      <c r="A3258">
        <v>3256</v>
      </c>
      <c r="B3258" t="s">
        <v>3761</v>
      </c>
      <c r="C3258" t="s">
        <v>161</v>
      </c>
      <c r="D3258">
        <v>1.0002690577288</v>
      </c>
    </row>
    <row r="3259" spans="1:4" hidden="1" x14ac:dyDescent="0.3">
      <c r="A3259">
        <v>3257</v>
      </c>
      <c r="B3259" t="s">
        <v>3762</v>
      </c>
      <c r="C3259" t="s">
        <v>163</v>
      </c>
      <c r="D3259">
        <v>0.99990823787996197</v>
      </c>
    </row>
    <row r="3260" spans="1:4" hidden="1" x14ac:dyDescent="0.3">
      <c r="A3260">
        <v>3258</v>
      </c>
      <c r="B3260" s="1" t="s">
        <v>3763</v>
      </c>
      <c r="C3260" t="s">
        <v>165</v>
      </c>
      <c r="D3260" s="1" t="s">
        <v>3764</v>
      </c>
    </row>
    <row r="3261" spans="1:4" hidden="1" x14ac:dyDescent="0.3">
      <c r="A3261">
        <v>3259</v>
      </c>
      <c r="B3261" s="1" t="s">
        <v>3765</v>
      </c>
      <c r="C3261" t="s">
        <v>55</v>
      </c>
      <c r="D3261" s="1" t="s">
        <v>3766</v>
      </c>
    </row>
    <row r="3262" spans="1:4" hidden="1" x14ac:dyDescent="0.3">
      <c r="A3262">
        <v>3260</v>
      </c>
      <c r="B3262" s="1" t="s">
        <v>3767</v>
      </c>
      <c r="C3262" t="s">
        <v>52</v>
      </c>
      <c r="D3262" s="1" t="s">
        <v>3768</v>
      </c>
    </row>
    <row r="3263" spans="1:4" hidden="1" x14ac:dyDescent="0.3">
      <c r="A3263">
        <v>3261</v>
      </c>
      <c r="B3263" s="1" t="s">
        <v>3769</v>
      </c>
      <c r="C3263" t="s">
        <v>58</v>
      </c>
      <c r="D3263" s="1" t="s">
        <v>3770</v>
      </c>
    </row>
    <row r="3264" spans="1:4" hidden="1" x14ac:dyDescent="0.3">
      <c r="A3264">
        <v>3262</v>
      </c>
      <c r="B3264" t="s">
        <v>3771</v>
      </c>
      <c r="C3264" t="s">
        <v>60</v>
      </c>
      <c r="D3264">
        <v>149867093.87869301</v>
      </c>
    </row>
    <row r="3265" spans="1:4" hidden="1" x14ac:dyDescent="0.3">
      <c r="A3265">
        <v>3263</v>
      </c>
      <c r="B3265" t="s">
        <v>3772</v>
      </c>
      <c r="C3265" t="s">
        <v>62</v>
      </c>
      <c r="D3265">
        <v>80025037.105515704</v>
      </c>
    </row>
    <row r="3266" spans="1:4" hidden="1" x14ac:dyDescent="0.3">
      <c r="A3266">
        <v>3264</v>
      </c>
      <c r="B3266" t="s">
        <v>3773</v>
      </c>
      <c r="C3266" t="s">
        <v>64</v>
      </c>
      <c r="D3266">
        <v>35009281.954744697</v>
      </c>
    </row>
    <row r="3267" spans="1:4" hidden="1" x14ac:dyDescent="0.3">
      <c r="A3267">
        <v>3265</v>
      </c>
      <c r="B3267" s="1" t="s">
        <v>3774</v>
      </c>
      <c r="C3267" t="s">
        <v>66</v>
      </c>
      <c r="D3267" s="1" t="s">
        <v>3775</v>
      </c>
    </row>
    <row r="3268" spans="1:4" hidden="1" x14ac:dyDescent="0.3">
      <c r="A3268">
        <v>3266</v>
      </c>
      <c r="B3268" s="1" t="s">
        <v>3776</v>
      </c>
      <c r="C3268" t="s">
        <v>69</v>
      </c>
      <c r="D3268" s="1" t="s">
        <v>3777</v>
      </c>
    </row>
    <row r="3269" spans="1:4" hidden="1" x14ac:dyDescent="0.3">
      <c r="A3269">
        <v>3267</v>
      </c>
      <c r="B3269" t="s">
        <v>3778</v>
      </c>
      <c r="C3269" t="s">
        <v>72</v>
      </c>
      <c r="D3269">
        <v>1.0002101578510101</v>
      </c>
    </row>
    <row r="3270" spans="1:4" hidden="1" x14ac:dyDescent="0.3">
      <c r="A3270">
        <v>3268</v>
      </c>
      <c r="B3270" t="s">
        <v>73</v>
      </c>
      <c r="C3270" t="s">
        <v>74</v>
      </c>
      <c r="D3270">
        <v>2.7397260273972599E-3</v>
      </c>
    </row>
    <row r="3271" spans="1:4" hidden="1" x14ac:dyDescent="0.3">
      <c r="A3271">
        <v>3269</v>
      </c>
      <c r="B3271" t="s">
        <v>75</v>
      </c>
      <c r="C3271" t="s">
        <v>76</v>
      </c>
      <c r="D3271">
        <v>0</v>
      </c>
    </row>
    <row r="3272" spans="1:4" hidden="1" x14ac:dyDescent="0.3">
      <c r="A3272">
        <v>3270</v>
      </c>
      <c r="B3272" t="s">
        <v>77</v>
      </c>
      <c r="C3272" t="s">
        <v>78</v>
      </c>
      <c r="D3272">
        <v>0</v>
      </c>
    </row>
    <row r="3273" spans="1:4" hidden="1" x14ac:dyDescent="0.3">
      <c r="A3273">
        <v>3271</v>
      </c>
      <c r="B3273" s="1" t="s">
        <v>3779</v>
      </c>
      <c r="C3273" t="s">
        <v>80</v>
      </c>
      <c r="D3273" s="1" t="s">
        <v>3780</v>
      </c>
    </row>
    <row r="3274" spans="1:4" hidden="1" x14ac:dyDescent="0.3">
      <c r="A3274">
        <v>3272</v>
      </c>
      <c r="B3274" t="s">
        <v>3781</v>
      </c>
      <c r="C3274" t="s">
        <v>83</v>
      </c>
      <c r="D3274">
        <v>1.00018773905863</v>
      </c>
    </row>
    <row r="3275" spans="1:4" hidden="1" x14ac:dyDescent="0.3">
      <c r="A3275">
        <v>3273</v>
      </c>
      <c r="B3275" s="1" t="s">
        <v>3782</v>
      </c>
      <c r="C3275" t="s">
        <v>85</v>
      </c>
      <c r="D3275" s="1" t="s">
        <v>3783</v>
      </c>
    </row>
    <row r="3276" spans="1:4" hidden="1" x14ac:dyDescent="0.3">
      <c r="A3276">
        <v>3274</v>
      </c>
      <c r="B3276" t="s">
        <v>3784</v>
      </c>
      <c r="C3276" t="s">
        <v>88</v>
      </c>
      <c r="D3276">
        <v>99981229.618070394</v>
      </c>
    </row>
    <row r="3277" spans="1:4" hidden="1" x14ac:dyDescent="0.3">
      <c r="A3277">
        <v>3275</v>
      </c>
      <c r="B3277" s="1" t="s">
        <v>3785</v>
      </c>
      <c r="C3277" t="s">
        <v>90</v>
      </c>
      <c r="D3277" s="1" t="s">
        <v>3731</v>
      </c>
    </row>
    <row r="3278" spans="1:4" hidden="1" x14ac:dyDescent="0.3">
      <c r="A3278">
        <v>3276</v>
      </c>
      <c r="B3278" t="s">
        <v>3786</v>
      </c>
      <c r="C3278" t="s">
        <v>93</v>
      </c>
      <c r="D3278">
        <v>80025037.105515704</v>
      </c>
    </row>
    <row r="3279" spans="1:4" hidden="1" x14ac:dyDescent="0.3">
      <c r="A3279">
        <v>3277</v>
      </c>
      <c r="B3279" t="s">
        <v>3787</v>
      </c>
      <c r="C3279" t="s">
        <v>95</v>
      </c>
      <c r="D3279">
        <v>35009281.954744697</v>
      </c>
    </row>
    <row r="3280" spans="1:4" hidden="1" x14ac:dyDescent="0.3">
      <c r="A3280">
        <v>3278</v>
      </c>
      <c r="B3280" t="s">
        <v>3788</v>
      </c>
      <c r="C3280" t="s">
        <v>97</v>
      </c>
      <c r="D3280">
        <v>34832774.818432897</v>
      </c>
    </row>
    <row r="3281" spans="1:4" hidden="1" x14ac:dyDescent="0.3">
      <c r="A3281">
        <v>3279</v>
      </c>
      <c r="B3281" s="1" t="s">
        <v>3789</v>
      </c>
      <c r="C3281" t="s">
        <v>99</v>
      </c>
      <c r="D3281" s="1" t="s">
        <v>3790</v>
      </c>
    </row>
    <row r="3282" spans="1:4" hidden="1" x14ac:dyDescent="0.3">
      <c r="A3282">
        <v>3280</v>
      </c>
      <c r="B3282" t="s">
        <v>3791</v>
      </c>
      <c r="C3282" t="s">
        <v>102</v>
      </c>
      <c r="D3282">
        <v>9.3764255976956402E-3</v>
      </c>
    </row>
    <row r="3283" spans="1:4" hidden="1" x14ac:dyDescent="0.3">
      <c r="A3283">
        <v>3281</v>
      </c>
      <c r="B3283" t="s">
        <v>3792</v>
      </c>
      <c r="C3283" t="s">
        <v>104</v>
      </c>
      <c r="D3283">
        <v>1.62665809103067E-3</v>
      </c>
    </row>
    <row r="3284" spans="1:4" hidden="1" x14ac:dyDescent="0.3">
      <c r="A3284">
        <v>3282</v>
      </c>
      <c r="B3284" t="s">
        <v>3793</v>
      </c>
      <c r="C3284" t="s">
        <v>106</v>
      </c>
      <c r="D3284">
        <v>2.1830062230404401E-2</v>
      </c>
    </row>
    <row r="3285" spans="1:4" hidden="1" x14ac:dyDescent="0.3">
      <c r="A3285">
        <v>3283</v>
      </c>
      <c r="B3285" s="1" t="s">
        <v>3794</v>
      </c>
      <c r="C3285" t="s">
        <v>108</v>
      </c>
      <c r="D3285" s="1" t="s">
        <v>3795</v>
      </c>
    </row>
    <row r="3286" spans="1:4" hidden="1" x14ac:dyDescent="0.3">
      <c r="A3286">
        <v>3284</v>
      </c>
      <c r="B3286" t="s">
        <v>3796</v>
      </c>
      <c r="C3286" t="s">
        <v>196</v>
      </c>
      <c r="D3286">
        <v>149866321.80645701</v>
      </c>
    </row>
    <row r="3287" spans="1:4" hidden="1" x14ac:dyDescent="0.3">
      <c r="A3287">
        <v>3285</v>
      </c>
      <c r="B3287" t="s">
        <v>3797</v>
      </c>
      <c r="C3287" t="s">
        <v>198</v>
      </c>
      <c r="D3287">
        <v>1793.67504608737</v>
      </c>
    </row>
    <row r="3288" spans="1:4" hidden="1" x14ac:dyDescent="0.3">
      <c r="A3288">
        <v>3286</v>
      </c>
      <c r="B3288" t="s">
        <v>3798</v>
      </c>
      <c r="C3288" t="s">
        <v>200</v>
      </c>
      <c r="D3288">
        <v>784.69901133844803</v>
      </c>
    </row>
    <row r="3289" spans="1:4" hidden="1" x14ac:dyDescent="0.3">
      <c r="A3289">
        <v>3287</v>
      </c>
      <c r="B3289" s="1" t="s">
        <v>3799</v>
      </c>
      <c r="C3289" t="s">
        <v>202</v>
      </c>
      <c r="D3289" s="1" t="s">
        <v>3800</v>
      </c>
    </row>
    <row r="3290" spans="1:4" hidden="1" x14ac:dyDescent="0.3">
      <c r="A3290">
        <v>3288</v>
      </c>
      <c r="B3290" t="s">
        <v>3801</v>
      </c>
      <c r="C3290" t="s">
        <v>205</v>
      </c>
      <c r="D3290">
        <v>80022677.340202093</v>
      </c>
    </row>
    <row r="3291" spans="1:4" hidden="1" x14ac:dyDescent="0.3">
      <c r="A3291">
        <v>3289</v>
      </c>
      <c r="B3291" t="s">
        <v>3802</v>
      </c>
      <c r="C3291" t="s">
        <v>207</v>
      </c>
      <c r="D3291">
        <v>35008412.438187703</v>
      </c>
    </row>
    <row r="3292" spans="1:4" hidden="1" x14ac:dyDescent="0.3">
      <c r="A3292">
        <v>3290</v>
      </c>
      <c r="B3292" t="s">
        <v>3803</v>
      </c>
      <c r="C3292" t="s">
        <v>209</v>
      </c>
      <c r="D3292">
        <v>34831872.9120593</v>
      </c>
    </row>
    <row r="3293" spans="1:4" hidden="1" x14ac:dyDescent="0.3">
      <c r="A3293">
        <v>3291</v>
      </c>
      <c r="B3293" s="1" t="s">
        <v>3804</v>
      </c>
      <c r="C3293" t="s">
        <v>211</v>
      </c>
      <c r="D3293" s="1" t="s">
        <v>3805</v>
      </c>
    </row>
    <row r="3294" spans="1:4" hidden="1" x14ac:dyDescent="0.3">
      <c r="A3294">
        <v>3292</v>
      </c>
      <c r="B3294" t="s">
        <v>3806</v>
      </c>
      <c r="C3294" t="s">
        <v>214</v>
      </c>
      <c r="D3294">
        <v>99978988.630602896</v>
      </c>
    </row>
    <row r="3295" spans="1:4" hidden="1" x14ac:dyDescent="0.3">
      <c r="A3295">
        <v>3293</v>
      </c>
      <c r="B3295" t="s">
        <v>3807</v>
      </c>
      <c r="C3295" t="s">
        <v>216</v>
      </c>
      <c r="D3295">
        <v>2240.98746755719</v>
      </c>
    </row>
    <row r="3296" spans="1:4" hidden="1" x14ac:dyDescent="0.3">
      <c r="A3296">
        <v>3294</v>
      </c>
      <c r="B3296" s="1" t="s">
        <v>3808</v>
      </c>
      <c r="C3296" t="s">
        <v>218</v>
      </c>
      <c r="D3296" s="1" t="s">
        <v>3809</v>
      </c>
    </row>
    <row r="3297" spans="1:4" hidden="1" x14ac:dyDescent="0.3">
      <c r="A3297">
        <v>3295</v>
      </c>
      <c r="B3297" t="s">
        <v>3810</v>
      </c>
      <c r="C3297" t="s">
        <v>111</v>
      </c>
      <c r="D3297">
        <v>-566.09026751820204</v>
      </c>
    </row>
    <row r="3298" spans="1:4" hidden="1" x14ac:dyDescent="0.3">
      <c r="A3298">
        <v>3296</v>
      </c>
      <c r="B3298" t="s">
        <v>3811</v>
      </c>
      <c r="C3298" t="s">
        <v>113</v>
      </c>
      <c r="D3298">
        <v>-84.817545612014797</v>
      </c>
    </row>
    <row r="3299" spans="1:4" hidden="1" x14ac:dyDescent="0.3">
      <c r="A3299">
        <v>3297</v>
      </c>
      <c r="B3299" s="1" t="s">
        <v>3812</v>
      </c>
      <c r="C3299" t="s">
        <v>115</v>
      </c>
      <c r="D3299" s="1" t="s">
        <v>3813</v>
      </c>
    </row>
    <row r="3300" spans="1:4" hidden="1" x14ac:dyDescent="0.3">
      <c r="A3300">
        <v>3298</v>
      </c>
      <c r="B3300" t="s">
        <v>3814</v>
      </c>
      <c r="C3300" t="s">
        <v>118</v>
      </c>
      <c r="D3300">
        <v>80022677.340202093</v>
      </c>
    </row>
    <row r="3301" spans="1:4" hidden="1" x14ac:dyDescent="0.3">
      <c r="A3301">
        <v>3299</v>
      </c>
      <c r="B3301" t="s">
        <v>3815</v>
      </c>
      <c r="C3301" t="s">
        <v>120</v>
      </c>
      <c r="D3301">
        <v>35008412.438187703</v>
      </c>
    </row>
    <row r="3302" spans="1:4" hidden="1" x14ac:dyDescent="0.3">
      <c r="A3302">
        <v>3300</v>
      </c>
      <c r="B3302" s="1" t="s">
        <v>3816</v>
      </c>
      <c r="C3302" t="s">
        <v>122</v>
      </c>
      <c r="D3302" s="1" t="s">
        <v>3817</v>
      </c>
    </row>
    <row r="3303" spans="1:4" hidden="1" x14ac:dyDescent="0.3">
      <c r="A3303">
        <v>3301</v>
      </c>
      <c r="B3303" t="s">
        <v>3818</v>
      </c>
      <c r="C3303" t="s">
        <v>125</v>
      </c>
      <c r="D3303">
        <v>0.800244710152482</v>
      </c>
    </row>
    <row r="3304" spans="1:4" hidden="1" x14ac:dyDescent="0.3">
      <c r="A3304">
        <v>3302</v>
      </c>
      <c r="B3304" t="s">
        <v>3819</v>
      </c>
      <c r="C3304" t="s">
        <v>127</v>
      </c>
      <c r="D3304">
        <v>0.35009197137199</v>
      </c>
    </row>
    <row r="3305" spans="1:4" hidden="1" x14ac:dyDescent="0.3">
      <c r="A3305">
        <v>3303</v>
      </c>
      <c r="B3305" s="1" t="s">
        <v>3820</v>
      </c>
      <c r="C3305" t="s">
        <v>129</v>
      </c>
      <c r="D3305" s="1" t="s">
        <v>3821</v>
      </c>
    </row>
    <row r="3306" spans="1:4" ht="72" x14ac:dyDescent="0.3">
      <c r="A3306">
        <v>3304</v>
      </c>
      <c r="B3306" s="1" t="s">
        <v>3</v>
      </c>
      <c r="C3306" t="s">
        <v>4</v>
      </c>
      <c r="D3306" t="s">
        <v>5</v>
      </c>
    </row>
    <row r="3307" spans="1:4" hidden="1" x14ac:dyDescent="0.3">
      <c r="A3307">
        <v>3305</v>
      </c>
      <c r="B3307" t="s">
        <v>6</v>
      </c>
      <c r="C3307" t="s">
        <v>7</v>
      </c>
      <c r="D3307">
        <v>1981.95</v>
      </c>
    </row>
    <row r="3308" spans="1:4" hidden="1" x14ac:dyDescent="0.3">
      <c r="A3308">
        <v>3306</v>
      </c>
      <c r="B3308" s="1" t="s">
        <v>131</v>
      </c>
      <c r="C3308" t="s">
        <v>9</v>
      </c>
      <c r="D3308" s="1" t="s">
        <v>132</v>
      </c>
    </row>
    <row r="3309" spans="1:4" hidden="1" x14ac:dyDescent="0.3">
      <c r="A3309">
        <v>3307</v>
      </c>
      <c r="B3309" t="s">
        <v>13</v>
      </c>
      <c r="C3309" t="s">
        <v>14</v>
      </c>
      <c r="D3309">
        <v>91.74609375</v>
      </c>
    </row>
    <row r="3310" spans="1:4" hidden="1" x14ac:dyDescent="0.3">
      <c r="A3310">
        <v>3308</v>
      </c>
      <c r="B3310" t="s">
        <v>15</v>
      </c>
      <c r="C3310" t="s">
        <v>16</v>
      </c>
      <c r="D3310">
        <v>4.1883572307132804</v>
      </c>
    </row>
    <row r="3311" spans="1:4" hidden="1" x14ac:dyDescent="0.3">
      <c r="A3311">
        <v>3309</v>
      </c>
      <c r="B3311" s="1" t="s">
        <v>133</v>
      </c>
      <c r="C3311" t="s">
        <v>134</v>
      </c>
      <c r="D3311" s="1" t="s">
        <v>135</v>
      </c>
    </row>
    <row r="3312" spans="1:4" hidden="1" x14ac:dyDescent="0.3">
      <c r="A3312">
        <v>3310</v>
      </c>
      <c r="B3312" t="s">
        <v>21</v>
      </c>
      <c r="C3312" t="s">
        <v>22</v>
      </c>
      <c r="D3312">
        <v>38.25</v>
      </c>
    </row>
    <row r="3313" spans="1:4" hidden="1" x14ac:dyDescent="0.3">
      <c r="A3313">
        <v>3311</v>
      </c>
      <c r="B3313" t="s">
        <v>3822</v>
      </c>
      <c r="C3313" t="s">
        <v>24</v>
      </c>
      <c r="D3313">
        <v>5.6086466314238201</v>
      </c>
    </row>
    <row r="3314" spans="1:4" hidden="1" x14ac:dyDescent="0.3">
      <c r="A3314">
        <v>3312</v>
      </c>
      <c r="B3314" s="1" t="s">
        <v>3823</v>
      </c>
      <c r="C3314" t="s">
        <v>138</v>
      </c>
      <c r="D3314" s="1" t="s">
        <v>3824</v>
      </c>
    </row>
    <row r="3315" spans="1:4" hidden="1" x14ac:dyDescent="0.3">
      <c r="A3315">
        <v>3313</v>
      </c>
      <c r="B3315" t="s">
        <v>3825</v>
      </c>
      <c r="C3315" t="s">
        <v>35</v>
      </c>
      <c r="D3315">
        <v>0.55116943109833305</v>
      </c>
    </row>
    <row r="3316" spans="1:4" hidden="1" x14ac:dyDescent="0.3">
      <c r="A3316">
        <v>3314</v>
      </c>
      <c r="B3316" t="s">
        <v>3826</v>
      </c>
      <c r="C3316" t="s">
        <v>142</v>
      </c>
      <c r="D3316">
        <v>0.70302824035741696</v>
      </c>
    </row>
    <row r="3317" spans="1:4" hidden="1" x14ac:dyDescent="0.3">
      <c r="A3317">
        <v>3315</v>
      </c>
      <c r="B3317" s="1" t="s">
        <v>3827</v>
      </c>
      <c r="C3317" t="s">
        <v>144</v>
      </c>
      <c r="D3317" s="1" t="s">
        <v>3828</v>
      </c>
    </row>
    <row r="3318" spans="1:4" hidden="1" x14ac:dyDescent="0.3">
      <c r="A3318">
        <v>3316</v>
      </c>
      <c r="B3318" t="s">
        <v>3829</v>
      </c>
      <c r="C3318" t="s">
        <v>30</v>
      </c>
      <c r="D3318">
        <v>0.19464799919256001</v>
      </c>
    </row>
    <row r="3319" spans="1:4" hidden="1" x14ac:dyDescent="0.3">
      <c r="A3319">
        <v>3317</v>
      </c>
      <c r="B3319" t="s">
        <v>3830</v>
      </c>
      <c r="C3319" t="s">
        <v>32</v>
      </c>
      <c r="D3319">
        <v>0.23031633118538</v>
      </c>
    </row>
    <row r="3320" spans="1:4" hidden="1" x14ac:dyDescent="0.3">
      <c r="A3320">
        <v>3318</v>
      </c>
      <c r="B3320" s="1" t="s">
        <v>3831</v>
      </c>
      <c r="C3320" t="s">
        <v>148</v>
      </c>
      <c r="D3320" s="1" t="s">
        <v>3832</v>
      </c>
    </row>
    <row r="3321" spans="1:4" hidden="1" x14ac:dyDescent="0.3">
      <c r="A3321">
        <v>3319</v>
      </c>
      <c r="B3321" t="s">
        <v>3833</v>
      </c>
      <c r="C3321" t="s">
        <v>40</v>
      </c>
      <c r="D3321">
        <v>0.25418256970910502</v>
      </c>
    </row>
    <row r="3322" spans="1:4" hidden="1" x14ac:dyDescent="0.3">
      <c r="A3322">
        <v>3320</v>
      </c>
      <c r="B3322" t="s">
        <v>3834</v>
      </c>
      <c r="C3322" t="s">
        <v>42</v>
      </c>
      <c r="D3322">
        <v>0.192101635255915</v>
      </c>
    </row>
    <row r="3323" spans="1:4" hidden="1" x14ac:dyDescent="0.3">
      <c r="A3323">
        <v>3321</v>
      </c>
      <c r="B3323" s="1" t="s">
        <v>3835</v>
      </c>
      <c r="C3323" t="s">
        <v>152</v>
      </c>
      <c r="D3323" s="1" t="s">
        <v>3836</v>
      </c>
    </row>
    <row r="3324" spans="1:4" hidden="1" x14ac:dyDescent="0.3">
      <c r="A3324">
        <v>3322</v>
      </c>
      <c r="B3324" t="s">
        <v>153</v>
      </c>
      <c r="C3324" t="s">
        <v>154</v>
      </c>
      <c r="D3324">
        <v>1</v>
      </c>
    </row>
    <row r="3325" spans="1:4" hidden="1" x14ac:dyDescent="0.3">
      <c r="A3325">
        <v>3323</v>
      </c>
      <c r="B3325" t="s">
        <v>155</v>
      </c>
      <c r="C3325" t="s">
        <v>156</v>
      </c>
      <c r="D3325">
        <v>1</v>
      </c>
    </row>
    <row r="3326" spans="1:4" hidden="1" x14ac:dyDescent="0.3">
      <c r="A3326">
        <v>3324</v>
      </c>
      <c r="B3326" s="1" t="s">
        <v>3837</v>
      </c>
      <c r="C3326" t="s">
        <v>158</v>
      </c>
      <c r="D3326" s="1" t="s">
        <v>3838</v>
      </c>
    </row>
    <row r="3327" spans="1:4" hidden="1" x14ac:dyDescent="0.3">
      <c r="A3327">
        <v>3325</v>
      </c>
      <c r="B3327" t="s">
        <v>3839</v>
      </c>
      <c r="C3327" t="s">
        <v>161</v>
      </c>
      <c r="D3327">
        <v>1.0001559998067799</v>
      </c>
    </row>
    <row r="3328" spans="1:4" hidden="1" x14ac:dyDescent="0.3">
      <c r="A3328">
        <v>3326</v>
      </c>
      <c r="B3328" t="s">
        <v>3840</v>
      </c>
      <c r="C3328" t="s">
        <v>163</v>
      </c>
      <c r="D3328">
        <v>0.99969808705927898</v>
      </c>
    </row>
    <row r="3329" spans="1:4" hidden="1" x14ac:dyDescent="0.3">
      <c r="A3329">
        <v>3327</v>
      </c>
      <c r="B3329" s="1" t="s">
        <v>3841</v>
      </c>
      <c r="C3329" t="s">
        <v>165</v>
      </c>
      <c r="D3329" s="1" t="s">
        <v>3842</v>
      </c>
    </row>
    <row r="3330" spans="1:4" hidden="1" x14ac:dyDescent="0.3">
      <c r="A3330">
        <v>3328</v>
      </c>
      <c r="B3330" s="1" t="s">
        <v>3843</v>
      </c>
      <c r="C3330" t="s">
        <v>55</v>
      </c>
      <c r="D3330" s="1" t="s">
        <v>3844</v>
      </c>
    </row>
    <row r="3331" spans="1:4" hidden="1" x14ac:dyDescent="0.3">
      <c r="A3331">
        <v>3329</v>
      </c>
      <c r="B3331" s="1" t="s">
        <v>3845</v>
      </c>
      <c r="C3331" t="s">
        <v>52</v>
      </c>
      <c r="D3331" s="1" t="s">
        <v>3846</v>
      </c>
    </row>
    <row r="3332" spans="1:4" hidden="1" x14ac:dyDescent="0.3">
      <c r="A3332">
        <v>3330</v>
      </c>
      <c r="B3332" s="1" t="s">
        <v>3847</v>
      </c>
      <c r="C3332" t="s">
        <v>58</v>
      </c>
      <c r="D3332" s="1" t="s">
        <v>3848</v>
      </c>
    </row>
    <row r="3333" spans="1:4" hidden="1" x14ac:dyDescent="0.3">
      <c r="A3333">
        <v>3331</v>
      </c>
      <c r="B3333" t="s">
        <v>3849</v>
      </c>
      <c r="C3333" t="s">
        <v>60</v>
      </c>
      <c r="D3333">
        <v>149859605.214059</v>
      </c>
    </row>
    <row r="3334" spans="1:4" hidden="1" x14ac:dyDescent="0.3">
      <c r="A3334">
        <v>3332</v>
      </c>
      <c r="B3334" t="s">
        <v>3850</v>
      </c>
      <c r="C3334" t="s">
        <v>62</v>
      </c>
      <c r="D3334">
        <v>80022677.340202093</v>
      </c>
    </row>
    <row r="3335" spans="1:4" hidden="1" x14ac:dyDescent="0.3">
      <c r="A3335">
        <v>3333</v>
      </c>
      <c r="B3335" t="s">
        <v>3851</v>
      </c>
      <c r="C3335" t="s">
        <v>64</v>
      </c>
      <c r="D3335">
        <v>35008412.438187703</v>
      </c>
    </row>
    <row r="3336" spans="1:4" hidden="1" x14ac:dyDescent="0.3">
      <c r="A3336">
        <v>3334</v>
      </c>
      <c r="B3336" s="1" t="s">
        <v>3852</v>
      </c>
      <c r="C3336" t="s">
        <v>66</v>
      </c>
      <c r="D3336" s="1" t="s">
        <v>3853</v>
      </c>
    </row>
    <row r="3337" spans="1:4" hidden="1" x14ac:dyDescent="0.3">
      <c r="A3337">
        <v>3335</v>
      </c>
      <c r="B3337" s="1" t="s">
        <v>3854</v>
      </c>
      <c r="C3337" t="s">
        <v>69</v>
      </c>
      <c r="D3337" s="1" t="s">
        <v>3855</v>
      </c>
    </row>
    <row r="3338" spans="1:4" hidden="1" x14ac:dyDescent="0.3">
      <c r="A3338">
        <v>3336</v>
      </c>
      <c r="B3338" t="s">
        <v>3856</v>
      </c>
      <c r="C3338" t="s">
        <v>72</v>
      </c>
      <c r="D3338">
        <v>1.00018773905863</v>
      </c>
    </row>
    <row r="3339" spans="1:4" hidden="1" x14ac:dyDescent="0.3">
      <c r="A3339">
        <v>3337</v>
      </c>
      <c r="B3339" t="s">
        <v>73</v>
      </c>
      <c r="C3339" t="s">
        <v>74</v>
      </c>
      <c r="D3339">
        <v>2.7397260273972599E-3</v>
      </c>
    </row>
    <row r="3340" spans="1:4" hidden="1" x14ac:dyDescent="0.3">
      <c r="A3340">
        <v>3338</v>
      </c>
      <c r="B3340" t="s">
        <v>75</v>
      </c>
      <c r="C3340" t="s">
        <v>76</v>
      </c>
      <c r="D3340">
        <v>0</v>
      </c>
    </row>
    <row r="3341" spans="1:4" hidden="1" x14ac:dyDescent="0.3">
      <c r="A3341">
        <v>3339</v>
      </c>
      <c r="B3341" t="s">
        <v>77</v>
      </c>
      <c r="C3341" t="s">
        <v>78</v>
      </c>
      <c r="D3341">
        <v>0</v>
      </c>
    </row>
    <row r="3342" spans="1:4" hidden="1" x14ac:dyDescent="0.3">
      <c r="A3342">
        <v>3340</v>
      </c>
      <c r="B3342" s="1" t="s">
        <v>3857</v>
      </c>
      <c r="C3342" t="s">
        <v>80</v>
      </c>
      <c r="D3342" s="1" t="s">
        <v>3858</v>
      </c>
    </row>
    <row r="3343" spans="1:4" hidden="1" x14ac:dyDescent="0.3">
      <c r="A3343">
        <v>3341</v>
      </c>
      <c r="B3343" t="s">
        <v>3859</v>
      </c>
      <c r="C3343" t="s">
        <v>83</v>
      </c>
      <c r="D3343">
        <v>1.00018419447066</v>
      </c>
    </row>
    <row r="3344" spans="1:4" hidden="1" x14ac:dyDescent="0.3">
      <c r="A3344">
        <v>3342</v>
      </c>
      <c r="B3344" s="1" t="s">
        <v>3860</v>
      </c>
      <c r="C3344" t="s">
        <v>85</v>
      </c>
      <c r="D3344" s="1" t="s">
        <v>3861</v>
      </c>
    </row>
    <row r="3345" spans="1:4" hidden="1" x14ac:dyDescent="0.3">
      <c r="A3345">
        <v>3343</v>
      </c>
      <c r="B3345" t="s">
        <v>3862</v>
      </c>
      <c r="C3345" t="s">
        <v>88</v>
      </c>
      <c r="D3345">
        <v>99981583.945068702</v>
      </c>
    </row>
    <row r="3346" spans="1:4" hidden="1" x14ac:dyDescent="0.3">
      <c r="A3346">
        <v>3344</v>
      </c>
      <c r="B3346" s="1" t="s">
        <v>3863</v>
      </c>
      <c r="C3346" t="s">
        <v>90</v>
      </c>
      <c r="D3346" s="1" t="s">
        <v>3809</v>
      </c>
    </row>
    <row r="3347" spans="1:4" hidden="1" x14ac:dyDescent="0.3">
      <c r="A3347">
        <v>3345</v>
      </c>
      <c r="B3347" t="s">
        <v>3864</v>
      </c>
      <c r="C3347" t="s">
        <v>93</v>
      </c>
      <c r="D3347">
        <v>80022677.340202093</v>
      </c>
    </row>
    <row r="3348" spans="1:4" hidden="1" x14ac:dyDescent="0.3">
      <c r="A3348">
        <v>3346</v>
      </c>
      <c r="B3348" t="s">
        <v>3865</v>
      </c>
      <c r="C3348" t="s">
        <v>95</v>
      </c>
      <c r="D3348">
        <v>35008412.438187703</v>
      </c>
    </row>
    <row r="3349" spans="1:4" hidden="1" x14ac:dyDescent="0.3">
      <c r="A3349">
        <v>3347</v>
      </c>
      <c r="B3349" t="s">
        <v>3866</v>
      </c>
      <c r="C3349" t="s">
        <v>97</v>
      </c>
      <c r="D3349">
        <v>34828515.4356694</v>
      </c>
    </row>
    <row r="3350" spans="1:4" hidden="1" x14ac:dyDescent="0.3">
      <c r="A3350">
        <v>3348</v>
      </c>
      <c r="B3350" s="1" t="s">
        <v>3867</v>
      </c>
      <c r="C3350" t="s">
        <v>99</v>
      </c>
      <c r="D3350" s="1" t="s">
        <v>3868</v>
      </c>
    </row>
    <row r="3351" spans="1:4" hidden="1" x14ac:dyDescent="0.3">
      <c r="A3351">
        <v>3349</v>
      </c>
      <c r="B3351" t="s">
        <v>3869</v>
      </c>
      <c r="C3351" t="s">
        <v>102</v>
      </c>
      <c r="D3351">
        <v>9.4350014165862708E-3</v>
      </c>
    </row>
    <row r="3352" spans="1:4" hidden="1" x14ac:dyDescent="0.3">
      <c r="A3352">
        <v>3350</v>
      </c>
      <c r="B3352" t="s">
        <v>3870</v>
      </c>
      <c r="C3352" t="s">
        <v>104</v>
      </c>
      <c r="D3352">
        <v>1.64058720405968E-3</v>
      </c>
    </row>
    <row r="3353" spans="1:4" hidden="1" x14ac:dyDescent="0.3">
      <c r="A3353">
        <v>3351</v>
      </c>
      <c r="B3353" t="s">
        <v>3871</v>
      </c>
      <c r="C3353" t="s">
        <v>106</v>
      </c>
      <c r="D3353">
        <v>2.1882451755280401E-2</v>
      </c>
    </row>
    <row r="3354" spans="1:4" hidden="1" x14ac:dyDescent="0.3">
      <c r="A3354">
        <v>3352</v>
      </c>
      <c r="B3354" s="1" t="s">
        <v>3872</v>
      </c>
      <c r="C3354" t="s">
        <v>108</v>
      </c>
      <c r="D3354" s="1" t="s">
        <v>3873</v>
      </c>
    </row>
    <row r="3355" spans="1:4" hidden="1" x14ac:dyDescent="0.3">
      <c r="A3355">
        <v>3353</v>
      </c>
      <c r="B3355" t="s">
        <v>3874</v>
      </c>
      <c r="C3355" t="s">
        <v>196</v>
      </c>
      <c r="D3355">
        <v>149859483.14637199</v>
      </c>
    </row>
    <row r="3356" spans="1:4" hidden="1" x14ac:dyDescent="0.3">
      <c r="A3356">
        <v>3354</v>
      </c>
      <c r="B3356" t="s">
        <v>3875</v>
      </c>
      <c r="C3356" t="s">
        <v>198</v>
      </c>
      <c r="D3356">
        <v>283.59384212991802</v>
      </c>
    </row>
    <row r="3357" spans="1:4" hidden="1" x14ac:dyDescent="0.3">
      <c r="A3357">
        <v>3355</v>
      </c>
      <c r="B3357" t="s">
        <v>3876</v>
      </c>
      <c r="C3357" t="s">
        <v>200</v>
      </c>
      <c r="D3357">
        <v>124.06705496436</v>
      </c>
    </row>
    <row r="3358" spans="1:4" hidden="1" x14ac:dyDescent="0.3">
      <c r="A3358">
        <v>3356</v>
      </c>
      <c r="B3358" s="1" t="s">
        <v>3877</v>
      </c>
      <c r="C3358" t="s">
        <v>202</v>
      </c>
      <c r="D3358" s="1" t="s">
        <v>3878</v>
      </c>
    </row>
    <row r="3359" spans="1:4" hidden="1" x14ac:dyDescent="0.3">
      <c r="A3359">
        <v>3357</v>
      </c>
      <c r="B3359" t="s">
        <v>3879</v>
      </c>
      <c r="C3359" t="s">
        <v>205</v>
      </c>
      <c r="D3359">
        <v>80022299.126071095</v>
      </c>
    </row>
    <row r="3360" spans="1:4" hidden="1" x14ac:dyDescent="0.3">
      <c r="A3360">
        <v>3358</v>
      </c>
      <c r="B3360" t="s">
        <v>3880</v>
      </c>
      <c r="C3360" t="s">
        <v>207</v>
      </c>
      <c r="D3360">
        <v>35008274.190595999</v>
      </c>
    </row>
    <row r="3361" spans="1:4" hidden="1" x14ac:dyDescent="0.3">
      <c r="A3361">
        <v>3359</v>
      </c>
      <c r="B3361" t="s">
        <v>3881</v>
      </c>
      <c r="C3361" t="s">
        <v>209</v>
      </c>
      <c r="D3361">
        <v>34828378.7392914</v>
      </c>
    </row>
    <row r="3362" spans="1:4" hidden="1" x14ac:dyDescent="0.3">
      <c r="A3362">
        <v>3360</v>
      </c>
      <c r="B3362" s="1" t="s">
        <v>3882</v>
      </c>
      <c r="C3362" t="s">
        <v>211</v>
      </c>
      <c r="D3362" s="1" t="s">
        <v>3883</v>
      </c>
    </row>
    <row r="3363" spans="1:4" hidden="1" x14ac:dyDescent="0.3">
      <c r="A3363">
        <v>3361</v>
      </c>
      <c r="B3363" t="s">
        <v>3884</v>
      </c>
      <c r="C3363" t="s">
        <v>214</v>
      </c>
      <c r="D3363">
        <v>99981229.618070394</v>
      </c>
    </row>
    <row r="3364" spans="1:4" hidden="1" x14ac:dyDescent="0.3">
      <c r="A3364">
        <v>3362</v>
      </c>
      <c r="B3364" t="s">
        <v>3885</v>
      </c>
      <c r="C3364" t="s">
        <v>216</v>
      </c>
      <c r="D3364">
        <v>354.32699832320202</v>
      </c>
    </row>
    <row r="3365" spans="1:4" hidden="1" x14ac:dyDescent="0.3">
      <c r="A3365">
        <v>3363</v>
      </c>
      <c r="B3365" s="1" t="s">
        <v>3886</v>
      </c>
      <c r="C3365" t="s">
        <v>218</v>
      </c>
      <c r="D3365" s="1" t="s">
        <v>3887</v>
      </c>
    </row>
    <row r="3366" spans="1:4" hidden="1" x14ac:dyDescent="0.3">
      <c r="A3366">
        <v>3364</v>
      </c>
      <c r="B3366" t="s">
        <v>3888</v>
      </c>
      <c r="C3366" t="s">
        <v>111</v>
      </c>
      <c r="D3366">
        <v>-94.620288800765096</v>
      </c>
    </row>
    <row r="3367" spans="1:4" hidden="1" x14ac:dyDescent="0.3">
      <c r="A3367">
        <v>3365</v>
      </c>
      <c r="B3367" t="s">
        <v>3889</v>
      </c>
      <c r="C3367" t="s">
        <v>113</v>
      </c>
      <c r="D3367">
        <v>-14.1805367382019</v>
      </c>
    </row>
    <row r="3368" spans="1:4" hidden="1" x14ac:dyDescent="0.3">
      <c r="A3368">
        <v>3366</v>
      </c>
      <c r="B3368" s="1" t="s">
        <v>3890</v>
      </c>
      <c r="C3368" t="s">
        <v>115</v>
      </c>
      <c r="D3368" s="1" t="s">
        <v>3891</v>
      </c>
    </row>
    <row r="3369" spans="1:4" hidden="1" x14ac:dyDescent="0.3">
      <c r="A3369">
        <v>3367</v>
      </c>
      <c r="B3369" t="s">
        <v>3892</v>
      </c>
      <c r="C3369" t="s">
        <v>118</v>
      </c>
      <c r="D3369">
        <v>80022299.126071095</v>
      </c>
    </row>
    <row r="3370" spans="1:4" hidden="1" x14ac:dyDescent="0.3">
      <c r="A3370">
        <v>3368</v>
      </c>
      <c r="B3370" t="s">
        <v>3893</v>
      </c>
      <c r="C3370" t="s">
        <v>120</v>
      </c>
      <c r="D3370">
        <v>35008274.190595999</v>
      </c>
    </row>
    <row r="3371" spans="1:4" hidden="1" x14ac:dyDescent="0.3">
      <c r="A3371">
        <v>3369</v>
      </c>
      <c r="B3371" s="1" t="s">
        <v>3894</v>
      </c>
      <c r="C3371" t="s">
        <v>122</v>
      </c>
      <c r="D3371" s="1" t="s">
        <v>3895</v>
      </c>
    </row>
    <row r="3372" spans="1:4" hidden="1" x14ac:dyDescent="0.3">
      <c r="A3372">
        <v>3370</v>
      </c>
      <c r="B3372" t="s">
        <v>3896</v>
      </c>
      <c r="C3372" t="s">
        <v>125</v>
      </c>
      <c r="D3372">
        <v>0.80022582719913304</v>
      </c>
    </row>
    <row r="3373" spans="1:4" hidden="1" x14ac:dyDescent="0.3">
      <c r="A3373">
        <v>3371</v>
      </c>
      <c r="B3373" t="s">
        <v>3897</v>
      </c>
      <c r="C3373" t="s">
        <v>127</v>
      </c>
      <c r="D3373">
        <v>0.35008398257651002</v>
      </c>
    </row>
    <row r="3374" spans="1:4" hidden="1" x14ac:dyDescent="0.3">
      <c r="A3374">
        <v>3372</v>
      </c>
      <c r="B3374" s="1" t="s">
        <v>3898</v>
      </c>
      <c r="C3374" t="s">
        <v>129</v>
      </c>
      <c r="D3374" s="1" t="s">
        <v>3899</v>
      </c>
    </row>
    <row r="3375" spans="1:4" ht="72" x14ac:dyDescent="0.3">
      <c r="A3375">
        <v>3373</v>
      </c>
      <c r="B3375" s="1" t="s">
        <v>3</v>
      </c>
      <c r="C3375" t="s">
        <v>4</v>
      </c>
      <c r="D3375" t="s">
        <v>5</v>
      </c>
    </row>
    <row r="3376" spans="1:4" hidden="1" x14ac:dyDescent="0.3">
      <c r="A3376">
        <v>3374</v>
      </c>
      <c r="B3376" t="s">
        <v>6</v>
      </c>
      <c r="C3376" t="s">
        <v>7</v>
      </c>
      <c r="D3376">
        <v>1981.95</v>
      </c>
    </row>
    <row r="3377" spans="1:4" hidden="1" x14ac:dyDescent="0.3">
      <c r="A3377">
        <v>3375</v>
      </c>
      <c r="B3377" s="1" t="s">
        <v>131</v>
      </c>
      <c r="C3377" t="s">
        <v>9</v>
      </c>
      <c r="D3377" s="1" t="s">
        <v>132</v>
      </c>
    </row>
    <row r="3378" spans="1:4" hidden="1" x14ac:dyDescent="0.3">
      <c r="A3378">
        <v>3376</v>
      </c>
      <c r="B3378" t="s">
        <v>13</v>
      </c>
      <c r="C3378" t="s">
        <v>14</v>
      </c>
      <c r="D3378">
        <v>91.74609375</v>
      </c>
    </row>
    <row r="3379" spans="1:4" hidden="1" x14ac:dyDescent="0.3">
      <c r="A3379">
        <v>3377</v>
      </c>
      <c r="B3379" t="s">
        <v>15</v>
      </c>
      <c r="C3379" t="s">
        <v>16</v>
      </c>
      <c r="D3379">
        <v>4.1883572307132804</v>
      </c>
    </row>
    <row r="3380" spans="1:4" hidden="1" x14ac:dyDescent="0.3">
      <c r="A3380">
        <v>3378</v>
      </c>
      <c r="B3380" s="1" t="s">
        <v>133</v>
      </c>
      <c r="C3380" t="s">
        <v>134</v>
      </c>
      <c r="D3380" s="1" t="s">
        <v>135</v>
      </c>
    </row>
    <row r="3381" spans="1:4" hidden="1" x14ac:dyDescent="0.3">
      <c r="A3381">
        <v>3379</v>
      </c>
      <c r="B3381" t="s">
        <v>21</v>
      </c>
      <c r="C3381" t="s">
        <v>22</v>
      </c>
      <c r="D3381">
        <v>38.25</v>
      </c>
    </row>
    <row r="3382" spans="1:4" hidden="1" x14ac:dyDescent="0.3">
      <c r="A3382">
        <v>3380</v>
      </c>
      <c r="B3382" t="s">
        <v>3900</v>
      </c>
      <c r="C3382" t="s">
        <v>24</v>
      </c>
      <c r="D3382">
        <v>5.5985316901480697</v>
      </c>
    </row>
    <row r="3383" spans="1:4" hidden="1" x14ac:dyDescent="0.3">
      <c r="A3383">
        <v>3381</v>
      </c>
      <c r="B3383" s="1" t="s">
        <v>3901</v>
      </c>
      <c r="C3383" t="s">
        <v>138</v>
      </c>
      <c r="D3383" s="1" t="s">
        <v>3902</v>
      </c>
    </row>
    <row r="3384" spans="1:4" hidden="1" x14ac:dyDescent="0.3">
      <c r="A3384">
        <v>3382</v>
      </c>
      <c r="B3384" t="s">
        <v>3903</v>
      </c>
      <c r="C3384" t="s">
        <v>35</v>
      </c>
      <c r="D3384">
        <v>0.54925642023666699</v>
      </c>
    </row>
    <row r="3385" spans="1:4" hidden="1" x14ac:dyDescent="0.3">
      <c r="A3385">
        <v>3383</v>
      </c>
      <c r="B3385" t="s">
        <v>3904</v>
      </c>
      <c r="C3385" t="s">
        <v>142</v>
      </c>
      <c r="D3385">
        <v>0.70242718385318104</v>
      </c>
    </row>
    <row r="3386" spans="1:4" hidden="1" x14ac:dyDescent="0.3">
      <c r="A3386">
        <v>3384</v>
      </c>
      <c r="B3386" s="1" t="s">
        <v>3905</v>
      </c>
      <c r="C3386" t="s">
        <v>144</v>
      </c>
      <c r="D3386" s="1" t="s">
        <v>3906</v>
      </c>
    </row>
    <row r="3387" spans="1:4" hidden="1" x14ac:dyDescent="0.3">
      <c r="A3387">
        <v>3385</v>
      </c>
      <c r="B3387" t="s">
        <v>3907</v>
      </c>
      <c r="C3387" t="s">
        <v>30</v>
      </c>
      <c r="D3387">
        <v>0.19397241067903401</v>
      </c>
    </row>
    <row r="3388" spans="1:4" hidden="1" x14ac:dyDescent="0.3">
      <c r="A3388">
        <v>3386</v>
      </c>
      <c r="B3388" t="s">
        <v>3908</v>
      </c>
      <c r="C3388" t="s">
        <v>32</v>
      </c>
      <c r="D3388">
        <v>0.23106116661932399</v>
      </c>
    </row>
    <row r="3389" spans="1:4" hidden="1" x14ac:dyDescent="0.3">
      <c r="A3389">
        <v>3387</v>
      </c>
      <c r="B3389" s="1" t="s">
        <v>3909</v>
      </c>
      <c r="C3389" t="s">
        <v>148</v>
      </c>
      <c r="D3389" s="1" t="s">
        <v>3910</v>
      </c>
    </row>
    <row r="3390" spans="1:4" hidden="1" x14ac:dyDescent="0.3">
      <c r="A3390">
        <v>3388</v>
      </c>
      <c r="B3390" t="s">
        <v>3911</v>
      </c>
      <c r="C3390" t="s">
        <v>40</v>
      </c>
      <c r="D3390">
        <v>0.25677116908429798</v>
      </c>
    </row>
    <row r="3391" spans="1:4" hidden="1" x14ac:dyDescent="0.3">
      <c r="A3391">
        <v>3389</v>
      </c>
      <c r="B3391" t="s">
        <v>3912</v>
      </c>
      <c r="C3391" t="s">
        <v>42</v>
      </c>
      <c r="D3391">
        <v>0.192573941740912</v>
      </c>
    </row>
    <row r="3392" spans="1:4" hidden="1" x14ac:dyDescent="0.3">
      <c r="A3392">
        <v>3390</v>
      </c>
      <c r="B3392" s="1" t="s">
        <v>3913</v>
      </c>
      <c r="C3392" t="s">
        <v>152</v>
      </c>
      <c r="D3392" s="1" t="s">
        <v>3914</v>
      </c>
    </row>
    <row r="3393" spans="1:4" hidden="1" x14ac:dyDescent="0.3">
      <c r="A3393">
        <v>3391</v>
      </c>
      <c r="B3393" t="s">
        <v>153</v>
      </c>
      <c r="C3393" t="s">
        <v>154</v>
      </c>
      <c r="D3393">
        <v>1</v>
      </c>
    </row>
    <row r="3394" spans="1:4" hidden="1" x14ac:dyDescent="0.3">
      <c r="A3394">
        <v>3392</v>
      </c>
      <c r="B3394" t="s">
        <v>155</v>
      </c>
      <c r="C3394" t="s">
        <v>156</v>
      </c>
      <c r="D3394">
        <v>1</v>
      </c>
    </row>
    <row r="3395" spans="1:4" hidden="1" x14ac:dyDescent="0.3">
      <c r="A3395">
        <v>3393</v>
      </c>
      <c r="B3395" s="1" t="s">
        <v>3915</v>
      </c>
      <c r="C3395" t="s">
        <v>158</v>
      </c>
      <c r="D3395" s="1" t="s">
        <v>3916</v>
      </c>
    </row>
    <row r="3396" spans="1:4" hidden="1" x14ac:dyDescent="0.3">
      <c r="A3396">
        <v>3394</v>
      </c>
      <c r="B3396" t="s">
        <v>3917</v>
      </c>
      <c r="C3396" t="s">
        <v>161</v>
      </c>
      <c r="D3396">
        <v>0.99964706603801801</v>
      </c>
    </row>
    <row r="3397" spans="1:4" hidden="1" x14ac:dyDescent="0.3">
      <c r="A3397">
        <v>3395</v>
      </c>
      <c r="B3397" t="s">
        <v>3918</v>
      </c>
      <c r="C3397" t="s">
        <v>163</v>
      </c>
      <c r="D3397">
        <v>1.0006054015663</v>
      </c>
    </row>
    <row r="3398" spans="1:4" hidden="1" x14ac:dyDescent="0.3">
      <c r="A3398">
        <v>3396</v>
      </c>
      <c r="B3398" s="1" t="s">
        <v>3919</v>
      </c>
      <c r="C3398" t="s">
        <v>165</v>
      </c>
      <c r="D3398" s="1" t="s">
        <v>3920</v>
      </c>
    </row>
    <row r="3399" spans="1:4" hidden="1" x14ac:dyDescent="0.3">
      <c r="A3399">
        <v>3397</v>
      </c>
      <c r="B3399" s="1" t="s">
        <v>3921</v>
      </c>
      <c r="C3399" t="s">
        <v>55</v>
      </c>
      <c r="D3399" s="1" t="s">
        <v>3922</v>
      </c>
    </row>
    <row r="3400" spans="1:4" hidden="1" x14ac:dyDescent="0.3">
      <c r="A3400">
        <v>3398</v>
      </c>
      <c r="B3400" s="1" t="s">
        <v>3923</v>
      </c>
      <c r="C3400" t="s">
        <v>52</v>
      </c>
      <c r="D3400" s="1" t="s">
        <v>3924</v>
      </c>
    </row>
    <row r="3401" spans="1:4" hidden="1" x14ac:dyDescent="0.3">
      <c r="A3401">
        <v>3399</v>
      </c>
      <c r="B3401" s="1" t="s">
        <v>3925</v>
      </c>
      <c r="C3401" t="s">
        <v>58</v>
      </c>
      <c r="D3401" s="1" t="s">
        <v>3926</v>
      </c>
    </row>
    <row r="3402" spans="1:4" hidden="1" x14ac:dyDescent="0.3">
      <c r="A3402">
        <v>3400</v>
      </c>
      <c r="B3402" t="s">
        <v>3927</v>
      </c>
      <c r="C3402" t="s">
        <v>60</v>
      </c>
      <c r="D3402">
        <v>149850919.72863501</v>
      </c>
    </row>
    <row r="3403" spans="1:4" hidden="1" x14ac:dyDescent="0.3">
      <c r="A3403">
        <v>3401</v>
      </c>
      <c r="B3403" t="s">
        <v>3928</v>
      </c>
      <c r="C3403" t="s">
        <v>62</v>
      </c>
      <c r="D3403">
        <v>80022299.126071095</v>
      </c>
    </row>
    <row r="3404" spans="1:4" hidden="1" x14ac:dyDescent="0.3">
      <c r="A3404">
        <v>3402</v>
      </c>
      <c r="B3404" t="s">
        <v>3929</v>
      </c>
      <c r="C3404" t="s">
        <v>64</v>
      </c>
      <c r="D3404">
        <v>35008274.190595999</v>
      </c>
    </row>
    <row r="3405" spans="1:4" hidden="1" x14ac:dyDescent="0.3">
      <c r="A3405">
        <v>3403</v>
      </c>
      <c r="B3405" s="1" t="s">
        <v>3930</v>
      </c>
      <c r="C3405" t="s">
        <v>66</v>
      </c>
      <c r="D3405" s="1" t="s">
        <v>3931</v>
      </c>
    </row>
    <row r="3406" spans="1:4" hidden="1" x14ac:dyDescent="0.3">
      <c r="A3406">
        <v>3404</v>
      </c>
      <c r="B3406" s="1" t="s">
        <v>3932</v>
      </c>
      <c r="C3406" t="s">
        <v>69</v>
      </c>
      <c r="D3406" s="1" t="s">
        <v>3933</v>
      </c>
    </row>
    <row r="3407" spans="1:4" hidden="1" x14ac:dyDescent="0.3">
      <c r="A3407">
        <v>3405</v>
      </c>
      <c r="B3407" t="s">
        <v>3934</v>
      </c>
      <c r="C3407" t="s">
        <v>72</v>
      </c>
      <c r="D3407">
        <v>1.00018419447066</v>
      </c>
    </row>
    <row r="3408" spans="1:4" hidden="1" x14ac:dyDescent="0.3">
      <c r="A3408">
        <v>3406</v>
      </c>
      <c r="B3408" t="s">
        <v>73</v>
      </c>
      <c r="C3408" t="s">
        <v>74</v>
      </c>
      <c r="D3408">
        <v>2.7397260273972599E-3</v>
      </c>
    </row>
    <row r="3409" spans="1:4" hidden="1" x14ac:dyDescent="0.3">
      <c r="A3409">
        <v>3407</v>
      </c>
      <c r="B3409" t="s">
        <v>75</v>
      </c>
      <c r="C3409" t="s">
        <v>76</v>
      </c>
      <c r="D3409">
        <v>0</v>
      </c>
    </row>
    <row r="3410" spans="1:4" hidden="1" x14ac:dyDescent="0.3">
      <c r="A3410">
        <v>3408</v>
      </c>
      <c r="B3410" t="s">
        <v>77</v>
      </c>
      <c r="C3410" t="s">
        <v>78</v>
      </c>
      <c r="D3410">
        <v>0</v>
      </c>
    </row>
    <row r="3411" spans="1:4" hidden="1" x14ac:dyDescent="0.3">
      <c r="A3411">
        <v>3409</v>
      </c>
      <c r="B3411" s="1" t="s">
        <v>3935</v>
      </c>
      <c r="C3411" t="s">
        <v>80</v>
      </c>
      <c r="D3411" s="1" t="s">
        <v>3936</v>
      </c>
    </row>
    <row r="3412" spans="1:4" hidden="1" x14ac:dyDescent="0.3">
      <c r="A3412">
        <v>3410</v>
      </c>
      <c r="B3412" t="s">
        <v>3937</v>
      </c>
      <c r="C3412" t="s">
        <v>83</v>
      </c>
      <c r="D3412">
        <v>1.0001993880685101</v>
      </c>
    </row>
    <row r="3413" spans="1:4" hidden="1" x14ac:dyDescent="0.3">
      <c r="A3413">
        <v>3411</v>
      </c>
      <c r="B3413" s="1" t="s">
        <v>3938</v>
      </c>
      <c r="C3413" t="s">
        <v>85</v>
      </c>
      <c r="D3413" s="1" t="s">
        <v>3939</v>
      </c>
    </row>
    <row r="3414" spans="1:4" hidden="1" x14ac:dyDescent="0.3">
      <c r="A3414">
        <v>3412</v>
      </c>
      <c r="B3414" t="s">
        <v>3940</v>
      </c>
      <c r="C3414" t="s">
        <v>88</v>
      </c>
      <c r="D3414">
        <v>99980065.167916298</v>
      </c>
    </row>
    <row r="3415" spans="1:4" hidden="1" x14ac:dyDescent="0.3">
      <c r="A3415">
        <v>3413</v>
      </c>
      <c r="B3415" s="1" t="s">
        <v>3941</v>
      </c>
      <c r="C3415" t="s">
        <v>90</v>
      </c>
      <c r="D3415" s="1" t="s">
        <v>3887</v>
      </c>
    </row>
    <row r="3416" spans="1:4" hidden="1" x14ac:dyDescent="0.3">
      <c r="A3416">
        <v>3414</v>
      </c>
      <c r="B3416" t="s">
        <v>3942</v>
      </c>
      <c r="C3416" t="s">
        <v>93</v>
      </c>
      <c r="D3416">
        <v>80022299.126071095</v>
      </c>
    </row>
    <row r="3417" spans="1:4" hidden="1" x14ac:dyDescent="0.3">
      <c r="A3417">
        <v>3415</v>
      </c>
      <c r="B3417" t="s">
        <v>3943</v>
      </c>
      <c r="C3417" t="s">
        <v>95</v>
      </c>
      <c r="D3417">
        <v>35008274.190595999</v>
      </c>
    </row>
    <row r="3418" spans="1:4" hidden="1" x14ac:dyDescent="0.3">
      <c r="A3418">
        <v>3416</v>
      </c>
      <c r="B3418" t="s">
        <v>3944</v>
      </c>
      <c r="C3418" t="s">
        <v>97</v>
      </c>
      <c r="D3418">
        <v>34820346.411968596</v>
      </c>
    </row>
    <row r="3419" spans="1:4" hidden="1" x14ac:dyDescent="0.3">
      <c r="A3419">
        <v>3417</v>
      </c>
      <c r="B3419" s="1" t="s">
        <v>3945</v>
      </c>
      <c r="C3419" t="s">
        <v>99</v>
      </c>
      <c r="D3419" s="1" t="s">
        <v>3946</v>
      </c>
    </row>
    <row r="3420" spans="1:4" hidden="1" x14ac:dyDescent="0.3">
      <c r="A3420">
        <v>3418</v>
      </c>
      <c r="B3420" t="s">
        <v>3947</v>
      </c>
      <c r="C3420" t="s">
        <v>102</v>
      </c>
      <c r="D3420">
        <v>9.4434572522466998E-3</v>
      </c>
    </row>
    <row r="3421" spans="1:4" hidden="1" x14ac:dyDescent="0.3">
      <c r="A3421">
        <v>3419</v>
      </c>
      <c r="B3421" t="s">
        <v>3948</v>
      </c>
      <c r="C3421" t="s">
        <v>104</v>
      </c>
      <c r="D3421">
        <v>1.65689217582784E-3</v>
      </c>
    </row>
    <row r="3422" spans="1:4" hidden="1" x14ac:dyDescent="0.3">
      <c r="A3422">
        <v>3420</v>
      </c>
      <c r="B3422" t="s">
        <v>3949</v>
      </c>
      <c r="C3422" t="s">
        <v>106</v>
      </c>
      <c r="D3422">
        <v>2.2007771561906801E-2</v>
      </c>
    </row>
    <row r="3423" spans="1:4" hidden="1" x14ac:dyDescent="0.3">
      <c r="A3423">
        <v>3421</v>
      </c>
      <c r="B3423" s="1" t="s">
        <v>3950</v>
      </c>
      <c r="C3423" t="s">
        <v>108</v>
      </c>
      <c r="D3423" s="1" t="s">
        <v>3951</v>
      </c>
    </row>
    <row r="3424" spans="1:4" hidden="1" x14ac:dyDescent="0.3">
      <c r="A3424">
        <v>3422</v>
      </c>
      <c r="B3424" t="s">
        <v>3952</v>
      </c>
      <c r="C3424" t="s">
        <v>196</v>
      </c>
      <c r="D3424">
        <v>149851442.88446701</v>
      </c>
    </row>
    <row r="3425" spans="1:4" hidden="1" x14ac:dyDescent="0.3">
      <c r="A3425">
        <v>3423</v>
      </c>
      <c r="B3425" t="s">
        <v>3953</v>
      </c>
      <c r="C3425" t="s">
        <v>198</v>
      </c>
      <c r="D3425">
        <v>-1215.6085531600199</v>
      </c>
    </row>
    <row r="3426" spans="1:4" hidden="1" x14ac:dyDescent="0.3">
      <c r="A3426">
        <v>3424</v>
      </c>
      <c r="B3426" t="s">
        <v>3954</v>
      </c>
      <c r="C3426" t="s">
        <v>200</v>
      </c>
      <c r="D3426">
        <v>-531.80455689398798</v>
      </c>
    </row>
    <row r="3427" spans="1:4" hidden="1" x14ac:dyDescent="0.3">
      <c r="A3427">
        <v>3425</v>
      </c>
      <c r="B3427" s="1" t="s">
        <v>3955</v>
      </c>
      <c r="C3427" t="s">
        <v>202</v>
      </c>
      <c r="D3427" s="1" t="s">
        <v>3956</v>
      </c>
    </row>
    <row r="3428" spans="1:4" hidden="1" x14ac:dyDescent="0.3">
      <c r="A3428">
        <v>3426</v>
      </c>
      <c r="B3428" t="s">
        <v>3957</v>
      </c>
      <c r="C3428" t="s">
        <v>205</v>
      </c>
      <c r="D3428">
        <v>80023898.4402356</v>
      </c>
    </row>
    <row r="3429" spans="1:4" hidden="1" x14ac:dyDescent="0.3">
      <c r="A3429">
        <v>3427</v>
      </c>
      <c r="B3429" t="s">
        <v>3958</v>
      </c>
      <c r="C3429" t="s">
        <v>207</v>
      </c>
      <c r="D3429">
        <v>35008863.453872599</v>
      </c>
    </row>
    <row r="3430" spans="1:4" hidden="1" x14ac:dyDescent="0.3">
      <c r="A3430">
        <v>3428</v>
      </c>
      <c r="B3430" t="s">
        <v>3959</v>
      </c>
      <c r="C3430" t="s">
        <v>209</v>
      </c>
      <c r="D3430">
        <v>34820957.353625096</v>
      </c>
    </row>
    <row r="3431" spans="1:4" hidden="1" x14ac:dyDescent="0.3">
      <c r="A3431">
        <v>3429</v>
      </c>
      <c r="B3431" s="1" t="s">
        <v>3960</v>
      </c>
      <c r="C3431" t="s">
        <v>211</v>
      </c>
      <c r="D3431" s="1" t="s">
        <v>3961</v>
      </c>
    </row>
    <row r="3432" spans="1:4" hidden="1" x14ac:dyDescent="0.3">
      <c r="A3432">
        <v>3430</v>
      </c>
      <c r="B3432" t="s">
        <v>3962</v>
      </c>
      <c r="C3432" t="s">
        <v>214</v>
      </c>
      <c r="D3432">
        <v>99981583.945068702</v>
      </c>
    </row>
    <row r="3433" spans="1:4" hidden="1" x14ac:dyDescent="0.3">
      <c r="A3433">
        <v>3431</v>
      </c>
      <c r="B3433" t="s">
        <v>3963</v>
      </c>
      <c r="C3433" t="s">
        <v>216</v>
      </c>
      <c r="D3433">
        <v>-1518.7771524637899</v>
      </c>
    </row>
    <row r="3434" spans="1:4" hidden="1" x14ac:dyDescent="0.3">
      <c r="A3434">
        <v>3432</v>
      </c>
      <c r="B3434" s="1" t="s">
        <v>3964</v>
      </c>
      <c r="C3434" t="s">
        <v>218</v>
      </c>
      <c r="D3434" s="1" t="s">
        <v>3965</v>
      </c>
    </row>
    <row r="3435" spans="1:4" hidden="1" x14ac:dyDescent="0.3">
      <c r="A3435">
        <v>3433</v>
      </c>
      <c r="B3435" t="s">
        <v>3966</v>
      </c>
      <c r="C3435" t="s">
        <v>111</v>
      </c>
      <c r="D3435">
        <v>383.70561127738301</v>
      </c>
    </row>
    <row r="3436" spans="1:4" hidden="1" x14ac:dyDescent="0.3">
      <c r="A3436">
        <v>3434</v>
      </c>
      <c r="B3436" t="s">
        <v>3967</v>
      </c>
      <c r="C3436" t="s">
        <v>113</v>
      </c>
      <c r="D3436">
        <v>57.458719663623299</v>
      </c>
    </row>
    <row r="3437" spans="1:4" hidden="1" x14ac:dyDescent="0.3">
      <c r="A3437">
        <v>3435</v>
      </c>
      <c r="B3437" s="1" t="s">
        <v>3968</v>
      </c>
      <c r="C3437" t="s">
        <v>115</v>
      </c>
      <c r="D3437" s="1" t="s">
        <v>3969</v>
      </c>
    </row>
    <row r="3438" spans="1:4" hidden="1" x14ac:dyDescent="0.3">
      <c r="A3438">
        <v>3436</v>
      </c>
      <c r="B3438" t="s">
        <v>3970</v>
      </c>
      <c r="C3438" t="s">
        <v>118</v>
      </c>
      <c r="D3438">
        <v>80023898.4402356</v>
      </c>
    </row>
    <row r="3439" spans="1:4" hidden="1" x14ac:dyDescent="0.3">
      <c r="A3439">
        <v>3437</v>
      </c>
      <c r="B3439" t="s">
        <v>3971</v>
      </c>
      <c r="C3439" t="s">
        <v>120</v>
      </c>
      <c r="D3439">
        <v>35008863.453872599</v>
      </c>
    </row>
    <row r="3440" spans="1:4" hidden="1" x14ac:dyDescent="0.3">
      <c r="A3440">
        <v>3438</v>
      </c>
      <c r="B3440" s="1" t="s">
        <v>3972</v>
      </c>
      <c r="C3440" t="s">
        <v>122</v>
      </c>
      <c r="D3440" s="1" t="s">
        <v>3973</v>
      </c>
    </row>
    <row r="3441" spans="1:4" hidden="1" x14ac:dyDescent="0.3">
      <c r="A3441">
        <v>3439</v>
      </c>
      <c r="B3441" t="s">
        <v>3974</v>
      </c>
      <c r="C3441" t="s">
        <v>125</v>
      </c>
      <c r="D3441">
        <v>0.80022682831682401</v>
      </c>
    </row>
    <row r="3442" spans="1:4" hidden="1" x14ac:dyDescent="0.3">
      <c r="A3442">
        <v>3440</v>
      </c>
      <c r="B3442" t="s">
        <v>3975</v>
      </c>
      <c r="C3442" t="s">
        <v>127</v>
      </c>
      <c r="D3442">
        <v>0.35008331649315699</v>
      </c>
    </row>
    <row r="3443" spans="1:4" hidden="1" x14ac:dyDescent="0.3">
      <c r="A3443">
        <v>3441</v>
      </c>
      <c r="B3443" s="1" t="s">
        <v>3976</v>
      </c>
      <c r="C3443" t="s">
        <v>129</v>
      </c>
      <c r="D3443" s="1" t="s">
        <v>3977</v>
      </c>
    </row>
    <row r="3444" spans="1:4" ht="72" x14ac:dyDescent="0.3">
      <c r="A3444">
        <v>3442</v>
      </c>
      <c r="B3444" s="1" t="s">
        <v>3</v>
      </c>
      <c r="C3444" t="s">
        <v>4</v>
      </c>
      <c r="D3444" t="s">
        <v>5</v>
      </c>
    </row>
    <row r="3445" spans="1:4" hidden="1" x14ac:dyDescent="0.3">
      <c r="A3445">
        <v>3443</v>
      </c>
      <c r="B3445" t="s">
        <v>6</v>
      </c>
      <c r="C3445" t="s">
        <v>7</v>
      </c>
      <c r="D3445">
        <v>1981.95</v>
      </c>
    </row>
    <row r="3446" spans="1:4" hidden="1" x14ac:dyDescent="0.3">
      <c r="A3446">
        <v>3444</v>
      </c>
      <c r="B3446" s="1" t="s">
        <v>131</v>
      </c>
      <c r="C3446" t="s">
        <v>9</v>
      </c>
      <c r="D3446" s="1" t="s">
        <v>132</v>
      </c>
    </row>
    <row r="3447" spans="1:4" hidden="1" x14ac:dyDescent="0.3">
      <c r="A3447">
        <v>3445</v>
      </c>
      <c r="B3447" t="s">
        <v>13</v>
      </c>
      <c r="C3447" t="s">
        <v>14</v>
      </c>
      <c r="D3447">
        <v>91.74609375</v>
      </c>
    </row>
    <row r="3448" spans="1:4" hidden="1" x14ac:dyDescent="0.3">
      <c r="A3448">
        <v>3446</v>
      </c>
      <c r="B3448" t="s">
        <v>15</v>
      </c>
      <c r="C3448" t="s">
        <v>16</v>
      </c>
      <c r="D3448">
        <v>4.1883572307132804</v>
      </c>
    </row>
    <row r="3449" spans="1:4" hidden="1" x14ac:dyDescent="0.3">
      <c r="A3449">
        <v>3447</v>
      </c>
      <c r="B3449" s="1" t="s">
        <v>133</v>
      </c>
      <c r="C3449" t="s">
        <v>134</v>
      </c>
      <c r="D3449" s="1" t="s">
        <v>135</v>
      </c>
    </row>
    <row r="3450" spans="1:4" hidden="1" x14ac:dyDescent="0.3">
      <c r="A3450">
        <v>3448</v>
      </c>
      <c r="B3450" t="s">
        <v>21</v>
      </c>
      <c r="C3450" t="s">
        <v>22</v>
      </c>
      <c r="D3450">
        <v>38.25</v>
      </c>
    </row>
    <row r="3451" spans="1:4" hidden="1" x14ac:dyDescent="0.3">
      <c r="A3451">
        <v>3449</v>
      </c>
      <c r="B3451" t="s">
        <v>3978</v>
      </c>
      <c r="C3451" t="s">
        <v>24</v>
      </c>
      <c r="D3451">
        <v>5.5814732111320904</v>
      </c>
    </row>
    <row r="3452" spans="1:4" hidden="1" x14ac:dyDescent="0.3">
      <c r="A3452">
        <v>3450</v>
      </c>
      <c r="B3452" s="1" t="s">
        <v>3979</v>
      </c>
      <c r="C3452" t="s">
        <v>138</v>
      </c>
      <c r="D3452" s="1" t="s">
        <v>3980</v>
      </c>
    </row>
    <row r="3453" spans="1:4" hidden="1" x14ac:dyDescent="0.3">
      <c r="A3453">
        <v>3451</v>
      </c>
      <c r="B3453" t="s">
        <v>3981</v>
      </c>
      <c r="C3453" t="s">
        <v>35</v>
      </c>
      <c r="D3453">
        <v>0.54912325843732801</v>
      </c>
    </row>
    <row r="3454" spans="1:4" hidden="1" x14ac:dyDescent="0.3">
      <c r="A3454">
        <v>3452</v>
      </c>
      <c r="B3454" t="s">
        <v>3982</v>
      </c>
      <c r="C3454" t="s">
        <v>142</v>
      </c>
      <c r="D3454">
        <v>0.69839939101604198</v>
      </c>
    </row>
    <row r="3455" spans="1:4" hidden="1" x14ac:dyDescent="0.3">
      <c r="A3455">
        <v>3453</v>
      </c>
      <c r="B3455" s="1" t="s">
        <v>3983</v>
      </c>
      <c r="C3455" t="s">
        <v>144</v>
      </c>
      <c r="D3455" s="1" t="s">
        <v>3984</v>
      </c>
    </row>
    <row r="3456" spans="1:4" hidden="1" x14ac:dyDescent="0.3">
      <c r="A3456">
        <v>3454</v>
      </c>
      <c r="B3456" t="s">
        <v>3985</v>
      </c>
      <c r="C3456" t="s">
        <v>30</v>
      </c>
      <c r="D3456">
        <v>0.19392538398207301</v>
      </c>
    </row>
    <row r="3457" spans="1:4" hidden="1" x14ac:dyDescent="0.3">
      <c r="A3457">
        <v>3455</v>
      </c>
      <c r="B3457" t="s">
        <v>3986</v>
      </c>
      <c r="C3457" t="s">
        <v>32</v>
      </c>
      <c r="D3457">
        <v>0.23530818608603599</v>
      </c>
    </row>
    <row r="3458" spans="1:4" hidden="1" x14ac:dyDescent="0.3">
      <c r="A3458">
        <v>3456</v>
      </c>
      <c r="B3458" s="1" t="s">
        <v>3987</v>
      </c>
      <c r="C3458" t="s">
        <v>148</v>
      </c>
      <c r="D3458" s="1" t="s">
        <v>3988</v>
      </c>
    </row>
    <row r="3459" spans="1:4" hidden="1" x14ac:dyDescent="0.3">
      <c r="A3459">
        <v>3457</v>
      </c>
      <c r="B3459" t="s">
        <v>3989</v>
      </c>
      <c r="C3459" t="s">
        <v>40</v>
      </c>
      <c r="D3459">
        <v>0.25695135758059801</v>
      </c>
    </row>
    <row r="3460" spans="1:4" hidden="1" x14ac:dyDescent="0.3">
      <c r="A3460">
        <v>3458</v>
      </c>
      <c r="B3460" t="s">
        <v>3990</v>
      </c>
      <c r="C3460" t="s">
        <v>42</v>
      </c>
      <c r="D3460">
        <v>0.196537277789847</v>
      </c>
    </row>
    <row r="3461" spans="1:4" hidden="1" x14ac:dyDescent="0.3">
      <c r="A3461">
        <v>3459</v>
      </c>
      <c r="B3461" s="1" t="s">
        <v>3991</v>
      </c>
      <c r="C3461" t="s">
        <v>152</v>
      </c>
      <c r="D3461" s="1" t="s">
        <v>3992</v>
      </c>
    </row>
    <row r="3462" spans="1:4" hidden="1" x14ac:dyDescent="0.3">
      <c r="A3462">
        <v>3460</v>
      </c>
      <c r="B3462" t="s">
        <v>153</v>
      </c>
      <c r="C3462" t="s">
        <v>154</v>
      </c>
      <c r="D3462">
        <v>1</v>
      </c>
    </row>
    <row r="3463" spans="1:4" hidden="1" x14ac:dyDescent="0.3">
      <c r="A3463">
        <v>3461</v>
      </c>
      <c r="B3463" t="s">
        <v>155</v>
      </c>
      <c r="C3463" t="s">
        <v>156</v>
      </c>
      <c r="D3463">
        <v>1</v>
      </c>
    </row>
    <row r="3464" spans="1:4" hidden="1" x14ac:dyDescent="0.3">
      <c r="A3464">
        <v>3462</v>
      </c>
      <c r="B3464" s="1" t="s">
        <v>3993</v>
      </c>
      <c r="C3464" t="s">
        <v>158</v>
      </c>
      <c r="D3464" s="1" t="s">
        <v>3994</v>
      </c>
    </row>
    <row r="3465" spans="1:4" hidden="1" x14ac:dyDescent="0.3">
      <c r="A3465">
        <v>3463</v>
      </c>
      <c r="B3465" t="s">
        <v>3995</v>
      </c>
      <c r="C3465" t="s">
        <v>161</v>
      </c>
      <c r="D3465">
        <v>0.99763408803892395</v>
      </c>
    </row>
    <row r="3466" spans="1:4" hidden="1" x14ac:dyDescent="0.3">
      <c r="A3466">
        <v>3464</v>
      </c>
      <c r="B3466" t="s">
        <v>3996</v>
      </c>
      <c r="C3466" t="s">
        <v>163</v>
      </c>
      <c r="D3466">
        <v>1.0034498850112901</v>
      </c>
    </row>
    <row r="3467" spans="1:4" hidden="1" x14ac:dyDescent="0.3">
      <c r="A3467">
        <v>3465</v>
      </c>
      <c r="B3467" s="1" t="s">
        <v>3997</v>
      </c>
      <c r="C3467" t="s">
        <v>165</v>
      </c>
      <c r="D3467" s="1" t="s">
        <v>3998</v>
      </c>
    </row>
    <row r="3468" spans="1:4" hidden="1" x14ac:dyDescent="0.3">
      <c r="A3468">
        <v>3466</v>
      </c>
      <c r="B3468" s="1" t="s">
        <v>3999</v>
      </c>
      <c r="C3468" t="s">
        <v>55</v>
      </c>
      <c r="D3468" s="1" t="s">
        <v>4000</v>
      </c>
    </row>
    <row r="3469" spans="1:4" hidden="1" x14ac:dyDescent="0.3">
      <c r="A3469">
        <v>3467</v>
      </c>
      <c r="B3469" s="1" t="s">
        <v>4001</v>
      </c>
      <c r="C3469" t="s">
        <v>52</v>
      </c>
      <c r="D3469" s="1" t="s">
        <v>4002</v>
      </c>
    </row>
    <row r="3470" spans="1:4" hidden="1" x14ac:dyDescent="0.3">
      <c r="A3470">
        <v>3468</v>
      </c>
      <c r="B3470" s="1" t="s">
        <v>4003</v>
      </c>
      <c r="C3470" t="s">
        <v>58</v>
      </c>
      <c r="D3470" s="1" t="s">
        <v>4004</v>
      </c>
    </row>
    <row r="3471" spans="1:4" hidden="1" x14ac:dyDescent="0.3">
      <c r="A3471">
        <v>3469</v>
      </c>
      <c r="B3471" t="s">
        <v>4005</v>
      </c>
      <c r="C3471" t="s">
        <v>60</v>
      </c>
      <c r="D3471">
        <v>149840172.78340599</v>
      </c>
    </row>
    <row r="3472" spans="1:4" hidden="1" x14ac:dyDescent="0.3">
      <c r="A3472">
        <v>3470</v>
      </c>
      <c r="B3472" t="s">
        <v>4006</v>
      </c>
      <c r="C3472" t="s">
        <v>62</v>
      </c>
      <c r="D3472">
        <v>80023898.4402356</v>
      </c>
    </row>
    <row r="3473" spans="1:4" hidden="1" x14ac:dyDescent="0.3">
      <c r="A3473">
        <v>3471</v>
      </c>
      <c r="B3473" t="s">
        <v>4007</v>
      </c>
      <c r="C3473" t="s">
        <v>64</v>
      </c>
      <c r="D3473">
        <v>35008863.453872599</v>
      </c>
    </row>
    <row r="3474" spans="1:4" hidden="1" x14ac:dyDescent="0.3">
      <c r="A3474">
        <v>3472</v>
      </c>
      <c r="B3474" s="1" t="s">
        <v>4008</v>
      </c>
      <c r="C3474" t="s">
        <v>66</v>
      </c>
      <c r="D3474" s="1" t="s">
        <v>4009</v>
      </c>
    </row>
    <row r="3475" spans="1:4" hidden="1" x14ac:dyDescent="0.3">
      <c r="A3475">
        <v>3473</v>
      </c>
      <c r="B3475" s="1" t="s">
        <v>4010</v>
      </c>
      <c r="C3475" t="s">
        <v>69</v>
      </c>
      <c r="D3475" s="1" t="s">
        <v>4011</v>
      </c>
    </row>
    <row r="3476" spans="1:4" hidden="1" x14ac:dyDescent="0.3">
      <c r="A3476">
        <v>3474</v>
      </c>
      <c r="B3476" t="s">
        <v>4012</v>
      </c>
      <c r="C3476" t="s">
        <v>72</v>
      </c>
      <c r="D3476">
        <v>1.0001993880685101</v>
      </c>
    </row>
    <row r="3477" spans="1:4" hidden="1" x14ac:dyDescent="0.3">
      <c r="A3477">
        <v>3475</v>
      </c>
      <c r="B3477" t="s">
        <v>73</v>
      </c>
      <c r="C3477" t="s">
        <v>74</v>
      </c>
      <c r="D3477">
        <v>2.7397260273972599E-3</v>
      </c>
    </row>
    <row r="3478" spans="1:4" hidden="1" x14ac:dyDescent="0.3">
      <c r="A3478">
        <v>3476</v>
      </c>
      <c r="B3478" t="s">
        <v>75</v>
      </c>
      <c r="C3478" t="s">
        <v>76</v>
      </c>
      <c r="D3478">
        <v>0</v>
      </c>
    </row>
    <row r="3479" spans="1:4" hidden="1" x14ac:dyDescent="0.3">
      <c r="A3479">
        <v>3477</v>
      </c>
      <c r="B3479" t="s">
        <v>969</v>
      </c>
      <c r="C3479" t="s">
        <v>78</v>
      </c>
      <c r="D3479" s="2">
        <v>2.2204460492503101E-16</v>
      </c>
    </row>
    <row r="3480" spans="1:4" hidden="1" x14ac:dyDescent="0.3">
      <c r="A3480">
        <v>3478</v>
      </c>
      <c r="B3480" s="1" t="s">
        <v>4013</v>
      </c>
      <c r="C3480" t="s">
        <v>80</v>
      </c>
      <c r="D3480" s="1" t="s">
        <v>4014</v>
      </c>
    </row>
    <row r="3481" spans="1:4" hidden="1" x14ac:dyDescent="0.3">
      <c r="A3481">
        <v>3479</v>
      </c>
      <c r="B3481" t="s">
        <v>4015</v>
      </c>
      <c r="C3481" t="s">
        <v>83</v>
      </c>
      <c r="D3481">
        <v>1.00020557237061</v>
      </c>
    </row>
    <row r="3482" spans="1:4" hidden="1" x14ac:dyDescent="0.3">
      <c r="A3482">
        <v>3480</v>
      </c>
      <c r="B3482" s="1" t="s">
        <v>4016</v>
      </c>
      <c r="C3482" t="s">
        <v>85</v>
      </c>
      <c r="D3482" s="1" t="s">
        <v>4017</v>
      </c>
    </row>
    <row r="3483" spans="1:4" hidden="1" x14ac:dyDescent="0.3">
      <c r="A3483">
        <v>3481</v>
      </c>
      <c r="B3483" t="s">
        <v>4018</v>
      </c>
      <c r="C3483" t="s">
        <v>88</v>
      </c>
      <c r="D3483">
        <v>99979446.988070294</v>
      </c>
    </row>
    <row r="3484" spans="1:4" hidden="1" x14ac:dyDescent="0.3">
      <c r="A3484">
        <v>3482</v>
      </c>
      <c r="B3484" s="1" t="s">
        <v>4019</v>
      </c>
      <c r="C3484" t="s">
        <v>90</v>
      </c>
      <c r="D3484" s="1" t="s">
        <v>3965</v>
      </c>
    </row>
    <row r="3485" spans="1:4" hidden="1" x14ac:dyDescent="0.3">
      <c r="A3485">
        <v>3483</v>
      </c>
      <c r="B3485" t="s">
        <v>4020</v>
      </c>
      <c r="C3485" t="s">
        <v>93</v>
      </c>
      <c r="D3485">
        <v>80023898.4402356</v>
      </c>
    </row>
    <row r="3486" spans="1:4" hidden="1" x14ac:dyDescent="0.3">
      <c r="A3486">
        <v>3484</v>
      </c>
      <c r="B3486" t="s">
        <v>4021</v>
      </c>
      <c r="C3486" t="s">
        <v>95</v>
      </c>
      <c r="D3486">
        <v>35008863.453872599</v>
      </c>
    </row>
    <row r="3487" spans="1:4" hidden="1" x14ac:dyDescent="0.3">
      <c r="A3487">
        <v>3485</v>
      </c>
      <c r="B3487" t="s">
        <v>4022</v>
      </c>
      <c r="C3487" t="s">
        <v>97</v>
      </c>
      <c r="D3487">
        <v>34807410.889298096</v>
      </c>
    </row>
    <row r="3488" spans="1:4" hidden="1" x14ac:dyDescent="0.3">
      <c r="A3488">
        <v>3486</v>
      </c>
      <c r="B3488" s="1" t="s">
        <v>4023</v>
      </c>
      <c r="C3488" t="s">
        <v>99</v>
      </c>
      <c r="D3488" s="1" t="s">
        <v>4024</v>
      </c>
    </row>
    <row r="3489" spans="1:4" hidden="1" x14ac:dyDescent="0.3">
      <c r="A3489">
        <v>3487</v>
      </c>
      <c r="B3489" t="s">
        <v>4025</v>
      </c>
      <c r="C3489" t="s">
        <v>102</v>
      </c>
      <c r="D3489">
        <v>9.3019015382029193E-3</v>
      </c>
    </row>
    <row r="3490" spans="1:4" hidden="1" x14ac:dyDescent="0.3">
      <c r="A3490">
        <v>3488</v>
      </c>
      <c r="B3490" t="s">
        <v>4026</v>
      </c>
      <c r="C3490" t="s">
        <v>104</v>
      </c>
      <c r="D3490">
        <v>1.65466939782905E-3</v>
      </c>
    </row>
    <row r="3491" spans="1:4" hidden="1" x14ac:dyDescent="0.3">
      <c r="A3491">
        <v>3489</v>
      </c>
      <c r="B3491" t="s">
        <v>4027</v>
      </c>
      <c r="C3491" t="s">
        <v>106</v>
      </c>
      <c r="D3491">
        <v>2.22190682628804E-2</v>
      </c>
    </row>
    <row r="3492" spans="1:4" hidden="1" x14ac:dyDescent="0.3">
      <c r="A3492">
        <v>3490</v>
      </c>
      <c r="B3492" s="1" t="s">
        <v>4028</v>
      </c>
      <c r="C3492" t="s">
        <v>108</v>
      </c>
      <c r="D3492" s="1" t="s">
        <v>4029</v>
      </c>
    </row>
    <row r="3493" spans="1:4" hidden="1" x14ac:dyDescent="0.3">
      <c r="A3493">
        <v>3491</v>
      </c>
      <c r="B3493" t="s">
        <v>4030</v>
      </c>
      <c r="C3493" t="s">
        <v>196</v>
      </c>
      <c r="D3493">
        <v>149840385.60618901</v>
      </c>
    </row>
    <row r="3494" spans="1:4" hidden="1" x14ac:dyDescent="0.3">
      <c r="A3494">
        <v>3492</v>
      </c>
      <c r="B3494" t="s">
        <v>4031</v>
      </c>
      <c r="C3494" t="s">
        <v>198</v>
      </c>
      <c r="D3494">
        <v>-494.79427299938499</v>
      </c>
    </row>
    <row r="3495" spans="1:4" hidden="1" x14ac:dyDescent="0.3">
      <c r="A3495">
        <v>3493</v>
      </c>
      <c r="B3495" t="s">
        <v>4032</v>
      </c>
      <c r="C3495" t="s">
        <v>200</v>
      </c>
      <c r="D3495">
        <v>-216.46237197071</v>
      </c>
    </row>
    <row r="3496" spans="1:4" hidden="1" x14ac:dyDescent="0.3">
      <c r="A3496">
        <v>3494</v>
      </c>
      <c r="B3496" s="1" t="s">
        <v>4033</v>
      </c>
      <c r="C3496" t="s">
        <v>202</v>
      </c>
      <c r="D3496" s="1" t="s">
        <v>4034</v>
      </c>
    </row>
    <row r="3497" spans="1:4" hidden="1" x14ac:dyDescent="0.3">
      <c r="A3497">
        <v>3495</v>
      </c>
      <c r="B3497" t="s">
        <v>4035</v>
      </c>
      <c r="C3497" t="s">
        <v>205</v>
      </c>
      <c r="D3497">
        <v>80024549.457878307</v>
      </c>
    </row>
    <row r="3498" spans="1:4" hidden="1" x14ac:dyDescent="0.3">
      <c r="A3498">
        <v>3496</v>
      </c>
      <c r="B3498" t="s">
        <v>4036</v>
      </c>
      <c r="C3498" t="s">
        <v>207</v>
      </c>
      <c r="D3498">
        <v>35009103.251203701</v>
      </c>
    </row>
    <row r="3499" spans="1:4" hidden="1" x14ac:dyDescent="0.3">
      <c r="A3499">
        <v>3497</v>
      </c>
      <c r="B3499" t="s">
        <v>4037</v>
      </c>
      <c r="C3499" t="s">
        <v>209</v>
      </c>
      <c r="D3499">
        <v>34807659.370590903</v>
      </c>
    </row>
    <row r="3500" spans="1:4" hidden="1" x14ac:dyDescent="0.3">
      <c r="A3500">
        <v>3498</v>
      </c>
      <c r="B3500" s="1" t="s">
        <v>4038</v>
      </c>
      <c r="C3500" t="s">
        <v>211</v>
      </c>
      <c r="D3500" s="1" t="s">
        <v>4039</v>
      </c>
    </row>
    <row r="3501" spans="1:4" hidden="1" x14ac:dyDescent="0.3">
      <c r="A3501">
        <v>3499</v>
      </c>
      <c r="B3501" t="s">
        <v>4040</v>
      </c>
      <c r="C3501" t="s">
        <v>214</v>
      </c>
      <c r="D3501">
        <v>99980065.167916298</v>
      </c>
    </row>
    <row r="3502" spans="1:4" hidden="1" x14ac:dyDescent="0.3">
      <c r="A3502">
        <v>3500</v>
      </c>
      <c r="B3502" t="s">
        <v>4041</v>
      </c>
      <c r="C3502" t="s">
        <v>216</v>
      </c>
      <c r="D3502">
        <v>-618.17984598875</v>
      </c>
    </row>
    <row r="3503" spans="1:4" hidden="1" x14ac:dyDescent="0.3">
      <c r="A3503">
        <v>3501</v>
      </c>
      <c r="B3503" s="1" t="s">
        <v>4042</v>
      </c>
      <c r="C3503" t="s">
        <v>218</v>
      </c>
      <c r="D3503" s="1" t="s">
        <v>4043</v>
      </c>
    </row>
    <row r="3504" spans="1:4" hidden="1" x14ac:dyDescent="0.3">
      <c r="A3504">
        <v>3502</v>
      </c>
      <c r="B3504" t="s">
        <v>4044</v>
      </c>
      <c r="C3504" t="s">
        <v>111</v>
      </c>
      <c r="D3504">
        <v>156.22336977495999</v>
      </c>
    </row>
    <row r="3505" spans="1:4" hidden="1" x14ac:dyDescent="0.3">
      <c r="A3505">
        <v>3503</v>
      </c>
      <c r="B3505" t="s">
        <v>4045</v>
      </c>
      <c r="C3505" t="s">
        <v>113</v>
      </c>
      <c r="D3505">
        <v>23.3349592135812</v>
      </c>
    </row>
    <row r="3506" spans="1:4" hidden="1" x14ac:dyDescent="0.3">
      <c r="A3506">
        <v>3504</v>
      </c>
      <c r="B3506" s="1" t="s">
        <v>4046</v>
      </c>
      <c r="C3506" t="s">
        <v>115</v>
      </c>
      <c r="D3506" s="1" t="s">
        <v>4047</v>
      </c>
    </row>
    <row r="3507" spans="1:4" hidden="1" x14ac:dyDescent="0.3">
      <c r="A3507">
        <v>3505</v>
      </c>
      <c r="B3507" t="s">
        <v>4048</v>
      </c>
      <c r="C3507" t="s">
        <v>118</v>
      </c>
      <c r="D3507">
        <v>80024549.457878307</v>
      </c>
    </row>
    <row r="3508" spans="1:4" hidden="1" x14ac:dyDescent="0.3">
      <c r="A3508">
        <v>3506</v>
      </c>
      <c r="B3508" t="s">
        <v>4049</v>
      </c>
      <c r="C3508" t="s">
        <v>120</v>
      </c>
      <c r="D3508">
        <v>35009103.251203701</v>
      </c>
    </row>
    <row r="3509" spans="1:4" hidden="1" x14ac:dyDescent="0.3">
      <c r="A3509">
        <v>3507</v>
      </c>
      <c r="B3509" s="1" t="s">
        <v>4050</v>
      </c>
      <c r="C3509" t="s">
        <v>122</v>
      </c>
      <c r="D3509" s="1" t="s">
        <v>4051</v>
      </c>
    </row>
    <row r="3510" spans="1:4" hidden="1" x14ac:dyDescent="0.3">
      <c r="A3510">
        <v>3508</v>
      </c>
      <c r="B3510" t="s">
        <v>4052</v>
      </c>
      <c r="C3510" t="s">
        <v>125</v>
      </c>
      <c r="D3510">
        <v>0.80024054663605304</v>
      </c>
    </row>
    <row r="3511" spans="1:4" hidden="1" x14ac:dyDescent="0.3">
      <c r="A3511">
        <v>3509</v>
      </c>
      <c r="B3511" t="s">
        <v>4053</v>
      </c>
      <c r="C3511" t="s">
        <v>127</v>
      </c>
      <c r="D3511">
        <v>0.350088867888318</v>
      </c>
    </row>
    <row r="3512" spans="1:4" hidden="1" x14ac:dyDescent="0.3">
      <c r="A3512">
        <v>3510</v>
      </c>
      <c r="B3512" s="1" t="s">
        <v>4054</v>
      </c>
      <c r="C3512" t="s">
        <v>129</v>
      </c>
      <c r="D3512" s="1" t="s">
        <v>4055</v>
      </c>
    </row>
    <row r="3513" spans="1:4" ht="72" x14ac:dyDescent="0.3">
      <c r="A3513">
        <v>3511</v>
      </c>
      <c r="B3513" s="1" t="s">
        <v>3</v>
      </c>
      <c r="C3513" t="s">
        <v>4</v>
      </c>
      <c r="D3513" t="s">
        <v>5</v>
      </c>
    </row>
    <row r="3514" spans="1:4" hidden="1" x14ac:dyDescent="0.3">
      <c r="A3514">
        <v>3512</v>
      </c>
      <c r="B3514" t="s">
        <v>6</v>
      </c>
      <c r="C3514" t="s">
        <v>7</v>
      </c>
      <c r="D3514">
        <v>1981.95</v>
      </c>
    </row>
    <row r="3515" spans="1:4" hidden="1" x14ac:dyDescent="0.3">
      <c r="A3515">
        <v>3513</v>
      </c>
      <c r="B3515" s="1" t="s">
        <v>131</v>
      </c>
      <c r="C3515" t="s">
        <v>9</v>
      </c>
      <c r="D3515" s="1" t="s">
        <v>132</v>
      </c>
    </row>
    <row r="3516" spans="1:4" hidden="1" x14ac:dyDescent="0.3">
      <c r="A3516">
        <v>3514</v>
      </c>
      <c r="B3516" t="s">
        <v>13</v>
      </c>
      <c r="C3516" t="s">
        <v>14</v>
      </c>
      <c r="D3516">
        <v>91.74609375</v>
      </c>
    </row>
    <row r="3517" spans="1:4" hidden="1" x14ac:dyDescent="0.3">
      <c r="A3517">
        <v>3515</v>
      </c>
      <c r="B3517" t="s">
        <v>15</v>
      </c>
      <c r="C3517" t="s">
        <v>16</v>
      </c>
      <c r="D3517">
        <v>4.1883572307132804</v>
      </c>
    </row>
    <row r="3518" spans="1:4" hidden="1" x14ac:dyDescent="0.3">
      <c r="A3518">
        <v>3516</v>
      </c>
      <c r="B3518" s="1" t="s">
        <v>133</v>
      </c>
      <c r="C3518" t="s">
        <v>134</v>
      </c>
      <c r="D3518" s="1" t="s">
        <v>135</v>
      </c>
    </row>
    <row r="3519" spans="1:4" hidden="1" x14ac:dyDescent="0.3">
      <c r="A3519">
        <v>3517</v>
      </c>
      <c r="B3519" t="s">
        <v>21</v>
      </c>
      <c r="C3519" t="s">
        <v>22</v>
      </c>
      <c r="D3519">
        <v>38.25</v>
      </c>
    </row>
    <row r="3520" spans="1:4" hidden="1" x14ac:dyDescent="0.3">
      <c r="A3520">
        <v>3518</v>
      </c>
      <c r="B3520" t="s">
        <v>4056</v>
      </c>
      <c r="C3520" t="s">
        <v>24</v>
      </c>
      <c r="D3520">
        <v>5.5647903936460903</v>
      </c>
    </row>
    <row r="3521" spans="1:4" hidden="1" x14ac:dyDescent="0.3">
      <c r="A3521">
        <v>3519</v>
      </c>
      <c r="B3521" s="1" t="s">
        <v>4057</v>
      </c>
      <c r="C3521" t="s">
        <v>138</v>
      </c>
      <c r="D3521" s="1" t="s">
        <v>4058</v>
      </c>
    </row>
    <row r="3522" spans="1:4" hidden="1" x14ac:dyDescent="0.3">
      <c r="A3522">
        <v>3520</v>
      </c>
      <c r="B3522" t="s">
        <v>4059</v>
      </c>
      <c r="C3522" t="s">
        <v>35</v>
      </c>
      <c r="D3522">
        <v>0.54832436267475604</v>
      </c>
    </row>
    <row r="3523" spans="1:4" hidden="1" x14ac:dyDescent="0.3">
      <c r="A3523">
        <v>3521</v>
      </c>
      <c r="B3523" t="s">
        <v>4060</v>
      </c>
      <c r="C3523" t="s">
        <v>142</v>
      </c>
      <c r="D3523">
        <v>0.69995532418200201</v>
      </c>
    </row>
    <row r="3524" spans="1:4" hidden="1" x14ac:dyDescent="0.3">
      <c r="A3524">
        <v>3522</v>
      </c>
      <c r="B3524" s="1" t="s">
        <v>4061</v>
      </c>
      <c r="C3524" t="s">
        <v>144</v>
      </c>
      <c r="D3524" s="1" t="s">
        <v>4062</v>
      </c>
    </row>
    <row r="3525" spans="1:4" hidden="1" x14ac:dyDescent="0.3">
      <c r="A3525">
        <v>3523</v>
      </c>
      <c r="B3525" t="s">
        <v>4063</v>
      </c>
      <c r="C3525" t="s">
        <v>30</v>
      </c>
      <c r="D3525">
        <v>0.19364325029871901</v>
      </c>
    </row>
    <row r="3526" spans="1:4" hidden="1" x14ac:dyDescent="0.3">
      <c r="A3526">
        <v>3524</v>
      </c>
      <c r="B3526" t="s">
        <v>4064</v>
      </c>
      <c r="C3526" t="s">
        <v>32</v>
      </c>
      <c r="D3526">
        <v>0.23342994378038601</v>
      </c>
    </row>
    <row r="3527" spans="1:4" hidden="1" x14ac:dyDescent="0.3">
      <c r="A3527">
        <v>3525</v>
      </c>
      <c r="B3527" s="1" t="s">
        <v>4065</v>
      </c>
      <c r="C3527" t="s">
        <v>148</v>
      </c>
      <c r="D3527" s="1" t="s">
        <v>4066</v>
      </c>
    </row>
    <row r="3528" spans="1:4" hidden="1" x14ac:dyDescent="0.3">
      <c r="A3528">
        <v>3526</v>
      </c>
      <c r="B3528" t="s">
        <v>4067</v>
      </c>
      <c r="C3528" t="s">
        <v>40</v>
      </c>
      <c r="D3528">
        <v>0.25803238702652398</v>
      </c>
    </row>
    <row r="3529" spans="1:4" hidden="1" x14ac:dyDescent="0.3">
      <c r="A3529">
        <v>3527</v>
      </c>
      <c r="B3529" t="s">
        <v>4068</v>
      </c>
      <c r="C3529" t="s">
        <v>42</v>
      </c>
      <c r="D3529">
        <v>0.19523266574921799</v>
      </c>
    </row>
    <row r="3530" spans="1:4" hidden="1" x14ac:dyDescent="0.3">
      <c r="A3530">
        <v>3528</v>
      </c>
      <c r="B3530" s="1" t="s">
        <v>4069</v>
      </c>
      <c r="C3530" t="s">
        <v>152</v>
      </c>
      <c r="D3530" s="1" t="s">
        <v>4070</v>
      </c>
    </row>
    <row r="3531" spans="1:4" hidden="1" x14ac:dyDescent="0.3">
      <c r="A3531">
        <v>3529</v>
      </c>
      <c r="B3531" t="s">
        <v>153</v>
      </c>
      <c r="C3531" t="s">
        <v>154</v>
      </c>
      <c r="D3531">
        <v>1</v>
      </c>
    </row>
    <row r="3532" spans="1:4" hidden="1" x14ac:dyDescent="0.3">
      <c r="A3532">
        <v>3530</v>
      </c>
      <c r="B3532" t="s">
        <v>155</v>
      </c>
      <c r="C3532" t="s">
        <v>156</v>
      </c>
      <c r="D3532">
        <v>1</v>
      </c>
    </row>
    <row r="3533" spans="1:4" hidden="1" x14ac:dyDescent="0.3">
      <c r="A3533">
        <v>3531</v>
      </c>
      <c r="B3533" s="1" t="s">
        <v>4071</v>
      </c>
      <c r="C3533" t="s">
        <v>158</v>
      </c>
      <c r="D3533" s="1" t="s">
        <v>4072</v>
      </c>
    </row>
    <row r="3534" spans="1:4" hidden="1" x14ac:dyDescent="0.3">
      <c r="A3534">
        <v>3532</v>
      </c>
      <c r="B3534" t="s">
        <v>4073</v>
      </c>
      <c r="C3534" t="s">
        <v>161</v>
      </c>
      <c r="D3534">
        <v>1.00091611735978</v>
      </c>
    </row>
    <row r="3535" spans="1:4" hidden="1" x14ac:dyDescent="0.3">
      <c r="A3535">
        <v>3533</v>
      </c>
      <c r="B3535" t="s">
        <v>4074</v>
      </c>
      <c r="C3535" t="s">
        <v>163</v>
      </c>
      <c r="D3535">
        <v>0.99847953544969104</v>
      </c>
    </row>
    <row r="3536" spans="1:4" hidden="1" x14ac:dyDescent="0.3">
      <c r="A3536">
        <v>3534</v>
      </c>
      <c r="B3536" s="1" t="s">
        <v>4075</v>
      </c>
      <c r="C3536" t="s">
        <v>165</v>
      </c>
      <c r="D3536" s="1" t="s">
        <v>4076</v>
      </c>
    </row>
    <row r="3537" spans="1:4" hidden="1" x14ac:dyDescent="0.3">
      <c r="A3537">
        <v>3535</v>
      </c>
      <c r="B3537" s="1" t="s">
        <v>4077</v>
      </c>
      <c r="C3537" t="s">
        <v>55</v>
      </c>
      <c r="D3537" s="1" t="s">
        <v>4078</v>
      </c>
    </row>
    <row r="3538" spans="1:4" hidden="1" x14ac:dyDescent="0.3">
      <c r="A3538">
        <v>3536</v>
      </c>
      <c r="B3538" s="1" t="s">
        <v>4079</v>
      </c>
      <c r="C3538" t="s">
        <v>52</v>
      </c>
      <c r="D3538" s="1" t="s">
        <v>4080</v>
      </c>
    </row>
    <row r="3539" spans="1:4" hidden="1" x14ac:dyDescent="0.3">
      <c r="A3539">
        <v>3537</v>
      </c>
      <c r="B3539" s="1" t="s">
        <v>4081</v>
      </c>
      <c r="C3539" t="s">
        <v>58</v>
      </c>
      <c r="D3539" s="1" t="s">
        <v>4082</v>
      </c>
    </row>
    <row r="3540" spans="1:4" hidden="1" x14ac:dyDescent="0.3">
      <c r="A3540">
        <v>3538</v>
      </c>
      <c r="B3540" t="s">
        <v>4083</v>
      </c>
      <c r="C3540" t="s">
        <v>60</v>
      </c>
      <c r="D3540">
        <v>149828063.840774</v>
      </c>
    </row>
    <row r="3541" spans="1:4" hidden="1" x14ac:dyDescent="0.3">
      <c r="A3541">
        <v>3539</v>
      </c>
      <c r="B3541" t="s">
        <v>4084</v>
      </c>
      <c r="C3541" t="s">
        <v>62</v>
      </c>
      <c r="D3541">
        <v>80024549.457878307</v>
      </c>
    </row>
    <row r="3542" spans="1:4" hidden="1" x14ac:dyDescent="0.3">
      <c r="A3542">
        <v>3540</v>
      </c>
      <c r="B3542" t="s">
        <v>4085</v>
      </c>
      <c r="C3542" t="s">
        <v>64</v>
      </c>
      <c r="D3542">
        <v>35009103.251203701</v>
      </c>
    </row>
    <row r="3543" spans="1:4" hidden="1" x14ac:dyDescent="0.3">
      <c r="A3543">
        <v>3541</v>
      </c>
      <c r="B3543" s="1" t="s">
        <v>4086</v>
      </c>
      <c r="C3543" t="s">
        <v>66</v>
      </c>
      <c r="D3543" s="1" t="s">
        <v>4087</v>
      </c>
    </row>
    <row r="3544" spans="1:4" hidden="1" x14ac:dyDescent="0.3">
      <c r="A3544">
        <v>3542</v>
      </c>
      <c r="B3544" s="1" t="s">
        <v>4088</v>
      </c>
      <c r="C3544" t="s">
        <v>69</v>
      </c>
      <c r="D3544" s="1" t="s">
        <v>4089</v>
      </c>
    </row>
    <row r="3545" spans="1:4" hidden="1" x14ac:dyDescent="0.3">
      <c r="A3545">
        <v>3543</v>
      </c>
      <c r="B3545" t="s">
        <v>4090</v>
      </c>
      <c r="C3545" t="s">
        <v>72</v>
      </c>
      <c r="D3545">
        <v>1.00020557237061</v>
      </c>
    </row>
    <row r="3546" spans="1:4" hidden="1" x14ac:dyDescent="0.3">
      <c r="A3546">
        <v>3544</v>
      </c>
      <c r="B3546" t="s">
        <v>73</v>
      </c>
      <c r="C3546" t="s">
        <v>74</v>
      </c>
      <c r="D3546">
        <v>2.7397260273972599E-3</v>
      </c>
    </row>
    <row r="3547" spans="1:4" hidden="1" x14ac:dyDescent="0.3">
      <c r="A3547">
        <v>3545</v>
      </c>
      <c r="B3547" t="s">
        <v>75</v>
      </c>
      <c r="C3547" t="s">
        <v>76</v>
      </c>
      <c r="D3547">
        <v>0</v>
      </c>
    </row>
    <row r="3548" spans="1:4" hidden="1" x14ac:dyDescent="0.3">
      <c r="A3548">
        <v>3546</v>
      </c>
      <c r="B3548" t="s">
        <v>77</v>
      </c>
      <c r="C3548" t="s">
        <v>78</v>
      </c>
      <c r="D3548">
        <v>0</v>
      </c>
    </row>
    <row r="3549" spans="1:4" hidden="1" x14ac:dyDescent="0.3">
      <c r="A3549">
        <v>3547</v>
      </c>
      <c r="B3549" s="1" t="s">
        <v>4091</v>
      </c>
      <c r="C3549" t="s">
        <v>80</v>
      </c>
      <c r="D3549" s="1" t="s">
        <v>4092</v>
      </c>
    </row>
    <row r="3550" spans="1:4" hidden="1" x14ac:dyDescent="0.3">
      <c r="A3550">
        <v>3548</v>
      </c>
      <c r="B3550" t="s">
        <v>4093</v>
      </c>
      <c r="C3550" t="s">
        <v>83</v>
      </c>
      <c r="D3550">
        <v>1.0002025920469499</v>
      </c>
    </row>
    <row r="3551" spans="1:4" hidden="1" x14ac:dyDescent="0.3">
      <c r="A3551">
        <v>3549</v>
      </c>
      <c r="B3551" s="1" t="s">
        <v>4094</v>
      </c>
      <c r="C3551" t="s">
        <v>85</v>
      </c>
      <c r="D3551" s="1" t="s">
        <v>4095</v>
      </c>
    </row>
    <row r="3552" spans="1:4" hidden="1" x14ac:dyDescent="0.3">
      <c r="A3552">
        <v>3550</v>
      </c>
      <c r="B3552" t="s">
        <v>4096</v>
      </c>
      <c r="C3552" t="s">
        <v>88</v>
      </c>
      <c r="D3552">
        <v>99979744.898826897</v>
      </c>
    </row>
    <row r="3553" spans="1:4" hidden="1" x14ac:dyDescent="0.3">
      <c r="A3553">
        <v>3551</v>
      </c>
      <c r="B3553" s="1" t="s">
        <v>4097</v>
      </c>
      <c r="C3553" t="s">
        <v>90</v>
      </c>
      <c r="D3553" s="1" t="s">
        <v>4043</v>
      </c>
    </row>
    <row r="3554" spans="1:4" hidden="1" x14ac:dyDescent="0.3">
      <c r="A3554">
        <v>3552</v>
      </c>
      <c r="B3554" t="s">
        <v>4098</v>
      </c>
      <c r="C3554" t="s">
        <v>93</v>
      </c>
      <c r="D3554">
        <v>80024549.457878307</v>
      </c>
    </row>
    <row r="3555" spans="1:4" hidden="1" x14ac:dyDescent="0.3">
      <c r="A3555">
        <v>3553</v>
      </c>
      <c r="B3555" t="s">
        <v>4099</v>
      </c>
      <c r="C3555" t="s">
        <v>95</v>
      </c>
      <c r="D3555">
        <v>35009103.251203701</v>
      </c>
    </row>
    <row r="3556" spans="1:4" hidden="1" x14ac:dyDescent="0.3">
      <c r="A3556">
        <v>3554</v>
      </c>
      <c r="B3556" t="s">
        <v>4100</v>
      </c>
      <c r="C3556" t="s">
        <v>97</v>
      </c>
      <c r="D3556">
        <v>34794411.131691903</v>
      </c>
    </row>
    <row r="3557" spans="1:4" hidden="1" x14ac:dyDescent="0.3">
      <c r="A3557">
        <v>3555</v>
      </c>
      <c r="B3557" s="1" t="s">
        <v>4101</v>
      </c>
      <c r="C3557" t="s">
        <v>99</v>
      </c>
      <c r="D3557" s="1" t="s">
        <v>4102</v>
      </c>
    </row>
    <row r="3558" spans="1:4" hidden="1" x14ac:dyDescent="0.3">
      <c r="A3558">
        <v>3556</v>
      </c>
      <c r="B3558" t="s">
        <v>4103</v>
      </c>
      <c r="C3558" t="s">
        <v>102</v>
      </c>
      <c r="D3558">
        <v>9.3451147912359603E-3</v>
      </c>
    </row>
    <row r="3559" spans="1:4" hidden="1" x14ac:dyDescent="0.3">
      <c r="A3559">
        <v>3557</v>
      </c>
      <c r="B3559" t="s">
        <v>4104</v>
      </c>
      <c r="C3559" t="s">
        <v>104</v>
      </c>
      <c r="D3559">
        <v>1.6588852781791799E-3</v>
      </c>
    </row>
    <row r="3560" spans="1:4" hidden="1" x14ac:dyDescent="0.3">
      <c r="A3560">
        <v>3558</v>
      </c>
      <c r="B3560" t="s">
        <v>4105</v>
      </c>
      <c r="C3560" t="s">
        <v>106</v>
      </c>
      <c r="D3560">
        <v>2.2425650416177799E-2</v>
      </c>
    </row>
    <row r="3561" spans="1:4" hidden="1" x14ac:dyDescent="0.3">
      <c r="A3561">
        <v>3559</v>
      </c>
      <c r="B3561" s="1" t="s">
        <v>4106</v>
      </c>
      <c r="C3561" t="s">
        <v>108</v>
      </c>
      <c r="D3561" s="1" t="s">
        <v>4107</v>
      </c>
    </row>
    <row r="3562" spans="1:4" hidden="1" x14ac:dyDescent="0.3">
      <c r="A3562">
        <v>3560</v>
      </c>
      <c r="B3562" t="s">
        <v>4108</v>
      </c>
      <c r="C3562" t="s">
        <v>196</v>
      </c>
      <c r="D3562">
        <v>149827961.18017399</v>
      </c>
    </row>
    <row r="3563" spans="1:4" hidden="1" x14ac:dyDescent="0.3">
      <c r="A3563">
        <v>3561</v>
      </c>
      <c r="B3563" t="s">
        <v>4109</v>
      </c>
      <c r="C3563" t="s">
        <v>198</v>
      </c>
      <c r="D3563">
        <v>238.449801932843</v>
      </c>
    </row>
    <row r="3564" spans="1:4" hidden="1" x14ac:dyDescent="0.3">
      <c r="A3564">
        <v>3562</v>
      </c>
      <c r="B3564" t="s">
        <v>4110</v>
      </c>
      <c r="C3564" t="s">
        <v>200</v>
      </c>
      <c r="D3564">
        <v>104.31697830707699</v>
      </c>
    </row>
    <row r="3565" spans="1:4" hidden="1" x14ac:dyDescent="0.3">
      <c r="A3565">
        <v>3563</v>
      </c>
      <c r="B3565" s="1" t="s">
        <v>4111</v>
      </c>
      <c r="C3565" t="s">
        <v>202</v>
      </c>
      <c r="D3565" s="1" t="s">
        <v>4112</v>
      </c>
    </row>
    <row r="3566" spans="1:4" hidden="1" x14ac:dyDescent="0.3">
      <c r="A3566">
        <v>3564</v>
      </c>
      <c r="B3566" t="s">
        <v>4113</v>
      </c>
      <c r="C3566" t="s">
        <v>205</v>
      </c>
      <c r="D3566">
        <v>80024231.433281302</v>
      </c>
    </row>
    <row r="3567" spans="1:4" hidden="1" x14ac:dyDescent="0.3">
      <c r="A3567">
        <v>3565</v>
      </c>
      <c r="B3567" t="s">
        <v>4114</v>
      </c>
      <c r="C3567" t="s">
        <v>207</v>
      </c>
      <c r="D3567">
        <v>35008986.993485399</v>
      </c>
    </row>
    <row r="3568" spans="1:4" hidden="1" x14ac:dyDescent="0.3">
      <c r="A3568">
        <v>3566</v>
      </c>
      <c r="B3568" t="s">
        <v>4115</v>
      </c>
      <c r="C3568" t="s">
        <v>209</v>
      </c>
      <c r="D3568">
        <v>34794296.309366703</v>
      </c>
    </row>
    <row r="3569" spans="1:4" hidden="1" x14ac:dyDescent="0.3">
      <c r="A3569">
        <v>3567</v>
      </c>
      <c r="B3569" s="1" t="s">
        <v>4116</v>
      </c>
      <c r="C3569" t="s">
        <v>211</v>
      </c>
      <c r="D3569" s="1" t="s">
        <v>4117</v>
      </c>
    </row>
    <row r="3570" spans="1:4" hidden="1" x14ac:dyDescent="0.3">
      <c r="A3570">
        <v>3568</v>
      </c>
      <c r="B3570" t="s">
        <v>4118</v>
      </c>
      <c r="C3570" t="s">
        <v>214</v>
      </c>
      <c r="D3570">
        <v>99979446.988070294</v>
      </c>
    </row>
    <row r="3571" spans="1:4" hidden="1" x14ac:dyDescent="0.3">
      <c r="A3571">
        <v>3569</v>
      </c>
      <c r="B3571" t="s">
        <v>4119</v>
      </c>
      <c r="C3571" t="s">
        <v>216</v>
      </c>
      <c r="D3571">
        <v>297.91075658798201</v>
      </c>
    </row>
    <row r="3572" spans="1:4" hidden="1" x14ac:dyDescent="0.3">
      <c r="A3572">
        <v>3570</v>
      </c>
      <c r="B3572" s="1" t="s">
        <v>4120</v>
      </c>
      <c r="C3572" t="s">
        <v>218</v>
      </c>
      <c r="D3572" s="1" t="s">
        <v>4121</v>
      </c>
    </row>
    <row r="3573" spans="1:4" hidden="1" x14ac:dyDescent="0.3">
      <c r="A3573">
        <v>3571</v>
      </c>
      <c r="B3573" t="s">
        <v>4122</v>
      </c>
      <c r="C3573" t="s">
        <v>111</v>
      </c>
      <c r="D3573">
        <v>-79.574795082946906</v>
      </c>
    </row>
    <row r="3574" spans="1:4" hidden="1" x14ac:dyDescent="0.3">
      <c r="A3574">
        <v>3572</v>
      </c>
      <c r="B3574" t="s">
        <v>4123</v>
      </c>
      <c r="C3574" t="s">
        <v>113</v>
      </c>
      <c r="D3574">
        <v>-11.940739987327699</v>
      </c>
    </row>
    <row r="3575" spans="1:4" hidden="1" x14ac:dyDescent="0.3">
      <c r="A3575">
        <v>3573</v>
      </c>
      <c r="B3575" s="1" t="s">
        <v>4124</v>
      </c>
      <c r="C3575" t="s">
        <v>115</v>
      </c>
      <c r="D3575" s="1" t="s">
        <v>4125</v>
      </c>
    </row>
    <row r="3576" spans="1:4" hidden="1" x14ac:dyDescent="0.3">
      <c r="A3576">
        <v>3574</v>
      </c>
      <c r="B3576" t="s">
        <v>4126</v>
      </c>
      <c r="C3576" t="s">
        <v>118</v>
      </c>
      <c r="D3576">
        <v>80024231.433281302</v>
      </c>
    </row>
    <row r="3577" spans="1:4" hidden="1" x14ac:dyDescent="0.3">
      <c r="A3577">
        <v>3575</v>
      </c>
      <c r="B3577" t="s">
        <v>4127</v>
      </c>
      <c r="C3577" t="s">
        <v>120</v>
      </c>
      <c r="D3577">
        <v>35008986.993485399</v>
      </c>
    </row>
    <row r="3578" spans="1:4" hidden="1" x14ac:dyDescent="0.3">
      <c r="A3578">
        <v>3576</v>
      </c>
      <c r="B3578" s="1" t="s">
        <v>4128</v>
      </c>
      <c r="C3578" t="s">
        <v>122</v>
      </c>
      <c r="D3578" s="1" t="s">
        <v>4129</v>
      </c>
    </row>
    <row r="3579" spans="1:4" hidden="1" x14ac:dyDescent="0.3">
      <c r="A3579">
        <v>3577</v>
      </c>
      <c r="B3579" t="s">
        <v>4130</v>
      </c>
      <c r="C3579" t="s">
        <v>125</v>
      </c>
      <c r="D3579">
        <v>0.80024469883083205</v>
      </c>
    </row>
    <row r="3580" spans="1:4" hidden="1" x14ac:dyDescent="0.3">
      <c r="A3580">
        <v>3578</v>
      </c>
      <c r="B3580" t="s">
        <v>4131</v>
      </c>
      <c r="C3580" t="s">
        <v>127</v>
      </c>
      <c r="D3580">
        <v>0.35009091310463702</v>
      </c>
    </row>
    <row r="3581" spans="1:4" hidden="1" x14ac:dyDescent="0.3">
      <c r="A3581">
        <v>3579</v>
      </c>
      <c r="B3581" s="1" t="s">
        <v>4132</v>
      </c>
      <c r="C3581" t="s">
        <v>129</v>
      </c>
      <c r="D3581" s="1" t="s">
        <v>4133</v>
      </c>
    </row>
    <row r="3582" spans="1:4" ht="72" x14ac:dyDescent="0.3">
      <c r="A3582">
        <v>3580</v>
      </c>
      <c r="B3582" s="1" t="s">
        <v>3</v>
      </c>
      <c r="C3582" t="s">
        <v>4</v>
      </c>
      <c r="D3582" t="s">
        <v>5</v>
      </c>
    </row>
    <row r="3583" spans="1:4" hidden="1" x14ac:dyDescent="0.3">
      <c r="A3583">
        <v>3581</v>
      </c>
      <c r="B3583" t="s">
        <v>6</v>
      </c>
      <c r="C3583" t="s">
        <v>7</v>
      </c>
      <c r="D3583">
        <v>1981.95</v>
      </c>
    </row>
    <row r="3584" spans="1:4" hidden="1" x14ac:dyDescent="0.3">
      <c r="A3584">
        <v>3582</v>
      </c>
      <c r="B3584" s="1" t="s">
        <v>131</v>
      </c>
      <c r="C3584" t="s">
        <v>9</v>
      </c>
      <c r="D3584" s="1" t="s">
        <v>132</v>
      </c>
    </row>
    <row r="3585" spans="1:4" hidden="1" x14ac:dyDescent="0.3">
      <c r="A3585">
        <v>3583</v>
      </c>
      <c r="B3585" t="s">
        <v>13</v>
      </c>
      <c r="C3585" t="s">
        <v>14</v>
      </c>
      <c r="D3585">
        <v>91.74609375</v>
      </c>
    </row>
    <row r="3586" spans="1:4" hidden="1" x14ac:dyDescent="0.3">
      <c r="A3586">
        <v>3584</v>
      </c>
      <c r="B3586" t="s">
        <v>15</v>
      </c>
      <c r="C3586" t="s">
        <v>16</v>
      </c>
      <c r="D3586">
        <v>4.1883572307132804</v>
      </c>
    </row>
    <row r="3587" spans="1:4" hidden="1" x14ac:dyDescent="0.3">
      <c r="A3587">
        <v>3585</v>
      </c>
      <c r="B3587" s="1" t="s">
        <v>133</v>
      </c>
      <c r="C3587" t="s">
        <v>134</v>
      </c>
      <c r="D3587" s="1" t="s">
        <v>135</v>
      </c>
    </row>
    <row r="3588" spans="1:4" hidden="1" x14ac:dyDescent="0.3">
      <c r="A3588">
        <v>3586</v>
      </c>
      <c r="B3588" t="s">
        <v>21</v>
      </c>
      <c r="C3588" t="s">
        <v>22</v>
      </c>
      <c r="D3588">
        <v>38.25</v>
      </c>
    </row>
    <row r="3589" spans="1:4" hidden="1" x14ac:dyDescent="0.3">
      <c r="A3589">
        <v>3587</v>
      </c>
      <c r="B3589" t="s">
        <v>4134</v>
      </c>
      <c r="C3589" t="s">
        <v>24</v>
      </c>
      <c r="D3589">
        <v>5.6032310383383201</v>
      </c>
    </row>
    <row r="3590" spans="1:4" hidden="1" x14ac:dyDescent="0.3">
      <c r="A3590">
        <v>3588</v>
      </c>
      <c r="B3590" s="1" t="s">
        <v>4135</v>
      </c>
      <c r="C3590" t="s">
        <v>138</v>
      </c>
      <c r="D3590" s="1" t="s">
        <v>4136</v>
      </c>
    </row>
    <row r="3591" spans="1:4" hidden="1" x14ac:dyDescent="0.3">
      <c r="A3591">
        <v>3589</v>
      </c>
      <c r="B3591" t="s">
        <v>4137</v>
      </c>
      <c r="C3591" t="s">
        <v>35</v>
      </c>
      <c r="D3591">
        <v>0.54399494283811101</v>
      </c>
    </row>
    <row r="3592" spans="1:4" hidden="1" x14ac:dyDescent="0.3">
      <c r="A3592">
        <v>3590</v>
      </c>
      <c r="B3592" t="s">
        <v>4138</v>
      </c>
      <c r="C3592" t="s">
        <v>142</v>
      </c>
      <c r="D3592">
        <v>0.69976174810013003</v>
      </c>
    </row>
    <row r="3593" spans="1:4" hidden="1" x14ac:dyDescent="0.3">
      <c r="A3593">
        <v>3591</v>
      </c>
      <c r="B3593" s="1" t="s">
        <v>4139</v>
      </c>
      <c r="C3593" t="s">
        <v>144</v>
      </c>
      <c r="D3593" s="1" t="s">
        <v>4140</v>
      </c>
    </row>
    <row r="3594" spans="1:4" hidden="1" x14ac:dyDescent="0.3">
      <c r="A3594">
        <v>3592</v>
      </c>
      <c r="B3594" t="s">
        <v>4141</v>
      </c>
      <c r="C3594" t="s">
        <v>30</v>
      </c>
      <c r="D3594">
        <v>0.192114295931296</v>
      </c>
    </row>
    <row r="3595" spans="1:4" hidden="1" x14ac:dyDescent="0.3">
      <c r="A3595">
        <v>3593</v>
      </c>
      <c r="B3595" t="s">
        <v>4142</v>
      </c>
      <c r="C3595" t="s">
        <v>32</v>
      </c>
      <c r="D3595">
        <v>0.23464021888880099</v>
      </c>
    </row>
    <row r="3596" spans="1:4" hidden="1" x14ac:dyDescent="0.3">
      <c r="A3596">
        <v>3594</v>
      </c>
      <c r="B3596" s="1" t="s">
        <v>4143</v>
      </c>
      <c r="C3596" t="s">
        <v>148</v>
      </c>
      <c r="D3596" s="1" t="s">
        <v>4144</v>
      </c>
    </row>
    <row r="3597" spans="1:4" hidden="1" x14ac:dyDescent="0.3">
      <c r="A3597">
        <v>3595</v>
      </c>
      <c r="B3597" t="s">
        <v>4145</v>
      </c>
      <c r="C3597" t="s">
        <v>40</v>
      </c>
      <c r="D3597">
        <v>0.26389076123059202</v>
      </c>
    </row>
    <row r="3598" spans="1:4" hidden="1" x14ac:dyDescent="0.3">
      <c r="A3598">
        <v>3596</v>
      </c>
      <c r="B3598" t="s">
        <v>4146</v>
      </c>
      <c r="C3598" t="s">
        <v>42</v>
      </c>
      <c r="D3598">
        <v>0.19441760359867</v>
      </c>
    </row>
    <row r="3599" spans="1:4" hidden="1" x14ac:dyDescent="0.3">
      <c r="A3599">
        <v>3597</v>
      </c>
      <c r="B3599" s="1" t="s">
        <v>4147</v>
      </c>
      <c r="C3599" t="s">
        <v>152</v>
      </c>
      <c r="D3599" s="1" t="s">
        <v>4148</v>
      </c>
    </row>
    <row r="3600" spans="1:4" hidden="1" x14ac:dyDescent="0.3">
      <c r="A3600">
        <v>3598</v>
      </c>
      <c r="B3600" t="s">
        <v>153</v>
      </c>
      <c r="C3600" t="s">
        <v>154</v>
      </c>
      <c r="D3600">
        <v>1</v>
      </c>
    </row>
    <row r="3601" spans="1:4" hidden="1" x14ac:dyDescent="0.3">
      <c r="A3601">
        <v>3599</v>
      </c>
      <c r="B3601" t="s">
        <v>155</v>
      </c>
      <c r="C3601" t="s">
        <v>156</v>
      </c>
      <c r="D3601">
        <v>1</v>
      </c>
    </row>
    <row r="3602" spans="1:4" hidden="1" x14ac:dyDescent="0.3">
      <c r="A3602">
        <v>3600</v>
      </c>
      <c r="B3602" s="1" t="s">
        <v>4149</v>
      </c>
      <c r="C3602" t="s">
        <v>158</v>
      </c>
      <c r="D3602" s="1" t="s">
        <v>4150</v>
      </c>
    </row>
    <row r="3603" spans="1:4" hidden="1" x14ac:dyDescent="0.3">
      <c r="A3603">
        <v>3601</v>
      </c>
      <c r="B3603" t="s">
        <v>4151</v>
      </c>
      <c r="C3603" t="s">
        <v>161</v>
      </c>
      <c r="D3603">
        <v>0.99988612872402105</v>
      </c>
    </row>
    <row r="3604" spans="1:4" hidden="1" x14ac:dyDescent="0.3">
      <c r="A3604">
        <v>3602</v>
      </c>
      <c r="B3604" t="s">
        <v>4152</v>
      </c>
      <c r="C3604" t="s">
        <v>163</v>
      </c>
      <c r="D3604">
        <v>1.0009812272796801</v>
      </c>
    </row>
    <row r="3605" spans="1:4" hidden="1" x14ac:dyDescent="0.3">
      <c r="A3605">
        <v>3603</v>
      </c>
      <c r="B3605" s="1" t="s">
        <v>4153</v>
      </c>
      <c r="C3605" t="s">
        <v>165</v>
      </c>
      <c r="D3605" s="1" t="s">
        <v>4154</v>
      </c>
    </row>
    <row r="3606" spans="1:4" hidden="1" x14ac:dyDescent="0.3">
      <c r="A3606">
        <v>3604</v>
      </c>
      <c r="B3606" s="1" t="s">
        <v>4155</v>
      </c>
      <c r="C3606" t="s">
        <v>55</v>
      </c>
      <c r="D3606" s="1" t="s">
        <v>4156</v>
      </c>
    </row>
    <row r="3607" spans="1:4" hidden="1" x14ac:dyDescent="0.3">
      <c r="A3607">
        <v>3605</v>
      </c>
      <c r="B3607" s="1" t="s">
        <v>4157</v>
      </c>
      <c r="C3607" t="s">
        <v>52</v>
      </c>
      <c r="D3607" s="1" t="s">
        <v>4158</v>
      </c>
    </row>
    <row r="3608" spans="1:4" hidden="1" x14ac:dyDescent="0.3">
      <c r="A3608">
        <v>3606</v>
      </c>
      <c r="B3608" s="1" t="s">
        <v>4159</v>
      </c>
      <c r="C3608" t="s">
        <v>58</v>
      </c>
      <c r="D3608" s="1" t="s">
        <v>4160</v>
      </c>
    </row>
    <row r="3609" spans="1:4" hidden="1" x14ac:dyDescent="0.3">
      <c r="A3609">
        <v>3607</v>
      </c>
      <c r="B3609" t="s">
        <v>4161</v>
      </c>
      <c r="C3609" t="s">
        <v>60</v>
      </c>
      <c r="D3609">
        <v>149858041.30421001</v>
      </c>
    </row>
    <row r="3610" spans="1:4" hidden="1" x14ac:dyDescent="0.3">
      <c r="A3610">
        <v>3608</v>
      </c>
      <c r="B3610" t="s">
        <v>4162</v>
      </c>
      <c r="C3610" t="s">
        <v>62</v>
      </c>
      <c r="D3610">
        <v>80024231.433281302</v>
      </c>
    </row>
    <row r="3611" spans="1:4" hidden="1" x14ac:dyDescent="0.3">
      <c r="A3611">
        <v>3609</v>
      </c>
      <c r="B3611" t="s">
        <v>4163</v>
      </c>
      <c r="C3611" t="s">
        <v>64</v>
      </c>
      <c r="D3611">
        <v>35008986.993485399</v>
      </c>
    </row>
    <row r="3612" spans="1:4" hidden="1" x14ac:dyDescent="0.3">
      <c r="A3612">
        <v>3610</v>
      </c>
      <c r="B3612" s="1" t="s">
        <v>4164</v>
      </c>
      <c r="C3612" t="s">
        <v>66</v>
      </c>
      <c r="D3612" s="1" t="s">
        <v>4165</v>
      </c>
    </row>
    <row r="3613" spans="1:4" hidden="1" x14ac:dyDescent="0.3">
      <c r="A3613">
        <v>3611</v>
      </c>
      <c r="B3613" s="1" t="s">
        <v>4166</v>
      </c>
      <c r="C3613" t="s">
        <v>69</v>
      </c>
      <c r="D3613" s="1" t="s">
        <v>4167</v>
      </c>
    </row>
    <row r="3614" spans="1:4" hidden="1" x14ac:dyDescent="0.3">
      <c r="A3614">
        <v>3612</v>
      </c>
      <c r="B3614" t="s">
        <v>4168</v>
      </c>
      <c r="C3614" t="s">
        <v>72</v>
      </c>
      <c r="D3614">
        <v>1.0002025920469499</v>
      </c>
    </row>
    <row r="3615" spans="1:4" hidden="1" x14ac:dyDescent="0.3">
      <c r="A3615">
        <v>3613</v>
      </c>
      <c r="B3615" t="s">
        <v>73</v>
      </c>
      <c r="C3615" t="s">
        <v>74</v>
      </c>
      <c r="D3615">
        <v>2.7397260273972599E-3</v>
      </c>
    </row>
    <row r="3616" spans="1:4" hidden="1" x14ac:dyDescent="0.3">
      <c r="A3616">
        <v>3614</v>
      </c>
      <c r="B3616" t="s">
        <v>75</v>
      </c>
      <c r="C3616" t="s">
        <v>76</v>
      </c>
      <c r="D3616">
        <v>0</v>
      </c>
    </row>
    <row r="3617" spans="1:4" hidden="1" x14ac:dyDescent="0.3">
      <c r="A3617">
        <v>3615</v>
      </c>
      <c r="B3617" t="s">
        <v>77</v>
      </c>
      <c r="C3617" t="s">
        <v>78</v>
      </c>
      <c r="D3617">
        <v>0</v>
      </c>
    </row>
    <row r="3618" spans="1:4" hidden="1" x14ac:dyDescent="0.3">
      <c r="A3618">
        <v>3616</v>
      </c>
      <c r="B3618" s="1" t="s">
        <v>4169</v>
      </c>
      <c r="C3618" t="s">
        <v>80</v>
      </c>
      <c r="D3618" s="1" t="s">
        <v>4170</v>
      </c>
    </row>
    <row r="3619" spans="1:4" hidden="1" x14ac:dyDescent="0.3">
      <c r="A3619">
        <v>3617</v>
      </c>
      <c r="B3619" t="s">
        <v>4171</v>
      </c>
      <c r="C3619" t="s">
        <v>83</v>
      </c>
      <c r="D3619">
        <v>1.00017818197751</v>
      </c>
    </row>
    <row r="3620" spans="1:4" hidden="1" x14ac:dyDescent="0.3">
      <c r="A3620">
        <v>3618</v>
      </c>
      <c r="B3620" s="1" t="s">
        <v>4172</v>
      </c>
      <c r="C3620" t="s">
        <v>85</v>
      </c>
      <c r="D3620" s="1" t="s">
        <v>4173</v>
      </c>
    </row>
    <row r="3621" spans="1:4" hidden="1" x14ac:dyDescent="0.3">
      <c r="A3621">
        <v>3619</v>
      </c>
      <c r="B3621" t="s">
        <v>4174</v>
      </c>
      <c r="C3621" t="s">
        <v>88</v>
      </c>
      <c r="D3621">
        <v>99982184.976564094</v>
      </c>
    </row>
    <row r="3622" spans="1:4" hidden="1" x14ac:dyDescent="0.3">
      <c r="A3622">
        <v>3620</v>
      </c>
      <c r="B3622" s="1" t="s">
        <v>4175</v>
      </c>
      <c r="C3622" t="s">
        <v>90</v>
      </c>
      <c r="D3622" s="1" t="s">
        <v>4121</v>
      </c>
    </row>
    <row r="3623" spans="1:4" hidden="1" x14ac:dyDescent="0.3">
      <c r="A3623">
        <v>3621</v>
      </c>
      <c r="B3623" t="s">
        <v>4176</v>
      </c>
      <c r="C3623" t="s">
        <v>93</v>
      </c>
      <c r="D3623">
        <v>80024231.433281302</v>
      </c>
    </row>
    <row r="3624" spans="1:4" hidden="1" x14ac:dyDescent="0.3">
      <c r="A3624">
        <v>3622</v>
      </c>
      <c r="B3624" t="s">
        <v>4177</v>
      </c>
      <c r="C3624" t="s">
        <v>95</v>
      </c>
      <c r="D3624">
        <v>35008986.993485399</v>
      </c>
    </row>
    <row r="3625" spans="1:4" hidden="1" x14ac:dyDescent="0.3">
      <c r="A3625">
        <v>3623</v>
      </c>
      <c r="B3625" t="s">
        <v>4178</v>
      </c>
      <c r="C3625" t="s">
        <v>97</v>
      </c>
      <c r="D3625">
        <v>34824822.877443999</v>
      </c>
    </row>
    <row r="3626" spans="1:4" hidden="1" x14ac:dyDescent="0.3">
      <c r="A3626">
        <v>3624</v>
      </c>
      <c r="B3626" s="1" t="s">
        <v>4179</v>
      </c>
      <c r="C3626" t="s">
        <v>99</v>
      </c>
      <c r="D3626" s="1" t="s">
        <v>4180</v>
      </c>
    </row>
    <row r="3627" spans="1:4" hidden="1" x14ac:dyDescent="0.3">
      <c r="A3627">
        <v>3625</v>
      </c>
      <c r="B3627" t="s">
        <v>4181</v>
      </c>
      <c r="C3627" t="s">
        <v>102</v>
      </c>
      <c r="D3627">
        <v>9.3208010164613098E-3</v>
      </c>
    </row>
    <row r="3628" spans="1:4" hidden="1" x14ac:dyDescent="0.3">
      <c r="A3628">
        <v>3626</v>
      </c>
      <c r="B3628" t="s">
        <v>4182</v>
      </c>
      <c r="C3628" t="s">
        <v>104</v>
      </c>
      <c r="D3628">
        <v>1.6735171778060401E-3</v>
      </c>
    </row>
    <row r="3629" spans="1:4" hidden="1" x14ac:dyDescent="0.3">
      <c r="A3629">
        <v>3627</v>
      </c>
      <c r="B3629" t="s">
        <v>4183</v>
      </c>
      <c r="C3629" t="s">
        <v>106</v>
      </c>
      <c r="D3629">
        <v>2.19495514206226E-2</v>
      </c>
    </row>
    <row r="3630" spans="1:4" hidden="1" x14ac:dyDescent="0.3">
      <c r="A3630">
        <v>3628</v>
      </c>
      <c r="B3630" s="1" t="s">
        <v>4184</v>
      </c>
      <c r="C3630" t="s">
        <v>108</v>
      </c>
      <c r="D3630" s="1" t="s">
        <v>4185</v>
      </c>
    </row>
    <row r="3631" spans="1:4" hidden="1" x14ac:dyDescent="0.3">
      <c r="A3631">
        <v>3629</v>
      </c>
      <c r="B3631" t="s">
        <v>4186</v>
      </c>
      <c r="C3631" t="s">
        <v>196</v>
      </c>
      <c r="D3631">
        <v>149857200.72948599</v>
      </c>
    </row>
    <row r="3632" spans="1:4" hidden="1" x14ac:dyDescent="0.3">
      <c r="A3632">
        <v>3630</v>
      </c>
      <c r="B3632" t="s">
        <v>4187</v>
      </c>
      <c r="C3632" t="s">
        <v>198</v>
      </c>
      <c r="D3632">
        <v>1952.9863394604199</v>
      </c>
    </row>
    <row r="3633" spans="1:4" hidden="1" x14ac:dyDescent="0.3">
      <c r="A3633">
        <v>3631</v>
      </c>
      <c r="B3633" t="s">
        <v>4188</v>
      </c>
      <c r="C3633" t="s">
        <v>200</v>
      </c>
      <c r="D3633">
        <v>854.39645719940995</v>
      </c>
    </row>
    <row r="3634" spans="1:4" hidden="1" x14ac:dyDescent="0.3">
      <c r="A3634">
        <v>3632</v>
      </c>
      <c r="B3634" s="1" t="s">
        <v>4189</v>
      </c>
      <c r="C3634" t="s">
        <v>202</v>
      </c>
      <c r="D3634" s="1" t="s">
        <v>4190</v>
      </c>
    </row>
    <row r="3635" spans="1:4" hidden="1" x14ac:dyDescent="0.3">
      <c r="A3635">
        <v>3633</v>
      </c>
      <c r="B3635" t="s">
        <v>4191</v>
      </c>
      <c r="C3635" t="s">
        <v>205</v>
      </c>
      <c r="D3635">
        <v>80021662.028371498</v>
      </c>
    </row>
    <row r="3636" spans="1:4" hidden="1" x14ac:dyDescent="0.3">
      <c r="A3636">
        <v>3634</v>
      </c>
      <c r="B3636" t="s">
        <v>4192</v>
      </c>
      <c r="C3636" t="s">
        <v>207</v>
      </c>
      <c r="D3636">
        <v>35008040.330245599</v>
      </c>
    </row>
    <row r="3637" spans="1:4" hidden="1" x14ac:dyDescent="0.3">
      <c r="A3637">
        <v>3635</v>
      </c>
      <c r="B3637" t="s">
        <v>4193</v>
      </c>
      <c r="C3637" t="s">
        <v>209</v>
      </c>
      <c r="D3637">
        <v>34823841.087130301</v>
      </c>
    </row>
    <row r="3638" spans="1:4" hidden="1" x14ac:dyDescent="0.3">
      <c r="A3638">
        <v>3636</v>
      </c>
      <c r="B3638" s="1" t="s">
        <v>4194</v>
      </c>
      <c r="C3638" t="s">
        <v>211</v>
      </c>
      <c r="D3638" s="1" t="s">
        <v>4195</v>
      </c>
    </row>
    <row r="3639" spans="1:4" hidden="1" x14ac:dyDescent="0.3">
      <c r="A3639">
        <v>3637</v>
      </c>
      <c r="B3639" t="s">
        <v>4196</v>
      </c>
      <c r="C3639" t="s">
        <v>214</v>
      </c>
      <c r="D3639">
        <v>99979744.898826897</v>
      </c>
    </row>
    <row r="3640" spans="1:4" hidden="1" x14ac:dyDescent="0.3">
      <c r="A3640">
        <v>3638</v>
      </c>
      <c r="B3640" t="s">
        <v>4197</v>
      </c>
      <c r="C3640" t="s">
        <v>216</v>
      </c>
      <c r="D3640">
        <v>2440.0777372121802</v>
      </c>
    </row>
    <row r="3641" spans="1:4" hidden="1" x14ac:dyDescent="0.3">
      <c r="A3641">
        <v>3639</v>
      </c>
      <c r="B3641" s="1" t="s">
        <v>4198</v>
      </c>
      <c r="C3641" t="s">
        <v>218</v>
      </c>
      <c r="D3641" s="1" t="s">
        <v>4199</v>
      </c>
    </row>
    <row r="3642" spans="1:4" hidden="1" x14ac:dyDescent="0.3">
      <c r="A3642">
        <v>3640</v>
      </c>
      <c r="B3642" t="s">
        <v>4200</v>
      </c>
      <c r="C3642" t="s">
        <v>111</v>
      </c>
      <c r="D3642">
        <v>-616.41857035273699</v>
      </c>
    </row>
    <row r="3643" spans="1:4" hidden="1" x14ac:dyDescent="0.3">
      <c r="A3643">
        <v>3641</v>
      </c>
      <c r="B3643" t="s">
        <v>4201</v>
      </c>
      <c r="C3643" t="s">
        <v>113</v>
      </c>
      <c r="D3643">
        <v>-92.266782648406803</v>
      </c>
    </row>
    <row r="3644" spans="1:4" hidden="1" x14ac:dyDescent="0.3">
      <c r="A3644">
        <v>3642</v>
      </c>
      <c r="B3644" s="1" t="s">
        <v>4202</v>
      </c>
      <c r="C3644" t="s">
        <v>115</v>
      </c>
      <c r="D3644" s="1" t="s">
        <v>4203</v>
      </c>
    </row>
    <row r="3645" spans="1:4" hidden="1" x14ac:dyDescent="0.3">
      <c r="A3645">
        <v>3643</v>
      </c>
      <c r="B3645" t="s">
        <v>4204</v>
      </c>
      <c r="C3645" t="s">
        <v>118</v>
      </c>
      <c r="D3645">
        <v>80021662.028371498</v>
      </c>
    </row>
    <row r="3646" spans="1:4" hidden="1" x14ac:dyDescent="0.3">
      <c r="A3646">
        <v>3644</v>
      </c>
      <c r="B3646" t="s">
        <v>4205</v>
      </c>
      <c r="C3646" t="s">
        <v>120</v>
      </c>
      <c r="D3646">
        <v>35008040.330245599</v>
      </c>
    </row>
    <row r="3647" spans="1:4" hidden="1" x14ac:dyDescent="0.3">
      <c r="A3647">
        <v>3645</v>
      </c>
      <c r="B3647" s="1" t="s">
        <v>4206</v>
      </c>
      <c r="C3647" t="s">
        <v>122</v>
      </c>
      <c r="D3647" s="1" t="s">
        <v>4207</v>
      </c>
    </row>
    <row r="3648" spans="1:4" hidden="1" x14ac:dyDescent="0.3">
      <c r="A3648">
        <v>3646</v>
      </c>
      <c r="B3648" t="s">
        <v>4208</v>
      </c>
      <c r="C3648" t="s">
        <v>125</v>
      </c>
      <c r="D3648">
        <v>0.80023615014711003</v>
      </c>
    </row>
    <row r="3649" spans="1:4" hidden="1" x14ac:dyDescent="0.3">
      <c r="A3649">
        <v>3647</v>
      </c>
      <c r="B3649" t="s">
        <v>4209</v>
      </c>
      <c r="C3649" t="s">
        <v>127</v>
      </c>
      <c r="D3649">
        <v>0.35008894726702799</v>
      </c>
    </row>
    <row r="3650" spans="1:4" hidden="1" x14ac:dyDescent="0.3">
      <c r="A3650">
        <v>3648</v>
      </c>
      <c r="B3650" s="1" t="s">
        <v>4210</v>
      </c>
      <c r="C3650" t="s">
        <v>129</v>
      </c>
      <c r="D3650" s="1" t="s">
        <v>4211</v>
      </c>
    </row>
    <row r="3651" spans="1:4" ht="72" x14ac:dyDescent="0.3">
      <c r="A3651">
        <v>3649</v>
      </c>
      <c r="B3651" s="1" t="s">
        <v>3</v>
      </c>
      <c r="C3651" t="s">
        <v>4</v>
      </c>
      <c r="D3651" t="s">
        <v>5</v>
      </c>
    </row>
    <row r="3652" spans="1:4" hidden="1" x14ac:dyDescent="0.3">
      <c r="A3652">
        <v>3650</v>
      </c>
      <c r="B3652" t="s">
        <v>6</v>
      </c>
      <c r="C3652" t="s">
        <v>7</v>
      </c>
      <c r="D3652">
        <v>1981.95</v>
      </c>
    </row>
    <row r="3653" spans="1:4" hidden="1" x14ac:dyDescent="0.3">
      <c r="A3653">
        <v>3651</v>
      </c>
      <c r="B3653" s="1" t="s">
        <v>131</v>
      </c>
      <c r="C3653" t="s">
        <v>9</v>
      </c>
      <c r="D3653" s="1" t="s">
        <v>132</v>
      </c>
    </row>
    <row r="3654" spans="1:4" hidden="1" x14ac:dyDescent="0.3">
      <c r="A3654">
        <v>3652</v>
      </c>
      <c r="B3654" t="s">
        <v>13</v>
      </c>
      <c r="C3654" t="s">
        <v>14</v>
      </c>
      <c r="D3654">
        <v>91.74609375</v>
      </c>
    </row>
    <row r="3655" spans="1:4" hidden="1" x14ac:dyDescent="0.3">
      <c r="A3655">
        <v>3653</v>
      </c>
      <c r="B3655" t="s">
        <v>15</v>
      </c>
      <c r="C3655" t="s">
        <v>16</v>
      </c>
      <c r="D3655">
        <v>4.1883572307132804</v>
      </c>
    </row>
    <row r="3656" spans="1:4" hidden="1" x14ac:dyDescent="0.3">
      <c r="A3656">
        <v>3654</v>
      </c>
      <c r="B3656" s="1" t="s">
        <v>133</v>
      </c>
      <c r="C3656" t="s">
        <v>134</v>
      </c>
      <c r="D3656" s="1" t="s">
        <v>135</v>
      </c>
    </row>
    <row r="3657" spans="1:4" hidden="1" x14ac:dyDescent="0.3">
      <c r="A3657">
        <v>3655</v>
      </c>
      <c r="B3657" t="s">
        <v>21</v>
      </c>
      <c r="C3657" t="s">
        <v>22</v>
      </c>
      <c r="D3657">
        <v>38.25</v>
      </c>
    </row>
    <row r="3658" spans="1:4" hidden="1" x14ac:dyDescent="0.3">
      <c r="A3658">
        <v>3656</v>
      </c>
      <c r="B3658" t="s">
        <v>4212</v>
      </c>
      <c r="C3658" t="s">
        <v>24</v>
      </c>
      <c r="D3658">
        <v>5.7292866747120197</v>
      </c>
    </row>
    <row r="3659" spans="1:4" hidden="1" x14ac:dyDescent="0.3">
      <c r="A3659">
        <v>3657</v>
      </c>
      <c r="B3659" s="1" t="s">
        <v>4213</v>
      </c>
      <c r="C3659" t="s">
        <v>138</v>
      </c>
      <c r="D3659" s="1" t="s">
        <v>4214</v>
      </c>
    </row>
    <row r="3660" spans="1:4" hidden="1" x14ac:dyDescent="0.3">
      <c r="A3660">
        <v>3658</v>
      </c>
      <c r="B3660" t="s">
        <v>4215</v>
      </c>
      <c r="C3660" t="s">
        <v>35</v>
      </c>
      <c r="D3660">
        <v>0.54359909076005797</v>
      </c>
    </row>
    <row r="3661" spans="1:4" hidden="1" x14ac:dyDescent="0.3">
      <c r="A3661">
        <v>3659</v>
      </c>
      <c r="B3661" t="s">
        <v>4216</v>
      </c>
      <c r="C3661" t="s">
        <v>142</v>
      </c>
      <c r="D3661">
        <v>0.69927969048810701</v>
      </c>
    </row>
    <row r="3662" spans="1:4" hidden="1" x14ac:dyDescent="0.3">
      <c r="A3662">
        <v>3660</v>
      </c>
      <c r="B3662" s="1" t="s">
        <v>4217</v>
      </c>
      <c r="C3662" t="s">
        <v>144</v>
      </c>
      <c r="D3662" s="1" t="s">
        <v>4218</v>
      </c>
    </row>
    <row r="3663" spans="1:4" hidden="1" x14ac:dyDescent="0.3">
      <c r="A3663">
        <v>3661</v>
      </c>
      <c r="B3663" t="s">
        <v>4219</v>
      </c>
      <c r="C3663" t="s">
        <v>30</v>
      </c>
      <c r="D3663">
        <v>0.19197449896393601</v>
      </c>
    </row>
    <row r="3664" spans="1:4" hidden="1" x14ac:dyDescent="0.3">
      <c r="A3664">
        <v>3662</v>
      </c>
      <c r="B3664" t="s">
        <v>4220</v>
      </c>
      <c r="C3664" t="s">
        <v>32</v>
      </c>
      <c r="D3664">
        <v>0.23680353581975999</v>
      </c>
    </row>
    <row r="3665" spans="1:4" hidden="1" x14ac:dyDescent="0.3">
      <c r="A3665">
        <v>3663</v>
      </c>
      <c r="B3665" s="1" t="s">
        <v>4221</v>
      </c>
      <c r="C3665" t="s">
        <v>148</v>
      </c>
      <c r="D3665" s="1" t="s">
        <v>4222</v>
      </c>
    </row>
    <row r="3666" spans="1:4" hidden="1" x14ac:dyDescent="0.3">
      <c r="A3666">
        <v>3664</v>
      </c>
      <c r="B3666" t="s">
        <v>4223</v>
      </c>
      <c r="C3666" t="s">
        <v>40</v>
      </c>
      <c r="D3666">
        <v>0.264426410276004</v>
      </c>
    </row>
    <row r="3667" spans="1:4" hidden="1" x14ac:dyDescent="0.3">
      <c r="A3667">
        <v>3665</v>
      </c>
      <c r="B3667" t="s">
        <v>4224</v>
      </c>
      <c r="C3667" t="s">
        <v>42</v>
      </c>
      <c r="D3667">
        <v>0.193239426391806</v>
      </c>
    </row>
    <row r="3668" spans="1:4" hidden="1" x14ac:dyDescent="0.3">
      <c r="A3668">
        <v>3666</v>
      </c>
      <c r="B3668" s="1" t="s">
        <v>4225</v>
      </c>
      <c r="C3668" t="s">
        <v>152</v>
      </c>
      <c r="D3668" s="1" t="s">
        <v>4226</v>
      </c>
    </row>
    <row r="3669" spans="1:4" hidden="1" x14ac:dyDescent="0.3">
      <c r="A3669">
        <v>3667</v>
      </c>
      <c r="B3669" t="s">
        <v>153</v>
      </c>
      <c r="C3669" t="s">
        <v>154</v>
      </c>
      <c r="D3669">
        <v>1</v>
      </c>
    </row>
    <row r="3670" spans="1:4" hidden="1" x14ac:dyDescent="0.3">
      <c r="A3670">
        <v>3668</v>
      </c>
      <c r="B3670" t="s">
        <v>155</v>
      </c>
      <c r="C3670" t="s">
        <v>156</v>
      </c>
      <c r="D3670">
        <v>1</v>
      </c>
    </row>
    <row r="3671" spans="1:4" hidden="1" x14ac:dyDescent="0.3">
      <c r="A3671">
        <v>3669</v>
      </c>
      <c r="B3671" s="1" t="s">
        <v>4227</v>
      </c>
      <c r="C3671" t="s">
        <v>158</v>
      </c>
      <c r="D3671" s="1" t="s">
        <v>4228</v>
      </c>
    </row>
    <row r="3672" spans="1:4" hidden="1" x14ac:dyDescent="0.3">
      <c r="A3672">
        <v>3670</v>
      </c>
      <c r="B3672" t="s">
        <v>4229</v>
      </c>
      <c r="C3672" t="s">
        <v>161</v>
      </c>
      <c r="D3672">
        <v>0.99971639695235903</v>
      </c>
    </row>
    <row r="3673" spans="1:4" hidden="1" x14ac:dyDescent="0.3">
      <c r="A3673">
        <v>3671</v>
      </c>
      <c r="B3673" t="s">
        <v>4230</v>
      </c>
      <c r="C3673" t="s">
        <v>163</v>
      </c>
      <c r="D3673">
        <v>1.0017521840758601</v>
      </c>
    </row>
    <row r="3674" spans="1:4" hidden="1" x14ac:dyDescent="0.3">
      <c r="A3674">
        <v>3672</v>
      </c>
      <c r="B3674" s="1" t="s">
        <v>4231</v>
      </c>
      <c r="C3674" t="s">
        <v>165</v>
      </c>
      <c r="D3674" s="1" t="s">
        <v>4232</v>
      </c>
    </row>
    <row r="3675" spans="1:4" hidden="1" x14ac:dyDescent="0.3">
      <c r="A3675">
        <v>3673</v>
      </c>
      <c r="B3675" s="1" t="s">
        <v>4233</v>
      </c>
      <c r="C3675" t="s">
        <v>55</v>
      </c>
      <c r="D3675" s="1" t="s">
        <v>4234</v>
      </c>
    </row>
    <row r="3676" spans="1:4" hidden="1" x14ac:dyDescent="0.3">
      <c r="A3676">
        <v>3674</v>
      </c>
      <c r="B3676" s="1" t="s">
        <v>4235</v>
      </c>
      <c r="C3676" t="s">
        <v>52</v>
      </c>
      <c r="D3676" s="1" t="s">
        <v>4236</v>
      </c>
    </row>
    <row r="3677" spans="1:4" hidden="1" x14ac:dyDescent="0.3">
      <c r="A3677">
        <v>3675</v>
      </c>
      <c r="B3677" s="1" t="s">
        <v>4237</v>
      </c>
      <c r="C3677" t="s">
        <v>58</v>
      </c>
      <c r="D3677" s="1" t="s">
        <v>4238</v>
      </c>
    </row>
    <row r="3678" spans="1:4" hidden="1" x14ac:dyDescent="0.3">
      <c r="A3678">
        <v>3676</v>
      </c>
      <c r="B3678" t="s">
        <v>4239</v>
      </c>
      <c r="C3678" t="s">
        <v>60</v>
      </c>
      <c r="D3678">
        <v>149953644.19876501</v>
      </c>
    </row>
    <row r="3679" spans="1:4" hidden="1" x14ac:dyDescent="0.3">
      <c r="A3679">
        <v>3677</v>
      </c>
      <c r="B3679" t="s">
        <v>4240</v>
      </c>
      <c r="C3679" t="s">
        <v>62</v>
      </c>
      <c r="D3679">
        <v>80021662.028371498</v>
      </c>
    </row>
    <row r="3680" spans="1:4" hidden="1" x14ac:dyDescent="0.3">
      <c r="A3680">
        <v>3678</v>
      </c>
      <c r="B3680" t="s">
        <v>4241</v>
      </c>
      <c r="C3680" t="s">
        <v>64</v>
      </c>
      <c r="D3680">
        <v>35008040.330245599</v>
      </c>
    </row>
    <row r="3681" spans="1:4" hidden="1" x14ac:dyDescent="0.3">
      <c r="A3681">
        <v>3679</v>
      </c>
      <c r="B3681" s="1" t="s">
        <v>4242</v>
      </c>
      <c r="C3681" t="s">
        <v>66</v>
      </c>
      <c r="D3681" s="1" t="s">
        <v>4243</v>
      </c>
    </row>
    <row r="3682" spans="1:4" hidden="1" x14ac:dyDescent="0.3">
      <c r="A3682">
        <v>3680</v>
      </c>
      <c r="B3682" s="1" t="s">
        <v>4244</v>
      </c>
      <c r="C3682" t="s">
        <v>69</v>
      </c>
      <c r="D3682" s="1" t="s">
        <v>4245</v>
      </c>
    </row>
    <row r="3683" spans="1:4" hidden="1" x14ac:dyDescent="0.3">
      <c r="A3683">
        <v>3681</v>
      </c>
      <c r="B3683" t="s">
        <v>4246</v>
      </c>
      <c r="C3683" t="s">
        <v>72</v>
      </c>
      <c r="D3683">
        <v>1.00017818197751</v>
      </c>
    </row>
    <row r="3684" spans="1:4" hidden="1" x14ac:dyDescent="0.3">
      <c r="A3684">
        <v>3682</v>
      </c>
      <c r="B3684" t="s">
        <v>73</v>
      </c>
      <c r="C3684" t="s">
        <v>74</v>
      </c>
      <c r="D3684">
        <v>2.7397260273972599E-3</v>
      </c>
    </row>
    <row r="3685" spans="1:4" hidden="1" x14ac:dyDescent="0.3">
      <c r="A3685">
        <v>3683</v>
      </c>
      <c r="B3685" t="s">
        <v>75</v>
      </c>
      <c r="C3685" t="s">
        <v>76</v>
      </c>
      <c r="D3685">
        <v>0</v>
      </c>
    </row>
    <row r="3686" spans="1:4" hidden="1" x14ac:dyDescent="0.3">
      <c r="A3686">
        <v>3684</v>
      </c>
      <c r="B3686" t="s">
        <v>77</v>
      </c>
      <c r="C3686" t="s">
        <v>78</v>
      </c>
      <c r="D3686">
        <v>0</v>
      </c>
    </row>
    <row r="3687" spans="1:4" hidden="1" x14ac:dyDescent="0.3">
      <c r="A3687">
        <v>3685</v>
      </c>
      <c r="B3687" s="1" t="s">
        <v>4247</v>
      </c>
      <c r="C3687" t="s">
        <v>80</v>
      </c>
      <c r="D3687" s="1" t="s">
        <v>4248</v>
      </c>
    </row>
    <row r="3688" spans="1:4" hidden="1" x14ac:dyDescent="0.3">
      <c r="A3688">
        <v>3686</v>
      </c>
      <c r="B3688" t="s">
        <v>4249</v>
      </c>
      <c r="C3688" t="s">
        <v>83</v>
      </c>
      <c r="D3688">
        <v>1.00014379561432</v>
      </c>
    </row>
    <row r="3689" spans="1:4" hidden="1" x14ac:dyDescent="0.3">
      <c r="A3689">
        <v>3687</v>
      </c>
      <c r="B3689" s="1" t="s">
        <v>4250</v>
      </c>
      <c r="C3689" t="s">
        <v>85</v>
      </c>
      <c r="D3689" s="1" t="s">
        <v>4251</v>
      </c>
    </row>
    <row r="3690" spans="1:4" hidden="1" x14ac:dyDescent="0.3">
      <c r="A3690">
        <v>3688</v>
      </c>
      <c r="B3690" t="s">
        <v>4252</v>
      </c>
      <c r="C3690" t="s">
        <v>88</v>
      </c>
      <c r="D3690">
        <v>99985622.5059883</v>
      </c>
    </row>
    <row r="3691" spans="1:4" hidden="1" x14ac:dyDescent="0.3">
      <c r="A3691">
        <v>3689</v>
      </c>
      <c r="B3691" s="1" t="s">
        <v>4253</v>
      </c>
      <c r="C3691" t="s">
        <v>90</v>
      </c>
      <c r="D3691" s="1" t="s">
        <v>4199</v>
      </c>
    </row>
    <row r="3692" spans="1:4" hidden="1" x14ac:dyDescent="0.3">
      <c r="A3692">
        <v>3690</v>
      </c>
      <c r="B3692" t="s">
        <v>4254</v>
      </c>
      <c r="C3692" t="s">
        <v>93</v>
      </c>
      <c r="D3692">
        <v>80021662.028371498</v>
      </c>
    </row>
    <row r="3693" spans="1:4" hidden="1" x14ac:dyDescent="0.3">
      <c r="A3693">
        <v>3691</v>
      </c>
      <c r="B3693" t="s">
        <v>4255</v>
      </c>
      <c r="C3693" t="s">
        <v>95</v>
      </c>
      <c r="D3693">
        <v>35008040.330245599</v>
      </c>
    </row>
    <row r="3694" spans="1:4" hidden="1" x14ac:dyDescent="0.3">
      <c r="A3694">
        <v>3692</v>
      </c>
      <c r="B3694" t="s">
        <v>4256</v>
      </c>
      <c r="C3694" t="s">
        <v>97</v>
      </c>
      <c r="D3694">
        <v>34923941.840148397</v>
      </c>
    </row>
    <row r="3695" spans="1:4" hidden="1" x14ac:dyDescent="0.3">
      <c r="A3695">
        <v>3693</v>
      </c>
      <c r="B3695" s="1" t="s">
        <v>4257</v>
      </c>
      <c r="C3695" t="s">
        <v>99</v>
      </c>
      <c r="D3695" s="1" t="s">
        <v>4258</v>
      </c>
    </row>
    <row r="3696" spans="1:4" hidden="1" x14ac:dyDescent="0.3">
      <c r="A3696">
        <v>3694</v>
      </c>
      <c r="B3696" t="s">
        <v>4259</v>
      </c>
      <c r="C3696" t="s">
        <v>102</v>
      </c>
      <c r="D3696">
        <v>9.1234446656148892E-3</v>
      </c>
    </row>
    <row r="3697" spans="1:4" hidden="1" x14ac:dyDescent="0.3">
      <c r="A3697">
        <v>3695</v>
      </c>
      <c r="B3697" t="s">
        <v>4260</v>
      </c>
      <c r="C3697" t="s">
        <v>104</v>
      </c>
      <c r="D3697">
        <v>1.63878469856294E-3</v>
      </c>
    </row>
    <row r="3698" spans="1:4" hidden="1" x14ac:dyDescent="0.3">
      <c r="A3698">
        <v>3696</v>
      </c>
      <c r="B3698" t="s">
        <v>4261</v>
      </c>
      <c r="C3698" t="s">
        <v>106</v>
      </c>
      <c r="D3698">
        <v>2.0386048059568802E-2</v>
      </c>
    </row>
    <row r="3699" spans="1:4" hidden="1" x14ac:dyDescent="0.3">
      <c r="A3699">
        <v>3697</v>
      </c>
      <c r="B3699" s="1" t="s">
        <v>4262</v>
      </c>
      <c r="C3699" t="s">
        <v>108</v>
      </c>
      <c r="D3699" s="1" t="s">
        <v>4263</v>
      </c>
    </row>
    <row r="3700" spans="1:4" hidden="1" x14ac:dyDescent="0.3">
      <c r="A3700">
        <v>3698</v>
      </c>
      <c r="B3700" t="s">
        <v>4264</v>
      </c>
      <c r="C3700" t="s">
        <v>196</v>
      </c>
      <c r="D3700">
        <v>149952460.25330001</v>
      </c>
    </row>
    <row r="3701" spans="1:4" hidden="1" x14ac:dyDescent="0.3">
      <c r="A3701">
        <v>3699</v>
      </c>
      <c r="B3701" t="s">
        <v>4265</v>
      </c>
      <c r="C3701" t="s">
        <v>198</v>
      </c>
      <c r="D3701">
        <v>2751.1338994368498</v>
      </c>
    </row>
    <row r="3702" spans="1:4" hidden="1" x14ac:dyDescent="0.3">
      <c r="A3702">
        <v>3700</v>
      </c>
      <c r="B3702" t="s">
        <v>4266</v>
      </c>
      <c r="C3702" t="s">
        <v>200</v>
      </c>
      <c r="D3702">
        <v>1203.5802731640599</v>
      </c>
    </row>
    <row r="3703" spans="1:4" hidden="1" x14ac:dyDescent="0.3">
      <c r="A3703">
        <v>3701</v>
      </c>
      <c r="B3703" s="1" t="s">
        <v>4267</v>
      </c>
      <c r="C3703" t="s">
        <v>202</v>
      </c>
      <c r="D3703" s="1" t="s">
        <v>4268</v>
      </c>
    </row>
    <row r="3704" spans="1:4" hidden="1" x14ac:dyDescent="0.3">
      <c r="A3704">
        <v>3702</v>
      </c>
      <c r="B3704" t="s">
        <v>4269</v>
      </c>
      <c r="C3704" t="s">
        <v>205</v>
      </c>
      <c r="D3704">
        <v>80018043.334932894</v>
      </c>
    </row>
    <row r="3705" spans="1:4" hidden="1" x14ac:dyDescent="0.3">
      <c r="A3705">
        <v>3703</v>
      </c>
      <c r="B3705" t="s">
        <v>4270</v>
      </c>
      <c r="C3705" t="s">
        <v>207</v>
      </c>
      <c r="D3705">
        <v>35006707.043530799</v>
      </c>
    </row>
    <row r="3706" spans="1:4" hidden="1" x14ac:dyDescent="0.3">
      <c r="A3706">
        <v>3704</v>
      </c>
      <c r="B3706" t="s">
        <v>4271</v>
      </c>
      <c r="C3706" t="s">
        <v>209</v>
      </c>
      <c r="D3706">
        <v>34922554.473675497</v>
      </c>
    </row>
    <row r="3707" spans="1:4" hidden="1" x14ac:dyDescent="0.3">
      <c r="A3707">
        <v>3705</v>
      </c>
      <c r="B3707" s="1" t="s">
        <v>4272</v>
      </c>
      <c r="C3707" t="s">
        <v>211</v>
      </c>
      <c r="D3707" s="1" t="s">
        <v>4273</v>
      </c>
    </row>
    <row r="3708" spans="1:4" hidden="1" x14ac:dyDescent="0.3">
      <c r="A3708">
        <v>3706</v>
      </c>
      <c r="B3708" t="s">
        <v>4274</v>
      </c>
      <c r="C3708" t="s">
        <v>214</v>
      </c>
      <c r="D3708">
        <v>99982184.976564094</v>
      </c>
    </row>
    <row r="3709" spans="1:4" hidden="1" x14ac:dyDescent="0.3">
      <c r="A3709">
        <v>3707</v>
      </c>
      <c r="B3709" t="s">
        <v>4275</v>
      </c>
      <c r="C3709" t="s">
        <v>216</v>
      </c>
      <c r="D3709">
        <v>3437.5294241756201</v>
      </c>
    </row>
    <row r="3710" spans="1:4" hidden="1" x14ac:dyDescent="0.3">
      <c r="A3710">
        <v>3708</v>
      </c>
      <c r="B3710" s="1" t="s">
        <v>4276</v>
      </c>
      <c r="C3710" t="s">
        <v>218</v>
      </c>
      <c r="D3710" s="1" t="s">
        <v>4277</v>
      </c>
    </row>
    <row r="3711" spans="1:4" hidden="1" x14ac:dyDescent="0.3">
      <c r="A3711">
        <v>3709</v>
      </c>
      <c r="B3711" t="s">
        <v>4278</v>
      </c>
      <c r="C3711" t="s">
        <v>111</v>
      </c>
      <c r="D3711">
        <v>-867.55953914471297</v>
      </c>
    </row>
    <row r="3712" spans="1:4" hidden="1" x14ac:dyDescent="0.3">
      <c r="A3712">
        <v>3710</v>
      </c>
      <c r="B3712" t="s">
        <v>4279</v>
      </c>
      <c r="C3712" t="s">
        <v>113</v>
      </c>
      <c r="D3712">
        <v>-129.70644164666501</v>
      </c>
    </row>
    <row r="3713" spans="1:4" hidden="1" x14ac:dyDescent="0.3">
      <c r="A3713">
        <v>3711</v>
      </c>
      <c r="B3713" s="1" t="s">
        <v>4280</v>
      </c>
      <c r="C3713" t="s">
        <v>115</v>
      </c>
      <c r="D3713" s="1" t="s">
        <v>4281</v>
      </c>
    </row>
    <row r="3714" spans="1:4" hidden="1" x14ac:dyDescent="0.3">
      <c r="A3714">
        <v>3712</v>
      </c>
      <c r="B3714" t="s">
        <v>4282</v>
      </c>
      <c r="C3714" t="s">
        <v>118</v>
      </c>
      <c r="D3714">
        <v>80018043.334932894</v>
      </c>
    </row>
    <row r="3715" spans="1:4" hidden="1" x14ac:dyDescent="0.3">
      <c r="A3715">
        <v>3713</v>
      </c>
      <c r="B3715" t="s">
        <v>4283</v>
      </c>
      <c r="C3715" t="s">
        <v>120</v>
      </c>
      <c r="D3715">
        <v>35006707.043530799</v>
      </c>
    </row>
    <row r="3716" spans="1:4" hidden="1" x14ac:dyDescent="0.3">
      <c r="A3716">
        <v>3714</v>
      </c>
      <c r="B3716" s="1" t="s">
        <v>4284</v>
      </c>
      <c r="C3716" t="s">
        <v>122</v>
      </c>
      <c r="D3716" s="1" t="s">
        <v>4285</v>
      </c>
    </row>
    <row r="3717" spans="1:4" hidden="1" x14ac:dyDescent="0.3">
      <c r="A3717">
        <v>3715</v>
      </c>
      <c r="B3717" t="s">
        <v>4286</v>
      </c>
      <c r="C3717" t="s">
        <v>125</v>
      </c>
      <c r="D3717">
        <v>0.80020794468832401</v>
      </c>
    </row>
    <row r="3718" spans="1:4" hidden="1" x14ac:dyDescent="0.3">
      <c r="A3718">
        <v>3716</v>
      </c>
      <c r="B3718" t="s">
        <v>4287</v>
      </c>
      <c r="C3718" t="s">
        <v>127</v>
      </c>
      <c r="D3718">
        <v>0.35007910623803901</v>
      </c>
    </row>
    <row r="3719" spans="1:4" hidden="1" x14ac:dyDescent="0.3">
      <c r="A3719">
        <v>3717</v>
      </c>
      <c r="B3719" s="1" t="s">
        <v>4288</v>
      </c>
      <c r="C3719" t="s">
        <v>129</v>
      </c>
      <c r="D3719" s="1" t="s">
        <v>4289</v>
      </c>
    </row>
    <row r="3720" spans="1:4" ht="72" x14ac:dyDescent="0.3">
      <c r="A3720">
        <v>3718</v>
      </c>
      <c r="B3720" s="1" t="s">
        <v>3</v>
      </c>
      <c r="C3720" t="s">
        <v>4</v>
      </c>
      <c r="D3720" t="s">
        <v>5</v>
      </c>
    </row>
    <row r="3721" spans="1:4" hidden="1" x14ac:dyDescent="0.3">
      <c r="A3721">
        <v>3719</v>
      </c>
      <c r="B3721" t="s">
        <v>6</v>
      </c>
      <c r="C3721" t="s">
        <v>7</v>
      </c>
      <c r="D3721">
        <v>1981.95</v>
      </c>
    </row>
    <row r="3722" spans="1:4" hidden="1" x14ac:dyDescent="0.3">
      <c r="A3722">
        <v>3720</v>
      </c>
      <c r="B3722" s="1" t="s">
        <v>131</v>
      </c>
      <c r="C3722" t="s">
        <v>9</v>
      </c>
      <c r="D3722" s="1" t="s">
        <v>132</v>
      </c>
    </row>
    <row r="3723" spans="1:4" hidden="1" x14ac:dyDescent="0.3">
      <c r="A3723">
        <v>3721</v>
      </c>
      <c r="B3723" t="s">
        <v>13</v>
      </c>
      <c r="C3723" t="s">
        <v>14</v>
      </c>
      <c r="D3723">
        <v>91.74609375</v>
      </c>
    </row>
    <row r="3724" spans="1:4" hidden="1" x14ac:dyDescent="0.3">
      <c r="A3724">
        <v>3722</v>
      </c>
      <c r="B3724" t="s">
        <v>15</v>
      </c>
      <c r="C3724" t="s">
        <v>16</v>
      </c>
      <c r="D3724">
        <v>4.1883572307132804</v>
      </c>
    </row>
    <row r="3725" spans="1:4" hidden="1" x14ac:dyDescent="0.3">
      <c r="A3725">
        <v>3723</v>
      </c>
      <c r="B3725" s="1" t="s">
        <v>133</v>
      </c>
      <c r="C3725" t="s">
        <v>134</v>
      </c>
      <c r="D3725" s="1" t="s">
        <v>135</v>
      </c>
    </row>
    <row r="3726" spans="1:4" hidden="1" x14ac:dyDescent="0.3">
      <c r="A3726">
        <v>3724</v>
      </c>
      <c r="B3726" t="s">
        <v>21</v>
      </c>
      <c r="C3726" t="s">
        <v>22</v>
      </c>
      <c r="D3726">
        <v>38.25</v>
      </c>
    </row>
    <row r="3727" spans="1:4" hidden="1" x14ac:dyDescent="0.3">
      <c r="A3727">
        <v>3725</v>
      </c>
      <c r="B3727" t="s">
        <v>4290</v>
      </c>
      <c r="C3727" t="s">
        <v>24</v>
      </c>
      <c r="D3727">
        <v>5.7152652015127297</v>
      </c>
    </row>
    <row r="3728" spans="1:4" hidden="1" x14ac:dyDescent="0.3">
      <c r="A3728">
        <v>3726</v>
      </c>
      <c r="B3728" s="1" t="s">
        <v>4291</v>
      </c>
      <c r="C3728" t="s">
        <v>138</v>
      </c>
      <c r="D3728" s="1" t="s">
        <v>4292</v>
      </c>
    </row>
    <row r="3729" spans="1:4" hidden="1" x14ac:dyDescent="0.3">
      <c r="A3729">
        <v>3727</v>
      </c>
      <c r="B3729" t="s">
        <v>4293</v>
      </c>
      <c r="C3729" t="s">
        <v>35</v>
      </c>
      <c r="D3729">
        <v>0.54231820432573596</v>
      </c>
    </row>
    <row r="3730" spans="1:4" hidden="1" x14ac:dyDescent="0.3">
      <c r="A3730">
        <v>3728</v>
      </c>
      <c r="B3730" t="s">
        <v>4294</v>
      </c>
      <c r="C3730" t="s">
        <v>142</v>
      </c>
      <c r="D3730">
        <v>0.701489666055925</v>
      </c>
    </row>
    <row r="3731" spans="1:4" hidden="1" x14ac:dyDescent="0.3">
      <c r="A3731">
        <v>3729</v>
      </c>
      <c r="B3731" s="1" t="s">
        <v>4295</v>
      </c>
      <c r="C3731" t="s">
        <v>144</v>
      </c>
      <c r="D3731" s="1" t="s">
        <v>4296</v>
      </c>
    </row>
    <row r="3732" spans="1:4" hidden="1" x14ac:dyDescent="0.3">
      <c r="A3732">
        <v>3730</v>
      </c>
      <c r="B3732" t="s">
        <v>4297</v>
      </c>
      <c r="C3732" t="s">
        <v>30</v>
      </c>
      <c r="D3732">
        <v>0.19152214807586701</v>
      </c>
    </row>
    <row r="3733" spans="1:4" hidden="1" x14ac:dyDescent="0.3">
      <c r="A3733">
        <v>3731</v>
      </c>
      <c r="B3733" t="s">
        <v>4298</v>
      </c>
      <c r="C3733" t="s">
        <v>32</v>
      </c>
      <c r="D3733">
        <v>0.23423837955226201</v>
      </c>
    </row>
    <row r="3734" spans="1:4" hidden="1" x14ac:dyDescent="0.3">
      <c r="A3734">
        <v>3732</v>
      </c>
      <c r="B3734" s="1" t="s">
        <v>4299</v>
      </c>
      <c r="C3734" t="s">
        <v>148</v>
      </c>
      <c r="D3734" s="1" t="s">
        <v>4300</v>
      </c>
    </row>
    <row r="3735" spans="1:4" hidden="1" x14ac:dyDescent="0.3">
      <c r="A3735">
        <v>3733</v>
      </c>
      <c r="B3735" t="s">
        <v>4301</v>
      </c>
      <c r="C3735" t="s">
        <v>40</v>
      </c>
      <c r="D3735">
        <v>0.266159647598396</v>
      </c>
    </row>
    <row r="3736" spans="1:4" hidden="1" x14ac:dyDescent="0.3">
      <c r="A3736">
        <v>3734</v>
      </c>
      <c r="B3736" t="s">
        <v>4302</v>
      </c>
      <c r="C3736" t="s">
        <v>42</v>
      </c>
      <c r="D3736">
        <v>0.19129937016602899</v>
      </c>
    </row>
    <row r="3737" spans="1:4" hidden="1" x14ac:dyDescent="0.3">
      <c r="A3737">
        <v>3735</v>
      </c>
      <c r="B3737" s="1" t="s">
        <v>4303</v>
      </c>
      <c r="C3737" t="s">
        <v>152</v>
      </c>
      <c r="D3737" s="1" t="s">
        <v>4304</v>
      </c>
    </row>
    <row r="3738" spans="1:4" hidden="1" x14ac:dyDescent="0.3">
      <c r="A3738">
        <v>3736</v>
      </c>
      <c r="B3738" t="s">
        <v>153</v>
      </c>
      <c r="C3738" t="s">
        <v>154</v>
      </c>
      <c r="D3738">
        <v>1</v>
      </c>
    </row>
    <row r="3739" spans="1:4" hidden="1" x14ac:dyDescent="0.3">
      <c r="A3739">
        <v>3737</v>
      </c>
      <c r="B3739" t="s">
        <v>155</v>
      </c>
      <c r="C3739" t="s">
        <v>156</v>
      </c>
      <c r="D3739">
        <v>1</v>
      </c>
    </row>
    <row r="3740" spans="1:4" hidden="1" x14ac:dyDescent="0.3">
      <c r="A3740">
        <v>3738</v>
      </c>
      <c r="B3740" s="1" t="s">
        <v>4305</v>
      </c>
      <c r="C3740" t="s">
        <v>158</v>
      </c>
      <c r="D3740" s="1" t="s">
        <v>4306</v>
      </c>
    </row>
    <row r="3741" spans="1:4" hidden="1" x14ac:dyDescent="0.3">
      <c r="A3741">
        <v>3739</v>
      </c>
      <c r="B3741" t="s">
        <v>4307</v>
      </c>
      <c r="C3741" t="s">
        <v>161</v>
      </c>
      <c r="D3741">
        <v>1.0013005366804399</v>
      </c>
    </row>
    <row r="3742" spans="1:4" hidden="1" x14ac:dyDescent="0.3">
      <c r="A3742">
        <v>3740</v>
      </c>
      <c r="B3742" t="s">
        <v>4308</v>
      </c>
      <c r="C3742" t="s">
        <v>163</v>
      </c>
      <c r="D3742">
        <v>0.99792597919296999</v>
      </c>
    </row>
    <row r="3743" spans="1:4" hidden="1" x14ac:dyDescent="0.3">
      <c r="A3743">
        <v>3741</v>
      </c>
      <c r="B3743" s="1" t="s">
        <v>4309</v>
      </c>
      <c r="C3743" t="s">
        <v>165</v>
      </c>
      <c r="D3743" s="1" t="s">
        <v>4310</v>
      </c>
    </row>
    <row r="3744" spans="1:4" hidden="1" x14ac:dyDescent="0.3">
      <c r="A3744">
        <v>3742</v>
      </c>
      <c r="B3744" s="1" t="s">
        <v>4311</v>
      </c>
      <c r="C3744" t="s">
        <v>55</v>
      </c>
      <c r="D3744" s="1" t="s">
        <v>4312</v>
      </c>
    </row>
    <row r="3745" spans="1:4" hidden="1" x14ac:dyDescent="0.3">
      <c r="A3745">
        <v>3743</v>
      </c>
      <c r="B3745" s="1" t="s">
        <v>4313</v>
      </c>
      <c r="C3745" t="s">
        <v>52</v>
      </c>
      <c r="D3745" s="1" t="s">
        <v>4314</v>
      </c>
    </row>
    <row r="3746" spans="1:4" hidden="1" x14ac:dyDescent="0.3">
      <c r="A3746">
        <v>3744</v>
      </c>
      <c r="B3746" s="1" t="s">
        <v>4315</v>
      </c>
      <c r="C3746" t="s">
        <v>58</v>
      </c>
      <c r="D3746" s="1" t="s">
        <v>4316</v>
      </c>
    </row>
    <row r="3747" spans="1:4" hidden="1" x14ac:dyDescent="0.3">
      <c r="A3747">
        <v>3745</v>
      </c>
      <c r="B3747" t="s">
        <v>4317</v>
      </c>
      <c r="C3747" t="s">
        <v>60</v>
      </c>
      <c r="D3747">
        <v>149936170.845687</v>
      </c>
    </row>
    <row r="3748" spans="1:4" hidden="1" x14ac:dyDescent="0.3">
      <c r="A3748">
        <v>3746</v>
      </c>
      <c r="B3748" t="s">
        <v>4318</v>
      </c>
      <c r="C3748" t="s">
        <v>62</v>
      </c>
      <c r="D3748">
        <v>80018043.334932894</v>
      </c>
    </row>
    <row r="3749" spans="1:4" hidden="1" x14ac:dyDescent="0.3">
      <c r="A3749">
        <v>3747</v>
      </c>
      <c r="B3749" t="s">
        <v>4319</v>
      </c>
      <c r="C3749" t="s">
        <v>64</v>
      </c>
      <c r="D3749">
        <v>35006707.043530799</v>
      </c>
    </row>
    <row r="3750" spans="1:4" hidden="1" x14ac:dyDescent="0.3">
      <c r="A3750">
        <v>3748</v>
      </c>
      <c r="B3750" s="1" t="s">
        <v>4320</v>
      </c>
      <c r="C3750" t="s">
        <v>66</v>
      </c>
      <c r="D3750" s="1" t="s">
        <v>4321</v>
      </c>
    </row>
    <row r="3751" spans="1:4" hidden="1" x14ac:dyDescent="0.3">
      <c r="A3751">
        <v>3749</v>
      </c>
      <c r="B3751" s="1" t="s">
        <v>4322</v>
      </c>
      <c r="C3751" t="s">
        <v>69</v>
      </c>
      <c r="D3751" s="1" t="s">
        <v>4323</v>
      </c>
    </row>
    <row r="3752" spans="1:4" hidden="1" x14ac:dyDescent="0.3">
      <c r="A3752">
        <v>3750</v>
      </c>
      <c r="B3752" t="s">
        <v>4324</v>
      </c>
      <c r="C3752" t="s">
        <v>72</v>
      </c>
      <c r="D3752">
        <v>1.00014379561432</v>
      </c>
    </row>
    <row r="3753" spans="1:4" hidden="1" x14ac:dyDescent="0.3">
      <c r="A3753">
        <v>3751</v>
      </c>
      <c r="B3753" t="s">
        <v>73</v>
      </c>
      <c r="C3753" t="s">
        <v>74</v>
      </c>
      <c r="D3753">
        <v>2.7397260273972599E-3</v>
      </c>
    </row>
    <row r="3754" spans="1:4" hidden="1" x14ac:dyDescent="0.3">
      <c r="A3754">
        <v>3752</v>
      </c>
      <c r="B3754" t="s">
        <v>75</v>
      </c>
      <c r="C3754" t="s">
        <v>76</v>
      </c>
      <c r="D3754">
        <v>0</v>
      </c>
    </row>
    <row r="3755" spans="1:4" hidden="1" x14ac:dyDescent="0.3">
      <c r="A3755">
        <v>3753</v>
      </c>
      <c r="B3755" t="s">
        <v>77</v>
      </c>
      <c r="C3755" t="s">
        <v>78</v>
      </c>
      <c r="D3755">
        <v>0</v>
      </c>
    </row>
    <row r="3756" spans="1:4" hidden="1" x14ac:dyDescent="0.3">
      <c r="A3756">
        <v>3754</v>
      </c>
      <c r="B3756" s="1" t="s">
        <v>4325</v>
      </c>
      <c r="C3756" t="s">
        <v>80</v>
      </c>
      <c r="D3756" s="1" t="s">
        <v>4326</v>
      </c>
    </row>
    <row r="3757" spans="1:4" hidden="1" x14ac:dyDescent="0.3">
      <c r="A3757">
        <v>3755</v>
      </c>
      <c r="B3757" t="s">
        <v>4327</v>
      </c>
      <c r="C3757" t="s">
        <v>83</v>
      </c>
      <c r="D3757">
        <v>1.0001135982607601</v>
      </c>
    </row>
    <row r="3758" spans="1:4" hidden="1" x14ac:dyDescent="0.3">
      <c r="A3758">
        <v>3756</v>
      </c>
      <c r="B3758" s="1" t="s">
        <v>4328</v>
      </c>
      <c r="C3758" t="s">
        <v>85</v>
      </c>
      <c r="D3758" s="1" t="s">
        <v>4329</v>
      </c>
    </row>
    <row r="3759" spans="1:4" hidden="1" x14ac:dyDescent="0.3">
      <c r="A3759">
        <v>3757</v>
      </c>
      <c r="B3759" t="s">
        <v>4330</v>
      </c>
      <c r="C3759" t="s">
        <v>88</v>
      </c>
      <c r="D3759">
        <v>99988641.464233801</v>
      </c>
    </row>
    <row r="3760" spans="1:4" hidden="1" x14ac:dyDescent="0.3">
      <c r="A3760">
        <v>3758</v>
      </c>
      <c r="B3760" s="1" t="s">
        <v>4331</v>
      </c>
      <c r="C3760" t="s">
        <v>90</v>
      </c>
      <c r="D3760" s="1" t="s">
        <v>4277</v>
      </c>
    </row>
    <row r="3761" spans="1:4" hidden="1" x14ac:dyDescent="0.3">
      <c r="A3761">
        <v>3759</v>
      </c>
      <c r="B3761" t="s">
        <v>4332</v>
      </c>
      <c r="C3761" t="s">
        <v>93</v>
      </c>
      <c r="D3761">
        <v>80018043.334932894</v>
      </c>
    </row>
    <row r="3762" spans="1:4" hidden="1" x14ac:dyDescent="0.3">
      <c r="A3762">
        <v>3760</v>
      </c>
      <c r="B3762" t="s">
        <v>4333</v>
      </c>
      <c r="C3762" t="s">
        <v>95</v>
      </c>
      <c r="D3762">
        <v>35006707.043530799</v>
      </c>
    </row>
    <row r="3763" spans="1:4" hidden="1" x14ac:dyDescent="0.3">
      <c r="A3763">
        <v>3761</v>
      </c>
      <c r="B3763" t="s">
        <v>4334</v>
      </c>
      <c r="C3763" t="s">
        <v>97</v>
      </c>
      <c r="D3763">
        <v>34911420.467223197</v>
      </c>
    </row>
    <row r="3764" spans="1:4" hidden="1" x14ac:dyDescent="0.3">
      <c r="A3764">
        <v>3762</v>
      </c>
      <c r="B3764" s="1" t="s">
        <v>4335</v>
      </c>
      <c r="C3764" t="s">
        <v>99</v>
      </c>
      <c r="D3764" s="1" t="s">
        <v>4336</v>
      </c>
    </row>
    <row r="3765" spans="1:4" hidden="1" x14ac:dyDescent="0.3">
      <c r="A3765">
        <v>3763</v>
      </c>
      <c r="B3765" t="s">
        <v>4337</v>
      </c>
      <c r="C3765" t="s">
        <v>102</v>
      </c>
      <c r="D3765">
        <v>9.2146973839812504E-3</v>
      </c>
    </row>
    <row r="3766" spans="1:4" hidden="1" x14ac:dyDescent="0.3">
      <c r="A3766">
        <v>3764</v>
      </c>
      <c r="B3766" t="s">
        <v>4338</v>
      </c>
      <c r="C3766" t="s">
        <v>104</v>
      </c>
      <c r="D3766">
        <v>1.63243972558709E-3</v>
      </c>
    </row>
    <row r="3767" spans="1:4" hidden="1" x14ac:dyDescent="0.3">
      <c r="A3767">
        <v>3765</v>
      </c>
      <c r="B3767" t="s">
        <v>4339</v>
      </c>
      <c r="C3767" t="s">
        <v>106</v>
      </c>
      <c r="D3767">
        <v>2.05601324017077E-2</v>
      </c>
    </row>
    <row r="3768" spans="1:4" hidden="1" x14ac:dyDescent="0.3">
      <c r="A3768">
        <v>3766</v>
      </c>
      <c r="B3768" s="1" t="s">
        <v>4340</v>
      </c>
      <c r="C3768" t="s">
        <v>108</v>
      </c>
      <c r="D3768" s="1" t="s">
        <v>4341</v>
      </c>
    </row>
    <row r="3769" spans="1:4" hidden="1" x14ac:dyDescent="0.3">
      <c r="A3769">
        <v>3767</v>
      </c>
      <c r="B3769" t="s">
        <v>4342</v>
      </c>
      <c r="C3769" t="s">
        <v>196</v>
      </c>
      <c r="D3769">
        <v>149935130.62063</v>
      </c>
    </row>
    <row r="3770" spans="1:4" hidden="1" x14ac:dyDescent="0.3">
      <c r="A3770">
        <v>3768</v>
      </c>
      <c r="B3770" t="s">
        <v>4343</v>
      </c>
      <c r="C3770" t="s">
        <v>198</v>
      </c>
      <c r="D3770">
        <v>2415.9614113714501</v>
      </c>
    </row>
    <row r="3771" spans="1:4" hidden="1" x14ac:dyDescent="0.3">
      <c r="A3771">
        <v>3769</v>
      </c>
      <c r="B3771" t="s">
        <v>4344</v>
      </c>
      <c r="C3771" t="s">
        <v>200</v>
      </c>
      <c r="D3771">
        <v>1056.9542733037999</v>
      </c>
    </row>
    <row r="3772" spans="1:4" hidden="1" x14ac:dyDescent="0.3">
      <c r="A3772">
        <v>3770</v>
      </c>
      <c r="B3772" s="1" t="s">
        <v>4345</v>
      </c>
      <c r="C3772" t="s">
        <v>202</v>
      </c>
      <c r="D3772" s="1" t="s">
        <v>4346</v>
      </c>
    </row>
    <row r="3773" spans="1:4" hidden="1" x14ac:dyDescent="0.3">
      <c r="A3773">
        <v>3771</v>
      </c>
      <c r="B3773" t="s">
        <v>4347</v>
      </c>
      <c r="C3773" t="s">
        <v>205</v>
      </c>
      <c r="D3773">
        <v>80014821.677780405</v>
      </c>
    </row>
    <row r="3774" spans="1:4" hidden="1" x14ac:dyDescent="0.3">
      <c r="A3774">
        <v>3772</v>
      </c>
      <c r="B3774" t="s">
        <v>4348</v>
      </c>
      <c r="C3774" t="s">
        <v>207</v>
      </c>
      <c r="D3774">
        <v>35005529.186810501</v>
      </c>
    </row>
    <row r="3775" spans="1:4" hidden="1" x14ac:dyDescent="0.3">
      <c r="A3775">
        <v>3773</v>
      </c>
      <c r="B3775" t="s">
        <v>4349</v>
      </c>
      <c r="C3775" t="s">
        <v>209</v>
      </c>
      <c r="D3775">
        <v>34910252.762850903</v>
      </c>
    </row>
    <row r="3776" spans="1:4" hidden="1" x14ac:dyDescent="0.3">
      <c r="A3776">
        <v>3774</v>
      </c>
      <c r="B3776" s="1" t="s">
        <v>4350</v>
      </c>
      <c r="C3776" t="s">
        <v>211</v>
      </c>
      <c r="D3776" s="1" t="s">
        <v>4351</v>
      </c>
    </row>
    <row r="3777" spans="1:4" hidden="1" x14ac:dyDescent="0.3">
      <c r="A3777">
        <v>3775</v>
      </c>
      <c r="B3777" t="s">
        <v>4352</v>
      </c>
      <c r="C3777" t="s">
        <v>214</v>
      </c>
      <c r="D3777">
        <v>99985622.5059883</v>
      </c>
    </row>
    <row r="3778" spans="1:4" hidden="1" x14ac:dyDescent="0.3">
      <c r="A3778">
        <v>3776</v>
      </c>
      <c r="B3778" t="s">
        <v>4353</v>
      </c>
      <c r="C3778" t="s">
        <v>216</v>
      </c>
      <c r="D3778">
        <v>3018.9582455009199</v>
      </c>
    </row>
    <row r="3779" spans="1:4" hidden="1" x14ac:dyDescent="0.3">
      <c r="A3779">
        <v>3777</v>
      </c>
      <c r="B3779" s="1" t="s">
        <v>4354</v>
      </c>
      <c r="C3779" t="s">
        <v>218</v>
      </c>
      <c r="D3779" s="1" t="s">
        <v>4355</v>
      </c>
    </row>
    <row r="3780" spans="1:4" hidden="1" x14ac:dyDescent="0.3">
      <c r="A3780">
        <v>3778</v>
      </c>
      <c r="B3780" t="s">
        <v>4356</v>
      </c>
      <c r="C3780" t="s">
        <v>111</v>
      </c>
      <c r="D3780">
        <v>-805.69574113025101</v>
      </c>
    </row>
    <row r="3781" spans="1:4" hidden="1" x14ac:dyDescent="0.3">
      <c r="A3781">
        <v>3779</v>
      </c>
      <c r="B3781" t="s">
        <v>4357</v>
      </c>
      <c r="C3781" t="s">
        <v>113</v>
      </c>
      <c r="D3781">
        <v>-120.90244692302301</v>
      </c>
    </row>
    <row r="3782" spans="1:4" hidden="1" x14ac:dyDescent="0.3">
      <c r="A3782">
        <v>3780</v>
      </c>
      <c r="B3782" s="1" t="s">
        <v>4358</v>
      </c>
      <c r="C3782" t="s">
        <v>115</v>
      </c>
      <c r="D3782" s="1" t="s">
        <v>4359</v>
      </c>
    </row>
    <row r="3783" spans="1:4" hidden="1" x14ac:dyDescent="0.3">
      <c r="A3783">
        <v>3781</v>
      </c>
      <c r="B3783" t="s">
        <v>4360</v>
      </c>
      <c r="C3783" t="s">
        <v>118</v>
      </c>
      <c r="D3783">
        <v>80014821.677780405</v>
      </c>
    </row>
    <row r="3784" spans="1:4" hidden="1" x14ac:dyDescent="0.3">
      <c r="A3784">
        <v>3782</v>
      </c>
      <c r="B3784" t="s">
        <v>4361</v>
      </c>
      <c r="C3784" t="s">
        <v>120</v>
      </c>
      <c r="D3784">
        <v>35005529.186810501</v>
      </c>
    </row>
    <row r="3785" spans="1:4" hidden="1" x14ac:dyDescent="0.3">
      <c r="A3785">
        <v>3783</v>
      </c>
      <c r="B3785" s="1" t="s">
        <v>4362</v>
      </c>
      <c r="C3785" t="s">
        <v>122</v>
      </c>
      <c r="D3785" s="1" t="s">
        <v>4363</v>
      </c>
    </row>
    <row r="3786" spans="1:4" hidden="1" x14ac:dyDescent="0.3">
      <c r="A3786">
        <v>3784</v>
      </c>
      <c r="B3786" t="s">
        <v>4364</v>
      </c>
      <c r="C3786" t="s">
        <v>125</v>
      </c>
      <c r="D3786">
        <v>0.80017237639191796</v>
      </c>
    </row>
    <row r="3787" spans="1:4" hidden="1" x14ac:dyDescent="0.3">
      <c r="A3787">
        <v>3785</v>
      </c>
      <c r="B3787" t="s">
        <v>4365</v>
      </c>
      <c r="C3787" t="s">
        <v>127</v>
      </c>
      <c r="D3787">
        <v>0.35006586141083801</v>
      </c>
    </row>
    <row r="3788" spans="1:4" hidden="1" x14ac:dyDescent="0.3">
      <c r="A3788">
        <v>3786</v>
      </c>
      <c r="B3788" s="1" t="s">
        <v>4366</v>
      </c>
      <c r="C3788" t="s">
        <v>129</v>
      </c>
      <c r="D3788" s="1" t="s">
        <v>4367</v>
      </c>
    </row>
    <row r="3789" spans="1:4" ht="72" x14ac:dyDescent="0.3">
      <c r="A3789">
        <v>3787</v>
      </c>
      <c r="B3789" s="1" t="s">
        <v>3</v>
      </c>
      <c r="C3789" t="s">
        <v>4</v>
      </c>
      <c r="D3789" t="s">
        <v>5</v>
      </c>
    </row>
    <row r="3790" spans="1:4" hidden="1" x14ac:dyDescent="0.3">
      <c r="A3790">
        <v>3788</v>
      </c>
      <c r="B3790" t="s">
        <v>6</v>
      </c>
      <c r="C3790" t="s">
        <v>7</v>
      </c>
      <c r="D3790">
        <v>1981.95</v>
      </c>
    </row>
    <row r="3791" spans="1:4" hidden="1" x14ac:dyDescent="0.3">
      <c r="A3791">
        <v>3789</v>
      </c>
      <c r="B3791" s="1" t="s">
        <v>131</v>
      </c>
      <c r="C3791" t="s">
        <v>9</v>
      </c>
      <c r="D3791" s="1" t="s">
        <v>132</v>
      </c>
    </row>
    <row r="3792" spans="1:4" hidden="1" x14ac:dyDescent="0.3">
      <c r="A3792">
        <v>3790</v>
      </c>
      <c r="B3792" t="s">
        <v>13</v>
      </c>
      <c r="C3792" t="s">
        <v>14</v>
      </c>
      <c r="D3792">
        <v>91.74609375</v>
      </c>
    </row>
    <row r="3793" spans="1:4" hidden="1" x14ac:dyDescent="0.3">
      <c r="A3793">
        <v>3791</v>
      </c>
      <c r="B3793" t="s">
        <v>15</v>
      </c>
      <c r="C3793" t="s">
        <v>16</v>
      </c>
      <c r="D3793">
        <v>4.1883572307132804</v>
      </c>
    </row>
    <row r="3794" spans="1:4" hidden="1" x14ac:dyDescent="0.3">
      <c r="A3794">
        <v>3792</v>
      </c>
      <c r="B3794" s="1" t="s">
        <v>133</v>
      </c>
      <c r="C3794" t="s">
        <v>134</v>
      </c>
      <c r="D3794" s="1" t="s">
        <v>135</v>
      </c>
    </row>
    <row r="3795" spans="1:4" hidden="1" x14ac:dyDescent="0.3">
      <c r="A3795">
        <v>3793</v>
      </c>
      <c r="B3795" t="s">
        <v>21</v>
      </c>
      <c r="C3795" t="s">
        <v>22</v>
      </c>
      <c r="D3795">
        <v>38.25</v>
      </c>
    </row>
    <row r="3796" spans="1:4" hidden="1" x14ac:dyDescent="0.3">
      <c r="A3796">
        <v>3794</v>
      </c>
      <c r="B3796" t="s">
        <v>4368</v>
      </c>
      <c r="C3796" t="s">
        <v>24</v>
      </c>
      <c r="D3796">
        <v>5.6966509338801901</v>
      </c>
    </row>
    <row r="3797" spans="1:4" hidden="1" x14ac:dyDescent="0.3">
      <c r="A3797">
        <v>3795</v>
      </c>
      <c r="B3797" s="1" t="s">
        <v>4369</v>
      </c>
      <c r="C3797" t="s">
        <v>138</v>
      </c>
      <c r="D3797" s="1" t="s">
        <v>4370</v>
      </c>
    </row>
    <row r="3798" spans="1:4" hidden="1" x14ac:dyDescent="0.3">
      <c r="A3798">
        <v>3796</v>
      </c>
      <c r="B3798" t="s">
        <v>4371</v>
      </c>
      <c r="C3798" t="s">
        <v>35</v>
      </c>
      <c r="D3798">
        <v>0.54246346730328099</v>
      </c>
    </row>
    <row r="3799" spans="1:4" hidden="1" x14ac:dyDescent="0.3">
      <c r="A3799">
        <v>3797</v>
      </c>
      <c r="B3799" t="s">
        <v>4372</v>
      </c>
      <c r="C3799" t="s">
        <v>142</v>
      </c>
      <c r="D3799">
        <v>0.70031983175361101</v>
      </c>
    </row>
    <row r="3800" spans="1:4" hidden="1" x14ac:dyDescent="0.3">
      <c r="A3800">
        <v>3798</v>
      </c>
      <c r="B3800" s="1" t="s">
        <v>4373</v>
      </c>
      <c r="C3800" t="s">
        <v>144</v>
      </c>
      <c r="D3800" s="1" t="s">
        <v>4374</v>
      </c>
    </row>
    <row r="3801" spans="1:4" hidden="1" x14ac:dyDescent="0.3">
      <c r="A3801">
        <v>3799</v>
      </c>
      <c r="B3801" t="s">
        <v>4375</v>
      </c>
      <c r="C3801" t="s">
        <v>30</v>
      </c>
      <c r="D3801">
        <v>0.19157344835912099</v>
      </c>
    </row>
    <row r="3802" spans="1:4" hidden="1" x14ac:dyDescent="0.3">
      <c r="A3802">
        <v>3800</v>
      </c>
      <c r="B3802" t="s">
        <v>4376</v>
      </c>
      <c r="C3802" t="s">
        <v>32</v>
      </c>
      <c r="D3802">
        <v>0.23532071744223801</v>
      </c>
    </row>
    <row r="3803" spans="1:4" hidden="1" x14ac:dyDescent="0.3">
      <c r="A3803">
        <v>3801</v>
      </c>
      <c r="B3803" s="1" t="s">
        <v>4377</v>
      </c>
      <c r="C3803" t="s">
        <v>148</v>
      </c>
      <c r="D3803" s="1" t="s">
        <v>4378</v>
      </c>
    </row>
    <row r="3804" spans="1:4" hidden="1" x14ac:dyDescent="0.3">
      <c r="A3804">
        <v>3802</v>
      </c>
      <c r="B3804" t="s">
        <v>4379</v>
      </c>
      <c r="C3804" t="s">
        <v>40</v>
      </c>
      <c r="D3804">
        <v>0.26596308433759702</v>
      </c>
    </row>
    <row r="3805" spans="1:4" hidden="1" x14ac:dyDescent="0.3">
      <c r="A3805">
        <v>3803</v>
      </c>
      <c r="B3805" t="s">
        <v>4380</v>
      </c>
      <c r="C3805" t="s">
        <v>42</v>
      </c>
      <c r="D3805">
        <v>0.19259829135690401</v>
      </c>
    </row>
    <row r="3806" spans="1:4" hidden="1" x14ac:dyDescent="0.3">
      <c r="A3806">
        <v>3804</v>
      </c>
      <c r="B3806" s="1" t="s">
        <v>4381</v>
      </c>
      <c r="C3806" t="s">
        <v>152</v>
      </c>
      <c r="D3806" s="1" t="s">
        <v>4382</v>
      </c>
    </row>
    <row r="3807" spans="1:4" hidden="1" x14ac:dyDescent="0.3">
      <c r="A3807">
        <v>3805</v>
      </c>
      <c r="B3807" t="s">
        <v>153</v>
      </c>
      <c r="C3807" t="s">
        <v>154</v>
      </c>
      <c r="D3807">
        <v>1</v>
      </c>
    </row>
    <row r="3808" spans="1:4" hidden="1" x14ac:dyDescent="0.3">
      <c r="A3808">
        <v>3806</v>
      </c>
      <c r="B3808" t="s">
        <v>155</v>
      </c>
      <c r="C3808" t="s">
        <v>156</v>
      </c>
      <c r="D3808">
        <v>1</v>
      </c>
    </row>
    <row r="3809" spans="1:4" hidden="1" x14ac:dyDescent="0.3">
      <c r="A3809">
        <v>3807</v>
      </c>
      <c r="B3809" s="1" t="s">
        <v>4383</v>
      </c>
      <c r="C3809" t="s">
        <v>158</v>
      </c>
      <c r="D3809" s="1" t="s">
        <v>4384</v>
      </c>
    </row>
    <row r="3810" spans="1:4" hidden="1" x14ac:dyDescent="0.3">
      <c r="A3810">
        <v>3808</v>
      </c>
      <c r="B3810" t="s">
        <v>4385</v>
      </c>
      <c r="C3810" t="s">
        <v>161</v>
      </c>
      <c r="D3810">
        <v>0.99931246464456902</v>
      </c>
    </row>
    <row r="3811" spans="1:4" hidden="1" x14ac:dyDescent="0.3">
      <c r="A3811">
        <v>3809</v>
      </c>
      <c r="B3811" t="s">
        <v>4386</v>
      </c>
      <c r="C3811" t="s">
        <v>163</v>
      </c>
      <c r="D3811">
        <v>1.00087692775391</v>
      </c>
    </row>
    <row r="3812" spans="1:4" hidden="1" x14ac:dyDescent="0.3">
      <c r="A3812">
        <v>3810</v>
      </c>
      <c r="B3812" s="1" t="s">
        <v>4387</v>
      </c>
      <c r="C3812" t="s">
        <v>165</v>
      </c>
      <c r="D3812" s="1" t="s">
        <v>4388</v>
      </c>
    </row>
    <row r="3813" spans="1:4" hidden="1" x14ac:dyDescent="0.3">
      <c r="A3813">
        <v>3811</v>
      </c>
      <c r="B3813" s="1" t="s">
        <v>4389</v>
      </c>
      <c r="C3813" t="s">
        <v>55</v>
      </c>
      <c r="D3813" s="1" t="s">
        <v>4390</v>
      </c>
    </row>
    <row r="3814" spans="1:4" hidden="1" x14ac:dyDescent="0.3">
      <c r="A3814">
        <v>3812</v>
      </c>
      <c r="B3814" s="1" t="s">
        <v>4391</v>
      </c>
      <c r="C3814" t="s">
        <v>52</v>
      </c>
      <c r="D3814" s="1" t="s">
        <v>4392</v>
      </c>
    </row>
    <row r="3815" spans="1:4" hidden="1" x14ac:dyDescent="0.3">
      <c r="A3815">
        <v>3813</v>
      </c>
      <c r="B3815" s="1" t="s">
        <v>4393</v>
      </c>
      <c r="C3815" t="s">
        <v>58</v>
      </c>
      <c r="D3815" s="1" t="s">
        <v>4394</v>
      </c>
    </row>
    <row r="3816" spans="1:4" hidden="1" x14ac:dyDescent="0.3">
      <c r="A3816">
        <v>3814</v>
      </c>
      <c r="B3816" t="s">
        <v>4395</v>
      </c>
      <c r="C3816" t="s">
        <v>60</v>
      </c>
      <c r="D3816">
        <v>149915823.12321699</v>
      </c>
    </row>
    <row r="3817" spans="1:4" hidden="1" x14ac:dyDescent="0.3">
      <c r="A3817">
        <v>3815</v>
      </c>
      <c r="B3817" t="s">
        <v>4396</v>
      </c>
      <c r="C3817" t="s">
        <v>62</v>
      </c>
      <c r="D3817">
        <v>80014821.677780405</v>
      </c>
    </row>
    <row r="3818" spans="1:4" hidden="1" x14ac:dyDescent="0.3">
      <c r="A3818">
        <v>3816</v>
      </c>
      <c r="B3818" t="s">
        <v>4397</v>
      </c>
      <c r="C3818" t="s">
        <v>64</v>
      </c>
      <c r="D3818">
        <v>35005529.186810501</v>
      </c>
    </row>
    <row r="3819" spans="1:4" hidden="1" x14ac:dyDescent="0.3">
      <c r="A3819">
        <v>3817</v>
      </c>
      <c r="B3819" s="1" t="s">
        <v>4398</v>
      </c>
      <c r="C3819" t="s">
        <v>66</v>
      </c>
      <c r="D3819" s="1" t="s">
        <v>4399</v>
      </c>
    </row>
    <row r="3820" spans="1:4" hidden="1" x14ac:dyDescent="0.3">
      <c r="A3820">
        <v>3818</v>
      </c>
      <c r="B3820" s="1" t="s">
        <v>4400</v>
      </c>
      <c r="C3820" t="s">
        <v>69</v>
      </c>
      <c r="D3820" s="1" t="s">
        <v>4401</v>
      </c>
    </row>
    <row r="3821" spans="1:4" hidden="1" x14ac:dyDescent="0.3">
      <c r="A3821">
        <v>3819</v>
      </c>
      <c r="B3821" t="s">
        <v>4402</v>
      </c>
      <c r="C3821" t="s">
        <v>72</v>
      </c>
      <c r="D3821">
        <v>1.0001135982607601</v>
      </c>
    </row>
    <row r="3822" spans="1:4" hidden="1" x14ac:dyDescent="0.3">
      <c r="A3822">
        <v>3820</v>
      </c>
      <c r="B3822" t="s">
        <v>73</v>
      </c>
      <c r="C3822" t="s">
        <v>74</v>
      </c>
      <c r="D3822">
        <v>2.7397260273972599E-3</v>
      </c>
    </row>
    <row r="3823" spans="1:4" hidden="1" x14ac:dyDescent="0.3">
      <c r="A3823">
        <v>3821</v>
      </c>
      <c r="B3823" t="s">
        <v>75</v>
      </c>
      <c r="C3823" t="s">
        <v>76</v>
      </c>
      <c r="D3823">
        <v>0</v>
      </c>
    </row>
    <row r="3824" spans="1:4" hidden="1" x14ac:dyDescent="0.3">
      <c r="A3824">
        <v>3822</v>
      </c>
      <c r="B3824" t="s">
        <v>77</v>
      </c>
      <c r="C3824" t="s">
        <v>78</v>
      </c>
      <c r="D3824">
        <v>0</v>
      </c>
    </row>
    <row r="3825" spans="1:4" hidden="1" x14ac:dyDescent="0.3">
      <c r="A3825">
        <v>3823</v>
      </c>
      <c r="B3825" s="1" t="s">
        <v>4403</v>
      </c>
      <c r="C3825" t="s">
        <v>80</v>
      </c>
      <c r="D3825" s="1" t="s">
        <v>4404</v>
      </c>
    </row>
    <row r="3826" spans="1:4" hidden="1" x14ac:dyDescent="0.3">
      <c r="A3826">
        <v>3824</v>
      </c>
      <c r="B3826" t="s">
        <v>4405</v>
      </c>
      <c r="C3826" t="s">
        <v>83</v>
      </c>
      <c r="D3826">
        <v>1.0001259130390301</v>
      </c>
    </row>
    <row r="3827" spans="1:4" hidden="1" x14ac:dyDescent="0.3">
      <c r="A3827">
        <v>3825</v>
      </c>
      <c r="B3827" s="1" t="s">
        <v>4406</v>
      </c>
      <c r="C3827" t="s">
        <v>85</v>
      </c>
      <c r="D3827" s="1" t="s">
        <v>4407</v>
      </c>
    </row>
    <row r="3828" spans="1:4" hidden="1" x14ac:dyDescent="0.3">
      <c r="A3828">
        <v>3826</v>
      </c>
      <c r="B3828" t="s">
        <v>4408</v>
      </c>
      <c r="C3828" t="s">
        <v>88</v>
      </c>
      <c r="D3828">
        <v>99987410.281305805</v>
      </c>
    </row>
    <row r="3829" spans="1:4" hidden="1" x14ac:dyDescent="0.3">
      <c r="A3829">
        <v>3827</v>
      </c>
      <c r="B3829" s="1" t="s">
        <v>4409</v>
      </c>
      <c r="C3829" t="s">
        <v>90</v>
      </c>
      <c r="D3829" s="1" t="s">
        <v>4355</v>
      </c>
    </row>
    <row r="3830" spans="1:4" hidden="1" x14ac:dyDescent="0.3">
      <c r="A3830">
        <v>3828</v>
      </c>
      <c r="B3830" t="s">
        <v>4410</v>
      </c>
      <c r="C3830" t="s">
        <v>93</v>
      </c>
      <c r="D3830">
        <v>80014821.677780405</v>
      </c>
    </row>
    <row r="3831" spans="1:4" hidden="1" x14ac:dyDescent="0.3">
      <c r="A3831">
        <v>3829</v>
      </c>
      <c r="B3831" t="s">
        <v>4411</v>
      </c>
      <c r="C3831" t="s">
        <v>95</v>
      </c>
      <c r="D3831">
        <v>35005529.186810501</v>
      </c>
    </row>
    <row r="3832" spans="1:4" hidden="1" x14ac:dyDescent="0.3">
      <c r="A3832">
        <v>3830</v>
      </c>
      <c r="B3832" t="s">
        <v>4412</v>
      </c>
      <c r="C3832" t="s">
        <v>97</v>
      </c>
      <c r="D3832">
        <v>34895472.258626297</v>
      </c>
    </row>
    <row r="3833" spans="1:4" hidden="1" x14ac:dyDescent="0.3">
      <c r="A3833">
        <v>3831</v>
      </c>
      <c r="B3833" s="1" t="s">
        <v>4413</v>
      </c>
      <c r="C3833" t="s">
        <v>99</v>
      </c>
      <c r="D3833" s="1" t="s">
        <v>4414</v>
      </c>
    </row>
    <row r="3834" spans="1:4" hidden="1" x14ac:dyDescent="0.3">
      <c r="A3834">
        <v>3832</v>
      </c>
      <c r="B3834" t="s">
        <v>4415</v>
      </c>
      <c r="C3834" t="s">
        <v>102</v>
      </c>
      <c r="D3834">
        <v>9.3111731975126597E-3</v>
      </c>
    </row>
    <row r="3835" spans="1:4" hidden="1" x14ac:dyDescent="0.3">
      <c r="A3835">
        <v>3833</v>
      </c>
      <c r="B3835" t="s">
        <v>4416</v>
      </c>
      <c r="C3835" t="s">
        <v>104</v>
      </c>
      <c r="D3835">
        <v>1.64815781330822E-3</v>
      </c>
    </row>
    <row r="3836" spans="1:4" hidden="1" x14ac:dyDescent="0.3">
      <c r="A3836">
        <v>3834</v>
      </c>
      <c r="B3836" t="s">
        <v>4417</v>
      </c>
      <c r="C3836" t="s">
        <v>106</v>
      </c>
      <c r="D3836">
        <v>2.0791172182166001E-2</v>
      </c>
    </row>
    <row r="3837" spans="1:4" hidden="1" x14ac:dyDescent="0.3">
      <c r="A3837">
        <v>3835</v>
      </c>
      <c r="B3837" s="1" t="s">
        <v>4418</v>
      </c>
      <c r="C3837" t="s">
        <v>108</v>
      </c>
      <c r="D3837" s="1" t="s">
        <v>4419</v>
      </c>
    </row>
    <row r="3838" spans="1:4" hidden="1" x14ac:dyDescent="0.3">
      <c r="A3838">
        <v>3836</v>
      </c>
      <c r="B3838" t="s">
        <v>4420</v>
      </c>
      <c r="C3838" t="s">
        <v>196</v>
      </c>
      <c r="D3838">
        <v>149916247.10096201</v>
      </c>
    </row>
    <row r="3839" spans="1:4" hidden="1" x14ac:dyDescent="0.3">
      <c r="A3839">
        <v>3837</v>
      </c>
      <c r="B3839" t="s">
        <v>4421</v>
      </c>
      <c r="C3839" t="s">
        <v>198</v>
      </c>
      <c r="D3839">
        <v>-985.25669203942903</v>
      </c>
    </row>
    <row r="3840" spans="1:4" hidden="1" x14ac:dyDescent="0.3">
      <c r="A3840">
        <v>3838</v>
      </c>
      <c r="B3840" t="s">
        <v>4422</v>
      </c>
      <c r="C3840" t="s">
        <v>200</v>
      </c>
      <c r="D3840">
        <v>-431.03693825269499</v>
      </c>
    </row>
    <row r="3841" spans="1:4" hidden="1" x14ac:dyDescent="0.3">
      <c r="A3841">
        <v>3839</v>
      </c>
      <c r="B3841" s="1" t="s">
        <v>4423</v>
      </c>
      <c r="C3841" t="s">
        <v>202</v>
      </c>
      <c r="D3841" s="1" t="s">
        <v>4424</v>
      </c>
    </row>
    <row r="3842" spans="1:4" hidden="1" x14ac:dyDescent="0.3">
      <c r="A3842">
        <v>3840</v>
      </c>
      <c r="B3842" t="s">
        <v>4425</v>
      </c>
      <c r="C3842" t="s">
        <v>205</v>
      </c>
      <c r="D3842">
        <v>80016117.746615604</v>
      </c>
    </row>
    <row r="3843" spans="1:4" hidden="1" x14ac:dyDescent="0.3">
      <c r="A3843">
        <v>3841</v>
      </c>
      <c r="B3843" t="s">
        <v>4426</v>
      </c>
      <c r="C3843" t="s">
        <v>207</v>
      </c>
      <c r="D3843">
        <v>35006006.742238998</v>
      </c>
    </row>
    <row r="3844" spans="1:4" hidden="1" x14ac:dyDescent="0.3">
      <c r="A3844">
        <v>3842</v>
      </c>
      <c r="B3844" t="s">
        <v>4427</v>
      </c>
      <c r="C3844" t="s">
        <v>209</v>
      </c>
      <c r="D3844">
        <v>34895968.587751701</v>
      </c>
    </row>
    <row r="3845" spans="1:4" hidden="1" x14ac:dyDescent="0.3">
      <c r="A3845">
        <v>3843</v>
      </c>
      <c r="B3845" s="1" t="s">
        <v>4428</v>
      </c>
      <c r="C3845" t="s">
        <v>211</v>
      </c>
      <c r="D3845" s="1" t="s">
        <v>4429</v>
      </c>
    </row>
    <row r="3846" spans="1:4" hidden="1" x14ac:dyDescent="0.3">
      <c r="A3846">
        <v>3844</v>
      </c>
      <c r="B3846" t="s">
        <v>4430</v>
      </c>
      <c r="C3846" t="s">
        <v>214</v>
      </c>
      <c r="D3846">
        <v>99988641.464233801</v>
      </c>
    </row>
    <row r="3847" spans="1:4" hidden="1" x14ac:dyDescent="0.3">
      <c r="A3847">
        <v>3845</v>
      </c>
      <c r="B3847" t="s">
        <v>4431</v>
      </c>
      <c r="C3847" t="s">
        <v>216</v>
      </c>
      <c r="D3847">
        <v>-1231.1829279512101</v>
      </c>
    </row>
    <row r="3848" spans="1:4" hidden="1" x14ac:dyDescent="0.3">
      <c r="A3848">
        <v>3846</v>
      </c>
      <c r="B3848" s="1" t="s">
        <v>4432</v>
      </c>
      <c r="C3848" t="s">
        <v>218</v>
      </c>
      <c r="D3848" s="1" t="s">
        <v>4433</v>
      </c>
    </row>
    <row r="3849" spans="1:4" hidden="1" x14ac:dyDescent="0.3">
      <c r="A3849">
        <v>3847</v>
      </c>
      <c r="B3849" t="s">
        <v>4434</v>
      </c>
      <c r="C3849" t="s">
        <v>111</v>
      </c>
      <c r="D3849">
        <v>310.81214310930898</v>
      </c>
    </row>
    <row r="3850" spans="1:4" hidden="1" x14ac:dyDescent="0.3">
      <c r="A3850">
        <v>3848</v>
      </c>
      <c r="B3850" t="s">
        <v>4435</v>
      </c>
      <c r="C3850" t="s">
        <v>113</v>
      </c>
      <c r="D3850">
        <v>46.518490204730398</v>
      </c>
    </row>
    <row r="3851" spans="1:4" hidden="1" x14ac:dyDescent="0.3">
      <c r="A3851">
        <v>3849</v>
      </c>
      <c r="B3851" s="1" t="s">
        <v>4436</v>
      </c>
      <c r="C3851" t="s">
        <v>115</v>
      </c>
      <c r="D3851" s="1" t="s">
        <v>4437</v>
      </c>
    </row>
    <row r="3852" spans="1:4" hidden="1" x14ac:dyDescent="0.3">
      <c r="A3852">
        <v>3850</v>
      </c>
      <c r="B3852" t="s">
        <v>4438</v>
      </c>
      <c r="C3852" t="s">
        <v>118</v>
      </c>
      <c r="D3852">
        <v>80016117.746615604</v>
      </c>
    </row>
    <row r="3853" spans="1:4" hidden="1" x14ac:dyDescent="0.3">
      <c r="A3853">
        <v>3851</v>
      </c>
      <c r="B3853" t="s">
        <v>4439</v>
      </c>
      <c r="C3853" t="s">
        <v>120</v>
      </c>
      <c r="D3853">
        <v>35006006.742238998</v>
      </c>
    </row>
    <row r="3854" spans="1:4" hidden="1" x14ac:dyDescent="0.3">
      <c r="A3854">
        <v>3852</v>
      </c>
      <c r="B3854" s="1" t="s">
        <v>4440</v>
      </c>
      <c r="C3854" t="s">
        <v>122</v>
      </c>
      <c r="D3854" s="1" t="s">
        <v>4441</v>
      </c>
    </row>
    <row r="3855" spans="1:4" hidden="1" x14ac:dyDescent="0.3">
      <c r="A3855">
        <v>3853</v>
      </c>
      <c r="B3855" t="s">
        <v>4442</v>
      </c>
      <c r="C3855" t="s">
        <v>125</v>
      </c>
      <c r="D3855">
        <v>0.80015132489923502</v>
      </c>
    </row>
    <row r="3856" spans="1:4" hidden="1" x14ac:dyDescent="0.3">
      <c r="A3856">
        <v>3854</v>
      </c>
      <c r="B3856" t="s">
        <v>4443</v>
      </c>
      <c r="C3856" t="s">
        <v>127</v>
      </c>
      <c r="D3856">
        <v>0.35005575705300701</v>
      </c>
    </row>
    <row r="3857" spans="1:4" hidden="1" x14ac:dyDescent="0.3">
      <c r="A3857">
        <v>3855</v>
      </c>
      <c r="B3857" s="1" t="s">
        <v>4444</v>
      </c>
      <c r="C3857" t="s">
        <v>129</v>
      </c>
      <c r="D3857" s="1" t="s">
        <v>4445</v>
      </c>
    </row>
    <row r="3858" spans="1:4" ht="72" x14ac:dyDescent="0.3">
      <c r="A3858">
        <v>3856</v>
      </c>
      <c r="B3858" s="1" t="s">
        <v>3</v>
      </c>
      <c r="C3858" t="s">
        <v>4</v>
      </c>
      <c r="D3858" t="s">
        <v>5</v>
      </c>
    </row>
    <row r="3859" spans="1:4" hidden="1" x14ac:dyDescent="0.3">
      <c r="A3859">
        <v>3857</v>
      </c>
      <c r="B3859" t="s">
        <v>6</v>
      </c>
      <c r="C3859" t="s">
        <v>7</v>
      </c>
      <c r="D3859">
        <v>1981.95</v>
      </c>
    </row>
    <row r="3860" spans="1:4" hidden="1" x14ac:dyDescent="0.3">
      <c r="A3860">
        <v>3858</v>
      </c>
      <c r="B3860" s="1" t="s">
        <v>131</v>
      </c>
      <c r="C3860" t="s">
        <v>9</v>
      </c>
      <c r="D3860" s="1" t="s">
        <v>132</v>
      </c>
    </row>
    <row r="3861" spans="1:4" hidden="1" x14ac:dyDescent="0.3">
      <c r="A3861">
        <v>3859</v>
      </c>
      <c r="B3861" t="s">
        <v>13</v>
      </c>
      <c r="C3861" t="s">
        <v>14</v>
      </c>
      <c r="D3861">
        <v>91.74609375</v>
      </c>
    </row>
    <row r="3862" spans="1:4" hidden="1" x14ac:dyDescent="0.3">
      <c r="A3862">
        <v>3860</v>
      </c>
      <c r="B3862" t="s">
        <v>15</v>
      </c>
      <c r="C3862" t="s">
        <v>16</v>
      </c>
      <c r="D3862">
        <v>4.1883572307132804</v>
      </c>
    </row>
    <row r="3863" spans="1:4" hidden="1" x14ac:dyDescent="0.3">
      <c r="A3863">
        <v>3861</v>
      </c>
      <c r="B3863" s="1" t="s">
        <v>133</v>
      </c>
      <c r="C3863" t="s">
        <v>134</v>
      </c>
      <c r="D3863" s="1" t="s">
        <v>135</v>
      </c>
    </row>
    <row r="3864" spans="1:4" hidden="1" x14ac:dyDescent="0.3">
      <c r="A3864">
        <v>3862</v>
      </c>
      <c r="B3864" t="s">
        <v>21</v>
      </c>
      <c r="C3864" t="s">
        <v>22</v>
      </c>
      <c r="D3864">
        <v>38.25</v>
      </c>
    </row>
    <row r="3865" spans="1:4" hidden="1" x14ac:dyDescent="0.3">
      <c r="A3865">
        <v>3863</v>
      </c>
      <c r="B3865" t="s">
        <v>4446</v>
      </c>
      <c r="C3865" t="s">
        <v>24</v>
      </c>
      <c r="D3865">
        <v>5.6860125182030803</v>
      </c>
    </row>
    <row r="3866" spans="1:4" hidden="1" x14ac:dyDescent="0.3">
      <c r="A3866">
        <v>3864</v>
      </c>
      <c r="B3866" s="1" t="s">
        <v>4447</v>
      </c>
      <c r="C3866" t="s">
        <v>138</v>
      </c>
      <c r="D3866" s="1" t="s">
        <v>4448</v>
      </c>
    </row>
    <row r="3867" spans="1:4" hidden="1" x14ac:dyDescent="0.3">
      <c r="A3867">
        <v>3865</v>
      </c>
      <c r="B3867" t="s">
        <v>4449</v>
      </c>
      <c r="C3867" t="s">
        <v>35</v>
      </c>
      <c r="D3867">
        <v>0.54960759019946304</v>
      </c>
    </row>
    <row r="3868" spans="1:4" hidden="1" x14ac:dyDescent="0.3">
      <c r="A3868">
        <v>3866</v>
      </c>
      <c r="B3868" t="s">
        <v>4450</v>
      </c>
      <c r="C3868" t="s">
        <v>142</v>
      </c>
      <c r="D3868">
        <v>0.69982521922622698</v>
      </c>
    </row>
    <row r="3869" spans="1:4" hidden="1" x14ac:dyDescent="0.3">
      <c r="A3869">
        <v>3867</v>
      </c>
      <c r="B3869" s="1" t="s">
        <v>4451</v>
      </c>
      <c r="C3869" t="s">
        <v>144</v>
      </c>
      <c r="D3869" s="1" t="s">
        <v>4452</v>
      </c>
    </row>
    <row r="3870" spans="1:4" hidden="1" x14ac:dyDescent="0.3">
      <c r="A3870">
        <v>3868</v>
      </c>
      <c r="B3870" t="s">
        <v>4453</v>
      </c>
      <c r="C3870" t="s">
        <v>30</v>
      </c>
      <c r="D3870">
        <v>0.19409642795353799</v>
      </c>
    </row>
    <row r="3871" spans="1:4" hidden="1" x14ac:dyDescent="0.3">
      <c r="A3871">
        <v>3869</v>
      </c>
      <c r="B3871" t="s">
        <v>4454</v>
      </c>
      <c r="C3871" t="s">
        <v>32</v>
      </c>
      <c r="D3871">
        <v>0.23514733233228399</v>
      </c>
    </row>
    <row r="3872" spans="1:4" hidden="1" x14ac:dyDescent="0.3">
      <c r="A3872">
        <v>3870</v>
      </c>
      <c r="B3872" s="1" t="s">
        <v>4455</v>
      </c>
      <c r="C3872" t="s">
        <v>148</v>
      </c>
      <c r="D3872" s="1" t="s">
        <v>4456</v>
      </c>
    </row>
    <row r="3873" spans="1:4" hidden="1" x14ac:dyDescent="0.3">
      <c r="A3873">
        <v>3871</v>
      </c>
      <c r="B3873" t="s">
        <v>4457</v>
      </c>
      <c r="C3873" t="s">
        <v>40</v>
      </c>
      <c r="D3873">
        <v>0.25629598184699798</v>
      </c>
    </row>
    <row r="3874" spans="1:4" hidden="1" x14ac:dyDescent="0.3">
      <c r="A3874">
        <v>3872</v>
      </c>
      <c r="B3874" t="s">
        <v>4458</v>
      </c>
      <c r="C3874" t="s">
        <v>42</v>
      </c>
      <c r="D3874">
        <v>0.19378088078021999</v>
      </c>
    </row>
    <row r="3875" spans="1:4" hidden="1" x14ac:dyDescent="0.3">
      <c r="A3875">
        <v>3873</v>
      </c>
      <c r="B3875" s="1" t="s">
        <v>4459</v>
      </c>
      <c r="C3875" t="s">
        <v>152</v>
      </c>
      <c r="D3875" s="1" t="s">
        <v>4460</v>
      </c>
    </row>
    <row r="3876" spans="1:4" hidden="1" x14ac:dyDescent="0.3">
      <c r="A3876">
        <v>3874</v>
      </c>
      <c r="B3876" t="s">
        <v>153</v>
      </c>
      <c r="C3876" t="s">
        <v>154</v>
      </c>
      <c r="D3876">
        <v>1</v>
      </c>
    </row>
    <row r="3877" spans="1:4" hidden="1" x14ac:dyDescent="0.3">
      <c r="A3877">
        <v>3875</v>
      </c>
      <c r="B3877" t="s">
        <v>155</v>
      </c>
      <c r="C3877" t="s">
        <v>156</v>
      </c>
      <c r="D3877">
        <v>1</v>
      </c>
    </row>
    <row r="3878" spans="1:4" hidden="1" x14ac:dyDescent="0.3">
      <c r="A3878">
        <v>3876</v>
      </c>
      <c r="B3878" s="1" t="s">
        <v>4461</v>
      </c>
      <c r="C3878" t="s">
        <v>158</v>
      </c>
      <c r="D3878" s="1" t="s">
        <v>4462</v>
      </c>
    </row>
    <row r="3879" spans="1:4" hidden="1" x14ac:dyDescent="0.3">
      <c r="A3879">
        <v>3877</v>
      </c>
      <c r="B3879" t="s">
        <v>4463</v>
      </c>
      <c r="C3879" t="s">
        <v>161</v>
      </c>
      <c r="D3879">
        <v>0.99970910618217301</v>
      </c>
    </row>
    <row r="3880" spans="1:4" hidden="1" x14ac:dyDescent="0.3">
      <c r="A3880">
        <v>3878</v>
      </c>
      <c r="B3880" t="s">
        <v>4464</v>
      </c>
      <c r="C3880" t="s">
        <v>163</v>
      </c>
      <c r="D3880">
        <v>0.99985964364759194</v>
      </c>
    </row>
    <row r="3881" spans="1:4" hidden="1" x14ac:dyDescent="0.3">
      <c r="A3881">
        <v>3879</v>
      </c>
      <c r="B3881" s="1" t="s">
        <v>4465</v>
      </c>
      <c r="C3881" t="s">
        <v>165</v>
      </c>
      <c r="D3881" s="1" t="s">
        <v>4466</v>
      </c>
    </row>
    <row r="3882" spans="1:4" hidden="1" x14ac:dyDescent="0.3">
      <c r="A3882">
        <v>3880</v>
      </c>
      <c r="B3882" s="1" t="s">
        <v>4467</v>
      </c>
      <c r="C3882" t="s">
        <v>55</v>
      </c>
      <c r="D3882" s="1" t="s">
        <v>4468</v>
      </c>
    </row>
    <row r="3883" spans="1:4" hidden="1" x14ac:dyDescent="0.3">
      <c r="A3883">
        <v>3881</v>
      </c>
      <c r="B3883" s="1" t="s">
        <v>4469</v>
      </c>
      <c r="C3883" t="s">
        <v>52</v>
      </c>
      <c r="D3883" s="1" t="s">
        <v>4470</v>
      </c>
    </row>
    <row r="3884" spans="1:4" hidden="1" x14ac:dyDescent="0.3">
      <c r="A3884">
        <v>3882</v>
      </c>
      <c r="B3884" s="1" t="s">
        <v>4471</v>
      </c>
      <c r="C3884" t="s">
        <v>58</v>
      </c>
      <c r="D3884" s="1" t="s">
        <v>4472</v>
      </c>
    </row>
    <row r="3885" spans="1:4" hidden="1" x14ac:dyDescent="0.3">
      <c r="A3885">
        <v>3883</v>
      </c>
      <c r="B3885" t="s">
        <v>4473</v>
      </c>
      <c r="C3885" t="s">
        <v>60</v>
      </c>
      <c r="D3885">
        <v>149909645.61106801</v>
      </c>
    </row>
    <row r="3886" spans="1:4" hidden="1" x14ac:dyDescent="0.3">
      <c r="A3886">
        <v>3884</v>
      </c>
      <c r="B3886" t="s">
        <v>4474</v>
      </c>
      <c r="C3886" t="s">
        <v>62</v>
      </c>
      <c r="D3886">
        <v>80016117.746615604</v>
      </c>
    </row>
    <row r="3887" spans="1:4" hidden="1" x14ac:dyDescent="0.3">
      <c r="A3887">
        <v>3885</v>
      </c>
      <c r="B3887" t="s">
        <v>4475</v>
      </c>
      <c r="C3887" t="s">
        <v>64</v>
      </c>
      <c r="D3887">
        <v>35006006.742238998</v>
      </c>
    </row>
    <row r="3888" spans="1:4" hidden="1" x14ac:dyDescent="0.3">
      <c r="A3888">
        <v>3886</v>
      </c>
      <c r="B3888" s="1" t="s">
        <v>4476</v>
      </c>
      <c r="C3888" t="s">
        <v>66</v>
      </c>
      <c r="D3888" s="1" t="s">
        <v>4477</v>
      </c>
    </row>
    <row r="3889" spans="1:4" hidden="1" x14ac:dyDescent="0.3">
      <c r="A3889">
        <v>3887</v>
      </c>
      <c r="B3889" s="1" t="s">
        <v>4478</v>
      </c>
      <c r="C3889" t="s">
        <v>69</v>
      </c>
      <c r="D3889" s="1" t="s">
        <v>4479</v>
      </c>
    </row>
    <row r="3890" spans="1:4" hidden="1" x14ac:dyDescent="0.3">
      <c r="A3890">
        <v>3888</v>
      </c>
      <c r="B3890" t="s">
        <v>4480</v>
      </c>
      <c r="C3890" t="s">
        <v>72</v>
      </c>
      <c r="D3890">
        <v>1.0001259130390301</v>
      </c>
    </row>
    <row r="3891" spans="1:4" hidden="1" x14ac:dyDescent="0.3">
      <c r="A3891">
        <v>3889</v>
      </c>
      <c r="B3891" t="s">
        <v>73</v>
      </c>
      <c r="C3891" t="s">
        <v>74</v>
      </c>
      <c r="D3891">
        <v>2.7397260273972599E-3</v>
      </c>
    </row>
    <row r="3892" spans="1:4" hidden="1" x14ac:dyDescent="0.3">
      <c r="A3892">
        <v>3890</v>
      </c>
      <c r="B3892" t="s">
        <v>75</v>
      </c>
      <c r="C3892" t="s">
        <v>76</v>
      </c>
      <c r="D3892">
        <v>0</v>
      </c>
    </row>
    <row r="3893" spans="1:4" hidden="1" x14ac:dyDescent="0.3">
      <c r="A3893">
        <v>3891</v>
      </c>
      <c r="B3893" t="s">
        <v>2686</v>
      </c>
      <c r="C3893" t="s">
        <v>78</v>
      </c>
      <c r="D3893" s="2">
        <v>-2.2204460492503101E-16</v>
      </c>
    </row>
    <row r="3894" spans="1:4" hidden="1" x14ac:dyDescent="0.3">
      <c r="A3894">
        <v>3892</v>
      </c>
      <c r="B3894" s="1" t="s">
        <v>4481</v>
      </c>
      <c r="C3894" t="s">
        <v>80</v>
      </c>
      <c r="D3894" s="1" t="s">
        <v>4482</v>
      </c>
    </row>
    <row r="3895" spans="1:4" hidden="1" x14ac:dyDescent="0.3">
      <c r="A3895">
        <v>3893</v>
      </c>
      <c r="B3895" t="s">
        <v>4483</v>
      </c>
      <c r="C3895" t="s">
        <v>83</v>
      </c>
      <c r="D3895">
        <v>1.0001433152125601</v>
      </c>
    </row>
    <row r="3896" spans="1:4" hidden="1" x14ac:dyDescent="0.3">
      <c r="A3896">
        <v>3894</v>
      </c>
      <c r="B3896" s="1" t="s">
        <v>4484</v>
      </c>
      <c r="C3896" t="s">
        <v>85</v>
      </c>
      <c r="D3896" s="1" t="s">
        <v>4485</v>
      </c>
    </row>
    <row r="3897" spans="1:4" hidden="1" x14ac:dyDescent="0.3">
      <c r="A3897">
        <v>3895</v>
      </c>
      <c r="B3897" t="s">
        <v>4486</v>
      </c>
      <c r="C3897" t="s">
        <v>88</v>
      </c>
      <c r="D3897">
        <v>99985670.532374606</v>
      </c>
    </row>
    <row r="3898" spans="1:4" hidden="1" x14ac:dyDescent="0.3">
      <c r="A3898">
        <v>3896</v>
      </c>
      <c r="B3898" s="1" t="s">
        <v>4487</v>
      </c>
      <c r="C3898" t="s">
        <v>90</v>
      </c>
      <c r="D3898" s="1" t="s">
        <v>4433</v>
      </c>
    </row>
    <row r="3899" spans="1:4" hidden="1" x14ac:dyDescent="0.3">
      <c r="A3899">
        <v>3897</v>
      </c>
      <c r="B3899" t="s">
        <v>4488</v>
      </c>
      <c r="C3899" t="s">
        <v>93</v>
      </c>
      <c r="D3899">
        <v>80016117.746615604</v>
      </c>
    </row>
    <row r="3900" spans="1:4" hidden="1" x14ac:dyDescent="0.3">
      <c r="A3900">
        <v>3898</v>
      </c>
      <c r="B3900" t="s">
        <v>4489</v>
      </c>
      <c r="C3900" t="s">
        <v>95</v>
      </c>
      <c r="D3900">
        <v>35006006.742238998</v>
      </c>
    </row>
    <row r="3901" spans="1:4" hidden="1" x14ac:dyDescent="0.3">
      <c r="A3901">
        <v>3899</v>
      </c>
      <c r="B3901" t="s">
        <v>4490</v>
      </c>
      <c r="C3901" t="s">
        <v>97</v>
      </c>
      <c r="D3901">
        <v>34887521.122213297</v>
      </c>
    </row>
    <row r="3902" spans="1:4" hidden="1" x14ac:dyDescent="0.3">
      <c r="A3902">
        <v>3900</v>
      </c>
      <c r="B3902" s="1" t="s">
        <v>4491</v>
      </c>
      <c r="C3902" t="s">
        <v>99</v>
      </c>
      <c r="D3902" s="1" t="s">
        <v>4492</v>
      </c>
    </row>
    <row r="3903" spans="1:4" hidden="1" x14ac:dyDescent="0.3">
      <c r="A3903">
        <v>3901</v>
      </c>
      <c r="B3903" t="s">
        <v>4493</v>
      </c>
      <c r="C3903" t="s">
        <v>102</v>
      </c>
      <c r="D3903">
        <v>9.3928319802706103E-3</v>
      </c>
    </row>
    <row r="3904" spans="1:4" hidden="1" x14ac:dyDescent="0.3">
      <c r="A3904">
        <v>3902</v>
      </c>
      <c r="B3904" t="s">
        <v>4494</v>
      </c>
      <c r="C3904" t="s">
        <v>104</v>
      </c>
      <c r="D3904">
        <v>1.6565443674543699E-3</v>
      </c>
    </row>
    <row r="3905" spans="1:4" hidden="1" x14ac:dyDescent="0.3">
      <c r="A3905">
        <v>3903</v>
      </c>
      <c r="B3905" t="s">
        <v>4495</v>
      </c>
      <c r="C3905" t="s">
        <v>106</v>
      </c>
      <c r="D3905">
        <v>2.09231817892469E-2</v>
      </c>
    </row>
    <row r="3906" spans="1:4" hidden="1" x14ac:dyDescent="0.3">
      <c r="A3906">
        <v>3904</v>
      </c>
      <c r="B3906" s="1" t="s">
        <v>4496</v>
      </c>
      <c r="C3906" t="s">
        <v>108</v>
      </c>
      <c r="D3906" s="1" t="s">
        <v>4497</v>
      </c>
    </row>
    <row r="3907" spans="1:4" hidden="1" x14ac:dyDescent="0.3">
      <c r="A3907">
        <v>3905</v>
      </c>
      <c r="B3907" t="s">
        <v>4498</v>
      </c>
      <c r="C3907" t="s">
        <v>196</v>
      </c>
      <c r="D3907">
        <v>149910244.80277199</v>
      </c>
    </row>
    <row r="3908" spans="1:4" hidden="1" x14ac:dyDescent="0.3">
      <c r="A3908">
        <v>3906</v>
      </c>
      <c r="B3908" t="s">
        <v>4499</v>
      </c>
      <c r="C3908" t="s">
        <v>198</v>
      </c>
      <c r="D3908">
        <v>-1392.28670222501</v>
      </c>
    </row>
    <row r="3909" spans="1:4" hidden="1" x14ac:dyDescent="0.3">
      <c r="A3909">
        <v>3907</v>
      </c>
      <c r="B3909" t="s">
        <v>4500</v>
      </c>
      <c r="C3909" t="s">
        <v>200</v>
      </c>
      <c r="D3909">
        <v>-609.105054526049</v>
      </c>
    </row>
    <row r="3910" spans="1:4" hidden="1" x14ac:dyDescent="0.3">
      <c r="A3910">
        <v>3908</v>
      </c>
      <c r="B3910" s="1" t="s">
        <v>4501</v>
      </c>
      <c r="C3910" t="s">
        <v>202</v>
      </c>
      <c r="D3910" s="1" t="s">
        <v>4502</v>
      </c>
    </row>
    <row r="3911" spans="1:4" hidden="1" x14ac:dyDescent="0.3">
      <c r="A3911">
        <v>3909</v>
      </c>
      <c r="B3911" t="s">
        <v>4503</v>
      </c>
      <c r="C3911" t="s">
        <v>205</v>
      </c>
      <c r="D3911">
        <v>80017949.271696404</v>
      </c>
    </row>
    <row r="3912" spans="1:4" hidden="1" x14ac:dyDescent="0.3">
      <c r="A3912">
        <v>3910</v>
      </c>
      <c r="B3912" t="s">
        <v>4504</v>
      </c>
      <c r="C3912" t="s">
        <v>207</v>
      </c>
      <c r="D3912">
        <v>35006681.652786501</v>
      </c>
    </row>
    <row r="3913" spans="1:4" hidden="1" x14ac:dyDescent="0.3">
      <c r="A3913">
        <v>3911</v>
      </c>
      <c r="B3913" t="s">
        <v>4505</v>
      </c>
      <c r="C3913" t="s">
        <v>209</v>
      </c>
      <c r="D3913">
        <v>34888222.313946098</v>
      </c>
    </row>
    <row r="3914" spans="1:4" hidden="1" x14ac:dyDescent="0.3">
      <c r="A3914">
        <v>3912</v>
      </c>
      <c r="B3914" s="1" t="s">
        <v>4506</v>
      </c>
      <c r="C3914" t="s">
        <v>211</v>
      </c>
      <c r="D3914" s="1" t="s">
        <v>4507</v>
      </c>
    </row>
    <row r="3915" spans="1:4" hidden="1" x14ac:dyDescent="0.3">
      <c r="A3915">
        <v>3913</v>
      </c>
      <c r="B3915" t="s">
        <v>4508</v>
      </c>
      <c r="C3915" t="s">
        <v>214</v>
      </c>
      <c r="D3915">
        <v>99987410.281305805</v>
      </c>
    </row>
    <row r="3916" spans="1:4" hidden="1" x14ac:dyDescent="0.3">
      <c r="A3916">
        <v>3914</v>
      </c>
      <c r="B3916" t="s">
        <v>4509</v>
      </c>
      <c r="C3916" t="s">
        <v>216</v>
      </c>
      <c r="D3916">
        <v>-1739.74893122911</v>
      </c>
    </row>
    <row r="3917" spans="1:4" hidden="1" x14ac:dyDescent="0.3">
      <c r="A3917">
        <v>3915</v>
      </c>
      <c r="B3917" s="1" t="s">
        <v>4510</v>
      </c>
      <c r="C3917" t="s">
        <v>218</v>
      </c>
      <c r="D3917" s="1" t="s">
        <v>4511</v>
      </c>
    </row>
    <row r="3918" spans="1:4" hidden="1" x14ac:dyDescent="0.3">
      <c r="A3918">
        <v>3916</v>
      </c>
      <c r="B3918" t="s">
        <v>4512</v>
      </c>
      <c r="C3918" t="s">
        <v>111</v>
      </c>
      <c r="D3918">
        <v>439.23837859879399</v>
      </c>
    </row>
    <row r="3919" spans="1:4" hidden="1" x14ac:dyDescent="0.3">
      <c r="A3919">
        <v>3917</v>
      </c>
      <c r="B3919" t="s">
        <v>4513</v>
      </c>
      <c r="C3919" t="s">
        <v>113</v>
      </c>
      <c r="D3919">
        <v>65.805492983699594</v>
      </c>
    </row>
    <row r="3920" spans="1:4" hidden="1" x14ac:dyDescent="0.3">
      <c r="A3920">
        <v>3918</v>
      </c>
      <c r="B3920" s="1" t="s">
        <v>4514</v>
      </c>
      <c r="C3920" t="s">
        <v>115</v>
      </c>
      <c r="D3920" s="1" t="s">
        <v>4515</v>
      </c>
    </row>
    <row r="3921" spans="1:4" hidden="1" x14ac:dyDescent="0.3">
      <c r="A3921">
        <v>3919</v>
      </c>
      <c r="B3921" t="s">
        <v>4516</v>
      </c>
      <c r="C3921" t="s">
        <v>118</v>
      </c>
      <c r="D3921">
        <v>80017949.271696404</v>
      </c>
    </row>
    <row r="3922" spans="1:4" hidden="1" x14ac:dyDescent="0.3">
      <c r="A3922">
        <v>3920</v>
      </c>
      <c r="B3922" t="s">
        <v>4517</v>
      </c>
      <c r="C3922" t="s">
        <v>120</v>
      </c>
      <c r="D3922">
        <v>35006681.652786501</v>
      </c>
    </row>
    <row r="3923" spans="1:4" hidden="1" x14ac:dyDescent="0.3">
      <c r="A3923">
        <v>3921</v>
      </c>
      <c r="B3923" s="1" t="s">
        <v>4518</v>
      </c>
      <c r="C3923" t="s">
        <v>122</v>
      </c>
      <c r="D3923" s="1" t="s">
        <v>4519</v>
      </c>
    </row>
    <row r="3924" spans="1:4" hidden="1" x14ac:dyDescent="0.3">
      <c r="A3924">
        <v>3922</v>
      </c>
      <c r="B3924" t="s">
        <v>4520</v>
      </c>
      <c r="C3924" t="s">
        <v>125</v>
      </c>
      <c r="D3924">
        <v>0.80016556984994203</v>
      </c>
    </row>
    <row r="3925" spans="1:4" hidden="1" x14ac:dyDescent="0.3">
      <c r="A3925">
        <v>3923</v>
      </c>
      <c r="B3925" t="s">
        <v>4521</v>
      </c>
      <c r="C3925" t="s">
        <v>127</v>
      </c>
      <c r="D3925">
        <v>0.35006072547731998</v>
      </c>
    </row>
    <row r="3926" spans="1:4" hidden="1" x14ac:dyDescent="0.3">
      <c r="A3926">
        <v>3924</v>
      </c>
      <c r="B3926" s="1" t="s">
        <v>4522</v>
      </c>
      <c r="C3926" t="s">
        <v>129</v>
      </c>
      <c r="D3926" s="1" t="s">
        <v>4523</v>
      </c>
    </row>
    <row r="3927" spans="1:4" ht="72" x14ac:dyDescent="0.3">
      <c r="A3927">
        <v>3925</v>
      </c>
      <c r="B3927" s="1" t="s">
        <v>3</v>
      </c>
      <c r="C3927" t="s">
        <v>4</v>
      </c>
      <c r="D3927" t="s">
        <v>5</v>
      </c>
    </row>
    <row r="3928" spans="1:4" hidden="1" x14ac:dyDescent="0.3">
      <c r="A3928">
        <v>3926</v>
      </c>
      <c r="B3928" t="s">
        <v>6</v>
      </c>
      <c r="C3928" t="s">
        <v>7</v>
      </c>
      <c r="D3928">
        <v>1981.95</v>
      </c>
    </row>
    <row r="3929" spans="1:4" hidden="1" x14ac:dyDescent="0.3">
      <c r="A3929">
        <v>3927</v>
      </c>
      <c r="B3929" s="1" t="s">
        <v>131</v>
      </c>
      <c r="C3929" t="s">
        <v>9</v>
      </c>
      <c r="D3929" s="1" t="s">
        <v>132</v>
      </c>
    </row>
    <row r="3930" spans="1:4" hidden="1" x14ac:dyDescent="0.3">
      <c r="A3930">
        <v>3928</v>
      </c>
      <c r="B3930" t="s">
        <v>13</v>
      </c>
      <c r="C3930" t="s">
        <v>14</v>
      </c>
      <c r="D3930">
        <v>91.74609375</v>
      </c>
    </row>
    <row r="3931" spans="1:4" hidden="1" x14ac:dyDescent="0.3">
      <c r="A3931">
        <v>3929</v>
      </c>
      <c r="B3931" t="s">
        <v>15</v>
      </c>
      <c r="C3931" t="s">
        <v>16</v>
      </c>
      <c r="D3931">
        <v>4.1883572307132804</v>
      </c>
    </row>
    <row r="3932" spans="1:4" hidden="1" x14ac:dyDescent="0.3">
      <c r="A3932">
        <v>3930</v>
      </c>
      <c r="B3932" s="1" t="s">
        <v>133</v>
      </c>
      <c r="C3932" t="s">
        <v>134</v>
      </c>
      <c r="D3932" s="1" t="s">
        <v>135</v>
      </c>
    </row>
    <row r="3933" spans="1:4" hidden="1" x14ac:dyDescent="0.3">
      <c r="A3933">
        <v>3931</v>
      </c>
      <c r="B3933" t="s">
        <v>21</v>
      </c>
      <c r="C3933" t="s">
        <v>22</v>
      </c>
      <c r="D3933">
        <v>38.25</v>
      </c>
    </row>
    <row r="3934" spans="1:4" hidden="1" x14ac:dyDescent="0.3">
      <c r="A3934">
        <v>3932</v>
      </c>
      <c r="B3934" t="s">
        <v>4524</v>
      </c>
      <c r="C3934" t="s">
        <v>24</v>
      </c>
      <c r="D3934">
        <v>5.6684603344496898</v>
      </c>
    </row>
    <row r="3935" spans="1:4" hidden="1" x14ac:dyDescent="0.3">
      <c r="A3935">
        <v>3933</v>
      </c>
      <c r="B3935" s="1" t="s">
        <v>4525</v>
      </c>
      <c r="C3935" t="s">
        <v>138</v>
      </c>
      <c r="D3935" s="1" t="s">
        <v>4526</v>
      </c>
    </row>
    <row r="3936" spans="1:4" hidden="1" x14ac:dyDescent="0.3">
      <c r="A3936">
        <v>3934</v>
      </c>
      <c r="B3936" t="s">
        <v>4527</v>
      </c>
      <c r="C3936" t="s">
        <v>35</v>
      </c>
      <c r="D3936">
        <v>0.54932235113095995</v>
      </c>
    </row>
    <row r="3937" spans="1:4" hidden="1" x14ac:dyDescent="0.3">
      <c r="A3937">
        <v>3935</v>
      </c>
      <c r="B3937" t="s">
        <v>4528</v>
      </c>
      <c r="C3937" t="s">
        <v>142</v>
      </c>
      <c r="D3937">
        <v>0.70071882799741303</v>
      </c>
    </row>
    <row r="3938" spans="1:4" hidden="1" x14ac:dyDescent="0.3">
      <c r="A3938">
        <v>3936</v>
      </c>
      <c r="B3938" s="1" t="s">
        <v>4529</v>
      </c>
      <c r="C3938" t="s">
        <v>144</v>
      </c>
      <c r="D3938" s="1" t="s">
        <v>4530</v>
      </c>
    </row>
    <row r="3939" spans="1:4" hidden="1" x14ac:dyDescent="0.3">
      <c r="A3939">
        <v>3937</v>
      </c>
      <c r="B3939" t="s">
        <v>4531</v>
      </c>
      <c r="C3939" t="s">
        <v>30</v>
      </c>
      <c r="D3939">
        <v>0.19399569447515</v>
      </c>
    </row>
    <row r="3940" spans="1:4" hidden="1" x14ac:dyDescent="0.3">
      <c r="A3940">
        <v>3938</v>
      </c>
      <c r="B3940" t="s">
        <v>4532</v>
      </c>
      <c r="C3940" t="s">
        <v>32</v>
      </c>
      <c r="D3940">
        <v>0.23393407689232501</v>
      </c>
    </row>
    <row r="3941" spans="1:4" hidden="1" x14ac:dyDescent="0.3">
      <c r="A3941">
        <v>3939</v>
      </c>
      <c r="B3941" s="1" t="s">
        <v>4533</v>
      </c>
      <c r="C3941" t="s">
        <v>148</v>
      </c>
      <c r="D3941" s="1" t="s">
        <v>4534</v>
      </c>
    </row>
    <row r="3942" spans="1:4" hidden="1" x14ac:dyDescent="0.3">
      <c r="A3942">
        <v>3940</v>
      </c>
      <c r="B3942" t="s">
        <v>4535</v>
      </c>
      <c r="C3942" t="s">
        <v>40</v>
      </c>
      <c r="D3942">
        <v>0.25668195439388902</v>
      </c>
    </row>
    <row r="3943" spans="1:4" hidden="1" x14ac:dyDescent="0.3">
      <c r="A3943">
        <v>3941</v>
      </c>
      <c r="B3943" t="s">
        <v>4536</v>
      </c>
      <c r="C3943" t="s">
        <v>42</v>
      </c>
      <c r="D3943">
        <v>0.19317186067453301</v>
      </c>
    </row>
    <row r="3944" spans="1:4" hidden="1" x14ac:dyDescent="0.3">
      <c r="A3944">
        <v>3942</v>
      </c>
      <c r="B3944" s="1" t="s">
        <v>4537</v>
      </c>
      <c r="C3944" t="s">
        <v>152</v>
      </c>
      <c r="D3944" s="1" t="s">
        <v>4538</v>
      </c>
    </row>
    <row r="3945" spans="1:4" hidden="1" x14ac:dyDescent="0.3">
      <c r="A3945">
        <v>3943</v>
      </c>
      <c r="B3945" t="s">
        <v>153</v>
      </c>
      <c r="C3945" t="s">
        <v>154</v>
      </c>
      <c r="D3945">
        <v>1</v>
      </c>
    </row>
    <row r="3946" spans="1:4" hidden="1" x14ac:dyDescent="0.3">
      <c r="A3946">
        <v>3944</v>
      </c>
      <c r="B3946" t="s">
        <v>155</v>
      </c>
      <c r="C3946" t="s">
        <v>156</v>
      </c>
      <c r="D3946">
        <v>1</v>
      </c>
    </row>
    <row r="3947" spans="1:4" hidden="1" x14ac:dyDescent="0.3">
      <c r="A3947">
        <v>3945</v>
      </c>
      <c r="B3947" s="1" t="s">
        <v>4539</v>
      </c>
      <c r="C3947" t="s">
        <v>158</v>
      </c>
      <c r="D3947" s="1" t="s">
        <v>4540</v>
      </c>
    </row>
    <row r="3948" spans="1:4" hidden="1" x14ac:dyDescent="0.3">
      <c r="A3948">
        <v>3946</v>
      </c>
      <c r="B3948" t="s">
        <v>4541</v>
      </c>
      <c r="C3948" t="s">
        <v>161</v>
      </c>
      <c r="D3948">
        <v>1.00052570626737</v>
      </c>
    </row>
    <row r="3949" spans="1:4" hidden="1" x14ac:dyDescent="0.3">
      <c r="A3949">
        <v>3947</v>
      </c>
      <c r="B3949" t="s">
        <v>4542</v>
      </c>
      <c r="C3949" t="s">
        <v>163</v>
      </c>
      <c r="D3949">
        <v>0.99901772411419998</v>
      </c>
    </row>
    <row r="3950" spans="1:4" hidden="1" x14ac:dyDescent="0.3">
      <c r="A3950">
        <v>3948</v>
      </c>
      <c r="B3950" s="1" t="s">
        <v>4543</v>
      </c>
      <c r="C3950" t="s">
        <v>165</v>
      </c>
      <c r="D3950" s="1" t="s">
        <v>4544</v>
      </c>
    </row>
    <row r="3951" spans="1:4" hidden="1" x14ac:dyDescent="0.3">
      <c r="A3951">
        <v>3949</v>
      </c>
      <c r="B3951" s="1" t="s">
        <v>4545</v>
      </c>
      <c r="C3951" t="s">
        <v>55</v>
      </c>
      <c r="D3951" s="1" t="s">
        <v>4546</v>
      </c>
    </row>
    <row r="3952" spans="1:4" hidden="1" x14ac:dyDescent="0.3">
      <c r="A3952">
        <v>3950</v>
      </c>
      <c r="B3952" s="1" t="s">
        <v>4547</v>
      </c>
      <c r="C3952" t="s">
        <v>52</v>
      </c>
      <c r="D3952" s="1" t="s">
        <v>4548</v>
      </c>
    </row>
    <row r="3953" spans="1:4" hidden="1" x14ac:dyDescent="0.3">
      <c r="A3953">
        <v>3951</v>
      </c>
      <c r="B3953" s="1" t="s">
        <v>4549</v>
      </c>
      <c r="C3953" t="s">
        <v>58</v>
      </c>
      <c r="D3953" s="1" t="s">
        <v>4550</v>
      </c>
    </row>
    <row r="3954" spans="1:4" hidden="1" x14ac:dyDescent="0.3">
      <c r="A3954">
        <v>3952</v>
      </c>
      <c r="B3954" t="s">
        <v>4551</v>
      </c>
      <c r="C3954" t="s">
        <v>60</v>
      </c>
      <c r="D3954">
        <v>149898915.59470999</v>
      </c>
    </row>
    <row r="3955" spans="1:4" hidden="1" x14ac:dyDescent="0.3">
      <c r="A3955">
        <v>3953</v>
      </c>
      <c r="B3955" t="s">
        <v>4552</v>
      </c>
      <c r="C3955" t="s">
        <v>62</v>
      </c>
      <c r="D3955">
        <v>80017949.271696404</v>
      </c>
    </row>
    <row r="3956" spans="1:4" hidden="1" x14ac:dyDescent="0.3">
      <c r="A3956">
        <v>3954</v>
      </c>
      <c r="B3956" t="s">
        <v>4553</v>
      </c>
      <c r="C3956" t="s">
        <v>64</v>
      </c>
      <c r="D3956">
        <v>35006681.652786501</v>
      </c>
    </row>
    <row r="3957" spans="1:4" hidden="1" x14ac:dyDescent="0.3">
      <c r="A3957">
        <v>3955</v>
      </c>
      <c r="B3957" s="1" t="s">
        <v>4554</v>
      </c>
      <c r="C3957" t="s">
        <v>66</v>
      </c>
      <c r="D3957" s="1" t="s">
        <v>4555</v>
      </c>
    </row>
    <row r="3958" spans="1:4" hidden="1" x14ac:dyDescent="0.3">
      <c r="A3958">
        <v>3956</v>
      </c>
      <c r="B3958" s="1" t="s">
        <v>4556</v>
      </c>
      <c r="C3958" t="s">
        <v>69</v>
      </c>
      <c r="D3958" s="1" t="s">
        <v>4557</v>
      </c>
    </row>
    <row r="3959" spans="1:4" hidden="1" x14ac:dyDescent="0.3">
      <c r="A3959">
        <v>3957</v>
      </c>
      <c r="B3959" t="s">
        <v>4558</v>
      </c>
      <c r="C3959" t="s">
        <v>72</v>
      </c>
      <c r="D3959">
        <v>1.0001433152125601</v>
      </c>
    </row>
    <row r="3960" spans="1:4" hidden="1" x14ac:dyDescent="0.3">
      <c r="A3960">
        <v>3958</v>
      </c>
      <c r="B3960" t="s">
        <v>73</v>
      </c>
      <c r="C3960" t="s">
        <v>74</v>
      </c>
      <c r="D3960">
        <v>2.7397260273972599E-3</v>
      </c>
    </row>
    <row r="3961" spans="1:4" hidden="1" x14ac:dyDescent="0.3">
      <c r="A3961">
        <v>3959</v>
      </c>
      <c r="B3961" t="s">
        <v>75</v>
      </c>
      <c r="C3961" t="s">
        <v>76</v>
      </c>
      <c r="D3961">
        <v>0</v>
      </c>
    </row>
    <row r="3962" spans="1:4" hidden="1" x14ac:dyDescent="0.3">
      <c r="A3962">
        <v>3960</v>
      </c>
      <c r="B3962" t="s">
        <v>77</v>
      </c>
      <c r="C3962" t="s">
        <v>78</v>
      </c>
      <c r="D3962">
        <v>0</v>
      </c>
    </row>
    <row r="3963" spans="1:4" hidden="1" x14ac:dyDescent="0.3">
      <c r="A3963">
        <v>3961</v>
      </c>
      <c r="B3963" s="1" t="s">
        <v>4559</v>
      </c>
      <c r="C3963" t="s">
        <v>80</v>
      </c>
      <c r="D3963" s="1" t="s">
        <v>4560</v>
      </c>
    </row>
    <row r="3964" spans="1:4" hidden="1" x14ac:dyDescent="0.3">
      <c r="A3964">
        <v>3962</v>
      </c>
      <c r="B3964" t="s">
        <v>4561</v>
      </c>
      <c r="C3964" t="s">
        <v>83</v>
      </c>
      <c r="D3964">
        <v>1.00014162748518</v>
      </c>
    </row>
    <row r="3965" spans="1:4" hidden="1" x14ac:dyDescent="0.3">
      <c r="A3965">
        <v>3963</v>
      </c>
      <c r="B3965" s="1" t="s">
        <v>4562</v>
      </c>
      <c r="C3965" t="s">
        <v>85</v>
      </c>
      <c r="D3965" s="1" t="s">
        <v>4563</v>
      </c>
    </row>
    <row r="3966" spans="1:4" hidden="1" x14ac:dyDescent="0.3">
      <c r="A3966">
        <v>3964</v>
      </c>
      <c r="B3966" t="s">
        <v>4564</v>
      </c>
      <c r="C3966" t="s">
        <v>88</v>
      </c>
      <c r="D3966">
        <v>99985839.257031396</v>
      </c>
    </row>
    <row r="3967" spans="1:4" hidden="1" x14ac:dyDescent="0.3">
      <c r="A3967">
        <v>3965</v>
      </c>
      <c r="B3967" s="1" t="s">
        <v>4565</v>
      </c>
      <c r="C3967" t="s">
        <v>90</v>
      </c>
      <c r="D3967" s="1" t="s">
        <v>4511</v>
      </c>
    </row>
    <row r="3968" spans="1:4" hidden="1" x14ac:dyDescent="0.3">
      <c r="A3968">
        <v>3966</v>
      </c>
      <c r="B3968" t="s">
        <v>4566</v>
      </c>
      <c r="C3968" t="s">
        <v>93</v>
      </c>
      <c r="D3968">
        <v>80017949.271696404</v>
      </c>
    </row>
    <row r="3969" spans="1:4" hidden="1" x14ac:dyDescent="0.3">
      <c r="A3969">
        <v>3967</v>
      </c>
      <c r="B3969" t="s">
        <v>4567</v>
      </c>
      <c r="C3969" t="s">
        <v>95</v>
      </c>
      <c r="D3969">
        <v>35006681.652786501</v>
      </c>
    </row>
    <row r="3970" spans="1:4" hidden="1" x14ac:dyDescent="0.3">
      <c r="A3970">
        <v>3968</v>
      </c>
      <c r="B3970" t="s">
        <v>4568</v>
      </c>
      <c r="C3970" t="s">
        <v>97</v>
      </c>
      <c r="D3970">
        <v>34874284.670227699</v>
      </c>
    </row>
    <row r="3971" spans="1:4" hidden="1" x14ac:dyDescent="0.3">
      <c r="A3971">
        <v>3969</v>
      </c>
      <c r="B3971" s="1" t="s">
        <v>4569</v>
      </c>
      <c r="C3971" t="s">
        <v>99</v>
      </c>
      <c r="D3971" s="1" t="s">
        <v>4570</v>
      </c>
    </row>
    <row r="3972" spans="1:4" hidden="1" x14ac:dyDescent="0.3">
      <c r="A3972">
        <v>3970</v>
      </c>
      <c r="B3972" t="s">
        <v>4571</v>
      </c>
      <c r="C3972" t="s">
        <v>102</v>
      </c>
      <c r="D3972">
        <v>9.2900949745995404E-3</v>
      </c>
    </row>
    <row r="3973" spans="1:4" hidden="1" x14ac:dyDescent="0.3">
      <c r="A3973">
        <v>3971</v>
      </c>
      <c r="B3973" t="s">
        <v>4572</v>
      </c>
      <c r="C3973" t="s">
        <v>104</v>
      </c>
      <c r="D3973">
        <v>1.6359804934754599E-3</v>
      </c>
    </row>
    <row r="3974" spans="1:4" hidden="1" x14ac:dyDescent="0.3">
      <c r="A3974">
        <v>3972</v>
      </c>
      <c r="B3974" t="s">
        <v>4573</v>
      </c>
      <c r="C3974" t="s">
        <v>106</v>
      </c>
      <c r="D3974">
        <v>2.1140928517639501E-2</v>
      </c>
    </row>
    <row r="3975" spans="1:4" hidden="1" x14ac:dyDescent="0.3">
      <c r="A3975">
        <v>3973</v>
      </c>
      <c r="B3975" s="1" t="s">
        <v>4574</v>
      </c>
      <c r="C3975" t="s">
        <v>108</v>
      </c>
      <c r="D3975" s="1" t="s">
        <v>4575</v>
      </c>
    </row>
    <row r="3976" spans="1:4" hidden="1" x14ac:dyDescent="0.3">
      <c r="A3976">
        <v>3974</v>
      </c>
      <c r="B3976" t="s">
        <v>4576</v>
      </c>
      <c r="C3976" t="s">
        <v>196</v>
      </c>
      <c r="D3976">
        <v>149898857.46823001</v>
      </c>
    </row>
    <row r="3977" spans="1:4" hidden="1" x14ac:dyDescent="0.3">
      <c r="A3977">
        <v>3975</v>
      </c>
      <c r="B3977" t="s">
        <v>4577</v>
      </c>
      <c r="C3977" t="s">
        <v>198</v>
      </c>
      <c r="D3977">
        <v>135.02905543888599</v>
      </c>
    </row>
    <row r="3978" spans="1:4" hidden="1" x14ac:dyDescent="0.3">
      <c r="A3978">
        <v>3976</v>
      </c>
      <c r="B3978" t="s">
        <v>4578</v>
      </c>
      <c r="C3978" t="s">
        <v>200</v>
      </c>
      <c r="D3978">
        <v>59.073257306058501</v>
      </c>
    </row>
    <row r="3979" spans="1:4" hidden="1" x14ac:dyDescent="0.3">
      <c r="A3979">
        <v>3977</v>
      </c>
      <c r="B3979" s="1" t="s">
        <v>4579</v>
      </c>
      <c r="C3979" t="s">
        <v>202</v>
      </c>
      <c r="D3979" s="1" t="s">
        <v>4580</v>
      </c>
    </row>
    <row r="3980" spans="1:4" hidden="1" x14ac:dyDescent="0.3">
      <c r="A3980">
        <v>3978</v>
      </c>
      <c r="B3980" t="s">
        <v>4581</v>
      </c>
      <c r="C3980" t="s">
        <v>205</v>
      </c>
      <c r="D3980">
        <v>80017769.202502102</v>
      </c>
    </row>
    <row r="3981" spans="1:4" hidden="1" x14ac:dyDescent="0.3">
      <c r="A3981">
        <v>3979</v>
      </c>
      <c r="B3981" t="s">
        <v>4582</v>
      </c>
      <c r="C3981" t="s">
        <v>207</v>
      </c>
      <c r="D3981">
        <v>35006615.826440297</v>
      </c>
    </row>
    <row r="3982" spans="1:4" hidden="1" x14ac:dyDescent="0.3">
      <c r="A3982">
        <v>3980</v>
      </c>
      <c r="B3982" t="s">
        <v>4583</v>
      </c>
      <c r="C3982" t="s">
        <v>209</v>
      </c>
      <c r="D3982">
        <v>34874219.487134904</v>
      </c>
    </row>
    <row r="3983" spans="1:4" hidden="1" x14ac:dyDescent="0.3">
      <c r="A3983">
        <v>3981</v>
      </c>
      <c r="B3983" s="1" t="s">
        <v>4584</v>
      </c>
      <c r="C3983" t="s">
        <v>211</v>
      </c>
      <c r="D3983" s="1" t="s">
        <v>4585</v>
      </c>
    </row>
    <row r="3984" spans="1:4" hidden="1" x14ac:dyDescent="0.3">
      <c r="A3984">
        <v>3982</v>
      </c>
      <c r="B3984" t="s">
        <v>4586</v>
      </c>
      <c r="C3984" t="s">
        <v>214</v>
      </c>
      <c r="D3984">
        <v>99985670.532374606</v>
      </c>
    </row>
    <row r="3985" spans="1:4" hidden="1" x14ac:dyDescent="0.3">
      <c r="A3985">
        <v>3983</v>
      </c>
      <c r="B3985" t="s">
        <v>4587</v>
      </c>
      <c r="C3985" t="s">
        <v>216</v>
      </c>
      <c r="D3985">
        <v>168.724656835198</v>
      </c>
    </row>
    <row r="3986" spans="1:4" hidden="1" x14ac:dyDescent="0.3">
      <c r="A3986">
        <v>3984</v>
      </c>
      <c r="B3986" s="1" t="s">
        <v>4588</v>
      </c>
      <c r="C3986" t="s">
        <v>218</v>
      </c>
      <c r="D3986" s="1" t="s">
        <v>4589</v>
      </c>
    </row>
    <row r="3987" spans="1:4" hidden="1" x14ac:dyDescent="0.3">
      <c r="A3987">
        <v>3985</v>
      </c>
      <c r="B3987" t="s">
        <v>4590</v>
      </c>
      <c r="C3987" t="s">
        <v>111</v>
      </c>
      <c r="D3987">
        <v>-45.040138805585997</v>
      </c>
    </row>
    <row r="3988" spans="1:4" hidden="1" x14ac:dyDescent="0.3">
      <c r="A3988">
        <v>3986</v>
      </c>
      <c r="B3988" t="s">
        <v>4591</v>
      </c>
      <c r="C3988" t="s">
        <v>113</v>
      </c>
      <c r="D3988">
        <v>-6.7530889509329599</v>
      </c>
    </row>
    <row r="3989" spans="1:4" hidden="1" x14ac:dyDescent="0.3">
      <c r="A3989">
        <v>3987</v>
      </c>
      <c r="B3989" s="1" t="s">
        <v>4592</v>
      </c>
      <c r="C3989" t="s">
        <v>115</v>
      </c>
      <c r="D3989" s="1" t="s">
        <v>4593</v>
      </c>
    </row>
    <row r="3990" spans="1:4" hidden="1" x14ac:dyDescent="0.3">
      <c r="A3990">
        <v>3988</v>
      </c>
      <c r="B3990" t="s">
        <v>4594</v>
      </c>
      <c r="C3990" t="s">
        <v>118</v>
      </c>
      <c r="D3990">
        <v>80017769.202502102</v>
      </c>
    </row>
    <row r="3991" spans="1:4" hidden="1" x14ac:dyDescent="0.3">
      <c r="A3991">
        <v>3989</v>
      </c>
      <c r="B3991" t="s">
        <v>4595</v>
      </c>
      <c r="C3991" t="s">
        <v>120</v>
      </c>
      <c r="D3991">
        <v>35006615.826440297</v>
      </c>
    </row>
    <row r="3992" spans="1:4" hidden="1" x14ac:dyDescent="0.3">
      <c r="A3992">
        <v>3990</v>
      </c>
      <c r="B3992" s="1" t="s">
        <v>4596</v>
      </c>
      <c r="C3992" t="s">
        <v>122</v>
      </c>
      <c r="D3992" s="1" t="s">
        <v>4597</v>
      </c>
    </row>
    <row r="3993" spans="1:4" hidden="1" x14ac:dyDescent="0.3">
      <c r="A3993">
        <v>3991</v>
      </c>
      <c r="B3993" t="s">
        <v>4598</v>
      </c>
      <c r="C3993" t="s">
        <v>125</v>
      </c>
      <c r="D3993">
        <v>0.80017904231557602</v>
      </c>
    </row>
    <row r="3994" spans="1:4" hidden="1" x14ac:dyDescent="0.3">
      <c r="A3994">
        <v>3992</v>
      </c>
      <c r="B3994" t="s">
        <v>4599</v>
      </c>
      <c r="C3994" t="s">
        <v>127</v>
      </c>
      <c r="D3994">
        <v>0.35006674899697598</v>
      </c>
    </row>
    <row r="3995" spans="1:4" hidden="1" x14ac:dyDescent="0.3">
      <c r="A3995">
        <v>3993</v>
      </c>
      <c r="B3995" s="1" t="s">
        <v>4600</v>
      </c>
      <c r="C3995" t="s">
        <v>129</v>
      </c>
      <c r="D3995" s="1" t="s">
        <v>4601</v>
      </c>
    </row>
    <row r="3996" spans="1:4" ht="72" x14ac:dyDescent="0.3">
      <c r="A3996">
        <v>3994</v>
      </c>
      <c r="B3996" s="1" t="s">
        <v>3</v>
      </c>
      <c r="C3996" t="s">
        <v>4</v>
      </c>
      <c r="D3996" t="s">
        <v>5</v>
      </c>
    </row>
    <row r="3997" spans="1:4" hidden="1" x14ac:dyDescent="0.3">
      <c r="A3997">
        <v>3995</v>
      </c>
      <c r="B3997" t="s">
        <v>6</v>
      </c>
      <c r="C3997" t="s">
        <v>7</v>
      </c>
      <c r="D3997">
        <v>1981.95</v>
      </c>
    </row>
    <row r="3998" spans="1:4" hidden="1" x14ac:dyDescent="0.3">
      <c r="A3998">
        <v>3996</v>
      </c>
      <c r="B3998" s="1" t="s">
        <v>131</v>
      </c>
      <c r="C3998" t="s">
        <v>9</v>
      </c>
      <c r="D3998" s="1" t="s">
        <v>132</v>
      </c>
    </row>
    <row r="3999" spans="1:4" hidden="1" x14ac:dyDescent="0.3">
      <c r="A3999">
        <v>3997</v>
      </c>
      <c r="B3999" t="s">
        <v>13</v>
      </c>
      <c r="C3999" t="s">
        <v>14</v>
      </c>
      <c r="D3999">
        <v>91.74609375</v>
      </c>
    </row>
    <row r="4000" spans="1:4" hidden="1" x14ac:dyDescent="0.3">
      <c r="A4000">
        <v>3998</v>
      </c>
      <c r="B4000" t="s">
        <v>15</v>
      </c>
      <c r="C4000" t="s">
        <v>16</v>
      </c>
      <c r="D4000">
        <v>4.1883572307132804</v>
      </c>
    </row>
    <row r="4001" spans="1:4" hidden="1" x14ac:dyDescent="0.3">
      <c r="A4001">
        <v>3999</v>
      </c>
      <c r="B4001" s="1" t="s">
        <v>133</v>
      </c>
      <c r="C4001" t="s">
        <v>134</v>
      </c>
      <c r="D4001" s="1" t="s">
        <v>135</v>
      </c>
    </row>
    <row r="4002" spans="1:4" hidden="1" x14ac:dyDescent="0.3">
      <c r="A4002">
        <v>4000</v>
      </c>
      <c r="B4002" t="s">
        <v>21</v>
      </c>
      <c r="C4002" t="s">
        <v>22</v>
      </c>
      <c r="D4002">
        <v>38.25</v>
      </c>
    </row>
    <row r="4003" spans="1:4" hidden="1" x14ac:dyDescent="0.3">
      <c r="A4003">
        <v>4001</v>
      </c>
      <c r="B4003" t="s">
        <v>4602</v>
      </c>
      <c r="C4003" t="s">
        <v>24</v>
      </c>
      <c r="D4003">
        <v>5.64881102458701</v>
      </c>
    </row>
    <row r="4004" spans="1:4" hidden="1" x14ac:dyDescent="0.3">
      <c r="A4004">
        <v>4002</v>
      </c>
      <c r="B4004" s="1" t="s">
        <v>4603</v>
      </c>
      <c r="C4004" t="s">
        <v>138</v>
      </c>
      <c r="D4004" s="1" t="s">
        <v>4604</v>
      </c>
    </row>
    <row r="4005" spans="1:4" hidden="1" x14ac:dyDescent="0.3">
      <c r="A4005">
        <v>4003</v>
      </c>
      <c r="B4005" t="s">
        <v>4605</v>
      </c>
      <c r="C4005" t="s">
        <v>35</v>
      </c>
      <c r="D4005">
        <v>0.54719040744679504</v>
      </c>
    </row>
    <row r="4006" spans="1:4" hidden="1" x14ac:dyDescent="0.3">
      <c r="A4006">
        <v>4004</v>
      </c>
      <c r="B4006" t="s">
        <v>4606</v>
      </c>
      <c r="C4006" t="s">
        <v>142</v>
      </c>
      <c r="D4006">
        <v>0.69938162347979405</v>
      </c>
    </row>
    <row r="4007" spans="1:4" hidden="1" x14ac:dyDescent="0.3">
      <c r="A4007">
        <v>4005</v>
      </c>
      <c r="B4007" s="1" t="s">
        <v>4607</v>
      </c>
      <c r="C4007" t="s">
        <v>144</v>
      </c>
      <c r="D4007" s="1" t="s">
        <v>4608</v>
      </c>
    </row>
    <row r="4008" spans="1:4" hidden="1" x14ac:dyDescent="0.3">
      <c r="A4008">
        <v>4006</v>
      </c>
      <c r="B4008" t="s">
        <v>4609</v>
      </c>
      <c r="C4008" t="s">
        <v>30</v>
      </c>
      <c r="D4008">
        <v>0.19324278883652099</v>
      </c>
    </row>
    <row r="4009" spans="1:4" hidden="1" x14ac:dyDescent="0.3">
      <c r="A4009">
        <v>4007</v>
      </c>
      <c r="B4009" t="s">
        <v>4610</v>
      </c>
      <c r="C4009" t="s">
        <v>32</v>
      </c>
      <c r="D4009">
        <v>0.23537091554285799</v>
      </c>
    </row>
    <row r="4010" spans="1:4" hidden="1" x14ac:dyDescent="0.3">
      <c r="A4010">
        <v>4008</v>
      </c>
      <c r="B4010" s="1" t="s">
        <v>4611</v>
      </c>
      <c r="C4010" t="s">
        <v>148</v>
      </c>
      <c r="D4010" s="1" t="s">
        <v>4612</v>
      </c>
    </row>
    <row r="4011" spans="1:4" hidden="1" x14ac:dyDescent="0.3">
      <c r="A4011">
        <v>4009</v>
      </c>
      <c r="B4011" t="s">
        <v>4613</v>
      </c>
      <c r="C4011" t="s">
        <v>40</v>
      </c>
      <c r="D4011">
        <v>0.259566803716682</v>
      </c>
    </row>
    <row r="4012" spans="1:4" hidden="1" x14ac:dyDescent="0.3">
      <c r="A4012">
        <v>4010</v>
      </c>
      <c r="B4012" t="s">
        <v>4614</v>
      </c>
      <c r="C4012" t="s">
        <v>42</v>
      </c>
      <c r="D4012">
        <v>0.194463621750915</v>
      </c>
    </row>
    <row r="4013" spans="1:4" hidden="1" x14ac:dyDescent="0.3">
      <c r="A4013">
        <v>4011</v>
      </c>
      <c r="B4013" s="1" t="s">
        <v>4615</v>
      </c>
      <c r="C4013" t="s">
        <v>152</v>
      </c>
      <c r="D4013" s="1" t="s">
        <v>4616</v>
      </c>
    </row>
    <row r="4014" spans="1:4" hidden="1" x14ac:dyDescent="0.3">
      <c r="A4014">
        <v>4012</v>
      </c>
      <c r="B4014" t="s">
        <v>153</v>
      </c>
      <c r="C4014" t="s">
        <v>154</v>
      </c>
      <c r="D4014">
        <v>1</v>
      </c>
    </row>
    <row r="4015" spans="1:4" hidden="1" x14ac:dyDescent="0.3">
      <c r="A4015">
        <v>4013</v>
      </c>
      <c r="B4015" t="s">
        <v>155</v>
      </c>
      <c r="C4015" t="s">
        <v>156</v>
      </c>
      <c r="D4015">
        <v>1</v>
      </c>
    </row>
    <row r="4016" spans="1:4" hidden="1" x14ac:dyDescent="0.3">
      <c r="A4016">
        <v>4014</v>
      </c>
      <c r="B4016" s="1" t="s">
        <v>4617</v>
      </c>
      <c r="C4016" t="s">
        <v>158</v>
      </c>
      <c r="D4016" s="1" t="s">
        <v>4618</v>
      </c>
    </row>
    <row r="4017" spans="1:4" hidden="1" x14ac:dyDescent="0.3">
      <c r="A4017">
        <v>4015</v>
      </c>
      <c r="B4017" t="s">
        <v>4619</v>
      </c>
      <c r="C4017" t="s">
        <v>161</v>
      </c>
      <c r="D4017">
        <v>0.99921374156879605</v>
      </c>
    </row>
    <row r="4018" spans="1:4" hidden="1" x14ac:dyDescent="0.3">
      <c r="A4018">
        <v>4016</v>
      </c>
      <c r="B4018" t="s">
        <v>4620</v>
      </c>
      <c r="C4018" t="s">
        <v>163</v>
      </c>
      <c r="D4018">
        <v>1.00116443712629</v>
      </c>
    </row>
    <row r="4019" spans="1:4" hidden="1" x14ac:dyDescent="0.3">
      <c r="A4019">
        <v>4017</v>
      </c>
      <c r="B4019" s="1" t="s">
        <v>4621</v>
      </c>
      <c r="C4019" t="s">
        <v>165</v>
      </c>
      <c r="D4019" s="1" t="s">
        <v>4622</v>
      </c>
    </row>
    <row r="4020" spans="1:4" hidden="1" x14ac:dyDescent="0.3">
      <c r="A4020">
        <v>4018</v>
      </c>
      <c r="B4020" s="1" t="s">
        <v>4623</v>
      </c>
      <c r="C4020" t="s">
        <v>55</v>
      </c>
      <c r="D4020" s="1" t="s">
        <v>4624</v>
      </c>
    </row>
    <row r="4021" spans="1:4" hidden="1" x14ac:dyDescent="0.3">
      <c r="A4021">
        <v>4019</v>
      </c>
      <c r="B4021" s="1" t="s">
        <v>4625</v>
      </c>
      <c r="C4021" t="s">
        <v>52</v>
      </c>
      <c r="D4021" s="1" t="s">
        <v>4626</v>
      </c>
    </row>
    <row r="4022" spans="1:4" hidden="1" x14ac:dyDescent="0.3">
      <c r="A4022">
        <v>4020</v>
      </c>
      <c r="B4022" s="1" t="s">
        <v>4627</v>
      </c>
      <c r="C4022" t="s">
        <v>58</v>
      </c>
      <c r="D4022" s="1" t="s">
        <v>4628</v>
      </c>
    </row>
    <row r="4023" spans="1:4" hidden="1" x14ac:dyDescent="0.3">
      <c r="A4023">
        <v>4021</v>
      </c>
      <c r="B4023" t="s">
        <v>4629</v>
      </c>
      <c r="C4023" t="s">
        <v>60</v>
      </c>
      <c r="D4023">
        <v>149883001.638843</v>
      </c>
    </row>
    <row r="4024" spans="1:4" hidden="1" x14ac:dyDescent="0.3">
      <c r="A4024">
        <v>4022</v>
      </c>
      <c r="B4024" t="s">
        <v>4630</v>
      </c>
      <c r="C4024" t="s">
        <v>62</v>
      </c>
      <c r="D4024">
        <v>80017769.202502102</v>
      </c>
    </row>
    <row r="4025" spans="1:4" hidden="1" x14ac:dyDescent="0.3">
      <c r="A4025">
        <v>4023</v>
      </c>
      <c r="B4025" t="s">
        <v>4631</v>
      </c>
      <c r="C4025" t="s">
        <v>64</v>
      </c>
      <c r="D4025">
        <v>35006615.826440297</v>
      </c>
    </row>
    <row r="4026" spans="1:4" hidden="1" x14ac:dyDescent="0.3">
      <c r="A4026">
        <v>4024</v>
      </c>
      <c r="B4026" s="1" t="s">
        <v>4632</v>
      </c>
      <c r="C4026" t="s">
        <v>66</v>
      </c>
      <c r="D4026" s="1" t="s">
        <v>4633</v>
      </c>
    </row>
    <row r="4027" spans="1:4" hidden="1" x14ac:dyDescent="0.3">
      <c r="A4027">
        <v>4025</v>
      </c>
      <c r="B4027" s="1" t="s">
        <v>4634</v>
      </c>
      <c r="C4027" t="s">
        <v>69</v>
      </c>
      <c r="D4027" s="1" t="s">
        <v>4635</v>
      </c>
    </row>
    <row r="4028" spans="1:4" hidden="1" x14ac:dyDescent="0.3">
      <c r="A4028">
        <v>4026</v>
      </c>
      <c r="B4028" t="s">
        <v>4636</v>
      </c>
      <c r="C4028" t="s">
        <v>72</v>
      </c>
      <c r="D4028">
        <v>1.00014162748518</v>
      </c>
    </row>
    <row r="4029" spans="1:4" hidden="1" x14ac:dyDescent="0.3">
      <c r="A4029">
        <v>4027</v>
      </c>
      <c r="B4029" t="s">
        <v>73</v>
      </c>
      <c r="C4029" t="s">
        <v>74</v>
      </c>
      <c r="D4029">
        <v>2.7397260273972599E-3</v>
      </c>
    </row>
    <row r="4030" spans="1:4" hidden="1" x14ac:dyDescent="0.3">
      <c r="A4030">
        <v>4028</v>
      </c>
      <c r="B4030" t="s">
        <v>75</v>
      </c>
      <c r="C4030" t="s">
        <v>76</v>
      </c>
      <c r="D4030">
        <v>0</v>
      </c>
    </row>
    <row r="4031" spans="1:4" hidden="1" x14ac:dyDescent="0.3">
      <c r="A4031">
        <v>4029</v>
      </c>
      <c r="B4031" t="s">
        <v>77</v>
      </c>
      <c r="C4031" t="s">
        <v>78</v>
      </c>
      <c r="D4031">
        <v>0</v>
      </c>
    </row>
    <row r="4032" spans="1:4" hidden="1" x14ac:dyDescent="0.3">
      <c r="A4032">
        <v>4030</v>
      </c>
      <c r="B4032" s="1" t="s">
        <v>4637</v>
      </c>
      <c r="C4032" t="s">
        <v>80</v>
      </c>
      <c r="D4032" s="1" t="s">
        <v>4638</v>
      </c>
    </row>
    <row r="4033" spans="1:4" hidden="1" x14ac:dyDescent="0.3">
      <c r="A4033">
        <v>4031</v>
      </c>
      <c r="B4033" t="s">
        <v>4639</v>
      </c>
      <c r="C4033" t="s">
        <v>83</v>
      </c>
      <c r="D4033">
        <v>1.00013913973271</v>
      </c>
    </row>
    <row r="4034" spans="1:4" hidden="1" x14ac:dyDescent="0.3">
      <c r="A4034">
        <v>4032</v>
      </c>
      <c r="B4034" s="1" t="s">
        <v>4640</v>
      </c>
      <c r="C4034" t="s">
        <v>85</v>
      </c>
      <c r="D4034" s="1" t="s">
        <v>4641</v>
      </c>
    </row>
    <row r="4035" spans="1:4" hidden="1" x14ac:dyDescent="0.3">
      <c r="A4035">
        <v>4033</v>
      </c>
      <c r="B4035" t="s">
        <v>4642</v>
      </c>
      <c r="C4035" t="s">
        <v>88</v>
      </c>
      <c r="D4035">
        <v>99986087.962445602</v>
      </c>
    </row>
    <row r="4036" spans="1:4" hidden="1" x14ac:dyDescent="0.3">
      <c r="A4036">
        <v>4034</v>
      </c>
      <c r="B4036" s="1" t="s">
        <v>4643</v>
      </c>
      <c r="C4036" t="s">
        <v>90</v>
      </c>
      <c r="D4036" s="1" t="s">
        <v>4589</v>
      </c>
    </row>
    <row r="4037" spans="1:4" hidden="1" x14ac:dyDescent="0.3">
      <c r="A4037">
        <v>4035</v>
      </c>
      <c r="B4037" t="s">
        <v>4644</v>
      </c>
      <c r="C4037" t="s">
        <v>93</v>
      </c>
      <c r="D4037">
        <v>80017769.202502102</v>
      </c>
    </row>
    <row r="4038" spans="1:4" hidden="1" x14ac:dyDescent="0.3">
      <c r="A4038">
        <v>4036</v>
      </c>
      <c r="B4038" t="s">
        <v>4645</v>
      </c>
      <c r="C4038" t="s">
        <v>95</v>
      </c>
      <c r="D4038">
        <v>35006615.826440297</v>
      </c>
    </row>
    <row r="4039" spans="1:4" hidden="1" x14ac:dyDescent="0.3">
      <c r="A4039">
        <v>4037</v>
      </c>
      <c r="B4039" t="s">
        <v>4646</v>
      </c>
      <c r="C4039" t="s">
        <v>97</v>
      </c>
      <c r="D4039">
        <v>34858616.609900497</v>
      </c>
    </row>
    <row r="4040" spans="1:4" hidden="1" x14ac:dyDescent="0.3">
      <c r="A4040">
        <v>4038</v>
      </c>
      <c r="B4040" s="1" t="s">
        <v>4647</v>
      </c>
      <c r="C4040" t="s">
        <v>99</v>
      </c>
      <c r="D4040" s="1" t="s">
        <v>4648</v>
      </c>
    </row>
    <row r="4041" spans="1:4" hidden="1" x14ac:dyDescent="0.3">
      <c r="A4041">
        <v>4039</v>
      </c>
      <c r="B4041" t="s">
        <v>4649</v>
      </c>
      <c r="C4041" t="s">
        <v>102</v>
      </c>
      <c r="D4041">
        <v>9.3621095515294597E-3</v>
      </c>
    </row>
    <row r="4042" spans="1:4" hidden="1" x14ac:dyDescent="0.3">
      <c r="A4042">
        <v>4040</v>
      </c>
      <c r="B4042" t="s">
        <v>4650</v>
      </c>
      <c r="C4042" t="s">
        <v>104</v>
      </c>
      <c r="D4042">
        <v>1.6545038628668601E-3</v>
      </c>
    </row>
    <row r="4043" spans="1:4" hidden="1" x14ac:dyDescent="0.3">
      <c r="A4043">
        <v>4041</v>
      </c>
      <c r="B4043" t="s">
        <v>4651</v>
      </c>
      <c r="C4043" t="s">
        <v>106</v>
      </c>
      <c r="D4043">
        <v>2.1384611495088201E-2</v>
      </c>
    </row>
    <row r="4044" spans="1:4" hidden="1" x14ac:dyDescent="0.3">
      <c r="A4044">
        <v>4042</v>
      </c>
      <c r="B4044" s="1" t="s">
        <v>4652</v>
      </c>
      <c r="C4044" t="s">
        <v>108</v>
      </c>
      <c r="D4044" s="1" t="s">
        <v>4653</v>
      </c>
    </row>
    <row r="4045" spans="1:4" hidden="1" x14ac:dyDescent="0.3">
      <c r="A4045">
        <v>4043</v>
      </c>
      <c r="B4045" t="s">
        <v>4654</v>
      </c>
      <c r="C4045" t="s">
        <v>196</v>
      </c>
      <c r="D4045">
        <v>149882915.988848</v>
      </c>
    </row>
    <row r="4046" spans="1:4" hidden="1" x14ac:dyDescent="0.3">
      <c r="A4046">
        <v>4044</v>
      </c>
      <c r="B4046" t="s">
        <v>4655</v>
      </c>
      <c r="C4046" t="s">
        <v>198</v>
      </c>
      <c r="D4046">
        <v>199.03604910977</v>
      </c>
    </row>
    <row r="4047" spans="1:4" hidden="1" x14ac:dyDescent="0.3">
      <c r="A4047">
        <v>4045</v>
      </c>
      <c r="B4047" t="s">
        <v>4656</v>
      </c>
      <c r="C4047" t="s">
        <v>200</v>
      </c>
      <c r="D4047">
        <v>87.075438120036793</v>
      </c>
    </row>
    <row r="4048" spans="1:4" hidden="1" x14ac:dyDescent="0.3">
      <c r="A4048">
        <v>4046</v>
      </c>
      <c r="B4048" s="1" t="s">
        <v>4657</v>
      </c>
      <c r="C4048" t="s">
        <v>202</v>
      </c>
      <c r="D4048" s="1" t="s">
        <v>4658</v>
      </c>
    </row>
    <row r="4049" spans="1:4" hidden="1" x14ac:dyDescent="0.3">
      <c r="A4049">
        <v>4047</v>
      </c>
      <c r="B4049" t="s">
        <v>4659</v>
      </c>
      <c r="C4049" t="s">
        <v>205</v>
      </c>
      <c r="D4049">
        <v>80017503.769094005</v>
      </c>
    </row>
    <row r="4050" spans="1:4" hidden="1" x14ac:dyDescent="0.3">
      <c r="A4050">
        <v>4048</v>
      </c>
      <c r="B4050" t="s">
        <v>4660</v>
      </c>
      <c r="C4050" t="s">
        <v>207</v>
      </c>
      <c r="D4050">
        <v>35006518.814704202</v>
      </c>
    </row>
    <row r="4051" spans="1:4" hidden="1" x14ac:dyDescent="0.3">
      <c r="A4051">
        <v>4049</v>
      </c>
      <c r="B4051" t="s">
        <v>4661</v>
      </c>
      <c r="C4051" t="s">
        <v>209</v>
      </c>
      <c r="D4051">
        <v>34858520.5862564</v>
      </c>
    </row>
    <row r="4052" spans="1:4" hidden="1" x14ac:dyDescent="0.3">
      <c r="A4052">
        <v>4050</v>
      </c>
      <c r="B4052" s="1" t="s">
        <v>4662</v>
      </c>
      <c r="C4052" t="s">
        <v>211</v>
      </c>
      <c r="D4052" s="1" t="s">
        <v>4663</v>
      </c>
    </row>
    <row r="4053" spans="1:4" hidden="1" x14ac:dyDescent="0.3">
      <c r="A4053">
        <v>4051</v>
      </c>
      <c r="B4053" t="s">
        <v>4664</v>
      </c>
      <c r="C4053" t="s">
        <v>214</v>
      </c>
      <c r="D4053">
        <v>99985839.257031396</v>
      </c>
    </row>
    <row r="4054" spans="1:4" hidden="1" x14ac:dyDescent="0.3">
      <c r="A4054">
        <v>4052</v>
      </c>
      <c r="B4054" t="s">
        <v>4665</v>
      </c>
      <c r="C4054" t="s">
        <v>216</v>
      </c>
      <c r="D4054">
        <v>248.70541413128299</v>
      </c>
    </row>
    <row r="4055" spans="1:4" hidden="1" x14ac:dyDescent="0.3">
      <c r="A4055">
        <v>4053</v>
      </c>
      <c r="B4055" s="1" t="s">
        <v>4666</v>
      </c>
      <c r="C4055" t="s">
        <v>218</v>
      </c>
      <c r="D4055" s="1" t="s">
        <v>4667</v>
      </c>
    </row>
    <row r="4056" spans="1:4" hidden="1" x14ac:dyDescent="0.3">
      <c r="A4056">
        <v>4054</v>
      </c>
      <c r="B4056" t="s">
        <v>4668</v>
      </c>
      <c r="C4056" t="s">
        <v>111</v>
      </c>
      <c r="D4056">
        <v>-66.397358997669599</v>
      </c>
    </row>
    <row r="4057" spans="1:4" hidden="1" x14ac:dyDescent="0.3">
      <c r="A4057">
        <v>4055</v>
      </c>
      <c r="B4057" t="s">
        <v>4669</v>
      </c>
      <c r="C4057" t="s">
        <v>113</v>
      </c>
      <c r="D4057">
        <v>-9.9362979638298992</v>
      </c>
    </row>
    <row r="4058" spans="1:4" hidden="1" x14ac:dyDescent="0.3">
      <c r="A4058">
        <v>4056</v>
      </c>
      <c r="B4058" s="1" t="s">
        <v>4670</v>
      </c>
      <c r="C4058" t="s">
        <v>115</v>
      </c>
      <c r="D4058" s="1" t="s">
        <v>4671</v>
      </c>
    </row>
    <row r="4059" spans="1:4" hidden="1" x14ac:dyDescent="0.3">
      <c r="A4059">
        <v>4057</v>
      </c>
      <c r="B4059" t="s">
        <v>4672</v>
      </c>
      <c r="C4059" t="s">
        <v>118</v>
      </c>
      <c r="D4059">
        <v>80017503.769094005</v>
      </c>
    </row>
    <row r="4060" spans="1:4" hidden="1" x14ac:dyDescent="0.3">
      <c r="A4060">
        <v>4058</v>
      </c>
      <c r="B4060" t="s">
        <v>4673</v>
      </c>
      <c r="C4060" t="s">
        <v>120</v>
      </c>
      <c r="D4060">
        <v>35006518.814704202</v>
      </c>
    </row>
    <row r="4061" spans="1:4" hidden="1" x14ac:dyDescent="0.3">
      <c r="A4061">
        <v>4059</v>
      </c>
      <c r="B4061" s="1" t="s">
        <v>4674</v>
      </c>
      <c r="C4061" t="s">
        <v>122</v>
      </c>
      <c r="D4061" s="1" t="s">
        <v>4675</v>
      </c>
    </row>
    <row r="4062" spans="1:4" hidden="1" x14ac:dyDescent="0.3">
      <c r="A4062">
        <v>4060</v>
      </c>
      <c r="B4062" t="s">
        <v>4676</v>
      </c>
      <c r="C4062" t="s">
        <v>125</v>
      </c>
      <c r="D4062">
        <v>0.80017702805143198</v>
      </c>
    </row>
    <row r="4063" spans="1:4" hidden="1" x14ac:dyDescent="0.3">
      <c r="A4063">
        <v>4061</v>
      </c>
      <c r="B4063" t="s">
        <v>4677</v>
      </c>
      <c r="C4063" t="s">
        <v>127</v>
      </c>
      <c r="D4063">
        <v>0.35006605890142301</v>
      </c>
    </row>
    <row r="4064" spans="1:4" hidden="1" x14ac:dyDescent="0.3">
      <c r="A4064">
        <v>4062</v>
      </c>
      <c r="B4064" s="1" t="s">
        <v>4678</v>
      </c>
      <c r="C4064" t="s">
        <v>129</v>
      </c>
      <c r="D4064" s="1" t="s">
        <v>4679</v>
      </c>
    </row>
    <row r="4065" spans="1:4" ht="72" x14ac:dyDescent="0.3">
      <c r="A4065">
        <v>4063</v>
      </c>
      <c r="B4065" s="1" t="s">
        <v>3</v>
      </c>
      <c r="C4065" t="s">
        <v>4</v>
      </c>
      <c r="D4065" t="s">
        <v>5</v>
      </c>
    </row>
    <row r="4066" spans="1:4" hidden="1" x14ac:dyDescent="0.3">
      <c r="A4066">
        <v>4064</v>
      </c>
      <c r="B4066" t="s">
        <v>6</v>
      </c>
      <c r="C4066" t="s">
        <v>7</v>
      </c>
      <c r="D4066">
        <v>1981.95</v>
      </c>
    </row>
    <row r="4067" spans="1:4" hidden="1" x14ac:dyDescent="0.3">
      <c r="A4067">
        <v>4065</v>
      </c>
      <c r="B4067" s="1" t="s">
        <v>131</v>
      </c>
      <c r="C4067" t="s">
        <v>9</v>
      </c>
      <c r="D4067" s="1" t="s">
        <v>132</v>
      </c>
    </row>
    <row r="4068" spans="1:4" hidden="1" x14ac:dyDescent="0.3">
      <c r="A4068">
        <v>4066</v>
      </c>
      <c r="B4068" t="s">
        <v>13</v>
      </c>
      <c r="C4068" t="s">
        <v>14</v>
      </c>
      <c r="D4068">
        <v>91.74609375</v>
      </c>
    </row>
    <row r="4069" spans="1:4" hidden="1" x14ac:dyDescent="0.3">
      <c r="A4069">
        <v>4067</v>
      </c>
      <c r="B4069" t="s">
        <v>15</v>
      </c>
      <c r="C4069" t="s">
        <v>16</v>
      </c>
      <c r="D4069">
        <v>4.1883572307132804</v>
      </c>
    </row>
    <row r="4070" spans="1:4" hidden="1" x14ac:dyDescent="0.3">
      <c r="A4070">
        <v>4068</v>
      </c>
      <c r="B4070" s="1" t="s">
        <v>133</v>
      </c>
      <c r="C4070" t="s">
        <v>134</v>
      </c>
      <c r="D4070" s="1" t="s">
        <v>135</v>
      </c>
    </row>
    <row r="4071" spans="1:4" hidden="1" x14ac:dyDescent="0.3">
      <c r="A4071">
        <v>4069</v>
      </c>
      <c r="B4071" t="s">
        <v>21</v>
      </c>
      <c r="C4071" t="s">
        <v>22</v>
      </c>
      <c r="D4071">
        <v>38.25</v>
      </c>
    </row>
    <row r="4072" spans="1:4" hidden="1" x14ac:dyDescent="0.3">
      <c r="A4072">
        <v>4070</v>
      </c>
      <c r="B4072" t="s">
        <v>4680</v>
      </c>
      <c r="C4072" t="s">
        <v>24</v>
      </c>
      <c r="D4072">
        <v>5.6367779183317301</v>
      </c>
    </row>
    <row r="4073" spans="1:4" hidden="1" x14ac:dyDescent="0.3">
      <c r="A4073">
        <v>4071</v>
      </c>
      <c r="B4073" s="1" t="s">
        <v>4681</v>
      </c>
      <c r="C4073" t="s">
        <v>138</v>
      </c>
      <c r="D4073" s="1" t="s">
        <v>4682</v>
      </c>
    </row>
    <row r="4074" spans="1:4" hidden="1" x14ac:dyDescent="0.3">
      <c r="A4074">
        <v>4072</v>
      </c>
      <c r="B4074" t="s">
        <v>4683</v>
      </c>
      <c r="C4074" t="s">
        <v>35</v>
      </c>
      <c r="D4074">
        <v>0.54643534925586101</v>
      </c>
    </row>
    <row r="4075" spans="1:4" hidden="1" x14ac:dyDescent="0.3">
      <c r="A4075">
        <v>4073</v>
      </c>
      <c r="B4075" t="s">
        <v>4684</v>
      </c>
      <c r="C4075" t="s">
        <v>142</v>
      </c>
      <c r="D4075">
        <v>0.70371036662933495</v>
      </c>
    </row>
    <row r="4076" spans="1:4" hidden="1" x14ac:dyDescent="0.3">
      <c r="A4076">
        <v>4074</v>
      </c>
      <c r="B4076" s="1" t="s">
        <v>4685</v>
      </c>
      <c r="C4076" t="s">
        <v>144</v>
      </c>
      <c r="D4076" s="1" t="s">
        <v>4686</v>
      </c>
    </row>
    <row r="4077" spans="1:4" hidden="1" x14ac:dyDescent="0.3">
      <c r="A4077">
        <v>4075</v>
      </c>
      <c r="B4077" t="s">
        <v>4687</v>
      </c>
      <c r="C4077" t="s">
        <v>30</v>
      </c>
      <c r="D4077">
        <v>0.19297613659159099</v>
      </c>
    </row>
    <row r="4078" spans="1:4" hidden="1" x14ac:dyDescent="0.3">
      <c r="A4078">
        <v>4076</v>
      </c>
      <c r="B4078" t="s">
        <v>4688</v>
      </c>
      <c r="C4078" t="s">
        <v>32</v>
      </c>
      <c r="D4078">
        <v>0.23046659464099201</v>
      </c>
    </row>
    <row r="4079" spans="1:4" hidden="1" x14ac:dyDescent="0.3">
      <c r="A4079">
        <v>4077</v>
      </c>
      <c r="B4079" s="1" t="s">
        <v>4689</v>
      </c>
      <c r="C4079" t="s">
        <v>148</v>
      </c>
      <c r="D4079" s="1" t="s">
        <v>4690</v>
      </c>
    </row>
    <row r="4080" spans="1:4" hidden="1" x14ac:dyDescent="0.3">
      <c r="A4080">
        <v>4078</v>
      </c>
      <c r="B4080" t="s">
        <v>4691</v>
      </c>
      <c r="C4080" t="s">
        <v>40</v>
      </c>
      <c r="D4080">
        <v>0.26058851415254702</v>
      </c>
    </row>
    <row r="4081" spans="1:4" hidden="1" x14ac:dyDescent="0.3">
      <c r="A4081">
        <v>4079</v>
      </c>
      <c r="B4081" t="s">
        <v>4692</v>
      </c>
      <c r="C4081" t="s">
        <v>42</v>
      </c>
      <c r="D4081">
        <v>0.19057258201608401</v>
      </c>
    </row>
    <row r="4082" spans="1:4" hidden="1" x14ac:dyDescent="0.3">
      <c r="A4082">
        <v>4080</v>
      </c>
      <c r="B4082" s="1" t="s">
        <v>4693</v>
      </c>
      <c r="C4082" t="s">
        <v>152</v>
      </c>
      <c r="D4082" s="1" t="s">
        <v>4694</v>
      </c>
    </row>
    <row r="4083" spans="1:4" hidden="1" x14ac:dyDescent="0.3">
      <c r="A4083">
        <v>4081</v>
      </c>
      <c r="B4083" t="s">
        <v>153</v>
      </c>
      <c r="C4083" t="s">
        <v>154</v>
      </c>
      <c r="D4083">
        <v>1</v>
      </c>
    </row>
    <row r="4084" spans="1:4" hidden="1" x14ac:dyDescent="0.3">
      <c r="A4084">
        <v>4082</v>
      </c>
      <c r="B4084" t="s">
        <v>155</v>
      </c>
      <c r="C4084" t="s">
        <v>156</v>
      </c>
      <c r="D4084">
        <v>1</v>
      </c>
    </row>
    <row r="4085" spans="1:4" hidden="1" x14ac:dyDescent="0.3">
      <c r="A4085">
        <v>4083</v>
      </c>
      <c r="B4085" s="1" t="s">
        <v>4695</v>
      </c>
      <c r="C4085" t="s">
        <v>158</v>
      </c>
      <c r="D4085" s="1" t="s">
        <v>4696</v>
      </c>
    </row>
    <row r="4086" spans="1:4" hidden="1" x14ac:dyDescent="0.3">
      <c r="A4086">
        <v>4084</v>
      </c>
      <c r="B4086" t="s">
        <v>4697</v>
      </c>
      <c r="C4086" t="s">
        <v>161</v>
      </c>
      <c r="D4086">
        <v>1.00254724606276</v>
      </c>
    </row>
    <row r="4087" spans="1:4" hidden="1" x14ac:dyDescent="0.3">
      <c r="A4087">
        <v>4085</v>
      </c>
      <c r="B4087" t="s">
        <v>4698</v>
      </c>
      <c r="C4087" t="s">
        <v>163</v>
      </c>
      <c r="D4087">
        <v>0.99603008226908796</v>
      </c>
    </row>
    <row r="4088" spans="1:4" hidden="1" x14ac:dyDescent="0.3">
      <c r="A4088">
        <v>4086</v>
      </c>
      <c r="B4088" s="1" t="s">
        <v>4699</v>
      </c>
      <c r="C4088" t="s">
        <v>165</v>
      </c>
      <c r="D4088" s="1" t="s">
        <v>4700</v>
      </c>
    </row>
    <row r="4089" spans="1:4" hidden="1" x14ac:dyDescent="0.3">
      <c r="A4089">
        <v>4087</v>
      </c>
      <c r="B4089" s="1" t="s">
        <v>4701</v>
      </c>
      <c r="C4089" t="s">
        <v>55</v>
      </c>
      <c r="D4089" s="1" t="s">
        <v>4702</v>
      </c>
    </row>
    <row r="4090" spans="1:4" hidden="1" x14ac:dyDescent="0.3">
      <c r="A4090">
        <v>4088</v>
      </c>
      <c r="B4090" s="1" t="s">
        <v>4703</v>
      </c>
      <c r="C4090" t="s">
        <v>52</v>
      </c>
      <c r="D4090" s="1" t="s">
        <v>4704</v>
      </c>
    </row>
    <row r="4091" spans="1:4" hidden="1" x14ac:dyDescent="0.3">
      <c r="A4091">
        <v>4089</v>
      </c>
      <c r="B4091" s="1" t="s">
        <v>4705</v>
      </c>
      <c r="C4091" t="s">
        <v>58</v>
      </c>
      <c r="D4091" s="1" t="s">
        <v>4706</v>
      </c>
    </row>
    <row r="4092" spans="1:4" hidden="1" x14ac:dyDescent="0.3">
      <c r="A4092">
        <v>4090</v>
      </c>
      <c r="B4092" t="s">
        <v>4707</v>
      </c>
      <c r="C4092" t="s">
        <v>60</v>
      </c>
      <c r="D4092">
        <v>149872988.098463</v>
      </c>
    </row>
    <row r="4093" spans="1:4" hidden="1" x14ac:dyDescent="0.3">
      <c r="A4093">
        <v>4091</v>
      </c>
      <c r="B4093" t="s">
        <v>4708</v>
      </c>
      <c r="C4093" t="s">
        <v>62</v>
      </c>
      <c r="D4093">
        <v>80017503.769094005</v>
      </c>
    </row>
    <row r="4094" spans="1:4" hidden="1" x14ac:dyDescent="0.3">
      <c r="A4094">
        <v>4092</v>
      </c>
      <c r="B4094" t="s">
        <v>4709</v>
      </c>
      <c r="C4094" t="s">
        <v>64</v>
      </c>
      <c r="D4094">
        <v>35006518.814704202</v>
      </c>
    </row>
    <row r="4095" spans="1:4" hidden="1" x14ac:dyDescent="0.3">
      <c r="A4095">
        <v>4093</v>
      </c>
      <c r="B4095" s="1" t="s">
        <v>4710</v>
      </c>
      <c r="C4095" t="s">
        <v>66</v>
      </c>
      <c r="D4095" s="1" t="s">
        <v>4711</v>
      </c>
    </row>
    <row r="4096" spans="1:4" hidden="1" x14ac:dyDescent="0.3">
      <c r="A4096">
        <v>4094</v>
      </c>
      <c r="B4096" s="1" t="s">
        <v>4712</v>
      </c>
      <c r="C4096" t="s">
        <v>69</v>
      </c>
      <c r="D4096" s="1" t="s">
        <v>4713</v>
      </c>
    </row>
    <row r="4097" spans="1:4" hidden="1" x14ac:dyDescent="0.3">
      <c r="A4097">
        <v>4095</v>
      </c>
      <c r="B4097" t="s">
        <v>4714</v>
      </c>
      <c r="C4097" t="s">
        <v>72</v>
      </c>
      <c r="D4097">
        <v>1.00013913973271</v>
      </c>
    </row>
    <row r="4098" spans="1:4" hidden="1" x14ac:dyDescent="0.3">
      <c r="A4098">
        <v>4096</v>
      </c>
      <c r="B4098" t="s">
        <v>73</v>
      </c>
      <c r="C4098" t="s">
        <v>74</v>
      </c>
      <c r="D4098">
        <v>2.7397260273972599E-3</v>
      </c>
    </row>
    <row r="4099" spans="1:4" hidden="1" x14ac:dyDescent="0.3">
      <c r="A4099">
        <v>4097</v>
      </c>
      <c r="B4099" t="s">
        <v>75</v>
      </c>
      <c r="C4099" t="s">
        <v>76</v>
      </c>
      <c r="D4099">
        <v>0</v>
      </c>
    </row>
    <row r="4100" spans="1:4" hidden="1" x14ac:dyDescent="0.3">
      <c r="A4100">
        <v>4098</v>
      </c>
      <c r="B4100" t="s">
        <v>77</v>
      </c>
      <c r="C4100" t="s">
        <v>78</v>
      </c>
      <c r="D4100">
        <v>0</v>
      </c>
    </row>
    <row r="4101" spans="1:4" hidden="1" x14ac:dyDescent="0.3">
      <c r="A4101">
        <v>4099</v>
      </c>
      <c r="B4101" s="1" t="s">
        <v>4715</v>
      </c>
      <c r="C4101" t="s">
        <v>80</v>
      </c>
      <c r="D4101" s="1" t="s">
        <v>4716</v>
      </c>
    </row>
    <row r="4102" spans="1:4" hidden="1" x14ac:dyDescent="0.3">
      <c r="A4102">
        <v>4100</v>
      </c>
      <c r="B4102" t="s">
        <v>4717</v>
      </c>
      <c r="C4102" t="s">
        <v>83</v>
      </c>
      <c r="D4102">
        <v>1.0001810327418199</v>
      </c>
    </row>
    <row r="4103" spans="1:4" hidden="1" x14ac:dyDescent="0.3">
      <c r="A4103">
        <v>4101</v>
      </c>
      <c r="B4103" s="1" t="s">
        <v>4718</v>
      </c>
      <c r="C4103" t="s">
        <v>85</v>
      </c>
      <c r="D4103" s="1" t="s">
        <v>4719</v>
      </c>
    </row>
    <row r="4104" spans="1:4" hidden="1" x14ac:dyDescent="0.3">
      <c r="A4104">
        <v>4102</v>
      </c>
      <c r="B4104" t="s">
        <v>4720</v>
      </c>
      <c r="C4104" t="s">
        <v>88</v>
      </c>
      <c r="D4104">
        <v>99981900.002509698</v>
      </c>
    </row>
    <row r="4105" spans="1:4" hidden="1" x14ac:dyDescent="0.3">
      <c r="A4105">
        <v>4103</v>
      </c>
      <c r="B4105" s="1" t="s">
        <v>4721</v>
      </c>
      <c r="C4105" t="s">
        <v>90</v>
      </c>
      <c r="D4105" s="1" t="s">
        <v>4667</v>
      </c>
    </row>
    <row r="4106" spans="1:4" hidden="1" x14ac:dyDescent="0.3">
      <c r="A4106">
        <v>4104</v>
      </c>
      <c r="B4106" t="s">
        <v>4722</v>
      </c>
      <c r="C4106" t="s">
        <v>93</v>
      </c>
      <c r="D4106">
        <v>80017503.769094005</v>
      </c>
    </row>
    <row r="4107" spans="1:4" hidden="1" x14ac:dyDescent="0.3">
      <c r="A4107">
        <v>4105</v>
      </c>
      <c r="B4107" t="s">
        <v>4723</v>
      </c>
      <c r="C4107" t="s">
        <v>95</v>
      </c>
      <c r="D4107">
        <v>35006518.814704202</v>
      </c>
    </row>
    <row r="4108" spans="1:4" hidden="1" x14ac:dyDescent="0.3">
      <c r="A4108">
        <v>4106</v>
      </c>
      <c r="B4108" t="s">
        <v>4724</v>
      </c>
      <c r="C4108" t="s">
        <v>97</v>
      </c>
      <c r="D4108">
        <v>34848965.514665097</v>
      </c>
    </row>
    <row r="4109" spans="1:4" hidden="1" x14ac:dyDescent="0.3">
      <c r="A4109">
        <v>4107</v>
      </c>
      <c r="B4109" s="1" t="s">
        <v>4725</v>
      </c>
      <c r="C4109" t="s">
        <v>99</v>
      </c>
      <c r="D4109" s="1" t="s">
        <v>4726</v>
      </c>
    </row>
    <row r="4110" spans="1:4" hidden="1" x14ac:dyDescent="0.3">
      <c r="A4110">
        <v>4108</v>
      </c>
      <c r="B4110" t="s">
        <v>4727</v>
      </c>
      <c r="C4110" t="s">
        <v>102</v>
      </c>
      <c r="D4110">
        <v>9.4514939142861607E-3</v>
      </c>
    </row>
    <row r="4111" spans="1:4" hidden="1" x14ac:dyDescent="0.3">
      <c r="A4111">
        <v>4109</v>
      </c>
      <c r="B4111" t="s">
        <v>4728</v>
      </c>
      <c r="C4111" t="s">
        <v>104</v>
      </c>
      <c r="D4111">
        <v>1.63931177629771E-3</v>
      </c>
    </row>
    <row r="4112" spans="1:4" hidden="1" x14ac:dyDescent="0.3">
      <c r="A4112">
        <v>4110</v>
      </c>
      <c r="B4112" t="s">
        <v>4729</v>
      </c>
      <c r="C4112" t="s">
        <v>106</v>
      </c>
      <c r="D4112">
        <v>2.1533799622163799E-2</v>
      </c>
    </row>
    <row r="4113" spans="1:4" hidden="1" x14ac:dyDescent="0.3">
      <c r="A4113">
        <v>4111</v>
      </c>
      <c r="B4113" s="1" t="s">
        <v>4730</v>
      </c>
      <c r="C4113" t="s">
        <v>108</v>
      </c>
      <c r="D4113" s="1" t="s">
        <v>4731</v>
      </c>
    </row>
    <row r="4114" spans="1:4" hidden="1" x14ac:dyDescent="0.3">
      <c r="A4114">
        <v>4112</v>
      </c>
      <c r="B4114" t="s">
        <v>4732</v>
      </c>
      <c r="C4114" t="s">
        <v>196</v>
      </c>
      <c r="D4114">
        <v>149874431.73642999</v>
      </c>
    </row>
    <row r="4115" spans="1:4" hidden="1" x14ac:dyDescent="0.3">
      <c r="A4115">
        <v>4113</v>
      </c>
      <c r="B4115" t="s">
        <v>4733</v>
      </c>
      <c r="C4115" t="s">
        <v>198</v>
      </c>
      <c r="D4115">
        <v>-3351.7519544317802</v>
      </c>
    </row>
    <row r="4116" spans="1:4" hidden="1" x14ac:dyDescent="0.3">
      <c r="A4116">
        <v>4114</v>
      </c>
      <c r="B4116" t="s">
        <v>4734</v>
      </c>
      <c r="C4116" t="s">
        <v>200</v>
      </c>
      <c r="D4116">
        <v>-1466.33104795687</v>
      </c>
    </row>
    <row r="4117" spans="1:4" hidden="1" x14ac:dyDescent="0.3">
      <c r="A4117">
        <v>4115</v>
      </c>
      <c r="B4117" s="1" t="s">
        <v>4735</v>
      </c>
      <c r="C4117" t="s">
        <v>202</v>
      </c>
      <c r="D4117" s="1" t="s">
        <v>4736</v>
      </c>
    </row>
    <row r="4118" spans="1:4" hidden="1" x14ac:dyDescent="0.3">
      <c r="A4118">
        <v>4116</v>
      </c>
      <c r="B4118" t="s">
        <v>4737</v>
      </c>
      <c r="C4118" t="s">
        <v>205</v>
      </c>
      <c r="D4118">
        <v>80021913.025252193</v>
      </c>
    </row>
    <row r="4119" spans="1:4" hidden="1" x14ac:dyDescent="0.3">
      <c r="A4119">
        <v>4117</v>
      </c>
      <c r="B4119" t="s">
        <v>4738</v>
      </c>
      <c r="C4119" t="s">
        <v>207</v>
      </c>
      <c r="D4119">
        <v>35008144.1529954</v>
      </c>
    </row>
    <row r="4120" spans="1:4" hidden="1" x14ac:dyDescent="0.3">
      <c r="A4120">
        <v>4118</v>
      </c>
      <c r="B4120" t="s">
        <v>4739</v>
      </c>
      <c r="C4120" t="s">
        <v>209</v>
      </c>
      <c r="D4120">
        <v>34850652.375623003</v>
      </c>
    </row>
    <row r="4121" spans="1:4" hidden="1" x14ac:dyDescent="0.3">
      <c r="A4121">
        <v>4119</v>
      </c>
      <c r="B4121" s="1" t="s">
        <v>4740</v>
      </c>
      <c r="C4121" t="s">
        <v>211</v>
      </c>
      <c r="D4121" s="1" t="s">
        <v>4741</v>
      </c>
    </row>
    <row r="4122" spans="1:4" hidden="1" x14ac:dyDescent="0.3">
      <c r="A4122">
        <v>4120</v>
      </c>
      <c r="B4122" t="s">
        <v>4742</v>
      </c>
      <c r="C4122" t="s">
        <v>214</v>
      </c>
      <c r="D4122">
        <v>99986087.962445602</v>
      </c>
    </row>
    <row r="4123" spans="1:4" hidden="1" x14ac:dyDescent="0.3">
      <c r="A4123">
        <v>4121</v>
      </c>
      <c r="B4123" t="s">
        <v>4743</v>
      </c>
      <c r="C4123" t="s">
        <v>216</v>
      </c>
      <c r="D4123">
        <v>-4187.9599359035401</v>
      </c>
    </row>
    <row r="4124" spans="1:4" hidden="1" x14ac:dyDescent="0.3">
      <c r="A4124">
        <v>4122</v>
      </c>
      <c r="B4124" s="1" t="s">
        <v>4744</v>
      </c>
      <c r="C4124" t="s">
        <v>218</v>
      </c>
      <c r="D4124" s="1" t="s">
        <v>4745</v>
      </c>
    </row>
    <row r="4125" spans="1:4" hidden="1" x14ac:dyDescent="0.3">
      <c r="A4125">
        <v>4123</v>
      </c>
      <c r="B4125" t="s">
        <v>4746</v>
      </c>
      <c r="C4125" t="s">
        <v>111</v>
      </c>
      <c r="D4125">
        <v>1057.5042037737801</v>
      </c>
    </row>
    <row r="4126" spans="1:4" hidden="1" x14ac:dyDescent="0.3">
      <c r="A4126">
        <v>4124</v>
      </c>
      <c r="B4126" t="s">
        <v>4747</v>
      </c>
      <c r="C4126" t="s">
        <v>113</v>
      </c>
      <c r="D4126">
        <v>159.00724323804801</v>
      </c>
    </row>
    <row r="4127" spans="1:4" hidden="1" x14ac:dyDescent="0.3">
      <c r="A4127">
        <v>4125</v>
      </c>
      <c r="B4127" s="1" t="s">
        <v>4748</v>
      </c>
      <c r="C4127" t="s">
        <v>115</v>
      </c>
      <c r="D4127" s="1" t="s">
        <v>4749</v>
      </c>
    </row>
    <row r="4128" spans="1:4" hidden="1" x14ac:dyDescent="0.3">
      <c r="A4128">
        <v>4126</v>
      </c>
      <c r="B4128" t="s">
        <v>4750</v>
      </c>
      <c r="C4128" t="s">
        <v>118</v>
      </c>
      <c r="D4128">
        <v>80021913.025252193</v>
      </c>
    </row>
    <row r="4129" spans="1:4" hidden="1" x14ac:dyDescent="0.3">
      <c r="A4129">
        <v>4127</v>
      </c>
      <c r="B4129" t="s">
        <v>4751</v>
      </c>
      <c r="C4129" t="s">
        <v>120</v>
      </c>
      <c r="D4129">
        <v>35008144.1529954</v>
      </c>
    </row>
    <row r="4130" spans="1:4" hidden="1" x14ac:dyDescent="0.3">
      <c r="A4130">
        <v>4128</v>
      </c>
      <c r="B4130" s="1" t="s">
        <v>4752</v>
      </c>
      <c r="C4130" t="s">
        <v>122</v>
      </c>
      <c r="D4130" s="1" t="s">
        <v>4753</v>
      </c>
    </row>
    <row r="4131" spans="1:4" hidden="1" x14ac:dyDescent="0.3">
      <c r="A4131">
        <v>4129</v>
      </c>
      <c r="B4131" t="s">
        <v>4754</v>
      </c>
      <c r="C4131" t="s">
        <v>125</v>
      </c>
      <c r="D4131">
        <v>0.80018561273297795</v>
      </c>
    </row>
    <row r="4132" spans="1:4" hidden="1" x14ac:dyDescent="0.3">
      <c r="A4132">
        <v>4130</v>
      </c>
      <c r="B4132" t="s">
        <v>4755</v>
      </c>
      <c r="C4132" t="s">
        <v>127</v>
      </c>
      <c r="D4132">
        <v>0.35006677821947402</v>
      </c>
    </row>
    <row r="4133" spans="1:4" hidden="1" x14ac:dyDescent="0.3">
      <c r="A4133">
        <v>4131</v>
      </c>
      <c r="B4133" s="1" t="s">
        <v>4756</v>
      </c>
      <c r="C4133" t="s">
        <v>129</v>
      </c>
      <c r="D4133" s="1" t="s">
        <v>4757</v>
      </c>
    </row>
    <row r="4134" spans="1:4" ht="72" x14ac:dyDescent="0.3">
      <c r="A4134">
        <v>4132</v>
      </c>
      <c r="B4134" s="1" t="s">
        <v>3</v>
      </c>
      <c r="C4134" t="s">
        <v>4</v>
      </c>
      <c r="D4134" t="s">
        <v>5</v>
      </c>
    </row>
    <row r="4135" spans="1:4" hidden="1" x14ac:dyDescent="0.3">
      <c r="A4135">
        <v>4133</v>
      </c>
      <c r="B4135" t="s">
        <v>6</v>
      </c>
      <c r="C4135" t="s">
        <v>7</v>
      </c>
      <c r="D4135">
        <v>1981.95</v>
      </c>
    </row>
    <row r="4136" spans="1:4" hidden="1" x14ac:dyDescent="0.3">
      <c r="A4136">
        <v>4134</v>
      </c>
      <c r="B4136" s="1" t="s">
        <v>131</v>
      </c>
      <c r="C4136" t="s">
        <v>9</v>
      </c>
      <c r="D4136" s="1" t="s">
        <v>132</v>
      </c>
    </row>
    <row r="4137" spans="1:4" hidden="1" x14ac:dyDescent="0.3">
      <c r="A4137">
        <v>4135</v>
      </c>
      <c r="B4137" t="s">
        <v>13</v>
      </c>
      <c r="C4137" t="s">
        <v>14</v>
      </c>
      <c r="D4137">
        <v>91.74609375</v>
      </c>
    </row>
    <row r="4138" spans="1:4" hidden="1" x14ac:dyDescent="0.3">
      <c r="A4138">
        <v>4136</v>
      </c>
      <c r="B4138" t="s">
        <v>15</v>
      </c>
      <c r="C4138" t="s">
        <v>16</v>
      </c>
      <c r="D4138">
        <v>4.1883572307132804</v>
      </c>
    </row>
    <row r="4139" spans="1:4" hidden="1" x14ac:dyDescent="0.3">
      <c r="A4139">
        <v>4137</v>
      </c>
      <c r="B4139" s="1" t="s">
        <v>133</v>
      </c>
      <c r="C4139" t="s">
        <v>134</v>
      </c>
      <c r="D4139" s="1" t="s">
        <v>135</v>
      </c>
    </row>
    <row r="4140" spans="1:4" hidden="1" x14ac:dyDescent="0.3">
      <c r="A4140">
        <v>4138</v>
      </c>
      <c r="B4140" t="s">
        <v>21</v>
      </c>
      <c r="C4140" t="s">
        <v>22</v>
      </c>
      <c r="D4140">
        <v>38.25</v>
      </c>
    </row>
    <row r="4141" spans="1:4" hidden="1" x14ac:dyDescent="0.3">
      <c r="A4141">
        <v>4139</v>
      </c>
      <c r="B4141" t="s">
        <v>4758</v>
      </c>
      <c r="C4141" t="s">
        <v>24</v>
      </c>
      <c r="D4141">
        <v>5.6598616681689702</v>
      </c>
    </row>
    <row r="4142" spans="1:4" hidden="1" x14ac:dyDescent="0.3">
      <c r="A4142">
        <v>4140</v>
      </c>
      <c r="B4142" s="1" t="s">
        <v>4759</v>
      </c>
      <c r="C4142" t="s">
        <v>138</v>
      </c>
      <c r="D4142" s="1" t="s">
        <v>4760</v>
      </c>
    </row>
    <row r="4143" spans="1:4" hidden="1" x14ac:dyDescent="0.3">
      <c r="A4143">
        <v>4141</v>
      </c>
      <c r="B4143" t="s">
        <v>4761</v>
      </c>
      <c r="C4143" t="s">
        <v>35</v>
      </c>
      <c r="D4143">
        <v>0.54651851050520905</v>
      </c>
    </row>
    <row r="4144" spans="1:4" hidden="1" x14ac:dyDescent="0.3">
      <c r="A4144">
        <v>4142</v>
      </c>
      <c r="B4144" t="s">
        <v>4762</v>
      </c>
      <c r="C4144" t="s">
        <v>142</v>
      </c>
      <c r="D4144">
        <v>0.67794933993149697</v>
      </c>
    </row>
    <row r="4145" spans="1:4" hidden="1" x14ac:dyDescent="0.3">
      <c r="A4145">
        <v>4143</v>
      </c>
      <c r="B4145" s="1" t="s">
        <v>4763</v>
      </c>
      <c r="C4145" t="s">
        <v>144</v>
      </c>
      <c r="D4145" s="1" t="s">
        <v>4764</v>
      </c>
    </row>
    <row r="4146" spans="1:4" hidden="1" x14ac:dyDescent="0.3">
      <c r="A4146">
        <v>4144</v>
      </c>
      <c r="B4146" t="s">
        <v>4765</v>
      </c>
      <c r="C4146" t="s">
        <v>30</v>
      </c>
      <c r="D4146">
        <v>0.19300550536620401</v>
      </c>
    </row>
    <row r="4147" spans="1:4" hidden="1" x14ac:dyDescent="0.3">
      <c r="A4147">
        <v>4145</v>
      </c>
      <c r="B4147" t="s">
        <v>4766</v>
      </c>
      <c r="C4147" t="s">
        <v>32</v>
      </c>
      <c r="D4147">
        <v>0.260358586276839</v>
      </c>
    </row>
    <row r="4148" spans="1:4" hidden="1" x14ac:dyDescent="0.3">
      <c r="A4148">
        <v>4146</v>
      </c>
      <c r="B4148" s="1" t="s">
        <v>4767</v>
      </c>
      <c r="C4148" t="s">
        <v>148</v>
      </c>
      <c r="D4148" s="1" t="s">
        <v>4768</v>
      </c>
    </row>
    <row r="4149" spans="1:4" hidden="1" x14ac:dyDescent="0.3">
      <c r="A4149">
        <v>4147</v>
      </c>
      <c r="B4149" t="s">
        <v>4769</v>
      </c>
      <c r="C4149" t="s">
        <v>40</v>
      </c>
      <c r="D4149">
        <v>0.26047598412858602</v>
      </c>
    </row>
    <row r="4150" spans="1:4" hidden="1" x14ac:dyDescent="0.3">
      <c r="A4150">
        <v>4148</v>
      </c>
      <c r="B4150" t="s">
        <v>4770</v>
      </c>
      <c r="C4150" t="s">
        <v>42</v>
      </c>
      <c r="D4150">
        <v>0.21467788193632201</v>
      </c>
    </row>
    <row r="4151" spans="1:4" hidden="1" x14ac:dyDescent="0.3">
      <c r="A4151">
        <v>4149</v>
      </c>
      <c r="B4151" s="1" t="s">
        <v>4771</v>
      </c>
      <c r="C4151" t="s">
        <v>152</v>
      </c>
      <c r="D4151" s="1" t="s">
        <v>4772</v>
      </c>
    </row>
    <row r="4152" spans="1:4" hidden="1" x14ac:dyDescent="0.3">
      <c r="A4152">
        <v>4150</v>
      </c>
      <c r="B4152" t="s">
        <v>153</v>
      </c>
      <c r="C4152" t="s">
        <v>154</v>
      </c>
      <c r="D4152">
        <v>1</v>
      </c>
    </row>
    <row r="4153" spans="1:4" hidden="1" x14ac:dyDescent="0.3">
      <c r="A4153">
        <v>4151</v>
      </c>
      <c r="B4153" t="s">
        <v>155</v>
      </c>
      <c r="C4153" t="s">
        <v>156</v>
      </c>
      <c r="D4153">
        <v>1</v>
      </c>
    </row>
    <row r="4154" spans="1:4" hidden="1" x14ac:dyDescent="0.3">
      <c r="A4154">
        <v>4152</v>
      </c>
      <c r="B4154" s="1" t="s">
        <v>4773</v>
      </c>
      <c r="C4154" t="s">
        <v>158</v>
      </c>
      <c r="D4154" s="1" t="s">
        <v>4774</v>
      </c>
    </row>
    <row r="4155" spans="1:4" hidden="1" x14ac:dyDescent="0.3">
      <c r="A4155">
        <v>4153</v>
      </c>
      <c r="B4155" t="s">
        <v>4775</v>
      </c>
      <c r="C4155" t="s">
        <v>161</v>
      </c>
      <c r="D4155">
        <v>0.98487945650715003</v>
      </c>
    </row>
    <row r="4156" spans="1:4" hidden="1" x14ac:dyDescent="0.3">
      <c r="A4156">
        <v>4154</v>
      </c>
      <c r="B4156" t="s">
        <v>4776</v>
      </c>
      <c r="C4156" t="s">
        <v>163</v>
      </c>
      <c r="D4156">
        <v>1.0242932167082199</v>
      </c>
    </row>
    <row r="4157" spans="1:4" hidden="1" x14ac:dyDescent="0.3">
      <c r="A4157">
        <v>4155</v>
      </c>
      <c r="B4157" s="1" t="s">
        <v>4777</v>
      </c>
      <c r="C4157" t="s">
        <v>165</v>
      </c>
      <c r="D4157" s="1" t="s">
        <v>4778</v>
      </c>
    </row>
    <row r="4158" spans="1:4" hidden="1" x14ac:dyDescent="0.3">
      <c r="A4158">
        <v>4156</v>
      </c>
      <c r="B4158" s="1" t="s">
        <v>4779</v>
      </c>
      <c r="C4158" t="s">
        <v>55</v>
      </c>
      <c r="D4158" s="1" t="s">
        <v>4780</v>
      </c>
    </row>
    <row r="4159" spans="1:4" hidden="1" x14ac:dyDescent="0.3">
      <c r="A4159">
        <v>4157</v>
      </c>
      <c r="B4159" s="1" t="s">
        <v>4781</v>
      </c>
      <c r="C4159" t="s">
        <v>52</v>
      </c>
      <c r="D4159" s="1" t="s">
        <v>4782</v>
      </c>
    </row>
    <row r="4160" spans="1:4" hidden="1" x14ac:dyDescent="0.3">
      <c r="A4160">
        <v>4158</v>
      </c>
      <c r="B4160" s="1" t="s">
        <v>4783</v>
      </c>
      <c r="C4160" t="s">
        <v>58</v>
      </c>
      <c r="D4160" s="1" t="s">
        <v>4784</v>
      </c>
    </row>
    <row r="4161" spans="1:4" hidden="1" x14ac:dyDescent="0.3">
      <c r="A4161">
        <v>4159</v>
      </c>
      <c r="B4161" t="s">
        <v>4785</v>
      </c>
      <c r="C4161" t="s">
        <v>60</v>
      </c>
      <c r="D4161">
        <v>149899040.44484201</v>
      </c>
    </row>
    <row r="4162" spans="1:4" hidden="1" x14ac:dyDescent="0.3">
      <c r="A4162">
        <v>4160</v>
      </c>
      <c r="B4162" t="s">
        <v>4786</v>
      </c>
      <c r="C4162" t="s">
        <v>62</v>
      </c>
      <c r="D4162">
        <v>80021913.025252193</v>
      </c>
    </row>
    <row r="4163" spans="1:4" hidden="1" x14ac:dyDescent="0.3">
      <c r="A4163">
        <v>4161</v>
      </c>
      <c r="B4163" t="s">
        <v>4787</v>
      </c>
      <c r="C4163" t="s">
        <v>64</v>
      </c>
      <c r="D4163">
        <v>35008144.1529954</v>
      </c>
    </row>
    <row r="4164" spans="1:4" hidden="1" x14ac:dyDescent="0.3">
      <c r="A4164">
        <v>4162</v>
      </c>
      <c r="B4164" s="1" t="s">
        <v>4788</v>
      </c>
      <c r="C4164" t="s">
        <v>66</v>
      </c>
      <c r="D4164" s="1" t="s">
        <v>4789</v>
      </c>
    </row>
    <row r="4165" spans="1:4" hidden="1" x14ac:dyDescent="0.3">
      <c r="A4165">
        <v>4163</v>
      </c>
      <c r="B4165" s="1" t="s">
        <v>4790</v>
      </c>
      <c r="C4165" t="s">
        <v>69</v>
      </c>
      <c r="D4165" s="1" t="s">
        <v>4791</v>
      </c>
    </row>
    <row r="4166" spans="1:4" hidden="1" x14ac:dyDescent="0.3">
      <c r="A4166">
        <v>4164</v>
      </c>
      <c r="B4166" t="s">
        <v>4792</v>
      </c>
      <c r="C4166" t="s">
        <v>72</v>
      </c>
      <c r="D4166">
        <v>1.0001810327418199</v>
      </c>
    </row>
    <row r="4167" spans="1:4" hidden="1" x14ac:dyDescent="0.3">
      <c r="A4167">
        <v>4165</v>
      </c>
      <c r="B4167" t="s">
        <v>73</v>
      </c>
      <c r="C4167" t="s">
        <v>74</v>
      </c>
      <c r="D4167">
        <v>2.7397260273972599E-3</v>
      </c>
    </row>
    <row r="4168" spans="1:4" hidden="1" x14ac:dyDescent="0.3">
      <c r="A4168">
        <v>4166</v>
      </c>
      <c r="B4168" t="s">
        <v>75</v>
      </c>
      <c r="C4168" t="s">
        <v>76</v>
      </c>
      <c r="D4168">
        <v>0</v>
      </c>
    </row>
    <row r="4169" spans="1:4" hidden="1" x14ac:dyDescent="0.3">
      <c r="A4169">
        <v>4167</v>
      </c>
      <c r="B4169" t="s">
        <v>77</v>
      </c>
      <c r="C4169" t="s">
        <v>78</v>
      </c>
      <c r="D4169">
        <v>0</v>
      </c>
    </row>
    <row r="4170" spans="1:4" hidden="1" x14ac:dyDescent="0.3">
      <c r="A4170">
        <v>4168</v>
      </c>
      <c r="B4170" s="1" t="s">
        <v>4793</v>
      </c>
      <c r="C4170" t="s">
        <v>80</v>
      </c>
      <c r="D4170" s="1" t="s">
        <v>4794</v>
      </c>
    </row>
    <row r="4171" spans="1:4" hidden="1" x14ac:dyDescent="0.3">
      <c r="A4171">
        <v>4169</v>
      </c>
      <c r="B4171" t="s">
        <v>4795</v>
      </c>
      <c r="C4171" t="s">
        <v>83</v>
      </c>
      <c r="D4171">
        <v>1.00018157855814</v>
      </c>
    </row>
    <row r="4172" spans="1:4" hidden="1" x14ac:dyDescent="0.3">
      <c r="A4172">
        <v>4170</v>
      </c>
      <c r="B4172" s="1" t="s">
        <v>4796</v>
      </c>
      <c r="C4172" t="s">
        <v>85</v>
      </c>
      <c r="D4172" s="1" t="s">
        <v>4797</v>
      </c>
    </row>
    <row r="4173" spans="1:4" hidden="1" x14ac:dyDescent="0.3">
      <c r="A4173">
        <v>4171</v>
      </c>
      <c r="B4173" t="s">
        <v>4798</v>
      </c>
      <c r="C4173" t="s">
        <v>88</v>
      </c>
      <c r="D4173">
        <v>99981845.440663993</v>
      </c>
    </row>
    <row r="4174" spans="1:4" hidden="1" x14ac:dyDescent="0.3">
      <c r="A4174">
        <v>4172</v>
      </c>
      <c r="B4174" s="1" t="s">
        <v>4799</v>
      </c>
      <c r="C4174" t="s">
        <v>90</v>
      </c>
      <c r="D4174" s="1" t="s">
        <v>4745</v>
      </c>
    </row>
    <row r="4175" spans="1:4" hidden="1" x14ac:dyDescent="0.3">
      <c r="A4175">
        <v>4173</v>
      </c>
      <c r="B4175" t="s">
        <v>4800</v>
      </c>
      <c r="C4175" t="s">
        <v>93</v>
      </c>
      <c r="D4175">
        <v>80021913.025252193</v>
      </c>
    </row>
    <row r="4176" spans="1:4" hidden="1" x14ac:dyDescent="0.3">
      <c r="A4176">
        <v>4174</v>
      </c>
      <c r="B4176" t="s">
        <v>4801</v>
      </c>
      <c r="C4176" t="s">
        <v>95</v>
      </c>
      <c r="D4176">
        <v>35008144.1529954</v>
      </c>
    </row>
    <row r="4177" spans="1:4" hidden="1" x14ac:dyDescent="0.3">
      <c r="A4177">
        <v>4175</v>
      </c>
      <c r="B4177" t="s">
        <v>4802</v>
      </c>
      <c r="C4177" t="s">
        <v>97</v>
      </c>
      <c r="D4177">
        <v>34868983.266594402</v>
      </c>
    </row>
    <row r="4178" spans="1:4" hidden="1" x14ac:dyDescent="0.3">
      <c r="A4178">
        <v>4176</v>
      </c>
      <c r="B4178" s="1" t="s">
        <v>4803</v>
      </c>
      <c r="C4178" t="s">
        <v>99</v>
      </c>
      <c r="D4178" s="1" t="s">
        <v>4804</v>
      </c>
    </row>
    <row r="4179" spans="1:4" hidden="1" x14ac:dyDescent="0.3">
      <c r="A4179">
        <v>4177</v>
      </c>
      <c r="B4179" t="s">
        <v>4805</v>
      </c>
      <c r="C4179" t="s">
        <v>102</v>
      </c>
      <c r="D4179">
        <v>7.9626131234121593E-3</v>
      </c>
    </row>
    <row r="4180" spans="1:4" hidden="1" x14ac:dyDescent="0.3">
      <c r="A4180">
        <v>4178</v>
      </c>
      <c r="B4180" t="s">
        <v>4806</v>
      </c>
      <c r="C4180" t="s">
        <v>104</v>
      </c>
      <c r="D4180">
        <v>1.65811243853962E-3</v>
      </c>
    </row>
    <row r="4181" spans="1:4" hidden="1" x14ac:dyDescent="0.3">
      <c r="A4181">
        <v>4179</v>
      </c>
      <c r="B4181" t="s">
        <v>4807</v>
      </c>
      <c r="C4181" t="s">
        <v>106</v>
      </c>
      <c r="D4181">
        <v>2.12475761772382E-2</v>
      </c>
    </row>
    <row r="4182" spans="1:4" hidden="1" x14ac:dyDescent="0.3">
      <c r="A4182">
        <v>4180</v>
      </c>
      <c r="B4182" s="1" t="s">
        <v>4808</v>
      </c>
      <c r="C4182" t="s">
        <v>108</v>
      </c>
      <c r="D4182" s="1" t="s">
        <v>4809</v>
      </c>
    </row>
    <row r="4183" spans="1:4" hidden="1" x14ac:dyDescent="0.3">
      <c r="A4183">
        <v>4181</v>
      </c>
      <c r="B4183" t="s">
        <v>4810</v>
      </c>
      <c r="C4183" t="s">
        <v>196</v>
      </c>
      <c r="D4183">
        <v>149899059.158041</v>
      </c>
    </row>
    <row r="4184" spans="1:4" hidden="1" x14ac:dyDescent="0.3">
      <c r="A4184">
        <v>4182</v>
      </c>
      <c r="B4184" t="s">
        <v>4811</v>
      </c>
      <c r="C4184" t="s">
        <v>198</v>
      </c>
      <c r="D4184">
        <v>-43.669368584382802</v>
      </c>
    </row>
    <row r="4185" spans="1:4" hidden="1" x14ac:dyDescent="0.3">
      <c r="A4185">
        <v>4183</v>
      </c>
      <c r="B4185" t="s">
        <v>4812</v>
      </c>
      <c r="C4185" t="s">
        <v>200</v>
      </c>
      <c r="D4185">
        <v>-19.104559083941599</v>
      </c>
    </row>
    <row r="4186" spans="1:4" hidden="1" x14ac:dyDescent="0.3">
      <c r="A4186">
        <v>4184</v>
      </c>
      <c r="B4186" s="1" t="s">
        <v>4813</v>
      </c>
      <c r="C4186" t="s">
        <v>202</v>
      </c>
      <c r="D4186" s="1" t="s">
        <v>4814</v>
      </c>
    </row>
    <row r="4187" spans="1:4" hidden="1" x14ac:dyDescent="0.3">
      <c r="A4187">
        <v>4185</v>
      </c>
      <c r="B4187" t="s">
        <v>4815</v>
      </c>
      <c r="C4187" t="s">
        <v>205</v>
      </c>
      <c r="D4187">
        <v>80021971.260870397</v>
      </c>
    </row>
    <row r="4188" spans="1:4" hidden="1" x14ac:dyDescent="0.3">
      <c r="A4188">
        <v>4186</v>
      </c>
      <c r="B4188" t="s">
        <v>4816</v>
      </c>
      <c r="C4188" t="s">
        <v>207</v>
      </c>
      <c r="D4188">
        <v>35008165.3920113</v>
      </c>
    </row>
    <row r="4189" spans="1:4" hidden="1" x14ac:dyDescent="0.3">
      <c r="A4189">
        <v>4187</v>
      </c>
      <c r="B4189" t="s">
        <v>4817</v>
      </c>
      <c r="C4189" t="s">
        <v>209</v>
      </c>
      <c r="D4189">
        <v>34869004.3077038</v>
      </c>
    </row>
    <row r="4190" spans="1:4" hidden="1" x14ac:dyDescent="0.3">
      <c r="A4190">
        <v>4188</v>
      </c>
      <c r="B4190" s="1" t="s">
        <v>4818</v>
      </c>
      <c r="C4190" t="s">
        <v>211</v>
      </c>
      <c r="D4190" s="1" t="s">
        <v>4819</v>
      </c>
    </row>
    <row r="4191" spans="1:4" hidden="1" x14ac:dyDescent="0.3">
      <c r="A4191">
        <v>4189</v>
      </c>
      <c r="B4191" t="s">
        <v>4820</v>
      </c>
      <c r="C4191" t="s">
        <v>214</v>
      </c>
      <c r="D4191">
        <v>99981900.002509698</v>
      </c>
    </row>
    <row r="4192" spans="1:4" hidden="1" x14ac:dyDescent="0.3">
      <c r="A4192">
        <v>4190</v>
      </c>
      <c r="B4192" t="s">
        <v>4821</v>
      </c>
      <c r="C4192" t="s">
        <v>216</v>
      </c>
      <c r="D4192">
        <v>-54.561845630407298</v>
      </c>
    </row>
    <row r="4193" spans="1:4" hidden="1" x14ac:dyDescent="0.3">
      <c r="A4193">
        <v>4191</v>
      </c>
      <c r="B4193" s="1" t="s">
        <v>4822</v>
      </c>
      <c r="C4193" t="s">
        <v>218</v>
      </c>
      <c r="D4193" s="1" t="s">
        <v>4823</v>
      </c>
    </row>
    <row r="4194" spans="1:4" hidden="1" x14ac:dyDescent="0.3">
      <c r="A4194">
        <v>4192</v>
      </c>
      <c r="B4194" t="s">
        <v>4824</v>
      </c>
      <c r="C4194" t="s">
        <v>111</v>
      </c>
      <c r="D4194">
        <v>14.566249616296201</v>
      </c>
    </row>
    <row r="4195" spans="1:4" hidden="1" x14ac:dyDescent="0.3">
      <c r="A4195">
        <v>4193</v>
      </c>
      <c r="B4195" t="s">
        <v>4825</v>
      </c>
      <c r="C4195" t="s">
        <v>113</v>
      </c>
      <c r="D4195">
        <v>2.1344568893959401</v>
      </c>
    </row>
    <row r="4196" spans="1:4" hidden="1" x14ac:dyDescent="0.3">
      <c r="A4196">
        <v>4194</v>
      </c>
      <c r="B4196" s="1" t="s">
        <v>4826</v>
      </c>
      <c r="C4196" t="s">
        <v>115</v>
      </c>
      <c r="D4196" s="1" t="s">
        <v>4827</v>
      </c>
    </row>
    <row r="4197" spans="1:4" hidden="1" x14ac:dyDescent="0.3">
      <c r="A4197">
        <v>4195</v>
      </c>
      <c r="B4197" t="s">
        <v>4828</v>
      </c>
      <c r="C4197" t="s">
        <v>118</v>
      </c>
      <c r="D4197">
        <v>80021971.260870397</v>
      </c>
    </row>
    <row r="4198" spans="1:4" hidden="1" x14ac:dyDescent="0.3">
      <c r="A4198">
        <v>4196</v>
      </c>
      <c r="B4198" t="s">
        <v>4829</v>
      </c>
      <c r="C4198" t="s">
        <v>120</v>
      </c>
      <c r="D4198">
        <v>35008165.3920113</v>
      </c>
    </row>
    <row r="4199" spans="1:4" hidden="1" x14ac:dyDescent="0.3">
      <c r="A4199">
        <v>4197</v>
      </c>
      <c r="B4199" s="1" t="s">
        <v>4830</v>
      </c>
      <c r="C4199" t="s">
        <v>122</v>
      </c>
      <c r="D4199" s="1" t="s">
        <v>4831</v>
      </c>
    </row>
    <row r="4200" spans="1:4" hidden="1" x14ac:dyDescent="0.3">
      <c r="A4200">
        <v>4198</v>
      </c>
      <c r="B4200" t="s">
        <v>4832</v>
      </c>
      <c r="C4200" t="s">
        <v>125</v>
      </c>
      <c r="D4200">
        <v>0.80021927591501896</v>
      </c>
    </row>
    <row r="4201" spans="1:4" hidden="1" x14ac:dyDescent="0.3">
      <c r="A4201">
        <v>4199</v>
      </c>
      <c r="B4201" t="s">
        <v>4833</v>
      </c>
      <c r="C4201" t="s">
        <v>127</v>
      </c>
      <c r="D4201">
        <v>0.35008146287452302</v>
      </c>
    </row>
    <row r="4202" spans="1:4" hidden="1" x14ac:dyDescent="0.3">
      <c r="A4202">
        <v>4200</v>
      </c>
      <c r="B4202" s="1" t="s">
        <v>4834</v>
      </c>
      <c r="C4202" t="s">
        <v>129</v>
      </c>
      <c r="D4202" s="1" t="s">
        <v>4835</v>
      </c>
    </row>
    <row r="4203" spans="1:4" ht="72" x14ac:dyDescent="0.3">
      <c r="A4203">
        <v>4201</v>
      </c>
      <c r="B4203" s="1" t="s">
        <v>3</v>
      </c>
      <c r="C4203" t="s">
        <v>4</v>
      </c>
      <c r="D4203" t="s">
        <v>5</v>
      </c>
    </row>
    <row r="4204" spans="1:4" hidden="1" x14ac:dyDescent="0.3">
      <c r="A4204">
        <v>4202</v>
      </c>
      <c r="B4204" t="s">
        <v>6</v>
      </c>
      <c r="C4204" t="s">
        <v>7</v>
      </c>
      <c r="D4204">
        <v>1981.95</v>
      </c>
    </row>
    <row r="4205" spans="1:4" hidden="1" x14ac:dyDescent="0.3">
      <c r="A4205">
        <v>4203</v>
      </c>
      <c r="B4205" s="1" t="s">
        <v>131</v>
      </c>
      <c r="C4205" t="s">
        <v>9</v>
      </c>
      <c r="D4205" s="1" t="s">
        <v>132</v>
      </c>
    </row>
    <row r="4206" spans="1:4" hidden="1" x14ac:dyDescent="0.3">
      <c r="A4206">
        <v>4204</v>
      </c>
      <c r="B4206" t="s">
        <v>13</v>
      </c>
      <c r="C4206" t="s">
        <v>14</v>
      </c>
      <c r="D4206">
        <v>91.74609375</v>
      </c>
    </row>
    <row r="4207" spans="1:4" hidden="1" x14ac:dyDescent="0.3">
      <c r="A4207">
        <v>4205</v>
      </c>
      <c r="B4207" t="s">
        <v>15</v>
      </c>
      <c r="C4207" t="s">
        <v>16</v>
      </c>
      <c r="D4207">
        <v>4.1883572307132804</v>
      </c>
    </row>
    <row r="4208" spans="1:4" hidden="1" x14ac:dyDescent="0.3">
      <c r="A4208">
        <v>4206</v>
      </c>
      <c r="B4208" s="1" t="s">
        <v>133</v>
      </c>
      <c r="C4208" t="s">
        <v>134</v>
      </c>
      <c r="D4208" s="1" t="s">
        <v>135</v>
      </c>
    </row>
    <row r="4209" spans="1:4" hidden="1" x14ac:dyDescent="0.3">
      <c r="A4209">
        <v>4207</v>
      </c>
      <c r="B4209" t="s">
        <v>21</v>
      </c>
      <c r="C4209" t="s">
        <v>22</v>
      </c>
      <c r="D4209">
        <v>38.25</v>
      </c>
    </row>
    <row r="4210" spans="1:4" hidden="1" x14ac:dyDescent="0.3">
      <c r="A4210">
        <v>4208</v>
      </c>
      <c r="B4210" t="s">
        <v>4836</v>
      </c>
      <c r="C4210" t="s">
        <v>24</v>
      </c>
      <c r="D4210">
        <v>5.6404981904603204</v>
      </c>
    </row>
    <row r="4211" spans="1:4" hidden="1" x14ac:dyDescent="0.3">
      <c r="A4211">
        <v>4209</v>
      </c>
      <c r="B4211" s="1" t="s">
        <v>4837</v>
      </c>
      <c r="C4211" t="s">
        <v>138</v>
      </c>
      <c r="D4211" s="1" t="s">
        <v>4838</v>
      </c>
    </row>
    <row r="4212" spans="1:4" hidden="1" x14ac:dyDescent="0.3">
      <c r="A4212">
        <v>4210</v>
      </c>
      <c r="B4212" t="s">
        <v>4839</v>
      </c>
      <c r="C4212" t="s">
        <v>35</v>
      </c>
      <c r="D4212">
        <v>0.55066275188931402</v>
      </c>
    </row>
    <row r="4213" spans="1:4" hidden="1" x14ac:dyDescent="0.3">
      <c r="A4213">
        <v>4211</v>
      </c>
      <c r="B4213" t="s">
        <v>4840</v>
      </c>
      <c r="C4213" t="s">
        <v>142</v>
      </c>
      <c r="D4213">
        <v>0.67884223699661805</v>
      </c>
    </row>
    <row r="4214" spans="1:4" hidden="1" x14ac:dyDescent="0.3">
      <c r="A4214">
        <v>4212</v>
      </c>
      <c r="B4214" s="1" t="s">
        <v>4841</v>
      </c>
      <c r="C4214" t="s">
        <v>144</v>
      </c>
      <c r="D4214" s="1" t="s">
        <v>4842</v>
      </c>
    </row>
    <row r="4215" spans="1:4" hidden="1" x14ac:dyDescent="0.3">
      <c r="A4215">
        <v>4213</v>
      </c>
      <c r="B4215" t="s">
        <v>4843</v>
      </c>
      <c r="C4215" t="s">
        <v>30</v>
      </c>
      <c r="D4215">
        <v>0.194469063118273</v>
      </c>
    </row>
    <row r="4216" spans="1:4" hidden="1" x14ac:dyDescent="0.3">
      <c r="A4216">
        <v>4214</v>
      </c>
      <c r="B4216" t="s">
        <v>4844</v>
      </c>
      <c r="C4216" t="s">
        <v>32</v>
      </c>
      <c r="D4216">
        <v>0.25852591477950798</v>
      </c>
    </row>
    <row r="4217" spans="1:4" hidden="1" x14ac:dyDescent="0.3">
      <c r="A4217">
        <v>4215</v>
      </c>
      <c r="B4217" s="1" t="s">
        <v>4845</v>
      </c>
      <c r="C4217" t="s">
        <v>148</v>
      </c>
      <c r="D4217" s="1" t="s">
        <v>4846</v>
      </c>
    </row>
    <row r="4218" spans="1:4" hidden="1" x14ac:dyDescent="0.3">
      <c r="A4218">
        <v>4216</v>
      </c>
      <c r="B4218" t="s">
        <v>4847</v>
      </c>
      <c r="C4218" t="s">
        <v>40</v>
      </c>
      <c r="D4218">
        <v>0.25486818499241198</v>
      </c>
    </row>
    <row r="4219" spans="1:4" hidden="1" x14ac:dyDescent="0.3">
      <c r="A4219">
        <v>4217</v>
      </c>
      <c r="B4219" t="s">
        <v>4848</v>
      </c>
      <c r="C4219" t="s">
        <v>42</v>
      </c>
      <c r="D4219">
        <v>0.214570403481817</v>
      </c>
    </row>
    <row r="4220" spans="1:4" hidden="1" x14ac:dyDescent="0.3">
      <c r="A4220">
        <v>4218</v>
      </c>
      <c r="B4220" s="1" t="s">
        <v>4849</v>
      </c>
      <c r="C4220" t="s">
        <v>152</v>
      </c>
      <c r="D4220" s="1" t="s">
        <v>4850</v>
      </c>
    </row>
    <row r="4221" spans="1:4" hidden="1" x14ac:dyDescent="0.3">
      <c r="A4221">
        <v>4219</v>
      </c>
      <c r="B4221" t="s">
        <v>153</v>
      </c>
      <c r="C4221" t="s">
        <v>154</v>
      </c>
      <c r="D4221">
        <v>1</v>
      </c>
    </row>
    <row r="4222" spans="1:4" hidden="1" x14ac:dyDescent="0.3">
      <c r="A4222">
        <v>4220</v>
      </c>
      <c r="B4222" t="s">
        <v>155</v>
      </c>
      <c r="C4222" t="s">
        <v>156</v>
      </c>
      <c r="D4222">
        <v>1</v>
      </c>
    </row>
    <row r="4223" spans="1:4" hidden="1" x14ac:dyDescent="0.3">
      <c r="A4223">
        <v>4221</v>
      </c>
      <c r="B4223" s="1" t="s">
        <v>4851</v>
      </c>
      <c r="C4223" t="s">
        <v>158</v>
      </c>
      <c r="D4223" s="1" t="s">
        <v>4852</v>
      </c>
    </row>
    <row r="4224" spans="1:4" hidden="1" x14ac:dyDescent="0.3">
      <c r="A4224">
        <v>4222</v>
      </c>
      <c r="B4224" t="s">
        <v>4853</v>
      </c>
      <c r="C4224" t="s">
        <v>161</v>
      </c>
      <c r="D4224">
        <v>1.00053213588984</v>
      </c>
    </row>
    <row r="4225" spans="1:4" hidden="1" x14ac:dyDescent="0.3">
      <c r="A4225">
        <v>4223</v>
      </c>
      <c r="B4225" t="s">
        <v>4854</v>
      </c>
      <c r="C4225" t="s">
        <v>163</v>
      </c>
      <c r="D4225">
        <v>0.99854591263368497</v>
      </c>
    </row>
    <row r="4226" spans="1:4" hidden="1" x14ac:dyDescent="0.3">
      <c r="A4226">
        <v>4224</v>
      </c>
      <c r="B4226" s="1" t="s">
        <v>4855</v>
      </c>
      <c r="C4226" t="s">
        <v>165</v>
      </c>
      <c r="D4226" s="1" t="s">
        <v>4856</v>
      </c>
    </row>
    <row r="4227" spans="1:4" hidden="1" x14ac:dyDescent="0.3">
      <c r="A4227">
        <v>4225</v>
      </c>
      <c r="B4227" s="1" t="s">
        <v>4857</v>
      </c>
      <c r="C4227" t="s">
        <v>55</v>
      </c>
      <c r="D4227" s="1" t="s">
        <v>4858</v>
      </c>
    </row>
    <row r="4228" spans="1:4" hidden="1" x14ac:dyDescent="0.3">
      <c r="A4228">
        <v>4226</v>
      </c>
      <c r="B4228" s="1" t="s">
        <v>4859</v>
      </c>
      <c r="C4228" t="s">
        <v>52</v>
      </c>
      <c r="D4228" s="1" t="s">
        <v>4860</v>
      </c>
    </row>
    <row r="4229" spans="1:4" hidden="1" x14ac:dyDescent="0.3">
      <c r="A4229">
        <v>4227</v>
      </c>
      <c r="B4229" s="1" t="s">
        <v>4861</v>
      </c>
      <c r="C4229" t="s">
        <v>58</v>
      </c>
      <c r="D4229" s="1" t="s">
        <v>4862</v>
      </c>
    </row>
    <row r="4230" spans="1:4" hidden="1" x14ac:dyDescent="0.3">
      <c r="A4230">
        <v>4228</v>
      </c>
      <c r="B4230" t="s">
        <v>4863</v>
      </c>
      <c r="C4230" t="s">
        <v>60</v>
      </c>
      <c r="D4230">
        <v>149883764.342168</v>
      </c>
    </row>
    <row r="4231" spans="1:4" hidden="1" x14ac:dyDescent="0.3">
      <c r="A4231">
        <v>4229</v>
      </c>
      <c r="B4231" t="s">
        <v>4864</v>
      </c>
      <c r="C4231" t="s">
        <v>62</v>
      </c>
      <c r="D4231">
        <v>80021971.260870397</v>
      </c>
    </row>
    <row r="4232" spans="1:4" hidden="1" x14ac:dyDescent="0.3">
      <c r="A4232">
        <v>4230</v>
      </c>
      <c r="B4232" t="s">
        <v>4865</v>
      </c>
      <c r="C4232" t="s">
        <v>64</v>
      </c>
      <c r="D4232">
        <v>35008165.3920113</v>
      </c>
    </row>
    <row r="4233" spans="1:4" hidden="1" x14ac:dyDescent="0.3">
      <c r="A4233">
        <v>4231</v>
      </c>
      <c r="B4233" s="1" t="s">
        <v>4866</v>
      </c>
      <c r="C4233" t="s">
        <v>66</v>
      </c>
      <c r="D4233" s="1" t="s">
        <v>4867</v>
      </c>
    </row>
    <row r="4234" spans="1:4" hidden="1" x14ac:dyDescent="0.3">
      <c r="A4234">
        <v>4232</v>
      </c>
      <c r="B4234" s="1" t="s">
        <v>4868</v>
      </c>
      <c r="C4234" t="s">
        <v>69</v>
      </c>
      <c r="D4234" s="1" t="s">
        <v>4869</v>
      </c>
    </row>
    <row r="4235" spans="1:4" hidden="1" x14ac:dyDescent="0.3">
      <c r="A4235">
        <v>4233</v>
      </c>
      <c r="B4235" t="s">
        <v>4870</v>
      </c>
      <c r="C4235" t="s">
        <v>72</v>
      </c>
      <c r="D4235">
        <v>1.00018157855814</v>
      </c>
    </row>
    <row r="4236" spans="1:4" hidden="1" x14ac:dyDescent="0.3">
      <c r="A4236">
        <v>4234</v>
      </c>
      <c r="B4236" t="s">
        <v>73</v>
      </c>
      <c r="C4236" t="s">
        <v>74</v>
      </c>
      <c r="D4236">
        <v>2.7397260273972599E-3</v>
      </c>
    </row>
    <row r="4237" spans="1:4" hidden="1" x14ac:dyDescent="0.3">
      <c r="A4237">
        <v>4235</v>
      </c>
      <c r="B4237" t="s">
        <v>75</v>
      </c>
      <c r="C4237" t="s">
        <v>76</v>
      </c>
      <c r="D4237">
        <v>0</v>
      </c>
    </row>
    <row r="4238" spans="1:4" hidden="1" x14ac:dyDescent="0.3">
      <c r="A4238">
        <v>4236</v>
      </c>
      <c r="B4238" t="s">
        <v>77</v>
      </c>
      <c r="C4238" t="s">
        <v>78</v>
      </c>
      <c r="D4238">
        <v>0</v>
      </c>
    </row>
    <row r="4239" spans="1:4" hidden="1" x14ac:dyDescent="0.3">
      <c r="A4239">
        <v>4237</v>
      </c>
      <c r="B4239" s="1" t="s">
        <v>4871</v>
      </c>
      <c r="C4239" t="s">
        <v>80</v>
      </c>
      <c r="D4239" s="1" t="s">
        <v>4872</v>
      </c>
    </row>
    <row r="4240" spans="1:4" hidden="1" x14ac:dyDescent="0.3">
      <c r="A4240">
        <v>4238</v>
      </c>
      <c r="B4240" t="s">
        <v>4873</v>
      </c>
      <c r="C4240" t="s">
        <v>83</v>
      </c>
      <c r="D4240">
        <v>1.0001663972621</v>
      </c>
    </row>
    <row r="4241" spans="1:4" hidden="1" x14ac:dyDescent="0.3">
      <c r="A4241">
        <v>4239</v>
      </c>
      <c r="B4241" s="1" t="s">
        <v>4874</v>
      </c>
      <c r="C4241" t="s">
        <v>85</v>
      </c>
      <c r="D4241" s="1" t="s">
        <v>4875</v>
      </c>
    </row>
    <row r="4242" spans="1:4" hidden="1" x14ac:dyDescent="0.3">
      <c r="A4242">
        <v>4240</v>
      </c>
      <c r="B4242" t="s">
        <v>4876</v>
      </c>
      <c r="C4242" t="s">
        <v>88</v>
      </c>
      <c r="D4242">
        <v>99983363.042133898</v>
      </c>
    </row>
    <row r="4243" spans="1:4" hidden="1" x14ac:dyDescent="0.3">
      <c r="A4243">
        <v>4241</v>
      </c>
      <c r="B4243" s="1" t="s">
        <v>4877</v>
      </c>
      <c r="C4243" t="s">
        <v>90</v>
      </c>
      <c r="D4243" s="1" t="s">
        <v>4823</v>
      </c>
    </row>
    <row r="4244" spans="1:4" hidden="1" x14ac:dyDescent="0.3">
      <c r="A4244">
        <v>4242</v>
      </c>
      <c r="B4244" t="s">
        <v>4878</v>
      </c>
      <c r="C4244" t="s">
        <v>93</v>
      </c>
      <c r="D4244">
        <v>80021971.260870397</v>
      </c>
    </row>
    <row r="4245" spans="1:4" hidden="1" x14ac:dyDescent="0.3">
      <c r="A4245">
        <v>4243</v>
      </c>
      <c r="B4245" t="s">
        <v>4879</v>
      </c>
      <c r="C4245" t="s">
        <v>95</v>
      </c>
      <c r="D4245">
        <v>35008165.3920113</v>
      </c>
    </row>
    <row r="4246" spans="1:4" hidden="1" x14ac:dyDescent="0.3">
      <c r="A4246">
        <v>4244</v>
      </c>
      <c r="B4246" t="s">
        <v>4880</v>
      </c>
      <c r="C4246" t="s">
        <v>97</v>
      </c>
      <c r="D4246">
        <v>34853627.689286403</v>
      </c>
    </row>
    <row r="4247" spans="1:4" hidden="1" x14ac:dyDescent="0.3">
      <c r="A4247">
        <v>4245</v>
      </c>
      <c r="B4247" s="1" t="s">
        <v>4881</v>
      </c>
      <c r="C4247" t="s">
        <v>99</v>
      </c>
      <c r="D4247" s="1" t="s">
        <v>4882</v>
      </c>
    </row>
    <row r="4248" spans="1:4" hidden="1" x14ac:dyDescent="0.3">
      <c r="A4248">
        <v>4246</v>
      </c>
      <c r="B4248" t="s">
        <v>4883</v>
      </c>
      <c r="C4248" t="s">
        <v>102</v>
      </c>
      <c r="D4248">
        <v>7.9715919846731192E-3</v>
      </c>
    </row>
    <row r="4249" spans="1:4" hidden="1" x14ac:dyDescent="0.3">
      <c r="A4249">
        <v>4247</v>
      </c>
      <c r="B4249" t="s">
        <v>4884</v>
      </c>
      <c r="C4249" t="s">
        <v>104</v>
      </c>
      <c r="D4249">
        <v>1.6664243267276199E-3</v>
      </c>
    </row>
    <row r="4250" spans="1:4" hidden="1" x14ac:dyDescent="0.3">
      <c r="A4250">
        <v>4248</v>
      </c>
      <c r="B4250" t="s">
        <v>4885</v>
      </c>
      <c r="C4250" t="s">
        <v>106</v>
      </c>
      <c r="D4250">
        <v>2.1487678551668499E-2</v>
      </c>
    </row>
    <row r="4251" spans="1:4" hidden="1" x14ac:dyDescent="0.3">
      <c r="A4251">
        <v>4249</v>
      </c>
      <c r="B4251" s="1" t="s">
        <v>4886</v>
      </c>
      <c r="C4251" t="s">
        <v>108</v>
      </c>
      <c r="D4251" s="1" t="s">
        <v>4887</v>
      </c>
    </row>
    <row r="4252" spans="1:4" hidden="1" x14ac:dyDescent="0.3">
      <c r="A4252">
        <v>4250</v>
      </c>
      <c r="B4252" t="s">
        <v>4888</v>
      </c>
      <c r="C4252" t="s">
        <v>196</v>
      </c>
      <c r="D4252">
        <v>149883241.48343199</v>
      </c>
    </row>
    <row r="4253" spans="1:4" hidden="1" x14ac:dyDescent="0.3">
      <c r="A4253">
        <v>4251</v>
      </c>
      <c r="B4253" t="s">
        <v>4889</v>
      </c>
      <c r="C4253" t="s">
        <v>198</v>
      </c>
      <c r="D4253">
        <v>1214.61053709166</v>
      </c>
    </row>
    <row r="4254" spans="1:4" hidden="1" x14ac:dyDescent="0.3">
      <c r="A4254">
        <v>4252</v>
      </c>
      <c r="B4254" t="s">
        <v>4890</v>
      </c>
      <c r="C4254" t="s">
        <v>200</v>
      </c>
      <c r="D4254">
        <v>531.37191419405895</v>
      </c>
    </row>
    <row r="4255" spans="1:4" hidden="1" x14ac:dyDescent="0.3">
      <c r="A4255">
        <v>4253</v>
      </c>
      <c r="B4255" s="1" t="s">
        <v>4891</v>
      </c>
      <c r="C4255" t="s">
        <v>202</v>
      </c>
      <c r="D4255" s="1" t="s">
        <v>4892</v>
      </c>
    </row>
    <row r="4256" spans="1:4" hidden="1" x14ac:dyDescent="0.3">
      <c r="A4256">
        <v>4254</v>
      </c>
      <c r="B4256" t="s">
        <v>4893</v>
      </c>
      <c r="C4256" t="s">
        <v>205</v>
      </c>
      <c r="D4256">
        <v>80020351.457973406</v>
      </c>
    </row>
    <row r="4257" spans="1:4" hidden="1" x14ac:dyDescent="0.3">
      <c r="A4257">
        <v>4255</v>
      </c>
      <c r="B4257" t="s">
        <v>4894</v>
      </c>
      <c r="C4257" t="s">
        <v>207</v>
      </c>
      <c r="D4257">
        <v>35007573.234560102</v>
      </c>
    </row>
    <row r="4258" spans="1:4" hidden="1" x14ac:dyDescent="0.3">
      <c r="A4258">
        <v>4256</v>
      </c>
      <c r="B4258" t="s">
        <v>4895</v>
      </c>
      <c r="C4258" t="s">
        <v>209</v>
      </c>
      <c r="D4258">
        <v>34853041.782131203</v>
      </c>
    </row>
    <row r="4259" spans="1:4" hidden="1" x14ac:dyDescent="0.3">
      <c r="A4259">
        <v>4257</v>
      </c>
      <c r="B4259" s="1" t="s">
        <v>4896</v>
      </c>
      <c r="C4259" t="s">
        <v>211</v>
      </c>
      <c r="D4259" s="1" t="s">
        <v>4897</v>
      </c>
    </row>
    <row r="4260" spans="1:4" hidden="1" x14ac:dyDescent="0.3">
      <c r="A4260">
        <v>4258</v>
      </c>
      <c r="B4260" t="s">
        <v>4898</v>
      </c>
      <c r="C4260" t="s">
        <v>214</v>
      </c>
      <c r="D4260">
        <v>99981845.440663993</v>
      </c>
    </row>
    <row r="4261" spans="1:4" hidden="1" x14ac:dyDescent="0.3">
      <c r="A4261">
        <v>4259</v>
      </c>
      <c r="B4261" t="s">
        <v>4899</v>
      </c>
      <c r="C4261" t="s">
        <v>216</v>
      </c>
      <c r="D4261">
        <v>1517.6014698445699</v>
      </c>
    </row>
    <row r="4262" spans="1:4" hidden="1" x14ac:dyDescent="0.3">
      <c r="A4262">
        <v>4260</v>
      </c>
      <c r="B4262" s="1" t="s">
        <v>4900</v>
      </c>
      <c r="C4262" t="s">
        <v>218</v>
      </c>
      <c r="D4262" s="1" t="s">
        <v>4901</v>
      </c>
    </row>
    <row r="4263" spans="1:4" hidden="1" x14ac:dyDescent="0.3">
      <c r="A4263">
        <v>4261</v>
      </c>
      <c r="B4263" t="s">
        <v>4902</v>
      </c>
      <c r="C4263" t="s">
        <v>111</v>
      </c>
      <c r="D4263">
        <v>-405.19235990664498</v>
      </c>
    </row>
    <row r="4264" spans="1:4" hidden="1" x14ac:dyDescent="0.3">
      <c r="A4264">
        <v>4262</v>
      </c>
      <c r="B4264" t="s">
        <v>4903</v>
      </c>
      <c r="C4264" t="s">
        <v>113</v>
      </c>
      <c r="D4264">
        <v>-60.785537028745402</v>
      </c>
    </row>
    <row r="4265" spans="1:4" hidden="1" x14ac:dyDescent="0.3">
      <c r="A4265">
        <v>4263</v>
      </c>
      <c r="B4265" s="1" t="s">
        <v>4904</v>
      </c>
      <c r="C4265" t="s">
        <v>115</v>
      </c>
      <c r="D4265" s="1" t="s">
        <v>4905</v>
      </c>
    </row>
    <row r="4266" spans="1:4" hidden="1" x14ac:dyDescent="0.3">
      <c r="A4266">
        <v>4264</v>
      </c>
      <c r="B4266" t="s">
        <v>4906</v>
      </c>
      <c r="C4266" t="s">
        <v>118</v>
      </c>
      <c r="D4266">
        <v>80020351.457973406</v>
      </c>
    </row>
    <row r="4267" spans="1:4" hidden="1" x14ac:dyDescent="0.3">
      <c r="A4267">
        <v>4265</v>
      </c>
      <c r="B4267" t="s">
        <v>4907</v>
      </c>
      <c r="C4267" t="s">
        <v>120</v>
      </c>
      <c r="D4267">
        <v>35007573.234560102</v>
      </c>
    </row>
    <row r="4268" spans="1:4" hidden="1" x14ac:dyDescent="0.3">
      <c r="A4268">
        <v>4266</v>
      </c>
      <c r="B4268" s="1" t="s">
        <v>4908</v>
      </c>
      <c r="C4268" t="s">
        <v>122</v>
      </c>
      <c r="D4268" s="1" t="s">
        <v>4909</v>
      </c>
    </row>
    <row r="4269" spans="1:4" hidden="1" x14ac:dyDescent="0.3">
      <c r="A4269">
        <v>4267</v>
      </c>
      <c r="B4269" t="s">
        <v>4910</v>
      </c>
      <c r="C4269" t="s">
        <v>125</v>
      </c>
      <c r="D4269">
        <v>0.80021566068510497</v>
      </c>
    </row>
    <row r="4270" spans="1:4" hidden="1" x14ac:dyDescent="0.3">
      <c r="A4270">
        <v>4268</v>
      </c>
      <c r="B4270" t="s">
        <v>4911</v>
      </c>
      <c r="C4270" t="s">
        <v>127</v>
      </c>
      <c r="D4270">
        <v>0.350081046064743</v>
      </c>
    </row>
    <row r="4271" spans="1:4" hidden="1" x14ac:dyDescent="0.3">
      <c r="A4271">
        <v>4269</v>
      </c>
      <c r="B4271" s="1" t="s">
        <v>4912</v>
      </c>
      <c r="C4271" t="s">
        <v>129</v>
      </c>
      <c r="D4271" s="1" t="s">
        <v>4913</v>
      </c>
    </row>
    <row r="4272" spans="1:4" ht="72" x14ac:dyDescent="0.3">
      <c r="A4272">
        <v>4270</v>
      </c>
      <c r="B4272" s="1" t="s">
        <v>3</v>
      </c>
      <c r="C4272" t="s">
        <v>4</v>
      </c>
      <c r="D4272" t="s">
        <v>5</v>
      </c>
    </row>
    <row r="4273" spans="1:4" hidden="1" x14ac:dyDescent="0.3">
      <c r="A4273">
        <v>4271</v>
      </c>
      <c r="B4273" t="s">
        <v>6</v>
      </c>
      <c r="C4273" t="s">
        <v>7</v>
      </c>
      <c r="D4273">
        <v>1981.95</v>
      </c>
    </row>
    <row r="4274" spans="1:4" hidden="1" x14ac:dyDescent="0.3">
      <c r="A4274">
        <v>4272</v>
      </c>
      <c r="B4274" s="1" t="s">
        <v>131</v>
      </c>
      <c r="C4274" t="s">
        <v>9</v>
      </c>
      <c r="D4274" s="1" t="s">
        <v>132</v>
      </c>
    </row>
    <row r="4275" spans="1:4" hidden="1" x14ac:dyDescent="0.3">
      <c r="A4275">
        <v>4273</v>
      </c>
      <c r="B4275" t="s">
        <v>13</v>
      </c>
      <c r="C4275" t="s">
        <v>14</v>
      </c>
      <c r="D4275">
        <v>91.74609375</v>
      </c>
    </row>
    <row r="4276" spans="1:4" hidden="1" x14ac:dyDescent="0.3">
      <c r="A4276">
        <v>4274</v>
      </c>
      <c r="B4276" t="s">
        <v>15</v>
      </c>
      <c r="C4276" t="s">
        <v>16</v>
      </c>
      <c r="D4276">
        <v>4.1883572307132804</v>
      </c>
    </row>
    <row r="4277" spans="1:4" hidden="1" x14ac:dyDescent="0.3">
      <c r="A4277">
        <v>4275</v>
      </c>
      <c r="B4277" s="1" t="s">
        <v>133</v>
      </c>
      <c r="C4277" t="s">
        <v>134</v>
      </c>
      <c r="D4277" s="1" t="s">
        <v>135</v>
      </c>
    </row>
    <row r="4278" spans="1:4" hidden="1" x14ac:dyDescent="0.3">
      <c r="A4278">
        <v>4276</v>
      </c>
      <c r="B4278" t="s">
        <v>21</v>
      </c>
      <c r="C4278" t="s">
        <v>22</v>
      </c>
      <c r="D4278">
        <v>38.25</v>
      </c>
    </row>
    <row r="4279" spans="1:4" hidden="1" x14ac:dyDescent="0.3">
      <c r="A4279">
        <v>4277</v>
      </c>
      <c r="B4279" t="s">
        <v>4914</v>
      </c>
      <c r="C4279" t="s">
        <v>24</v>
      </c>
      <c r="D4279">
        <v>5.6269292662152797</v>
      </c>
    </row>
    <row r="4280" spans="1:4" hidden="1" x14ac:dyDescent="0.3">
      <c r="A4280">
        <v>4278</v>
      </c>
      <c r="B4280" s="1" t="s">
        <v>4915</v>
      </c>
      <c r="C4280" t="s">
        <v>138</v>
      </c>
      <c r="D4280" s="1" t="s">
        <v>4916</v>
      </c>
    </row>
    <row r="4281" spans="1:4" hidden="1" x14ac:dyDescent="0.3">
      <c r="A4281">
        <v>4279</v>
      </c>
      <c r="B4281" t="s">
        <v>4917</v>
      </c>
      <c r="C4281" t="s">
        <v>35</v>
      </c>
      <c r="D4281">
        <v>0.544965511145171</v>
      </c>
    </row>
    <row r="4282" spans="1:4" hidden="1" x14ac:dyDescent="0.3">
      <c r="A4282">
        <v>4280</v>
      </c>
      <c r="B4282" t="s">
        <v>4918</v>
      </c>
      <c r="C4282" t="s">
        <v>142</v>
      </c>
      <c r="D4282">
        <v>0.68642067356740399</v>
      </c>
    </row>
    <row r="4283" spans="1:4" hidden="1" x14ac:dyDescent="0.3">
      <c r="A4283">
        <v>4281</v>
      </c>
      <c r="B4283" s="1" t="s">
        <v>4919</v>
      </c>
      <c r="C4283" t="s">
        <v>144</v>
      </c>
      <c r="D4283" s="1" t="s">
        <v>4920</v>
      </c>
    </row>
    <row r="4284" spans="1:4" hidden="1" x14ac:dyDescent="0.3">
      <c r="A4284">
        <v>4282</v>
      </c>
      <c r="B4284" t="s">
        <v>4921</v>
      </c>
      <c r="C4284" t="s">
        <v>30</v>
      </c>
      <c r="D4284">
        <v>0.19245705655695799</v>
      </c>
    </row>
    <row r="4285" spans="1:4" hidden="1" x14ac:dyDescent="0.3">
      <c r="A4285">
        <v>4283</v>
      </c>
      <c r="B4285" t="s">
        <v>4922</v>
      </c>
      <c r="C4285" t="s">
        <v>32</v>
      </c>
      <c r="D4285">
        <v>0.25006753550362298</v>
      </c>
    </row>
    <row r="4286" spans="1:4" hidden="1" x14ac:dyDescent="0.3">
      <c r="A4286">
        <v>4284</v>
      </c>
      <c r="B4286" s="1" t="s">
        <v>4923</v>
      </c>
      <c r="C4286" t="s">
        <v>148</v>
      </c>
      <c r="D4286" s="1" t="s">
        <v>4924</v>
      </c>
    </row>
    <row r="4287" spans="1:4" hidden="1" x14ac:dyDescent="0.3">
      <c r="A4287">
        <v>4285</v>
      </c>
      <c r="B4287" t="s">
        <v>4925</v>
      </c>
      <c r="C4287" t="s">
        <v>40</v>
      </c>
      <c r="D4287">
        <v>0.26257743229786901</v>
      </c>
    </row>
    <row r="4288" spans="1:4" hidden="1" x14ac:dyDescent="0.3">
      <c r="A4288">
        <v>4286</v>
      </c>
      <c r="B4288" t="s">
        <v>4926</v>
      </c>
      <c r="C4288" t="s">
        <v>42</v>
      </c>
      <c r="D4288">
        <v>0.206765043274765</v>
      </c>
    </row>
    <row r="4289" spans="1:4" hidden="1" x14ac:dyDescent="0.3">
      <c r="A4289">
        <v>4287</v>
      </c>
      <c r="B4289" s="1" t="s">
        <v>4927</v>
      </c>
      <c r="C4289" t="s">
        <v>152</v>
      </c>
      <c r="D4289" s="1" t="s">
        <v>4928</v>
      </c>
    </row>
    <row r="4290" spans="1:4" hidden="1" x14ac:dyDescent="0.3">
      <c r="A4290">
        <v>4288</v>
      </c>
      <c r="B4290" t="s">
        <v>153</v>
      </c>
      <c r="C4290" t="s">
        <v>154</v>
      </c>
      <c r="D4290">
        <v>1</v>
      </c>
    </row>
    <row r="4291" spans="1:4" hidden="1" x14ac:dyDescent="0.3">
      <c r="A4291">
        <v>4289</v>
      </c>
      <c r="B4291" t="s">
        <v>155</v>
      </c>
      <c r="C4291" t="s">
        <v>156</v>
      </c>
      <c r="D4291">
        <v>1</v>
      </c>
    </row>
    <row r="4292" spans="1:4" hidden="1" x14ac:dyDescent="0.3">
      <c r="A4292">
        <v>4290</v>
      </c>
      <c r="B4292" s="1" t="s">
        <v>4929</v>
      </c>
      <c r="C4292" t="s">
        <v>158</v>
      </c>
      <c r="D4292" s="1" t="s">
        <v>4930</v>
      </c>
    </row>
    <row r="4293" spans="1:4" hidden="1" x14ac:dyDescent="0.3">
      <c r="A4293">
        <v>4291</v>
      </c>
      <c r="B4293" t="s">
        <v>4931</v>
      </c>
      <c r="C4293" t="s">
        <v>161</v>
      </c>
      <c r="D4293">
        <v>1.00451408500678</v>
      </c>
    </row>
    <row r="4294" spans="1:4" hidden="1" x14ac:dyDescent="0.3">
      <c r="A4294">
        <v>4292</v>
      </c>
      <c r="B4294" t="s">
        <v>4932</v>
      </c>
      <c r="C4294" t="s">
        <v>163</v>
      </c>
      <c r="D4294">
        <v>0.99327913777813104</v>
      </c>
    </row>
    <row r="4295" spans="1:4" hidden="1" x14ac:dyDescent="0.3">
      <c r="A4295">
        <v>4293</v>
      </c>
      <c r="B4295" s="1" t="s">
        <v>4933</v>
      </c>
      <c r="C4295" t="s">
        <v>165</v>
      </c>
      <c r="D4295" s="1" t="s">
        <v>4934</v>
      </c>
    </row>
    <row r="4296" spans="1:4" hidden="1" x14ac:dyDescent="0.3">
      <c r="A4296">
        <v>4294</v>
      </c>
      <c r="B4296" s="1" t="s">
        <v>4935</v>
      </c>
      <c r="C4296" t="s">
        <v>55</v>
      </c>
      <c r="D4296" s="1" t="s">
        <v>4936</v>
      </c>
    </row>
    <row r="4297" spans="1:4" hidden="1" x14ac:dyDescent="0.3">
      <c r="A4297">
        <v>4295</v>
      </c>
      <c r="B4297" s="1" t="s">
        <v>4937</v>
      </c>
      <c r="C4297" t="s">
        <v>52</v>
      </c>
      <c r="D4297" s="1" t="s">
        <v>4938</v>
      </c>
    </row>
    <row r="4298" spans="1:4" hidden="1" x14ac:dyDescent="0.3">
      <c r="A4298">
        <v>4296</v>
      </c>
      <c r="B4298" s="1" t="s">
        <v>4939</v>
      </c>
      <c r="C4298" t="s">
        <v>58</v>
      </c>
      <c r="D4298" s="1" t="s">
        <v>4940</v>
      </c>
    </row>
    <row r="4299" spans="1:4" hidden="1" x14ac:dyDescent="0.3">
      <c r="A4299">
        <v>4297</v>
      </c>
      <c r="B4299" t="s">
        <v>4941</v>
      </c>
      <c r="C4299" t="s">
        <v>60</v>
      </c>
      <c r="D4299">
        <v>149870191.516458</v>
      </c>
    </row>
    <row r="4300" spans="1:4" hidden="1" x14ac:dyDescent="0.3">
      <c r="A4300">
        <v>4298</v>
      </c>
      <c r="B4300" t="s">
        <v>4942</v>
      </c>
      <c r="C4300" t="s">
        <v>62</v>
      </c>
      <c r="D4300">
        <v>80020351.457973406</v>
      </c>
    </row>
    <row r="4301" spans="1:4" hidden="1" x14ac:dyDescent="0.3">
      <c r="A4301">
        <v>4299</v>
      </c>
      <c r="B4301" t="s">
        <v>4943</v>
      </c>
      <c r="C4301" t="s">
        <v>64</v>
      </c>
      <c r="D4301">
        <v>35007573.234560102</v>
      </c>
    </row>
    <row r="4302" spans="1:4" hidden="1" x14ac:dyDescent="0.3">
      <c r="A4302">
        <v>4300</v>
      </c>
      <c r="B4302" s="1" t="s">
        <v>4944</v>
      </c>
      <c r="C4302" t="s">
        <v>66</v>
      </c>
      <c r="D4302" s="1" t="s">
        <v>4945</v>
      </c>
    </row>
    <row r="4303" spans="1:4" hidden="1" x14ac:dyDescent="0.3">
      <c r="A4303">
        <v>4301</v>
      </c>
      <c r="B4303" s="1" t="s">
        <v>4946</v>
      </c>
      <c r="C4303" t="s">
        <v>69</v>
      </c>
      <c r="D4303" s="1" t="s">
        <v>4947</v>
      </c>
    </row>
    <row r="4304" spans="1:4" hidden="1" x14ac:dyDescent="0.3">
      <c r="A4304">
        <v>4302</v>
      </c>
      <c r="B4304" t="s">
        <v>4948</v>
      </c>
      <c r="C4304" t="s">
        <v>72</v>
      </c>
      <c r="D4304">
        <v>1.0001663972621</v>
      </c>
    </row>
    <row r="4305" spans="1:4" hidden="1" x14ac:dyDescent="0.3">
      <c r="A4305">
        <v>4303</v>
      </c>
      <c r="B4305" t="s">
        <v>73</v>
      </c>
      <c r="C4305" t="s">
        <v>74</v>
      </c>
      <c r="D4305">
        <v>2.7397260273972599E-3</v>
      </c>
    </row>
    <row r="4306" spans="1:4" hidden="1" x14ac:dyDescent="0.3">
      <c r="A4306">
        <v>4304</v>
      </c>
      <c r="B4306" t="s">
        <v>75</v>
      </c>
      <c r="C4306" t="s">
        <v>76</v>
      </c>
      <c r="D4306">
        <v>0</v>
      </c>
    </row>
    <row r="4307" spans="1:4" hidden="1" x14ac:dyDescent="0.3">
      <c r="A4307">
        <v>4305</v>
      </c>
      <c r="B4307" t="s">
        <v>969</v>
      </c>
      <c r="C4307" t="s">
        <v>78</v>
      </c>
      <c r="D4307" s="2">
        <v>2.2204460492503101E-16</v>
      </c>
    </row>
    <row r="4308" spans="1:4" hidden="1" x14ac:dyDescent="0.3">
      <c r="A4308">
        <v>4306</v>
      </c>
      <c r="B4308" s="1" t="s">
        <v>4949</v>
      </c>
      <c r="C4308" t="s">
        <v>80</v>
      </c>
      <c r="D4308" s="1" t="s">
        <v>4950</v>
      </c>
    </row>
    <row r="4309" spans="1:4" hidden="1" x14ac:dyDescent="0.3">
      <c r="A4309">
        <v>4307</v>
      </c>
      <c r="B4309" t="s">
        <v>4951</v>
      </c>
      <c r="C4309" t="s">
        <v>83</v>
      </c>
      <c r="D4309">
        <v>1.0001971004869801</v>
      </c>
    </row>
    <row r="4310" spans="1:4" hidden="1" x14ac:dyDescent="0.3">
      <c r="A4310">
        <v>4308</v>
      </c>
      <c r="B4310" s="1" t="s">
        <v>4952</v>
      </c>
      <c r="C4310" t="s">
        <v>85</v>
      </c>
      <c r="D4310" s="1" t="s">
        <v>4953</v>
      </c>
    </row>
    <row r="4311" spans="1:4" hidden="1" x14ac:dyDescent="0.3">
      <c r="A4311">
        <v>4309</v>
      </c>
      <c r="B4311" t="s">
        <v>4954</v>
      </c>
      <c r="C4311" t="s">
        <v>88</v>
      </c>
      <c r="D4311">
        <v>99980293.835396096</v>
      </c>
    </row>
    <row r="4312" spans="1:4" hidden="1" x14ac:dyDescent="0.3">
      <c r="A4312">
        <v>4310</v>
      </c>
      <c r="B4312" s="1" t="s">
        <v>4955</v>
      </c>
      <c r="C4312" t="s">
        <v>90</v>
      </c>
      <c r="D4312" s="1" t="s">
        <v>4901</v>
      </c>
    </row>
    <row r="4313" spans="1:4" hidden="1" x14ac:dyDescent="0.3">
      <c r="A4313">
        <v>4311</v>
      </c>
      <c r="B4313" t="s">
        <v>4956</v>
      </c>
      <c r="C4313" t="s">
        <v>93</v>
      </c>
      <c r="D4313">
        <v>80020351.457973406</v>
      </c>
    </row>
    <row r="4314" spans="1:4" hidden="1" x14ac:dyDescent="0.3">
      <c r="A4314">
        <v>4312</v>
      </c>
      <c r="B4314" t="s">
        <v>4957</v>
      </c>
      <c r="C4314" t="s">
        <v>95</v>
      </c>
      <c r="D4314">
        <v>35007573.234560102</v>
      </c>
    </row>
    <row r="4315" spans="1:4" hidden="1" x14ac:dyDescent="0.3">
      <c r="A4315">
        <v>4313</v>
      </c>
      <c r="B4315" t="s">
        <v>4958</v>
      </c>
      <c r="C4315" t="s">
        <v>97</v>
      </c>
      <c r="D4315">
        <v>34842266.823925003</v>
      </c>
    </row>
    <row r="4316" spans="1:4" hidden="1" x14ac:dyDescent="0.3">
      <c r="A4316">
        <v>4314</v>
      </c>
      <c r="B4316" s="1" t="s">
        <v>4959</v>
      </c>
      <c r="C4316" t="s">
        <v>99</v>
      </c>
      <c r="D4316" s="1" t="s">
        <v>4960</v>
      </c>
    </row>
    <row r="4317" spans="1:4" hidden="1" x14ac:dyDescent="0.3">
      <c r="A4317">
        <v>4315</v>
      </c>
      <c r="B4317" t="s">
        <v>4961</v>
      </c>
      <c r="C4317" t="s">
        <v>102</v>
      </c>
      <c r="D4317">
        <v>8.0813263723194303E-3</v>
      </c>
    </row>
    <row r="4318" spans="1:4" hidden="1" x14ac:dyDescent="0.3">
      <c r="A4318">
        <v>4316</v>
      </c>
      <c r="B4318" t="s">
        <v>4962</v>
      </c>
      <c r="C4318" t="s">
        <v>104</v>
      </c>
      <c r="D4318">
        <v>1.62562322109431E-3</v>
      </c>
    </row>
    <row r="4319" spans="1:4" hidden="1" x14ac:dyDescent="0.3">
      <c r="A4319">
        <v>4317</v>
      </c>
      <c r="B4319" t="s">
        <v>4963</v>
      </c>
      <c r="C4319" t="s">
        <v>106</v>
      </c>
      <c r="D4319">
        <v>2.16558810242297E-2</v>
      </c>
    </row>
    <row r="4320" spans="1:4" hidden="1" x14ac:dyDescent="0.3">
      <c r="A4320">
        <v>4318</v>
      </c>
      <c r="B4320" s="1" t="s">
        <v>4964</v>
      </c>
      <c r="C4320" t="s">
        <v>108</v>
      </c>
      <c r="D4320" s="1" t="s">
        <v>4965</v>
      </c>
    </row>
    <row r="4321" spans="1:4" hidden="1" x14ac:dyDescent="0.3">
      <c r="A4321">
        <v>4319</v>
      </c>
      <c r="B4321" t="s">
        <v>4966</v>
      </c>
      <c r="C4321" t="s">
        <v>196</v>
      </c>
      <c r="D4321">
        <v>149871250.15626001</v>
      </c>
    </row>
    <row r="4322" spans="1:4" hidden="1" x14ac:dyDescent="0.3">
      <c r="A4322">
        <v>4320</v>
      </c>
      <c r="B4322" t="s">
        <v>4967</v>
      </c>
      <c r="C4322" t="s">
        <v>198</v>
      </c>
      <c r="D4322">
        <v>-2456.4978852044701</v>
      </c>
    </row>
    <row r="4323" spans="1:4" hidden="1" x14ac:dyDescent="0.3">
      <c r="A4323">
        <v>4321</v>
      </c>
      <c r="B4323" t="s">
        <v>4968</v>
      </c>
      <c r="C4323" t="s">
        <v>200</v>
      </c>
      <c r="D4323">
        <v>-1074.6701578151501</v>
      </c>
    </row>
    <row r="4324" spans="1:4" hidden="1" x14ac:dyDescent="0.3">
      <c r="A4324">
        <v>4322</v>
      </c>
      <c r="B4324" s="1" t="s">
        <v>4969</v>
      </c>
      <c r="C4324" t="s">
        <v>202</v>
      </c>
      <c r="D4324" s="1" t="s">
        <v>4970</v>
      </c>
    </row>
    <row r="4325" spans="1:4" hidden="1" x14ac:dyDescent="0.3">
      <c r="A4325">
        <v>4323</v>
      </c>
      <c r="B4325" t="s">
        <v>4971</v>
      </c>
      <c r="C4325" t="s">
        <v>205</v>
      </c>
      <c r="D4325">
        <v>80023582.915557593</v>
      </c>
    </row>
    <row r="4326" spans="1:4" hidden="1" x14ac:dyDescent="0.3">
      <c r="A4326">
        <v>4324</v>
      </c>
      <c r="B4326" t="s">
        <v>4972</v>
      </c>
      <c r="C4326" t="s">
        <v>207</v>
      </c>
      <c r="D4326">
        <v>35008764.712874003</v>
      </c>
    </row>
    <row r="4327" spans="1:4" hidden="1" x14ac:dyDescent="0.3">
      <c r="A4327">
        <v>4325</v>
      </c>
      <c r="B4327" t="s">
        <v>4973</v>
      </c>
      <c r="C4327" t="s">
        <v>209</v>
      </c>
      <c r="D4327">
        <v>34843503.292971201</v>
      </c>
    </row>
    <row r="4328" spans="1:4" hidden="1" x14ac:dyDescent="0.3">
      <c r="A4328">
        <v>4326</v>
      </c>
      <c r="B4328" s="1" t="s">
        <v>4974</v>
      </c>
      <c r="C4328" t="s">
        <v>211</v>
      </c>
      <c r="D4328" s="1" t="s">
        <v>4975</v>
      </c>
    </row>
    <row r="4329" spans="1:4" hidden="1" x14ac:dyDescent="0.3">
      <c r="A4329">
        <v>4327</v>
      </c>
      <c r="B4329" t="s">
        <v>4976</v>
      </c>
      <c r="C4329" t="s">
        <v>214</v>
      </c>
      <c r="D4329">
        <v>99983363.042133898</v>
      </c>
    </row>
    <row r="4330" spans="1:4" hidden="1" x14ac:dyDescent="0.3">
      <c r="A4330">
        <v>4328</v>
      </c>
      <c r="B4330" t="s">
        <v>4977</v>
      </c>
      <c r="C4330" t="s">
        <v>216</v>
      </c>
      <c r="D4330">
        <v>-3069.2067378163301</v>
      </c>
    </row>
    <row r="4331" spans="1:4" hidden="1" x14ac:dyDescent="0.3">
      <c r="A4331">
        <v>4329</v>
      </c>
      <c r="B4331" s="1" t="s">
        <v>4978</v>
      </c>
      <c r="C4331" t="s">
        <v>218</v>
      </c>
      <c r="D4331" s="1" t="s">
        <v>4979</v>
      </c>
    </row>
    <row r="4332" spans="1:4" hidden="1" x14ac:dyDescent="0.3">
      <c r="A4332">
        <v>4330</v>
      </c>
      <c r="B4332" t="s">
        <v>4980</v>
      </c>
      <c r="C4332" t="s">
        <v>111</v>
      </c>
      <c r="D4332">
        <v>774.95969897670898</v>
      </c>
    </row>
    <row r="4333" spans="1:4" hidden="1" x14ac:dyDescent="0.3">
      <c r="A4333">
        <v>4331</v>
      </c>
      <c r="B4333" t="s">
        <v>4981</v>
      </c>
      <c r="C4333" t="s">
        <v>113</v>
      </c>
      <c r="D4333">
        <v>116.808156040906</v>
      </c>
    </row>
    <row r="4334" spans="1:4" hidden="1" x14ac:dyDescent="0.3">
      <c r="A4334">
        <v>4332</v>
      </c>
      <c r="B4334" s="1" t="s">
        <v>4982</v>
      </c>
      <c r="C4334" t="s">
        <v>115</v>
      </c>
      <c r="D4334" s="1" t="s">
        <v>4983</v>
      </c>
    </row>
    <row r="4335" spans="1:4" hidden="1" x14ac:dyDescent="0.3">
      <c r="A4335">
        <v>4333</v>
      </c>
      <c r="B4335" t="s">
        <v>4984</v>
      </c>
      <c r="C4335" t="s">
        <v>118</v>
      </c>
      <c r="D4335">
        <v>80023582.915557593</v>
      </c>
    </row>
    <row r="4336" spans="1:4" hidden="1" x14ac:dyDescent="0.3">
      <c r="A4336">
        <v>4334</v>
      </c>
      <c r="B4336" t="s">
        <v>4985</v>
      </c>
      <c r="C4336" t="s">
        <v>120</v>
      </c>
      <c r="D4336">
        <v>35008764.712874003</v>
      </c>
    </row>
    <row r="4337" spans="1:4" hidden="1" x14ac:dyDescent="0.3">
      <c r="A4337">
        <v>4335</v>
      </c>
      <c r="B4337" s="1" t="s">
        <v>4986</v>
      </c>
      <c r="C4337" t="s">
        <v>122</v>
      </c>
      <c r="D4337" s="1" t="s">
        <v>4987</v>
      </c>
    </row>
    <row r="4338" spans="1:4" hidden="1" x14ac:dyDescent="0.3">
      <c r="A4338">
        <v>4336</v>
      </c>
      <c r="B4338" t="s">
        <v>4988</v>
      </c>
      <c r="C4338" t="s">
        <v>125</v>
      </c>
      <c r="D4338">
        <v>0.80021126417672395</v>
      </c>
    </row>
    <row r="4339" spans="1:4" hidden="1" x14ac:dyDescent="0.3">
      <c r="A4339">
        <v>4337</v>
      </c>
      <c r="B4339" t="s">
        <v>4989</v>
      </c>
      <c r="C4339" t="s">
        <v>127</v>
      </c>
      <c r="D4339">
        <v>0.350076900427162</v>
      </c>
    </row>
    <row r="4340" spans="1:4" hidden="1" x14ac:dyDescent="0.3">
      <c r="A4340">
        <v>4338</v>
      </c>
      <c r="B4340" s="1" t="s">
        <v>4990</v>
      </c>
      <c r="C4340" t="s">
        <v>129</v>
      </c>
      <c r="D4340" s="1" t="s">
        <v>4991</v>
      </c>
    </row>
    <row r="4341" spans="1:4" ht="72" x14ac:dyDescent="0.3">
      <c r="A4341">
        <v>4339</v>
      </c>
      <c r="B4341" s="1" t="s">
        <v>3</v>
      </c>
      <c r="C4341" t="s">
        <v>4</v>
      </c>
      <c r="D4341" t="s">
        <v>5</v>
      </c>
    </row>
    <row r="4342" spans="1:4" hidden="1" x14ac:dyDescent="0.3">
      <c r="A4342">
        <v>4340</v>
      </c>
      <c r="B4342" t="s">
        <v>6</v>
      </c>
      <c r="C4342" t="s">
        <v>7</v>
      </c>
      <c r="D4342">
        <v>1981.95</v>
      </c>
    </row>
    <row r="4343" spans="1:4" hidden="1" x14ac:dyDescent="0.3">
      <c r="A4343">
        <v>4341</v>
      </c>
      <c r="B4343" s="1" t="s">
        <v>131</v>
      </c>
      <c r="C4343" t="s">
        <v>9</v>
      </c>
      <c r="D4343" s="1" t="s">
        <v>132</v>
      </c>
    </row>
    <row r="4344" spans="1:4" hidden="1" x14ac:dyDescent="0.3">
      <c r="A4344">
        <v>4342</v>
      </c>
      <c r="B4344" t="s">
        <v>13</v>
      </c>
      <c r="C4344" t="s">
        <v>14</v>
      </c>
      <c r="D4344">
        <v>91.74609375</v>
      </c>
    </row>
    <row r="4345" spans="1:4" hidden="1" x14ac:dyDescent="0.3">
      <c r="A4345">
        <v>4343</v>
      </c>
      <c r="B4345" t="s">
        <v>15</v>
      </c>
      <c r="C4345" t="s">
        <v>16</v>
      </c>
      <c r="D4345">
        <v>4.1883572307132804</v>
      </c>
    </row>
    <row r="4346" spans="1:4" hidden="1" x14ac:dyDescent="0.3">
      <c r="A4346">
        <v>4344</v>
      </c>
      <c r="B4346" s="1" t="s">
        <v>133</v>
      </c>
      <c r="C4346" t="s">
        <v>134</v>
      </c>
      <c r="D4346" s="1" t="s">
        <v>135</v>
      </c>
    </row>
    <row r="4347" spans="1:4" hidden="1" x14ac:dyDescent="0.3">
      <c r="A4347">
        <v>4345</v>
      </c>
      <c r="B4347" t="s">
        <v>21</v>
      </c>
      <c r="C4347" t="s">
        <v>22</v>
      </c>
      <c r="D4347">
        <v>38.25</v>
      </c>
    </row>
    <row r="4348" spans="1:4" hidden="1" x14ac:dyDescent="0.3">
      <c r="A4348">
        <v>4346</v>
      </c>
      <c r="B4348" t="s">
        <v>4992</v>
      </c>
      <c r="C4348" t="s">
        <v>24</v>
      </c>
      <c r="D4348">
        <v>5.6098183722700403</v>
      </c>
    </row>
    <row r="4349" spans="1:4" hidden="1" x14ac:dyDescent="0.3">
      <c r="A4349">
        <v>4347</v>
      </c>
      <c r="B4349" s="1" t="s">
        <v>4993</v>
      </c>
      <c r="C4349" t="s">
        <v>138</v>
      </c>
      <c r="D4349" s="1" t="s">
        <v>4994</v>
      </c>
    </row>
    <row r="4350" spans="1:4" hidden="1" x14ac:dyDescent="0.3">
      <c r="A4350">
        <v>4348</v>
      </c>
      <c r="B4350" t="s">
        <v>4995</v>
      </c>
      <c r="C4350" t="s">
        <v>35</v>
      </c>
      <c r="D4350">
        <v>0.55129335872565599</v>
      </c>
    </row>
    <row r="4351" spans="1:4" hidden="1" x14ac:dyDescent="0.3">
      <c r="A4351">
        <v>4349</v>
      </c>
      <c r="B4351" t="s">
        <v>4996</v>
      </c>
      <c r="C4351" t="s">
        <v>142</v>
      </c>
      <c r="D4351">
        <v>0.68114873977370705</v>
      </c>
    </row>
    <row r="4352" spans="1:4" hidden="1" x14ac:dyDescent="0.3">
      <c r="A4352">
        <v>4350</v>
      </c>
      <c r="B4352" s="1" t="s">
        <v>4997</v>
      </c>
      <c r="C4352" t="s">
        <v>144</v>
      </c>
      <c r="D4352" s="1" t="s">
        <v>4998</v>
      </c>
    </row>
    <row r="4353" spans="1:4" hidden="1" x14ac:dyDescent="0.3">
      <c r="A4353">
        <v>4351</v>
      </c>
      <c r="B4353" t="s">
        <v>4999</v>
      </c>
      <c r="C4353" t="s">
        <v>30</v>
      </c>
      <c r="D4353">
        <v>0.194691764799544</v>
      </c>
    </row>
    <row r="4354" spans="1:4" hidden="1" x14ac:dyDescent="0.3">
      <c r="A4354">
        <v>4352</v>
      </c>
      <c r="B4354" t="s">
        <v>5000</v>
      </c>
      <c r="C4354" t="s">
        <v>32</v>
      </c>
      <c r="D4354">
        <v>0.25523029942012498</v>
      </c>
    </row>
    <row r="4355" spans="1:4" hidden="1" x14ac:dyDescent="0.3">
      <c r="A4355">
        <v>4353</v>
      </c>
      <c r="B4355" s="1" t="s">
        <v>5001</v>
      </c>
      <c r="C4355" t="s">
        <v>148</v>
      </c>
      <c r="D4355" s="1" t="s">
        <v>5002</v>
      </c>
    </row>
    <row r="4356" spans="1:4" hidden="1" x14ac:dyDescent="0.3">
      <c r="A4356">
        <v>4354</v>
      </c>
      <c r="B4356" t="s">
        <v>5003</v>
      </c>
      <c r="C4356" t="s">
        <v>40</v>
      </c>
      <c r="D4356">
        <v>0.25401487647479798</v>
      </c>
    </row>
    <row r="4357" spans="1:4" hidden="1" x14ac:dyDescent="0.3">
      <c r="A4357">
        <v>4355</v>
      </c>
      <c r="B4357" t="s">
        <v>5004</v>
      </c>
      <c r="C4357" t="s">
        <v>42</v>
      </c>
      <c r="D4357">
        <v>0.21287782676127401</v>
      </c>
    </row>
    <row r="4358" spans="1:4" hidden="1" x14ac:dyDescent="0.3">
      <c r="A4358">
        <v>4356</v>
      </c>
      <c r="B4358" s="1" t="s">
        <v>5005</v>
      </c>
      <c r="C4358" t="s">
        <v>152</v>
      </c>
      <c r="D4358" s="1" t="s">
        <v>5006</v>
      </c>
    </row>
    <row r="4359" spans="1:4" hidden="1" x14ac:dyDescent="0.3">
      <c r="A4359">
        <v>4357</v>
      </c>
      <c r="B4359" t="s">
        <v>153</v>
      </c>
      <c r="C4359" t="s">
        <v>154</v>
      </c>
      <c r="D4359">
        <v>1</v>
      </c>
    </row>
    <row r="4360" spans="1:4" hidden="1" x14ac:dyDescent="0.3">
      <c r="A4360">
        <v>4358</v>
      </c>
      <c r="B4360" t="s">
        <v>155</v>
      </c>
      <c r="C4360" t="s">
        <v>156</v>
      </c>
      <c r="D4360">
        <v>1</v>
      </c>
    </row>
    <row r="4361" spans="1:4" hidden="1" x14ac:dyDescent="0.3">
      <c r="A4361">
        <v>4359</v>
      </c>
      <c r="B4361" s="1" t="s">
        <v>5007</v>
      </c>
      <c r="C4361" t="s">
        <v>158</v>
      </c>
      <c r="D4361" s="1" t="s">
        <v>5008</v>
      </c>
    </row>
    <row r="4362" spans="1:4" hidden="1" x14ac:dyDescent="0.3">
      <c r="A4362">
        <v>4360</v>
      </c>
      <c r="B4362" t="s">
        <v>5009</v>
      </c>
      <c r="C4362" t="s">
        <v>161</v>
      </c>
      <c r="D4362">
        <v>0.99687389162364504</v>
      </c>
    </row>
    <row r="4363" spans="1:4" hidden="1" x14ac:dyDescent="0.3">
      <c r="A4363">
        <v>4361</v>
      </c>
      <c r="B4363" t="s">
        <v>5010</v>
      </c>
      <c r="C4363" t="s">
        <v>163</v>
      </c>
      <c r="D4363">
        <v>1.00412998799654</v>
      </c>
    </row>
    <row r="4364" spans="1:4" hidden="1" x14ac:dyDescent="0.3">
      <c r="A4364">
        <v>4362</v>
      </c>
      <c r="B4364" s="1" t="s">
        <v>5011</v>
      </c>
      <c r="C4364" t="s">
        <v>165</v>
      </c>
      <c r="D4364" s="1" t="s">
        <v>5012</v>
      </c>
    </row>
    <row r="4365" spans="1:4" hidden="1" x14ac:dyDescent="0.3">
      <c r="A4365">
        <v>4363</v>
      </c>
      <c r="B4365" s="1" t="s">
        <v>5013</v>
      </c>
      <c r="C4365" t="s">
        <v>55</v>
      </c>
      <c r="D4365" s="1" t="s">
        <v>5014</v>
      </c>
    </row>
    <row r="4366" spans="1:4" hidden="1" x14ac:dyDescent="0.3">
      <c r="A4366">
        <v>4364</v>
      </c>
      <c r="B4366" s="1" t="s">
        <v>5015</v>
      </c>
      <c r="C4366" t="s">
        <v>52</v>
      </c>
      <c r="D4366" s="1" t="s">
        <v>5016</v>
      </c>
    </row>
    <row r="4367" spans="1:4" hidden="1" x14ac:dyDescent="0.3">
      <c r="A4367">
        <v>4365</v>
      </c>
      <c r="B4367" s="1" t="s">
        <v>5017</v>
      </c>
      <c r="C4367" t="s">
        <v>58</v>
      </c>
      <c r="D4367" s="1" t="s">
        <v>5018</v>
      </c>
    </row>
    <row r="4368" spans="1:4" hidden="1" x14ac:dyDescent="0.3">
      <c r="A4368">
        <v>4366</v>
      </c>
      <c r="B4368" t="s">
        <v>5019</v>
      </c>
      <c r="C4368" t="s">
        <v>60</v>
      </c>
      <c r="D4368">
        <v>149862262.835374</v>
      </c>
    </row>
    <row r="4369" spans="1:4" hidden="1" x14ac:dyDescent="0.3">
      <c r="A4369">
        <v>4367</v>
      </c>
      <c r="B4369" t="s">
        <v>5020</v>
      </c>
      <c r="C4369" t="s">
        <v>62</v>
      </c>
      <c r="D4369">
        <v>80023582.915557593</v>
      </c>
    </row>
    <row r="4370" spans="1:4" hidden="1" x14ac:dyDescent="0.3">
      <c r="A4370">
        <v>4368</v>
      </c>
      <c r="B4370" t="s">
        <v>5021</v>
      </c>
      <c r="C4370" t="s">
        <v>64</v>
      </c>
      <c r="D4370">
        <v>35008764.712874003</v>
      </c>
    </row>
    <row r="4371" spans="1:4" hidden="1" x14ac:dyDescent="0.3">
      <c r="A4371">
        <v>4369</v>
      </c>
      <c r="B4371" s="1" t="s">
        <v>5022</v>
      </c>
      <c r="C4371" t="s">
        <v>66</v>
      </c>
      <c r="D4371" s="1" t="s">
        <v>5023</v>
      </c>
    </row>
    <row r="4372" spans="1:4" hidden="1" x14ac:dyDescent="0.3">
      <c r="A4372">
        <v>4370</v>
      </c>
      <c r="B4372" s="1" t="s">
        <v>5024</v>
      </c>
      <c r="C4372" t="s">
        <v>69</v>
      </c>
      <c r="D4372" s="1" t="s">
        <v>5025</v>
      </c>
    </row>
    <row r="4373" spans="1:4" hidden="1" x14ac:dyDescent="0.3">
      <c r="A4373">
        <v>4371</v>
      </c>
      <c r="B4373" t="s">
        <v>5026</v>
      </c>
      <c r="C4373" t="s">
        <v>72</v>
      </c>
      <c r="D4373">
        <v>1.0001971004869801</v>
      </c>
    </row>
    <row r="4374" spans="1:4" hidden="1" x14ac:dyDescent="0.3">
      <c r="A4374">
        <v>4372</v>
      </c>
      <c r="B4374" t="s">
        <v>73</v>
      </c>
      <c r="C4374" t="s">
        <v>74</v>
      </c>
      <c r="D4374">
        <v>2.7397260273972599E-3</v>
      </c>
    </row>
    <row r="4375" spans="1:4" hidden="1" x14ac:dyDescent="0.3">
      <c r="A4375">
        <v>4373</v>
      </c>
      <c r="B4375" t="s">
        <v>75</v>
      </c>
      <c r="C4375" t="s">
        <v>76</v>
      </c>
      <c r="D4375">
        <v>0</v>
      </c>
    </row>
    <row r="4376" spans="1:4" hidden="1" x14ac:dyDescent="0.3">
      <c r="A4376">
        <v>4374</v>
      </c>
      <c r="B4376" t="s">
        <v>77</v>
      </c>
      <c r="C4376" t="s">
        <v>78</v>
      </c>
      <c r="D4376">
        <v>0</v>
      </c>
    </row>
    <row r="4377" spans="1:4" hidden="1" x14ac:dyDescent="0.3">
      <c r="A4377">
        <v>4375</v>
      </c>
      <c r="B4377" s="1" t="s">
        <v>5027</v>
      </c>
      <c r="C4377" t="s">
        <v>80</v>
      </c>
      <c r="D4377" s="1" t="s">
        <v>5028</v>
      </c>
    </row>
    <row r="4378" spans="1:4" hidden="1" x14ac:dyDescent="0.3">
      <c r="A4378">
        <v>4376</v>
      </c>
      <c r="B4378" t="s">
        <v>5029</v>
      </c>
      <c r="C4378" t="s">
        <v>83</v>
      </c>
      <c r="D4378">
        <v>1.00016535167499</v>
      </c>
    </row>
    <row r="4379" spans="1:4" hidden="1" x14ac:dyDescent="0.3">
      <c r="A4379">
        <v>4377</v>
      </c>
      <c r="B4379" s="1" t="s">
        <v>5030</v>
      </c>
      <c r="C4379" t="s">
        <v>85</v>
      </c>
      <c r="D4379" s="1" t="s">
        <v>5031</v>
      </c>
    </row>
    <row r="4380" spans="1:4" hidden="1" x14ac:dyDescent="0.3">
      <c r="A4380">
        <v>4378</v>
      </c>
      <c r="B4380" t="s">
        <v>5032</v>
      </c>
      <c r="C4380" t="s">
        <v>88</v>
      </c>
      <c r="D4380">
        <v>99983467.566166103</v>
      </c>
    </row>
    <row r="4381" spans="1:4" hidden="1" x14ac:dyDescent="0.3">
      <c r="A4381">
        <v>4379</v>
      </c>
      <c r="B4381" s="1" t="s">
        <v>5033</v>
      </c>
      <c r="C4381" t="s">
        <v>90</v>
      </c>
      <c r="D4381" s="1" t="s">
        <v>4979</v>
      </c>
    </row>
    <row r="4382" spans="1:4" hidden="1" x14ac:dyDescent="0.3">
      <c r="A4382">
        <v>4380</v>
      </c>
      <c r="B4382" t="s">
        <v>5034</v>
      </c>
      <c r="C4382" t="s">
        <v>93</v>
      </c>
      <c r="D4382">
        <v>80023582.915557593</v>
      </c>
    </row>
    <row r="4383" spans="1:4" hidden="1" x14ac:dyDescent="0.3">
      <c r="A4383">
        <v>4381</v>
      </c>
      <c r="B4383" t="s">
        <v>5035</v>
      </c>
      <c r="C4383" t="s">
        <v>95</v>
      </c>
      <c r="D4383">
        <v>35008764.712874003</v>
      </c>
    </row>
    <row r="4384" spans="1:4" hidden="1" x14ac:dyDescent="0.3">
      <c r="A4384">
        <v>4382</v>
      </c>
      <c r="B4384" t="s">
        <v>5036</v>
      </c>
      <c r="C4384" t="s">
        <v>97</v>
      </c>
      <c r="D4384">
        <v>34829915.206942901</v>
      </c>
    </row>
    <row r="4385" spans="1:4" hidden="1" x14ac:dyDescent="0.3">
      <c r="A4385">
        <v>4383</v>
      </c>
      <c r="B4385" s="1" t="s">
        <v>5037</v>
      </c>
      <c r="C4385" t="s">
        <v>99</v>
      </c>
      <c r="D4385" s="1" t="s">
        <v>5038</v>
      </c>
    </row>
    <row r="4386" spans="1:4" hidden="1" x14ac:dyDescent="0.3">
      <c r="A4386">
        <v>4384</v>
      </c>
      <c r="B4386" t="s">
        <v>5039</v>
      </c>
      <c r="C4386" t="s">
        <v>102</v>
      </c>
      <c r="D4386">
        <v>7.9559377202902595E-3</v>
      </c>
    </row>
    <row r="4387" spans="1:4" hidden="1" x14ac:dyDescent="0.3">
      <c r="A4387">
        <v>4385</v>
      </c>
      <c r="B4387" t="s">
        <v>5040</v>
      </c>
      <c r="C4387" t="s">
        <v>104</v>
      </c>
      <c r="D4387">
        <v>1.6431834986805E-3</v>
      </c>
    </row>
    <row r="4388" spans="1:4" hidden="1" x14ac:dyDescent="0.3">
      <c r="A4388">
        <v>4386</v>
      </c>
      <c r="B4388" t="s">
        <v>5041</v>
      </c>
      <c r="C4388" t="s">
        <v>106</v>
      </c>
      <c r="D4388">
        <v>2.18679329425551E-2</v>
      </c>
    </row>
    <row r="4389" spans="1:4" hidden="1" x14ac:dyDescent="0.3">
      <c r="A4389">
        <v>4387</v>
      </c>
      <c r="B4389" s="1" t="s">
        <v>5042</v>
      </c>
      <c r="C4389" t="s">
        <v>108</v>
      </c>
      <c r="D4389" s="1" t="s">
        <v>5043</v>
      </c>
    </row>
    <row r="4390" spans="1:4" hidden="1" x14ac:dyDescent="0.3">
      <c r="A4390">
        <v>4388</v>
      </c>
      <c r="B4390" t="s">
        <v>5044</v>
      </c>
      <c r="C4390" t="s">
        <v>196</v>
      </c>
      <c r="D4390">
        <v>149861170.49031201</v>
      </c>
    </row>
    <row r="4391" spans="1:4" hidden="1" x14ac:dyDescent="0.3">
      <c r="A4391">
        <v>4389</v>
      </c>
      <c r="B4391" t="s">
        <v>5045</v>
      </c>
      <c r="C4391" t="s">
        <v>198</v>
      </c>
      <c r="D4391">
        <v>2540.1261208435699</v>
      </c>
    </row>
    <row r="4392" spans="1:4" hidden="1" x14ac:dyDescent="0.3">
      <c r="A4392">
        <v>4390</v>
      </c>
      <c r="B4392" t="s">
        <v>5046</v>
      </c>
      <c r="C4392" t="s">
        <v>200</v>
      </c>
      <c r="D4392">
        <v>1111.26364156707</v>
      </c>
    </row>
    <row r="4393" spans="1:4" hidden="1" x14ac:dyDescent="0.3">
      <c r="A4393">
        <v>4391</v>
      </c>
      <c r="B4393" s="1" t="s">
        <v>5047</v>
      </c>
      <c r="C4393" t="s">
        <v>202</v>
      </c>
      <c r="D4393" s="1" t="s">
        <v>5048</v>
      </c>
    </row>
    <row r="4394" spans="1:4" hidden="1" x14ac:dyDescent="0.3">
      <c r="A4394">
        <v>4392</v>
      </c>
      <c r="B4394" t="s">
        <v>5049</v>
      </c>
      <c r="C4394" t="s">
        <v>205</v>
      </c>
      <c r="D4394">
        <v>80020195.266648501</v>
      </c>
    </row>
    <row r="4395" spans="1:4" hidden="1" x14ac:dyDescent="0.3">
      <c r="A4395">
        <v>4393</v>
      </c>
      <c r="B4395" t="s">
        <v>5050</v>
      </c>
      <c r="C4395" t="s">
        <v>207</v>
      </c>
      <c r="D4395">
        <v>35007526.933895901</v>
      </c>
    </row>
    <row r="4396" spans="1:4" hidden="1" x14ac:dyDescent="0.3">
      <c r="A4396">
        <v>4394</v>
      </c>
      <c r="B4396" t="s">
        <v>5051</v>
      </c>
      <c r="C4396" t="s">
        <v>209</v>
      </c>
      <c r="D4396">
        <v>34828691.313243203</v>
      </c>
    </row>
    <row r="4397" spans="1:4" hidden="1" x14ac:dyDescent="0.3">
      <c r="A4397">
        <v>4395</v>
      </c>
      <c r="B4397" s="1" t="s">
        <v>5052</v>
      </c>
      <c r="C4397" t="s">
        <v>211</v>
      </c>
      <c r="D4397" s="1" t="s">
        <v>5053</v>
      </c>
    </row>
    <row r="4398" spans="1:4" hidden="1" x14ac:dyDescent="0.3">
      <c r="A4398">
        <v>4396</v>
      </c>
      <c r="B4398" t="s">
        <v>5054</v>
      </c>
      <c r="C4398" t="s">
        <v>214</v>
      </c>
      <c r="D4398">
        <v>99980293.835396096</v>
      </c>
    </row>
    <row r="4399" spans="1:4" hidden="1" x14ac:dyDescent="0.3">
      <c r="A4399">
        <v>4397</v>
      </c>
      <c r="B4399" t="s">
        <v>5055</v>
      </c>
      <c r="C4399" t="s">
        <v>216</v>
      </c>
      <c r="D4399">
        <v>3173.7307700216702</v>
      </c>
    </row>
    <row r="4400" spans="1:4" hidden="1" x14ac:dyDescent="0.3">
      <c r="A4400">
        <v>4398</v>
      </c>
      <c r="B4400" s="1" t="s">
        <v>5056</v>
      </c>
      <c r="C4400" t="s">
        <v>218</v>
      </c>
      <c r="D4400" s="1" t="s">
        <v>5057</v>
      </c>
    </row>
    <row r="4401" spans="1:4" hidden="1" x14ac:dyDescent="0.3">
      <c r="A4401">
        <v>4399</v>
      </c>
      <c r="B4401" t="s">
        <v>5058</v>
      </c>
      <c r="C4401" t="s">
        <v>111</v>
      </c>
      <c r="D4401">
        <v>-847.52278820091203</v>
      </c>
    </row>
    <row r="4402" spans="1:4" hidden="1" x14ac:dyDescent="0.3">
      <c r="A4402">
        <v>4400</v>
      </c>
      <c r="B4402" t="s">
        <v>5059</v>
      </c>
      <c r="C4402" t="s">
        <v>113</v>
      </c>
      <c r="D4402">
        <v>-126.5153364945</v>
      </c>
    </row>
    <row r="4403" spans="1:4" hidden="1" x14ac:dyDescent="0.3">
      <c r="A4403">
        <v>4401</v>
      </c>
      <c r="B4403" s="1" t="s">
        <v>5060</v>
      </c>
      <c r="C4403" t="s">
        <v>115</v>
      </c>
      <c r="D4403" s="1" t="s">
        <v>5061</v>
      </c>
    </row>
    <row r="4404" spans="1:4" hidden="1" x14ac:dyDescent="0.3">
      <c r="A4404">
        <v>4402</v>
      </c>
      <c r="B4404" t="s">
        <v>5062</v>
      </c>
      <c r="C4404" t="s">
        <v>118</v>
      </c>
      <c r="D4404">
        <v>80020195.266648501</v>
      </c>
    </row>
    <row r="4405" spans="1:4" hidden="1" x14ac:dyDescent="0.3">
      <c r="A4405">
        <v>4403</v>
      </c>
      <c r="B4405" t="s">
        <v>5063</v>
      </c>
      <c r="C4405" t="s">
        <v>120</v>
      </c>
      <c r="D4405">
        <v>35007526.933895901</v>
      </c>
    </row>
    <row r="4406" spans="1:4" hidden="1" x14ac:dyDescent="0.3">
      <c r="A4406">
        <v>4404</v>
      </c>
      <c r="B4406" s="1" t="s">
        <v>5064</v>
      </c>
      <c r="C4406" t="s">
        <v>122</v>
      </c>
      <c r="D4406" s="1" t="s">
        <v>5065</v>
      </c>
    </row>
    <row r="4407" spans="1:4" hidden="1" x14ac:dyDescent="0.3">
      <c r="A4407">
        <v>4405</v>
      </c>
      <c r="B4407" t="s">
        <v>5066</v>
      </c>
      <c r="C4407" t="s">
        <v>125</v>
      </c>
      <c r="D4407">
        <v>0.80022735392769395</v>
      </c>
    </row>
    <row r="4408" spans="1:4" hidden="1" x14ac:dyDescent="0.3">
      <c r="A4408">
        <v>4406</v>
      </c>
      <c r="B4408" t="s">
        <v>5067</v>
      </c>
      <c r="C4408" t="s">
        <v>127</v>
      </c>
      <c r="D4408">
        <v>0.35008638197537501</v>
      </c>
    </row>
    <row r="4409" spans="1:4" hidden="1" x14ac:dyDescent="0.3">
      <c r="A4409">
        <v>4407</v>
      </c>
      <c r="B4409" s="1" t="s">
        <v>5068</v>
      </c>
      <c r="C4409" t="s">
        <v>129</v>
      </c>
      <c r="D4409" s="1" t="s">
        <v>5069</v>
      </c>
    </row>
    <row r="4410" spans="1:4" ht="72" x14ac:dyDescent="0.3">
      <c r="A4410">
        <v>4408</v>
      </c>
      <c r="B4410" s="1" t="s">
        <v>3</v>
      </c>
      <c r="C4410" t="s">
        <v>4</v>
      </c>
      <c r="D4410" t="s">
        <v>5</v>
      </c>
    </row>
    <row r="4411" spans="1:4" hidden="1" x14ac:dyDescent="0.3">
      <c r="A4411">
        <v>4409</v>
      </c>
      <c r="B4411" t="s">
        <v>6</v>
      </c>
      <c r="C4411" t="s">
        <v>7</v>
      </c>
      <c r="D4411">
        <v>1981.95</v>
      </c>
    </row>
    <row r="4412" spans="1:4" hidden="1" x14ac:dyDescent="0.3">
      <c r="A4412">
        <v>4410</v>
      </c>
      <c r="B4412" s="1" t="s">
        <v>131</v>
      </c>
      <c r="C4412" t="s">
        <v>9</v>
      </c>
      <c r="D4412" s="1" t="s">
        <v>132</v>
      </c>
    </row>
    <row r="4413" spans="1:4" hidden="1" x14ac:dyDescent="0.3">
      <c r="A4413">
        <v>4411</v>
      </c>
      <c r="B4413" t="s">
        <v>13</v>
      </c>
      <c r="C4413" t="s">
        <v>14</v>
      </c>
      <c r="D4413">
        <v>91.74609375</v>
      </c>
    </row>
    <row r="4414" spans="1:4" hidden="1" x14ac:dyDescent="0.3">
      <c r="A4414">
        <v>4412</v>
      </c>
      <c r="B4414" t="s">
        <v>15</v>
      </c>
      <c r="C4414" t="s">
        <v>16</v>
      </c>
      <c r="D4414">
        <v>4.1883572307132804</v>
      </c>
    </row>
    <row r="4415" spans="1:4" hidden="1" x14ac:dyDescent="0.3">
      <c r="A4415">
        <v>4413</v>
      </c>
      <c r="B4415" s="1" t="s">
        <v>133</v>
      </c>
      <c r="C4415" t="s">
        <v>134</v>
      </c>
      <c r="D4415" s="1" t="s">
        <v>135</v>
      </c>
    </row>
    <row r="4416" spans="1:4" hidden="1" x14ac:dyDescent="0.3">
      <c r="A4416">
        <v>4414</v>
      </c>
      <c r="B4416" t="s">
        <v>21</v>
      </c>
      <c r="C4416" t="s">
        <v>22</v>
      </c>
      <c r="D4416">
        <v>38.25</v>
      </c>
    </row>
    <row r="4417" spans="1:4" hidden="1" x14ac:dyDescent="0.3">
      <c r="A4417">
        <v>4415</v>
      </c>
      <c r="B4417" t="s">
        <v>5070</v>
      </c>
      <c r="C4417" t="s">
        <v>24</v>
      </c>
      <c r="D4417">
        <v>5.6320536891942696</v>
      </c>
    </row>
    <row r="4418" spans="1:4" hidden="1" x14ac:dyDescent="0.3">
      <c r="A4418">
        <v>4416</v>
      </c>
      <c r="B4418" s="1" t="s">
        <v>5071</v>
      </c>
      <c r="C4418" t="s">
        <v>138</v>
      </c>
      <c r="D4418" s="1" t="s">
        <v>5072</v>
      </c>
    </row>
    <row r="4419" spans="1:4" hidden="1" x14ac:dyDescent="0.3">
      <c r="A4419">
        <v>4417</v>
      </c>
      <c r="B4419" t="s">
        <v>5073</v>
      </c>
      <c r="C4419" t="s">
        <v>35</v>
      </c>
      <c r="D4419">
        <v>0.54476684713974899</v>
      </c>
    </row>
    <row r="4420" spans="1:4" hidden="1" x14ac:dyDescent="0.3">
      <c r="A4420">
        <v>4418</v>
      </c>
      <c r="B4420" t="s">
        <v>5074</v>
      </c>
      <c r="C4420" t="s">
        <v>142</v>
      </c>
      <c r="D4420">
        <v>0.67649411236877399</v>
      </c>
    </row>
    <row r="4421" spans="1:4" hidden="1" x14ac:dyDescent="0.3">
      <c r="A4421">
        <v>4419</v>
      </c>
      <c r="B4421" s="1" t="s">
        <v>5075</v>
      </c>
      <c r="C4421" t="s">
        <v>144</v>
      </c>
      <c r="D4421" s="1" t="s">
        <v>5076</v>
      </c>
    </row>
    <row r="4422" spans="1:4" hidden="1" x14ac:dyDescent="0.3">
      <c r="A4422">
        <v>4420</v>
      </c>
      <c r="B4422" t="s">
        <v>5077</v>
      </c>
      <c r="C4422" t="s">
        <v>30</v>
      </c>
      <c r="D4422">
        <v>0.19238689745707899</v>
      </c>
    </row>
    <row r="4423" spans="1:4" hidden="1" x14ac:dyDescent="0.3">
      <c r="A4423">
        <v>4421</v>
      </c>
      <c r="B4423" t="s">
        <v>5078</v>
      </c>
      <c r="C4423" t="s">
        <v>32</v>
      </c>
      <c r="D4423">
        <v>0.26186530033821398</v>
      </c>
    </row>
    <row r="4424" spans="1:4" hidden="1" x14ac:dyDescent="0.3">
      <c r="A4424">
        <v>4422</v>
      </c>
      <c r="B4424" s="1" t="s">
        <v>5079</v>
      </c>
      <c r="C4424" t="s">
        <v>148</v>
      </c>
      <c r="D4424" s="1" t="s">
        <v>5080</v>
      </c>
    </row>
    <row r="4425" spans="1:4" hidden="1" x14ac:dyDescent="0.3">
      <c r="A4425">
        <v>4423</v>
      </c>
      <c r="B4425" t="s">
        <v>5081</v>
      </c>
      <c r="C4425" t="s">
        <v>40</v>
      </c>
      <c r="D4425">
        <v>0.26284625540317103</v>
      </c>
    </row>
    <row r="4426" spans="1:4" hidden="1" x14ac:dyDescent="0.3">
      <c r="A4426">
        <v>4424</v>
      </c>
      <c r="B4426" t="s">
        <v>5082</v>
      </c>
      <c r="C4426" t="s">
        <v>42</v>
      </c>
      <c r="D4426">
        <v>0.216344164779603</v>
      </c>
    </row>
    <row r="4427" spans="1:4" hidden="1" x14ac:dyDescent="0.3">
      <c r="A4427">
        <v>4425</v>
      </c>
      <c r="B4427" s="1" t="s">
        <v>5083</v>
      </c>
      <c r="C4427" t="s">
        <v>152</v>
      </c>
      <c r="D4427" s="1" t="s">
        <v>5084</v>
      </c>
    </row>
    <row r="4428" spans="1:4" hidden="1" x14ac:dyDescent="0.3">
      <c r="A4428">
        <v>4426</v>
      </c>
      <c r="B4428" t="s">
        <v>153</v>
      </c>
      <c r="C4428" t="s">
        <v>154</v>
      </c>
      <c r="D4428">
        <v>1</v>
      </c>
    </row>
    <row r="4429" spans="1:4" hidden="1" x14ac:dyDescent="0.3">
      <c r="A4429">
        <v>4427</v>
      </c>
      <c r="B4429" t="s">
        <v>155</v>
      </c>
      <c r="C4429" t="s">
        <v>156</v>
      </c>
      <c r="D4429">
        <v>1</v>
      </c>
    </row>
    <row r="4430" spans="1:4" hidden="1" x14ac:dyDescent="0.3">
      <c r="A4430">
        <v>4428</v>
      </c>
      <c r="B4430" s="1" t="s">
        <v>5085</v>
      </c>
      <c r="C4430" t="s">
        <v>158</v>
      </c>
      <c r="D4430" s="1" t="s">
        <v>5086</v>
      </c>
    </row>
    <row r="4431" spans="1:4" hidden="1" x14ac:dyDescent="0.3">
      <c r="A4431">
        <v>4429</v>
      </c>
      <c r="B4431" t="s">
        <v>5087</v>
      </c>
      <c r="C4431" t="s">
        <v>161</v>
      </c>
      <c r="D4431">
        <v>0.99723128162618102</v>
      </c>
    </row>
    <row r="4432" spans="1:4" hidden="1" x14ac:dyDescent="0.3">
      <c r="A4432">
        <v>4430</v>
      </c>
      <c r="B4432" t="s">
        <v>5088</v>
      </c>
      <c r="C4432" t="s">
        <v>163</v>
      </c>
      <c r="D4432">
        <v>1.0052858833324401</v>
      </c>
    </row>
    <row r="4433" spans="1:4" hidden="1" x14ac:dyDescent="0.3">
      <c r="A4433">
        <v>4431</v>
      </c>
      <c r="B4433" s="1" t="s">
        <v>5089</v>
      </c>
      <c r="C4433" t="s">
        <v>165</v>
      </c>
      <c r="D4433" s="1" t="s">
        <v>5090</v>
      </c>
    </row>
    <row r="4434" spans="1:4" hidden="1" x14ac:dyDescent="0.3">
      <c r="A4434">
        <v>4432</v>
      </c>
      <c r="B4434" s="1" t="s">
        <v>5091</v>
      </c>
      <c r="C4434" t="s">
        <v>55</v>
      </c>
      <c r="D4434" s="1" t="s">
        <v>5092</v>
      </c>
    </row>
    <row r="4435" spans="1:4" hidden="1" x14ac:dyDescent="0.3">
      <c r="A4435">
        <v>4433</v>
      </c>
      <c r="B4435" s="1" t="s">
        <v>5093</v>
      </c>
      <c r="C4435" t="s">
        <v>52</v>
      </c>
      <c r="D4435" s="1" t="s">
        <v>5094</v>
      </c>
    </row>
    <row r="4436" spans="1:4" hidden="1" x14ac:dyDescent="0.3">
      <c r="A4436">
        <v>4434</v>
      </c>
      <c r="B4436" s="1" t="s">
        <v>5095</v>
      </c>
      <c r="C4436" t="s">
        <v>58</v>
      </c>
      <c r="D4436" s="1" t="s">
        <v>5096</v>
      </c>
    </row>
    <row r="4437" spans="1:4" hidden="1" x14ac:dyDescent="0.3">
      <c r="A4437">
        <v>4435</v>
      </c>
      <c r="B4437" t="s">
        <v>5097</v>
      </c>
      <c r="C4437" t="s">
        <v>60</v>
      </c>
      <c r="D4437">
        <v>149874070.38101</v>
      </c>
    </row>
    <row r="4438" spans="1:4" hidden="1" x14ac:dyDescent="0.3">
      <c r="A4438">
        <v>4436</v>
      </c>
      <c r="B4438" t="s">
        <v>5098</v>
      </c>
      <c r="C4438" t="s">
        <v>62</v>
      </c>
      <c r="D4438">
        <v>80020195.266648501</v>
      </c>
    </row>
    <row r="4439" spans="1:4" hidden="1" x14ac:dyDescent="0.3">
      <c r="A4439">
        <v>4437</v>
      </c>
      <c r="B4439" t="s">
        <v>5099</v>
      </c>
      <c r="C4439" t="s">
        <v>64</v>
      </c>
      <c r="D4439">
        <v>35007526.933895901</v>
      </c>
    </row>
    <row r="4440" spans="1:4" hidden="1" x14ac:dyDescent="0.3">
      <c r="A4440">
        <v>4438</v>
      </c>
      <c r="B4440" s="1" t="s">
        <v>5100</v>
      </c>
      <c r="C4440" t="s">
        <v>66</v>
      </c>
      <c r="D4440" s="1" t="s">
        <v>5101</v>
      </c>
    </row>
    <row r="4441" spans="1:4" hidden="1" x14ac:dyDescent="0.3">
      <c r="A4441">
        <v>4439</v>
      </c>
      <c r="B4441" s="1" t="s">
        <v>5102</v>
      </c>
      <c r="C4441" t="s">
        <v>69</v>
      </c>
      <c r="D4441" s="1" t="s">
        <v>5103</v>
      </c>
    </row>
    <row r="4442" spans="1:4" hidden="1" x14ac:dyDescent="0.3">
      <c r="A4442">
        <v>4440</v>
      </c>
      <c r="B4442" t="s">
        <v>5104</v>
      </c>
      <c r="C4442" t="s">
        <v>72</v>
      </c>
      <c r="D4442">
        <v>1.00016535167499</v>
      </c>
    </row>
    <row r="4443" spans="1:4" hidden="1" x14ac:dyDescent="0.3">
      <c r="A4443">
        <v>4441</v>
      </c>
      <c r="B4443" t="s">
        <v>73</v>
      </c>
      <c r="C4443" t="s">
        <v>74</v>
      </c>
      <c r="D4443">
        <v>2.7397260273972599E-3</v>
      </c>
    </row>
    <row r="4444" spans="1:4" hidden="1" x14ac:dyDescent="0.3">
      <c r="A4444">
        <v>4442</v>
      </c>
      <c r="B4444" t="s">
        <v>75</v>
      </c>
      <c r="C4444" t="s">
        <v>76</v>
      </c>
      <c r="D4444">
        <v>0</v>
      </c>
    </row>
    <row r="4445" spans="1:4" hidden="1" x14ac:dyDescent="0.3">
      <c r="A4445">
        <v>4443</v>
      </c>
      <c r="B4445" t="s">
        <v>969</v>
      </c>
      <c r="C4445" t="s">
        <v>78</v>
      </c>
      <c r="D4445" s="2">
        <v>2.2204460492503101E-16</v>
      </c>
    </row>
    <row r="4446" spans="1:4" hidden="1" x14ac:dyDescent="0.3">
      <c r="A4446">
        <v>4444</v>
      </c>
      <c r="B4446" s="1" t="s">
        <v>5105</v>
      </c>
      <c r="C4446" t="s">
        <v>80</v>
      </c>
      <c r="D4446" s="1" t="s">
        <v>5106</v>
      </c>
    </row>
    <row r="4447" spans="1:4" hidden="1" x14ac:dyDescent="0.3">
      <c r="A4447">
        <v>4445</v>
      </c>
      <c r="B4447" t="s">
        <v>5107</v>
      </c>
      <c r="C4447" t="s">
        <v>83</v>
      </c>
      <c r="D4447">
        <v>1.0001714459716899</v>
      </c>
    </row>
    <row r="4448" spans="1:4" hidden="1" x14ac:dyDescent="0.3">
      <c r="A4448">
        <v>4446</v>
      </c>
      <c r="B4448" s="1" t="s">
        <v>5108</v>
      </c>
      <c r="C4448" t="s">
        <v>85</v>
      </c>
      <c r="D4448" s="1" t="s">
        <v>5109</v>
      </c>
    </row>
    <row r="4449" spans="1:4" hidden="1" x14ac:dyDescent="0.3">
      <c r="A4449">
        <v>4447</v>
      </c>
      <c r="B4449" t="s">
        <v>5110</v>
      </c>
      <c r="C4449" t="s">
        <v>88</v>
      </c>
      <c r="D4449">
        <v>99982858.341698602</v>
      </c>
    </row>
    <row r="4450" spans="1:4" hidden="1" x14ac:dyDescent="0.3">
      <c r="A4450">
        <v>4448</v>
      </c>
      <c r="B4450" s="1" t="s">
        <v>5111</v>
      </c>
      <c r="C4450" t="s">
        <v>90</v>
      </c>
      <c r="D4450" s="1" t="s">
        <v>5057</v>
      </c>
    </row>
    <row r="4451" spans="1:4" hidden="1" x14ac:dyDescent="0.3">
      <c r="A4451">
        <v>4449</v>
      </c>
      <c r="B4451" t="s">
        <v>5112</v>
      </c>
      <c r="C4451" t="s">
        <v>93</v>
      </c>
      <c r="D4451">
        <v>80020195.266648501</v>
      </c>
    </row>
    <row r="4452" spans="1:4" hidden="1" x14ac:dyDescent="0.3">
      <c r="A4452">
        <v>4450</v>
      </c>
      <c r="B4452" t="s">
        <v>5113</v>
      </c>
      <c r="C4452" t="s">
        <v>95</v>
      </c>
      <c r="D4452">
        <v>35007526.933895901</v>
      </c>
    </row>
    <row r="4453" spans="1:4" hidden="1" x14ac:dyDescent="0.3">
      <c r="A4453">
        <v>4451</v>
      </c>
      <c r="B4453" t="s">
        <v>5114</v>
      </c>
      <c r="C4453" t="s">
        <v>97</v>
      </c>
      <c r="D4453">
        <v>34846348.180465803</v>
      </c>
    </row>
    <row r="4454" spans="1:4" hidden="1" x14ac:dyDescent="0.3">
      <c r="A4454">
        <v>4452</v>
      </c>
      <c r="B4454" s="1" t="s">
        <v>5115</v>
      </c>
      <c r="C4454" t="s">
        <v>99</v>
      </c>
      <c r="D4454" s="1" t="s">
        <v>5116</v>
      </c>
    </row>
    <row r="4455" spans="1:4" hidden="1" x14ac:dyDescent="0.3">
      <c r="A4455">
        <v>4453</v>
      </c>
      <c r="B4455" t="s">
        <v>5117</v>
      </c>
      <c r="C4455" t="s">
        <v>102</v>
      </c>
      <c r="D4455">
        <v>7.7507237042313297E-3</v>
      </c>
    </row>
    <row r="4456" spans="1:4" hidden="1" x14ac:dyDescent="0.3">
      <c r="A4456">
        <v>4454</v>
      </c>
      <c r="B4456" t="s">
        <v>5118</v>
      </c>
      <c r="C4456" t="s">
        <v>104</v>
      </c>
      <c r="D4456">
        <v>1.6590307011812E-3</v>
      </c>
    </row>
    <row r="4457" spans="1:4" hidden="1" x14ac:dyDescent="0.3">
      <c r="A4457">
        <v>4455</v>
      </c>
      <c r="B4457" t="s">
        <v>5119</v>
      </c>
      <c r="C4457" t="s">
        <v>106</v>
      </c>
      <c r="D4457">
        <v>2.15923626181065E-2</v>
      </c>
    </row>
    <row r="4458" spans="1:4" hidden="1" x14ac:dyDescent="0.3">
      <c r="A4458">
        <v>4456</v>
      </c>
      <c r="B4458" s="1" t="s">
        <v>5120</v>
      </c>
      <c r="C4458" t="s">
        <v>108</v>
      </c>
      <c r="D4458" s="1" t="s">
        <v>5121</v>
      </c>
    </row>
    <row r="4459" spans="1:4" hidden="1" x14ac:dyDescent="0.3">
      <c r="A4459">
        <v>4457</v>
      </c>
      <c r="B4459" t="s">
        <v>5122</v>
      </c>
      <c r="C4459" t="s">
        <v>196</v>
      </c>
      <c r="D4459">
        <v>149874280.07557201</v>
      </c>
    </row>
    <row r="4460" spans="1:4" hidden="1" x14ac:dyDescent="0.3">
      <c r="A4460">
        <v>4458</v>
      </c>
      <c r="B4460" t="s">
        <v>5123</v>
      </c>
      <c r="C4460" t="s">
        <v>198</v>
      </c>
      <c r="D4460">
        <v>-487.58718002557799</v>
      </c>
    </row>
    <row r="4461" spans="1:4" hidden="1" x14ac:dyDescent="0.3">
      <c r="A4461">
        <v>4459</v>
      </c>
      <c r="B4461" t="s">
        <v>5124</v>
      </c>
      <c r="C4461" t="s">
        <v>200</v>
      </c>
      <c r="D4461">
        <v>-213.31113235879499</v>
      </c>
    </row>
    <row r="4462" spans="1:4" hidden="1" x14ac:dyDescent="0.3">
      <c r="A4462">
        <v>4460</v>
      </c>
      <c r="B4462" s="1" t="s">
        <v>5125</v>
      </c>
      <c r="C4462" t="s">
        <v>202</v>
      </c>
      <c r="D4462" s="1" t="s">
        <v>5126</v>
      </c>
    </row>
    <row r="4463" spans="1:4" hidden="1" x14ac:dyDescent="0.3">
      <c r="A4463">
        <v>4461</v>
      </c>
      <c r="B4463" t="s">
        <v>5127</v>
      </c>
      <c r="C4463" t="s">
        <v>205</v>
      </c>
      <c r="D4463">
        <v>80020845.518129602</v>
      </c>
    </row>
    <row r="4464" spans="1:4" hidden="1" x14ac:dyDescent="0.3">
      <c r="A4464">
        <v>4462</v>
      </c>
      <c r="B4464" t="s">
        <v>5128</v>
      </c>
      <c r="C4464" t="s">
        <v>207</v>
      </c>
      <c r="D4464">
        <v>35007764.496361502</v>
      </c>
    </row>
    <row r="4465" spans="1:4" hidden="1" x14ac:dyDescent="0.3">
      <c r="A4465">
        <v>4463</v>
      </c>
      <c r="B4465" t="s">
        <v>5129</v>
      </c>
      <c r="C4465" t="s">
        <v>209</v>
      </c>
      <c r="D4465">
        <v>34846583.288407996</v>
      </c>
    </row>
    <row r="4466" spans="1:4" hidden="1" x14ac:dyDescent="0.3">
      <c r="A4466">
        <v>4464</v>
      </c>
      <c r="B4466" s="1" t="s">
        <v>5130</v>
      </c>
      <c r="C4466" t="s">
        <v>211</v>
      </c>
      <c r="D4466" s="1" t="s">
        <v>5131</v>
      </c>
    </row>
    <row r="4467" spans="1:4" hidden="1" x14ac:dyDescent="0.3">
      <c r="A4467">
        <v>4465</v>
      </c>
      <c r="B4467" t="s">
        <v>5132</v>
      </c>
      <c r="C4467" t="s">
        <v>214</v>
      </c>
      <c r="D4467">
        <v>99983467.566166103</v>
      </c>
    </row>
    <row r="4468" spans="1:4" hidden="1" x14ac:dyDescent="0.3">
      <c r="A4468">
        <v>4466</v>
      </c>
      <c r="B4468" t="s">
        <v>5133</v>
      </c>
      <c r="C4468" t="s">
        <v>216</v>
      </c>
      <c r="D4468">
        <v>-609.22446750104405</v>
      </c>
    </row>
    <row r="4469" spans="1:4" hidden="1" x14ac:dyDescent="0.3">
      <c r="A4469">
        <v>4467</v>
      </c>
      <c r="B4469" s="1" t="s">
        <v>5134</v>
      </c>
      <c r="C4469" t="s">
        <v>218</v>
      </c>
      <c r="D4469" s="1" t="s">
        <v>5135</v>
      </c>
    </row>
    <row r="4470" spans="1:4" hidden="1" x14ac:dyDescent="0.3">
      <c r="A4470">
        <v>4468</v>
      </c>
      <c r="B4470" t="s">
        <v>5136</v>
      </c>
      <c r="C4470" t="s">
        <v>111</v>
      </c>
      <c r="D4470">
        <v>162.664300991918</v>
      </c>
    </row>
    <row r="4471" spans="1:4" hidden="1" x14ac:dyDescent="0.3">
      <c r="A4471">
        <v>4469</v>
      </c>
      <c r="B4471" t="s">
        <v>5137</v>
      </c>
      <c r="C4471" t="s">
        <v>113</v>
      </c>
      <c r="D4471">
        <v>24.251333181363599</v>
      </c>
    </row>
    <row r="4472" spans="1:4" hidden="1" x14ac:dyDescent="0.3">
      <c r="A4472">
        <v>4470</v>
      </c>
      <c r="B4472" s="1" t="s">
        <v>5138</v>
      </c>
      <c r="C4472" t="s">
        <v>115</v>
      </c>
      <c r="D4472" s="1" t="s">
        <v>5139</v>
      </c>
    </row>
    <row r="4473" spans="1:4" hidden="1" x14ac:dyDescent="0.3">
      <c r="A4473">
        <v>4471</v>
      </c>
      <c r="B4473" t="s">
        <v>5140</v>
      </c>
      <c r="C4473" t="s">
        <v>118</v>
      </c>
      <c r="D4473">
        <v>80020845.518129602</v>
      </c>
    </row>
    <row r="4474" spans="1:4" hidden="1" x14ac:dyDescent="0.3">
      <c r="A4474">
        <v>4472</v>
      </c>
      <c r="B4474" t="s">
        <v>5141</v>
      </c>
      <c r="C4474" t="s">
        <v>120</v>
      </c>
      <c r="D4474">
        <v>35007764.496361502</v>
      </c>
    </row>
    <row r="4475" spans="1:4" hidden="1" x14ac:dyDescent="0.3">
      <c r="A4475">
        <v>4473</v>
      </c>
      <c r="B4475" s="1" t="s">
        <v>5142</v>
      </c>
      <c r="C4475" t="s">
        <v>122</v>
      </c>
      <c r="D4475" s="1" t="s">
        <v>5143</v>
      </c>
    </row>
    <row r="4476" spans="1:4" hidden="1" x14ac:dyDescent="0.3">
      <c r="A4476">
        <v>4474</v>
      </c>
      <c r="B4476" t="s">
        <v>5144</v>
      </c>
      <c r="C4476" t="s">
        <v>125</v>
      </c>
      <c r="D4476">
        <v>0.80020357930949504</v>
      </c>
    </row>
    <row r="4477" spans="1:4" hidden="1" x14ac:dyDescent="0.3">
      <c r="A4477">
        <v>4475</v>
      </c>
      <c r="B4477" t="s">
        <v>5145</v>
      </c>
      <c r="C4477" t="s">
        <v>127</v>
      </c>
      <c r="D4477">
        <v>0.35007551185229102</v>
      </c>
    </row>
    <row r="4478" spans="1:4" hidden="1" x14ac:dyDescent="0.3">
      <c r="A4478">
        <v>4476</v>
      </c>
      <c r="B4478" s="1" t="s">
        <v>5146</v>
      </c>
      <c r="C4478" t="s">
        <v>129</v>
      </c>
      <c r="D4478" s="1" t="s">
        <v>5147</v>
      </c>
    </row>
    <row r="4479" spans="1:4" ht="72" x14ac:dyDescent="0.3">
      <c r="A4479">
        <v>4477</v>
      </c>
      <c r="B4479" s="1" t="s">
        <v>3</v>
      </c>
      <c r="C4479" t="s">
        <v>4</v>
      </c>
      <c r="D4479" t="s">
        <v>5</v>
      </c>
    </row>
    <row r="4480" spans="1:4" hidden="1" x14ac:dyDescent="0.3">
      <c r="A4480">
        <v>4478</v>
      </c>
      <c r="B4480" t="s">
        <v>6</v>
      </c>
      <c r="C4480" t="s">
        <v>7</v>
      </c>
      <c r="D4480">
        <v>1981.95</v>
      </c>
    </row>
    <row r="4481" spans="1:4" hidden="1" x14ac:dyDescent="0.3">
      <c r="A4481">
        <v>4479</v>
      </c>
      <c r="B4481" s="1" t="s">
        <v>131</v>
      </c>
      <c r="C4481" t="s">
        <v>9</v>
      </c>
      <c r="D4481" s="1" t="s">
        <v>132</v>
      </c>
    </row>
    <row r="4482" spans="1:4" hidden="1" x14ac:dyDescent="0.3">
      <c r="A4482">
        <v>4480</v>
      </c>
      <c r="B4482" t="s">
        <v>13</v>
      </c>
      <c r="C4482" t="s">
        <v>14</v>
      </c>
      <c r="D4482">
        <v>91.74609375</v>
      </c>
    </row>
    <row r="4483" spans="1:4" hidden="1" x14ac:dyDescent="0.3">
      <c r="A4483">
        <v>4481</v>
      </c>
      <c r="B4483" t="s">
        <v>15</v>
      </c>
      <c r="C4483" t="s">
        <v>16</v>
      </c>
      <c r="D4483">
        <v>4.1883572307132804</v>
      </c>
    </row>
    <row r="4484" spans="1:4" hidden="1" x14ac:dyDescent="0.3">
      <c r="A4484">
        <v>4482</v>
      </c>
      <c r="B4484" s="1" t="s">
        <v>133</v>
      </c>
      <c r="C4484" t="s">
        <v>134</v>
      </c>
      <c r="D4484" s="1" t="s">
        <v>135</v>
      </c>
    </row>
    <row r="4485" spans="1:4" hidden="1" x14ac:dyDescent="0.3">
      <c r="A4485">
        <v>4483</v>
      </c>
      <c r="B4485" t="s">
        <v>21</v>
      </c>
      <c r="C4485" t="s">
        <v>22</v>
      </c>
      <c r="D4485">
        <v>38.25</v>
      </c>
    </row>
    <row r="4486" spans="1:4" hidden="1" x14ac:dyDescent="0.3">
      <c r="A4486">
        <v>4484</v>
      </c>
      <c r="B4486" t="s">
        <v>5148</v>
      </c>
      <c r="C4486" t="s">
        <v>24</v>
      </c>
      <c r="D4486">
        <v>5.6207913356828598</v>
      </c>
    </row>
    <row r="4487" spans="1:4" hidden="1" x14ac:dyDescent="0.3">
      <c r="A4487">
        <v>4485</v>
      </c>
      <c r="B4487" s="1" t="s">
        <v>5149</v>
      </c>
      <c r="C4487" t="s">
        <v>138</v>
      </c>
      <c r="D4487" s="1" t="s">
        <v>5150</v>
      </c>
    </row>
    <row r="4488" spans="1:4" hidden="1" x14ac:dyDescent="0.3">
      <c r="A4488">
        <v>4486</v>
      </c>
      <c r="B4488" t="s">
        <v>5151</v>
      </c>
      <c r="C4488" t="s">
        <v>35</v>
      </c>
      <c r="D4488">
        <v>0.54402082303997601</v>
      </c>
    </row>
    <row r="4489" spans="1:4" hidden="1" x14ac:dyDescent="0.3">
      <c r="A4489">
        <v>4487</v>
      </c>
      <c r="B4489" t="s">
        <v>5152</v>
      </c>
      <c r="C4489" t="s">
        <v>142</v>
      </c>
      <c r="D4489">
        <v>0.67921023021063998</v>
      </c>
    </row>
    <row r="4490" spans="1:4" hidden="1" x14ac:dyDescent="0.3">
      <c r="A4490">
        <v>4488</v>
      </c>
      <c r="B4490" s="1" t="s">
        <v>5153</v>
      </c>
      <c r="C4490" t="s">
        <v>144</v>
      </c>
      <c r="D4490" s="1" t="s">
        <v>5154</v>
      </c>
    </row>
    <row r="4491" spans="1:4" hidden="1" x14ac:dyDescent="0.3">
      <c r="A4491">
        <v>4489</v>
      </c>
      <c r="B4491" t="s">
        <v>5155</v>
      </c>
      <c r="C4491" t="s">
        <v>30</v>
      </c>
      <c r="D4491">
        <v>0.19212343564265799</v>
      </c>
    </row>
    <row r="4492" spans="1:4" hidden="1" x14ac:dyDescent="0.3">
      <c r="A4492">
        <v>4490</v>
      </c>
      <c r="B4492" t="s">
        <v>5156</v>
      </c>
      <c r="C4492" t="s">
        <v>32</v>
      </c>
      <c r="D4492">
        <v>0.25853989303213498</v>
      </c>
    </row>
    <row r="4493" spans="1:4" hidden="1" x14ac:dyDescent="0.3">
      <c r="A4493">
        <v>4491</v>
      </c>
      <c r="B4493" s="1" t="s">
        <v>5157</v>
      </c>
      <c r="C4493" t="s">
        <v>148</v>
      </c>
      <c r="D4493" s="1" t="s">
        <v>5158</v>
      </c>
    </row>
    <row r="4494" spans="1:4" hidden="1" x14ac:dyDescent="0.3">
      <c r="A4494">
        <v>4492</v>
      </c>
      <c r="B4494" t="s">
        <v>5159</v>
      </c>
      <c r="C4494" t="s">
        <v>40</v>
      </c>
      <c r="D4494">
        <v>0.263855741317364</v>
      </c>
    </row>
    <row r="4495" spans="1:4" hidden="1" x14ac:dyDescent="0.3">
      <c r="A4495">
        <v>4493</v>
      </c>
      <c r="B4495" t="s">
        <v>5160</v>
      </c>
      <c r="C4495" t="s">
        <v>42</v>
      </c>
      <c r="D4495">
        <v>0.21375830790908601</v>
      </c>
    </row>
    <row r="4496" spans="1:4" hidden="1" x14ac:dyDescent="0.3">
      <c r="A4496">
        <v>4494</v>
      </c>
      <c r="B4496" s="1" t="s">
        <v>5161</v>
      </c>
      <c r="C4496" t="s">
        <v>152</v>
      </c>
      <c r="D4496" s="1" t="s">
        <v>5162</v>
      </c>
    </row>
    <row r="4497" spans="1:4" hidden="1" x14ac:dyDescent="0.3">
      <c r="A4497">
        <v>4495</v>
      </c>
      <c r="B4497" t="s">
        <v>153</v>
      </c>
      <c r="C4497" t="s">
        <v>154</v>
      </c>
      <c r="D4497">
        <v>1</v>
      </c>
    </row>
    <row r="4498" spans="1:4" hidden="1" x14ac:dyDescent="0.3">
      <c r="A4498">
        <v>4496</v>
      </c>
      <c r="B4498" t="s">
        <v>155</v>
      </c>
      <c r="C4498" t="s">
        <v>156</v>
      </c>
      <c r="D4498">
        <v>1</v>
      </c>
    </row>
    <row r="4499" spans="1:4" hidden="1" x14ac:dyDescent="0.3">
      <c r="A4499">
        <v>4497</v>
      </c>
      <c r="B4499" s="1" t="s">
        <v>5163</v>
      </c>
      <c r="C4499" t="s">
        <v>158</v>
      </c>
      <c r="D4499" s="1" t="s">
        <v>5164</v>
      </c>
    </row>
    <row r="4500" spans="1:4" hidden="1" x14ac:dyDescent="0.3">
      <c r="A4500">
        <v>4498</v>
      </c>
      <c r="B4500" t="s">
        <v>5165</v>
      </c>
      <c r="C4500" t="s">
        <v>161</v>
      </c>
      <c r="D4500">
        <v>1.0016201177336801</v>
      </c>
    </row>
    <row r="4501" spans="1:4" hidden="1" x14ac:dyDescent="0.3">
      <c r="A4501">
        <v>4499</v>
      </c>
      <c r="B4501" t="s">
        <v>5166</v>
      </c>
      <c r="C4501" t="s">
        <v>163</v>
      </c>
      <c r="D4501">
        <v>0.99736468915882803</v>
      </c>
    </row>
    <row r="4502" spans="1:4" hidden="1" x14ac:dyDescent="0.3">
      <c r="A4502">
        <v>4500</v>
      </c>
      <c r="B4502" s="1" t="s">
        <v>5167</v>
      </c>
      <c r="C4502" t="s">
        <v>165</v>
      </c>
      <c r="D4502" s="1" t="s">
        <v>5168</v>
      </c>
    </row>
    <row r="4503" spans="1:4" hidden="1" x14ac:dyDescent="0.3">
      <c r="A4503">
        <v>4501</v>
      </c>
      <c r="B4503" s="1" t="s">
        <v>5169</v>
      </c>
      <c r="C4503" t="s">
        <v>55</v>
      </c>
      <c r="D4503" s="1" t="s">
        <v>5170</v>
      </c>
    </row>
    <row r="4504" spans="1:4" hidden="1" x14ac:dyDescent="0.3">
      <c r="A4504">
        <v>4502</v>
      </c>
      <c r="B4504" s="1" t="s">
        <v>5171</v>
      </c>
      <c r="C4504" t="s">
        <v>52</v>
      </c>
      <c r="D4504" s="1" t="s">
        <v>5172</v>
      </c>
    </row>
    <row r="4505" spans="1:4" hidden="1" x14ac:dyDescent="0.3">
      <c r="A4505">
        <v>4503</v>
      </c>
      <c r="B4505" s="1" t="s">
        <v>5173</v>
      </c>
      <c r="C4505" t="s">
        <v>58</v>
      </c>
      <c r="D4505" s="1" t="s">
        <v>5174</v>
      </c>
    </row>
    <row r="4506" spans="1:4" hidden="1" x14ac:dyDescent="0.3">
      <c r="A4506">
        <v>4504</v>
      </c>
      <c r="B4506" t="s">
        <v>5175</v>
      </c>
      <c r="C4506" t="s">
        <v>60</v>
      </c>
      <c r="D4506">
        <v>149866249.90789601</v>
      </c>
    </row>
    <row r="4507" spans="1:4" hidden="1" x14ac:dyDescent="0.3">
      <c r="A4507">
        <v>4505</v>
      </c>
      <c r="B4507" t="s">
        <v>5176</v>
      </c>
      <c r="C4507" t="s">
        <v>62</v>
      </c>
      <c r="D4507">
        <v>80020845.518129602</v>
      </c>
    </row>
    <row r="4508" spans="1:4" hidden="1" x14ac:dyDescent="0.3">
      <c r="A4508">
        <v>4506</v>
      </c>
      <c r="B4508" t="s">
        <v>5177</v>
      </c>
      <c r="C4508" t="s">
        <v>64</v>
      </c>
      <c r="D4508">
        <v>35007764.496361502</v>
      </c>
    </row>
    <row r="4509" spans="1:4" hidden="1" x14ac:dyDescent="0.3">
      <c r="A4509">
        <v>4507</v>
      </c>
      <c r="B4509" s="1" t="s">
        <v>5178</v>
      </c>
      <c r="C4509" t="s">
        <v>66</v>
      </c>
      <c r="D4509" s="1" t="s">
        <v>5179</v>
      </c>
    </row>
    <row r="4510" spans="1:4" hidden="1" x14ac:dyDescent="0.3">
      <c r="A4510">
        <v>4508</v>
      </c>
      <c r="B4510" s="1" t="s">
        <v>5180</v>
      </c>
      <c r="C4510" t="s">
        <v>69</v>
      </c>
      <c r="D4510" s="1" t="s">
        <v>5181</v>
      </c>
    </row>
    <row r="4511" spans="1:4" hidden="1" x14ac:dyDescent="0.3">
      <c r="A4511">
        <v>4509</v>
      </c>
      <c r="B4511" t="s">
        <v>5182</v>
      </c>
      <c r="C4511" t="s">
        <v>72</v>
      </c>
      <c r="D4511">
        <v>1.0001714459716899</v>
      </c>
    </row>
    <row r="4512" spans="1:4" hidden="1" x14ac:dyDescent="0.3">
      <c r="A4512">
        <v>4510</v>
      </c>
      <c r="B4512" t="s">
        <v>73</v>
      </c>
      <c r="C4512" t="s">
        <v>74</v>
      </c>
      <c r="D4512">
        <v>2.7397260273972599E-3</v>
      </c>
    </row>
    <row r="4513" spans="1:4" hidden="1" x14ac:dyDescent="0.3">
      <c r="A4513">
        <v>4511</v>
      </c>
      <c r="B4513" t="s">
        <v>75</v>
      </c>
      <c r="C4513" t="s">
        <v>76</v>
      </c>
      <c r="D4513">
        <v>0</v>
      </c>
    </row>
    <row r="4514" spans="1:4" hidden="1" x14ac:dyDescent="0.3">
      <c r="A4514">
        <v>4512</v>
      </c>
      <c r="B4514" t="s">
        <v>77</v>
      </c>
      <c r="C4514" t="s">
        <v>78</v>
      </c>
      <c r="D4514">
        <v>0</v>
      </c>
    </row>
    <row r="4515" spans="1:4" hidden="1" x14ac:dyDescent="0.3">
      <c r="A4515">
        <v>4513</v>
      </c>
      <c r="B4515" s="1" t="s">
        <v>5183</v>
      </c>
      <c r="C4515" t="s">
        <v>80</v>
      </c>
      <c r="D4515" s="1" t="s">
        <v>5184</v>
      </c>
    </row>
    <row r="4516" spans="1:4" hidden="1" x14ac:dyDescent="0.3">
      <c r="A4516">
        <v>4514</v>
      </c>
      <c r="B4516" t="s">
        <v>5185</v>
      </c>
      <c r="C4516" t="s">
        <v>83</v>
      </c>
      <c r="D4516">
        <v>1.0001635328329299</v>
      </c>
    </row>
    <row r="4517" spans="1:4" hidden="1" x14ac:dyDescent="0.3">
      <c r="A4517">
        <v>4515</v>
      </c>
      <c r="B4517" s="1" t="s">
        <v>5186</v>
      </c>
      <c r="C4517" t="s">
        <v>85</v>
      </c>
      <c r="D4517" s="1" t="s">
        <v>5187</v>
      </c>
    </row>
    <row r="4518" spans="1:4" hidden="1" x14ac:dyDescent="0.3">
      <c r="A4518">
        <v>4516</v>
      </c>
      <c r="B4518" t="s">
        <v>5188</v>
      </c>
      <c r="C4518" t="s">
        <v>88</v>
      </c>
      <c r="D4518">
        <v>99983649.390568495</v>
      </c>
    </row>
    <row r="4519" spans="1:4" hidden="1" x14ac:dyDescent="0.3">
      <c r="A4519">
        <v>4517</v>
      </c>
      <c r="B4519" s="1" t="s">
        <v>5189</v>
      </c>
      <c r="C4519" t="s">
        <v>90</v>
      </c>
      <c r="D4519" s="1" t="s">
        <v>5135</v>
      </c>
    </row>
    <row r="4520" spans="1:4" hidden="1" x14ac:dyDescent="0.3">
      <c r="A4520">
        <v>4518</v>
      </c>
      <c r="B4520" t="s">
        <v>5190</v>
      </c>
      <c r="C4520" t="s">
        <v>93</v>
      </c>
      <c r="D4520">
        <v>80020845.518129602</v>
      </c>
    </row>
    <row r="4521" spans="1:4" hidden="1" x14ac:dyDescent="0.3">
      <c r="A4521">
        <v>4519</v>
      </c>
      <c r="B4521" t="s">
        <v>5191</v>
      </c>
      <c r="C4521" t="s">
        <v>95</v>
      </c>
      <c r="D4521">
        <v>35007764.496361502</v>
      </c>
    </row>
    <row r="4522" spans="1:4" hidden="1" x14ac:dyDescent="0.3">
      <c r="A4522">
        <v>4520</v>
      </c>
      <c r="B4522" t="s">
        <v>5192</v>
      </c>
      <c r="C4522" t="s">
        <v>97</v>
      </c>
      <c r="D4522">
        <v>34837639.893405601</v>
      </c>
    </row>
    <row r="4523" spans="1:4" hidden="1" x14ac:dyDescent="0.3">
      <c r="A4523">
        <v>4521</v>
      </c>
      <c r="B4523" s="1" t="s">
        <v>5193</v>
      </c>
      <c r="C4523" t="s">
        <v>99</v>
      </c>
      <c r="D4523" s="1" t="s">
        <v>5194</v>
      </c>
    </row>
    <row r="4524" spans="1:4" hidden="1" x14ac:dyDescent="0.3">
      <c r="A4524">
        <v>4522</v>
      </c>
      <c r="B4524" t="s">
        <v>5195</v>
      </c>
      <c r="C4524" t="s">
        <v>102</v>
      </c>
      <c r="D4524">
        <v>7.8489461058839898E-3</v>
      </c>
    </row>
    <row r="4525" spans="1:4" hidden="1" x14ac:dyDescent="0.3">
      <c r="A4525">
        <v>4523</v>
      </c>
      <c r="B4525" t="s">
        <v>5196</v>
      </c>
      <c r="C4525" t="s">
        <v>104</v>
      </c>
      <c r="D4525">
        <v>1.6506600025293599E-3</v>
      </c>
    </row>
    <row r="4526" spans="1:4" hidden="1" x14ac:dyDescent="0.3">
      <c r="A4526">
        <v>4524</v>
      </c>
      <c r="B4526" t="s">
        <v>5197</v>
      </c>
      <c r="C4526" t="s">
        <v>106</v>
      </c>
      <c r="D4526">
        <v>2.17319545375316E-2</v>
      </c>
    </row>
    <row r="4527" spans="1:4" hidden="1" x14ac:dyDescent="0.3">
      <c r="A4527">
        <v>4525</v>
      </c>
      <c r="B4527" s="1" t="s">
        <v>5198</v>
      </c>
      <c r="C4527" t="s">
        <v>108</v>
      </c>
      <c r="D4527" s="1" t="s">
        <v>5199</v>
      </c>
    </row>
    <row r="4528" spans="1:4" hidden="1" x14ac:dyDescent="0.3">
      <c r="A4528">
        <v>4526</v>
      </c>
      <c r="B4528" t="s">
        <v>5200</v>
      </c>
      <c r="C4528" t="s">
        <v>196</v>
      </c>
      <c r="D4528">
        <v>149865977.27966201</v>
      </c>
    </row>
    <row r="4529" spans="1:4" hidden="1" x14ac:dyDescent="0.3">
      <c r="A4529">
        <v>4527</v>
      </c>
      <c r="B4529" t="s">
        <v>5201</v>
      </c>
      <c r="C4529" t="s">
        <v>198</v>
      </c>
      <c r="D4529">
        <v>633.10583990149905</v>
      </c>
    </row>
    <row r="4530" spans="1:4" hidden="1" x14ac:dyDescent="0.3">
      <c r="A4530">
        <v>4528</v>
      </c>
      <c r="B4530" t="s">
        <v>5202</v>
      </c>
      <c r="C4530" t="s">
        <v>200</v>
      </c>
      <c r="D4530">
        <v>276.973561349352</v>
      </c>
    </row>
    <row r="4531" spans="1:4" hidden="1" x14ac:dyDescent="0.3">
      <c r="A4531">
        <v>4529</v>
      </c>
      <c r="B4531" s="1" t="s">
        <v>5203</v>
      </c>
      <c r="C4531" t="s">
        <v>202</v>
      </c>
      <c r="D4531" s="1" t="s">
        <v>5204</v>
      </c>
    </row>
    <row r="4532" spans="1:4" hidden="1" x14ac:dyDescent="0.3">
      <c r="A4532">
        <v>4530</v>
      </c>
      <c r="B4532" t="s">
        <v>5205</v>
      </c>
      <c r="C4532" t="s">
        <v>205</v>
      </c>
      <c r="D4532">
        <v>80020001.186439797</v>
      </c>
    </row>
    <row r="4533" spans="1:4" hidden="1" x14ac:dyDescent="0.3">
      <c r="A4533">
        <v>4531</v>
      </c>
      <c r="B4533" t="s">
        <v>5206</v>
      </c>
      <c r="C4533" t="s">
        <v>207</v>
      </c>
      <c r="D4533">
        <v>35007455.801127799</v>
      </c>
    </row>
    <row r="4534" spans="1:4" hidden="1" x14ac:dyDescent="0.3">
      <c r="A4534">
        <v>4532</v>
      </c>
      <c r="B4534" t="s">
        <v>5207</v>
      </c>
      <c r="C4534" t="s">
        <v>209</v>
      </c>
      <c r="D4534">
        <v>34837334.585105099</v>
      </c>
    </row>
    <row r="4535" spans="1:4" hidden="1" x14ac:dyDescent="0.3">
      <c r="A4535">
        <v>4533</v>
      </c>
      <c r="B4535" s="1" t="s">
        <v>5208</v>
      </c>
      <c r="C4535" t="s">
        <v>211</v>
      </c>
      <c r="D4535" s="1" t="s">
        <v>5209</v>
      </c>
    </row>
    <row r="4536" spans="1:4" hidden="1" x14ac:dyDescent="0.3">
      <c r="A4536">
        <v>4534</v>
      </c>
      <c r="B4536" t="s">
        <v>5210</v>
      </c>
      <c r="C4536" t="s">
        <v>214</v>
      </c>
      <c r="D4536">
        <v>99982858.341698602</v>
      </c>
    </row>
    <row r="4537" spans="1:4" hidden="1" x14ac:dyDescent="0.3">
      <c r="A4537">
        <v>4535</v>
      </c>
      <c r="B4537" t="s">
        <v>5211</v>
      </c>
      <c r="C4537" t="s">
        <v>216</v>
      </c>
      <c r="D4537">
        <v>791.04886987805298</v>
      </c>
    </row>
    <row r="4538" spans="1:4" hidden="1" x14ac:dyDescent="0.3">
      <c r="A4538">
        <v>4536</v>
      </c>
      <c r="B4538" s="1" t="s">
        <v>5212</v>
      </c>
      <c r="C4538" t="s">
        <v>218</v>
      </c>
      <c r="D4538" s="1" t="s">
        <v>5213</v>
      </c>
    </row>
    <row r="4539" spans="1:4" hidden="1" x14ac:dyDescent="0.3">
      <c r="A4539">
        <v>4537</v>
      </c>
      <c r="B4539" t="s">
        <v>5214</v>
      </c>
      <c r="C4539" t="s">
        <v>111</v>
      </c>
      <c r="D4539">
        <v>-211.225849888818</v>
      </c>
    </row>
    <row r="4540" spans="1:4" hidden="1" x14ac:dyDescent="0.3">
      <c r="A4540">
        <v>4538</v>
      </c>
      <c r="B4540" t="s">
        <v>5215</v>
      </c>
      <c r="C4540" t="s">
        <v>113</v>
      </c>
      <c r="D4540">
        <v>-31.7216723152283</v>
      </c>
    </row>
    <row r="4541" spans="1:4" hidden="1" x14ac:dyDescent="0.3">
      <c r="A4541">
        <v>4539</v>
      </c>
      <c r="B4541" s="1" t="s">
        <v>5216</v>
      </c>
      <c r="C4541" t="s">
        <v>115</v>
      </c>
      <c r="D4541" s="1" t="s">
        <v>5217</v>
      </c>
    </row>
    <row r="4542" spans="1:4" hidden="1" x14ac:dyDescent="0.3">
      <c r="A4542">
        <v>4540</v>
      </c>
      <c r="B4542" t="s">
        <v>5218</v>
      </c>
      <c r="C4542" t="s">
        <v>118</v>
      </c>
      <c r="D4542">
        <v>80020001.186439797</v>
      </c>
    </row>
    <row r="4543" spans="1:4" hidden="1" x14ac:dyDescent="0.3">
      <c r="A4543">
        <v>4541</v>
      </c>
      <c r="B4543" t="s">
        <v>5219</v>
      </c>
      <c r="C4543" t="s">
        <v>120</v>
      </c>
      <c r="D4543">
        <v>35007455.801127799</v>
      </c>
    </row>
    <row r="4544" spans="1:4" hidden="1" x14ac:dyDescent="0.3">
      <c r="A4544">
        <v>4542</v>
      </c>
      <c r="B4544" s="1" t="s">
        <v>5220</v>
      </c>
      <c r="C4544" t="s">
        <v>122</v>
      </c>
      <c r="D4544" s="1" t="s">
        <v>5221</v>
      </c>
    </row>
    <row r="4545" spans="1:4" hidden="1" x14ac:dyDescent="0.3">
      <c r="A4545">
        <v>4543</v>
      </c>
      <c r="B4545" t="s">
        <v>5222</v>
      </c>
      <c r="C4545" t="s">
        <v>125</v>
      </c>
      <c r="D4545">
        <v>0.80020634292279602</v>
      </c>
    </row>
    <row r="4546" spans="1:4" hidden="1" x14ac:dyDescent="0.3">
      <c r="A4546">
        <v>4544</v>
      </c>
      <c r="B4546" t="s">
        <v>5223</v>
      </c>
      <c r="C4546" t="s">
        <v>127</v>
      </c>
      <c r="D4546">
        <v>0.35007732774689099</v>
      </c>
    </row>
    <row r="4547" spans="1:4" hidden="1" x14ac:dyDescent="0.3">
      <c r="A4547">
        <v>4545</v>
      </c>
      <c r="B4547" s="1" t="s">
        <v>5224</v>
      </c>
      <c r="C4547" t="s">
        <v>129</v>
      </c>
      <c r="D4547" s="1" t="s">
        <v>5225</v>
      </c>
    </row>
    <row r="4548" spans="1:4" ht="72" x14ac:dyDescent="0.3">
      <c r="A4548">
        <v>4546</v>
      </c>
      <c r="B4548" s="1" t="s">
        <v>3</v>
      </c>
      <c r="C4548" t="s">
        <v>4</v>
      </c>
      <c r="D4548" t="s">
        <v>5</v>
      </c>
    </row>
    <row r="4549" spans="1:4" hidden="1" x14ac:dyDescent="0.3">
      <c r="A4549">
        <v>4547</v>
      </c>
      <c r="B4549" t="s">
        <v>6</v>
      </c>
      <c r="C4549" t="s">
        <v>7</v>
      </c>
      <c r="D4549">
        <v>1981.95</v>
      </c>
    </row>
    <row r="4550" spans="1:4" hidden="1" x14ac:dyDescent="0.3">
      <c r="A4550">
        <v>4548</v>
      </c>
      <c r="B4550" s="1" t="s">
        <v>131</v>
      </c>
      <c r="C4550" t="s">
        <v>9</v>
      </c>
      <c r="D4550" s="1" t="s">
        <v>132</v>
      </c>
    </row>
    <row r="4551" spans="1:4" hidden="1" x14ac:dyDescent="0.3">
      <c r="A4551">
        <v>4549</v>
      </c>
      <c r="B4551" t="s">
        <v>13</v>
      </c>
      <c r="C4551" t="s">
        <v>14</v>
      </c>
      <c r="D4551">
        <v>91.74609375</v>
      </c>
    </row>
    <row r="4552" spans="1:4" hidden="1" x14ac:dyDescent="0.3">
      <c r="A4552">
        <v>4550</v>
      </c>
      <c r="B4552" t="s">
        <v>15</v>
      </c>
      <c r="C4552" t="s">
        <v>16</v>
      </c>
      <c r="D4552">
        <v>4.1883572307132804</v>
      </c>
    </row>
    <row r="4553" spans="1:4" hidden="1" x14ac:dyDescent="0.3">
      <c r="A4553">
        <v>4551</v>
      </c>
      <c r="B4553" s="1" t="s">
        <v>133</v>
      </c>
      <c r="C4553" t="s">
        <v>134</v>
      </c>
      <c r="D4553" s="1" t="s">
        <v>135</v>
      </c>
    </row>
    <row r="4554" spans="1:4" hidden="1" x14ac:dyDescent="0.3">
      <c r="A4554">
        <v>4552</v>
      </c>
      <c r="B4554" t="s">
        <v>21</v>
      </c>
      <c r="C4554" t="s">
        <v>22</v>
      </c>
      <c r="D4554">
        <v>38.25</v>
      </c>
    </row>
    <row r="4555" spans="1:4" hidden="1" x14ac:dyDescent="0.3">
      <c r="A4555">
        <v>4553</v>
      </c>
      <c r="B4555" t="s">
        <v>5226</v>
      </c>
      <c r="C4555" t="s">
        <v>24</v>
      </c>
      <c r="D4555">
        <v>5.59459207086066</v>
      </c>
    </row>
    <row r="4556" spans="1:4" hidden="1" x14ac:dyDescent="0.3">
      <c r="A4556">
        <v>4554</v>
      </c>
      <c r="B4556" s="1" t="s">
        <v>5227</v>
      </c>
      <c r="C4556" t="s">
        <v>138</v>
      </c>
      <c r="D4556" s="1" t="s">
        <v>5228</v>
      </c>
    </row>
    <row r="4557" spans="1:4" hidden="1" x14ac:dyDescent="0.3">
      <c r="A4557">
        <v>4555</v>
      </c>
      <c r="B4557" t="s">
        <v>5229</v>
      </c>
      <c r="C4557" t="s">
        <v>35</v>
      </c>
      <c r="D4557">
        <v>0.54705151603867197</v>
      </c>
    </row>
    <row r="4558" spans="1:4" hidden="1" x14ac:dyDescent="0.3">
      <c r="A4558">
        <v>4556</v>
      </c>
      <c r="B4558" t="s">
        <v>5230</v>
      </c>
      <c r="C4558" t="s">
        <v>142</v>
      </c>
      <c r="D4558">
        <v>0.679612783205781</v>
      </c>
    </row>
    <row r="4559" spans="1:4" hidden="1" x14ac:dyDescent="0.3">
      <c r="A4559">
        <v>4557</v>
      </c>
      <c r="B4559" s="1" t="s">
        <v>5231</v>
      </c>
      <c r="C4559" t="s">
        <v>144</v>
      </c>
      <c r="D4559" s="1" t="s">
        <v>5232</v>
      </c>
    </row>
    <row r="4560" spans="1:4" hidden="1" x14ac:dyDescent="0.3">
      <c r="A4560">
        <v>4558</v>
      </c>
      <c r="B4560" t="s">
        <v>5233</v>
      </c>
      <c r="C4560" t="s">
        <v>30</v>
      </c>
      <c r="D4560">
        <v>0.19319373870207801</v>
      </c>
    </row>
    <row r="4561" spans="1:4" hidden="1" x14ac:dyDescent="0.3">
      <c r="A4561">
        <v>4559</v>
      </c>
      <c r="B4561" t="s">
        <v>5234</v>
      </c>
      <c r="C4561" t="s">
        <v>32</v>
      </c>
      <c r="D4561">
        <v>0.25733950552856499</v>
      </c>
    </row>
    <row r="4562" spans="1:4" hidden="1" x14ac:dyDescent="0.3">
      <c r="A4562">
        <v>4560</v>
      </c>
      <c r="B4562" s="1" t="s">
        <v>5235</v>
      </c>
      <c r="C4562" t="s">
        <v>148</v>
      </c>
      <c r="D4562" s="1" t="s">
        <v>5236</v>
      </c>
    </row>
    <row r="4563" spans="1:4" hidden="1" x14ac:dyDescent="0.3">
      <c r="A4563">
        <v>4561</v>
      </c>
      <c r="B4563" t="s">
        <v>5237</v>
      </c>
      <c r="C4563" t="s">
        <v>40</v>
      </c>
      <c r="D4563">
        <v>0.25975474525924802</v>
      </c>
    </row>
    <row r="4564" spans="1:4" hidden="1" x14ac:dyDescent="0.3">
      <c r="A4564">
        <v>4562</v>
      </c>
      <c r="B4564" t="s">
        <v>5238</v>
      </c>
      <c r="C4564" t="s">
        <v>42</v>
      </c>
      <c r="D4564">
        <v>0.21408661344896199</v>
      </c>
    </row>
    <row r="4565" spans="1:4" hidden="1" x14ac:dyDescent="0.3">
      <c r="A4565">
        <v>4563</v>
      </c>
      <c r="B4565" s="1" t="s">
        <v>5239</v>
      </c>
      <c r="C4565" t="s">
        <v>152</v>
      </c>
      <c r="D4565" s="1" t="s">
        <v>5240</v>
      </c>
    </row>
    <row r="4566" spans="1:4" hidden="1" x14ac:dyDescent="0.3">
      <c r="A4566">
        <v>4564</v>
      </c>
      <c r="B4566" t="s">
        <v>153</v>
      </c>
      <c r="C4566" t="s">
        <v>154</v>
      </c>
      <c r="D4566">
        <v>1</v>
      </c>
    </row>
    <row r="4567" spans="1:4" hidden="1" x14ac:dyDescent="0.3">
      <c r="A4567">
        <v>4565</v>
      </c>
      <c r="B4567" t="s">
        <v>155</v>
      </c>
      <c r="C4567" t="s">
        <v>156</v>
      </c>
      <c r="D4567">
        <v>1</v>
      </c>
    </row>
    <row r="4568" spans="1:4" hidden="1" x14ac:dyDescent="0.3">
      <c r="A4568">
        <v>4566</v>
      </c>
      <c r="B4568" s="1" t="s">
        <v>5241</v>
      </c>
      <c r="C4568" t="s">
        <v>158</v>
      </c>
      <c r="D4568" s="1" t="s">
        <v>5242</v>
      </c>
    </row>
    <row r="4569" spans="1:4" hidden="1" x14ac:dyDescent="0.3">
      <c r="A4569">
        <v>4567</v>
      </c>
      <c r="B4569" t="s">
        <v>5243</v>
      </c>
      <c r="C4569" t="s">
        <v>161</v>
      </c>
      <c r="D4569">
        <v>1.0002397275742401</v>
      </c>
    </row>
    <row r="4570" spans="1:4" hidden="1" x14ac:dyDescent="0.3">
      <c r="A4570">
        <v>4568</v>
      </c>
      <c r="B4570" t="s">
        <v>5244</v>
      </c>
      <c r="C4570" t="s">
        <v>163</v>
      </c>
      <c r="D4570">
        <v>0.999046206234529</v>
      </c>
    </row>
    <row r="4571" spans="1:4" hidden="1" x14ac:dyDescent="0.3">
      <c r="A4571">
        <v>4569</v>
      </c>
      <c r="B4571" s="1" t="s">
        <v>5245</v>
      </c>
      <c r="C4571" t="s">
        <v>165</v>
      </c>
      <c r="D4571" s="1" t="s">
        <v>5246</v>
      </c>
    </row>
    <row r="4572" spans="1:4" hidden="1" x14ac:dyDescent="0.3">
      <c r="A4572">
        <v>4570</v>
      </c>
      <c r="B4572" s="1" t="s">
        <v>5247</v>
      </c>
      <c r="C4572" t="s">
        <v>55</v>
      </c>
      <c r="D4572" s="1" t="s">
        <v>5248</v>
      </c>
    </row>
    <row r="4573" spans="1:4" hidden="1" x14ac:dyDescent="0.3">
      <c r="A4573">
        <v>4571</v>
      </c>
      <c r="B4573" s="1" t="s">
        <v>5249</v>
      </c>
      <c r="C4573" t="s">
        <v>52</v>
      </c>
      <c r="D4573" s="1" t="s">
        <v>5250</v>
      </c>
    </row>
    <row r="4574" spans="1:4" hidden="1" x14ac:dyDescent="0.3">
      <c r="A4574">
        <v>4572</v>
      </c>
      <c r="B4574" s="1" t="s">
        <v>5251</v>
      </c>
      <c r="C4574" t="s">
        <v>58</v>
      </c>
      <c r="D4574" s="1" t="s">
        <v>5252</v>
      </c>
    </row>
    <row r="4575" spans="1:4" hidden="1" x14ac:dyDescent="0.3">
      <c r="A4575">
        <v>4573</v>
      </c>
      <c r="B4575" t="s">
        <v>5253</v>
      </c>
      <c r="C4575" t="s">
        <v>60</v>
      </c>
      <c r="D4575">
        <v>149843987.01167199</v>
      </c>
    </row>
    <row r="4576" spans="1:4" hidden="1" x14ac:dyDescent="0.3">
      <c r="A4576">
        <v>4574</v>
      </c>
      <c r="B4576" t="s">
        <v>5254</v>
      </c>
      <c r="C4576" t="s">
        <v>62</v>
      </c>
      <c r="D4576">
        <v>80020001.186439797</v>
      </c>
    </row>
    <row r="4577" spans="1:4" hidden="1" x14ac:dyDescent="0.3">
      <c r="A4577">
        <v>4575</v>
      </c>
      <c r="B4577" t="s">
        <v>5255</v>
      </c>
      <c r="C4577" t="s">
        <v>64</v>
      </c>
      <c r="D4577">
        <v>35007455.801127799</v>
      </c>
    </row>
    <row r="4578" spans="1:4" hidden="1" x14ac:dyDescent="0.3">
      <c r="A4578">
        <v>4576</v>
      </c>
      <c r="B4578" s="1" t="s">
        <v>5256</v>
      </c>
      <c r="C4578" t="s">
        <v>66</v>
      </c>
      <c r="D4578" s="1" t="s">
        <v>5257</v>
      </c>
    </row>
    <row r="4579" spans="1:4" hidden="1" x14ac:dyDescent="0.3">
      <c r="A4579">
        <v>4577</v>
      </c>
      <c r="B4579" s="1" t="s">
        <v>5258</v>
      </c>
      <c r="C4579" t="s">
        <v>69</v>
      </c>
      <c r="D4579" s="1" t="s">
        <v>5259</v>
      </c>
    </row>
    <row r="4580" spans="1:4" hidden="1" x14ac:dyDescent="0.3">
      <c r="A4580">
        <v>4578</v>
      </c>
      <c r="B4580" t="s">
        <v>5260</v>
      </c>
      <c r="C4580" t="s">
        <v>72</v>
      </c>
      <c r="D4580">
        <v>1.0001635328329299</v>
      </c>
    </row>
    <row r="4581" spans="1:4" hidden="1" x14ac:dyDescent="0.3">
      <c r="A4581">
        <v>4579</v>
      </c>
      <c r="B4581" t="s">
        <v>73</v>
      </c>
      <c r="C4581" t="s">
        <v>74</v>
      </c>
      <c r="D4581">
        <v>2.7397260273972599E-3</v>
      </c>
    </row>
    <row r="4582" spans="1:4" hidden="1" x14ac:dyDescent="0.3">
      <c r="A4582">
        <v>4580</v>
      </c>
      <c r="B4582" t="s">
        <v>75</v>
      </c>
      <c r="C4582" t="s">
        <v>76</v>
      </c>
      <c r="D4582">
        <v>0</v>
      </c>
    </row>
    <row r="4583" spans="1:4" hidden="1" x14ac:dyDescent="0.3">
      <c r="A4583">
        <v>4581</v>
      </c>
      <c r="B4583" t="s">
        <v>77</v>
      </c>
      <c r="C4583" t="s">
        <v>78</v>
      </c>
      <c r="D4583">
        <v>0</v>
      </c>
    </row>
    <row r="4584" spans="1:4" hidden="1" x14ac:dyDescent="0.3">
      <c r="A4584">
        <v>4582</v>
      </c>
      <c r="B4584" s="1" t="s">
        <v>5261</v>
      </c>
      <c r="C4584" t="s">
        <v>80</v>
      </c>
      <c r="D4584" s="1" t="s">
        <v>5262</v>
      </c>
    </row>
    <row r="4585" spans="1:4" hidden="1" x14ac:dyDescent="0.3">
      <c r="A4585">
        <v>4583</v>
      </c>
      <c r="B4585" t="s">
        <v>5263</v>
      </c>
      <c r="C4585" t="s">
        <v>83</v>
      </c>
      <c r="D4585">
        <v>1.0001450154176299</v>
      </c>
    </row>
    <row r="4586" spans="1:4" hidden="1" x14ac:dyDescent="0.3">
      <c r="A4586">
        <v>4584</v>
      </c>
      <c r="B4586" s="1" t="s">
        <v>5264</v>
      </c>
      <c r="C4586" t="s">
        <v>85</v>
      </c>
      <c r="D4586" s="1" t="s">
        <v>5265</v>
      </c>
    </row>
    <row r="4587" spans="1:4" hidden="1" x14ac:dyDescent="0.3">
      <c r="A4587">
        <v>4585</v>
      </c>
      <c r="B4587" t="s">
        <v>5266</v>
      </c>
      <c r="C4587" t="s">
        <v>88</v>
      </c>
      <c r="D4587">
        <v>99985500.560878694</v>
      </c>
    </row>
    <row r="4588" spans="1:4" hidden="1" x14ac:dyDescent="0.3">
      <c r="A4588">
        <v>4586</v>
      </c>
      <c r="B4588" s="1" t="s">
        <v>5267</v>
      </c>
      <c r="C4588" t="s">
        <v>90</v>
      </c>
      <c r="D4588" s="1" t="s">
        <v>5213</v>
      </c>
    </row>
    <row r="4589" spans="1:4" hidden="1" x14ac:dyDescent="0.3">
      <c r="A4589">
        <v>4587</v>
      </c>
      <c r="B4589" t="s">
        <v>5268</v>
      </c>
      <c r="C4589" t="s">
        <v>93</v>
      </c>
      <c r="D4589">
        <v>80020001.186439797</v>
      </c>
    </row>
    <row r="4590" spans="1:4" hidden="1" x14ac:dyDescent="0.3">
      <c r="A4590">
        <v>4588</v>
      </c>
      <c r="B4590" t="s">
        <v>5269</v>
      </c>
      <c r="C4590" t="s">
        <v>95</v>
      </c>
      <c r="D4590">
        <v>35007455.801127799</v>
      </c>
    </row>
    <row r="4591" spans="1:4" hidden="1" x14ac:dyDescent="0.3">
      <c r="A4591">
        <v>4589</v>
      </c>
      <c r="B4591" t="s">
        <v>5270</v>
      </c>
      <c r="C4591" t="s">
        <v>97</v>
      </c>
      <c r="D4591">
        <v>34816530.024104401</v>
      </c>
    </row>
    <row r="4592" spans="1:4" hidden="1" x14ac:dyDescent="0.3">
      <c r="A4592">
        <v>4590</v>
      </c>
      <c r="B4592" s="1" t="s">
        <v>5271</v>
      </c>
      <c r="C4592" t="s">
        <v>99</v>
      </c>
      <c r="D4592" s="1" t="s">
        <v>5272</v>
      </c>
    </row>
    <row r="4593" spans="1:4" hidden="1" x14ac:dyDescent="0.3">
      <c r="A4593">
        <v>4591</v>
      </c>
      <c r="B4593" t="s">
        <v>5273</v>
      </c>
      <c r="C4593" t="s">
        <v>102</v>
      </c>
      <c r="D4593">
        <v>7.9058762552272205E-3</v>
      </c>
    </row>
    <row r="4594" spans="1:4" hidden="1" x14ac:dyDescent="0.3">
      <c r="A4594">
        <v>4592</v>
      </c>
      <c r="B4594" t="s">
        <v>5274</v>
      </c>
      <c r="C4594" t="s">
        <v>104</v>
      </c>
      <c r="D4594">
        <v>1.67051516949033E-3</v>
      </c>
    </row>
    <row r="4595" spans="1:4" hidden="1" x14ac:dyDescent="0.3">
      <c r="A4595">
        <v>4593</v>
      </c>
      <c r="B4595" t="s">
        <v>5275</v>
      </c>
      <c r="C4595" t="s">
        <v>106</v>
      </c>
      <c r="D4595">
        <v>2.2056575721453999E-2</v>
      </c>
    </row>
    <row r="4596" spans="1:4" hidden="1" x14ac:dyDescent="0.3">
      <c r="A4596">
        <v>4594</v>
      </c>
      <c r="B4596" s="1" t="s">
        <v>5276</v>
      </c>
      <c r="C4596" t="s">
        <v>108</v>
      </c>
      <c r="D4596" s="1" t="s">
        <v>5277</v>
      </c>
    </row>
    <row r="4597" spans="1:4" hidden="1" x14ac:dyDescent="0.3">
      <c r="A4597">
        <v>4595</v>
      </c>
      <c r="B4597" t="s">
        <v>5278</v>
      </c>
      <c r="C4597" t="s">
        <v>196</v>
      </c>
      <c r="D4597">
        <v>149843349.26388001</v>
      </c>
    </row>
    <row r="4598" spans="1:4" hidden="1" x14ac:dyDescent="0.3">
      <c r="A4598">
        <v>4596</v>
      </c>
      <c r="B4598" t="s">
        <v>5279</v>
      </c>
      <c r="C4598" t="s">
        <v>198</v>
      </c>
      <c r="D4598">
        <v>1481.5121636711999</v>
      </c>
    </row>
    <row r="4599" spans="1:4" hidden="1" x14ac:dyDescent="0.3">
      <c r="A4599">
        <v>4597</v>
      </c>
      <c r="B4599" t="s">
        <v>5280</v>
      </c>
      <c r="C4599" t="s">
        <v>200</v>
      </c>
      <c r="D4599">
        <v>648.14023239202299</v>
      </c>
    </row>
    <row r="4600" spans="1:4" hidden="1" x14ac:dyDescent="0.3">
      <c r="A4600">
        <v>4598</v>
      </c>
      <c r="B4600" s="1" t="s">
        <v>5281</v>
      </c>
      <c r="C4600" t="s">
        <v>202</v>
      </c>
      <c r="D4600" s="1" t="s">
        <v>5282</v>
      </c>
    </row>
    <row r="4601" spans="1:4" hidden="1" x14ac:dyDescent="0.3">
      <c r="A4601">
        <v>4599</v>
      </c>
      <c r="B4601" t="s">
        <v>5283</v>
      </c>
      <c r="C4601" t="s">
        <v>205</v>
      </c>
      <c r="D4601">
        <v>80018025.310512796</v>
      </c>
    </row>
    <row r="4602" spans="1:4" hidden="1" x14ac:dyDescent="0.3">
      <c r="A4602">
        <v>4600</v>
      </c>
      <c r="B4602" t="s">
        <v>5284</v>
      </c>
      <c r="C4602" t="s">
        <v>207</v>
      </c>
      <c r="D4602">
        <v>35006733.520020403</v>
      </c>
    </row>
    <row r="4603" spans="1:4" hidden="1" x14ac:dyDescent="0.3">
      <c r="A4603">
        <v>4601</v>
      </c>
      <c r="B4603" t="s">
        <v>5285</v>
      </c>
      <c r="C4603" t="s">
        <v>209</v>
      </c>
      <c r="D4603">
        <v>34815816.175501399</v>
      </c>
    </row>
    <row r="4604" spans="1:4" hidden="1" x14ac:dyDescent="0.3">
      <c r="A4604">
        <v>4602</v>
      </c>
      <c r="B4604" s="1" t="s">
        <v>5286</v>
      </c>
      <c r="C4604" t="s">
        <v>211</v>
      </c>
      <c r="D4604" s="1" t="s">
        <v>5287</v>
      </c>
    </row>
    <row r="4605" spans="1:4" hidden="1" x14ac:dyDescent="0.3">
      <c r="A4605">
        <v>4603</v>
      </c>
      <c r="B4605" t="s">
        <v>5288</v>
      </c>
      <c r="C4605" t="s">
        <v>214</v>
      </c>
      <c r="D4605">
        <v>99983649.390568495</v>
      </c>
    </row>
    <row r="4606" spans="1:4" hidden="1" x14ac:dyDescent="0.3">
      <c r="A4606">
        <v>4604</v>
      </c>
      <c r="B4606" t="s">
        <v>5289</v>
      </c>
      <c r="C4606" t="s">
        <v>216</v>
      </c>
      <c r="D4606">
        <v>1851.1703102588599</v>
      </c>
    </row>
    <row r="4607" spans="1:4" hidden="1" x14ac:dyDescent="0.3">
      <c r="A4607">
        <v>4605</v>
      </c>
      <c r="B4607" s="1" t="s">
        <v>5290</v>
      </c>
      <c r="C4607" t="s">
        <v>218</v>
      </c>
      <c r="D4607" s="1" t="s">
        <v>5291</v>
      </c>
    </row>
    <row r="4608" spans="1:4" hidden="1" x14ac:dyDescent="0.3">
      <c r="A4608">
        <v>4606</v>
      </c>
      <c r="B4608" t="s">
        <v>5292</v>
      </c>
      <c r="C4608" t="s">
        <v>111</v>
      </c>
      <c r="D4608">
        <v>-494.36376327875701</v>
      </c>
    </row>
    <row r="4609" spans="1:4" hidden="1" x14ac:dyDescent="0.3">
      <c r="A4609">
        <v>4607</v>
      </c>
      <c r="B4609" t="s">
        <v>5293</v>
      </c>
      <c r="C4609" t="s">
        <v>113</v>
      </c>
      <c r="D4609">
        <v>-74.140874997909194</v>
      </c>
    </row>
    <row r="4610" spans="1:4" hidden="1" x14ac:dyDescent="0.3">
      <c r="A4610">
        <v>4608</v>
      </c>
      <c r="B4610" s="1" t="s">
        <v>5294</v>
      </c>
      <c r="C4610" t="s">
        <v>115</v>
      </c>
      <c r="D4610" s="1" t="s">
        <v>5295</v>
      </c>
    </row>
    <row r="4611" spans="1:4" hidden="1" x14ac:dyDescent="0.3">
      <c r="A4611">
        <v>4609</v>
      </c>
      <c r="B4611" t="s">
        <v>5296</v>
      </c>
      <c r="C4611" t="s">
        <v>118</v>
      </c>
      <c r="D4611">
        <v>80018025.310512796</v>
      </c>
    </row>
    <row r="4612" spans="1:4" hidden="1" x14ac:dyDescent="0.3">
      <c r="A4612">
        <v>4610</v>
      </c>
      <c r="B4612" t="s">
        <v>5297</v>
      </c>
      <c r="C4612" t="s">
        <v>120</v>
      </c>
      <c r="D4612">
        <v>35006733.520020403</v>
      </c>
    </row>
    <row r="4613" spans="1:4" hidden="1" x14ac:dyDescent="0.3">
      <c r="A4613">
        <v>4611</v>
      </c>
      <c r="B4613" s="1" t="s">
        <v>5298</v>
      </c>
      <c r="C4613" t="s">
        <v>122</v>
      </c>
      <c r="D4613" s="1" t="s">
        <v>5299</v>
      </c>
    </row>
    <row r="4614" spans="1:4" hidden="1" x14ac:dyDescent="0.3">
      <c r="A4614">
        <v>4612</v>
      </c>
      <c r="B4614" t="s">
        <v>5300</v>
      </c>
      <c r="C4614" t="s">
        <v>125</v>
      </c>
      <c r="D4614">
        <v>0.80019506822676501</v>
      </c>
    </row>
    <row r="4615" spans="1:4" hidden="1" x14ac:dyDescent="0.3">
      <c r="A4615">
        <v>4613</v>
      </c>
      <c r="B4615" t="s">
        <v>5301</v>
      </c>
      <c r="C4615" t="s">
        <v>127</v>
      </c>
      <c r="D4615">
        <v>0.35007381660252801</v>
      </c>
    </row>
    <row r="4616" spans="1:4" hidden="1" x14ac:dyDescent="0.3">
      <c r="A4616">
        <v>4614</v>
      </c>
      <c r="B4616" s="1" t="s">
        <v>5302</v>
      </c>
      <c r="C4616" t="s">
        <v>129</v>
      </c>
      <c r="D4616" s="1" t="s">
        <v>5303</v>
      </c>
    </row>
    <row r="4617" spans="1:4" ht="72" x14ac:dyDescent="0.3">
      <c r="A4617">
        <v>4615</v>
      </c>
      <c r="B4617" s="1" t="s">
        <v>3</v>
      </c>
      <c r="C4617" t="s">
        <v>4</v>
      </c>
      <c r="D4617" t="s">
        <v>5</v>
      </c>
    </row>
    <row r="4618" spans="1:4" hidden="1" x14ac:dyDescent="0.3">
      <c r="A4618">
        <v>4616</v>
      </c>
      <c r="B4618" t="s">
        <v>6</v>
      </c>
      <c r="C4618" t="s">
        <v>7</v>
      </c>
      <c r="D4618">
        <v>1981.95</v>
      </c>
    </row>
    <row r="4619" spans="1:4" hidden="1" x14ac:dyDescent="0.3">
      <c r="A4619">
        <v>4617</v>
      </c>
      <c r="B4619" s="1" t="s">
        <v>131</v>
      </c>
      <c r="C4619" t="s">
        <v>9</v>
      </c>
      <c r="D4619" s="1" t="s">
        <v>132</v>
      </c>
    </row>
    <row r="4620" spans="1:4" hidden="1" x14ac:dyDescent="0.3">
      <c r="A4620">
        <v>4618</v>
      </c>
      <c r="B4620" t="s">
        <v>13</v>
      </c>
      <c r="C4620" t="s">
        <v>14</v>
      </c>
      <c r="D4620">
        <v>91.74609375</v>
      </c>
    </row>
    <row r="4621" spans="1:4" hidden="1" x14ac:dyDescent="0.3">
      <c r="A4621">
        <v>4619</v>
      </c>
      <c r="B4621" t="s">
        <v>15</v>
      </c>
      <c r="C4621" t="s">
        <v>16</v>
      </c>
      <c r="D4621">
        <v>4.1883572307132804</v>
      </c>
    </row>
    <row r="4622" spans="1:4" hidden="1" x14ac:dyDescent="0.3">
      <c r="A4622">
        <v>4620</v>
      </c>
      <c r="B4622" s="1" t="s">
        <v>133</v>
      </c>
      <c r="C4622" t="s">
        <v>134</v>
      </c>
      <c r="D4622" s="1" t="s">
        <v>135</v>
      </c>
    </row>
    <row r="4623" spans="1:4" hidden="1" x14ac:dyDescent="0.3">
      <c r="A4623">
        <v>4621</v>
      </c>
      <c r="B4623" t="s">
        <v>21</v>
      </c>
      <c r="C4623" t="s">
        <v>22</v>
      </c>
      <c r="D4623">
        <v>38.25</v>
      </c>
    </row>
    <row r="4624" spans="1:4" hidden="1" x14ac:dyDescent="0.3">
      <c r="A4624">
        <v>4622</v>
      </c>
      <c r="B4624" t="s">
        <v>5304</v>
      </c>
      <c r="C4624" t="s">
        <v>24</v>
      </c>
      <c r="D4624">
        <v>5.5690779754156301</v>
      </c>
    </row>
    <row r="4625" spans="1:4" hidden="1" x14ac:dyDescent="0.3">
      <c r="A4625">
        <v>4623</v>
      </c>
      <c r="B4625" s="1" t="s">
        <v>5305</v>
      </c>
      <c r="C4625" t="s">
        <v>138</v>
      </c>
      <c r="D4625" s="1" t="s">
        <v>5306</v>
      </c>
    </row>
    <row r="4626" spans="1:4" hidden="1" x14ac:dyDescent="0.3">
      <c r="A4626">
        <v>4624</v>
      </c>
      <c r="B4626" t="s">
        <v>5307</v>
      </c>
      <c r="C4626" t="s">
        <v>35</v>
      </c>
      <c r="D4626">
        <v>0.54570836288404301</v>
      </c>
    </row>
    <row r="4627" spans="1:4" hidden="1" x14ac:dyDescent="0.3">
      <c r="A4627">
        <v>4625</v>
      </c>
      <c r="B4627" t="s">
        <v>5308</v>
      </c>
      <c r="C4627" t="s">
        <v>142</v>
      </c>
      <c r="D4627">
        <v>0.67951035625476996</v>
      </c>
    </row>
    <row r="4628" spans="1:4" hidden="1" x14ac:dyDescent="0.3">
      <c r="A4628">
        <v>4626</v>
      </c>
      <c r="B4628" s="1" t="s">
        <v>5309</v>
      </c>
      <c r="C4628" t="s">
        <v>144</v>
      </c>
      <c r="D4628" s="1" t="s">
        <v>5310</v>
      </c>
    </row>
    <row r="4629" spans="1:4" hidden="1" x14ac:dyDescent="0.3">
      <c r="A4629">
        <v>4627</v>
      </c>
      <c r="B4629" t="s">
        <v>5311</v>
      </c>
      <c r="C4629" t="s">
        <v>30</v>
      </c>
      <c r="D4629">
        <v>0.19271939803765301</v>
      </c>
    </row>
    <row r="4630" spans="1:4" hidden="1" x14ac:dyDescent="0.3">
      <c r="A4630">
        <v>4628</v>
      </c>
      <c r="B4630" t="s">
        <v>5312</v>
      </c>
      <c r="C4630" t="s">
        <v>32</v>
      </c>
      <c r="D4630">
        <v>0.25723130541052602</v>
      </c>
    </row>
    <row r="4631" spans="1:4" hidden="1" x14ac:dyDescent="0.3">
      <c r="A4631">
        <v>4629</v>
      </c>
      <c r="B4631" s="1" t="s">
        <v>5313</v>
      </c>
      <c r="C4631" t="s">
        <v>148</v>
      </c>
      <c r="D4631" s="1" t="s">
        <v>5314</v>
      </c>
    </row>
    <row r="4632" spans="1:4" hidden="1" x14ac:dyDescent="0.3">
      <c r="A4632">
        <v>4630</v>
      </c>
      <c r="B4632" t="s">
        <v>5315</v>
      </c>
      <c r="C4632" t="s">
        <v>40</v>
      </c>
      <c r="D4632">
        <v>0.26157223907830202</v>
      </c>
    </row>
    <row r="4633" spans="1:4" hidden="1" x14ac:dyDescent="0.3">
      <c r="A4633">
        <v>4631</v>
      </c>
      <c r="B4633" t="s">
        <v>5316</v>
      </c>
      <c r="C4633" t="s">
        <v>42</v>
      </c>
      <c r="D4633">
        <v>0.21441661105635201</v>
      </c>
    </row>
    <row r="4634" spans="1:4" hidden="1" x14ac:dyDescent="0.3">
      <c r="A4634">
        <v>4632</v>
      </c>
      <c r="B4634" s="1" t="s">
        <v>5317</v>
      </c>
      <c r="C4634" t="s">
        <v>152</v>
      </c>
      <c r="D4634" s="1" t="s">
        <v>5318</v>
      </c>
    </row>
    <row r="4635" spans="1:4" hidden="1" x14ac:dyDescent="0.3">
      <c r="A4635">
        <v>4633</v>
      </c>
      <c r="B4635" t="s">
        <v>153</v>
      </c>
      <c r="C4635" t="s">
        <v>154</v>
      </c>
      <c r="D4635">
        <v>1</v>
      </c>
    </row>
    <row r="4636" spans="1:4" hidden="1" x14ac:dyDescent="0.3">
      <c r="A4636">
        <v>4634</v>
      </c>
      <c r="B4636" t="s">
        <v>155</v>
      </c>
      <c r="C4636" t="s">
        <v>156</v>
      </c>
      <c r="D4636">
        <v>1</v>
      </c>
    </row>
    <row r="4637" spans="1:4" hidden="1" x14ac:dyDescent="0.3">
      <c r="A4637">
        <v>4635</v>
      </c>
      <c r="B4637" s="1" t="s">
        <v>5319</v>
      </c>
      <c r="C4637" t="s">
        <v>158</v>
      </c>
      <c r="D4637" s="1" t="s">
        <v>5320</v>
      </c>
    </row>
    <row r="4638" spans="1:4" hidden="1" x14ac:dyDescent="0.3">
      <c r="A4638">
        <v>4636</v>
      </c>
      <c r="B4638" t="s">
        <v>5321</v>
      </c>
      <c r="C4638" t="s">
        <v>161</v>
      </c>
      <c r="D4638">
        <v>0.99993901752115999</v>
      </c>
    </row>
    <row r="4639" spans="1:4" hidden="1" x14ac:dyDescent="0.3">
      <c r="A4639">
        <v>4637</v>
      </c>
      <c r="B4639" t="s">
        <v>5322</v>
      </c>
      <c r="C4639" t="s">
        <v>163</v>
      </c>
      <c r="D4639">
        <v>0.999913945185399</v>
      </c>
    </row>
    <row r="4640" spans="1:4" hidden="1" x14ac:dyDescent="0.3">
      <c r="A4640">
        <v>4638</v>
      </c>
      <c r="B4640" s="1" t="s">
        <v>5323</v>
      </c>
      <c r="C4640" t="s">
        <v>165</v>
      </c>
      <c r="D4640" s="1" t="s">
        <v>5324</v>
      </c>
    </row>
    <row r="4641" spans="1:4" hidden="1" x14ac:dyDescent="0.3">
      <c r="A4641">
        <v>4639</v>
      </c>
      <c r="B4641" s="1" t="s">
        <v>5325</v>
      </c>
      <c r="C4641" t="s">
        <v>55</v>
      </c>
      <c r="D4641" s="1" t="s">
        <v>5326</v>
      </c>
    </row>
    <row r="4642" spans="1:4" hidden="1" x14ac:dyDescent="0.3">
      <c r="A4642">
        <v>4640</v>
      </c>
      <c r="B4642" s="1" t="s">
        <v>5327</v>
      </c>
      <c r="C4642" t="s">
        <v>52</v>
      </c>
      <c r="D4642" s="1" t="s">
        <v>5328</v>
      </c>
    </row>
    <row r="4643" spans="1:4" hidden="1" x14ac:dyDescent="0.3">
      <c r="A4643">
        <v>4641</v>
      </c>
      <c r="B4643" s="1" t="s">
        <v>5329</v>
      </c>
      <c r="C4643" t="s">
        <v>58</v>
      </c>
      <c r="D4643" s="1" t="s">
        <v>5330</v>
      </c>
    </row>
    <row r="4644" spans="1:4" hidden="1" x14ac:dyDescent="0.3">
      <c r="A4644">
        <v>4642</v>
      </c>
      <c r="B4644" t="s">
        <v>5331</v>
      </c>
      <c r="C4644" t="s">
        <v>60</v>
      </c>
      <c r="D4644">
        <v>149820314.94624299</v>
      </c>
    </row>
    <row r="4645" spans="1:4" hidden="1" x14ac:dyDescent="0.3">
      <c r="A4645">
        <v>4643</v>
      </c>
      <c r="B4645" t="s">
        <v>5332</v>
      </c>
      <c r="C4645" t="s">
        <v>62</v>
      </c>
      <c r="D4645">
        <v>80018025.310512796</v>
      </c>
    </row>
    <row r="4646" spans="1:4" hidden="1" x14ac:dyDescent="0.3">
      <c r="A4646">
        <v>4644</v>
      </c>
      <c r="B4646" t="s">
        <v>5333</v>
      </c>
      <c r="C4646" t="s">
        <v>64</v>
      </c>
      <c r="D4646">
        <v>35006733.520020403</v>
      </c>
    </row>
    <row r="4647" spans="1:4" hidden="1" x14ac:dyDescent="0.3">
      <c r="A4647">
        <v>4645</v>
      </c>
      <c r="B4647" s="1" t="s">
        <v>5334</v>
      </c>
      <c r="C4647" t="s">
        <v>66</v>
      </c>
      <c r="D4647" s="1" t="s">
        <v>5335</v>
      </c>
    </row>
    <row r="4648" spans="1:4" hidden="1" x14ac:dyDescent="0.3">
      <c r="A4648">
        <v>4646</v>
      </c>
      <c r="B4648" s="1" t="s">
        <v>5336</v>
      </c>
      <c r="C4648" t="s">
        <v>69</v>
      </c>
      <c r="D4648" s="1" t="s">
        <v>5337</v>
      </c>
    </row>
    <row r="4649" spans="1:4" hidden="1" x14ac:dyDescent="0.3">
      <c r="A4649">
        <v>4647</v>
      </c>
      <c r="B4649" t="s">
        <v>5338</v>
      </c>
      <c r="C4649" t="s">
        <v>72</v>
      </c>
      <c r="D4649">
        <v>1.0001450154176299</v>
      </c>
    </row>
    <row r="4650" spans="1:4" hidden="1" x14ac:dyDescent="0.3">
      <c r="A4650">
        <v>4648</v>
      </c>
      <c r="B4650" t="s">
        <v>73</v>
      </c>
      <c r="C4650" t="s">
        <v>74</v>
      </c>
      <c r="D4650">
        <v>2.7397260273972599E-3</v>
      </c>
    </row>
    <row r="4651" spans="1:4" hidden="1" x14ac:dyDescent="0.3">
      <c r="A4651">
        <v>4649</v>
      </c>
      <c r="B4651" t="s">
        <v>75</v>
      </c>
      <c r="C4651" t="s">
        <v>76</v>
      </c>
      <c r="D4651">
        <v>0</v>
      </c>
    </row>
    <row r="4652" spans="1:4" hidden="1" x14ac:dyDescent="0.3">
      <c r="A4652">
        <v>4650</v>
      </c>
      <c r="B4652" t="s">
        <v>77</v>
      </c>
      <c r="C4652" t="s">
        <v>78</v>
      </c>
      <c r="D4652">
        <v>0</v>
      </c>
    </row>
    <row r="4653" spans="1:4" hidden="1" x14ac:dyDescent="0.3">
      <c r="A4653">
        <v>4651</v>
      </c>
      <c r="B4653" s="1" t="s">
        <v>5339</v>
      </c>
      <c r="C4653" t="s">
        <v>80</v>
      </c>
      <c r="D4653" s="1" t="s">
        <v>5340</v>
      </c>
    </row>
    <row r="4654" spans="1:4" hidden="1" x14ac:dyDescent="0.3">
      <c r="A4654">
        <v>4652</v>
      </c>
      <c r="B4654" t="s">
        <v>5341</v>
      </c>
      <c r="C4654" t="s">
        <v>83</v>
      </c>
      <c r="D4654">
        <v>1.00017779815856</v>
      </c>
    </row>
    <row r="4655" spans="1:4" hidden="1" x14ac:dyDescent="0.3">
      <c r="A4655">
        <v>4653</v>
      </c>
      <c r="B4655" s="1" t="s">
        <v>5342</v>
      </c>
      <c r="C4655" t="s">
        <v>85</v>
      </c>
      <c r="D4655" s="1" t="s">
        <v>5343</v>
      </c>
    </row>
    <row r="4656" spans="1:4" hidden="1" x14ac:dyDescent="0.3">
      <c r="A4656">
        <v>4654</v>
      </c>
      <c r="B4656" t="s">
        <v>5344</v>
      </c>
      <c r="C4656" t="s">
        <v>88</v>
      </c>
      <c r="D4656">
        <v>99982223.344799593</v>
      </c>
    </row>
    <row r="4657" spans="1:4" hidden="1" x14ac:dyDescent="0.3">
      <c r="A4657">
        <v>4655</v>
      </c>
      <c r="B4657" s="1" t="s">
        <v>5345</v>
      </c>
      <c r="C4657" t="s">
        <v>90</v>
      </c>
      <c r="D4657" s="1" t="s">
        <v>5291</v>
      </c>
    </row>
    <row r="4658" spans="1:4" hidden="1" x14ac:dyDescent="0.3">
      <c r="A4658">
        <v>4656</v>
      </c>
      <c r="B4658" t="s">
        <v>5346</v>
      </c>
      <c r="C4658" t="s">
        <v>93</v>
      </c>
      <c r="D4658">
        <v>80018025.310512796</v>
      </c>
    </row>
    <row r="4659" spans="1:4" hidden="1" x14ac:dyDescent="0.3">
      <c r="A4659">
        <v>4657</v>
      </c>
      <c r="B4659" t="s">
        <v>5347</v>
      </c>
      <c r="C4659" t="s">
        <v>95</v>
      </c>
      <c r="D4659">
        <v>35006733.520020403</v>
      </c>
    </row>
    <row r="4660" spans="1:4" hidden="1" x14ac:dyDescent="0.3">
      <c r="A4660">
        <v>4658</v>
      </c>
      <c r="B4660" t="s">
        <v>5348</v>
      </c>
      <c r="C4660" t="s">
        <v>97</v>
      </c>
      <c r="D4660">
        <v>34795556.1157097</v>
      </c>
    </row>
    <row r="4661" spans="1:4" hidden="1" x14ac:dyDescent="0.3">
      <c r="A4661">
        <v>4659</v>
      </c>
      <c r="B4661" s="1" t="s">
        <v>5349</v>
      </c>
      <c r="C4661" t="s">
        <v>99</v>
      </c>
      <c r="D4661" s="1" t="s">
        <v>5350</v>
      </c>
    </row>
    <row r="4662" spans="1:4" hidden="1" x14ac:dyDescent="0.3">
      <c r="A4662">
        <v>4660</v>
      </c>
      <c r="B4662" t="s">
        <v>5351</v>
      </c>
      <c r="C4662" t="s">
        <v>102</v>
      </c>
      <c r="D4662">
        <v>8.0011417817073792E-3</v>
      </c>
    </row>
    <row r="4663" spans="1:4" hidden="1" x14ac:dyDescent="0.3">
      <c r="A4663">
        <v>4661</v>
      </c>
      <c r="B4663" t="s">
        <v>5352</v>
      </c>
      <c r="C4663" t="s">
        <v>104</v>
      </c>
      <c r="D4663">
        <v>1.68206542807145E-3</v>
      </c>
    </row>
    <row r="4664" spans="1:4" hidden="1" x14ac:dyDescent="0.3">
      <c r="A4664">
        <v>4662</v>
      </c>
      <c r="B4664" t="s">
        <v>5353</v>
      </c>
      <c r="C4664" t="s">
        <v>106</v>
      </c>
      <c r="D4664">
        <v>2.23725633853297E-2</v>
      </c>
    </row>
    <row r="4665" spans="1:4" hidden="1" x14ac:dyDescent="0.3">
      <c r="A4665">
        <v>4663</v>
      </c>
      <c r="B4665" s="1" t="s">
        <v>5354</v>
      </c>
      <c r="C4665" t="s">
        <v>108</v>
      </c>
      <c r="D4665" s="1" t="s">
        <v>5355</v>
      </c>
    </row>
    <row r="4666" spans="1:4" hidden="1" x14ac:dyDescent="0.3">
      <c r="A4666">
        <v>4664</v>
      </c>
      <c r="B4666" t="s">
        <v>5356</v>
      </c>
      <c r="C4666" t="s">
        <v>196</v>
      </c>
      <c r="D4666">
        <v>149821443.89309201</v>
      </c>
    </row>
    <row r="4667" spans="1:4" hidden="1" x14ac:dyDescent="0.3">
      <c r="A4667">
        <v>4665</v>
      </c>
      <c r="B4667" t="s">
        <v>5357</v>
      </c>
      <c r="C4667" t="s">
        <v>198</v>
      </c>
      <c r="D4667">
        <v>-2622.8569863881598</v>
      </c>
    </row>
    <row r="4668" spans="1:4" hidden="1" x14ac:dyDescent="0.3">
      <c r="A4668">
        <v>4666</v>
      </c>
      <c r="B4668" t="s">
        <v>5358</v>
      </c>
      <c r="C4668" t="s">
        <v>200</v>
      </c>
      <c r="D4668">
        <v>-1147.45434572983</v>
      </c>
    </row>
    <row r="4669" spans="1:4" hidden="1" x14ac:dyDescent="0.3">
      <c r="A4669">
        <v>4667</v>
      </c>
      <c r="B4669" s="1" t="s">
        <v>5359</v>
      </c>
      <c r="C4669" t="s">
        <v>202</v>
      </c>
      <c r="D4669" s="1" t="s">
        <v>5360</v>
      </c>
    </row>
    <row r="4670" spans="1:4" hidden="1" x14ac:dyDescent="0.3">
      <c r="A4670">
        <v>4668</v>
      </c>
      <c r="B4670" t="s">
        <v>5361</v>
      </c>
      <c r="C4670" t="s">
        <v>205</v>
      </c>
      <c r="D4670">
        <v>80021476.263341293</v>
      </c>
    </row>
    <row r="4671" spans="1:4" hidden="1" x14ac:dyDescent="0.3">
      <c r="A4671">
        <v>4669</v>
      </c>
      <c r="B4671" t="s">
        <v>5362</v>
      </c>
      <c r="C4671" t="s">
        <v>207</v>
      </c>
      <c r="D4671">
        <v>35008005.074851997</v>
      </c>
    </row>
    <row r="4672" spans="1:4" hidden="1" x14ac:dyDescent="0.3">
      <c r="A4672">
        <v>4670</v>
      </c>
      <c r="B4672" t="s">
        <v>5363</v>
      </c>
      <c r="C4672" t="s">
        <v>209</v>
      </c>
      <c r="D4672">
        <v>34796873.400332801</v>
      </c>
    </row>
    <row r="4673" spans="1:4" hidden="1" x14ac:dyDescent="0.3">
      <c r="A4673">
        <v>4671</v>
      </c>
      <c r="B4673" s="1" t="s">
        <v>5364</v>
      </c>
      <c r="C4673" t="s">
        <v>211</v>
      </c>
      <c r="D4673" s="1" t="s">
        <v>5365</v>
      </c>
    </row>
    <row r="4674" spans="1:4" hidden="1" x14ac:dyDescent="0.3">
      <c r="A4674">
        <v>4672</v>
      </c>
      <c r="B4674" t="s">
        <v>5366</v>
      </c>
      <c r="C4674" t="s">
        <v>214</v>
      </c>
      <c r="D4674">
        <v>99985500.560878694</v>
      </c>
    </row>
    <row r="4675" spans="1:4" hidden="1" x14ac:dyDescent="0.3">
      <c r="A4675">
        <v>4673</v>
      </c>
      <c r="B4675" t="s">
        <v>5367</v>
      </c>
      <c r="C4675" t="s">
        <v>216</v>
      </c>
      <c r="D4675">
        <v>-3277.2160791009601</v>
      </c>
    </row>
    <row r="4676" spans="1:4" hidden="1" x14ac:dyDescent="0.3">
      <c r="A4676">
        <v>4674</v>
      </c>
      <c r="B4676" s="1" t="s">
        <v>5368</v>
      </c>
      <c r="C4676" t="s">
        <v>218</v>
      </c>
      <c r="D4676" s="1" t="s">
        <v>5369</v>
      </c>
    </row>
    <row r="4677" spans="1:4" hidden="1" x14ac:dyDescent="0.3">
      <c r="A4677">
        <v>4675</v>
      </c>
      <c r="B4677" t="s">
        <v>5370</v>
      </c>
      <c r="C4677" t="s">
        <v>111</v>
      </c>
      <c r="D4677">
        <v>828.09584211497395</v>
      </c>
    </row>
    <row r="4678" spans="1:4" hidden="1" x14ac:dyDescent="0.3">
      <c r="A4678">
        <v>4676</v>
      </c>
      <c r="B4678" t="s">
        <v>5371</v>
      </c>
      <c r="C4678" t="s">
        <v>113</v>
      </c>
      <c r="D4678">
        <v>124.100485820635</v>
      </c>
    </row>
    <row r="4679" spans="1:4" hidden="1" x14ac:dyDescent="0.3">
      <c r="A4679">
        <v>4677</v>
      </c>
      <c r="B4679" s="1" t="s">
        <v>5372</v>
      </c>
      <c r="C4679" t="s">
        <v>115</v>
      </c>
      <c r="D4679" s="1" t="s">
        <v>5373</v>
      </c>
    </row>
    <row r="4680" spans="1:4" hidden="1" x14ac:dyDescent="0.3">
      <c r="A4680">
        <v>4678</v>
      </c>
      <c r="B4680" t="s">
        <v>5374</v>
      </c>
      <c r="C4680" t="s">
        <v>118</v>
      </c>
      <c r="D4680">
        <v>80021476.263341293</v>
      </c>
    </row>
    <row r="4681" spans="1:4" hidden="1" x14ac:dyDescent="0.3">
      <c r="A4681">
        <v>4679</v>
      </c>
      <c r="B4681" t="s">
        <v>5375</v>
      </c>
      <c r="C4681" t="s">
        <v>120</v>
      </c>
      <c r="D4681">
        <v>35008005.074851997</v>
      </c>
    </row>
    <row r="4682" spans="1:4" hidden="1" x14ac:dyDescent="0.3">
      <c r="A4682">
        <v>4680</v>
      </c>
      <c r="B4682" s="1" t="s">
        <v>5376</v>
      </c>
      <c r="C4682" t="s">
        <v>122</v>
      </c>
      <c r="D4682" s="1" t="s">
        <v>5377</v>
      </c>
    </row>
    <row r="4683" spans="1:4" hidden="1" x14ac:dyDescent="0.3">
      <c r="A4683">
        <v>4681</v>
      </c>
      <c r="B4683" t="s">
        <v>5378</v>
      </c>
      <c r="C4683" t="s">
        <v>125</v>
      </c>
      <c r="D4683">
        <v>0.80018853406354895</v>
      </c>
    </row>
    <row r="4684" spans="1:4" hidden="1" x14ac:dyDescent="0.3">
      <c r="A4684">
        <v>4682</v>
      </c>
      <c r="B4684" t="s">
        <v>5379</v>
      </c>
      <c r="C4684" t="s">
        <v>127</v>
      </c>
      <c r="D4684">
        <v>0.35006857620506199</v>
      </c>
    </row>
    <row r="4685" spans="1:4" hidden="1" x14ac:dyDescent="0.3">
      <c r="A4685">
        <v>4683</v>
      </c>
      <c r="B4685" s="1" t="s">
        <v>5380</v>
      </c>
      <c r="C4685" t="s">
        <v>129</v>
      </c>
      <c r="D4685" s="1" t="s">
        <v>5381</v>
      </c>
    </row>
    <row r="4686" spans="1:4" ht="72" x14ac:dyDescent="0.3">
      <c r="A4686">
        <v>4684</v>
      </c>
      <c r="B4686" s="1" t="s">
        <v>3</v>
      </c>
      <c r="C4686" t="s">
        <v>4</v>
      </c>
      <c r="D4686" t="s">
        <v>5</v>
      </c>
    </row>
    <row r="4687" spans="1:4" hidden="1" x14ac:dyDescent="0.3">
      <c r="A4687">
        <v>4685</v>
      </c>
      <c r="B4687" t="s">
        <v>6</v>
      </c>
      <c r="C4687" t="s">
        <v>7</v>
      </c>
      <c r="D4687">
        <v>1981.95</v>
      </c>
    </row>
    <row r="4688" spans="1:4" hidden="1" x14ac:dyDescent="0.3">
      <c r="A4688">
        <v>4686</v>
      </c>
      <c r="B4688" s="1" t="s">
        <v>131</v>
      </c>
      <c r="C4688" t="s">
        <v>9</v>
      </c>
      <c r="D4688" s="1" t="s">
        <v>132</v>
      </c>
    </row>
    <row r="4689" spans="1:4" hidden="1" x14ac:dyDescent="0.3">
      <c r="A4689">
        <v>4687</v>
      </c>
      <c r="B4689" t="s">
        <v>13</v>
      </c>
      <c r="C4689" t="s">
        <v>14</v>
      </c>
      <c r="D4689">
        <v>91.74609375</v>
      </c>
    </row>
    <row r="4690" spans="1:4" hidden="1" x14ac:dyDescent="0.3">
      <c r="A4690">
        <v>4688</v>
      </c>
      <c r="B4690" t="s">
        <v>15</v>
      </c>
      <c r="C4690" t="s">
        <v>16</v>
      </c>
      <c r="D4690">
        <v>4.1883572307132804</v>
      </c>
    </row>
    <row r="4691" spans="1:4" hidden="1" x14ac:dyDescent="0.3">
      <c r="A4691">
        <v>4689</v>
      </c>
      <c r="B4691" s="1" t="s">
        <v>133</v>
      </c>
      <c r="C4691" t="s">
        <v>134</v>
      </c>
      <c r="D4691" s="1" t="s">
        <v>135</v>
      </c>
    </row>
    <row r="4692" spans="1:4" hidden="1" x14ac:dyDescent="0.3">
      <c r="A4692">
        <v>4690</v>
      </c>
      <c r="B4692" t="s">
        <v>21</v>
      </c>
      <c r="C4692" t="s">
        <v>22</v>
      </c>
      <c r="D4692">
        <v>38.25</v>
      </c>
    </row>
    <row r="4693" spans="1:4" hidden="1" x14ac:dyDescent="0.3">
      <c r="A4693">
        <v>4691</v>
      </c>
      <c r="B4693" t="s">
        <v>5382</v>
      </c>
      <c r="C4693" t="s">
        <v>24</v>
      </c>
      <c r="D4693">
        <v>5.5468035331719303</v>
      </c>
    </row>
    <row r="4694" spans="1:4" hidden="1" x14ac:dyDescent="0.3">
      <c r="A4694">
        <v>4692</v>
      </c>
      <c r="B4694" s="1" t="s">
        <v>5383</v>
      </c>
      <c r="C4694" t="s">
        <v>138</v>
      </c>
      <c r="D4694" s="1" t="s">
        <v>5384</v>
      </c>
    </row>
    <row r="4695" spans="1:4" hidden="1" x14ac:dyDescent="0.3">
      <c r="A4695">
        <v>4693</v>
      </c>
      <c r="B4695" t="s">
        <v>5385</v>
      </c>
      <c r="C4695" t="s">
        <v>35</v>
      </c>
      <c r="D4695">
        <v>0.54764394788660198</v>
      </c>
    </row>
    <row r="4696" spans="1:4" hidden="1" x14ac:dyDescent="0.3">
      <c r="A4696">
        <v>4694</v>
      </c>
      <c r="B4696" t="s">
        <v>5386</v>
      </c>
      <c r="C4696" t="s">
        <v>142</v>
      </c>
      <c r="D4696">
        <v>0.680256235043177</v>
      </c>
    </row>
    <row r="4697" spans="1:4" hidden="1" x14ac:dyDescent="0.3">
      <c r="A4697">
        <v>4695</v>
      </c>
      <c r="B4697" s="1" t="s">
        <v>5387</v>
      </c>
      <c r="C4697" t="s">
        <v>144</v>
      </c>
      <c r="D4697" s="1" t="s">
        <v>5388</v>
      </c>
    </row>
    <row r="4698" spans="1:4" hidden="1" x14ac:dyDescent="0.3">
      <c r="A4698">
        <v>4696</v>
      </c>
      <c r="B4698" t="s">
        <v>5389</v>
      </c>
      <c r="C4698" t="s">
        <v>30</v>
      </c>
      <c r="D4698">
        <v>0.19340295871202601</v>
      </c>
    </row>
    <row r="4699" spans="1:4" hidden="1" x14ac:dyDescent="0.3">
      <c r="A4699">
        <v>4697</v>
      </c>
      <c r="B4699" t="s">
        <v>5390</v>
      </c>
      <c r="C4699" t="s">
        <v>32</v>
      </c>
      <c r="D4699">
        <v>0.255766968092208</v>
      </c>
    </row>
    <row r="4700" spans="1:4" hidden="1" x14ac:dyDescent="0.3">
      <c r="A4700">
        <v>4698</v>
      </c>
      <c r="B4700" s="1" t="s">
        <v>5391</v>
      </c>
      <c r="C4700" t="s">
        <v>148</v>
      </c>
      <c r="D4700" s="1" t="s">
        <v>5392</v>
      </c>
    </row>
    <row r="4701" spans="1:4" hidden="1" x14ac:dyDescent="0.3">
      <c r="A4701">
        <v>4699</v>
      </c>
      <c r="B4701" t="s">
        <v>5393</v>
      </c>
      <c r="C4701" t="s">
        <v>40</v>
      </c>
      <c r="D4701">
        <v>0.25895309340137002</v>
      </c>
    </row>
    <row r="4702" spans="1:4" hidden="1" x14ac:dyDescent="0.3">
      <c r="A4702">
        <v>4700</v>
      </c>
      <c r="B4702" t="s">
        <v>5394</v>
      </c>
      <c r="C4702" t="s">
        <v>42</v>
      </c>
      <c r="D4702">
        <v>0.214267334403419</v>
      </c>
    </row>
    <row r="4703" spans="1:4" hidden="1" x14ac:dyDescent="0.3">
      <c r="A4703">
        <v>4701</v>
      </c>
      <c r="B4703" s="1" t="s">
        <v>5395</v>
      </c>
      <c r="C4703" t="s">
        <v>152</v>
      </c>
      <c r="D4703" s="1" t="s">
        <v>5396</v>
      </c>
    </row>
    <row r="4704" spans="1:4" hidden="1" x14ac:dyDescent="0.3">
      <c r="A4704">
        <v>4702</v>
      </c>
      <c r="B4704" t="s">
        <v>153</v>
      </c>
      <c r="C4704" t="s">
        <v>154</v>
      </c>
      <c r="D4704">
        <v>1</v>
      </c>
    </row>
    <row r="4705" spans="1:4" hidden="1" x14ac:dyDescent="0.3">
      <c r="A4705">
        <v>4703</v>
      </c>
      <c r="B4705" t="s">
        <v>155</v>
      </c>
      <c r="C4705" t="s">
        <v>156</v>
      </c>
      <c r="D4705">
        <v>1</v>
      </c>
    </row>
    <row r="4706" spans="1:4" hidden="1" x14ac:dyDescent="0.3">
      <c r="A4706">
        <v>4704</v>
      </c>
      <c r="B4706" s="1" t="s">
        <v>5397</v>
      </c>
      <c r="C4706" t="s">
        <v>158</v>
      </c>
      <c r="D4706" s="1" t="s">
        <v>5398</v>
      </c>
    </row>
    <row r="4707" spans="1:4" hidden="1" x14ac:dyDescent="0.3">
      <c r="A4707">
        <v>4705</v>
      </c>
      <c r="B4707" t="s">
        <v>5399</v>
      </c>
      <c r="C4707" t="s">
        <v>161</v>
      </c>
      <c r="D4707">
        <v>1.00044410490571</v>
      </c>
    </row>
    <row r="4708" spans="1:4" hidden="1" x14ac:dyDescent="0.3">
      <c r="A4708">
        <v>4706</v>
      </c>
      <c r="B4708" t="s">
        <v>5400</v>
      </c>
      <c r="C4708" t="s">
        <v>163</v>
      </c>
      <c r="D4708">
        <v>0.99883526817060897</v>
      </c>
    </row>
    <row r="4709" spans="1:4" hidden="1" x14ac:dyDescent="0.3">
      <c r="A4709">
        <v>4707</v>
      </c>
      <c r="B4709" s="1" t="s">
        <v>5401</v>
      </c>
      <c r="C4709" t="s">
        <v>165</v>
      </c>
      <c r="D4709" s="1" t="s">
        <v>5402</v>
      </c>
    </row>
    <row r="4710" spans="1:4" hidden="1" x14ac:dyDescent="0.3">
      <c r="A4710">
        <v>4708</v>
      </c>
      <c r="B4710" s="1" t="s">
        <v>5403</v>
      </c>
      <c r="C4710" t="s">
        <v>55</v>
      </c>
      <c r="D4710" s="1" t="s">
        <v>5404</v>
      </c>
    </row>
    <row r="4711" spans="1:4" hidden="1" x14ac:dyDescent="0.3">
      <c r="A4711">
        <v>4709</v>
      </c>
      <c r="B4711" s="1" t="s">
        <v>5405</v>
      </c>
      <c r="C4711" t="s">
        <v>52</v>
      </c>
      <c r="D4711" s="1" t="s">
        <v>5406</v>
      </c>
    </row>
    <row r="4712" spans="1:4" hidden="1" x14ac:dyDescent="0.3">
      <c r="A4712">
        <v>4710</v>
      </c>
      <c r="B4712" s="1" t="s">
        <v>5407</v>
      </c>
      <c r="C4712" t="s">
        <v>58</v>
      </c>
      <c r="D4712" s="1" t="s">
        <v>5408</v>
      </c>
    </row>
    <row r="4713" spans="1:4" hidden="1" x14ac:dyDescent="0.3">
      <c r="A4713">
        <v>4711</v>
      </c>
      <c r="B4713" t="s">
        <v>5409</v>
      </c>
      <c r="C4713" t="s">
        <v>60</v>
      </c>
      <c r="D4713">
        <v>149808666.530954</v>
      </c>
    </row>
    <row r="4714" spans="1:4" hidden="1" x14ac:dyDescent="0.3">
      <c r="A4714">
        <v>4712</v>
      </c>
      <c r="B4714" t="s">
        <v>5410</v>
      </c>
      <c r="C4714" t="s">
        <v>62</v>
      </c>
      <c r="D4714">
        <v>80021476.263341293</v>
      </c>
    </row>
    <row r="4715" spans="1:4" hidden="1" x14ac:dyDescent="0.3">
      <c r="A4715">
        <v>4713</v>
      </c>
      <c r="B4715" t="s">
        <v>5411</v>
      </c>
      <c r="C4715" t="s">
        <v>64</v>
      </c>
      <c r="D4715">
        <v>35008005.074851997</v>
      </c>
    </row>
    <row r="4716" spans="1:4" hidden="1" x14ac:dyDescent="0.3">
      <c r="A4716">
        <v>4714</v>
      </c>
      <c r="B4716" s="1" t="s">
        <v>5412</v>
      </c>
      <c r="C4716" t="s">
        <v>66</v>
      </c>
      <c r="D4716" s="1" t="s">
        <v>5413</v>
      </c>
    </row>
    <row r="4717" spans="1:4" hidden="1" x14ac:dyDescent="0.3">
      <c r="A4717">
        <v>4715</v>
      </c>
      <c r="B4717" s="1" t="s">
        <v>5414</v>
      </c>
      <c r="C4717" t="s">
        <v>69</v>
      </c>
      <c r="D4717" s="1" t="s">
        <v>5415</v>
      </c>
    </row>
    <row r="4718" spans="1:4" hidden="1" x14ac:dyDescent="0.3">
      <c r="A4718">
        <v>4716</v>
      </c>
      <c r="B4718" t="s">
        <v>5416</v>
      </c>
      <c r="C4718" t="s">
        <v>72</v>
      </c>
      <c r="D4718">
        <v>1.00017779815856</v>
      </c>
    </row>
    <row r="4719" spans="1:4" hidden="1" x14ac:dyDescent="0.3">
      <c r="A4719">
        <v>4717</v>
      </c>
      <c r="B4719" t="s">
        <v>73</v>
      </c>
      <c r="C4719" t="s">
        <v>74</v>
      </c>
      <c r="D4719">
        <v>2.7397260273972599E-3</v>
      </c>
    </row>
    <row r="4720" spans="1:4" hidden="1" x14ac:dyDescent="0.3">
      <c r="A4720">
        <v>4718</v>
      </c>
      <c r="B4720" t="s">
        <v>75</v>
      </c>
      <c r="C4720" t="s">
        <v>76</v>
      </c>
      <c r="D4720">
        <v>0</v>
      </c>
    </row>
    <row r="4721" spans="1:4" hidden="1" x14ac:dyDescent="0.3">
      <c r="A4721">
        <v>4719</v>
      </c>
      <c r="B4721" t="s">
        <v>77</v>
      </c>
      <c r="C4721" t="s">
        <v>78</v>
      </c>
      <c r="D4721">
        <v>0</v>
      </c>
    </row>
    <row r="4722" spans="1:4" hidden="1" x14ac:dyDescent="0.3">
      <c r="A4722">
        <v>4720</v>
      </c>
      <c r="B4722" s="1" t="s">
        <v>5417</v>
      </c>
      <c r="C4722" t="s">
        <v>80</v>
      </c>
      <c r="D4722" s="1" t="s">
        <v>5418</v>
      </c>
    </row>
    <row r="4723" spans="1:4" hidden="1" x14ac:dyDescent="0.3">
      <c r="A4723">
        <v>4721</v>
      </c>
      <c r="B4723" t="s">
        <v>5419</v>
      </c>
      <c r="C4723" t="s">
        <v>83</v>
      </c>
      <c r="D4723">
        <v>1.0001668035782501</v>
      </c>
    </row>
    <row r="4724" spans="1:4" hidden="1" x14ac:dyDescent="0.3">
      <c r="A4724">
        <v>4722</v>
      </c>
      <c r="B4724" s="1" t="s">
        <v>5420</v>
      </c>
      <c r="C4724" t="s">
        <v>85</v>
      </c>
      <c r="D4724" s="1" t="s">
        <v>5421</v>
      </c>
    </row>
    <row r="4725" spans="1:4" hidden="1" x14ac:dyDescent="0.3">
      <c r="A4725">
        <v>4723</v>
      </c>
      <c r="B4725" t="s">
        <v>5422</v>
      </c>
      <c r="C4725" t="s">
        <v>88</v>
      </c>
      <c r="D4725">
        <v>99983322.424054205</v>
      </c>
    </row>
    <row r="4726" spans="1:4" hidden="1" x14ac:dyDescent="0.3">
      <c r="A4726">
        <v>4724</v>
      </c>
      <c r="B4726" s="1" t="s">
        <v>5423</v>
      </c>
      <c r="C4726" t="s">
        <v>90</v>
      </c>
      <c r="D4726" s="1" t="s">
        <v>5369</v>
      </c>
    </row>
    <row r="4727" spans="1:4" hidden="1" x14ac:dyDescent="0.3">
      <c r="A4727">
        <v>4725</v>
      </c>
      <c r="B4727" t="s">
        <v>5424</v>
      </c>
      <c r="C4727" t="s">
        <v>93</v>
      </c>
      <c r="D4727">
        <v>80021476.263341293</v>
      </c>
    </row>
    <row r="4728" spans="1:4" hidden="1" x14ac:dyDescent="0.3">
      <c r="A4728">
        <v>4726</v>
      </c>
      <c r="B4728" t="s">
        <v>5425</v>
      </c>
      <c r="C4728" t="s">
        <v>95</v>
      </c>
      <c r="D4728">
        <v>35008005.074851997</v>
      </c>
    </row>
    <row r="4729" spans="1:4" hidden="1" x14ac:dyDescent="0.3">
      <c r="A4729">
        <v>4727</v>
      </c>
      <c r="B4729" t="s">
        <v>5426</v>
      </c>
      <c r="C4729" t="s">
        <v>97</v>
      </c>
      <c r="D4729">
        <v>34779185.192761399</v>
      </c>
    </row>
    <row r="4730" spans="1:4" hidden="1" x14ac:dyDescent="0.3">
      <c r="A4730">
        <v>4728</v>
      </c>
      <c r="B4730" s="1" t="s">
        <v>5427</v>
      </c>
      <c r="C4730" t="s">
        <v>99</v>
      </c>
      <c r="D4730" s="1" t="s">
        <v>5428</v>
      </c>
    </row>
    <row r="4731" spans="1:4" hidden="1" x14ac:dyDescent="0.3">
      <c r="A4731">
        <v>4729</v>
      </c>
      <c r="B4731" t="s">
        <v>5429</v>
      </c>
      <c r="C4731" t="s">
        <v>102</v>
      </c>
      <c r="D4731">
        <v>8.1241956011486906E-3</v>
      </c>
    </row>
    <row r="4732" spans="1:4" hidden="1" x14ac:dyDescent="0.3">
      <c r="A4732">
        <v>4730</v>
      </c>
      <c r="B4732" t="s">
        <v>5430</v>
      </c>
      <c r="C4732" t="s">
        <v>104</v>
      </c>
      <c r="D4732">
        <v>1.68822650716576E-3</v>
      </c>
    </row>
    <row r="4733" spans="1:4" hidden="1" x14ac:dyDescent="0.3">
      <c r="A4733">
        <v>4731</v>
      </c>
      <c r="B4733" t="s">
        <v>5431</v>
      </c>
      <c r="C4733" t="s">
        <v>106</v>
      </c>
      <c r="D4733">
        <v>2.26483125024621E-2</v>
      </c>
    </row>
    <row r="4734" spans="1:4" hidden="1" x14ac:dyDescent="0.3">
      <c r="A4734">
        <v>4732</v>
      </c>
      <c r="B4734" s="1" t="s">
        <v>5432</v>
      </c>
      <c r="C4734" t="s">
        <v>108</v>
      </c>
      <c r="D4734" s="1" t="s">
        <v>5433</v>
      </c>
    </row>
    <row r="4735" spans="1:4" hidden="1" x14ac:dyDescent="0.3">
      <c r="A4735">
        <v>4733</v>
      </c>
      <c r="B4735" t="s">
        <v>5434</v>
      </c>
      <c r="C4735" t="s">
        <v>196</v>
      </c>
      <c r="D4735">
        <v>149808287.839894</v>
      </c>
    </row>
    <row r="4736" spans="1:4" hidden="1" x14ac:dyDescent="0.3">
      <c r="A4736">
        <v>4734</v>
      </c>
      <c r="B4736" t="s">
        <v>5435</v>
      </c>
      <c r="C4736" t="s">
        <v>198</v>
      </c>
      <c r="D4736">
        <v>879.64292111642203</v>
      </c>
    </row>
    <row r="4737" spans="1:4" hidden="1" x14ac:dyDescent="0.3">
      <c r="A4737">
        <v>4735</v>
      </c>
      <c r="B4737" t="s">
        <v>5436</v>
      </c>
      <c r="C4737" t="s">
        <v>200</v>
      </c>
      <c r="D4737">
        <v>384.82941734304899</v>
      </c>
    </row>
    <row r="4738" spans="1:4" hidden="1" x14ac:dyDescent="0.3">
      <c r="A4738">
        <v>4736</v>
      </c>
      <c r="B4738" s="1" t="s">
        <v>5437</v>
      </c>
      <c r="C4738" t="s">
        <v>202</v>
      </c>
      <c r="D4738" s="1" t="s">
        <v>5438</v>
      </c>
    </row>
    <row r="4739" spans="1:4" hidden="1" x14ac:dyDescent="0.3">
      <c r="A4739">
        <v>4737</v>
      </c>
      <c r="B4739" t="s">
        <v>5439</v>
      </c>
      <c r="C4739" t="s">
        <v>205</v>
      </c>
      <c r="D4739">
        <v>80020303.027319595</v>
      </c>
    </row>
    <row r="4740" spans="1:4" hidden="1" x14ac:dyDescent="0.3">
      <c r="A4740">
        <v>4738</v>
      </c>
      <c r="B4740" t="s">
        <v>5440</v>
      </c>
      <c r="C4740" t="s">
        <v>207</v>
      </c>
      <c r="D4740">
        <v>35007576.1998225</v>
      </c>
    </row>
    <row r="4741" spans="1:4" hidden="1" x14ac:dyDescent="0.3">
      <c r="A4741">
        <v>4739</v>
      </c>
      <c r="B4741" t="s">
        <v>5441</v>
      </c>
      <c r="C4741" t="s">
        <v>209</v>
      </c>
      <c r="D4741">
        <v>34778761.8262951</v>
      </c>
    </row>
    <row r="4742" spans="1:4" hidden="1" x14ac:dyDescent="0.3">
      <c r="A4742">
        <v>4740</v>
      </c>
      <c r="B4742" s="1" t="s">
        <v>5442</v>
      </c>
      <c r="C4742" t="s">
        <v>211</v>
      </c>
      <c r="D4742" s="1" t="s">
        <v>5443</v>
      </c>
    </row>
    <row r="4743" spans="1:4" hidden="1" x14ac:dyDescent="0.3">
      <c r="A4743">
        <v>4741</v>
      </c>
      <c r="B4743" t="s">
        <v>5444</v>
      </c>
      <c r="C4743" t="s">
        <v>214</v>
      </c>
      <c r="D4743">
        <v>99982223.344799593</v>
      </c>
    </row>
    <row r="4744" spans="1:4" hidden="1" x14ac:dyDescent="0.3">
      <c r="A4744">
        <v>4742</v>
      </c>
      <c r="B4744" t="s">
        <v>5445</v>
      </c>
      <c r="C4744" t="s">
        <v>216</v>
      </c>
      <c r="D4744">
        <v>1099.07925458252</v>
      </c>
    </row>
    <row r="4745" spans="1:4" hidden="1" x14ac:dyDescent="0.3">
      <c r="A4745">
        <v>4743</v>
      </c>
      <c r="B4745" s="1" t="s">
        <v>5446</v>
      </c>
      <c r="C4745" t="s">
        <v>218</v>
      </c>
      <c r="D4745" s="1" t="s">
        <v>5447</v>
      </c>
    </row>
    <row r="4746" spans="1:4" hidden="1" x14ac:dyDescent="0.3">
      <c r="A4746">
        <v>4744</v>
      </c>
      <c r="B4746" t="s">
        <v>5448</v>
      </c>
      <c r="C4746" t="s">
        <v>111</v>
      </c>
      <c r="D4746">
        <v>-293.59310064284801</v>
      </c>
    </row>
    <row r="4747" spans="1:4" hidden="1" x14ac:dyDescent="0.3">
      <c r="A4747">
        <v>4745</v>
      </c>
      <c r="B4747" t="s">
        <v>5449</v>
      </c>
      <c r="C4747" t="s">
        <v>113</v>
      </c>
      <c r="D4747">
        <v>-44.0456121208205</v>
      </c>
    </row>
    <row r="4748" spans="1:4" hidden="1" x14ac:dyDescent="0.3">
      <c r="A4748">
        <v>4746</v>
      </c>
      <c r="B4748" s="1" t="s">
        <v>5450</v>
      </c>
      <c r="C4748" t="s">
        <v>115</v>
      </c>
      <c r="D4748" s="1" t="s">
        <v>5451</v>
      </c>
    </row>
    <row r="4749" spans="1:4" hidden="1" x14ac:dyDescent="0.3">
      <c r="A4749">
        <v>4747</v>
      </c>
      <c r="B4749" t="s">
        <v>5452</v>
      </c>
      <c r="C4749" t="s">
        <v>118</v>
      </c>
      <c r="D4749">
        <v>80020303.027319595</v>
      </c>
    </row>
    <row r="4750" spans="1:4" hidden="1" x14ac:dyDescent="0.3">
      <c r="A4750">
        <v>4748</v>
      </c>
      <c r="B4750" t="s">
        <v>5453</v>
      </c>
      <c r="C4750" t="s">
        <v>120</v>
      </c>
      <c r="D4750">
        <v>35007576.1998225</v>
      </c>
    </row>
    <row r="4751" spans="1:4" hidden="1" x14ac:dyDescent="0.3">
      <c r="A4751">
        <v>4749</v>
      </c>
      <c r="B4751" s="1" t="s">
        <v>5454</v>
      </c>
      <c r="C4751" t="s">
        <v>122</v>
      </c>
      <c r="D4751" s="1" t="s">
        <v>5455</v>
      </c>
    </row>
    <row r="4752" spans="1:4" hidden="1" x14ac:dyDescent="0.3">
      <c r="A4752">
        <v>4750</v>
      </c>
      <c r="B4752" t="s">
        <v>5456</v>
      </c>
      <c r="C4752" t="s">
        <v>125</v>
      </c>
      <c r="D4752">
        <v>0.80021182670240698</v>
      </c>
    </row>
    <row r="4753" spans="1:4" hidden="1" x14ac:dyDescent="0.3">
      <c r="A4753">
        <v>4751</v>
      </c>
      <c r="B4753" t="s">
        <v>5457</v>
      </c>
      <c r="C4753" t="s">
        <v>127</v>
      </c>
      <c r="D4753">
        <v>0.35007961029239798</v>
      </c>
    </row>
    <row r="4754" spans="1:4" hidden="1" x14ac:dyDescent="0.3">
      <c r="A4754">
        <v>4752</v>
      </c>
      <c r="B4754" s="1" t="s">
        <v>5458</v>
      </c>
      <c r="C4754" t="s">
        <v>129</v>
      </c>
      <c r="D4754" s="1" t="s">
        <v>5459</v>
      </c>
    </row>
    <row r="4755" spans="1:4" ht="72" x14ac:dyDescent="0.3">
      <c r="A4755">
        <v>4753</v>
      </c>
      <c r="B4755" s="1" t="s">
        <v>3</v>
      </c>
      <c r="C4755" t="s">
        <v>4</v>
      </c>
      <c r="D4755" t="s">
        <v>5</v>
      </c>
    </row>
    <row r="4756" spans="1:4" hidden="1" x14ac:dyDescent="0.3">
      <c r="A4756">
        <v>4754</v>
      </c>
      <c r="B4756" t="s">
        <v>6</v>
      </c>
      <c r="C4756" t="s">
        <v>7</v>
      </c>
      <c r="D4756">
        <v>1981.95</v>
      </c>
    </row>
    <row r="4757" spans="1:4" hidden="1" x14ac:dyDescent="0.3">
      <c r="A4757">
        <v>4755</v>
      </c>
      <c r="B4757" s="1" t="s">
        <v>131</v>
      </c>
      <c r="C4757" t="s">
        <v>9</v>
      </c>
      <c r="D4757" s="1" t="s">
        <v>132</v>
      </c>
    </row>
    <row r="4758" spans="1:4" hidden="1" x14ac:dyDescent="0.3">
      <c r="A4758">
        <v>4756</v>
      </c>
      <c r="B4758" t="s">
        <v>13</v>
      </c>
      <c r="C4758" t="s">
        <v>14</v>
      </c>
      <c r="D4758">
        <v>91.74609375</v>
      </c>
    </row>
    <row r="4759" spans="1:4" hidden="1" x14ac:dyDescent="0.3">
      <c r="A4759">
        <v>4757</v>
      </c>
      <c r="B4759" t="s">
        <v>15</v>
      </c>
      <c r="C4759" t="s">
        <v>16</v>
      </c>
      <c r="D4759">
        <v>4.1883572307132804</v>
      </c>
    </row>
    <row r="4760" spans="1:4" hidden="1" x14ac:dyDescent="0.3">
      <c r="A4760">
        <v>4758</v>
      </c>
      <c r="B4760" s="1" t="s">
        <v>133</v>
      </c>
      <c r="C4760" t="s">
        <v>134</v>
      </c>
      <c r="D4760" s="1" t="s">
        <v>135</v>
      </c>
    </row>
    <row r="4761" spans="1:4" hidden="1" x14ac:dyDescent="0.3">
      <c r="A4761">
        <v>4759</v>
      </c>
      <c r="B4761" t="s">
        <v>21</v>
      </c>
      <c r="C4761" t="s">
        <v>22</v>
      </c>
      <c r="D4761">
        <v>38.25</v>
      </c>
    </row>
    <row r="4762" spans="1:4" hidden="1" x14ac:dyDescent="0.3">
      <c r="A4762">
        <v>4760</v>
      </c>
      <c r="B4762" t="s">
        <v>5460</v>
      </c>
      <c r="C4762" t="s">
        <v>24</v>
      </c>
      <c r="D4762">
        <v>5.5245254187792403</v>
      </c>
    </row>
    <row r="4763" spans="1:4" hidden="1" x14ac:dyDescent="0.3">
      <c r="A4763">
        <v>4761</v>
      </c>
      <c r="B4763" s="1" t="s">
        <v>5461</v>
      </c>
      <c r="C4763" t="s">
        <v>138</v>
      </c>
      <c r="D4763" s="1" t="s">
        <v>5462</v>
      </c>
    </row>
    <row r="4764" spans="1:4" hidden="1" x14ac:dyDescent="0.3">
      <c r="A4764">
        <v>4762</v>
      </c>
      <c r="B4764" t="s">
        <v>5463</v>
      </c>
      <c r="C4764" t="s">
        <v>35</v>
      </c>
      <c r="D4764">
        <v>0.55179221388992294</v>
      </c>
    </row>
    <row r="4765" spans="1:4" hidden="1" x14ac:dyDescent="0.3">
      <c r="A4765">
        <v>4763</v>
      </c>
      <c r="B4765" t="s">
        <v>5464</v>
      </c>
      <c r="C4765" t="s">
        <v>142</v>
      </c>
      <c r="D4765">
        <v>0.67496601660726996</v>
      </c>
    </row>
    <row r="4766" spans="1:4" hidden="1" x14ac:dyDescent="0.3">
      <c r="A4766">
        <v>4764</v>
      </c>
      <c r="B4766" s="1" t="s">
        <v>5465</v>
      </c>
      <c r="C4766" t="s">
        <v>144</v>
      </c>
      <c r="D4766" s="1" t="s">
        <v>5466</v>
      </c>
    </row>
    <row r="4767" spans="1:4" hidden="1" x14ac:dyDescent="0.3">
      <c r="A4767">
        <v>4765</v>
      </c>
      <c r="B4767" t="s">
        <v>5467</v>
      </c>
      <c r="C4767" t="s">
        <v>30</v>
      </c>
      <c r="D4767">
        <v>0.194867937776732</v>
      </c>
    </row>
    <row r="4768" spans="1:4" hidden="1" x14ac:dyDescent="0.3">
      <c r="A4768">
        <v>4766</v>
      </c>
      <c r="B4768" t="s">
        <v>5468</v>
      </c>
      <c r="C4768" t="s">
        <v>32</v>
      </c>
      <c r="D4768">
        <v>0.26107109747143498</v>
      </c>
    </row>
    <row r="4769" spans="1:4" hidden="1" x14ac:dyDescent="0.3">
      <c r="A4769">
        <v>4767</v>
      </c>
      <c r="B4769" s="1" t="s">
        <v>5469</v>
      </c>
      <c r="C4769" t="s">
        <v>148</v>
      </c>
      <c r="D4769" s="1" t="s">
        <v>5470</v>
      </c>
    </row>
    <row r="4770" spans="1:4" hidden="1" x14ac:dyDescent="0.3">
      <c r="A4770">
        <v>4768</v>
      </c>
      <c r="B4770" t="s">
        <v>5471</v>
      </c>
      <c r="C4770" t="s">
        <v>40</v>
      </c>
      <c r="D4770">
        <v>0.253339848333344</v>
      </c>
    </row>
    <row r="4771" spans="1:4" hidden="1" x14ac:dyDescent="0.3">
      <c r="A4771">
        <v>4769</v>
      </c>
      <c r="B4771" t="s">
        <v>5472</v>
      </c>
      <c r="C4771" t="s">
        <v>42</v>
      </c>
      <c r="D4771">
        <v>0.22048497408683099</v>
      </c>
    </row>
    <row r="4772" spans="1:4" hidden="1" x14ac:dyDescent="0.3">
      <c r="A4772">
        <v>4770</v>
      </c>
      <c r="B4772" s="1" t="s">
        <v>5473</v>
      </c>
      <c r="C4772" t="s">
        <v>152</v>
      </c>
      <c r="D4772" s="1" t="s">
        <v>5474</v>
      </c>
    </row>
    <row r="4773" spans="1:4" hidden="1" x14ac:dyDescent="0.3">
      <c r="A4773">
        <v>4771</v>
      </c>
      <c r="B4773" t="s">
        <v>153</v>
      </c>
      <c r="C4773" t="s">
        <v>154</v>
      </c>
      <c r="D4773">
        <v>1</v>
      </c>
    </row>
    <row r="4774" spans="1:4" hidden="1" x14ac:dyDescent="0.3">
      <c r="A4774">
        <v>4772</v>
      </c>
      <c r="B4774" t="s">
        <v>155</v>
      </c>
      <c r="C4774" t="s">
        <v>156</v>
      </c>
      <c r="D4774">
        <v>1</v>
      </c>
    </row>
    <row r="4775" spans="1:4" hidden="1" x14ac:dyDescent="0.3">
      <c r="A4775">
        <v>4773</v>
      </c>
      <c r="B4775" s="1" t="s">
        <v>5475</v>
      </c>
      <c r="C4775" t="s">
        <v>158</v>
      </c>
      <c r="D4775" s="1" t="s">
        <v>5476</v>
      </c>
    </row>
    <row r="4776" spans="1:4" hidden="1" x14ac:dyDescent="0.3">
      <c r="A4776">
        <v>4774</v>
      </c>
      <c r="B4776" t="s">
        <v>5477</v>
      </c>
      <c r="C4776" t="s">
        <v>161</v>
      </c>
      <c r="D4776">
        <v>0.99685154066054005</v>
      </c>
    </row>
    <row r="4777" spans="1:4" hidden="1" x14ac:dyDescent="0.3">
      <c r="A4777">
        <v>4775</v>
      </c>
      <c r="B4777" t="s">
        <v>5478</v>
      </c>
      <c r="C4777" t="s">
        <v>163</v>
      </c>
      <c r="D4777">
        <v>1.0042238166108799</v>
      </c>
    </row>
    <row r="4778" spans="1:4" hidden="1" x14ac:dyDescent="0.3">
      <c r="A4778">
        <v>4776</v>
      </c>
      <c r="B4778" s="1" t="s">
        <v>5479</v>
      </c>
      <c r="C4778" t="s">
        <v>165</v>
      </c>
      <c r="D4778" s="1" t="s">
        <v>5480</v>
      </c>
    </row>
    <row r="4779" spans="1:4" hidden="1" x14ac:dyDescent="0.3">
      <c r="A4779">
        <v>4777</v>
      </c>
      <c r="B4779" s="1" t="s">
        <v>5481</v>
      </c>
      <c r="C4779" t="s">
        <v>55</v>
      </c>
      <c r="D4779" s="1" t="s">
        <v>5482</v>
      </c>
    </row>
    <row r="4780" spans="1:4" hidden="1" x14ac:dyDescent="0.3">
      <c r="A4780">
        <v>4778</v>
      </c>
      <c r="B4780" s="1" t="s">
        <v>5483</v>
      </c>
      <c r="C4780" t="s">
        <v>52</v>
      </c>
      <c r="D4780" s="1" t="s">
        <v>5484</v>
      </c>
    </row>
    <row r="4781" spans="1:4" hidden="1" x14ac:dyDescent="0.3">
      <c r="A4781">
        <v>4779</v>
      </c>
      <c r="B4781" s="1" t="s">
        <v>5485</v>
      </c>
      <c r="C4781" t="s">
        <v>58</v>
      </c>
      <c r="D4781" s="1" t="s">
        <v>5486</v>
      </c>
    </row>
    <row r="4782" spans="1:4" hidden="1" x14ac:dyDescent="0.3">
      <c r="A4782">
        <v>4780</v>
      </c>
      <c r="B4782" t="s">
        <v>5487</v>
      </c>
      <c r="C4782" t="s">
        <v>60</v>
      </c>
      <c r="D4782">
        <v>149788950.145154</v>
      </c>
    </row>
    <row r="4783" spans="1:4" hidden="1" x14ac:dyDescent="0.3">
      <c r="A4783">
        <v>4781</v>
      </c>
      <c r="B4783" t="s">
        <v>5488</v>
      </c>
      <c r="C4783" t="s">
        <v>62</v>
      </c>
      <c r="D4783">
        <v>80020303.027319595</v>
      </c>
    </row>
    <row r="4784" spans="1:4" hidden="1" x14ac:dyDescent="0.3">
      <c r="A4784">
        <v>4782</v>
      </c>
      <c r="B4784" t="s">
        <v>5489</v>
      </c>
      <c r="C4784" t="s">
        <v>64</v>
      </c>
      <c r="D4784">
        <v>35007576.1998225</v>
      </c>
    </row>
    <row r="4785" spans="1:4" hidden="1" x14ac:dyDescent="0.3">
      <c r="A4785">
        <v>4783</v>
      </c>
      <c r="B4785" s="1" t="s">
        <v>5490</v>
      </c>
      <c r="C4785" t="s">
        <v>66</v>
      </c>
      <c r="D4785" s="1" t="s">
        <v>5491</v>
      </c>
    </row>
    <row r="4786" spans="1:4" hidden="1" x14ac:dyDescent="0.3">
      <c r="A4786">
        <v>4784</v>
      </c>
      <c r="B4786" s="1" t="s">
        <v>5492</v>
      </c>
      <c r="C4786" t="s">
        <v>69</v>
      </c>
      <c r="D4786" s="1" t="s">
        <v>5493</v>
      </c>
    </row>
    <row r="4787" spans="1:4" hidden="1" x14ac:dyDescent="0.3">
      <c r="A4787">
        <v>4785</v>
      </c>
      <c r="B4787" t="s">
        <v>5494</v>
      </c>
      <c r="C4787" t="s">
        <v>72</v>
      </c>
      <c r="D4787">
        <v>1.0001668035782501</v>
      </c>
    </row>
    <row r="4788" spans="1:4" hidden="1" x14ac:dyDescent="0.3">
      <c r="A4788">
        <v>4786</v>
      </c>
      <c r="B4788" t="s">
        <v>73</v>
      </c>
      <c r="C4788" t="s">
        <v>74</v>
      </c>
      <c r="D4788">
        <v>2.7397260273972599E-3</v>
      </c>
    </row>
    <row r="4789" spans="1:4" hidden="1" x14ac:dyDescent="0.3">
      <c r="A4789">
        <v>4787</v>
      </c>
      <c r="B4789" t="s">
        <v>75</v>
      </c>
      <c r="C4789" t="s">
        <v>76</v>
      </c>
      <c r="D4789">
        <v>0</v>
      </c>
    </row>
    <row r="4790" spans="1:4" hidden="1" x14ac:dyDescent="0.3">
      <c r="A4790">
        <v>4788</v>
      </c>
      <c r="B4790" t="s">
        <v>77</v>
      </c>
      <c r="C4790" t="s">
        <v>78</v>
      </c>
      <c r="D4790">
        <v>0</v>
      </c>
    </row>
    <row r="4791" spans="1:4" hidden="1" x14ac:dyDescent="0.3">
      <c r="A4791">
        <v>4789</v>
      </c>
      <c r="B4791" s="1" t="s">
        <v>5495</v>
      </c>
      <c r="C4791" t="s">
        <v>80</v>
      </c>
      <c r="D4791" s="1" t="s">
        <v>5496</v>
      </c>
    </row>
    <row r="4792" spans="1:4" hidden="1" x14ac:dyDescent="0.3">
      <c r="A4792">
        <v>4790</v>
      </c>
      <c r="B4792" t="s">
        <v>5497</v>
      </c>
      <c r="C4792" t="s">
        <v>83</v>
      </c>
      <c r="D4792">
        <v>1.00015270797792</v>
      </c>
    </row>
    <row r="4793" spans="1:4" hidden="1" x14ac:dyDescent="0.3">
      <c r="A4793">
        <v>4791</v>
      </c>
      <c r="B4793" s="1" t="s">
        <v>5498</v>
      </c>
      <c r="C4793" t="s">
        <v>85</v>
      </c>
      <c r="D4793" s="1" t="s">
        <v>5499</v>
      </c>
    </row>
    <row r="4794" spans="1:4" hidden="1" x14ac:dyDescent="0.3">
      <c r="A4794">
        <v>4792</v>
      </c>
      <c r="B4794" t="s">
        <v>5500</v>
      </c>
      <c r="C4794" t="s">
        <v>88</v>
      </c>
      <c r="D4794">
        <v>99984731.533824593</v>
      </c>
    </row>
    <row r="4795" spans="1:4" hidden="1" x14ac:dyDescent="0.3">
      <c r="A4795">
        <v>4793</v>
      </c>
      <c r="B4795" s="1" t="s">
        <v>5501</v>
      </c>
      <c r="C4795" t="s">
        <v>90</v>
      </c>
      <c r="D4795" s="1" t="s">
        <v>5447</v>
      </c>
    </row>
    <row r="4796" spans="1:4" hidden="1" x14ac:dyDescent="0.3">
      <c r="A4796">
        <v>4794</v>
      </c>
      <c r="B4796" t="s">
        <v>5502</v>
      </c>
      <c r="C4796" t="s">
        <v>93</v>
      </c>
      <c r="D4796">
        <v>80020303.027319595</v>
      </c>
    </row>
    <row r="4797" spans="1:4" hidden="1" x14ac:dyDescent="0.3">
      <c r="A4797">
        <v>4795</v>
      </c>
      <c r="B4797" t="s">
        <v>5503</v>
      </c>
      <c r="C4797" t="s">
        <v>95</v>
      </c>
      <c r="D4797">
        <v>35007576.1998225</v>
      </c>
    </row>
    <row r="4798" spans="1:4" hidden="1" x14ac:dyDescent="0.3">
      <c r="A4798">
        <v>4796</v>
      </c>
      <c r="B4798" t="s">
        <v>5504</v>
      </c>
      <c r="C4798" t="s">
        <v>97</v>
      </c>
      <c r="D4798">
        <v>34761070.918011896</v>
      </c>
    </row>
    <row r="4799" spans="1:4" hidden="1" x14ac:dyDescent="0.3">
      <c r="A4799">
        <v>4797</v>
      </c>
      <c r="B4799" s="1" t="s">
        <v>5505</v>
      </c>
      <c r="C4799" t="s">
        <v>99</v>
      </c>
      <c r="D4799" s="1" t="s">
        <v>5506</v>
      </c>
    </row>
    <row r="4800" spans="1:4" hidden="1" x14ac:dyDescent="0.3">
      <c r="A4800">
        <v>4798</v>
      </c>
      <c r="B4800" t="s">
        <v>5507</v>
      </c>
      <c r="C4800" t="s">
        <v>102</v>
      </c>
      <c r="D4800">
        <v>8.0193858432051398E-3</v>
      </c>
    </row>
    <row r="4801" spans="1:4" hidden="1" x14ac:dyDescent="0.3">
      <c r="A4801">
        <v>4799</v>
      </c>
      <c r="B4801" t="s">
        <v>5508</v>
      </c>
      <c r="C4801" t="s">
        <v>104</v>
      </c>
      <c r="D4801">
        <v>1.70955577359375E-3</v>
      </c>
    </row>
    <row r="4802" spans="1:4" hidden="1" x14ac:dyDescent="0.3">
      <c r="A4802">
        <v>4800</v>
      </c>
      <c r="B4802" t="s">
        <v>5509</v>
      </c>
      <c r="C4802" t="s">
        <v>106</v>
      </c>
      <c r="D4802">
        <v>2.29239990317015E-2</v>
      </c>
    </row>
    <row r="4803" spans="1:4" hidden="1" x14ac:dyDescent="0.3">
      <c r="A4803">
        <v>4801</v>
      </c>
      <c r="B4803" s="1" t="s">
        <v>5510</v>
      </c>
      <c r="C4803" t="s">
        <v>108</v>
      </c>
      <c r="D4803" s="1" t="s">
        <v>5511</v>
      </c>
    </row>
    <row r="4804" spans="1:4" hidden="1" x14ac:dyDescent="0.3">
      <c r="A4804">
        <v>4802</v>
      </c>
      <c r="B4804" t="s">
        <v>5512</v>
      </c>
      <c r="C4804" t="s">
        <v>196</v>
      </c>
      <c r="D4804">
        <v>149788465.13029099</v>
      </c>
    </row>
    <row r="4805" spans="1:4" hidden="1" x14ac:dyDescent="0.3">
      <c r="A4805">
        <v>4803</v>
      </c>
      <c r="B4805" t="s">
        <v>5513</v>
      </c>
      <c r="C4805" t="s">
        <v>198</v>
      </c>
      <c r="D4805">
        <v>1127.74079237463</v>
      </c>
    </row>
    <row r="4806" spans="1:4" hidden="1" x14ac:dyDescent="0.3">
      <c r="A4806">
        <v>4804</v>
      </c>
      <c r="B4806" t="s">
        <v>5514</v>
      </c>
      <c r="C4806" t="s">
        <v>200</v>
      </c>
      <c r="D4806">
        <v>493.36971456405303</v>
      </c>
    </row>
    <row r="4807" spans="1:4" hidden="1" x14ac:dyDescent="0.3">
      <c r="A4807">
        <v>4805</v>
      </c>
      <c r="B4807" s="1" t="s">
        <v>5515</v>
      </c>
      <c r="C4807" t="s">
        <v>202</v>
      </c>
      <c r="D4807" s="1" t="s">
        <v>5516</v>
      </c>
    </row>
    <row r="4808" spans="1:4" hidden="1" x14ac:dyDescent="0.3">
      <c r="A4808">
        <v>4806</v>
      </c>
      <c r="B4808" t="s">
        <v>5517</v>
      </c>
      <c r="C4808" t="s">
        <v>205</v>
      </c>
      <c r="D4808">
        <v>80018798.836198106</v>
      </c>
    </row>
    <row r="4809" spans="1:4" hidden="1" x14ac:dyDescent="0.3">
      <c r="A4809">
        <v>4807</v>
      </c>
      <c r="B4809" t="s">
        <v>5518</v>
      </c>
      <c r="C4809" t="s">
        <v>207</v>
      </c>
      <c r="D4809">
        <v>35007026.622176699</v>
      </c>
    </row>
    <row r="4810" spans="1:4" hidden="1" x14ac:dyDescent="0.3">
      <c r="A4810">
        <v>4808</v>
      </c>
      <c r="B4810" t="s">
        <v>5519</v>
      </c>
      <c r="C4810" t="s">
        <v>209</v>
      </c>
      <c r="D4810">
        <v>34760528.6657013</v>
      </c>
    </row>
    <row r="4811" spans="1:4" hidden="1" x14ac:dyDescent="0.3">
      <c r="A4811">
        <v>4809</v>
      </c>
      <c r="B4811" s="1" t="s">
        <v>5520</v>
      </c>
      <c r="C4811" t="s">
        <v>211</v>
      </c>
      <c r="D4811" s="1" t="s">
        <v>5521</v>
      </c>
    </row>
    <row r="4812" spans="1:4" hidden="1" x14ac:dyDescent="0.3">
      <c r="A4812">
        <v>4810</v>
      </c>
      <c r="B4812" t="s">
        <v>5522</v>
      </c>
      <c r="C4812" t="s">
        <v>214</v>
      </c>
      <c r="D4812">
        <v>99983322.424054205</v>
      </c>
    </row>
    <row r="4813" spans="1:4" hidden="1" x14ac:dyDescent="0.3">
      <c r="A4813">
        <v>4811</v>
      </c>
      <c r="B4813" t="s">
        <v>5523</v>
      </c>
      <c r="C4813" t="s">
        <v>216</v>
      </c>
      <c r="D4813">
        <v>1409.10977038741</v>
      </c>
    </row>
    <row r="4814" spans="1:4" hidden="1" x14ac:dyDescent="0.3">
      <c r="A4814">
        <v>4812</v>
      </c>
      <c r="B4814" s="1" t="s">
        <v>5524</v>
      </c>
      <c r="C4814" t="s">
        <v>218</v>
      </c>
      <c r="D4814" s="1" t="s">
        <v>5525</v>
      </c>
    </row>
    <row r="4815" spans="1:4" hidden="1" x14ac:dyDescent="0.3">
      <c r="A4815">
        <v>4813</v>
      </c>
      <c r="B4815" t="s">
        <v>5526</v>
      </c>
      <c r="C4815" t="s">
        <v>111</v>
      </c>
      <c r="D4815">
        <v>-376.450329120883</v>
      </c>
    </row>
    <row r="4816" spans="1:4" hidden="1" x14ac:dyDescent="0.3">
      <c r="A4816">
        <v>4814</v>
      </c>
      <c r="B4816" t="s">
        <v>5527</v>
      </c>
      <c r="C4816" t="s">
        <v>113</v>
      </c>
      <c r="D4816">
        <v>-56.207931282134503</v>
      </c>
    </row>
    <row r="4817" spans="1:4" hidden="1" x14ac:dyDescent="0.3">
      <c r="A4817">
        <v>4815</v>
      </c>
      <c r="B4817" s="1" t="s">
        <v>5528</v>
      </c>
      <c r="C4817" t="s">
        <v>115</v>
      </c>
      <c r="D4817" s="1" t="s">
        <v>5529</v>
      </c>
    </row>
    <row r="4818" spans="1:4" hidden="1" x14ac:dyDescent="0.3">
      <c r="A4818">
        <v>4816</v>
      </c>
      <c r="B4818" t="s">
        <v>5530</v>
      </c>
      <c r="C4818" t="s">
        <v>118</v>
      </c>
      <c r="D4818">
        <v>80018798.836198106</v>
      </c>
    </row>
    <row r="4819" spans="1:4" hidden="1" x14ac:dyDescent="0.3">
      <c r="A4819">
        <v>4817</v>
      </c>
      <c r="B4819" t="s">
        <v>5531</v>
      </c>
      <c r="C4819" t="s">
        <v>120</v>
      </c>
      <c r="D4819">
        <v>35007026.622176699</v>
      </c>
    </row>
    <row r="4820" spans="1:4" hidden="1" x14ac:dyDescent="0.3">
      <c r="A4820">
        <v>4818</v>
      </c>
      <c r="B4820" s="1" t="s">
        <v>5532</v>
      </c>
      <c r="C4820" t="s">
        <v>122</v>
      </c>
      <c r="D4820" s="1" t="s">
        <v>5533</v>
      </c>
    </row>
    <row r="4821" spans="1:4" hidden="1" x14ac:dyDescent="0.3">
      <c r="A4821">
        <v>4819</v>
      </c>
      <c r="B4821" t="s">
        <v>5534</v>
      </c>
      <c r="C4821" t="s">
        <v>125</v>
      </c>
      <c r="D4821">
        <v>0.80019926576990397</v>
      </c>
    </row>
    <row r="4822" spans="1:4" hidden="1" x14ac:dyDescent="0.3">
      <c r="A4822">
        <v>4820</v>
      </c>
      <c r="B4822" t="s">
        <v>5535</v>
      </c>
      <c r="C4822" t="s">
        <v>127</v>
      </c>
      <c r="D4822">
        <v>0.35007519991891201</v>
      </c>
    </row>
    <row r="4823" spans="1:4" hidden="1" x14ac:dyDescent="0.3">
      <c r="A4823">
        <v>4821</v>
      </c>
      <c r="B4823" s="1" t="s">
        <v>5536</v>
      </c>
      <c r="C4823" t="s">
        <v>129</v>
      </c>
      <c r="D4823" s="1" t="s">
        <v>5537</v>
      </c>
    </row>
    <row r="4824" spans="1:4" ht="72" x14ac:dyDescent="0.3">
      <c r="A4824">
        <v>4822</v>
      </c>
      <c r="B4824" s="1" t="s">
        <v>3</v>
      </c>
      <c r="C4824" t="s">
        <v>4</v>
      </c>
      <c r="D4824" t="s">
        <v>5</v>
      </c>
    </row>
    <row r="4825" spans="1:4" hidden="1" x14ac:dyDescent="0.3">
      <c r="A4825">
        <v>4823</v>
      </c>
      <c r="B4825" t="s">
        <v>6</v>
      </c>
      <c r="C4825" t="s">
        <v>7</v>
      </c>
      <c r="D4825">
        <v>1981.95</v>
      </c>
    </row>
    <row r="4826" spans="1:4" hidden="1" x14ac:dyDescent="0.3">
      <c r="A4826">
        <v>4824</v>
      </c>
      <c r="B4826" s="1" t="s">
        <v>131</v>
      </c>
      <c r="C4826" t="s">
        <v>9</v>
      </c>
      <c r="D4826" s="1" t="s">
        <v>132</v>
      </c>
    </row>
    <row r="4827" spans="1:4" hidden="1" x14ac:dyDescent="0.3">
      <c r="A4827">
        <v>4825</v>
      </c>
      <c r="B4827" t="s">
        <v>13</v>
      </c>
      <c r="C4827" t="s">
        <v>14</v>
      </c>
      <c r="D4827">
        <v>91.74609375</v>
      </c>
    </row>
    <row r="4828" spans="1:4" hidden="1" x14ac:dyDescent="0.3">
      <c r="A4828">
        <v>4826</v>
      </c>
      <c r="B4828" t="s">
        <v>15</v>
      </c>
      <c r="C4828" t="s">
        <v>16</v>
      </c>
      <c r="D4828">
        <v>4.1883572307132804</v>
      </c>
    </row>
    <row r="4829" spans="1:4" hidden="1" x14ac:dyDescent="0.3">
      <c r="A4829">
        <v>4827</v>
      </c>
      <c r="B4829" s="1" t="s">
        <v>133</v>
      </c>
      <c r="C4829" t="s">
        <v>134</v>
      </c>
      <c r="D4829" s="1" t="s">
        <v>135</v>
      </c>
    </row>
    <row r="4830" spans="1:4" hidden="1" x14ac:dyDescent="0.3">
      <c r="A4830">
        <v>4828</v>
      </c>
      <c r="B4830" t="s">
        <v>21</v>
      </c>
      <c r="C4830" t="s">
        <v>22</v>
      </c>
      <c r="D4830">
        <v>38.25</v>
      </c>
    </row>
    <row r="4831" spans="1:4" hidden="1" x14ac:dyDescent="0.3">
      <c r="A4831">
        <v>4829</v>
      </c>
      <c r="B4831" t="s">
        <v>5538</v>
      </c>
      <c r="C4831" t="s">
        <v>24</v>
      </c>
      <c r="D4831">
        <v>5.4951613986716898</v>
      </c>
    </row>
    <row r="4832" spans="1:4" hidden="1" x14ac:dyDescent="0.3">
      <c r="A4832">
        <v>4830</v>
      </c>
      <c r="B4832" s="1" t="s">
        <v>5539</v>
      </c>
      <c r="C4832" t="s">
        <v>138</v>
      </c>
      <c r="D4832" s="1" t="s">
        <v>5540</v>
      </c>
    </row>
    <row r="4833" spans="1:4" hidden="1" x14ac:dyDescent="0.3">
      <c r="A4833">
        <v>4831</v>
      </c>
      <c r="B4833" t="s">
        <v>5541</v>
      </c>
      <c r="C4833" t="s">
        <v>35</v>
      </c>
      <c r="D4833">
        <v>0.55143031887929905</v>
      </c>
    </row>
    <row r="4834" spans="1:4" hidden="1" x14ac:dyDescent="0.3">
      <c r="A4834">
        <v>4832</v>
      </c>
      <c r="B4834" t="s">
        <v>5542</v>
      </c>
      <c r="C4834" t="s">
        <v>142</v>
      </c>
      <c r="D4834">
        <v>0.67735615986222197</v>
      </c>
    </row>
    <row r="4835" spans="1:4" hidden="1" x14ac:dyDescent="0.3">
      <c r="A4835">
        <v>4833</v>
      </c>
      <c r="B4835" s="1" t="s">
        <v>5543</v>
      </c>
      <c r="C4835" t="s">
        <v>144</v>
      </c>
      <c r="D4835" s="1" t="s">
        <v>5544</v>
      </c>
    </row>
    <row r="4836" spans="1:4" hidden="1" x14ac:dyDescent="0.3">
      <c r="A4836">
        <v>4834</v>
      </c>
      <c r="B4836" t="s">
        <v>5545</v>
      </c>
      <c r="C4836" t="s">
        <v>30</v>
      </c>
      <c r="D4836">
        <v>0.19474013290265699</v>
      </c>
    </row>
    <row r="4837" spans="1:4" hidden="1" x14ac:dyDescent="0.3">
      <c r="A4837">
        <v>4835</v>
      </c>
      <c r="B4837" t="s">
        <v>5546</v>
      </c>
      <c r="C4837" t="s">
        <v>32</v>
      </c>
      <c r="D4837">
        <v>0.25781126351156097</v>
      </c>
    </row>
    <row r="4838" spans="1:4" hidden="1" x14ac:dyDescent="0.3">
      <c r="A4838">
        <v>4836</v>
      </c>
      <c r="B4838" s="1" t="s">
        <v>5547</v>
      </c>
      <c r="C4838" t="s">
        <v>148</v>
      </c>
      <c r="D4838" s="1" t="s">
        <v>5548</v>
      </c>
    </row>
    <row r="4839" spans="1:4" hidden="1" x14ac:dyDescent="0.3">
      <c r="A4839">
        <v>4837</v>
      </c>
      <c r="B4839" t="s">
        <v>5549</v>
      </c>
      <c r="C4839" t="s">
        <v>40</v>
      </c>
      <c r="D4839">
        <v>0.25382954821804199</v>
      </c>
    </row>
    <row r="4840" spans="1:4" hidden="1" x14ac:dyDescent="0.3">
      <c r="A4840">
        <v>4838</v>
      </c>
      <c r="B4840" t="s">
        <v>5550</v>
      </c>
      <c r="C4840" t="s">
        <v>42</v>
      </c>
      <c r="D4840">
        <v>0.21851693612185399</v>
      </c>
    </row>
    <row r="4841" spans="1:4" hidden="1" x14ac:dyDescent="0.3">
      <c r="A4841">
        <v>4839</v>
      </c>
      <c r="B4841" s="1" t="s">
        <v>5551</v>
      </c>
      <c r="C4841" t="s">
        <v>152</v>
      </c>
      <c r="D4841" s="1" t="s">
        <v>5552</v>
      </c>
    </row>
    <row r="4842" spans="1:4" hidden="1" x14ac:dyDescent="0.3">
      <c r="A4842">
        <v>4840</v>
      </c>
      <c r="B4842" t="s">
        <v>153</v>
      </c>
      <c r="C4842" t="s">
        <v>154</v>
      </c>
      <c r="D4842">
        <v>1</v>
      </c>
    </row>
    <row r="4843" spans="1:4" hidden="1" x14ac:dyDescent="0.3">
      <c r="A4843">
        <v>4841</v>
      </c>
      <c r="B4843" t="s">
        <v>155</v>
      </c>
      <c r="C4843" t="s">
        <v>156</v>
      </c>
      <c r="D4843">
        <v>1</v>
      </c>
    </row>
    <row r="4844" spans="1:4" hidden="1" x14ac:dyDescent="0.3">
      <c r="A4844">
        <v>4842</v>
      </c>
      <c r="B4844" s="1" t="s">
        <v>5553</v>
      </c>
      <c r="C4844" t="s">
        <v>158</v>
      </c>
      <c r="D4844" s="1" t="s">
        <v>5554</v>
      </c>
    </row>
    <row r="4845" spans="1:4" hidden="1" x14ac:dyDescent="0.3">
      <c r="A4845">
        <v>4843</v>
      </c>
      <c r="B4845" t="s">
        <v>5555</v>
      </c>
      <c r="C4845" t="s">
        <v>161</v>
      </c>
      <c r="D4845">
        <v>1.0014269801483999</v>
      </c>
    </row>
    <row r="4846" spans="1:4" hidden="1" x14ac:dyDescent="0.3">
      <c r="A4846">
        <v>4844</v>
      </c>
      <c r="B4846" t="s">
        <v>5556</v>
      </c>
      <c r="C4846" t="s">
        <v>163</v>
      </c>
      <c r="D4846">
        <v>0.99741502761707101</v>
      </c>
    </row>
    <row r="4847" spans="1:4" hidden="1" x14ac:dyDescent="0.3">
      <c r="A4847">
        <v>4845</v>
      </c>
      <c r="B4847" s="1" t="s">
        <v>5557</v>
      </c>
      <c r="C4847" t="s">
        <v>165</v>
      </c>
      <c r="D4847" s="1" t="s">
        <v>5558</v>
      </c>
    </row>
    <row r="4848" spans="1:4" hidden="1" x14ac:dyDescent="0.3">
      <c r="A4848">
        <v>4846</v>
      </c>
      <c r="B4848" s="1" t="s">
        <v>5559</v>
      </c>
      <c r="C4848" t="s">
        <v>55</v>
      </c>
      <c r="D4848" s="1" t="s">
        <v>5560</v>
      </c>
    </row>
    <row r="4849" spans="1:4" hidden="1" x14ac:dyDescent="0.3">
      <c r="A4849">
        <v>4847</v>
      </c>
      <c r="B4849" s="1" t="s">
        <v>5561</v>
      </c>
      <c r="C4849" t="s">
        <v>52</v>
      </c>
      <c r="D4849" s="1" t="s">
        <v>5562</v>
      </c>
    </row>
    <row r="4850" spans="1:4" hidden="1" x14ac:dyDescent="0.3">
      <c r="A4850">
        <v>4848</v>
      </c>
      <c r="B4850" s="1" t="s">
        <v>5563</v>
      </c>
      <c r="C4850" t="s">
        <v>58</v>
      </c>
      <c r="D4850" s="1" t="s">
        <v>5564</v>
      </c>
    </row>
    <row r="4851" spans="1:4" hidden="1" x14ac:dyDescent="0.3">
      <c r="A4851">
        <v>4849</v>
      </c>
      <c r="B4851" t="s">
        <v>5565</v>
      </c>
      <c r="C4851" t="s">
        <v>60</v>
      </c>
      <c r="D4851">
        <v>149763036.70708701</v>
      </c>
    </row>
    <row r="4852" spans="1:4" hidden="1" x14ac:dyDescent="0.3">
      <c r="A4852">
        <v>4850</v>
      </c>
      <c r="B4852" t="s">
        <v>5566</v>
      </c>
      <c r="C4852" t="s">
        <v>62</v>
      </c>
      <c r="D4852">
        <v>80018798.836198106</v>
      </c>
    </row>
    <row r="4853" spans="1:4" hidden="1" x14ac:dyDescent="0.3">
      <c r="A4853">
        <v>4851</v>
      </c>
      <c r="B4853" t="s">
        <v>5567</v>
      </c>
      <c r="C4853" t="s">
        <v>64</v>
      </c>
      <c r="D4853">
        <v>35007026.622176699</v>
      </c>
    </row>
    <row r="4854" spans="1:4" hidden="1" x14ac:dyDescent="0.3">
      <c r="A4854">
        <v>4852</v>
      </c>
      <c r="B4854" s="1" t="s">
        <v>5568</v>
      </c>
      <c r="C4854" t="s">
        <v>66</v>
      </c>
      <c r="D4854" s="1" t="s">
        <v>5569</v>
      </c>
    </row>
    <row r="4855" spans="1:4" hidden="1" x14ac:dyDescent="0.3">
      <c r="A4855">
        <v>4853</v>
      </c>
      <c r="B4855" s="1" t="s">
        <v>5570</v>
      </c>
      <c r="C4855" t="s">
        <v>69</v>
      </c>
      <c r="D4855" s="1" t="s">
        <v>5571</v>
      </c>
    </row>
    <row r="4856" spans="1:4" hidden="1" x14ac:dyDescent="0.3">
      <c r="A4856">
        <v>4854</v>
      </c>
      <c r="B4856" t="s">
        <v>5572</v>
      </c>
      <c r="C4856" t="s">
        <v>72</v>
      </c>
      <c r="D4856">
        <v>1.00015270797792</v>
      </c>
    </row>
    <row r="4857" spans="1:4" hidden="1" x14ac:dyDescent="0.3">
      <c r="A4857">
        <v>4855</v>
      </c>
      <c r="B4857" t="s">
        <v>73</v>
      </c>
      <c r="C4857" t="s">
        <v>74</v>
      </c>
      <c r="D4857">
        <v>2.7397260273972599E-3</v>
      </c>
    </row>
    <row r="4858" spans="1:4" hidden="1" x14ac:dyDescent="0.3">
      <c r="A4858">
        <v>4856</v>
      </c>
      <c r="B4858" t="s">
        <v>75</v>
      </c>
      <c r="C4858" t="s">
        <v>76</v>
      </c>
      <c r="D4858">
        <v>0</v>
      </c>
    </row>
    <row r="4859" spans="1:4" hidden="1" x14ac:dyDescent="0.3">
      <c r="A4859">
        <v>4857</v>
      </c>
      <c r="B4859" t="s">
        <v>77</v>
      </c>
      <c r="C4859" t="s">
        <v>78</v>
      </c>
      <c r="D4859">
        <v>0</v>
      </c>
    </row>
    <row r="4860" spans="1:4" hidden="1" x14ac:dyDescent="0.3">
      <c r="A4860">
        <v>4858</v>
      </c>
      <c r="B4860" s="1" t="s">
        <v>5573</v>
      </c>
      <c r="C4860" t="s">
        <v>80</v>
      </c>
      <c r="D4860" s="1" t="s">
        <v>5574</v>
      </c>
    </row>
    <row r="4861" spans="1:4" hidden="1" x14ac:dyDescent="0.3">
      <c r="A4861">
        <v>4859</v>
      </c>
      <c r="B4861" t="s">
        <v>5575</v>
      </c>
      <c r="C4861" t="s">
        <v>83</v>
      </c>
      <c r="D4861">
        <v>1.0001571700237999</v>
      </c>
    </row>
    <row r="4862" spans="1:4" hidden="1" x14ac:dyDescent="0.3">
      <c r="A4862">
        <v>4860</v>
      </c>
      <c r="B4862" s="1" t="s">
        <v>5576</v>
      </c>
      <c r="C4862" t="s">
        <v>85</v>
      </c>
      <c r="D4862" s="1" t="s">
        <v>5577</v>
      </c>
    </row>
    <row r="4863" spans="1:4" hidden="1" x14ac:dyDescent="0.3">
      <c r="A4863">
        <v>4861</v>
      </c>
      <c r="B4863" t="s">
        <v>5578</v>
      </c>
      <c r="C4863" t="s">
        <v>88</v>
      </c>
      <c r="D4863">
        <v>99984285.467472598</v>
      </c>
    </row>
    <row r="4864" spans="1:4" hidden="1" x14ac:dyDescent="0.3">
      <c r="A4864">
        <v>4862</v>
      </c>
      <c r="B4864" s="1" t="s">
        <v>5579</v>
      </c>
      <c r="C4864" t="s">
        <v>90</v>
      </c>
      <c r="D4864" s="1" t="s">
        <v>5525</v>
      </c>
    </row>
    <row r="4865" spans="1:4" hidden="1" x14ac:dyDescent="0.3">
      <c r="A4865">
        <v>4863</v>
      </c>
      <c r="B4865" t="s">
        <v>5580</v>
      </c>
      <c r="C4865" t="s">
        <v>93</v>
      </c>
      <c r="D4865">
        <v>80018798.836198106</v>
      </c>
    </row>
    <row r="4866" spans="1:4" hidden="1" x14ac:dyDescent="0.3">
      <c r="A4866">
        <v>4864</v>
      </c>
      <c r="B4866" t="s">
        <v>5581</v>
      </c>
      <c r="C4866" t="s">
        <v>95</v>
      </c>
      <c r="D4866">
        <v>35007026.622176699</v>
      </c>
    </row>
    <row r="4867" spans="1:4" hidden="1" x14ac:dyDescent="0.3">
      <c r="A4867">
        <v>4865</v>
      </c>
      <c r="B4867" t="s">
        <v>5582</v>
      </c>
      <c r="C4867" t="s">
        <v>97</v>
      </c>
      <c r="D4867">
        <v>34737211.248712301</v>
      </c>
    </row>
    <row r="4868" spans="1:4" hidden="1" x14ac:dyDescent="0.3">
      <c r="A4868">
        <v>4866</v>
      </c>
      <c r="B4868" s="1" t="s">
        <v>5583</v>
      </c>
      <c r="C4868" t="s">
        <v>99</v>
      </c>
      <c r="D4868" s="1" t="s">
        <v>5584</v>
      </c>
    </row>
    <row r="4869" spans="1:4" hidden="1" x14ac:dyDescent="0.3">
      <c r="A4869">
        <v>4867</v>
      </c>
      <c r="B4869" t="s">
        <v>5585</v>
      </c>
      <c r="C4869" t="s">
        <v>102</v>
      </c>
      <c r="D4869">
        <v>8.1016705387617592E-3</v>
      </c>
    </row>
    <row r="4870" spans="1:4" hidden="1" x14ac:dyDescent="0.3">
      <c r="A4870">
        <v>4868</v>
      </c>
      <c r="B4870" t="s">
        <v>5586</v>
      </c>
      <c r="C4870" t="s">
        <v>104</v>
      </c>
      <c r="D4870">
        <v>1.72086220529897E-3</v>
      </c>
    </row>
    <row r="4871" spans="1:4" hidden="1" x14ac:dyDescent="0.3">
      <c r="A4871">
        <v>4869</v>
      </c>
      <c r="B4871" t="s">
        <v>5587</v>
      </c>
      <c r="C4871" t="s">
        <v>106</v>
      </c>
      <c r="D4871">
        <v>2.3287207122154801E-2</v>
      </c>
    </row>
    <row r="4872" spans="1:4" hidden="1" x14ac:dyDescent="0.3">
      <c r="A4872">
        <v>4870</v>
      </c>
      <c r="B4872" s="1" t="s">
        <v>5588</v>
      </c>
      <c r="C4872" t="s">
        <v>108</v>
      </c>
      <c r="D4872" s="1" t="s">
        <v>5589</v>
      </c>
    </row>
    <row r="4873" spans="1:4" hidden="1" x14ac:dyDescent="0.3">
      <c r="A4873">
        <v>4871</v>
      </c>
      <c r="B4873" t="s">
        <v>5590</v>
      </c>
      <c r="C4873" t="s">
        <v>196</v>
      </c>
      <c r="D4873">
        <v>149763190.44863001</v>
      </c>
    </row>
    <row r="4874" spans="1:4" hidden="1" x14ac:dyDescent="0.3">
      <c r="A4874">
        <v>4872</v>
      </c>
      <c r="B4874" t="s">
        <v>5591</v>
      </c>
      <c r="C4874" t="s">
        <v>198</v>
      </c>
      <c r="D4874">
        <v>-356.99353973647698</v>
      </c>
    </row>
    <row r="4875" spans="1:4" hidden="1" x14ac:dyDescent="0.3">
      <c r="A4875">
        <v>4873</v>
      </c>
      <c r="B4875" t="s">
        <v>5592</v>
      </c>
      <c r="C4875" t="s">
        <v>200</v>
      </c>
      <c r="D4875">
        <v>-156.17918499056</v>
      </c>
    </row>
    <row r="4876" spans="1:4" hidden="1" x14ac:dyDescent="0.3">
      <c r="A4876">
        <v>4874</v>
      </c>
      <c r="B4876" s="1" t="s">
        <v>5593</v>
      </c>
      <c r="C4876" t="s">
        <v>202</v>
      </c>
      <c r="D4876" s="1" t="s">
        <v>5594</v>
      </c>
    </row>
    <row r="4877" spans="1:4" hidden="1" x14ac:dyDescent="0.3">
      <c r="A4877">
        <v>4875</v>
      </c>
      <c r="B4877" t="s">
        <v>5595</v>
      </c>
      <c r="C4877" t="s">
        <v>205</v>
      </c>
      <c r="D4877">
        <v>80019268.594068095</v>
      </c>
    </row>
    <row r="4878" spans="1:4" hidden="1" x14ac:dyDescent="0.3">
      <c r="A4878">
        <v>4876</v>
      </c>
      <c r="B4878" t="s">
        <v>5596</v>
      </c>
      <c r="C4878" t="s">
        <v>207</v>
      </c>
      <c r="D4878">
        <v>35007199.743131302</v>
      </c>
    </row>
    <row r="4879" spans="1:4" hidden="1" x14ac:dyDescent="0.3">
      <c r="A4879">
        <v>4877</v>
      </c>
      <c r="B4879" t="s">
        <v>5597</v>
      </c>
      <c r="C4879" t="s">
        <v>209</v>
      </c>
      <c r="D4879">
        <v>34737390.2596277</v>
      </c>
    </row>
    <row r="4880" spans="1:4" hidden="1" x14ac:dyDescent="0.3">
      <c r="A4880">
        <v>4878</v>
      </c>
      <c r="B4880" s="1" t="s">
        <v>5598</v>
      </c>
      <c r="C4880" t="s">
        <v>211</v>
      </c>
      <c r="D4880" s="1" t="s">
        <v>5599</v>
      </c>
    </row>
    <row r="4881" spans="1:4" hidden="1" x14ac:dyDescent="0.3">
      <c r="A4881">
        <v>4879</v>
      </c>
      <c r="B4881" t="s">
        <v>5600</v>
      </c>
      <c r="C4881" t="s">
        <v>214</v>
      </c>
      <c r="D4881">
        <v>99984731.533824593</v>
      </c>
    </row>
    <row r="4882" spans="1:4" hidden="1" x14ac:dyDescent="0.3">
      <c r="A4882">
        <v>4880</v>
      </c>
      <c r="B4882" t="s">
        <v>5601</v>
      </c>
      <c r="C4882" t="s">
        <v>216</v>
      </c>
      <c r="D4882">
        <v>-446.06635197997002</v>
      </c>
    </row>
    <row r="4883" spans="1:4" hidden="1" x14ac:dyDescent="0.3">
      <c r="A4883">
        <v>4881</v>
      </c>
      <c r="B4883" s="1" t="s">
        <v>5602</v>
      </c>
      <c r="C4883" t="s">
        <v>218</v>
      </c>
      <c r="D4883" s="1" t="s">
        <v>5603</v>
      </c>
    </row>
    <row r="4884" spans="1:4" hidden="1" x14ac:dyDescent="0.3">
      <c r="A4884">
        <v>4882</v>
      </c>
      <c r="B4884" t="s">
        <v>5604</v>
      </c>
      <c r="C4884" t="s">
        <v>111</v>
      </c>
      <c r="D4884">
        <v>112.764330304122</v>
      </c>
    </row>
    <row r="4885" spans="1:4" hidden="1" x14ac:dyDescent="0.3">
      <c r="A4885">
        <v>4883</v>
      </c>
      <c r="B4885" t="s">
        <v>5605</v>
      </c>
      <c r="C4885" t="s">
        <v>113</v>
      </c>
      <c r="D4885">
        <v>16.941769610089999</v>
      </c>
    </row>
    <row r="4886" spans="1:4" hidden="1" x14ac:dyDescent="0.3">
      <c r="A4886">
        <v>4884</v>
      </c>
      <c r="B4886" s="1" t="s">
        <v>5606</v>
      </c>
      <c r="C4886" t="s">
        <v>115</v>
      </c>
      <c r="D4886" s="1" t="s">
        <v>5607</v>
      </c>
    </row>
    <row r="4887" spans="1:4" hidden="1" x14ac:dyDescent="0.3">
      <c r="A4887">
        <v>4885</v>
      </c>
      <c r="B4887" t="s">
        <v>5608</v>
      </c>
      <c r="C4887" t="s">
        <v>118</v>
      </c>
      <c r="D4887">
        <v>80019268.594068095</v>
      </c>
    </row>
    <row r="4888" spans="1:4" hidden="1" x14ac:dyDescent="0.3">
      <c r="A4888">
        <v>4886</v>
      </c>
      <c r="B4888" t="s">
        <v>5609</v>
      </c>
      <c r="C4888" t="s">
        <v>120</v>
      </c>
      <c r="D4888">
        <v>35007199.743131302</v>
      </c>
    </row>
    <row r="4889" spans="1:4" hidden="1" x14ac:dyDescent="0.3">
      <c r="A4889">
        <v>4887</v>
      </c>
      <c r="B4889" s="1" t="s">
        <v>5610</v>
      </c>
      <c r="C4889" t="s">
        <v>122</v>
      </c>
      <c r="D4889" s="1" t="s">
        <v>5611</v>
      </c>
    </row>
    <row r="4890" spans="1:4" hidden="1" x14ac:dyDescent="0.3">
      <c r="A4890">
        <v>4888</v>
      </c>
      <c r="B4890" t="s">
        <v>5612</v>
      </c>
      <c r="C4890" t="s">
        <v>125</v>
      </c>
      <c r="D4890">
        <v>0.80018911600528297</v>
      </c>
    </row>
    <row r="4891" spans="1:4" hidden="1" x14ac:dyDescent="0.3">
      <c r="A4891">
        <v>4889</v>
      </c>
      <c r="B4891" t="s">
        <v>5613</v>
      </c>
      <c r="C4891" t="s">
        <v>127</v>
      </c>
      <c r="D4891">
        <v>0.350070435639463</v>
      </c>
    </row>
    <row r="4892" spans="1:4" hidden="1" x14ac:dyDescent="0.3">
      <c r="A4892">
        <v>4890</v>
      </c>
      <c r="B4892" s="1" t="s">
        <v>5614</v>
      </c>
      <c r="C4892" t="s">
        <v>129</v>
      </c>
      <c r="D4892" s="1" t="s">
        <v>5615</v>
      </c>
    </row>
    <row r="4893" spans="1:4" ht="72" x14ac:dyDescent="0.3">
      <c r="A4893">
        <v>4891</v>
      </c>
      <c r="B4893" s="1" t="s">
        <v>3</v>
      </c>
      <c r="C4893" t="s">
        <v>4</v>
      </c>
      <c r="D4893" t="s">
        <v>5</v>
      </c>
    </row>
    <row r="4894" spans="1:4" hidden="1" x14ac:dyDescent="0.3">
      <c r="A4894">
        <v>4892</v>
      </c>
      <c r="B4894" t="s">
        <v>6</v>
      </c>
      <c r="C4894" t="s">
        <v>7</v>
      </c>
      <c r="D4894">
        <v>1981.95</v>
      </c>
    </row>
    <row r="4895" spans="1:4" hidden="1" x14ac:dyDescent="0.3">
      <c r="A4895">
        <v>4893</v>
      </c>
      <c r="B4895" s="1" t="s">
        <v>131</v>
      </c>
      <c r="C4895" t="s">
        <v>9</v>
      </c>
      <c r="D4895" s="1" t="s">
        <v>132</v>
      </c>
    </row>
    <row r="4896" spans="1:4" hidden="1" x14ac:dyDescent="0.3">
      <c r="A4896">
        <v>4894</v>
      </c>
      <c r="B4896" t="s">
        <v>13</v>
      </c>
      <c r="C4896" t="s">
        <v>14</v>
      </c>
      <c r="D4896">
        <v>91.74609375</v>
      </c>
    </row>
    <row r="4897" spans="1:4" hidden="1" x14ac:dyDescent="0.3">
      <c r="A4897">
        <v>4895</v>
      </c>
      <c r="B4897" t="s">
        <v>15</v>
      </c>
      <c r="C4897" t="s">
        <v>16</v>
      </c>
      <c r="D4897">
        <v>4.1883572307132804</v>
      </c>
    </row>
    <row r="4898" spans="1:4" hidden="1" x14ac:dyDescent="0.3">
      <c r="A4898">
        <v>4896</v>
      </c>
      <c r="B4898" s="1" t="s">
        <v>133</v>
      </c>
      <c r="C4898" t="s">
        <v>134</v>
      </c>
      <c r="D4898" s="1" t="s">
        <v>135</v>
      </c>
    </row>
    <row r="4899" spans="1:4" hidden="1" x14ac:dyDescent="0.3">
      <c r="A4899">
        <v>4897</v>
      </c>
      <c r="B4899" t="s">
        <v>21</v>
      </c>
      <c r="C4899" t="s">
        <v>22</v>
      </c>
      <c r="D4899">
        <v>38.25</v>
      </c>
    </row>
    <row r="4900" spans="1:4" hidden="1" x14ac:dyDescent="0.3">
      <c r="A4900">
        <v>4898</v>
      </c>
      <c r="B4900" t="s">
        <v>5616</v>
      </c>
      <c r="C4900" t="s">
        <v>24</v>
      </c>
      <c r="D4900">
        <v>5.4774725873534198</v>
      </c>
    </row>
    <row r="4901" spans="1:4" hidden="1" x14ac:dyDescent="0.3">
      <c r="A4901">
        <v>4899</v>
      </c>
      <c r="B4901" s="1" t="s">
        <v>5617</v>
      </c>
      <c r="C4901" t="s">
        <v>138</v>
      </c>
      <c r="D4901" s="1" t="s">
        <v>5618</v>
      </c>
    </row>
    <row r="4902" spans="1:4" hidden="1" x14ac:dyDescent="0.3">
      <c r="A4902">
        <v>4900</v>
      </c>
      <c r="B4902" t="s">
        <v>5619</v>
      </c>
      <c r="C4902" t="s">
        <v>35</v>
      </c>
      <c r="D4902">
        <v>0.55353702858301501</v>
      </c>
    </row>
    <row r="4903" spans="1:4" hidden="1" x14ac:dyDescent="0.3">
      <c r="A4903">
        <v>4901</v>
      </c>
      <c r="B4903" t="s">
        <v>5620</v>
      </c>
      <c r="C4903" t="s">
        <v>142</v>
      </c>
      <c r="D4903">
        <v>0.67872336104794295</v>
      </c>
    </row>
    <row r="4904" spans="1:4" hidden="1" x14ac:dyDescent="0.3">
      <c r="A4904">
        <v>4902</v>
      </c>
      <c r="B4904" s="1" t="s">
        <v>5621</v>
      </c>
      <c r="C4904" t="s">
        <v>144</v>
      </c>
      <c r="D4904" s="1" t="s">
        <v>5622</v>
      </c>
    </row>
    <row r="4905" spans="1:4" hidden="1" x14ac:dyDescent="0.3">
      <c r="A4905">
        <v>4903</v>
      </c>
      <c r="B4905" t="s">
        <v>5623</v>
      </c>
      <c r="C4905" t="s">
        <v>30</v>
      </c>
      <c r="D4905">
        <v>0.19548412704596499</v>
      </c>
    </row>
    <row r="4906" spans="1:4" hidden="1" x14ac:dyDescent="0.3">
      <c r="A4906">
        <v>4904</v>
      </c>
      <c r="B4906" t="s">
        <v>5624</v>
      </c>
      <c r="C4906" t="s">
        <v>32</v>
      </c>
      <c r="D4906">
        <v>0.25557659452499598</v>
      </c>
    </row>
    <row r="4907" spans="1:4" hidden="1" x14ac:dyDescent="0.3">
      <c r="A4907">
        <v>4905</v>
      </c>
      <c r="B4907" s="1" t="s">
        <v>5625</v>
      </c>
      <c r="C4907" t="s">
        <v>148</v>
      </c>
      <c r="D4907" s="1" t="s">
        <v>5626</v>
      </c>
    </row>
    <row r="4908" spans="1:4" hidden="1" x14ac:dyDescent="0.3">
      <c r="A4908">
        <v>4906</v>
      </c>
      <c r="B4908" t="s">
        <v>5627</v>
      </c>
      <c r="C4908" t="s">
        <v>40</v>
      </c>
      <c r="D4908">
        <v>0.25097884437101797</v>
      </c>
    </row>
    <row r="4909" spans="1:4" hidden="1" x14ac:dyDescent="0.3">
      <c r="A4909">
        <v>4907</v>
      </c>
      <c r="B4909" t="s">
        <v>5628</v>
      </c>
      <c r="C4909" t="s">
        <v>42</v>
      </c>
      <c r="D4909">
        <v>0.217777731243322</v>
      </c>
    </row>
    <row r="4910" spans="1:4" hidden="1" x14ac:dyDescent="0.3">
      <c r="A4910">
        <v>4908</v>
      </c>
      <c r="B4910" s="1" t="s">
        <v>5629</v>
      </c>
      <c r="C4910" t="s">
        <v>152</v>
      </c>
      <c r="D4910" s="1" t="s">
        <v>5630</v>
      </c>
    </row>
    <row r="4911" spans="1:4" hidden="1" x14ac:dyDescent="0.3">
      <c r="A4911">
        <v>4909</v>
      </c>
      <c r="B4911" t="s">
        <v>153</v>
      </c>
      <c r="C4911" t="s">
        <v>154</v>
      </c>
      <c r="D4911">
        <v>1</v>
      </c>
    </row>
    <row r="4912" spans="1:4" hidden="1" x14ac:dyDescent="0.3">
      <c r="A4912">
        <v>4910</v>
      </c>
      <c r="B4912" t="s">
        <v>155</v>
      </c>
      <c r="C4912" t="s">
        <v>156</v>
      </c>
      <c r="D4912">
        <v>1</v>
      </c>
    </row>
    <row r="4913" spans="1:4" hidden="1" x14ac:dyDescent="0.3">
      <c r="A4913">
        <v>4911</v>
      </c>
      <c r="B4913" s="1" t="s">
        <v>5631</v>
      </c>
      <c r="C4913" t="s">
        <v>158</v>
      </c>
      <c r="D4913" s="1" t="s">
        <v>5632</v>
      </c>
    </row>
    <row r="4914" spans="1:4" hidden="1" x14ac:dyDescent="0.3">
      <c r="A4914">
        <v>4912</v>
      </c>
      <c r="B4914" t="s">
        <v>5633</v>
      </c>
      <c r="C4914" t="s">
        <v>161</v>
      </c>
      <c r="D4914">
        <v>1.0008150929530799</v>
      </c>
    </row>
    <row r="4915" spans="1:4" hidden="1" x14ac:dyDescent="0.3">
      <c r="A4915">
        <v>4913</v>
      </c>
      <c r="B4915" t="s">
        <v>5634</v>
      </c>
      <c r="C4915" t="s">
        <v>163</v>
      </c>
      <c r="D4915">
        <v>0.99822336700950898</v>
      </c>
    </row>
    <row r="4916" spans="1:4" hidden="1" x14ac:dyDescent="0.3">
      <c r="A4916">
        <v>4914</v>
      </c>
      <c r="B4916" s="1" t="s">
        <v>5635</v>
      </c>
      <c r="C4916" t="s">
        <v>165</v>
      </c>
      <c r="D4916" s="1" t="s">
        <v>5636</v>
      </c>
    </row>
    <row r="4917" spans="1:4" hidden="1" x14ac:dyDescent="0.3">
      <c r="A4917">
        <v>4915</v>
      </c>
      <c r="B4917" s="1" t="s">
        <v>5637</v>
      </c>
      <c r="C4917" t="s">
        <v>55</v>
      </c>
      <c r="D4917" s="1" t="s">
        <v>5638</v>
      </c>
    </row>
    <row r="4918" spans="1:4" hidden="1" x14ac:dyDescent="0.3">
      <c r="A4918">
        <v>4916</v>
      </c>
      <c r="B4918" s="1" t="s">
        <v>5639</v>
      </c>
      <c r="C4918" t="s">
        <v>52</v>
      </c>
      <c r="D4918" s="1" t="s">
        <v>5640</v>
      </c>
    </row>
    <row r="4919" spans="1:4" hidden="1" x14ac:dyDescent="0.3">
      <c r="A4919">
        <v>4917</v>
      </c>
      <c r="B4919" s="1" t="s">
        <v>5641</v>
      </c>
      <c r="C4919" t="s">
        <v>58</v>
      </c>
      <c r="D4919" s="1" t="s">
        <v>5642</v>
      </c>
    </row>
    <row r="4920" spans="1:4" hidden="1" x14ac:dyDescent="0.3">
      <c r="A4920">
        <v>4918</v>
      </c>
      <c r="B4920" t="s">
        <v>5643</v>
      </c>
      <c r="C4920" t="s">
        <v>60</v>
      </c>
      <c r="D4920">
        <v>149749812.171523</v>
      </c>
    </row>
    <row r="4921" spans="1:4" hidden="1" x14ac:dyDescent="0.3">
      <c r="A4921">
        <v>4919</v>
      </c>
      <c r="B4921" t="s">
        <v>5644</v>
      </c>
      <c r="C4921" t="s">
        <v>62</v>
      </c>
      <c r="D4921">
        <v>80019268.594068095</v>
      </c>
    </row>
    <row r="4922" spans="1:4" hidden="1" x14ac:dyDescent="0.3">
      <c r="A4922">
        <v>4920</v>
      </c>
      <c r="B4922" t="s">
        <v>5645</v>
      </c>
      <c r="C4922" t="s">
        <v>64</v>
      </c>
      <c r="D4922">
        <v>35007199.743131302</v>
      </c>
    </row>
    <row r="4923" spans="1:4" hidden="1" x14ac:dyDescent="0.3">
      <c r="A4923">
        <v>4921</v>
      </c>
      <c r="B4923" s="1" t="s">
        <v>5646</v>
      </c>
      <c r="C4923" t="s">
        <v>66</v>
      </c>
      <c r="D4923" s="1" t="s">
        <v>5647</v>
      </c>
    </row>
    <row r="4924" spans="1:4" hidden="1" x14ac:dyDescent="0.3">
      <c r="A4924">
        <v>4922</v>
      </c>
      <c r="B4924" s="1" t="s">
        <v>5648</v>
      </c>
      <c r="C4924" t="s">
        <v>69</v>
      </c>
      <c r="D4924" s="1" t="s">
        <v>5649</v>
      </c>
    </row>
    <row r="4925" spans="1:4" hidden="1" x14ac:dyDescent="0.3">
      <c r="A4925">
        <v>4923</v>
      </c>
      <c r="B4925" t="s">
        <v>5650</v>
      </c>
      <c r="C4925" t="s">
        <v>72</v>
      </c>
      <c r="D4925">
        <v>1.0001571700237999</v>
      </c>
    </row>
    <row r="4926" spans="1:4" hidden="1" x14ac:dyDescent="0.3">
      <c r="A4926">
        <v>4924</v>
      </c>
      <c r="B4926" t="s">
        <v>73</v>
      </c>
      <c r="C4926" t="s">
        <v>74</v>
      </c>
      <c r="D4926">
        <v>2.7397260273972599E-3</v>
      </c>
    </row>
    <row r="4927" spans="1:4" hidden="1" x14ac:dyDescent="0.3">
      <c r="A4927">
        <v>4925</v>
      </c>
      <c r="B4927" t="s">
        <v>75</v>
      </c>
      <c r="C4927" t="s">
        <v>76</v>
      </c>
      <c r="D4927">
        <v>0</v>
      </c>
    </row>
    <row r="4928" spans="1:4" hidden="1" x14ac:dyDescent="0.3">
      <c r="A4928">
        <v>4926</v>
      </c>
      <c r="B4928" t="s">
        <v>969</v>
      </c>
      <c r="C4928" t="s">
        <v>78</v>
      </c>
      <c r="D4928" s="2">
        <v>2.2204460492503101E-16</v>
      </c>
    </row>
    <row r="4929" spans="1:4" hidden="1" x14ac:dyDescent="0.3">
      <c r="A4929">
        <v>4927</v>
      </c>
      <c r="B4929" s="1" t="s">
        <v>5651</v>
      </c>
      <c r="C4929" t="s">
        <v>80</v>
      </c>
      <c r="D4929" s="1" t="s">
        <v>5652</v>
      </c>
    </row>
    <row r="4930" spans="1:4" hidden="1" x14ac:dyDescent="0.3">
      <c r="A4930">
        <v>4928</v>
      </c>
      <c r="B4930" t="s">
        <v>5653</v>
      </c>
      <c r="C4930" t="s">
        <v>83</v>
      </c>
      <c r="D4930">
        <v>1.00012867168168</v>
      </c>
    </row>
    <row r="4931" spans="1:4" hidden="1" x14ac:dyDescent="0.3">
      <c r="A4931">
        <v>4929</v>
      </c>
      <c r="B4931" s="1" t="s">
        <v>5654</v>
      </c>
      <c r="C4931" t="s">
        <v>85</v>
      </c>
      <c r="D4931" s="1" t="s">
        <v>5655</v>
      </c>
    </row>
    <row r="4932" spans="1:4" hidden="1" x14ac:dyDescent="0.3">
      <c r="A4932">
        <v>4930</v>
      </c>
      <c r="B4932" t="s">
        <v>5656</v>
      </c>
      <c r="C4932" t="s">
        <v>88</v>
      </c>
      <c r="D4932">
        <v>99987134.487259105</v>
      </c>
    </row>
    <row r="4933" spans="1:4" hidden="1" x14ac:dyDescent="0.3">
      <c r="A4933">
        <v>4931</v>
      </c>
      <c r="B4933" s="1" t="s">
        <v>5657</v>
      </c>
      <c r="C4933" t="s">
        <v>90</v>
      </c>
      <c r="D4933" s="1" t="s">
        <v>5603</v>
      </c>
    </row>
    <row r="4934" spans="1:4" hidden="1" x14ac:dyDescent="0.3">
      <c r="A4934">
        <v>4932</v>
      </c>
      <c r="B4934" t="s">
        <v>5658</v>
      </c>
      <c r="C4934" t="s">
        <v>93</v>
      </c>
      <c r="D4934">
        <v>80019268.594068095</v>
      </c>
    </row>
    <row r="4935" spans="1:4" hidden="1" x14ac:dyDescent="0.3">
      <c r="A4935">
        <v>4933</v>
      </c>
      <c r="B4935" t="s">
        <v>5659</v>
      </c>
      <c r="C4935" t="s">
        <v>95</v>
      </c>
      <c r="D4935">
        <v>35007199.743131302</v>
      </c>
    </row>
    <row r="4936" spans="1:4" hidden="1" x14ac:dyDescent="0.3">
      <c r="A4936">
        <v>4934</v>
      </c>
      <c r="B4936" t="s">
        <v>5660</v>
      </c>
      <c r="C4936" t="s">
        <v>97</v>
      </c>
      <c r="D4936">
        <v>34723343.834323801</v>
      </c>
    </row>
    <row r="4937" spans="1:4" hidden="1" x14ac:dyDescent="0.3">
      <c r="A4937">
        <v>4935</v>
      </c>
      <c r="B4937" s="1" t="s">
        <v>5661</v>
      </c>
      <c r="C4937" t="s">
        <v>99</v>
      </c>
      <c r="D4937" s="1" t="s">
        <v>5662</v>
      </c>
    </row>
    <row r="4938" spans="1:4" hidden="1" x14ac:dyDescent="0.3">
      <c r="A4938">
        <v>4936</v>
      </c>
      <c r="B4938" t="s">
        <v>5663</v>
      </c>
      <c r="C4938" t="s">
        <v>102</v>
      </c>
      <c r="D4938">
        <v>8.1571958839327507E-3</v>
      </c>
    </row>
    <row r="4939" spans="1:4" hidden="1" x14ac:dyDescent="0.3">
      <c r="A4939">
        <v>4937</v>
      </c>
      <c r="B4939" t="s">
        <v>5664</v>
      </c>
      <c r="C4939" t="s">
        <v>104</v>
      </c>
      <c r="D4939">
        <v>1.73835431379211E-3</v>
      </c>
    </row>
    <row r="4940" spans="1:4" hidden="1" x14ac:dyDescent="0.3">
      <c r="A4940">
        <v>4938</v>
      </c>
      <c r="B4940" t="s">
        <v>5665</v>
      </c>
      <c r="C4940" t="s">
        <v>106</v>
      </c>
      <c r="D4940">
        <v>2.3505912350919599E-2</v>
      </c>
    </row>
    <row r="4941" spans="1:4" hidden="1" x14ac:dyDescent="0.3">
      <c r="A4941">
        <v>4939</v>
      </c>
      <c r="B4941" s="1" t="s">
        <v>5666</v>
      </c>
      <c r="C4941" t="s">
        <v>108</v>
      </c>
      <c r="D4941" s="1" t="s">
        <v>5667</v>
      </c>
    </row>
    <row r="4942" spans="1:4" hidden="1" x14ac:dyDescent="0.3">
      <c r="A4942">
        <v>4940</v>
      </c>
      <c r="B4942" t="s">
        <v>5668</v>
      </c>
      <c r="C4942" t="s">
        <v>196</v>
      </c>
      <c r="D4942">
        <v>149748830.37751299</v>
      </c>
    </row>
    <row r="4943" spans="1:4" hidden="1" x14ac:dyDescent="0.3">
      <c r="A4943">
        <v>4941</v>
      </c>
      <c r="B4943" t="s">
        <v>5669</v>
      </c>
      <c r="C4943" t="s">
        <v>198</v>
      </c>
      <c r="D4943">
        <v>2280.03644372194</v>
      </c>
    </row>
    <row r="4944" spans="1:4" hidden="1" x14ac:dyDescent="0.3">
      <c r="A4944">
        <v>4942</v>
      </c>
      <c r="B4944" t="s">
        <v>5670</v>
      </c>
      <c r="C4944" t="s">
        <v>200</v>
      </c>
      <c r="D4944">
        <v>997.48712263799803</v>
      </c>
    </row>
    <row r="4945" spans="1:4" hidden="1" x14ac:dyDescent="0.3">
      <c r="A4945">
        <v>4943</v>
      </c>
      <c r="B4945" s="1" t="s">
        <v>5671</v>
      </c>
      <c r="C4945" t="s">
        <v>202</v>
      </c>
      <c r="D4945" s="1" t="s">
        <v>5672</v>
      </c>
    </row>
    <row r="4946" spans="1:4" hidden="1" x14ac:dyDescent="0.3">
      <c r="A4946">
        <v>4944</v>
      </c>
      <c r="B4946" t="s">
        <v>5673</v>
      </c>
      <c r="C4946" t="s">
        <v>205</v>
      </c>
      <c r="D4946">
        <v>80016227.246784404</v>
      </c>
    </row>
    <row r="4947" spans="1:4" hidden="1" x14ac:dyDescent="0.3">
      <c r="A4947">
        <v>4945</v>
      </c>
      <c r="B4947" t="s">
        <v>5674</v>
      </c>
      <c r="C4947" t="s">
        <v>207</v>
      </c>
      <c r="D4947">
        <v>35006087.9511436</v>
      </c>
    </row>
    <row r="4948" spans="1:4" hidden="1" x14ac:dyDescent="0.3">
      <c r="A4948">
        <v>4946</v>
      </c>
      <c r="B4948" t="s">
        <v>5675</v>
      </c>
      <c r="C4948" t="s">
        <v>209</v>
      </c>
      <c r="D4948">
        <v>34722248.256816</v>
      </c>
    </row>
    <row r="4949" spans="1:4" hidden="1" x14ac:dyDescent="0.3">
      <c r="A4949">
        <v>4947</v>
      </c>
      <c r="B4949" s="1" t="s">
        <v>5676</v>
      </c>
      <c r="C4949" t="s">
        <v>211</v>
      </c>
      <c r="D4949" s="1" t="s">
        <v>5677</v>
      </c>
    </row>
    <row r="4950" spans="1:4" hidden="1" x14ac:dyDescent="0.3">
      <c r="A4950">
        <v>4948</v>
      </c>
      <c r="B4950" t="s">
        <v>5678</v>
      </c>
      <c r="C4950" t="s">
        <v>214</v>
      </c>
      <c r="D4950">
        <v>99984285.467472598</v>
      </c>
    </row>
    <row r="4951" spans="1:4" hidden="1" x14ac:dyDescent="0.3">
      <c r="A4951">
        <v>4949</v>
      </c>
      <c r="B4951" t="s">
        <v>5679</v>
      </c>
      <c r="C4951" t="s">
        <v>216</v>
      </c>
      <c r="D4951">
        <v>2849.0197864770798</v>
      </c>
    </row>
    <row r="4952" spans="1:4" hidden="1" x14ac:dyDescent="0.3">
      <c r="A4952">
        <v>4950</v>
      </c>
      <c r="B4952" s="1" t="s">
        <v>5680</v>
      </c>
      <c r="C4952" t="s">
        <v>218</v>
      </c>
      <c r="D4952" s="1" t="s">
        <v>5681</v>
      </c>
    </row>
    <row r="4953" spans="1:4" hidden="1" x14ac:dyDescent="0.3">
      <c r="A4953">
        <v>4951</v>
      </c>
      <c r="B4953" t="s">
        <v>5682</v>
      </c>
      <c r="C4953" t="s">
        <v>111</v>
      </c>
      <c r="D4953">
        <v>-761.31084000907299</v>
      </c>
    </row>
    <row r="4954" spans="1:4" hidden="1" x14ac:dyDescent="0.3">
      <c r="A4954">
        <v>4952</v>
      </c>
      <c r="B4954" t="s">
        <v>5683</v>
      </c>
      <c r="C4954" t="s">
        <v>113</v>
      </c>
      <c r="D4954">
        <v>-114.30486498506301</v>
      </c>
    </row>
    <row r="4955" spans="1:4" hidden="1" x14ac:dyDescent="0.3">
      <c r="A4955">
        <v>4953</v>
      </c>
      <c r="B4955" s="1" t="s">
        <v>5684</v>
      </c>
      <c r="C4955" t="s">
        <v>115</v>
      </c>
      <c r="D4955" s="1" t="s">
        <v>5685</v>
      </c>
    </row>
    <row r="4956" spans="1:4" hidden="1" x14ac:dyDescent="0.3">
      <c r="A4956">
        <v>4954</v>
      </c>
      <c r="B4956" t="s">
        <v>5686</v>
      </c>
      <c r="C4956" t="s">
        <v>118</v>
      </c>
      <c r="D4956">
        <v>80016227.246784404</v>
      </c>
    </row>
    <row r="4957" spans="1:4" hidden="1" x14ac:dyDescent="0.3">
      <c r="A4957">
        <v>4955</v>
      </c>
      <c r="B4957" t="s">
        <v>5687</v>
      </c>
      <c r="C4957" t="s">
        <v>120</v>
      </c>
      <c r="D4957">
        <v>35006087.9511436</v>
      </c>
    </row>
    <row r="4958" spans="1:4" hidden="1" x14ac:dyDescent="0.3">
      <c r="A4958">
        <v>4956</v>
      </c>
      <c r="B4958" s="1" t="s">
        <v>5688</v>
      </c>
      <c r="C4958" t="s">
        <v>122</v>
      </c>
      <c r="D4958" s="1" t="s">
        <v>5689</v>
      </c>
    </row>
    <row r="4959" spans="1:4" hidden="1" x14ac:dyDescent="0.3">
      <c r="A4959">
        <v>4957</v>
      </c>
      <c r="B4959" t="s">
        <v>5690</v>
      </c>
      <c r="C4959" t="s">
        <v>125</v>
      </c>
      <c r="D4959">
        <v>0.80018507283228002</v>
      </c>
    </row>
    <row r="4960" spans="1:4" hidden="1" x14ac:dyDescent="0.3">
      <c r="A4960">
        <v>4958</v>
      </c>
      <c r="B4960" t="s">
        <v>5691</v>
      </c>
      <c r="C4960" t="s">
        <v>127</v>
      </c>
      <c r="D4960">
        <v>0.350070854382663</v>
      </c>
    </row>
    <row r="4961" spans="1:4" hidden="1" x14ac:dyDescent="0.3">
      <c r="A4961">
        <v>4959</v>
      </c>
      <c r="B4961" s="1" t="s">
        <v>5692</v>
      </c>
      <c r="C4961" t="s">
        <v>129</v>
      </c>
      <c r="D4961" s="1" t="s">
        <v>5693</v>
      </c>
    </row>
    <row r="4962" spans="1:4" ht="72" x14ac:dyDescent="0.3">
      <c r="A4962">
        <v>4960</v>
      </c>
      <c r="B4962" s="1" t="s">
        <v>3</v>
      </c>
      <c r="C4962" t="s">
        <v>4</v>
      </c>
      <c r="D4962" t="s">
        <v>5</v>
      </c>
    </row>
    <row r="4963" spans="1:4" hidden="1" x14ac:dyDescent="0.3">
      <c r="A4963">
        <v>4961</v>
      </c>
      <c r="B4963" t="s">
        <v>6</v>
      </c>
      <c r="C4963" t="s">
        <v>7</v>
      </c>
      <c r="D4963">
        <v>1981.95</v>
      </c>
    </row>
    <row r="4964" spans="1:4" hidden="1" x14ac:dyDescent="0.3">
      <c r="A4964">
        <v>4962</v>
      </c>
      <c r="B4964" s="1" t="s">
        <v>131</v>
      </c>
      <c r="C4964" t="s">
        <v>9</v>
      </c>
      <c r="D4964" s="1" t="s">
        <v>132</v>
      </c>
    </row>
    <row r="4965" spans="1:4" hidden="1" x14ac:dyDescent="0.3">
      <c r="A4965">
        <v>4963</v>
      </c>
      <c r="B4965" t="s">
        <v>13</v>
      </c>
      <c r="C4965" t="s">
        <v>14</v>
      </c>
      <c r="D4965">
        <v>91.74609375</v>
      </c>
    </row>
    <row r="4966" spans="1:4" hidden="1" x14ac:dyDescent="0.3">
      <c r="A4966">
        <v>4964</v>
      </c>
      <c r="B4966" t="s">
        <v>15</v>
      </c>
      <c r="C4966" t="s">
        <v>16</v>
      </c>
      <c r="D4966">
        <v>4.1883572307132804</v>
      </c>
    </row>
    <row r="4967" spans="1:4" hidden="1" x14ac:dyDescent="0.3">
      <c r="A4967">
        <v>4965</v>
      </c>
      <c r="B4967" s="1" t="s">
        <v>133</v>
      </c>
      <c r="C4967" t="s">
        <v>134</v>
      </c>
      <c r="D4967" s="1" t="s">
        <v>135</v>
      </c>
    </row>
    <row r="4968" spans="1:4" hidden="1" x14ac:dyDescent="0.3">
      <c r="A4968">
        <v>4966</v>
      </c>
      <c r="B4968" t="s">
        <v>21</v>
      </c>
      <c r="C4968" t="s">
        <v>22</v>
      </c>
      <c r="D4968">
        <v>38.25</v>
      </c>
    </row>
    <row r="4969" spans="1:4" hidden="1" x14ac:dyDescent="0.3">
      <c r="A4969">
        <v>4967</v>
      </c>
      <c r="B4969" t="s">
        <v>5694</v>
      </c>
      <c r="C4969" t="s">
        <v>24</v>
      </c>
      <c r="D4969">
        <v>5.4435740904443399</v>
      </c>
    </row>
    <row r="4970" spans="1:4" hidden="1" x14ac:dyDescent="0.3">
      <c r="A4970">
        <v>4968</v>
      </c>
      <c r="B4970" s="1" t="s">
        <v>5695</v>
      </c>
      <c r="C4970" t="s">
        <v>138</v>
      </c>
      <c r="D4970" s="1" t="s">
        <v>5696</v>
      </c>
    </row>
    <row r="4971" spans="1:4" hidden="1" x14ac:dyDescent="0.3">
      <c r="A4971">
        <v>4969</v>
      </c>
      <c r="B4971" t="s">
        <v>5697</v>
      </c>
      <c r="C4971" t="s">
        <v>35</v>
      </c>
      <c r="D4971">
        <v>0.55342197379221802</v>
      </c>
    </row>
    <row r="4972" spans="1:4" hidden="1" x14ac:dyDescent="0.3">
      <c r="A4972">
        <v>4970</v>
      </c>
      <c r="B4972" t="s">
        <v>5698</v>
      </c>
      <c r="C4972" t="s">
        <v>142</v>
      </c>
      <c r="D4972">
        <v>0.68819719795858603</v>
      </c>
    </row>
    <row r="4973" spans="1:4" hidden="1" x14ac:dyDescent="0.3">
      <c r="A4973">
        <v>4971</v>
      </c>
      <c r="B4973" s="1" t="s">
        <v>5699</v>
      </c>
      <c r="C4973" t="s">
        <v>144</v>
      </c>
      <c r="D4973" s="1" t="s">
        <v>5700</v>
      </c>
    </row>
    <row r="4974" spans="1:4" hidden="1" x14ac:dyDescent="0.3">
      <c r="A4974">
        <v>4972</v>
      </c>
      <c r="B4974" t="s">
        <v>5701</v>
      </c>
      <c r="C4974" t="s">
        <v>30</v>
      </c>
      <c r="D4974">
        <v>0.195443494921681</v>
      </c>
    </row>
    <row r="4975" spans="1:4" hidden="1" x14ac:dyDescent="0.3">
      <c r="A4975">
        <v>4973</v>
      </c>
      <c r="B4975" t="s">
        <v>5702</v>
      </c>
      <c r="C4975" t="s">
        <v>32</v>
      </c>
      <c r="D4975">
        <v>0.24411733916398001</v>
      </c>
    </row>
    <row r="4976" spans="1:4" hidden="1" x14ac:dyDescent="0.3">
      <c r="A4976">
        <v>4974</v>
      </c>
      <c r="B4976" s="1" t="s">
        <v>5703</v>
      </c>
      <c r="C4976" t="s">
        <v>148</v>
      </c>
      <c r="D4976" s="1" t="s">
        <v>5704</v>
      </c>
    </row>
    <row r="4977" spans="1:4" hidden="1" x14ac:dyDescent="0.3">
      <c r="A4977">
        <v>4975</v>
      </c>
      <c r="B4977" t="s">
        <v>5705</v>
      </c>
      <c r="C4977" t="s">
        <v>40</v>
      </c>
      <c r="D4977">
        <v>0.25113453128609903</v>
      </c>
    </row>
    <row r="4978" spans="1:4" hidden="1" x14ac:dyDescent="0.3">
      <c r="A4978">
        <v>4976</v>
      </c>
      <c r="B4978" t="s">
        <v>5706</v>
      </c>
      <c r="C4978" t="s">
        <v>42</v>
      </c>
      <c r="D4978">
        <v>0.208954546287341</v>
      </c>
    </row>
    <row r="4979" spans="1:4" hidden="1" x14ac:dyDescent="0.3">
      <c r="A4979">
        <v>4977</v>
      </c>
      <c r="B4979" s="1" t="s">
        <v>5707</v>
      </c>
      <c r="C4979" t="s">
        <v>152</v>
      </c>
      <c r="D4979" s="1" t="s">
        <v>5708</v>
      </c>
    </row>
    <row r="4980" spans="1:4" hidden="1" x14ac:dyDescent="0.3">
      <c r="A4980">
        <v>4978</v>
      </c>
      <c r="B4980" t="s">
        <v>153</v>
      </c>
      <c r="C4980" t="s">
        <v>154</v>
      </c>
      <c r="D4980">
        <v>1</v>
      </c>
    </row>
    <row r="4981" spans="1:4" hidden="1" x14ac:dyDescent="0.3">
      <c r="A4981">
        <v>4979</v>
      </c>
      <c r="B4981" t="s">
        <v>155</v>
      </c>
      <c r="C4981" t="s">
        <v>156</v>
      </c>
      <c r="D4981">
        <v>1</v>
      </c>
    </row>
    <row r="4982" spans="1:4" hidden="1" x14ac:dyDescent="0.3">
      <c r="A4982">
        <v>4980</v>
      </c>
      <c r="B4982" s="1" t="s">
        <v>5709</v>
      </c>
      <c r="C4982" t="s">
        <v>158</v>
      </c>
      <c r="D4982" s="1" t="s">
        <v>5710</v>
      </c>
    </row>
    <row r="4983" spans="1:4" hidden="1" x14ac:dyDescent="0.3">
      <c r="A4983">
        <v>4981</v>
      </c>
      <c r="B4983" t="s">
        <v>5711</v>
      </c>
      <c r="C4983" t="s">
        <v>161</v>
      </c>
      <c r="D4983">
        <v>1.00564347713891</v>
      </c>
    </row>
    <row r="4984" spans="1:4" hidden="1" x14ac:dyDescent="0.3">
      <c r="A4984">
        <v>4982</v>
      </c>
      <c r="B4984" t="s">
        <v>5712</v>
      </c>
      <c r="C4984" t="s">
        <v>163</v>
      </c>
      <c r="D4984">
        <v>0.99087331238015697</v>
      </c>
    </row>
    <row r="4985" spans="1:4" hidden="1" x14ac:dyDescent="0.3">
      <c r="A4985">
        <v>4983</v>
      </c>
      <c r="B4985" s="1" t="s">
        <v>5713</v>
      </c>
      <c r="C4985" t="s">
        <v>165</v>
      </c>
      <c r="D4985" s="1" t="s">
        <v>5714</v>
      </c>
    </row>
    <row r="4986" spans="1:4" hidden="1" x14ac:dyDescent="0.3">
      <c r="A4986">
        <v>4984</v>
      </c>
      <c r="B4986" s="1" t="s">
        <v>5715</v>
      </c>
      <c r="C4986" t="s">
        <v>55</v>
      </c>
      <c r="D4986" s="1" t="s">
        <v>5716</v>
      </c>
    </row>
    <row r="4987" spans="1:4" hidden="1" x14ac:dyDescent="0.3">
      <c r="A4987">
        <v>4985</v>
      </c>
      <c r="B4987" s="1" t="s">
        <v>5717</v>
      </c>
      <c r="C4987" t="s">
        <v>52</v>
      </c>
      <c r="D4987" s="1" t="s">
        <v>5718</v>
      </c>
    </row>
    <row r="4988" spans="1:4" hidden="1" x14ac:dyDescent="0.3">
      <c r="A4988">
        <v>4986</v>
      </c>
      <c r="B4988" s="1" t="s">
        <v>5719</v>
      </c>
      <c r="C4988" t="s">
        <v>58</v>
      </c>
      <c r="D4988" s="1" t="s">
        <v>5720</v>
      </c>
    </row>
    <row r="4989" spans="1:4" hidden="1" x14ac:dyDescent="0.3">
      <c r="A4989">
        <v>4987</v>
      </c>
      <c r="B4989" t="s">
        <v>5721</v>
      </c>
      <c r="C4989" t="s">
        <v>60</v>
      </c>
      <c r="D4989">
        <v>149717646.00547099</v>
      </c>
    </row>
    <row r="4990" spans="1:4" hidden="1" x14ac:dyDescent="0.3">
      <c r="A4990">
        <v>4988</v>
      </c>
      <c r="B4990" t="s">
        <v>5722</v>
      </c>
      <c r="C4990" t="s">
        <v>62</v>
      </c>
      <c r="D4990">
        <v>80016227.246784404</v>
      </c>
    </row>
    <row r="4991" spans="1:4" hidden="1" x14ac:dyDescent="0.3">
      <c r="A4991">
        <v>4989</v>
      </c>
      <c r="B4991" t="s">
        <v>5723</v>
      </c>
      <c r="C4991" t="s">
        <v>64</v>
      </c>
      <c r="D4991">
        <v>35006087.9511436</v>
      </c>
    </row>
    <row r="4992" spans="1:4" hidden="1" x14ac:dyDescent="0.3">
      <c r="A4992">
        <v>4990</v>
      </c>
      <c r="B4992" s="1" t="s">
        <v>5724</v>
      </c>
      <c r="C4992" t="s">
        <v>66</v>
      </c>
      <c r="D4992" s="1" t="s">
        <v>5725</v>
      </c>
    </row>
    <row r="4993" spans="1:4" hidden="1" x14ac:dyDescent="0.3">
      <c r="A4993">
        <v>4991</v>
      </c>
      <c r="B4993" s="1" t="s">
        <v>5726</v>
      </c>
      <c r="C4993" t="s">
        <v>69</v>
      </c>
      <c r="D4993" s="1" t="s">
        <v>5727</v>
      </c>
    </row>
    <row r="4994" spans="1:4" hidden="1" x14ac:dyDescent="0.3">
      <c r="A4994">
        <v>4992</v>
      </c>
      <c r="B4994" t="s">
        <v>5728</v>
      </c>
      <c r="C4994" t="s">
        <v>72</v>
      </c>
      <c r="D4994">
        <v>1.00012867168168</v>
      </c>
    </row>
    <row r="4995" spans="1:4" hidden="1" x14ac:dyDescent="0.3">
      <c r="A4995">
        <v>4993</v>
      </c>
      <c r="B4995" t="s">
        <v>73</v>
      </c>
      <c r="C4995" t="s">
        <v>74</v>
      </c>
      <c r="D4995">
        <v>2.7397260273972599E-3</v>
      </c>
    </row>
    <row r="4996" spans="1:4" hidden="1" x14ac:dyDescent="0.3">
      <c r="A4996">
        <v>4994</v>
      </c>
      <c r="B4996" t="s">
        <v>75</v>
      </c>
      <c r="C4996" t="s">
        <v>76</v>
      </c>
      <c r="D4996">
        <v>0</v>
      </c>
    </row>
    <row r="4997" spans="1:4" hidden="1" x14ac:dyDescent="0.3">
      <c r="A4997">
        <v>4995</v>
      </c>
      <c r="B4997" t="s">
        <v>77</v>
      </c>
      <c r="C4997" t="s">
        <v>78</v>
      </c>
      <c r="D4997">
        <v>0</v>
      </c>
    </row>
    <row r="4998" spans="1:4" hidden="1" x14ac:dyDescent="0.3">
      <c r="A4998">
        <v>4996</v>
      </c>
      <c r="B4998" s="1" t="s">
        <v>5729</v>
      </c>
      <c r="C4998" t="s">
        <v>80</v>
      </c>
      <c r="D4998" s="1" t="s">
        <v>5730</v>
      </c>
    </row>
    <row r="4999" spans="1:4" hidden="1" x14ac:dyDescent="0.3">
      <c r="A4999">
        <v>4997</v>
      </c>
      <c r="B4999" t="s">
        <v>5731</v>
      </c>
      <c r="C4999" t="s">
        <v>83</v>
      </c>
      <c r="D4999">
        <v>1.00011429951263</v>
      </c>
    </row>
    <row r="5000" spans="1:4" hidden="1" x14ac:dyDescent="0.3">
      <c r="A5000">
        <v>4998</v>
      </c>
      <c r="B5000" s="1" t="s">
        <v>5732</v>
      </c>
      <c r="C5000" t="s">
        <v>85</v>
      </c>
      <c r="D5000" s="1" t="s">
        <v>5733</v>
      </c>
    </row>
    <row r="5001" spans="1:4" hidden="1" x14ac:dyDescent="0.3">
      <c r="A5001">
        <v>4999</v>
      </c>
      <c r="B5001" t="s">
        <v>5734</v>
      </c>
      <c r="C5001" t="s">
        <v>88</v>
      </c>
      <c r="D5001">
        <v>99988571.355024606</v>
      </c>
    </row>
    <row r="5002" spans="1:4" hidden="1" x14ac:dyDescent="0.3">
      <c r="A5002">
        <v>5000</v>
      </c>
      <c r="B5002" s="1" t="s">
        <v>5735</v>
      </c>
      <c r="C5002" t="s">
        <v>90</v>
      </c>
      <c r="D5002" s="1" t="s">
        <v>5681</v>
      </c>
    </row>
    <row r="5003" spans="1:4" hidden="1" x14ac:dyDescent="0.3">
      <c r="A5003">
        <v>5001</v>
      </c>
      <c r="B5003" t="s">
        <v>5736</v>
      </c>
      <c r="C5003" t="s">
        <v>93</v>
      </c>
      <c r="D5003">
        <v>80016227.246784404</v>
      </c>
    </row>
    <row r="5004" spans="1:4" hidden="1" x14ac:dyDescent="0.3">
      <c r="A5004">
        <v>5002</v>
      </c>
      <c r="B5004" t="s">
        <v>5737</v>
      </c>
      <c r="C5004" t="s">
        <v>95</v>
      </c>
      <c r="D5004">
        <v>35006087.9511436</v>
      </c>
    </row>
    <row r="5005" spans="1:4" hidden="1" x14ac:dyDescent="0.3">
      <c r="A5005">
        <v>5003</v>
      </c>
      <c r="B5005" t="s">
        <v>5738</v>
      </c>
      <c r="C5005" t="s">
        <v>97</v>
      </c>
      <c r="D5005">
        <v>34695330.807542898</v>
      </c>
    </row>
    <row r="5006" spans="1:4" hidden="1" x14ac:dyDescent="0.3">
      <c r="A5006">
        <v>5004</v>
      </c>
      <c r="B5006" s="1" t="s">
        <v>5739</v>
      </c>
      <c r="C5006" t="s">
        <v>99</v>
      </c>
      <c r="D5006" s="1" t="s">
        <v>5740</v>
      </c>
    </row>
    <row r="5007" spans="1:4" hidden="1" x14ac:dyDescent="0.3">
      <c r="A5007">
        <v>5005</v>
      </c>
      <c r="B5007" t="s">
        <v>5741</v>
      </c>
      <c r="C5007" t="s">
        <v>102</v>
      </c>
      <c r="D5007">
        <v>8.3096777001692504E-3</v>
      </c>
    </row>
    <row r="5008" spans="1:4" hidden="1" x14ac:dyDescent="0.3">
      <c r="A5008">
        <v>5006</v>
      </c>
      <c r="B5008" t="s">
        <v>5742</v>
      </c>
      <c r="C5008" t="s">
        <v>104</v>
      </c>
      <c r="D5008">
        <v>1.6760449371860701E-3</v>
      </c>
    </row>
    <row r="5009" spans="1:4" hidden="1" x14ac:dyDescent="0.3">
      <c r="A5009">
        <v>5007</v>
      </c>
      <c r="B5009" t="s">
        <v>5743</v>
      </c>
      <c r="C5009" t="s">
        <v>106</v>
      </c>
      <c r="D5009">
        <v>2.3924845124349201E-2</v>
      </c>
    </row>
    <row r="5010" spans="1:4" hidden="1" x14ac:dyDescent="0.3">
      <c r="A5010">
        <v>5008</v>
      </c>
      <c r="B5010" s="1" t="s">
        <v>5744</v>
      </c>
      <c r="C5010" t="s">
        <v>108</v>
      </c>
      <c r="D5010" s="1" t="s">
        <v>5745</v>
      </c>
    </row>
    <row r="5011" spans="1:4" hidden="1" x14ac:dyDescent="0.3">
      <c r="A5011">
        <v>5009</v>
      </c>
      <c r="B5011" t="s">
        <v>5746</v>
      </c>
      <c r="C5011" t="s">
        <v>196</v>
      </c>
      <c r="D5011">
        <v>149717150.16309801</v>
      </c>
    </row>
    <row r="5012" spans="1:4" hidden="1" x14ac:dyDescent="0.3">
      <c r="A5012">
        <v>5010</v>
      </c>
      <c r="B5012" t="s">
        <v>5747</v>
      </c>
      <c r="C5012" t="s">
        <v>198</v>
      </c>
      <c r="D5012">
        <v>1149.85327135686</v>
      </c>
    </row>
    <row r="5013" spans="1:4" hidden="1" x14ac:dyDescent="0.3">
      <c r="A5013">
        <v>5011</v>
      </c>
      <c r="B5013" t="s">
        <v>5748</v>
      </c>
      <c r="C5013" t="s">
        <v>200</v>
      </c>
      <c r="D5013">
        <v>503.047851193697</v>
      </c>
    </row>
    <row r="5014" spans="1:4" hidden="1" x14ac:dyDescent="0.3">
      <c r="A5014">
        <v>5012</v>
      </c>
      <c r="B5014" s="1" t="s">
        <v>5749</v>
      </c>
      <c r="C5014" t="s">
        <v>202</v>
      </c>
      <c r="D5014" s="1" t="s">
        <v>5750</v>
      </c>
    </row>
    <row r="5015" spans="1:4" hidden="1" x14ac:dyDescent="0.3">
      <c r="A5015">
        <v>5013</v>
      </c>
      <c r="B5015" t="s">
        <v>5751</v>
      </c>
      <c r="C5015" t="s">
        <v>205</v>
      </c>
      <c r="D5015">
        <v>80014693.378887996</v>
      </c>
    </row>
    <row r="5016" spans="1:4" hidden="1" x14ac:dyDescent="0.3">
      <c r="A5016">
        <v>5014</v>
      </c>
      <c r="B5016" t="s">
        <v>5752</v>
      </c>
      <c r="C5016" t="s">
        <v>207</v>
      </c>
      <c r="D5016">
        <v>35005526.853590898</v>
      </c>
    </row>
    <row r="5017" spans="1:4" hidden="1" x14ac:dyDescent="0.3">
      <c r="A5017">
        <v>5015</v>
      </c>
      <c r="B5017" t="s">
        <v>5753</v>
      </c>
      <c r="C5017" t="s">
        <v>209</v>
      </c>
      <c r="D5017">
        <v>34694778.447264299</v>
      </c>
    </row>
    <row r="5018" spans="1:4" hidden="1" x14ac:dyDescent="0.3">
      <c r="A5018">
        <v>5016</v>
      </c>
      <c r="B5018" s="1" t="s">
        <v>5754</v>
      </c>
      <c r="C5018" t="s">
        <v>211</v>
      </c>
      <c r="D5018" s="1" t="s">
        <v>5755</v>
      </c>
    </row>
    <row r="5019" spans="1:4" hidden="1" x14ac:dyDescent="0.3">
      <c r="A5019">
        <v>5017</v>
      </c>
      <c r="B5019" t="s">
        <v>5756</v>
      </c>
      <c r="C5019" t="s">
        <v>214</v>
      </c>
      <c r="D5019">
        <v>99987134.487259105</v>
      </c>
    </row>
    <row r="5020" spans="1:4" hidden="1" x14ac:dyDescent="0.3">
      <c r="A5020">
        <v>5018</v>
      </c>
      <c r="B5020" t="s">
        <v>5757</v>
      </c>
      <c r="C5020" t="s">
        <v>216</v>
      </c>
      <c r="D5020">
        <v>1436.86776551604</v>
      </c>
    </row>
    <row r="5021" spans="1:4" hidden="1" x14ac:dyDescent="0.3">
      <c r="A5021">
        <v>5019</v>
      </c>
      <c r="B5021" s="1" t="s">
        <v>5758</v>
      </c>
      <c r="C5021" t="s">
        <v>218</v>
      </c>
      <c r="D5021" s="1" t="s">
        <v>5759</v>
      </c>
    </row>
    <row r="5022" spans="1:4" hidden="1" x14ac:dyDescent="0.3">
      <c r="A5022">
        <v>5020</v>
      </c>
      <c r="B5022" t="s">
        <v>5760</v>
      </c>
      <c r="C5022" t="s">
        <v>111</v>
      </c>
      <c r="D5022">
        <v>-384.01462503944498</v>
      </c>
    </row>
    <row r="5023" spans="1:4" hidden="1" x14ac:dyDescent="0.3">
      <c r="A5023">
        <v>5021</v>
      </c>
      <c r="B5023" t="s">
        <v>5761</v>
      </c>
      <c r="C5023" t="s">
        <v>113</v>
      </c>
      <c r="D5023">
        <v>-58.0497015716739</v>
      </c>
    </row>
    <row r="5024" spans="1:4" hidden="1" x14ac:dyDescent="0.3">
      <c r="A5024">
        <v>5022</v>
      </c>
      <c r="B5024" s="1" t="s">
        <v>5762</v>
      </c>
      <c r="C5024" t="s">
        <v>115</v>
      </c>
      <c r="D5024" s="1" t="s">
        <v>5763</v>
      </c>
    </row>
    <row r="5025" spans="1:4" hidden="1" x14ac:dyDescent="0.3">
      <c r="A5025">
        <v>5023</v>
      </c>
      <c r="B5025" t="s">
        <v>5764</v>
      </c>
      <c r="C5025" t="s">
        <v>118</v>
      </c>
      <c r="D5025">
        <v>80014693.378887996</v>
      </c>
    </row>
    <row r="5026" spans="1:4" hidden="1" x14ac:dyDescent="0.3">
      <c r="A5026">
        <v>5024</v>
      </c>
      <c r="B5026" t="s">
        <v>5765</v>
      </c>
      <c r="C5026" t="s">
        <v>120</v>
      </c>
      <c r="D5026">
        <v>35005526.853590898</v>
      </c>
    </row>
    <row r="5027" spans="1:4" hidden="1" x14ac:dyDescent="0.3">
      <c r="A5027">
        <v>5025</v>
      </c>
      <c r="B5027" s="1" t="s">
        <v>5766</v>
      </c>
      <c r="C5027" t="s">
        <v>122</v>
      </c>
      <c r="D5027" s="1" t="s">
        <v>5767</v>
      </c>
    </row>
    <row r="5028" spans="1:4" hidden="1" x14ac:dyDescent="0.3">
      <c r="A5028">
        <v>5026</v>
      </c>
      <c r="B5028" t="s">
        <v>5768</v>
      </c>
      <c r="C5028" t="s">
        <v>125</v>
      </c>
      <c r="D5028">
        <v>0.80015843232159301</v>
      </c>
    </row>
    <row r="5029" spans="1:4" hidden="1" x14ac:dyDescent="0.3">
      <c r="A5029">
        <v>5027</v>
      </c>
      <c r="B5029" t="s">
        <v>5769</v>
      </c>
      <c r="C5029" t="s">
        <v>127</v>
      </c>
      <c r="D5029">
        <v>0.35006029901441998</v>
      </c>
    </row>
    <row r="5030" spans="1:4" hidden="1" x14ac:dyDescent="0.3">
      <c r="A5030">
        <v>5028</v>
      </c>
      <c r="B5030" s="1" t="s">
        <v>5770</v>
      </c>
      <c r="C5030" t="s">
        <v>129</v>
      </c>
      <c r="D5030" s="1" t="s">
        <v>5771</v>
      </c>
    </row>
    <row r="5031" spans="1:4" ht="72" x14ac:dyDescent="0.3">
      <c r="A5031">
        <v>5029</v>
      </c>
      <c r="B5031" s="1" t="s">
        <v>3</v>
      </c>
      <c r="C5031" t="s">
        <v>4</v>
      </c>
      <c r="D5031" t="s">
        <v>5</v>
      </c>
    </row>
    <row r="5032" spans="1:4" hidden="1" x14ac:dyDescent="0.3">
      <c r="A5032">
        <v>5030</v>
      </c>
      <c r="B5032" t="s">
        <v>6</v>
      </c>
      <c r="C5032" t="s">
        <v>7</v>
      </c>
      <c r="D5032">
        <v>1981.95</v>
      </c>
    </row>
    <row r="5033" spans="1:4" hidden="1" x14ac:dyDescent="0.3">
      <c r="A5033">
        <v>5031</v>
      </c>
      <c r="B5033" s="1" t="s">
        <v>131</v>
      </c>
      <c r="C5033" t="s">
        <v>9</v>
      </c>
      <c r="D5033" s="1" t="s">
        <v>132</v>
      </c>
    </row>
    <row r="5034" spans="1:4" hidden="1" x14ac:dyDescent="0.3">
      <c r="A5034">
        <v>5032</v>
      </c>
      <c r="B5034" t="s">
        <v>13</v>
      </c>
      <c r="C5034" t="s">
        <v>14</v>
      </c>
      <c r="D5034">
        <v>91.74609375</v>
      </c>
    </row>
    <row r="5035" spans="1:4" hidden="1" x14ac:dyDescent="0.3">
      <c r="A5035">
        <v>5033</v>
      </c>
      <c r="B5035" t="s">
        <v>15</v>
      </c>
      <c r="C5035" t="s">
        <v>16</v>
      </c>
      <c r="D5035">
        <v>4.1883572307132804</v>
      </c>
    </row>
    <row r="5036" spans="1:4" hidden="1" x14ac:dyDescent="0.3">
      <c r="A5036">
        <v>5034</v>
      </c>
      <c r="B5036" s="1" t="s">
        <v>133</v>
      </c>
      <c r="C5036" t="s">
        <v>134</v>
      </c>
      <c r="D5036" s="1" t="s">
        <v>135</v>
      </c>
    </row>
    <row r="5037" spans="1:4" hidden="1" x14ac:dyDescent="0.3">
      <c r="A5037">
        <v>5035</v>
      </c>
      <c r="B5037" t="s">
        <v>21</v>
      </c>
      <c r="C5037" t="s">
        <v>22</v>
      </c>
      <c r="D5037">
        <v>38.25</v>
      </c>
    </row>
    <row r="5038" spans="1:4" hidden="1" x14ac:dyDescent="0.3">
      <c r="A5038">
        <v>5036</v>
      </c>
      <c r="B5038" t="s">
        <v>5772</v>
      </c>
      <c r="C5038" t="s">
        <v>24</v>
      </c>
      <c r="D5038">
        <v>5.7020754940674196</v>
      </c>
    </row>
    <row r="5039" spans="1:4" hidden="1" x14ac:dyDescent="0.3">
      <c r="A5039">
        <v>5037</v>
      </c>
      <c r="B5039" s="1" t="s">
        <v>5773</v>
      </c>
      <c r="C5039" t="s">
        <v>138</v>
      </c>
      <c r="D5039" s="1" t="s">
        <v>5774</v>
      </c>
    </row>
    <row r="5040" spans="1:4" hidden="1" x14ac:dyDescent="0.3">
      <c r="A5040">
        <v>5038</v>
      </c>
      <c r="B5040" t="s">
        <v>5775</v>
      </c>
      <c r="C5040" t="s">
        <v>35</v>
      </c>
      <c r="D5040">
        <v>0.54298102790359504</v>
      </c>
    </row>
    <row r="5041" spans="1:4" hidden="1" x14ac:dyDescent="0.3">
      <c r="A5041">
        <v>5039</v>
      </c>
      <c r="B5041" t="s">
        <v>5776</v>
      </c>
      <c r="C5041" t="s">
        <v>142</v>
      </c>
      <c r="D5041">
        <v>0.693052083377383</v>
      </c>
    </row>
    <row r="5042" spans="1:4" hidden="1" x14ac:dyDescent="0.3">
      <c r="A5042">
        <v>5040</v>
      </c>
      <c r="B5042" s="1" t="s">
        <v>5777</v>
      </c>
      <c r="C5042" t="s">
        <v>144</v>
      </c>
      <c r="D5042" s="1" t="s">
        <v>5778</v>
      </c>
    </row>
    <row r="5043" spans="1:4" hidden="1" x14ac:dyDescent="0.3">
      <c r="A5043">
        <v>5041</v>
      </c>
      <c r="B5043" t="s">
        <v>5779</v>
      </c>
      <c r="C5043" t="s">
        <v>30</v>
      </c>
      <c r="D5043">
        <v>0.19175622724638799</v>
      </c>
    </row>
    <row r="5044" spans="1:4" hidden="1" x14ac:dyDescent="0.3">
      <c r="A5044">
        <v>5042</v>
      </c>
      <c r="B5044" t="s">
        <v>5780</v>
      </c>
      <c r="C5044" t="s">
        <v>32</v>
      </c>
      <c r="D5044">
        <v>0.243586528213071</v>
      </c>
    </row>
    <row r="5045" spans="1:4" hidden="1" x14ac:dyDescent="0.3">
      <c r="A5045">
        <v>5043</v>
      </c>
      <c r="B5045" s="1" t="s">
        <v>5781</v>
      </c>
      <c r="C5045" t="s">
        <v>148</v>
      </c>
      <c r="D5045" s="1" t="s">
        <v>5782</v>
      </c>
    </row>
    <row r="5046" spans="1:4" hidden="1" x14ac:dyDescent="0.3">
      <c r="A5046">
        <v>5044</v>
      </c>
      <c r="B5046" t="s">
        <v>5783</v>
      </c>
      <c r="C5046" t="s">
        <v>40</v>
      </c>
      <c r="D5046">
        <v>0.265262744850015</v>
      </c>
    </row>
    <row r="5047" spans="1:4" hidden="1" x14ac:dyDescent="0.3">
      <c r="A5047">
        <v>5045</v>
      </c>
      <c r="B5047" t="s">
        <v>5784</v>
      </c>
      <c r="C5047" t="s">
        <v>42</v>
      </c>
      <c r="D5047">
        <v>0.19930647216115299</v>
      </c>
    </row>
    <row r="5048" spans="1:4" hidden="1" x14ac:dyDescent="0.3">
      <c r="A5048">
        <v>5046</v>
      </c>
      <c r="B5048" s="1" t="s">
        <v>5785</v>
      </c>
      <c r="C5048" t="s">
        <v>152</v>
      </c>
      <c r="D5048" s="1" t="s">
        <v>5786</v>
      </c>
    </row>
    <row r="5049" spans="1:4" hidden="1" x14ac:dyDescent="0.3">
      <c r="A5049">
        <v>5047</v>
      </c>
      <c r="B5049" t="s">
        <v>153</v>
      </c>
      <c r="C5049" t="s">
        <v>154</v>
      </c>
      <c r="D5049">
        <v>1</v>
      </c>
    </row>
    <row r="5050" spans="1:4" hidden="1" x14ac:dyDescent="0.3">
      <c r="A5050">
        <v>5048</v>
      </c>
      <c r="B5050" t="s">
        <v>155</v>
      </c>
      <c r="C5050" t="s">
        <v>156</v>
      </c>
      <c r="D5050">
        <v>1</v>
      </c>
    </row>
    <row r="5051" spans="1:4" hidden="1" x14ac:dyDescent="0.3">
      <c r="A5051">
        <v>5049</v>
      </c>
      <c r="B5051" s="1" t="s">
        <v>5787</v>
      </c>
      <c r="C5051" t="s">
        <v>158</v>
      </c>
      <c r="D5051" s="1" t="s">
        <v>5788</v>
      </c>
    </row>
    <row r="5052" spans="1:4" hidden="1" x14ac:dyDescent="0.3">
      <c r="A5052">
        <v>5050</v>
      </c>
      <c r="B5052" t="s">
        <v>5789</v>
      </c>
      <c r="C5052" t="s">
        <v>161</v>
      </c>
      <c r="D5052">
        <v>1.0028757809956399</v>
      </c>
    </row>
    <row r="5053" spans="1:4" hidden="1" x14ac:dyDescent="0.3">
      <c r="A5053">
        <v>5051</v>
      </c>
      <c r="B5053" t="s">
        <v>5790</v>
      </c>
      <c r="C5053" t="s">
        <v>163</v>
      </c>
      <c r="D5053">
        <v>0.99957334333812398</v>
      </c>
    </row>
    <row r="5054" spans="1:4" hidden="1" x14ac:dyDescent="0.3">
      <c r="A5054">
        <v>5052</v>
      </c>
      <c r="B5054" s="1" t="s">
        <v>5791</v>
      </c>
      <c r="C5054" t="s">
        <v>165</v>
      </c>
      <c r="D5054" s="1" t="s">
        <v>5792</v>
      </c>
    </row>
    <row r="5055" spans="1:4" hidden="1" x14ac:dyDescent="0.3">
      <c r="A5055">
        <v>5053</v>
      </c>
      <c r="B5055" s="1" t="s">
        <v>5793</v>
      </c>
      <c r="C5055" t="s">
        <v>55</v>
      </c>
      <c r="D5055" s="1" t="s">
        <v>5794</v>
      </c>
    </row>
    <row r="5056" spans="1:4" hidden="1" x14ac:dyDescent="0.3">
      <c r="A5056">
        <v>5054</v>
      </c>
      <c r="B5056" s="1" t="s">
        <v>5795</v>
      </c>
      <c r="C5056" t="s">
        <v>52</v>
      </c>
      <c r="D5056" s="1" t="s">
        <v>5796</v>
      </c>
    </row>
    <row r="5057" spans="1:4" hidden="1" x14ac:dyDescent="0.3">
      <c r="A5057">
        <v>5055</v>
      </c>
      <c r="B5057" s="1" t="s">
        <v>5797</v>
      </c>
      <c r="C5057" t="s">
        <v>58</v>
      </c>
      <c r="D5057" s="1" t="s">
        <v>5798</v>
      </c>
    </row>
    <row r="5058" spans="1:4" hidden="1" x14ac:dyDescent="0.3">
      <c r="A5058">
        <v>5056</v>
      </c>
      <c r="B5058" t="s">
        <v>5799</v>
      </c>
      <c r="C5058" t="s">
        <v>60</v>
      </c>
      <c r="D5058">
        <v>149920261.10365099</v>
      </c>
    </row>
    <row r="5059" spans="1:4" hidden="1" x14ac:dyDescent="0.3">
      <c r="A5059">
        <v>5057</v>
      </c>
      <c r="B5059" t="s">
        <v>5800</v>
      </c>
      <c r="C5059" t="s">
        <v>62</v>
      </c>
      <c r="D5059">
        <v>80014693.378887996</v>
      </c>
    </row>
    <row r="5060" spans="1:4" hidden="1" x14ac:dyDescent="0.3">
      <c r="A5060">
        <v>5058</v>
      </c>
      <c r="B5060" t="s">
        <v>5801</v>
      </c>
      <c r="C5060" t="s">
        <v>64</v>
      </c>
      <c r="D5060">
        <v>35005526.853590898</v>
      </c>
    </row>
    <row r="5061" spans="1:4" hidden="1" x14ac:dyDescent="0.3">
      <c r="A5061">
        <v>5059</v>
      </c>
      <c r="B5061" s="1" t="s">
        <v>5802</v>
      </c>
      <c r="C5061" t="s">
        <v>66</v>
      </c>
      <c r="D5061" s="1" t="s">
        <v>5803</v>
      </c>
    </row>
    <row r="5062" spans="1:4" hidden="1" x14ac:dyDescent="0.3">
      <c r="A5062">
        <v>5060</v>
      </c>
      <c r="B5062" s="1" t="s">
        <v>5804</v>
      </c>
      <c r="C5062" t="s">
        <v>69</v>
      </c>
      <c r="D5062" s="1" t="s">
        <v>5805</v>
      </c>
    </row>
    <row r="5063" spans="1:4" hidden="1" x14ac:dyDescent="0.3">
      <c r="A5063">
        <v>5061</v>
      </c>
      <c r="B5063" t="s">
        <v>5806</v>
      </c>
      <c r="C5063" t="s">
        <v>72</v>
      </c>
      <c r="D5063">
        <v>1.00011429951263</v>
      </c>
    </row>
    <row r="5064" spans="1:4" hidden="1" x14ac:dyDescent="0.3">
      <c r="A5064">
        <v>5062</v>
      </c>
      <c r="B5064" t="s">
        <v>73</v>
      </c>
      <c r="C5064" t="s">
        <v>74</v>
      </c>
      <c r="D5064">
        <v>2.7397260273972599E-3</v>
      </c>
    </row>
    <row r="5065" spans="1:4" hidden="1" x14ac:dyDescent="0.3">
      <c r="A5065">
        <v>5063</v>
      </c>
      <c r="B5065" t="s">
        <v>75</v>
      </c>
      <c r="C5065" t="s">
        <v>76</v>
      </c>
      <c r="D5065">
        <v>0</v>
      </c>
    </row>
    <row r="5066" spans="1:4" hidden="1" x14ac:dyDescent="0.3">
      <c r="A5066">
        <v>5064</v>
      </c>
      <c r="B5066" t="s">
        <v>77</v>
      </c>
      <c r="C5066" t="s">
        <v>78</v>
      </c>
      <c r="D5066">
        <v>0</v>
      </c>
    </row>
    <row r="5067" spans="1:4" hidden="1" x14ac:dyDescent="0.3">
      <c r="A5067">
        <v>5065</v>
      </c>
      <c r="B5067" s="1" t="s">
        <v>5807</v>
      </c>
      <c r="C5067" t="s">
        <v>80</v>
      </c>
      <c r="D5067" s="1" t="s">
        <v>5808</v>
      </c>
    </row>
    <row r="5068" spans="1:4" hidden="1" x14ac:dyDescent="0.3">
      <c r="A5068">
        <v>5066</v>
      </c>
      <c r="B5068" t="s">
        <v>5809</v>
      </c>
      <c r="C5068" t="s">
        <v>83</v>
      </c>
      <c r="D5068">
        <v>1.0001399891769001</v>
      </c>
    </row>
    <row r="5069" spans="1:4" hidden="1" x14ac:dyDescent="0.3">
      <c r="A5069">
        <v>5067</v>
      </c>
      <c r="B5069" s="1" t="s">
        <v>5810</v>
      </c>
      <c r="C5069" t="s">
        <v>85</v>
      </c>
      <c r="D5069" s="1" t="s">
        <v>5811</v>
      </c>
    </row>
    <row r="5070" spans="1:4" hidden="1" x14ac:dyDescent="0.3">
      <c r="A5070">
        <v>5068</v>
      </c>
      <c r="B5070" t="s">
        <v>5812</v>
      </c>
      <c r="C5070" t="s">
        <v>88</v>
      </c>
      <c r="D5070">
        <v>99986003.041731894</v>
      </c>
    </row>
    <row r="5071" spans="1:4" hidden="1" x14ac:dyDescent="0.3">
      <c r="A5071">
        <v>5069</v>
      </c>
      <c r="B5071" s="1" t="s">
        <v>5813</v>
      </c>
      <c r="C5071" t="s">
        <v>90</v>
      </c>
      <c r="D5071" s="1" t="s">
        <v>5759</v>
      </c>
    </row>
    <row r="5072" spans="1:4" hidden="1" x14ac:dyDescent="0.3">
      <c r="A5072">
        <v>5070</v>
      </c>
      <c r="B5072" t="s">
        <v>5814</v>
      </c>
      <c r="C5072" t="s">
        <v>93</v>
      </c>
      <c r="D5072">
        <v>80014693.378887996</v>
      </c>
    </row>
    <row r="5073" spans="1:4" hidden="1" x14ac:dyDescent="0.3">
      <c r="A5073">
        <v>5071</v>
      </c>
      <c r="B5073" t="s">
        <v>5815</v>
      </c>
      <c r="C5073" t="s">
        <v>95</v>
      </c>
      <c r="D5073">
        <v>35005526.853590898</v>
      </c>
    </row>
    <row r="5074" spans="1:4" hidden="1" x14ac:dyDescent="0.3">
      <c r="A5074">
        <v>5072</v>
      </c>
      <c r="B5074" t="s">
        <v>5816</v>
      </c>
      <c r="C5074" t="s">
        <v>97</v>
      </c>
      <c r="D5074">
        <v>34900040.871172398</v>
      </c>
    </row>
    <row r="5075" spans="1:4" hidden="1" x14ac:dyDescent="0.3">
      <c r="A5075">
        <v>5073</v>
      </c>
      <c r="B5075" s="1" t="s">
        <v>5817</v>
      </c>
      <c r="C5075" t="s">
        <v>99</v>
      </c>
      <c r="D5075" s="1" t="s">
        <v>5818</v>
      </c>
    </row>
    <row r="5076" spans="1:4" hidden="1" x14ac:dyDescent="0.3">
      <c r="A5076">
        <v>5074</v>
      </c>
      <c r="B5076" t="s">
        <v>5819</v>
      </c>
      <c r="C5076" t="s">
        <v>102</v>
      </c>
      <c r="D5076">
        <v>8.4708377465706093E-3</v>
      </c>
    </row>
    <row r="5077" spans="1:4" hidden="1" x14ac:dyDescent="0.3">
      <c r="A5077">
        <v>5075</v>
      </c>
      <c r="B5077" t="s">
        <v>5820</v>
      </c>
      <c r="C5077" t="s">
        <v>104</v>
      </c>
      <c r="D5077">
        <v>1.69202873800556E-3</v>
      </c>
    </row>
    <row r="5078" spans="1:4" hidden="1" x14ac:dyDescent="0.3">
      <c r="A5078">
        <v>5076</v>
      </c>
      <c r="B5078" t="s">
        <v>5821</v>
      </c>
      <c r="C5078" t="s">
        <v>106</v>
      </c>
      <c r="D5078">
        <v>2.0723850535382001E-2</v>
      </c>
    </row>
    <row r="5079" spans="1:4" hidden="1" x14ac:dyDescent="0.3">
      <c r="A5079">
        <v>5077</v>
      </c>
      <c r="B5079" s="1" t="s">
        <v>5822</v>
      </c>
      <c r="C5079" t="s">
        <v>108</v>
      </c>
      <c r="D5079" s="1" t="s">
        <v>5823</v>
      </c>
    </row>
    <row r="5080" spans="1:4" hidden="1" x14ac:dyDescent="0.3">
      <c r="A5080">
        <v>5078</v>
      </c>
      <c r="B5080" t="s">
        <v>5824</v>
      </c>
      <c r="C5080" t="s">
        <v>196</v>
      </c>
      <c r="D5080">
        <v>149921146.44348699</v>
      </c>
    </row>
    <row r="5081" spans="1:4" hidden="1" x14ac:dyDescent="0.3">
      <c r="A5081">
        <v>5079</v>
      </c>
      <c r="B5081" t="s">
        <v>5825</v>
      </c>
      <c r="C5081" t="s">
        <v>198</v>
      </c>
      <c r="D5081">
        <v>-2055.3332948714201</v>
      </c>
    </row>
    <row r="5082" spans="1:4" hidden="1" x14ac:dyDescent="0.3">
      <c r="A5082">
        <v>5080</v>
      </c>
      <c r="B5082" t="s">
        <v>5826</v>
      </c>
      <c r="C5082" t="s">
        <v>200</v>
      </c>
      <c r="D5082">
        <v>-899.18009404449197</v>
      </c>
    </row>
    <row r="5083" spans="1:4" hidden="1" x14ac:dyDescent="0.3">
      <c r="A5083">
        <v>5081</v>
      </c>
      <c r="B5083" s="1" t="s">
        <v>5827</v>
      </c>
      <c r="C5083" t="s">
        <v>202</v>
      </c>
      <c r="D5083" s="1" t="s">
        <v>5828</v>
      </c>
    </row>
    <row r="5084" spans="1:4" hidden="1" x14ac:dyDescent="0.3">
      <c r="A5084">
        <v>5082</v>
      </c>
      <c r="B5084" t="s">
        <v>5829</v>
      </c>
      <c r="C5084" t="s">
        <v>205</v>
      </c>
      <c r="D5084">
        <v>80017434.164195701</v>
      </c>
    </row>
    <row r="5085" spans="1:4" hidden="1" x14ac:dyDescent="0.3">
      <c r="A5085">
        <v>5083</v>
      </c>
      <c r="B5085" t="s">
        <v>5830</v>
      </c>
      <c r="C5085" t="s">
        <v>207</v>
      </c>
      <c r="D5085">
        <v>35006528.700962499</v>
      </c>
    </row>
    <row r="5086" spans="1:4" hidden="1" x14ac:dyDescent="0.3">
      <c r="A5086">
        <v>5084</v>
      </c>
      <c r="B5086" t="s">
        <v>5831</v>
      </c>
      <c r="C5086" t="s">
        <v>209</v>
      </c>
      <c r="D5086">
        <v>34901034.562082604</v>
      </c>
    </row>
    <row r="5087" spans="1:4" hidden="1" x14ac:dyDescent="0.3">
      <c r="A5087">
        <v>5085</v>
      </c>
      <c r="B5087" s="1" t="s">
        <v>5832</v>
      </c>
      <c r="C5087" t="s">
        <v>211</v>
      </c>
      <c r="D5087" s="1" t="s">
        <v>5833</v>
      </c>
    </row>
    <row r="5088" spans="1:4" hidden="1" x14ac:dyDescent="0.3">
      <c r="A5088">
        <v>5086</v>
      </c>
      <c r="B5088" t="s">
        <v>5834</v>
      </c>
      <c r="C5088" t="s">
        <v>214</v>
      </c>
      <c r="D5088">
        <v>99988571.355024606</v>
      </c>
    </row>
    <row r="5089" spans="1:4" hidden="1" x14ac:dyDescent="0.3">
      <c r="A5089">
        <v>5087</v>
      </c>
      <c r="B5089" t="s">
        <v>5835</v>
      </c>
      <c r="C5089" t="s">
        <v>216</v>
      </c>
      <c r="D5089">
        <v>-2568.31329271197</v>
      </c>
    </row>
    <row r="5090" spans="1:4" hidden="1" x14ac:dyDescent="0.3">
      <c r="A5090">
        <v>5088</v>
      </c>
      <c r="B5090" s="1" t="s">
        <v>5836</v>
      </c>
      <c r="C5090" t="s">
        <v>218</v>
      </c>
      <c r="D5090" s="1" t="s">
        <v>5837</v>
      </c>
    </row>
    <row r="5091" spans="1:4" hidden="1" x14ac:dyDescent="0.3">
      <c r="A5091">
        <v>5089</v>
      </c>
      <c r="B5091" t="s">
        <v>5838</v>
      </c>
      <c r="C5091" t="s">
        <v>111</v>
      </c>
      <c r="D5091">
        <v>685.45201287131295</v>
      </c>
    </row>
    <row r="5092" spans="1:4" hidden="1" x14ac:dyDescent="0.3">
      <c r="A5092">
        <v>5090</v>
      </c>
      <c r="B5092" t="s">
        <v>5839</v>
      </c>
      <c r="C5092" t="s">
        <v>113</v>
      </c>
      <c r="D5092">
        <v>102.66727764882999</v>
      </c>
    </row>
    <row r="5093" spans="1:4" hidden="1" x14ac:dyDescent="0.3">
      <c r="A5093">
        <v>5091</v>
      </c>
      <c r="B5093" s="1" t="s">
        <v>5840</v>
      </c>
      <c r="C5093" t="s">
        <v>115</v>
      </c>
      <c r="D5093" s="1" t="s">
        <v>5841</v>
      </c>
    </row>
    <row r="5094" spans="1:4" hidden="1" x14ac:dyDescent="0.3">
      <c r="A5094">
        <v>5092</v>
      </c>
      <c r="B5094" t="s">
        <v>5842</v>
      </c>
      <c r="C5094" t="s">
        <v>118</v>
      </c>
      <c r="D5094">
        <v>80017434.164195701</v>
      </c>
    </row>
    <row r="5095" spans="1:4" hidden="1" x14ac:dyDescent="0.3">
      <c r="A5095">
        <v>5093</v>
      </c>
      <c r="B5095" t="s">
        <v>5843</v>
      </c>
      <c r="C5095" t="s">
        <v>120</v>
      </c>
      <c r="D5095">
        <v>35006528.700962499</v>
      </c>
    </row>
    <row r="5096" spans="1:4" hidden="1" x14ac:dyDescent="0.3">
      <c r="A5096">
        <v>5094</v>
      </c>
      <c r="B5096" s="1" t="s">
        <v>5844</v>
      </c>
      <c r="C5096" t="s">
        <v>122</v>
      </c>
      <c r="D5096" s="1" t="s">
        <v>5845</v>
      </c>
    </row>
    <row r="5097" spans="1:4" hidden="1" x14ac:dyDescent="0.3">
      <c r="A5097">
        <v>5095</v>
      </c>
      <c r="B5097" t="s">
        <v>5846</v>
      </c>
      <c r="C5097" t="s">
        <v>125</v>
      </c>
      <c r="D5097">
        <v>0.80015378830900796</v>
      </c>
    </row>
    <row r="5098" spans="1:4" hidden="1" x14ac:dyDescent="0.3">
      <c r="A5098">
        <v>5096</v>
      </c>
      <c r="B5098" t="s">
        <v>5847</v>
      </c>
      <c r="C5098" t="s">
        <v>127</v>
      </c>
      <c r="D5098">
        <v>0.35005629520868498</v>
      </c>
    </row>
    <row r="5099" spans="1:4" hidden="1" x14ac:dyDescent="0.3">
      <c r="A5099">
        <v>5097</v>
      </c>
      <c r="B5099" s="1" t="s">
        <v>5848</v>
      </c>
      <c r="C5099" t="s">
        <v>129</v>
      </c>
      <c r="D5099" s="1" t="s">
        <v>5849</v>
      </c>
    </row>
    <row r="5100" spans="1:4" ht="72" x14ac:dyDescent="0.3">
      <c r="A5100">
        <v>5098</v>
      </c>
      <c r="B5100" s="1" t="s">
        <v>3</v>
      </c>
      <c r="C5100" t="s">
        <v>4</v>
      </c>
      <c r="D5100" t="s">
        <v>5</v>
      </c>
    </row>
    <row r="5101" spans="1:4" hidden="1" x14ac:dyDescent="0.3">
      <c r="A5101">
        <v>5099</v>
      </c>
      <c r="B5101" t="s">
        <v>6</v>
      </c>
      <c r="C5101" t="s">
        <v>7</v>
      </c>
      <c r="D5101">
        <v>1981.95</v>
      </c>
    </row>
    <row r="5102" spans="1:4" hidden="1" x14ac:dyDescent="0.3">
      <c r="A5102">
        <v>5100</v>
      </c>
      <c r="B5102" s="1" t="s">
        <v>131</v>
      </c>
      <c r="C5102" t="s">
        <v>9</v>
      </c>
      <c r="D5102" s="1" t="s">
        <v>132</v>
      </c>
    </row>
    <row r="5103" spans="1:4" hidden="1" x14ac:dyDescent="0.3">
      <c r="A5103">
        <v>5101</v>
      </c>
      <c r="B5103" t="s">
        <v>13</v>
      </c>
      <c r="C5103" t="s">
        <v>14</v>
      </c>
      <c r="D5103">
        <v>91.74609375</v>
      </c>
    </row>
    <row r="5104" spans="1:4" hidden="1" x14ac:dyDescent="0.3">
      <c r="A5104">
        <v>5102</v>
      </c>
      <c r="B5104" t="s">
        <v>15</v>
      </c>
      <c r="C5104" t="s">
        <v>16</v>
      </c>
      <c r="D5104">
        <v>4.1883572307132804</v>
      </c>
    </row>
    <row r="5105" spans="1:4" hidden="1" x14ac:dyDescent="0.3">
      <c r="A5105">
        <v>5103</v>
      </c>
      <c r="B5105" s="1" t="s">
        <v>133</v>
      </c>
      <c r="C5105" t="s">
        <v>134</v>
      </c>
      <c r="D5105" s="1" t="s">
        <v>135</v>
      </c>
    </row>
    <row r="5106" spans="1:4" hidden="1" x14ac:dyDescent="0.3">
      <c r="A5106">
        <v>5104</v>
      </c>
      <c r="B5106" t="s">
        <v>21</v>
      </c>
      <c r="C5106" t="s">
        <v>22</v>
      </c>
      <c r="D5106">
        <v>38.25</v>
      </c>
    </row>
    <row r="5107" spans="1:4" hidden="1" x14ac:dyDescent="0.3">
      <c r="A5107">
        <v>5105</v>
      </c>
      <c r="B5107" t="s">
        <v>5850</v>
      </c>
      <c r="C5107" t="s">
        <v>24</v>
      </c>
      <c r="D5107">
        <v>5.7856230378364</v>
      </c>
    </row>
    <row r="5108" spans="1:4" hidden="1" x14ac:dyDescent="0.3">
      <c r="A5108">
        <v>5106</v>
      </c>
      <c r="B5108" s="1" t="s">
        <v>5851</v>
      </c>
      <c r="C5108" t="s">
        <v>138</v>
      </c>
      <c r="D5108" s="1" t="s">
        <v>5852</v>
      </c>
    </row>
    <row r="5109" spans="1:4" hidden="1" x14ac:dyDescent="0.3">
      <c r="A5109">
        <v>5107</v>
      </c>
      <c r="B5109" t="s">
        <v>5853</v>
      </c>
      <c r="C5109" t="s">
        <v>35</v>
      </c>
      <c r="D5109">
        <v>0.54406767574487103</v>
      </c>
    </row>
    <row r="5110" spans="1:4" hidden="1" x14ac:dyDescent="0.3">
      <c r="A5110">
        <v>5108</v>
      </c>
      <c r="B5110" t="s">
        <v>5854</v>
      </c>
      <c r="C5110" t="s">
        <v>142</v>
      </c>
      <c r="D5110">
        <v>0.70795245428005005</v>
      </c>
    </row>
    <row r="5111" spans="1:4" hidden="1" x14ac:dyDescent="0.3">
      <c r="A5111">
        <v>5109</v>
      </c>
      <c r="B5111" s="1" t="s">
        <v>5855</v>
      </c>
      <c r="C5111" t="s">
        <v>144</v>
      </c>
      <c r="D5111" s="1" t="s">
        <v>5856</v>
      </c>
    </row>
    <row r="5112" spans="1:4" hidden="1" x14ac:dyDescent="0.3">
      <c r="A5112">
        <v>5110</v>
      </c>
      <c r="B5112" t="s">
        <v>5857</v>
      </c>
      <c r="C5112" t="s">
        <v>30</v>
      </c>
      <c r="D5112">
        <v>0.19213998188914799</v>
      </c>
    </row>
    <row r="5113" spans="1:4" hidden="1" x14ac:dyDescent="0.3">
      <c r="A5113">
        <v>5111</v>
      </c>
      <c r="B5113" t="s">
        <v>5858</v>
      </c>
      <c r="C5113" t="s">
        <v>32</v>
      </c>
      <c r="D5113">
        <v>0.227750577476933</v>
      </c>
    </row>
    <row r="5114" spans="1:4" hidden="1" x14ac:dyDescent="0.3">
      <c r="A5114">
        <v>5112</v>
      </c>
      <c r="B5114" s="1" t="s">
        <v>5859</v>
      </c>
      <c r="C5114" t="s">
        <v>148</v>
      </c>
      <c r="D5114" s="1" t="s">
        <v>5860</v>
      </c>
    </row>
    <row r="5115" spans="1:4" hidden="1" x14ac:dyDescent="0.3">
      <c r="A5115">
        <v>5113</v>
      </c>
      <c r="B5115" t="s">
        <v>5861</v>
      </c>
      <c r="C5115" t="s">
        <v>40</v>
      </c>
      <c r="D5115">
        <v>0.26379234236597898</v>
      </c>
    </row>
    <row r="5116" spans="1:4" hidden="1" x14ac:dyDescent="0.3">
      <c r="A5116">
        <v>5114</v>
      </c>
      <c r="B5116" t="s">
        <v>5862</v>
      </c>
      <c r="C5116" t="s">
        <v>42</v>
      </c>
      <c r="D5116">
        <v>0.18477365907924301</v>
      </c>
    </row>
    <row r="5117" spans="1:4" hidden="1" x14ac:dyDescent="0.3">
      <c r="A5117">
        <v>5115</v>
      </c>
      <c r="B5117" s="1" t="s">
        <v>5863</v>
      </c>
      <c r="C5117" t="s">
        <v>152</v>
      </c>
      <c r="D5117" s="1" t="s">
        <v>5864</v>
      </c>
    </row>
    <row r="5118" spans="1:4" hidden="1" x14ac:dyDescent="0.3">
      <c r="A5118">
        <v>5116</v>
      </c>
      <c r="B5118" t="s">
        <v>153</v>
      </c>
      <c r="C5118" t="s">
        <v>154</v>
      </c>
      <c r="D5118">
        <v>1</v>
      </c>
    </row>
    <row r="5119" spans="1:4" hidden="1" x14ac:dyDescent="0.3">
      <c r="A5119">
        <v>5117</v>
      </c>
      <c r="B5119" t="s">
        <v>155</v>
      </c>
      <c r="C5119" t="s">
        <v>156</v>
      </c>
      <c r="D5119">
        <v>1</v>
      </c>
    </row>
    <row r="5120" spans="1:4" hidden="1" x14ac:dyDescent="0.3">
      <c r="A5120">
        <v>5118</v>
      </c>
      <c r="B5120" s="1" t="s">
        <v>5865</v>
      </c>
      <c r="C5120" t="s">
        <v>158</v>
      </c>
      <c r="D5120" s="1" t="s">
        <v>5866</v>
      </c>
    </row>
    <row r="5121" spans="1:4" hidden="1" x14ac:dyDescent="0.3">
      <c r="A5121">
        <v>5119</v>
      </c>
      <c r="B5121" t="s">
        <v>5867</v>
      </c>
      <c r="C5121" t="s">
        <v>161</v>
      </c>
      <c r="D5121">
        <v>1.0088008933977599</v>
      </c>
    </row>
    <row r="5122" spans="1:4" hidden="1" x14ac:dyDescent="0.3">
      <c r="A5122">
        <v>5120</v>
      </c>
      <c r="B5122" t="s">
        <v>5868</v>
      </c>
      <c r="C5122" t="s">
        <v>163</v>
      </c>
      <c r="D5122">
        <v>0.98726590359667699</v>
      </c>
    </row>
    <row r="5123" spans="1:4" hidden="1" x14ac:dyDescent="0.3">
      <c r="A5123">
        <v>5121</v>
      </c>
      <c r="B5123" s="1" t="s">
        <v>5869</v>
      </c>
      <c r="C5123" t="s">
        <v>165</v>
      </c>
      <c r="D5123" s="1" t="s">
        <v>5870</v>
      </c>
    </row>
    <row r="5124" spans="1:4" hidden="1" x14ac:dyDescent="0.3">
      <c r="A5124">
        <v>5122</v>
      </c>
      <c r="B5124" s="1" t="s">
        <v>5871</v>
      </c>
      <c r="C5124" t="s">
        <v>55</v>
      </c>
      <c r="D5124" s="1" t="s">
        <v>5872</v>
      </c>
    </row>
    <row r="5125" spans="1:4" hidden="1" x14ac:dyDescent="0.3">
      <c r="A5125">
        <v>5123</v>
      </c>
      <c r="B5125" s="1" t="s">
        <v>5873</v>
      </c>
      <c r="C5125" t="s">
        <v>52</v>
      </c>
      <c r="D5125" s="1" t="s">
        <v>5874</v>
      </c>
    </row>
    <row r="5126" spans="1:4" hidden="1" x14ac:dyDescent="0.3">
      <c r="A5126">
        <v>5124</v>
      </c>
      <c r="B5126" s="1" t="s">
        <v>5875</v>
      </c>
      <c r="C5126" t="s">
        <v>58</v>
      </c>
      <c r="D5126" s="1" t="s">
        <v>5876</v>
      </c>
    </row>
    <row r="5127" spans="1:4" hidden="1" x14ac:dyDescent="0.3">
      <c r="A5127">
        <v>5125</v>
      </c>
      <c r="B5127" t="s">
        <v>5877</v>
      </c>
      <c r="C5127" t="s">
        <v>60</v>
      </c>
      <c r="D5127">
        <v>149991340.04428101</v>
      </c>
    </row>
    <row r="5128" spans="1:4" hidden="1" x14ac:dyDescent="0.3">
      <c r="A5128">
        <v>5126</v>
      </c>
      <c r="B5128" t="s">
        <v>5878</v>
      </c>
      <c r="C5128" t="s">
        <v>62</v>
      </c>
      <c r="D5128">
        <v>80017434.164195701</v>
      </c>
    </row>
    <row r="5129" spans="1:4" hidden="1" x14ac:dyDescent="0.3">
      <c r="A5129">
        <v>5127</v>
      </c>
      <c r="B5129" t="s">
        <v>5879</v>
      </c>
      <c r="C5129" t="s">
        <v>64</v>
      </c>
      <c r="D5129">
        <v>35006528.700962499</v>
      </c>
    </row>
    <row r="5130" spans="1:4" hidden="1" x14ac:dyDescent="0.3">
      <c r="A5130">
        <v>5128</v>
      </c>
      <c r="B5130" s="1" t="s">
        <v>5880</v>
      </c>
      <c r="C5130" t="s">
        <v>66</v>
      </c>
      <c r="D5130" s="1" t="s">
        <v>5881</v>
      </c>
    </row>
    <row r="5131" spans="1:4" hidden="1" x14ac:dyDescent="0.3">
      <c r="A5131">
        <v>5129</v>
      </c>
      <c r="B5131" s="1" t="s">
        <v>5882</v>
      </c>
      <c r="C5131" t="s">
        <v>69</v>
      </c>
      <c r="D5131" s="1" t="s">
        <v>5883</v>
      </c>
    </row>
    <row r="5132" spans="1:4" hidden="1" x14ac:dyDescent="0.3">
      <c r="A5132">
        <v>5130</v>
      </c>
      <c r="B5132" t="s">
        <v>5884</v>
      </c>
      <c r="C5132" t="s">
        <v>72</v>
      </c>
      <c r="D5132">
        <v>1.0001399891769001</v>
      </c>
    </row>
    <row r="5133" spans="1:4" hidden="1" x14ac:dyDescent="0.3">
      <c r="A5133">
        <v>5131</v>
      </c>
      <c r="B5133" t="s">
        <v>73</v>
      </c>
      <c r="C5133" t="s">
        <v>74</v>
      </c>
      <c r="D5133">
        <v>2.7397260273972599E-3</v>
      </c>
    </row>
    <row r="5134" spans="1:4" hidden="1" x14ac:dyDescent="0.3">
      <c r="A5134">
        <v>5132</v>
      </c>
      <c r="B5134" t="s">
        <v>75</v>
      </c>
      <c r="C5134" t="s">
        <v>76</v>
      </c>
      <c r="D5134">
        <v>0</v>
      </c>
    </row>
    <row r="5135" spans="1:4" hidden="1" x14ac:dyDescent="0.3">
      <c r="A5135">
        <v>5133</v>
      </c>
      <c r="B5135" t="s">
        <v>77</v>
      </c>
      <c r="C5135" t="s">
        <v>78</v>
      </c>
      <c r="D5135">
        <v>0</v>
      </c>
    </row>
    <row r="5136" spans="1:4" hidden="1" x14ac:dyDescent="0.3">
      <c r="A5136">
        <v>5134</v>
      </c>
      <c r="B5136" s="1" t="s">
        <v>5885</v>
      </c>
      <c r="C5136" t="s">
        <v>80</v>
      </c>
      <c r="D5136" s="1" t="s">
        <v>5886</v>
      </c>
    </row>
    <row r="5137" spans="1:4" hidden="1" x14ac:dyDescent="0.3">
      <c r="A5137">
        <v>5135</v>
      </c>
      <c r="B5137" t="s">
        <v>5887</v>
      </c>
      <c r="C5137" t="s">
        <v>83</v>
      </c>
      <c r="D5137">
        <v>1.0001392552911299</v>
      </c>
    </row>
    <row r="5138" spans="1:4" hidden="1" x14ac:dyDescent="0.3">
      <c r="A5138">
        <v>5136</v>
      </c>
      <c r="B5138" s="1" t="s">
        <v>5888</v>
      </c>
      <c r="C5138" t="s">
        <v>85</v>
      </c>
      <c r="D5138" s="1" t="s">
        <v>5889</v>
      </c>
    </row>
    <row r="5139" spans="1:4" hidden="1" x14ac:dyDescent="0.3">
      <c r="A5139">
        <v>5137</v>
      </c>
      <c r="B5139" t="s">
        <v>5890</v>
      </c>
      <c r="C5139" t="s">
        <v>88</v>
      </c>
      <c r="D5139">
        <v>99986076.409819797</v>
      </c>
    </row>
    <row r="5140" spans="1:4" hidden="1" x14ac:dyDescent="0.3">
      <c r="A5140">
        <v>5138</v>
      </c>
      <c r="B5140" s="1" t="s">
        <v>5891</v>
      </c>
      <c r="C5140" t="s">
        <v>90</v>
      </c>
      <c r="D5140" s="1" t="s">
        <v>5837</v>
      </c>
    </row>
    <row r="5141" spans="1:4" hidden="1" x14ac:dyDescent="0.3">
      <c r="A5141">
        <v>5139</v>
      </c>
      <c r="B5141" t="s">
        <v>5892</v>
      </c>
      <c r="C5141" t="s">
        <v>93</v>
      </c>
      <c r="D5141">
        <v>80017434.164195701</v>
      </c>
    </row>
    <row r="5142" spans="1:4" hidden="1" x14ac:dyDescent="0.3">
      <c r="A5142">
        <v>5140</v>
      </c>
      <c r="B5142" t="s">
        <v>5893</v>
      </c>
      <c r="C5142" t="s">
        <v>95</v>
      </c>
      <c r="D5142">
        <v>35006528.700962499</v>
      </c>
    </row>
    <row r="5143" spans="1:4" hidden="1" x14ac:dyDescent="0.3">
      <c r="A5143">
        <v>5141</v>
      </c>
      <c r="B5143" t="s">
        <v>5894</v>
      </c>
      <c r="C5143" t="s">
        <v>97</v>
      </c>
      <c r="D5143">
        <v>34967377.179123603</v>
      </c>
    </row>
    <row r="5144" spans="1:4" hidden="1" x14ac:dyDescent="0.3">
      <c r="A5144">
        <v>5142</v>
      </c>
      <c r="B5144" s="1" t="s">
        <v>5895</v>
      </c>
      <c r="C5144" t="s">
        <v>99</v>
      </c>
      <c r="D5144" s="1" t="s">
        <v>5896</v>
      </c>
    </row>
    <row r="5145" spans="1:4" hidden="1" x14ac:dyDescent="0.3">
      <c r="A5145">
        <v>5143</v>
      </c>
      <c r="B5145" t="s">
        <v>5897</v>
      </c>
      <c r="C5145" t="s">
        <v>102</v>
      </c>
      <c r="D5145">
        <v>8.6222086116881404E-3</v>
      </c>
    </row>
    <row r="5146" spans="1:4" hidden="1" x14ac:dyDescent="0.3">
      <c r="A5146">
        <v>5144</v>
      </c>
      <c r="B5146" t="s">
        <v>5898</v>
      </c>
      <c r="C5146" t="s">
        <v>104</v>
      </c>
      <c r="D5146">
        <v>1.5992646379266299E-3</v>
      </c>
    </row>
    <row r="5147" spans="1:4" hidden="1" x14ac:dyDescent="0.3">
      <c r="A5147">
        <v>5145</v>
      </c>
      <c r="B5147" t="s">
        <v>5899</v>
      </c>
      <c r="C5147" t="s">
        <v>106</v>
      </c>
      <c r="D5147">
        <v>1.96861655317731E-2</v>
      </c>
    </row>
    <row r="5148" spans="1:4" hidden="1" x14ac:dyDescent="0.3">
      <c r="A5148">
        <v>5146</v>
      </c>
      <c r="B5148" s="1" t="s">
        <v>5900</v>
      </c>
      <c r="C5148" t="s">
        <v>108</v>
      </c>
      <c r="D5148" s="1" t="s">
        <v>5901</v>
      </c>
    </row>
    <row r="5149" spans="1:4" hidden="1" x14ac:dyDescent="0.3">
      <c r="A5149">
        <v>5147</v>
      </c>
      <c r="B5149" t="s">
        <v>5902</v>
      </c>
      <c r="C5149" t="s">
        <v>196</v>
      </c>
      <c r="D5149">
        <v>149991314.71265599</v>
      </c>
    </row>
    <row r="5150" spans="1:4" hidden="1" x14ac:dyDescent="0.3">
      <c r="A5150">
        <v>5148</v>
      </c>
      <c r="B5150" t="s">
        <v>5903</v>
      </c>
      <c r="C5150" t="s">
        <v>198</v>
      </c>
      <c r="D5150">
        <v>58.715423170644797</v>
      </c>
    </row>
    <row r="5151" spans="1:4" hidden="1" x14ac:dyDescent="0.3">
      <c r="A5151">
        <v>5149</v>
      </c>
      <c r="B5151" t="s">
        <v>5904</v>
      </c>
      <c r="C5151" t="s">
        <v>200</v>
      </c>
      <c r="D5151">
        <v>25.687195278156199</v>
      </c>
    </row>
    <row r="5152" spans="1:4" hidden="1" x14ac:dyDescent="0.3">
      <c r="A5152">
        <v>5150</v>
      </c>
      <c r="B5152" s="1" t="s">
        <v>5905</v>
      </c>
      <c r="C5152" t="s">
        <v>202</v>
      </c>
      <c r="D5152" s="1" t="s">
        <v>5906</v>
      </c>
    </row>
    <row r="5153" spans="1:4" hidden="1" x14ac:dyDescent="0.3">
      <c r="A5153">
        <v>5151</v>
      </c>
      <c r="B5153" t="s">
        <v>5907</v>
      </c>
      <c r="C5153" t="s">
        <v>205</v>
      </c>
      <c r="D5153">
        <v>80017356.951332897</v>
      </c>
    </row>
    <row r="5154" spans="1:4" hidden="1" x14ac:dyDescent="0.3">
      <c r="A5154">
        <v>5152</v>
      </c>
      <c r="B5154" t="s">
        <v>5908</v>
      </c>
      <c r="C5154" t="s">
        <v>207</v>
      </c>
      <c r="D5154">
        <v>35006500.211658798</v>
      </c>
    </row>
    <row r="5155" spans="1:4" hidden="1" x14ac:dyDescent="0.3">
      <c r="A5155">
        <v>5153</v>
      </c>
      <c r="B5155" t="s">
        <v>5909</v>
      </c>
      <c r="C5155" t="s">
        <v>209</v>
      </c>
      <c r="D5155">
        <v>34967347.488580897</v>
      </c>
    </row>
    <row r="5156" spans="1:4" hidden="1" x14ac:dyDescent="0.3">
      <c r="A5156">
        <v>5154</v>
      </c>
      <c r="B5156" s="1" t="s">
        <v>5910</v>
      </c>
      <c r="C5156" t="s">
        <v>211</v>
      </c>
      <c r="D5156" s="1" t="s">
        <v>5911</v>
      </c>
    </row>
    <row r="5157" spans="1:4" hidden="1" x14ac:dyDescent="0.3">
      <c r="A5157">
        <v>5155</v>
      </c>
      <c r="B5157" t="s">
        <v>5912</v>
      </c>
      <c r="C5157" t="s">
        <v>214</v>
      </c>
      <c r="D5157">
        <v>99986003.041731894</v>
      </c>
    </row>
    <row r="5158" spans="1:4" hidden="1" x14ac:dyDescent="0.3">
      <c r="A5158">
        <v>5156</v>
      </c>
      <c r="B5158" t="s">
        <v>5913</v>
      </c>
      <c r="C5158" t="s">
        <v>216</v>
      </c>
      <c r="D5158">
        <v>73.368087917566299</v>
      </c>
    </row>
    <row r="5159" spans="1:4" hidden="1" x14ac:dyDescent="0.3">
      <c r="A5159">
        <v>5157</v>
      </c>
      <c r="B5159" s="1" t="s">
        <v>5914</v>
      </c>
      <c r="C5159" t="s">
        <v>218</v>
      </c>
      <c r="D5159" s="1" t="s">
        <v>5915</v>
      </c>
    </row>
    <row r="5160" spans="1:4" hidden="1" x14ac:dyDescent="0.3">
      <c r="A5160">
        <v>5158</v>
      </c>
      <c r="B5160" t="s">
        <v>5916</v>
      </c>
      <c r="C5160" t="s">
        <v>111</v>
      </c>
      <c r="D5160">
        <v>-18.497439678992201</v>
      </c>
    </row>
    <row r="5161" spans="1:4" hidden="1" x14ac:dyDescent="0.3">
      <c r="A5161">
        <v>5159</v>
      </c>
      <c r="B5161" t="s">
        <v>5917</v>
      </c>
      <c r="C5161" t="s">
        <v>113</v>
      </c>
      <c r="D5161">
        <v>-2.80210844952208</v>
      </c>
    </row>
    <row r="5162" spans="1:4" hidden="1" x14ac:dyDescent="0.3">
      <c r="A5162">
        <v>5160</v>
      </c>
      <c r="B5162" s="1" t="s">
        <v>5918</v>
      </c>
      <c r="C5162" t="s">
        <v>115</v>
      </c>
      <c r="D5162" s="1" t="s">
        <v>5919</v>
      </c>
    </row>
    <row r="5163" spans="1:4" hidden="1" x14ac:dyDescent="0.3">
      <c r="A5163">
        <v>5161</v>
      </c>
      <c r="B5163" t="s">
        <v>5920</v>
      </c>
      <c r="C5163" t="s">
        <v>118</v>
      </c>
      <c r="D5163">
        <v>80017356.951332897</v>
      </c>
    </row>
    <row r="5164" spans="1:4" hidden="1" x14ac:dyDescent="0.3">
      <c r="A5164">
        <v>5162</v>
      </c>
      <c r="B5164" t="s">
        <v>5921</v>
      </c>
      <c r="C5164" t="s">
        <v>120</v>
      </c>
      <c r="D5164">
        <v>35006500.211658798</v>
      </c>
    </row>
    <row r="5165" spans="1:4" hidden="1" x14ac:dyDescent="0.3">
      <c r="A5165">
        <v>5163</v>
      </c>
      <c r="B5165" s="1" t="s">
        <v>5922</v>
      </c>
      <c r="C5165" t="s">
        <v>122</v>
      </c>
      <c r="D5165" s="1" t="s">
        <v>5923</v>
      </c>
    </row>
    <row r="5166" spans="1:4" hidden="1" x14ac:dyDescent="0.3">
      <c r="A5166">
        <v>5164</v>
      </c>
      <c r="B5166" t="s">
        <v>5924</v>
      </c>
      <c r="C5166" t="s">
        <v>125</v>
      </c>
      <c r="D5166">
        <v>0.80017415666755998</v>
      </c>
    </row>
    <row r="5167" spans="1:4" hidden="1" x14ac:dyDescent="0.3">
      <c r="A5167">
        <v>5165</v>
      </c>
      <c r="B5167" t="s">
        <v>5925</v>
      </c>
      <c r="C5167" t="s">
        <v>127</v>
      </c>
      <c r="D5167">
        <v>0.35006525898854102</v>
      </c>
    </row>
    <row r="5168" spans="1:4" hidden="1" x14ac:dyDescent="0.3">
      <c r="A5168">
        <v>5166</v>
      </c>
      <c r="B5168" s="1" t="s">
        <v>5926</v>
      </c>
      <c r="C5168" t="s">
        <v>129</v>
      </c>
      <c r="D5168" s="1" t="s">
        <v>5927</v>
      </c>
    </row>
    <row r="5169" spans="1:4" ht="72" x14ac:dyDescent="0.3">
      <c r="A5169">
        <v>5167</v>
      </c>
      <c r="B5169" s="1" t="s">
        <v>3</v>
      </c>
      <c r="C5169" t="s">
        <v>4</v>
      </c>
      <c r="D5169" t="s">
        <v>5</v>
      </c>
    </row>
    <row r="5170" spans="1:4" hidden="1" x14ac:dyDescent="0.3">
      <c r="A5170">
        <v>5168</v>
      </c>
      <c r="B5170" t="s">
        <v>6</v>
      </c>
      <c r="C5170" t="s">
        <v>7</v>
      </c>
      <c r="D5170">
        <v>1981.95</v>
      </c>
    </row>
    <row r="5171" spans="1:4" hidden="1" x14ac:dyDescent="0.3">
      <c r="A5171">
        <v>5169</v>
      </c>
      <c r="B5171" s="1" t="s">
        <v>131</v>
      </c>
      <c r="C5171" t="s">
        <v>9</v>
      </c>
      <c r="D5171" s="1" t="s">
        <v>132</v>
      </c>
    </row>
    <row r="5172" spans="1:4" hidden="1" x14ac:dyDescent="0.3">
      <c r="A5172">
        <v>5170</v>
      </c>
      <c r="B5172" t="s">
        <v>13</v>
      </c>
      <c r="C5172" t="s">
        <v>14</v>
      </c>
      <c r="D5172">
        <v>91.74609375</v>
      </c>
    </row>
    <row r="5173" spans="1:4" hidden="1" x14ac:dyDescent="0.3">
      <c r="A5173">
        <v>5171</v>
      </c>
      <c r="B5173" t="s">
        <v>15</v>
      </c>
      <c r="C5173" t="s">
        <v>16</v>
      </c>
      <c r="D5173">
        <v>4.1883572307132804</v>
      </c>
    </row>
    <row r="5174" spans="1:4" hidden="1" x14ac:dyDescent="0.3">
      <c r="A5174">
        <v>5172</v>
      </c>
      <c r="B5174" s="1" t="s">
        <v>133</v>
      </c>
      <c r="C5174" t="s">
        <v>134</v>
      </c>
      <c r="D5174" s="1" t="s">
        <v>135</v>
      </c>
    </row>
    <row r="5175" spans="1:4" hidden="1" x14ac:dyDescent="0.3">
      <c r="A5175">
        <v>5173</v>
      </c>
      <c r="B5175" t="s">
        <v>21</v>
      </c>
      <c r="C5175" t="s">
        <v>22</v>
      </c>
      <c r="D5175">
        <v>38.25</v>
      </c>
    </row>
    <row r="5176" spans="1:4" hidden="1" x14ac:dyDescent="0.3">
      <c r="A5176">
        <v>5174</v>
      </c>
      <c r="B5176" t="s">
        <v>5928</v>
      </c>
      <c r="C5176" t="s">
        <v>24</v>
      </c>
      <c r="D5176">
        <v>5.7541723630259796</v>
      </c>
    </row>
    <row r="5177" spans="1:4" hidden="1" x14ac:dyDescent="0.3">
      <c r="A5177">
        <v>5175</v>
      </c>
      <c r="B5177" s="1" t="s">
        <v>5929</v>
      </c>
      <c r="C5177" t="s">
        <v>138</v>
      </c>
      <c r="D5177" s="1" t="s">
        <v>5930</v>
      </c>
    </row>
    <row r="5178" spans="1:4" hidden="1" x14ac:dyDescent="0.3">
      <c r="A5178">
        <v>5176</v>
      </c>
      <c r="B5178" t="s">
        <v>5931</v>
      </c>
      <c r="C5178" t="s">
        <v>35</v>
      </c>
      <c r="D5178">
        <v>0.54377006904596104</v>
      </c>
    </row>
    <row r="5179" spans="1:4" hidden="1" x14ac:dyDescent="0.3">
      <c r="A5179">
        <v>5177</v>
      </c>
      <c r="B5179" t="s">
        <v>5932</v>
      </c>
      <c r="C5179" t="s">
        <v>142</v>
      </c>
      <c r="D5179">
        <v>0.71548491259319003</v>
      </c>
    </row>
    <row r="5180" spans="1:4" hidden="1" x14ac:dyDescent="0.3">
      <c r="A5180">
        <v>5178</v>
      </c>
      <c r="B5180" s="1" t="s">
        <v>5933</v>
      </c>
      <c r="C5180" t="s">
        <v>144</v>
      </c>
      <c r="D5180" s="1" t="s">
        <v>5934</v>
      </c>
    </row>
    <row r="5181" spans="1:4" hidden="1" x14ac:dyDescent="0.3">
      <c r="A5181">
        <v>5179</v>
      </c>
      <c r="B5181" t="s">
        <v>5935</v>
      </c>
      <c r="C5181" t="s">
        <v>30</v>
      </c>
      <c r="D5181">
        <v>0.192034880725657</v>
      </c>
    </row>
    <row r="5182" spans="1:4" hidden="1" x14ac:dyDescent="0.3">
      <c r="A5182">
        <v>5180</v>
      </c>
      <c r="B5182" t="s">
        <v>5936</v>
      </c>
      <c r="C5182" t="s">
        <v>32</v>
      </c>
      <c r="D5182">
        <v>0.21922710212919</v>
      </c>
    </row>
    <row r="5183" spans="1:4" hidden="1" x14ac:dyDescent="0.3">
      <c r="A5183">
        <v>5181</v>
      </c>
      <c r="B5183" s="1" t="s">
        <v>5937</v>
      </c>
      <c r="C5183" t="s">
        <v>148</v>
      </c>
      <c r="D5183" s="1" t="s">
        <v>5938</v>
      </c>
    </row>
    <row r="5184" spans="1:4" hidden="1" x14ac:dyDescent="0.3">
      <c r="A5184">
        <v>5182</v>
      </c>
      <c r="B5184" t="s">
        <v>5939</v>
      </c>
      <c r="C5184" t="s">
        <v>40</v>
      </c>
      <c r="D5184">
        <v>0.26419505022838002</v>
      </c>
    </row>
    <row r="5185" spans="1:4" hidden="1" x14ac:dyDescent="0.3">
      <c r="A5185">
        <v>5183</v>
      </c>
      <c r="B5185" t="s">
        <v>5940</v>
      </c>
      <c r="C5185" t="s">
        <v>42</v>
      </c>
      <c r="D5185">
        <v>0.17842640865640699</v>
      </c>
    </row>
    <row r="5186" spans="1:4" hidden="1" x14ac:dyDescent="0.3">
      <c r="A5186">
        <v>5184</v>
      </c>
      <c r="B5186" s="1" t="s">
        <v>5941</v>
      </c>
      <c r="C5186" t="s">
        <v>152</v>
      </c>
      <c r="D5186" s="1" t="s">
        <v>5942</v>
      </c>
    </row>
    <row r="5187" spans="1:4" hidden="1" x14ac:dyDescent="0.3">
      <c r="A5187">
        <v>5185</v>
      </c>
      <c r="B5187" t="s">
        <v>153</v>
      </c>
      <c r="C5187" t="s">
        <v>154</v>
      </c>
      <c r="D5187">
        <v>1</v>
      </c>
    </row>
    <row r="5188" spans="1:4" hidden="1" x14ac:dyDescent="0.3">
      <c r="A5188">
        <v>5186</v>
      </c>
      <c r="B5188" t="s">
        <v>155</v>
      </c>
      <c r="C5188" t="s">
        <v>156</v>
      </c>
      <c r="D5188">
        <v>1</v>
      </c>
    </row>
    <row r="5189" spans="1:4" hidden="1" x14ac:dyDescent="0.3">
      <c r="A5189">
        <v>5187</v>
      </c>
      <c r="B5189" s="1" t="s">
        <v>5943</v>
      </c>
      <c r="C5189" t="s">
        <v>158</v>
      </c>
      <c r="D5189" s="1" t="s">
        <v>5944</v>
      </c>
    </row>
    <row r="5190" spans="1:4" hidden="1" x14ac:dyDescent="0.3">
      <c r="A5190">
        <v>5188</v>
      </c>
      <c r="B5190" t="s">
        <v>5945</v>
      </c>
      <c r="C5190" t="s">
        <v>161</v>
      </c>
      <c r="D5190">
        <v>1.0044102271666</v>
      </c>
    </row>
    <row r="5191" spans="1:4" hidden="1" x14ac:dyDescent="0.3">
      <c r="A5191">
        <v>5189</v>
      </c>
      <c r="B5191" t="s">
        <v>5946</v>
      </c>
      <c r="C5191" t="s">
        <v>163</v>
      </c>
      <c r="D5191">
        <v>0.99305764908271599</v>
      </c>
    </row>
    <row r="5192" spans="1:4" hidden="1" x14ac:dyDescent="0.3">
      <c r="A5192">
        <v>5190</v>
      </c>
      <c r="B5192" s="1" t="s">
        <v>5947</v>
      </c>
      <c r="C5192" t="s">
        <v>165</v>
      </c>
      <c r="D5192" s="1" t="s">
        <v>5948</v>
      </c>
    </row>
    <row r="5193" spans="1:4" hidden="1" x14ac:dyDescent="0.3">
      <c r="A5193">
        <v>5191</v>
      </c>
      <c r="B5193" s="1" t="s">
        <v>5949</v>
      </c>
      <c r="C5193" t="s">
        <v>55</v>
      </c>
      <c r="D5193" s="1" t="s">
        <v>5950</v>
      </c>
    </row>
    <row r="5194" spans="1:4" hidden="1" x14ac:dyDescent="0.3">
      <c r="A5194">
        <v>5192</v>
      </c>
      <c r="B5194" s="1" t="s">
        <v>5951</v>
      </c>
      <c r="C5194" t="s">
        <v>52</v>
      </c>
      <c r="D5194" s="1" t="s">
        <v>5952</v>
      </c>
    </row>
    <row r="5195" spans="1:4" hidden="1" x14ac:dyDescent="0.3">
      <c r="A5195">
        <v>5193</v>
      </c>
      <c r="B5195" s="1" t="s">
        <v>5953</v>
      </c>
      <c r="C5195" t="s">
        <v>58</v>
      </c>
      <c r="D5195" s="1" t="s">
        <v>5954</v>
      </c>
    </row>
    <row r="5196" spans="1:4" hidden="1" x14ac:dyDescent="0.3">
      <c r="A5196">
        <v>5194</v>
      </c>
      <c r="B5196" t="s">
        <v>5955</v>
      </c>
      <c r="C5196" t="s">
        <v>60</v>
      </c>
      <c r="D5196">
        <v>149966230.62829301</v>
      </c>
    </row>
    <row r="5197" spans="1:4" hidden="1" x14ac:dyDescent="0.3">
      <c r="A5197">
        <v>5195</v>
      </c>
      <c r="B5197" t="s">
        <v>5956</v>
      </c>
      <c r="C5197" t="s">
        <v>62</v>
      </c>
      <c r="D5197">
        <v>80017356.951332897</v>
      </c>
    </row>
    <row r="5198" spans="1:4" hidden="1" x14ac:dyDescent="0.3">
      <c r="A5198">
        <v>5196</v>
      </c>
      <c r="B5198" t="s">
        <v>5957</v>
      </c>
      <c r="C5198" t="s">
        <v>64</v>
      </c>
      <c r="D5198">
        <v>35006500.211658798</v>
      </c>
    </row>
    <row r="5199" spans="1:4" hidden="1" x14ac:dyDescent="0.3">
      <c r="A5199">
        <v>5197</v>
      </c>
      <c r="B5199" s="1" t="s">
        <v>5958</v>
      </c>
      <c r="C5199" t="s">
        <v>66</v>
      </c>
      <c r="D5199" s="1" t="s">
        <v>5959</v>
      </c>
    </row>
    <row r="5200" spans="1:4" hidden="1" x14ac:dyDescent="0.3">
      <c r="A5200">
        <v>5198</v>
      </c>
      <c r="B5200" s="1" t="s">
        <v>5960</v>
      </c>
      <c r="C5200" t="s">
        <v>69</v>
      </c>
      <c r="D5200" s="1" t="s">
        <v>5961</v>
      </c>
    </row>
    <row r="5201" spans="1:4" hidden="1" x14ac:dyDescent="0.3">
      <c r="A5201">
        <v>5199</v>
      </c>
      <c r="B5201" t="s">
        <v>5962</v>
      </c>
      <c r="C5201" t="s">
        <v>72</v>
      </c>
      <c r="D5201">
        <v>1.0001392552911299</v>
      </c>
    </row>
    <row r="5202" spans="1:4" hidden="1" x14ac:dyDescent="0.3">
      <c r="A5202">
        <v>5200</v>
      </c>
      <c r="B5202" t="s">
        <v>73</v>
      </c>
      <c r="C5202" t="s">
        <v>74</v>
      </c>
      <c r="D5202">
        <v>2.7397260273972599E-3</v>
      </c>
    </row>
    <row r="5203" spans="1:4" hidden="1" x14ac:dyDescent="0.3">
      <c r="A5203">
        <v>5201</v>
      </c>
      <c r="B5203" t="s">
        <v>75</v>
      </c>
      <c r="C5203" t="s">
        <v>76</v>
      </c>
      <c r="D5203">
        <v>0</v>
      </c>
    </row>
    <row r="5204" spans="1:4" hidden="1" x14ac:dyDescent="0.3">
      <c r="A5204">
        <v>5202</v>
      </c>
      <c r="B5204" t="s">
        <v>77</v>
      </c>
      <c r="C5204" t="s">
        <v>78</v>
      </c>
      <c r="D5204">
        <v>0</v>
      </c>
    </row>
    <row r="5205" spans="1:4" hidden="1" x14ac:dyDescent="0.3">
      <c r="A5205">
        <v>5203</v>
      </c>
      <c r="B5205" s="1" t="s">
        <v>5963</v>
      </c>
      <c r="C5205" t="s">
        <v>80</v>
      </c>
      <c r="D5205" s="1" t="s">
        <v>5964</v>
      </c>
    </row>
    <row r="5206" spans="1:4" hidden="1" x14ac:dyDescent="0.3">
      <c r="A5206">
        <v>5204</v>
      </c>
      <c r="B5206" t="s">
        <v>5965</v>
      </c>
      <c r="C5206" t="s">
        <v>83</v>
      </c>
      <c r="D5206">
        <v>1.0001233743156399</v>
      </c>
    </row>
    <row r="5207" spans="1:4" hidden="1" x14ac:dyDescent="0.3">
      <c r="A5207">
        <v>5205</v>
      </c>
      <c r="B5207" s="1" t="s">
        <v>5966</v>
      </c>
      <c r="C5207" t="s">
        <v>85</v>
      </c>
      <c r="D5207" s="1" t="s">
        <v>5967</v>
      </c>
    </row>
    <row r="5208" spans="1:4" hidden="1" x14ac:dyDescent="0.3">
      <c r="A5208">
        <v>5206</v>
      </c>
      <c r="B5208" t="s">
        <v>5968</v>
      </c>
      <c r="C5208" t="s">
        <v>88</v>
      </c>
      <c r="D5208">
        <v>99987664.090370297</v>
      </c>
    </row>
    <row r="5209" spans="1:4" hidden="1" x14ac:dyDescent="0.3">
      <c r="A5209">
        <v>5207</v>
      </c>
      <c r="B5209" s="1" t="s">
        <v>5969</v>
      </c>
      <c r="C5209" t="s">
        <v>90</v>
      </c>
      <c r="D5209" s="1" t="s">
        <v>5915</v>
      </c>
    </row>
    <row r="5210" spans="1:4" hidden="1" x14ac:dyDescent="0.3">
      <c r="A5210">
        <v>5208</v>
      </c>
      <c r="B5210" t="s">
        <v>5970</v>
      </c>
      <c r="C5210" t="s">
        <v>93</v>
      </c>
      <c r="D5210">
        <v>80017356.951332897</v>
      </c>
    </row>
    <row r="5211" spans="1:4" hidden="1" x14ac:dyDescent="0.3">
      <c r="A5211">
        <v>5209</v>
      </c>
      <c r="B5211" t="s">
        <v>5971</v>
      </c>
      <c r="C5211" t="s">
        <v>95</v>
      </c>
      <c r="D5211">
        <v>35006500.211658798</v>
      </c>
    </row>
    <row r="5212" spans="1:4" hidden="1" x14ac:dyDescent="0.3">
      <c r="A5212">
        <v>5210</v>
      </c>
      <c r="B5212" t="s">
        <v>5972</v>
      </c>
      <c r="C5212" t="s">
        <v>97</v>
      </c>
      <c r="D5212">
        <v>34942373.465302102</v>
      </c>
    </row>
    <row r="5213" spans="1:4" hidden="1" x14ac:dyDescent="0.3">
      <c r="A5213">
        <v>5211</v>
      </c>
      <c r="B5213" s="1" t="s">
        <v>5973</v>
      </c>
      <c r="C5213" t="s">
        <v>99</v>
      </c>
      <c r="D5213" s="1" t="s">
        <v>5974</v>
      </c>
    </row>
    <row r="5214" spans="1:4" hidden="1" x14ac:dyDescent="0.3">
      <c r="A5214">
        <v>5212</v>
      </c>
      <c r="B5214" t="s">
        <v>5975</v>
      </c>
      <c r="C5214" t="s">
        <v>102</v>
      </c>
      <c r="D5214">
        <v>8.6588223939880506E-3</v>
      </c>
    </row>
    <row r="5215" spans="1:4" hidden="1" x14ac:dyDescent="0.3">
      <c r="A5215">
        <v>5213</v>
      </c>
      <c r="B5215" t="s">
        <v>5976</v>
      </c>
      <c r="C5215" t="s">
        <v>104</v>
      </c>
      <c r="D5215">
        <v>1.56946359004978E-3</v>
      </c>
    </row>
    <row r="5216" spans="1:4" hidden="1" x14ac:dyDescent="0.3">
      <c r="A5216">
        <v>5214</v>
      </c>
      <c r="B5216" t="s">
        <v>5977</v>
      </c>
      <c r="C5216" t="s">
        <v>106</v>
      </c>
      <c r="D5216">
        <v>2.0076972167009498E-2</v>
      </c>
    </row>
    <row r="5217" spans="1:4" hidden="1" x14ac:dyDescent="0.3">
      <c r="A5217">
        <v>5215</v>
      </c>
      <c r="B5217" s="1" t="s">
        <v>5978</v>
      </c>
      <c r="C5217" t="s">
        <v>108</v>
      </c>
      <c r="D5217" s="1" t="s">
        <v>5979</v>
      </c>
    </row>
    <row r="5218" spans="1:4" hidden="1" x14ac:dyDescent="0.3">
      <c r="A5218">
        <v>5216</v>
      </c>
      <c r="B5218" t="s">
        <v>5980</v>
      </c>
      <c r="C5218" t="s">
        <v>196</v>
      </c>
      <c r="D5218">
        <v>149965683.12057599</v>
      </c>
    </row>
    <row r="5219" spans="1:4" hidden="1" x14ac:dyDescent="0.3">
      <c r="A5219">
        <v>5217</v>
      </c>
      <c r="B5219" t="s">
        <v>5981</v>
      </c>
      <c r="C5219" t="s">
        <v>198</v>
      </c>
      <c r="D5219">
        <v>1270.5700238447901</v>
      </c>
    </row>
    <row r="5220" spans="1:4" hidden="1" x14ac:dyDescent="0.3">
      <c r="A5220">
        <v>5218</v>
      </c>
      <c r="B5220" t="s">
        <v>5982</v>
      </c>
      <c r="C5220" t="s">
        <v>200</v>
      </c>
      <c r="D5220">
        <v>555.85895180411603</v>
      </c>
    </row>
    <row r="5221" spans="1:4" hidden="1" x14ac:dyDescent="0.3">
      <c r="A5221">
        <v>5219</v>
      </c>
      <c r="B5221" s="1" t="s">
        <v>5983</v>
      </c>
      <c r="C5221" t="s">
        <v>202</v>
      </c>
      <c r="D5221" s="1" t="s">
        <v>5984</v>
      </c>
    </row>
    <row r="5222" spans="1:4" hidden="1" x14ac:dyDescent="0.3">
      <c r="A5222">
        <v>5220</v>
      </c>
      <c r="B5222" t="s">
        <v>5985</v>
      </c>
      <c r="C5222" t="s">
        <v>205</v>
      </c>
      <c r="D5222">
        <v>80015662.753629401</v>
      </c>
    </row>
    <row r="5223" spans="1:4" hidden="1" x14ac:dyDescent="0.3">
      <c r="A5223">
        <v>5221</v>
      </c>
      <c r="B5223" t="s">
        <v>5986</v>
      </c>
      <c r="C5223" t="s">
        <v>207</v>
      </c>
      <c r="D5223">
        <v>35005880.503581896</v>
      </c>
    </row>
    <row r="5224" spans="1:4" hidden="1" x14ac:dyDescent="0.3">
      <c r="A5224">
        <v>5222</v>
      </c>
      <c r="B5224" t="s">
        <v>5987</v>
      </c>
      <c r="C5224" t="s">
        <v>209</v>
      </c>
      <c r="D5224">
        <v>34941758.593630098</v>
      </c>
    </row>
    <row r="5225" spans="1:4" hidden="1" x14ac:dyDescent="0.3">
      <c r="A5225">
        <v>5223</v>
      </c>
      <c r="B5225" s="1" t="s">
        <v>5988</v>
      </c>
      <c r="C5225" t="s">
        <v>211</v>
      </c>
      <c r="D5225" s="1" t="s">
        <v>5989</v>
      </c>
    </row>
    <row r="5226" spans="1:4" hidden="1" x14ac:dyDescent="0.3">
      <c r="A5226">
        <v>5224</v>
      </c>
      <c r="B5226" t="s">
        <v>5990</v>
      </c>
      <c r="C5226" t="s">
        <v>214</v>
      </c>
      <c r="D5226">
        <v>99986076.409819797</v>
      </c>
    </row>
    <row r="5227" spans="1:4" hidden="1" x14ac:dyDescent="0.3">
      <c r="A5227">
        <v>5225</v>
      </c>
      <c r="B5227" t="s">
        <v>5991</v>
      </c>
      <c r="C5227" t="s">
        <v>216</v>
      </c>
      <c r="D5227">
        <v>1587.6805504858401</v>
      </c>
    </row>
    <row r="5228" spans="1:4" hidden="1" x14ac:dyDescent="0.3">
      <c r="A5228">
        <v>5226</v>
      </c>
      <c r="B5228" s="1" t="s">
        <v>5992</v>
      </c>
      <c r="C5228" t="s">
        <v>218</v>
      </c>
      <c r="D5228" s="1" t="s">
        <v>5993</v>
      </c>
    </row>
    <row r="5229" spans="1:4" hidden="1" x14ac:dyDescent="0.3">
      <c r="A5229">
        <v>5227</v>
      </c>
      <c r="B5229" t="s">
        <v>5994</v>
      </c>
      <c r="C5229" t="s">
        <v>111</v>
      </c>
      <c r="D5229">
        <v>-423.62767961802001</v>
      </c>
    </row>
    <row r="5230" spans="1:4" hidden="1" x14ac:dyDescent="0.3">
      <c r="A5230">
        <v>5228</v>
      </c>
      <c r="B5230" t="s">
        <v>5995</v>
      </c>
      <c r="C5230" t="s">
        <v>113</v>
      </c>
      <c r="D5230">
        <v>-63.849125144204201</v>
      </c>
    </row>
    <row r="5231" spans="1:4" hidden="1" x14ac:dyDescent="0.3">
      <c r="A5231">
        <v>5229</v>
      </c>
      <c r="B5231" s="1" t="s">
        <v>5996</v>
      </c>
      <c r="C5231" t="s">
        <v>115</v>
      </c>
      <c r="D5231" s="1" t="s">
        <v>5997</v>
      </c>
    </row>
    <row r="5232" spans="1:4" hidden="1" x14ac:dyDescent="0.3">
      <c r="A5232">
        <v>5230</v>
      </c>
      <c r="B5232" t="s">
        <v>5998</v>
      </c>
      <c r="C5232" t="s">
        <v>118</v>
      </c>
      <c r="D5232">
        <v>80015662.753629401</v>
      </c>
    </row>
    <row r="5233" spans="1:4" hidden="1" x14ac:dyDescent="0.3">
      <c r="A5233">
        <v>5231</v>
      </c>
      <c r="B5233" t="s">
        <v>5999</v>
      </c>
      <c r="C5233" t="s">
        <v>120</v>
      </c>
      <c r="D5233">
        <v>35005880.503581896</v>
      </c>
    </row>
    <row r="5234" spans="1:4" hidden="1" x14ac:dyDescent="0.3">
      <c r="A5234">
        <v>5232</v>
      </c>
      <c r="B5234" s="1" t="s">
        <v>6000</v>
      </c>
      <c r="C5234" t="s">
        <v>122</v>
      </c>
      <c r="D5234" s="1" t="s">
        <v>6001</v>
      </c>
    </row>
    <row r="5235" spans="1:4" hidden="1" x14ac:dyDescent="0.3">
      <c r="A5235">
        <v>5233</v>
      </c>
      <c r="B5235" t="s">
        <v>6002</v>
      </c>
      <c r="C5235" t="s">
        <v>125</v>
      </c>
      <c r="D5235">
        <v>0.80016933323653205</v>
      </c>
    </row>
    <row r="5236" spans="1:4" hidden="1" x14ac:dyDescent="0.3">
      <c r="A5236">
        <v>5234</v>
      </c>
      <c r="B5236" t="s">
        <v>6003</v>
      </c>
      <c r="C5236" t="s">
        <v>127</v>
      </c>
      <c r="D5236">
        <v>0.35006436362533699</v>
      </c>
    </row>
    <row r="5237" spans="1:4" hidden="1" x14ac:dyDescent="0.3">
      <c r="A5237">
        <v>5235</v>
      </c>
      <c r="B5237" s="1" t="s">
        <v>6004</v>
      </c>
      <c r="C5237" t="s">
        <v>129</v>
      </c>
      <c r="D5237" s="1" t="s">
        <v>6005</v>
      </c>
    </row>
    <row r="5238" spans="1:4" ht="72" x14ac:dyDescent="0.3">
      <c r="A5238">
        <v>5236</v>
      </c>
      <c r="B5238" s="1" t="s">
        <v>3</v>
      </c>
      <c r="C5238" t="s">
        <v>4</v>
      </c>
      <c r="D5238" t="s">
        <v>5</v>
      </c>
    </row>
    <row r="5239" spans="1:4" hidden="1" x14ac:dyDescent="0.3">
      <c r="A5239">
        <v>5237</v>
      </c>
      <c r="B5239" t="s">
        <v>6</v>
      </c>
      <c r="C5239" t="s">
        <v>7</v>
      </c>
      <c r="D5239">
        <v>1981.95</v>
      </c>
    </row>
    <row r="5240" spans="1:4" hidden="1" x14ac:dyDescent="0.3">
      <c r="A5240">
        <v>5238</v>
      </c>
      <c r="B5240" s="1" t="s">
        <v>131</v>
      </c>
      <c r="C5240" t="s">
        <v>9</v>
      </c>
      <c r="D5240" s="1" t="s">
        <v>132</v>
      </c>
    </row>
    <row r="5241" spans="1:4" hidden="1" x14ac:dyDescent="0.3">
      <c r="A5241">
        <v>5239</v>
      </c>
      <c r="B5241" t="s">
        <v>13</v>
      </c>
      <c r="C5241" t="s">
        <v>14</v>
      </c>
      <c r="D5241">
        <v>91.74609375</v>
      </c>
    </row>
    <row r="5242" spans="1:4" hidden="1" x14ac:dyDescent="0.3">
      <c r="A5242">
        <v>5240</v>
      </c>
      <c r="B5242" t="s">
        <v>15</v>
      </c>
      <c r="C5242" t="s">
        <v>16</v>
      </c>
      <c r="D5242">
        <v>4.1883572307132804</v>
      </c>
    </row>
    <row r="5243" spans="1:4" hidden="1" x14ac:dyDescent="0.3">
      <c r="A5243">
        <v>5241</v>
      </c>
      <c r="B5243" s="1" t="s">
        <v>133</v>
      </c>
      <c r="C5243" t="s">
        <v>134</v>
      </c>
      <c r="D5243" s="1" t="s">
        <v>135</v>
      </c>
    </row>
    <row r="5244" spans="1:4" hidden="1" x14ac:dyDescent="0.3">
      <c r="A5244">
        <v>5242</v>
      </c>
      <c r="B5244" t="s">
        <v>21</v>
      </c>
      <c r="C5244" t="s">
        <v>22</v>
      </c>
      <c r="D5244">
        <v>38.25</v>
      </c>
    </row>
    <row r="5245" spans="1:4" hidden="1" x14ac:dyDescent="0.3">
      <c r="A5245">
        <v>5243</v>
      </c>
      <c r="B5245" t="s">
        <v>6006</v>
      </c>
      <c r="C5245" t="s">
        <v>24</v>
      </c>
      <c r="D5245">
        <v>5.8636013119078996</v>
      </c>
    </row>
    <row r="5246" spans="1:4" hidden="1" x14ac:dyDescent="0.3">
      <c r="A5246">
        <v>5244</v>
      </c>
      <c r="B5246" s="1" t="s">
        <v>6007</v>
      </c>
      <c r="C5246" t="s">
        <v>138</v>
      </c>
      <c r="D5246" s="1" t="s">
        <v>6008</v>
      </c>
    </row>
    <row r="5247" spans="1:4" hidden="1" x14ac:dyDescent="0.3">
      <c r="A5247">
        <v>5245</v>
      </c>
      <c r="B5247" t="s">
        <v>6009</v>
      </c>
      <c r="C5247" t="s">
        <v>35</v>
      </c>
      <c r="D5247">
        <v>0.53919398561520204</v>
      </c>
    </row>
    <row r="5248" spans="1:4" hidden="1" x14ac:dyDescent="0.3">
      <c r="A5248">
        <v>5246</v>
      </c>
      <c r="B5248" t="s">
        <v>6010</v>
      </c>
      <c r="C5248" t="s">
        <v>142</v>
      </c>
      <c r="D5248">
        <v>0.71744250967197798</v>
      </c>
    </row>
    <row r="5249" spans="1:4" hidden="1" x14ac:dyDescent="0.3">
      <c r="A5249">
        <v>5247</v>
      </c>
      <c r="B5249" s="1" t="s">
        <v>6011</v>
      </c>
      <c r="C5249" t="s">
        <v>144</v>
      </c>
      <c r="D5249" s="1" t="s">
        <v>6012</v>
      </c>
    </row>
    <row r="5250" spans="1:4" hidden="1" x14ac:dyDescent="0.3">
      <c r="A5250">
        <v>5248</v>
      </c>
      <c r="B5250" t="s">
        <v>6013</v>
      </c>
      <c r="C5250" t="s">
        <v>30</v>
      </c>
      <c r="D5250">
        <v>0.19041881598461999</v>
      </c>
    </row>
    <row r="5251" spans="1:4" hidden="1" x14ac:dyDescent="0.3">
      <c r="A5251">
        <v>5249</v>
      </c>
      <c r="B5251" t="s">
        <v>6014</v>
      </c>
      <c r="C5251" t="s">
        <v>32</v>
      </c>
      <c r="D5251">
        <v>0.21826171319652601</v>
      </c>
    </row>
    <row r="5252" spans="1:4" hidden="1" x14ac:dyDescent="0.3">
      <c r="A5252">
        <v>5250</v>
      </c>
      <c r="B5252" s="1" t="s">
        <v>6015</v>
      </c>
      <c r="C5252" t="s">
        <v>148</v>
      </c>
      <c r="D5252" s="1" t="s">
        <v>6016</v>
      </c>
    </row>
    <row r="5253" spans="1:4" hidden="1" x14ac:dyDescent="0.3">
      <c r="A5253">
        <v>5251</v>
      </c>
      <c r="B5253" t="s">
        <v>6017</v>
      </c>
      <c r="C5253" t="s">
        <v>40</v>
      </c>
      <c r="D5253">
        <v>0.270387198400177</v>
      </c>
    </row>
    <row r="5254" spans="1:4" hidden="1" x14ac:dyDescent="0.3">
      <c r="A5254">
        <v>5252</v>
      </c>
      <c r="B5254" t="s">
        <v>6018</v>
      </c>
      <c r="C5254" t="s">
        <v>42</v>
      </c>
      <c r="D5254">
        <v>0.17557819246672801</v>
      </c>
    </row>
    <row r="5255" spans="1:4" hidden="1" x14ac:dyDescent="0.3">
      <c r="A5255">
        <v>5253</v>
      </c>
      <c r="B5255" s="1" t="s">
        <v>6019</v>
      </c>
      <c r="C5255" t="s">
        <v>152</v>
      </c>
      <c r="D5255" s="1" t="s">
        <v>6020</v>
      </c>
    </row>
    <row r="5256" spans="1:4" hidden="1" x14ac:dyDescent="0.3">
      <c r="A5256">
        <v>5254</v>
      </c>
      <c r="B5256" t="s">
        <v>153</v>
      </c>
      <c r="C5256" t="s">
        <v>154</v>
      </c>
      <c r="D5256">
        <v>1</v>
      </c>
    </row>
    <row r="5257" spans="1:4" hidden="1" x14ac:dyDescent="0.3">
      <c r="A5257">
        <v>5255</v>
      </c>
      <c r="B5257" t="s">
        <v>155</v>
      </c>
      <c r="C5257" t="s">
        <v>156</v>
      </c>
      <c r="D5257">
        <v>1</v>
      </c>
    </row>
    <row r="5258" spans="1:4" hidden="1" x14ac:dyDescent="0.3">
      <c r="A5258">
        <v>5256</v>
      </c>
      <c r="B5258" s="1" t="s">
        <v>6021</v>
      </c>
      <c r="C5258" t="s">
        <v>158</v>
      </c>
      <c r="D5258" s="1" t="s">
        <v>6022</v>
      </c>
    </row>
    <row r="5259" spans="1:4" hidden="1" x14ac:dyDescent="0.3">
      <c r="A5259">
        <v>5257</v>
      </c>
      <c r="B5259" t="s">
        <v>6023</v>
      </c>
      <c r="C5259" t="s">
        <v>161</v>
      </c>
      <c r="D5259">
        <v>1.0011411333695801</v>
      </c>
    </row>
    <row r="5260" spans="1:4" hidden="1" x14ac:dyDescent="0.3">
      <c r="A5260">
        <v>5258</v>
      </c>
      <c r="B5260" t="s">
        <v>6024</v>
      </c>
      <c r="C5260" t="s">
        <v>163</v>
      </c>
      <c r="D5260">
        <v>0.99920819597023502</v>
      </c>
    </row>
    <row r="5261" spans="1:4" hidden="1" x14ac:dyDescent="0.3">
      <c r="A5261">
        <v>5259</v>
      </c>
      <c r="B5261" s="1" t="s">
        <v>6025</v>
      </c>
      <c r="C5261" t="s">
        <v>165</v>
      </c>
      <c r="D5261" s="1" t="s">
        <v>6026</v>
      </c>
    </row>
    <row r="5262" spans="1:4" hidden="1" x14ac:dyDescent="0.3">
      <c r="A5262">
        <v>5260</v>
      </c>
      <c r="B5262" s="1" t="s">
        <v>6027</v>
      </c>
      <c r="C5262" t="s">
        <v>55</v>
      </c>
      <c r="D5262" s="1" t="s">
        <v>6028</v>
      </c>
    </row>
    <row r="5263" spans="1:4" hidden="1" x14ac:dyDescent="0.3">
      <c r="A5263">
        <v>5261</v>
      </c>
      <c r="B5263" s="1" t="s">
        <v>6029</v>
      </c>
      <c r="C5263" t="s">
        <v>52</v>
      </c>
      <c r="D5263" s="1" t="s">
        <v>6030</v>
      </c>
    </row>
    <row r="5264" spans="1:4" hidden="1" x14ac:dyDescent="0.3">
      <c r="A5264">
        <v>5262</v>
      </c>
      <c r="B5264" s="1" t="s">
        <v>6031</v>
      </c>
      <c r="C5264" t="s">
        <v>58</v>
      </c>
      <c r="D5264" s="1" t="s">
        <v>6032</v>
      </c>
    </row>
    <row r="5265" spans="1:4" hidden="1" x14ac:dyDescent="0.3">
      <c r="A5265">
        <v>5263</v>
      </c>
      <c r="B5265" t="s">
        <v>6033</v>
      </c>
      <c r="C5265" t="s">
        <v>60</v>
      </c>
      <c r="D5265">
        <v>150050194.518278</v>
      </c>
    </row>
    <row r="5266" spans="1:4" hidden="1" x14ac:dyDescent="0.3">
      <c r="A5266">
        <v>5264</v>
      </c>
      <c r="B5266" t="s">
        <v>6034</v>
      </c>
      <c r="C5266" t="s">
        <v>62</v>
      </c>
      <c r="D5266">
        <v>80015662.753629401</v>
      </c>
    </row>
    <row r="5267" spans="1:4" hidden="1" x14ac:dyDescent="0.3">
      <c r="A5267">
        <v>5265</v>
      </c>
      <c r="B5267" t="s">
        <v>6035</v>
      </c>
      <c r="C5267" t="s">
        <v>64</v>
      </c>
      <c r="D5267">
        <v>35005880.503581896</v>
      </c>
    </row>
    <row r="5268" spans="1:4" hidden="1" x14ac:dyDescent="0.3">
      <c r="A5268">
        <v>5266</v>
      </c>
      <c r="B5268" s="1" t="s">
        <v>6036</v>
      </c>
      <c r="C5268" t="s">
        <v>66</v>
      </c>
      <c r="D5268" s="1" t="s">
        <v>6037</v>
      </c>
    </row>
    <row r="5269" spans="1:4" hidden="1" x14ac:dyDescent="0.3">
      <c r="A5269">
        <v>5267</v>
      </c>
      <c r="B5269" s="1" t="s">
        <v>6038</v>
      </c>
      <c r="C5269" t="s">
        <v>69</v>
      </c>
      <c r="D5269" s="1" t="s">
        <v>6039</v>
      </c>
    </row>
    <row r="5270" spans="1:4" hidden="1" x14ac:dyDescent="0.3">
      <c r="A5270">
        <v>5268</v>
      </c>
      <c r="B5270" t="s">
        <v>6040</v>
      </c>
      <c r="C5270" t="s">
        <v>72</v>
      </c>
      <c r="D5270">
        <v>1.0001233743156399</v>
      </c>
    </row>
    <row r="5271" spans="1:4" hidden="1" x14ac:dyDescent="0.3">
      <c r="A5271">
        <v>5269</v>
      </c>
      <c r="B5271" t="s">
        <v>73</v>
      </c>
      <c r="C5271" t="s">
        <v>74</v>
      </c>
      <c r="D5271">
        <v>2.7397260273972599E-3</v>
      </c>
    </row>
    <row r="5272" spans="1:4" hidden="1" x14ac:dyDescent="0.3">
      <c r="A5272">
        <v>5270</v>
      </c>
      <c r="B5272" t="s">
        <v>75</v>
      </c>
      <c r="C5272" t="s">
        <v>76</v>
      </c>
      <c r="D5272">
        <v>0</v>
      </c>
    </row>
    <row r="5273" spans="1:4" hidden="1" x14ac:dyDescent="0.3">
      <c r="A5273">
        <v>5271</v>
      </c>
      <c r="B5273" t="s">
        <v>77</v>
      </c>
      <c r="C5273" t="s">
        <v>78</v>
      </c>
      <c r="D5273">
        <v>0</v>
      </c>
    </row>
    <row r="5274" spans="1:4" hidden="1" x14ac:dyDescent="0.3">
      <c r="A5274">
        <v>5272</v>
      </c>
      <c r="B5274" s="1" t="s">
        <v>6041</v>
      </c>
      <c r="C5274" t="s">
        <v>80</v>
      </c>
      <c r="D5274" s="1" t="s">
        <v>6042</v>
      </c>
    </row>
    <row r="5275" spans="1:4" hidden="1" x14ac:dyDescent="0.3">
      <c r="A5275">
        <v>5273</v>
      </c>
      <c r="B5275" t="s">
        <v>6043</v>
      </c>
      <c r="C5275" t="s">
        <v>83</v>
      </c>
      <c r="D5275">
        <v>1.00007275417232</v>
      </c>
    </row>
    <row r="5276" spans="1:4" hidden="1" x14ac:dyDescent="0.3">
      <c r="A5276">
        <v>5274</v>
      </c>
      <c r="B5276" s="1" t="s">
        <v>6044</v>
      </c>
      <c r="C5276" t="s">
        <v>85</v>
      </c>
      <c r="D5276" s="1" t="s">
        <v>6045</v>
      </c>
    </row>
    <row r="5277" spans="1:4" hidden="1" x14ac:dyDescent="0.3">
      <c r="A5277">
        <v>5275</v>
      </c>
      <c r="B5277" t="s">
        <v>6046</v>
      </c>
      <c r="C5277" t="s">
        <v>88</v>
      </c>
      <c r="D5277">
        <v>100026185.689835</v>
      </c>
    </row>
    <row r="5278" spans="1:4" hidden="1" x14ac:dyDescent="0.3">
      <c r="A5278">
        <v>5276</v>
      </c>
      <c r="B5278" s="1" t="s">
        <v>6047</v>
      </c>
      <c r="C5278" t="s">
        <v>90</v>
      </c>
      <c r="D5278" s="1" t="s">
        <v>5993</v>
      </c>
    </row>
    <row r="5279" spans="1:4" hidden="1" x14ac:dyDescent="0.3">
      <c r="A5279">
        <v>5277</v>
      </c>
      <c r="B5279" t="s">
        <v>6048</v>
      </c>
      <c r="C5279" t="s">
        <v>93</v>
      </c>
      <c r="D5279">
        <v>80015662.753629401</v>
      </c>
    </row>
    <row r="5280" spans="1:4" hidden="1" x14ac:dyDescent="0.3">
      <c r="A5280">
        <v>5278</v>
      </c>
      <c r="B5280" t="s">
        <v>6049</v>
      </c>
      <c r="C5280" t="s">
        <v>95</v>
      </c>
      <c r="D5280">
        <v>35005880.503581896</v>
      </c>
    </row>
    <row r="5281" spans="1:4" hidden="1" x14ac:dyDescent="0.3">
      <c r="A5281">
        <v>5279</v>
      </c>
      <c r="B5281" t="s">
        <v>6050</v>
      </c>
      <c r="C5281" t="s">
        <v>97</v>
      </c>
      <c r="D5281">
        <v>35028651.261067301</v>
      </c>
    </row>
    <row r="5282" spans="1:4" hidden="1" x14ac:dyDescent="0.3">
      <c r="A5282">
        <v>5280</v>
      </c>
      <c r="B5282" s="1" t="s">
        <v>6051</v>
      </c>
      <c r="C5282" t="s">
        <v>99</v>
      </c>
      <c r="D5282" s="1" t="s">
        <v>6052</v>
      </c>
    </row>
    <row r="5283" spans="1:4" hidden="1" x14ac:dyDescent="0.3">
      <c r="A5283">
        <v>5281</v>
      </c>
      <c r="B5283" t="s">
        <v>6053</v>
      </c>
      <c r="C5283" t="s">
        <v>102</v>
      </c>
      <c r="D5283">
        <v>8.7858078338987795E-3</v>
      </c>
    </row>
    <row r="5284" spans="1:4" hidden="1" x14ac:dyDescent="0.3">
      <c r="A5284">
        <v>5282</v>
      </c>
      <c r="B5284" t="s">
        <v>6054</v>
      </c>
      <c r="C5284" t="s">
        <v>104</v>
      </c>
      <c r="D5284">
        <v>1.60166634359558E-3</v>
      </c>
    </row>
    <row r="5285" spans="1:4" hidden="1" x14ac:dyDescent="0.3">
      <c r="A5285">
        <v>5283</v>
      </c>
      <c r="B5285" t="s">
        <v>6055</v>
      </c>
      <c r="C5285" t="s">
        <v>106</v>
      </c>
      <c r="D5285">
        <v>1.8716266217386E-2</v>
      </c>
    </row>
    <row r="5286" spans="1:4" hidden="1" x14ac:dyDescent="0.3">
      <c r="A5286">
        <v>5284</v>
      </c>
      <c r="B5286" s="1" t="s">
        <v>6056</v>
      </c>
      <c r="C5286" t="s">
        <v>108</v>
      </c>
      <c r="D5286" s="1" t="s">
        <v>6057</v>
      </c>
    </row>
    <row r="5287" spans="1:4" hidden="1" x14ac:dyDescent="0.3">
      <c r="A5287">
        <v>5285</v>
      </c>
      <c r="B5287" t="s">
        <v>6058</v>
      </c>
      <c r="C5287" t="s">
        <v>196</v>
      </c>
      <c r="D5287">
        <v>150048450.46948901</v>
      </c>
    </row>
    <row r="5288" spans="1:4" hidden="1" x14ac:dyDescent="0.3">
      <c r="A5288">
        <v>5286</v>
      </c>
      <c r="B5288" t="s">
        <v>6059</v>
      </c>
      <c r="C5288" t="s">
        <v>198</v>
      </c>
      <c r="D5288">
        <v>30814.752410202898</v>
      </c>
    </row>
    <row r="5289" spans="1:4" hidden="1" x14ac:dyDescent="0.3">
      <c r="A5289">
        <v>5287</v>
      </c>
      <c r="B5289" t="s">
        <v>6060</v>
      </c>
      <c r="C5289" t="s">
        <v>200</v>
      </c>
      <c r="D5289">
        <v>13481.2212779045</v>
      </c>
    </row>
    <row r="5290" spans="1:4" hidden="1" x14ac:dyDescent="0.3">
      <c r="A5290">
        <v>5288</v>
      </c>
      <c r="B5290" s="1" t="s">
        <v>6061</v>
      </c>
      <c r="C5290" t="s">
        <v>202</v>
      </c>
      <c r="D5290" s="1" t="s">
        <v>6062</v>
      </c>
    </row>
    <row r="5291" spans="1:4" hidden="1" x14ac:dyDescent="0.3">
      <c r="A5291">
        <v>5289</v>
      </c>
      <c r="B5291" t="s">
        <v>6063</v>
      </c>
      <c r="C5291" t="s">
        <v>205</v>
      </c>
      <c r="D5291">
        <v>79983571.705533907</v>
      </c>
    </row>
    <row r="5292" spans="1:4" hidden="1" x14ac:dyDescent="0.3">
      <c r="A5292">
        <v>5290</v>
      </c>
      <c r="B5292" t="s">
        <v>6064</v>
      </c>
      <c r="C5292" t="s">
        <v>207</v>
      </c>
      <c r="D5292">
        <v>34992208.095834799</v>
      </c>
    </row>
    <row r="5293" spans="1:4" hidden="1" x14ac:dyDescent="0.3">
      <c r="A5293">
        <v>5291</v>
      </c>
      <c r="B5293" t="s">
        <v>6065</v>
      </c>
      <c r="C5293" t="s">
        <v>209</v>
      </c>
      <c r="D5293">
        <v>35014884.736671999</v>
      </c>
    </row>
    <row r="5294" spans="1:4" hidden="1" x14ac:dyDescent="0.3">
      <c r="A5294">
        <v>5292</v>
      </c>
      <c r="B5294" s="1" t="s">
        <v>6066</v>
      </c>
      <c r="C5294" t="s">
        <v>211</v>
      </c>
      <c r="D5294" s="1" t="s">
        <v>6067</v>
      </c>
    </row>
    <row r="5295" spans="1:4" hidden="1" x14ac:dyDescent="0.3">
      <c r="A5295">
        <v>5293</v>
      </c>
      <c r="B5295" t="s">
        <v>6068</v>
      </c>
      <c r="C5295" t="s">
        <v>214</v>
      </c>
      <c r="D5295">
        <v>99987664.090370297</v>
      </c>
    </row>
    <row r="5296" spans="1:4" hidden="1" x14ac:dyDescent="0.3">
      <c r="A5296">
        <v>5294</v>
      </c>
      <c r="B5296" t="s">
        <v>6069</v>
      </c>
      <c r="C5296" t="s">
        <v>216</v>
      </c>
      <c r="D5296">
        <v>38521.599464982697</v>
      </c>
    </row>
    <row r="5297" spans="1:4" hidden="1" x14ac:dyDescent="0.3">
      <c r="A5297">
        <v>5295</v>
      </c>
      <c r="B5297" s="1" t="s">
        <v>6070</v>
      </c>
      <c r="C5297" t="s">
        <v>218</v>
      </c>
      <c r="D5297" s="1" t="s">
        <v>6071</v>
      </c>
    </row>
    <row r="5298" spans="1:4" hidden="1" x14ac:dyDescent="0.3">
      <c r="A5298">
        <v>5296</v>
      </c>
      <c r="B5298" t="s">
        <v>6072</v>
      </c>
      <c r="C5298" t="s">
        <v>111</v>
      </c>
      <c r="D5298">
        <v>-1276.29568528099</v>
      </c>
    </row>
    <row r="5299" spans="1:4" hidden="1" x14ac:dyDescent="0.3">
      <c r="A5299">
        <v>5297</v>
      </c>
      <c r="B5299" t="s">
        <v>6073</v>
      </c>
      <c r="C5299" t="s">
        <v>113</v>
      </c>
      <c r="D5299">
        <v>-191.18646912338801</v>
      </c>
    </row>
    <row r="5300" spans="1:4" hidden="1" x14ac:dyDescent="0.3">
      <c r="A5300">
        <v>5298</v>
      </c>
      <c r="B5300" s="1" t="s">
        <v>6074</v>
      </c>
      <c r="C5300" t="s">
        <v>115</v>
      </c>
      <c r="D5300" s="1" t="s">
        <v>6075</v>
      </c>
    </row>
    <row r="5301" spans="1:4" hidden="1" x14ac:dyDescent="0.3">
      <c r="A5301">
        <v>5299</v>
      </c>
      <c r="B5301" t="s">
        <v>6076</v>
      </c>
      <c r="C5301" t="s">
        <v>118</v>
      </c>
      <c r="D5301">
        <v>79983571.705533907</v>
      </c>
    </row>
    <row r="5302" spans="1:4" hidden="1" x14ac:dyDescent="0.3">
      <c r="A5302">
        <v>5300</v>
      </c>
      <c r="B5302" t="s">
        <v>6077</v>
      </c>
      <c r="C5302" t="s">
        <v>120</v>
      </c>
      <c r="D5302">
        <v>34992208.095834799</v>
      </c>
    </row>
    <row r="5303" spans="1:4" hidden="1" x14ac:dyDescent="0.3">
      <c r="A5303">
        <v>5301</v>
      </c>
      <c r="B5303" s="1" t="s">
        <v>6078</v>
      </c>
      <c r="C5303" t="s">
        <v>122</v>
      </c>
      <c r="D5303" s="1" t="s">
        <v>6079</v>
      </c>
    </row>
    <row r="5304" spans="1:4" hidden="1" x14ac:dyDescent="0.3">
      <c r="A5304">
        <v>5302</v>
      </c>
      <c r="B5304" t="s">
        <v>6080</v>
      </c>
      <c r="C5304" t="s">
        <v>125</v>
      </c>
      <c r="D5304">
        <v>0.79987620190852504</v>
      </c>
    </row>
    <row r="5305" spans="1:4" hidden="1" x14ac:dyDescent="0.3">
      <c r="A5305">
        <v>5303</v>
      </c>
      <c r="B5305" t="s">
        <v>6081</v>
      </c>
      <c r="C5305" t="s">
        <v>127</v>
      </c>
      <c r="D5305">
        <v>0.34993979277562798</v>
      </c>
    </row>
    <row r="5306" spans="1:4" hidden="1" x14ac:dyDescent="0.3">
      <c r="A5306">
        <v>5304</v>
      </c>
      <c r="B5306" s="1" t="s">
        <v>6082</v>
      </c>
      <c r="C5306" t="s">
        <v>129</v>
      </c>
      <c r="D5306" s="1" t="s">
        <v>6083</v>
      </c>
    </row>
    <row r="5307" spans="1:4" ht="72" x14ac:dyDescent="0.3">
      <c r="A5307">
        <v>5305</v>
      </c>
      <c r="B5307" s="1" t="s">
        <v>3</v>
      </c>
      <c r="C5307" t="s">
        <v>4</v>
      </c>
      <c r="D5307" t="s">
        <v>5</v>
      </c>
    </row>
    <row r="5308" spans="1:4" hidden="1" x14ac:dyDescent="0.3">
      <c r="A5308">
        <v>5306</v>
      </c>
      <c r="B5308" t="s">
        <v>6</v>
      </c>
      <c r="C5308" t="s">
        <v>7</v>
      </c>
      <c r="D5308">
        <v>1981.95</v>
      </c>
    </row>
    <row r="5309" spans="1:4" hidden="1" x14ac:dyDescent="0.3">
      <c r="A5309">
        <v>5307</v>
      </c>
      <c r="B5309" s="1" t="s">
        <v>131</v>
      </c>
      <c r="C5309" t="s">
        <v>9</v>
      </c>
      <c r="D5309" s="1" t="s">
        <v>132</v>
      </c>
    </row>
    <row r="5310" spans="1:4" hidden="1" x14ac:dyDescent="0.3">
      <c r="A5310">
        <v>5308</v>
      </c>
      <c r="B5310" t="s">
        <v>13</v>
      </c>
      <c r="C5310" t="s">
        <v>14</v>
      </c>
      <c r="D5310">
        <v>91.74609375</v>
      </c>
    </row>
    <row r="5311" spans="1:4" hidden="1" x14ac:dyDescent="0.3">
      <c r="A5311">
        <v>5309</v>
      </c>
      <c r="B5311" t="s">
        <v>15</v>
      </c>
      <c r="C5311" t="s">
        <v>16</v>
      </c>
      <c r="D5311">
        <v>4.1883572307132804</v>
      </c>
    </row>
    <row r="5312" spans="1:4" hidden="1" x14ac:dyDescent="0.3">
      <c r="A5312">
        <v>5310</v>
      </c>
      <c r="B5312" s="1" t="s">
        <v>133</v>
      </c>
      <c r="C5312" t="s">
        <v>134</v>
      </c>
      <c r="D5312" s="1" t="s">
        <v>135</v>
      </c>
    </row>
    <row r="5313" spans="1:4" hidden="1" x14ac:dyDescent="0.3">
      <c r="A5313">
        <v>5311</v>
      </c>
      <c r="B5313" t="s">
        <v>21</v>
      </c>
      <c r="C5313" t="s">
        <v>22</v>
      </c>
      <c r="D5313">
        <v>38.25</v>
      </c>
    </row>
    <row r="5314" spans="1:4" hidden="1" x14ac:dyDescent="0.3">
      <c r="A5314">
        <v>5312</v>
      </c>
      <c r="B5314" t="s">
        <v>6084</v>
      </c>
      <c r="C5314" t="s">
        <v>24</v>
      </c>
      <c r="D5314">
        <v>5.8457730088867699</v>
      </c>
    </row>
    <row r="5315" spans="1:4" hidden="1" x14ac:dyDescent="0.3">
      <c r="A5315">
        <v>5313</v>
      </c>
      <c r="B5315" s="1" t="s">
        <v>6085</v>
      </c>
      <c r="C5315" t="s">
        <v>138</v>
      </c>
      <c r="D5315" s="1" t="s">
        <v>6086</v>
      </c>
    </row>
    <row r="5316" spans="1:4" hidden="1" x14ac:dyDescent="0.3">
      <c r="A5316">
        <v>5314</v>
      </c>
      <c r="B5316" t="s">
        <v>6087</v>
      </c>
      <c r="C5316" t="s">
        <v>35</v>
      </c>
      <c r="D5316">
        <v>0.54240354093360998</v>
      </c>
    </row>
    <row r="5317" spans="1:4" hidden="1" x14ac:dyDescent="0.3">
      <c r="A5317">
        <v>5315</v>
      </c>
      <c r="B5317" t="s">
        <v>6088</v>
      </c>
      <c r="C5317" t="s">
        <v>142</v>
      </c>
      <c r="D5317">
        <v>0.71493488610525302</v>
      </c>
    </row>
    <row r="5318" spans="1:4" hidden="1" x14ac:dyDescent="0.3">
      <c r="A5318">
        <v>5316</v>
      </c>
      <c r="B5318" s="1" t="s">
        <v>6089</v>
      </c>
      <c r="C5318" t="s">
        <v>144</v>
      </c>
      <c r="D5318" s="1" t="s">
        <v>6090</v>
      </c>
    </row>
    <row r="5319" spans="1:4" hidden="1" x14ac:dyDescent="0.3">
      <c r="A5319">
        <v>5317</v>
      </c>
      <c r="B5319" t="s">
        <v>6091</v>
      </c>
      <c r="C5319" t="s">
        <v>30</v>
      </c>
      <c r="D5319">
        <v>0.19155228508826899</v>
      </c>
    </row>
    <row r="5320" spans="1:4" hidden="1" x14ac:dyDescent="0.3">
      <c r="A5320">
        <v>5318</v>
      </c>
      <c r="B5320" t="s">
        <v>6092</v>
      </c>
      <c r="C5320" t="s">
        <v>32</v>
      </c>
      <c r="D5320">
        <v>0.220767586315707</v>
      </c>
    </row>
    <row r="5321" spans="1:4" hidden="1" x14ac:dyDescent="0.3">
      <c r="A5321">
        <v>5319</v>
      </c>
      <c r="B5321" s="1" t="s">
        <v>6093</v>
      </c>
      <c r="C5321" t="s">
        <v>148</v>
      </c>
      <c r="D5321" s="1" t="s">
        <v>6094</v>
      </c>
    </row>
    <row r="5322" spans="1:4" hidden="1" x14ac:dyDescent="0.3">
      <c r="A5322">
        <v>5320</v>
      </c>
      <c r="B5322" t="s">
        <v>6095</v>
      </c>
      <c r="C5322" t="s">
        <v>40</v>
      </c>
      <c r="D5322">
        <v>0.26604417397812002</v>
      </c>
    </row>
    <row r="5323" spans="1:4" hidden="1" x14ac:dyDescent="0.3">
      <c r="A5323">
        <v>5321</v>
      </c>
      <c r="B5323" t="s">
        <v>6096</v>
      </c>
      <c r="C5323" t="s">
        <v>42</v>
      </c>
      <c r="D5323">
        <v>0.177961192255573</v>
      </c>
    </row>
    <row r="5324" spans="1:4" hidden="1" x14ac:dyDescent="0.3">
      <c r="A5324">
        <v>5322</v>
      </c>
      <c r="B5324" s="1" t="s">
        <v>6097</v>
      </c>
      <c r="C5324" t="s">
        <v>152</v>
      </c>
      <c r="D5324" s="1" t="s">
        <v>6098</v>
      </c>
    </row>
    <row r="5325" spans="1:4" hidden="1" x14ac:dyDescent="0.3">
      <c r="A5325">
        <v>5323</v>
      </c>
      <c r="B5325" t="s">
        <v>153</v>
      </c>
      <c r="C5325" t="s">
        <v>154</v>
      </c>
      <c r="D5325">
        <v>1</v>
      </c>
    </row>
    <row r="5326" spans="1:4" hidden="1" x14ac:dyDescent="0.3">
      <c r="A5326">
        <v>5324</v>
      </c>
      <c r="B5326" t="s">
        <v>155</v>
      </c>
      <c r="C5326" t="s">
        <v>156</v>
      </c>
      <c r="D5326">
        <v>1</v>
      </c>
    </row>
    <row r="5327" spans="1:4" hidden="1" x14ac:dyDescent="0.3">
      <c r="A5327">
        <v>5325</v>
      </c>
      <c r="B5327" s="1" t="s">
        <v>6099</v>
      </c>
      <c r="C5327" t="s">
        <v>158</v>
      </c>
      <c r="D5327" s="1" t="s">
        <v>6100</v>
      </c>
    </row>
    <row r="5328" spans="1:4" hidden="1" x14ac:dyDescent="0.3">
      <c r="A5328">
        <v>5326</v>
      </c>
      <c r="B5328" t="s">
        <v>6101</v>
      </c>
      <c r="C5328" t="s">
        <v>161</v>
      </c>
      <c r="D5328">
        <v>0.99853990829235695</v>
      </c>
    </row>
    <row r="5329" spans="1:4" hidden="1" x14ac:dyDescent="0.3">
      <c r="A5329">
        <v>5327</v>
      </c>
      <c r="B5329" t="s">
        <v>6102</v>
      </c>
      <c r="C5329" t="s">
        <v>163</v>
      </c>
      <c r="D5329">
        <v>1.0020569251188201</v>
      </c>
    </row>
    <row r="5330" spans="1:4" hidden="1" x14ac:dyDescent="0.3">
      <c r="A5330">
        <v>5328</v>
      </c>
      <c r="B5330" s="1" t="s">
        <v>6103</v>
      </c>
      <c r="C5330" t="s">
        <v>165</v>
      </c>
      <c r="D5330" s="1" t="s">
        <v>6104</v>
      </c>
    </row>
    <row r="5331" spans="1:4" hidden="1" x14ac:dyDescent="0.3">
      <c r="A5331">
        <v>5329</v>
      </c>
      <c r="B5331" s="1" t="s">
        <v>6105</v>
      </c>
      <c r="C5331" t="s">
        <v>55</v>
      </c>
      <c r="D5331" s="1" t="s">
        <v>6106</v>
      </c>
    </row>
    <row r="5332" spans="1:4" hidden="1" x14ac:dyDescent="0.3">
      <c r="A5332">
        <v>5330</v>
      </c>
      <c r="B5332" s="1" t="s">
        <v>6107</v>
      </c>
      <c r="C5332" t="s">
        <v>52</v>
      </c>
      <c r="D5332" s="1" t="s">
        <v>6108</v>
      </c>
    </row>
    <row r="5333" spans="1:4" hidden="1" x14ac:dyDescent="0.3">
      <c r="A5333">
        <v>5331</v>
      </c>
      <c r="B5333" s="1" t="s">
        <v>6109</v>
      </c>
      <c r="C5333" t="s">
        <v>58</v>
      </c>
      <c r="D5333" s="1" t="s">
        <v>6110</v>
      </c>
    </row>
    <row r="5334" spans="1:4" hidden="1" x14ac:dyDescent="0.3">
      <c r="A5334">
        <v>5332</v>
      </c>
      <c r="B5334" t="s">
        <v>6111</v>
      </c>
      <c r="C5334" t="s">
        <v>60</v>
      </c>
      <c r="D5334">
        <v>149976513.43822601</v>
      </c>
    </row>
    <row r="5335" spans="1:4" hidden="1" x14ac:dyDescent="0.3">
      <c r="A5335">
        <v>5333</v>
      </c>
      <c r="B5335" t="s">
        <v>6112</v>
      </c>
      <c r="C5335" t="s">
        <v>62</v>
      </c>
      <c r="D5335">
        <v>79983571.705533907</v>
      </c>
    </row>
    <row r="5336" spans="1:4" hidden="1" x14ac:dyDescent="0.3">
      <c r="A5336">
        <v>5334</v>
      </c>
      <c r="B5336" t="s">
        <v>6113</v>
      </c>
      <c r="C5336" t="s">
        <v>64</v>
      </c>
      <c r="D5336">
        <v>34992208.095834799</v>
      </c>
    </row>
    <row r="5337" spans="1:4" hidden="1" x14ac:dyDescent="0.3">
      <c r="A5337">
        <v>5335</v>
      </c>
      <c r="B5337" s="1" t="s">
        <v>6114</v>
      </c>
      <c r="C5337" t="s">
        <v>66</v>
      </c>
      <c r="D5337" s="1" t="s">
        <v>6115</v>
      </c>
    </row>
    <row r="5338" spans="1:4" hidden="1" x14ac:dyDescent="0.3">
      <c r="A5338">
        <v>5336</v>
      </c>
      <c r="B5338" s="1" t="s">
        <v>6116</v>
      </c>
      <c r="C5338" t="s">
        <v>69</v>
      </c>
      <c r="D5338" s="1" t="s">
        <v>6117</v>
      </c>
    </row>
    <row r="5339" spans="1:4" hidden="1" x14ac:dyDescent="0.3">
      <c r="A5339">
        <v>5337</v>
      </c>
      <c r="B5339" t="s">
        <v>6118</v>
      </c>
      <c r="C5339" t="s">
        <v>72</v>
      </c>
      <c r="D5339">
        <v>1.00007275417232</v>
      </c>
    </row>
    <row r="5340" spans="1:4" hidden="1" x14ac:dyDescent="0.3">
      <c r="A5340">
        <v>5338</v>
      </c>
      <c r="B5340" t="s">
        <v>73</v>
      </c>
      <c r="C5340" t="s">
        <v>74</v>
      </c>
      <c r="D5340">
        <v>2.7397260273972599E-3</v>
      </c>
    </row>
    <row r="5341" spans="1:4" hidden="1" x14ac:dyDescent="0.3">
      <c r="A5341">
        <v>5339</v>
      </c>
      <c r="B5341" t="s">
        <v>75</v>
      </c>
      <c r="C5341" t="s">
        <v>76</v>
      </c>
      <c r="D5341">
        <v>0</v>
      </c>
    </row>
    <row r="5342" spans="1:4" hidden="1" x14ac:dyDescent="0.3">
      <c r="A5342">
        <v>5340</v>
      </c>
      <c r="B5342" t="s">
        <v>77</v>
      </c>
      <c r="C5342" t="s">
        <v>78</v>
      </c>
      <c r="D5342">
        <v>0</v>
      </c>
    </row>
    <row r="5343" spans="1:4" hidden="1" x14ac:dyDescent="0.3">
      <c r="A5343">
        <v>5341</v>
      </c>
      <c r="B5343" s="1" t="s">
        <v>6119</v>
      </c>
      <c r="C5343" t="s">
        <v>80</v>
      </c>
      <c r="D5343" s="1" t="s">
        <v>6120</v>
      </c>
    </row>
    <row r="5344" spans="1:4" hidden="1" x14ac:dyDescent="0.3">
      <c r="A5344">
        <v>5342</v>
      </c>
      <c r="B5344" t="s">
        <v>6121</v>
      </c>
      <c r="C5344" t="s">
        <v>83</v>
      </c>
      <c r="D5344">
        <v>1.0000736862762001</v>
      </c>
    </row>
    <row r="5345" spans="1:4" hidden="1" x14ac:dyDescent="0.3">
      <c r="A5345">
        <v>5343</v>
      </c>
      <c r="B5345" s="1" t="s">
        <v>6122</v>
      </c>
      <c r="C5345" t="s">
        <v>85</v>
      </c>
      <c r="D5345" s="1" t="s">
        <v>6123</v>
      </c>
    </row>
    <row r="5346" spans="1:4" hidden="1" x14ac:dyDescent="0.3">
      <c r="A5346">
        <v>5344</v>
      </c>
      <c r="B5346" t="s">
        <v>6124</v>
      </c>
      <c r="C5346" t="s">
        <v>88</v>
      </c>
      <c r="D5346">
        <v>100026092.461909</v>
      </c>
    </row>
    <row r="5347" spans="1:4" hidden="1" x14ac:dyDescent="0.3">
      <c r="A5347">
        <v>5345</v>
      </c>
      <c r="B5347" s="1" t="s">
        <v>6125</v>
      </c>
      <c r="C5347" t="s">
        <v>90</v>
      </c>
      <c r="D5347" s="1" t="s">
        <v>6071</v>
      </c>
    </row>
    <row r="5348" spans="1:4" hidden="1" x14ac:dyDescent="0.3">
      <c r="A5348">
        <v>5346</v>
      </c>
      <c r="B5348" t="s">
        <v>6126</v>
      </c>
      <c r="C5348" t="s">
        <v>93</v>
      </c>
      <c r="D5348">
        <v>79983571.705533907</v>
      </c>
    </row>
    <row r="5349" spans="1:4" hidden="1" x14ac:dyDescent="0.3">
      <c r="A5349">
        <v>5347</v>
      </c>
      <c r="B5349" t="s">
        <v>6127</v>
      </c>
      <c r="C5349" t="s">
        <v>95</v>
      </c>
      <c r="D5349">
        <v>34992208.095834799</v>
      </c>
    </row>
    <row r="5350" spans="1:4" hidden="1" x14ac:dyDescent="0.3">
      <c r="A5350">
        <v>5348</v>
      </c>
      <c r="B5350" t="s">
        <v>6128</v>
      </c>
      <c r="C5350" t="s">
        <v>97</v>
      </c>
      <c r="D5350">
        <v>35000733.636857703</v>
      </c>
    </row>
    <row r="5351" spans="1:4" hidden="1" x14ac:dyDescent="0.3">
      <c r="A5351">
        <v>5349</v>
      </c>
      <c r="B5351" s="1" t="s">
        <v>6129</v>
      </c>
      <c r="C5351" t="s">
        <v>99</v>
      </c>
      <c r="D5351" s="1" t="s">
        <v>6130</v>
      </c>
    </row>
    <row r="5352" spans="1:4" hidden="1" x14ac:dyDescent="0.3">
      <c r="A5352">
        <v>5350</v>
      </c>
      <c r="B5352" t="s">
        <v>6131</v>
      </c>
      <c r="C5352" t="s">
        <v>102</v>
      </c>
      <c r="D5352">
        <v>8.6741466565108307E-3</v>
      </c>
    </row>
    <row r="5353" spans="1:4" hidden="1" x14ac:dyDescent="0.3">
      <c r="A5353">
        <v>5351</v>
      </c>
      <c r="B5353" t="s">
        <v>6132</v>
      </c>
      <c r="C5353" t="s">
        <v>104</v>
      </c>
      <c r="D5353">
        <v>1.6331722845175499E-3</v>
      </c>
    </row>
    <row r="5354" spans="1:4" hidden="1" x14ac:dyDescent="0.3">
      <c r="A5354">
        <v>5352</v>
      </c>
      <c r="B5354" t="s">
        <v>6133</v>
      </c>
      <c r="C5354" t="s">
        <v>106</v>
      </c>
      <c r="D5354">
        <v>1.8938134206622801E-2</v>
      </c>
    </row>
    <row r="5355" spans="1:4" hidden="1" x14ac:dyDescent="0.3">
      <c r="A5355">
        <v>5353</v>
      </c>
      <c r="B5355" s="1" t="s">
        <v>6134</v>
      </c>
      <c r="C5355" t="s">
        <v>108</v>
      </c>
      <c r="D5355" s="1" t="s">
        <v>6135</v>
      </c>
    </row>
    <row r="5356" spans="1:4" hidden="1" x14ac:dyDescent="0.3">
      <c r="A5356">
        <v>5354</v>
      </c>
      <c r="B5356" t="s">
        <v>6136</v>
      </c>
      <c r="C5356" t="s">
        <v>196</v>
      </c>
      <c r="D5356">
        <v>149976545.52966699</v>
      </c>
    </row>
    <row r="5357" spans="1:4" hidden="1" x14ac:dyDescent="0.3">
      <c r="A5357">
        <v>5355</v>
      </c>
      <c r="B5357" t="s">
        <v>6137</v>
      </c>
      <c r="C5357" t="s">
        <v>198</v>
      </c>
      <c r="D5357">
        <v>-74.547595669203901</v>
      </c>
    </row>
    <row r="5358" spans="1:4" hidden="1" x14ac:dyDescent="0.3">
      <c r="A5358">
        <v>5356</v>
      </c>
      <c r="B5358" t="s">
        <v>6138</v>
      </c>
      <c r="C5358" t="s">
        <v>200</v>
      </c>
      <c r="D5358">
        <v>-32.614003353678399</v>
      </c>
    </row>
    <row r="5359" spans="1:4" hidden="1" x14ac:dyDescent="0.3">
      <c r="A5359">
        <v>5357</v>
      </c>
      <c r="B5359" s="1" t="s">
        <v>6139</v>
      </c>
      <c r="C5359" t="s">
        <v>202</v>
      </c>
      <c r="D5359" s="1" t="s">
        <v>6140</v>
      </c>
    </row>
    <row r="5360" spans="1:4" hidden="1" x14ac:dyDescent="0.3">
      <c r="A5360">
        <v>5358</v>
      </c>
      <c r="B5360" t="s">
        <v>6141</v>
      </c>
      <c r="C5360" t="s">
        <v>205</v>
      </c>
      <c r="D5360">
        <v>79983669.762968898</v>
      </c>
    </row>
    <row r="5361" spans="1:4" hidden="1" x14ac:dyDescent="0.3">
      <c r="A5361">
        <v>5359</v>
      </c>
      <c r="B5361" t="s">
        <v>6142</v>
      </c>
      <c r="C5361" t="s">
        <v>207</v>
      </c>
      <c r="D5361">
        <v>34992244.222929299</v>
      </c>
    </row>
    <row r="5362" spans="1:4" hidden="1" x14ac:dyDescent="0.3">
      <c r="A5362">
        <v>5360</v>
      </c>
      <c r="B5362" t="s">
        <v>6143</v>
      </c>
      <c r="C5362" t="s">
        <v>209</v>
      </c>
      <c r="D5362">
        <v>35000771.327318698</v>
      </c>
    </row>
    <row r="5363" spans="1:4" hidden="1" x14ac:dyDescent="0.3">
      <c r="A5363">
        <v>5361</v>
      </c>
      <c r="B5363" s="1" t="s">
        <v>6144</v>
      </c>
      <c r="C5363" t="s">
        <v>211</v>
      </c>
      <c r="D5363" s="1" t="s">
        <v>6145</v>
      </c>
    </row>
    <row r="5364" spans="1:4" hidden="1" x14ac:dyDescent="0.3">
      <c r="A5364">
        <v>5362</v>
      </c>
      <c r="B5364" t="s">
        <v>6146</v>
      </c>
      <c r="C5364" t="s">
        <v>214</v>
      </c>
      <c r="D5364">
        <v>100026185.689835</v>
      </c>
    </row>
    <row r="5365" spans="1:4" hidden="1" x14ac:dyDescent="0.3">
      <c r="A5365">
        <v>5363</v>
      </c>
      <c r="B5365" t="s">
        <v>6147</v>
      </c>
      <c r="C5365" t="s">
        <v>216</v>
      </c>
      <c r="D5365">
        <v>-93.227926015853797</v>
      </c>
    </row>
    <row r="5366" spans="1:4" hidden="1" x14ac:dyDescent="0.3">
      <c r="A5366">
        <v>5364</v>
      </c>
      <c r="B5366" s="1" t="s">
        <v>6148</v>
      </c>
      <c r="C5366" t="s">
        <v>218</v>
      </c>
      <c r="D5366" s="1" t="s">
        <v>6149</v>
      </c>
    </row>
    <row r="5367" spans="1:4" hidden="1" x14ac:dyDescent="0.3">
      <c r="A5367">
        <v>5365</v>
      </c>
      <c r="B5367" t="s">
        <v>6150</v>
      </c>
      <c r="C5367" t="s">
        <v>111</v>
      </c>
      <c r="D5367">
        <v>23.509839338399701</v>
      </c>
    </row>
    <row r="5368" spans="1:4" hidden="1" x14ac:dyDescent="0.3">
      <c r="A5368">
        <v>5366</v>
      </c>
      <c r="B5368" t="s">
        <v>6151</v>
      </c>
      <c r="C5368" t="s">
        <v>113</v>
      </c>
      <c r="D5368">
        <v>3.5130911168682899</v>
      </c>
    </row>
    <row r="5369" spans="1:4" hidden="1" x14ac:dyDescent="0.3">
      <c r="A5369">
        <v>5367</v>
      </c>
      <c r="B5369" s="1" t="s">
        <v>6152</v>
      </c>
      <c r="C5369" t="s">
        <v>115</v>
      </c>
      <c r="D5369" s="1" t="s">
        <v>6153</v>
      </c>
    </row>
    <row r="5370" spans="1:4" hidden="1" x14ac:dyDescent="0.3">
      <c r="A5370">
        <v>5368</v>
      </c>
      <c r="B5370" t="s">
        <v>6154</v>
      </c>
      <c r="C5370" t="s">
        <v>118</v>
      </c>
      <c r="D5370">
        <v>79983669.762968898</v>
      </c>
    </row>
    <row r="5371" spans="1:4" hidden="1" x14ac:dyDescent="0.3">
      <c r="A5371">
        <v>5369</v>
      </c>
      <c r="B5371" t="s">
        <v>6155</v>
      </c>
      <c r="C5371" t="s">
        <v>120</v>
      </c>
      <c r="D5371">
        <v>34992244.222929299</v>
      </c>
    </row>
    <row r="5372" spans="1:4" hidden="1" x14ac:dyDescent="0.3">
      <c r="A5372">
        <v>5370</v>
      </c>
      <c r="B5372" s="1" t="s">
        <v>6156</v>
      </c>
      <c r="C5372" t="s">
        <v>122</v>
      </c>
      <c r="D5372" s="1" t="s">
        <v>6157</v>
      </c>
    </row>
    <row r="5373" spans="1:4" hidden="1" x14ac:dyDescent="0.3">
      <c r="A5373">
        <v>5371</v>
      </c>
      <c r="B5373" t="s">
        <v>6158</v>
      </c>
      <c r="C5373" t="s">
        <v>125</v>
      </c>
      <c r="D5373">
        <v>0.79956839248512201</v>
      </c>
    </row>
    <row r="5374" spans="1:4" hidden="1" x14ac:dyDescent="0.3">
      <c r="A5374">
        <v>5372</v>
      </c>
      <c r="B5374" t="s">
        <v>6159</v>
      </c>
      <c r="C5374" t="s">
        <v>127</v>
      </c>
      <c r="D5374">
        <v>0.34980506077914503</v>
      </c>
    </row>
    <row r="5375" spans="1:4" hidden="1" x14ac:dyDescent="0.3">
      <c r="A5375">
        <v>5373</v>
      </c>
      <c r="B5375" s="1" t="s">
        <v>6160</v>
      </c>
      <c r="C5375" t="s">
        <v>129</v>
      </c>
      <c r="D5375" s="1" t="s">
        <v>6161</v>
      </c>
    </row>
    <row r="5376" spans="1:4" ht="72" x14ac:dyDescent="0.3">
      <c r="A5376">
        <v>5374</v>
      </c>
      <c r="B5376" s="1" t="s">
        <v>3</v>
      </c>
      <c r="C5376" t="s">
        <v>4</v>
      </c>
      <c r="D5376" t="s">
        <v>5</v>
      </c>
    </row>
    <row r="5377" spans="1:4" hidden="1" x14ac:dyDescent="0.3">
      <c r="A5377">
        <v>5375</v>
      </c>
      <c r="B5377" t="s">
        <v>6</v>
      </c>
      <c r="C5377" t="s">
        <v>7</v>
      </c>
      <c r="D5377">
        <v>1981.95</v>
      </c>
    </row>
    <row r="5378" spans="1:4" hidden="1" x14ac:dyDescent="0.3">
      <c r="A5378">
        <v>5376</v>
      </c>
      <c r="B5378" s="1" t="s">
        <v>131</v>
      </c>
      <c r="C5378" t="s">
        <v>9</v>
      </c>
      <c r="D5378" s="1" t="s">
        <v>132</v>
      </c>
    </row>
    <row r="5379" spans="1:4" hidden="1" x14ac:dyDescent="0.3">
      <c r="A5379">
        <v>5377</v>
      </c>
      <c r="B5379" t="s">
        <v>13</v>
      </c>
      <c r="C5379" t="s">
        <v>14</v>
      </c>
      <c r="D5379">
        <v>91.74609375</v>
      </c>
    </row>
    <row r="5380" spans="1:4" hidden="1" x14ac:dyDescent="0.3">
      <c r="A5380">
        <v>5378</v>
      </c>
      <c r="B5380" t="s">
        <v>15</v>
      </c>
      <c r="C5380" t="s">
        <v>16</v>
      </c>
      <c r="D5380">
        <v>4.1883572307132804</v>
      </c>
    </row>
    <row r="5381" spans="1:4" hidden="1" x14ac:dyDescent="0.3">
      <c r="A5381">
        <v>5379</v>
      </c>
      <c r="B5381" s="1" t="s">
        <v>133</v>
      </c>
      <c r="C5381" t="s">
        <v>134</v>
      </c>
      <c r="D5381" s="1" t="s">
        <v>135</v>
      </c>
    </row>
    <row r="5382" spans="1:4" hidden="1" x14ac:dyDescent="0.3">
      <c r="A5382">
        <v>5380</v>
      </c>
      <c r="B5382" t="s">
        <v>21</v>
      </c>
      <c r="C5382" t="s">
        <v>22</v>
      </c>
      <c r="D5382">
        <v>38.25</v>
      </c>
    </row>
    <row r="5383" spans="1:4" hidden="1" x14ac:dyDescent="0.3">
      <c r="A5383">
        <v>5381</v>
      </c>
      <c r="B5383" t="s">
        <v>6162</v>
      </c>
      <c r="C5383" t="s">
        <v>24</v>
      </c>
      <c r="D5383">
        <v>5.8972491900834703</v>
      </c>
    </row>
    <row r="5384" spans="1:4" hidden="1" x14ac:dyDescent="0.3">
      <c r="A5384">
        <v>5382</v>
      </c>
      <c r="B5384" s="1" t="s">
        <v>6163</v>
      </c>
      <c r="C5384" t="s">
        <v>138</v>
      </c>
      <c r="D5384" s="1" t="s">
        <v>6164</v>
      </c>
    </row>
    <row r="5385" spans="1:4" hidden="1" x14ac:dyDescent="0.3">
      <c r="A5385">
        <v>5383</v>
      </c>
      <c r="B5385" t="s">
        <v>6165</v>
      </c>
      <c r="C5385" t="s">
        <v>35</v>
      </c>
      <c r="D5385">
        <v>0.54086070538756403</v>
      </c>
    </row>
    <row r="5386" spans="1:4" hidden="1" x14ac:dyDescent="0.3">
      <c r="A5386">
        <v>5384</v>
      </c>
      <c r="B5386" t="s">
        <v>6166</v>
      </c>
      <c r="C5386" t="s">
        <v>142</v>
      </c>
      <c r="D5386">
        <v>0.72207789938639999</v>
      </c>
    </row>
    <row r="5387" spans="1:4" hidden="1" x14ac:dyDescent="0.3">
      <c r="A5387">
        <v>5385</v>
      </c>
      <c r="B5387" s="1" t="s">
        <v>6167</v>
      </c>
      <c r="C5387" t="s">
        <v>144</v>
      </c>
      <c r="D5387" s="1" t="s">
        <v>6168</v>
      </c>
    </row>
    <row r="5388" spans="1:4" hidden="1" x14ac:dyDescent="0.3">
      <c r="A5388">
        <v>5386</v>
      </c>
      <c r="B5388" t="s">
        <v>6169</v>
      </c>
      <c r="C5388" t="s">
        <v>30</v>
      </c>
      <c r="D5388">
        <v>0.19100742567630499</v>
      </c>
    </row>
    <row r="5389" spans="1:4" hidden="1" x14ac:dyDescent="0.3">
      <c r="A5389">
        <v>5387</v>
      </c>
      <c r="B5389" t="s">
        <v>6170</v>
      </c>
      <c r="C5389" t="s">
        <v>32</v>
      </c>
      <c r="D5389">
        <v>0.21353718154988599</v>
      </c>
    </row>
    <row r="5390" spans="1:4" hidden="1" x14ac:dyDescent="0.3">
      <c r="A5390">
        <v>5388</v>
      </c>
      <c r="B5390" s="1" t="s">
        <v>6171</v>
      </c>
      <c r="C5390" t="s">
        <v>148</v>
      </c>
      <c r="D5390" s="1" t="s">
        <v>6172</v>
      </c>
    </row>
    <row r="5391" spans="1:4" hidden="1" x14ac:dyDescent="0.3">
      <c r="A5391">
        <v>5389</v>
      </c>
      <c r="B5391" t="s">
        <v>6173</v>
      </c>
      <c r="C5391" t="s">
        <v>40</v>
      </c>
      <c r="D5391">
        <v>0.268131868936129</v>
      </c>
    </row>
    <row r="5392" spans="1:4" hidden="1" x14ac:dyDescent="0.3">
      <c r="A5392">
        <v>5390</v>
      </c>
      <c r="B5392" t="s">
        <v>6174</v>
      </c>
      <c r="C5392" t="s">
        <v>42</v>
      </c>
      <c r="D5392">
        <v>0.171354948301711</v>
      </c>
    </row>
    <row r="5393" spans="1:4" hidden="1" x14ac:dyDescent="0.3">
      <c r="A5393">
        <v>5391</v>
      </c>
      <c r="B5393" s="1" t="s">
        <v>6175</v>
      </c>
      <c r="C5393" t="s">
        <v>152</v>
      </c>
      <c r="D5393" s="1" t="s">
        <v>6176</v>
      </c>
    </row>
    <row r="5394" spans="1:4" hidden="1" x14ac:dyDescent="0.3">
      <c r="A5394">
        <v>5392</v>
      </c>
      <c r="B5394" t="s">
        <v>153</v>
      </c>
      <c r="C5394" t="s">
        <v>154</v>
      </c>
      <c r="D5394">
        <v>1</v>
      </c>
    </row>
    <row r="5395" spans="1:4" hidden="1" x14ac:dyDescent="0.3">
      <c r="A5395">
        <v>5393</v>
      </c>
      <c r="B5395" t="s">
        <v>155</v>
      </c>
      <c r="C5395" t="s">
        <v>156</v>
      </c>
      <c r="D5395">
        <v>1</v>
      </c>
    </row>
    <row r="5396" spans="1:4" hidden="1" x14ac:dyDescent="0.3">
      <c r="A5396">
        <v>5394</v>
      </c>
      <c r="B5396" s="1" t="s">
        <v>6177</v>
      </c>
      <c r="C5396" t="s">
        <v>158</v>
      </c>
      <c r="D5396" s="1" t="s">
        <v>6178</v>
      </c>
    </row>
    <row r="5397" spans="1:4" hidden="1" x14ac:dyDescent="0.3">
      <c r="A5397">
        <v>5395</v>
      </c>
      <c r="B5397" t="s">
        <v>6179</v>
      </c>
      <c r="C5397" t="s">
        <v>161</v>
      </c>
      <c r="D5397">
        <v>1.00416518046196</v>
      </c>
    </row>
    <row r="5398" spans="1:4" hidden="1" x14ac:dyDescent="0.3">
      <c r="A5398">
        <v>5396</v>
      </c>
      <c r="B5398" t="s">
        <v>6180</v>
      </c>
      <c r="C5398" t="s">
        <v>163</v>
      </c>
      <c r="D5398">
        <v>0.99407716518125899</v>
      </c>
    </row>
    <row r="5399" spans="1:4" hidden="1" x14ac:dyDescent="0.3">
      <c r="A5399">
        <v>5397</v>
      </c>
      <c r="B5399" s="1" t="s">
        <v>6181</v>
      </c>
      <c r="C5399" t="s">
        <v>165</v>
      </c>
      <c r="D5399" s="1" t="s">
        <v>6182</v>
      </c>
    </row>
    <row r="5400" spans="1:4" hidden="1" x14ac:dyDescent="0.3">
      <c r="A5400">
        <v>5398</v>
      </c>
      <c r="B5400" s="1" t="s">
        <v>6183</v>
      </c>
      <c r="C5400" t="s">
        <v>55</v>
      </c>
      <c r="D5400" s="1" t="s">
        <v>6184</v>
      </c>
    </row>
    <row r="5401" spans="1:4" hidden="1" x14ac:dyDescent="0.3">
      <c r="A5401">
        <v>5399</v>
      </c>
      <c r="B5401" s="1" t="s">
        <v>6185</v>
      </c>
      <c r="C5401" t="s">
        <v>52</v>
      </c>
      <c r="D5401" s="1" t="s">
        <v>6186</v>
      </c>
    </row>
    <row r="5402" spans="1:4" hidden="1" x14ac:dyDescent="0.3">
      <c r="A5402">
        <v>5400</v>
      </c>
      <c r="B5402" s="1" t="s">
        <v>6187</v>
      </c>
      <c r="C5402" t="s">
        <v>58</v>
      </c>
      <c r="D5402" s="1" t="s">
        <v>6188</v>
      </c>
    </row>
    <row r="5403" spans="1:4" hidden="1" x14ac:dyDescent="0.3">
      <c r="A5403">
        <v>5401</v>
      </c>
      <c r="B5403" t="s">
        <v>6189</v>
      </c>
      <c r="C5403" t="s">
        <v>60</v>
      </c>
      <c r="D5403">
        <v>150017544.24195099</v>
      </c>
    </row>
    <row r="5404" spans="1:4" hidden="1" x14ac:dyDescent="0.3">
      <c r="A5404">
        <v>5402</v>
      </c>
      <c r="B5404" t="s">
        <v>6190</v>
      </c>
      <c r="C5404" t="s">
        <v>62</v>
      </c>
      <c r="D5404">
        <v>79983669.762968898</v>
      </c>
    </row>
    <row r="5405" spans="1:4" hidden="1" x14ac:dyDescent="0.3">
      <c r="A5405">
        <v>5403</v>
      </c>
      <c r="B5405" t="s">
        <v>6191</v>
      </c>
      <c r="C5405" t="s">
        <v>64</v>
      </c>
      <c r="D5405">
        <v>34992244.222929299</v>
      </c>
    </row>
    <row r="5406" spans="1:4" hidden="1" x14ac:dyDescent="0.3">
      <c r="A5406">
        <v>5404</v>
      </c>
      <c r="B5406" s="1" t="s">
        <v>6192</v>
      </c>
      <c r="C5406" t="s">
        <v>66</v>
      </c>
      <c r="D5406" s="1" t="s">
        <v>6193</v>
      </c>
    </row>
    <row r="5407" spans="1:4" hidden="1" x14ac:dyDescent="0.3">
      <c r="A5407">
        <v>5405</v>
      </c>
      <c r="B5407" s="1" t="s">
        <v>6194</v>
      </c>
      <c r="C5407" t="s">
        <v>69</v>
      </c>
      <c r="D5407" s="1" t="s">
        <v>6195</v>
      </c>
    </row>
    <row r="5408" spans="1:4" hidden="1" x14ac:dyDescent="0.3">
      <c r="A5408">
        <v>5406</v>
      </c>
      <c r="B5408" t="s">
        <v>6196</v>
      </c>
      <c r="C5408" t="s">
        <v>72</v>
      </c>
      <c r="D5408">
        <v>1.0000736862762001</v>
      </c>
    </row>
    <row r="5409" spans="1:4" hidden="1" x14ac:dyDescent="0.3">
      <c r="A5409">
        <v>5407</v>
      </c>
      <c r="B5409" t="s">
        <v>73</v>
      </c>
      <c r="C5409" t="s">
        <v>74</v>
      </c>
      <c r="D5409">
        <v>2.7397260273972599E-3</v>
      </c>
    </row>
    <row r="5410" spans="1:4" hidden="1" x14ac:dyDescent="0.3">
      <c r="A5410">
        <v>5408</v>
      </c>
      <c r="B5410" t="s">
        <v>75</v>
      </c>
      <c r="C5410" t="s">
        <v>76</v>
      </c>
      <c r="D5410">
        <v>0</v>
      </c>
    </row>
    <row r="5411" spans="1:4" hidden="1" x14ac:dyDescent="0.3">
      <c r="A5411">
        <v>5409</v>
      </c>
      <c r="B5411" t="s">
        <v>77</v>
      </c>
      <c r="C5411" t="s">
        <v>78</v>
      </c>
      <c r="D5411">
        <v>0</v>
      </c>
    </row>
    <row r="5412" spans="1:4" hidden="1" x14ac:dyDescent="0.3">
      <c r="A5412">
        <v>5410</v>
      </c>
      <c r="B5412" s="1" t="s">
        <v>6197</v>
      </c>
      <c r="C5412" t="s">
        <v>80</v>
      </c>
      <c r="D5412" s="1" t="s">
        <v>6198</v>
      </c>
    </row>
    <row r="5413" spans="1:4" hidden="1" x14ac:dyDescent="0.3">
      <c r="A5413">
        <v>5411</v>
      </c>
      <c r="B5413" t="s">
        <v>6199</v>
      </c>
      <c r="C5413" t="s">
        <v>83</v>
      </c>
      <c r="D5413">
        <v>1.00007866418739</v>
      </c>
    </row>
    <row r="5414" spans="1:4" hidden="1" x14ac:dyDescent="0.3">
      <c r="A5414">
        <v>5412</v>
      </c>
      <c r="B5414" s="1" t="s">
        <v>6200</v>
      </c>
      <c r="C5414" t="s">
        <v>85</v>
      </c>
      <c r="D5414" s="1" t="s">
        <v>6201</v>
      </c>
    </row>
    <row r="5415" spans="1:4" hidden="1" x14ac:dyDescent="0.3">
      <c r="A5415">
        <v>5413</v>
      </c>
      <c r="B5415" t="s">
        <v>6202</v>
      </c>
      <c r="C5415" t="s">
        <v>88</v>
      </c>
      <c r="D5415">
        <v>100025594.58006901</v>
      </c>
    </row>
    <row r="5416" spans="1:4" hidden="1" x14ac:dyDescent="0.3">
      <c r="A5416">
        <v>5414</v>
      </c>
      <c r="B5416" s="1" t="s">
        <v>6203</v>
      </c>
      <c r="C5416" t="s">
        <v>90</v>
      </c>
      <c r="D5416" s="1" t="s">
        <v>6149</v>
      </c>
    </row>
    <row r="5417" spans="1:4" hidden="1" x14ac:dyDescent="0.3">
      <c r="A5417">
        <v>5415</v>
      </c>
      <c r="B5417" t="s">
        <v>6204</v>
      </c>
      <c r="C5417" t="s">
        <v>93</v>
      </c>
      <c r="D5417">
        <v>79983669.762968898</v>
      </c>
    </row>
    <row r="5418" spans="1:4" hidden="1" x14ac:dyDescent="0.3">
      <c r="A5418">
        <v>5416</v>
      </c>
      <c r="B5418" t="s">
        <v>6205</v>
      </c>
      <c r="C5418" t="s">
        <v>95</v>
      </c>
      <c r="D5418">
        <v>34992244.222929299</v>
      </c>
    </row>
    <row r="5419" spans="1:4" hidden="1" x14ac:dyDescent="0.3">
      <c r="A5419">
        <v>5417</v>
      </c>
      <c r="B5419" t="s">
        <v>6206</v>
      </c>
      <c r="C5419" t="s">
        <v>97</v>
      </c>
      <c r="D5419">
        <v>35041630.256053299</v>
      </c>
    </row>
    <row r="5420" spans="1:4" hidden="1" x14ac:dyDescent="0.3">
      <c r="A5420">
        <v>5418</v>
      </c>
      <c r="B5420" s="1" t="s">
        <v>6207</v>
      </c>
      <c r="C5420" t="s">
        <v>99</v>
      </c>
      <c r="D5420" s="1" t="s">
        <v>6208</v>
      </c>
    </row>
    <row r="5421" spans="1:4" hidden="1" x14ac:dyDescent="0.3">
      <c r="A5421">
        <v>5419</v>
      </c>
      <c r="B5421" t="s">
        <v>6209</v>
      </c>
      <c r="C5421" t="s">
        <v>102</v>
      </c>
      <c r="D5421">
        <v>8.8629429570423902E-3</v>
      </c>
    </row>
    <row r="5422" spans="1:4" hidden="1" x14ac:dyDescent="0.3">
      <c r="A5422">
        <v>5420</v>
      </c>
      <c r="B5422" t="s">
        <v>6210</v>
      </c>
      <c r="C5422" t="s">
        <v>104</v>
      </c>
      <c r="D5422">
        <v>1.59984143704005E-3</v>
      </c>
    </row>
    <row r="5423" spans="1:4" hidden="1" x14ac:dyDescent="0.3">
      <c r="A5423">
        <v>5421</v>
      </c>
      <c r="B5423" t="s">
        <v>6211</v>
      </c>
      <c r="C5423" t="s">
        <v>106</v>
      </c>
      <c r="D5423">
        <v>1.82973368781073E-2</v>
      </c>
    </row>
    <row r="5424" spans="1:4" hidden="1" x14ac:dyDescent="0.3">
      <c r="A5424">
        <v>5422</v>
      </c>
      <c r="B5424" s="1" t="s">
        <v>6212</v>
      </c>
      <c r="C5424" t="s">
        <v>108</v>
      </c>
      <c r="D5424" s="1" t="s">
        <v>6213</v>
      </c>
    </row>
    <row r="5425" spans="1:4" hidden="1" x14ac:dyDescent="0.3">
      <c r="A5425">
        <v>5423</v>
      </c>
      <c r="B5425" t="s">
        <v>6214</v>
      </c>
      <c r="C5425" t="s">
        <v>196</v>
      </c>
      <c r="D5425">
        <v>150017715.8865</v>
      </c>
    </row>
    <row r="5426" spans="1:4" hidden="1" x14ac:dyDescent="0.3">
      <c r="A5426">
        <v>5424</v>
      </c>
      <c r="B5426" t="s">
        <v>6215</v>
      </c>
      <c r="C5426" t="s">
        <v>198</v>
      </c>
      <c r="D5426">
        <v>-398.12292956339201</v>
      </c>
    </row>
    <row r="5427" spans="1:4" hidden="1" x14ac:dyDescent="0.3">
      <c r="A5427">
        <v>5425</v>
      </c>
      <c r="B5427" t="s">
        <v>6216</v>
      </c>
      <c r="C5427" t="s">
        <v>200</v>
      </c>
      <c r="D5427">
        <v>-174.17554930140901</v>
      </c>
    </row>
    <row r="5428" spans="1:4" hidden="1" x14ac:dyDescent="0.3">
      <c r="A5428">
        <v>5426</v>
      </c>
      <c r="B5428" s="1" t="s">
        <v>6217</v>
      </c>
      <c r="C5428" t="s">
        <v>202</v>
      </c>
      <c r="D5428" s="1" t="s">
        <v>6218</v>
      </c>
    </row>
    <row r="5429" spans="1:4" hidden="1" x14ac:dyDescent="0.3">
      <c r="A5429">
        <v>5427</v>
      </c>
      <c r="B5429" t="s">
        <v>6219</v>
      </c>
      <c r="C5429" t="s">
        <v>205</v>
      </c>
      <c r="D5429">
        <v>79984200.621543601</v>
      </c>
    </row>
    <row r="5430" spans="1:4" hidden="1" x14ac:dyDescent="0.3">
      <c r="A5430">
        <v>5428</v>
      </c>
      <c r="B5430" t="s">
        <v>6220</v>
      </c>
      <c r="C5430" t="s">
        <v>207</v>
      </c>
      <c r="D5430">
        <v>34992438.375678197</v>
      </c>
    </row>
    <row r="5431" spans="1:4" hidden="1" x14ac:dyDescent="0.3">
      <c r="A5431">
        <v>5429</v>
      </c>
      <c r="B5431" t="s">
        <v>6221</v>
      </c>
      <c r="C5431" t="s">
        <v>209</v>
      </c>
      <c r="D5431">
        <v>35041823.609122798</v>
      </c>
    </row>
    <row r="5432" spans="1:4" hidden="1" x14ac:dyDescent="0.3">
      <c r="A5432">
        <v>5430</v>
      </c>
      <c r="B5432" s="1" t="s">
        <v>6222</v>
      </c>
      <c r="C5432" t="s">
        <v>211</v>
      </c>
      <c r="D5432" s="1" t="s">
        <v>6223</v>
      </c>
    </row>
    <row r="5433" spans="1:4" hidden="1" x14ac:dyDescent="0.3">
      <c r="A5433">
        <v>5431</v>
      </c>
      <c r="B5433" t="s">
        <v>6224</v>
      </c>
      <c r="C5433" t="s">
        <v>214</v>
      </c>
      <c r="D5433">
        <v>100026092.461909</v>
      </c>
    </row>
    <row r="5434" spans="1:4" hidden="1" x14ac:dyDescent="0.3">
      <c r="A5434">
        <v>5432</v>
      </c>
      <c r="B5434" t="s">
        <v>6225</v>
      </c>
      <c r="C5434" t="s">
        <v>216</v>
      </c>
      <c r="D5434">
        <v>-497.88183984160401</v>
      </c>
    </row>
    <row r="5435" spans="1:4" hidden="1" x14ac:dyDescent="0.3">
      <c r="A5435">
        <v>5433</v>
      </c>
      <c r="B5435" s="1" t="s">
        <v>6226</v>
      </c>
      <c r="C5435" t="s">
        <v>218</v>
      </c>
      <c r="D5435" s="1" t="s">
        <v>6227</v>
      </c>
    </row>
    <row r="5436" spans="1:4" hidden="1" x14ac:dyDescent="0.3">
      <c r="A5436">
        <v>5434</v>
      </c>
      <c r="B5436" t="s">
        <v>6228</v>
      </c>
      <c r="C5436" t="s">
        <v>111</v>
      </c>
      <c r="D5436">
        <v>132.73564510461799</v>
      </c>
    </row>
    <row r="5437" spans="1:4" hidden="1" x14ac:dyDescent="0.3">
      <c r="A5437">
        <v>5435</v>
      </c>
      <c r="B5437" t="s">
        <v>6229</v>
      </c>
      <c r="C5437" t="s">
        <v>113</v>
      </c>
      <c r="D5437">
        <v>19.977199638756701</v>
      </c>
    </row>
    <row r="5438" spans="1:4" hidden="1" x14ac:dyDescent="0.3">
      <c r="A5438">
        <v>5436</v>
      </c>
      <c r="B5438" s="1" t="s">
        <v>6230</v>
      </c>
      <c r="C5438" t="s">
        <v>115</v>
      </c>
      <c r="D5438" s="1" t="s">
        <v>6231</v>
      </c>
    </row>
    <row r="5439" spans="1:4" hidden="1" x14ac:dyDescent="0.3">
      <c r="A5439">
        <v>5437</v>
      </c>
      <c r="B5439" t="s">
        <v>6232</v>
      </c>
      <c r="C5439" t="s">
        <v>118</v>
      </c>
      <c r="D5439">
        <v>79984200.621543601</v>
      </c>
    </row>
    <row r="5440" spans="1:4" hidden="1" x14ac:dyDescent="0.3">
      <c r="A5440">
        <v>5438</v>
      </c>
      <c r="B5440" t="s">
        <v>6233</v>
      </c>
      <c r="C5440" t="s">
        <v>120</v>
      </c>
      <c r="D5440">
        <v>34992438.375678197</v>
      </c>
    </row>
    <row r="5441" spans="1:4" hidden="1" x14ac:dyDescent="0.3">
      <c r="A5441">
        <v>5439</v>
      </c>
      <c r="B5441" s="1" t="s">
        <v>6234</v>
      </c>
      <c r="C5441" t="s">
        <v>122</v>
      </c>
      <c r="D5441" s="1" t="s">
        <v>6235</v>
      </c>
    </row>
    <row r="5442" spans="1:4" hidden="1" x14ac:dyDescent="0.3">
      <c r="A5442">
        <v>5440</v>
      </c>
      <c r="B5442" t="s">
        <v>6236</v>
      </c>
      <c r="C5442" t="s">
        <v>125</v>
      </c>
      <c r="D5442">
        <v>0.79957046462412895</v>
      </c>
    </row>
    <row r="5443" spans="1:4" hidden="1" x14ac:dyDescent="0.3">
      <c r="A5443">
        <v>5441</v>
      </c>
      <c r="B5443" t="s">
        <v>6237</v>
      </c>
      <c r="C5443" t="s">
        <v>127</v>
      </c>
      <c r="D5443">
        <v>0.34980558651524701</v>
      </c>
    </row>
    <row r="5444" spans="1:4" hidden="1" x14ac:dyDescent="0.3">
      <c r="A5444">
        <v>5442</v>
      </c>
      <c r="B5444" s="1" t="s">
        <v>6238</v>
      </c>
      <c r="C5444" t="s">
        <v>129</v>
      </c>
      <c r="D5444" s="1" t="s">
        <v>6239</v>
      </c>
    </row>
    <row r="5445" spans="1:4" ht="72" x14ac:dyDescent="0.3">
      <c r="A5445">
        <v>5443</v>
      </c>
      <c r="B5445" s="1" t="s">
        <v>3</v>
      </c>
      <c r="C5445" t="s">
        <v>4</v>
      </c>
      <c r="D5445" t="s">
        <v>5</v>
      </c>
    </row>
    <row r="5446" spans="1:4" hidden="1" x14ac:dyDescent="0.3">
      <c r="A5446">
        <v>5444</v>
      </c>
      <c r="B5446" t="s">
        <v>6</v>
      </c>
      <c r="C5446" t="s">
        <v>7</v>
      </c>
      <c r="D5446">
        <v>1981.95</v>
      </c>
    </row>
    <row r="5447" spans="1:4" hidden="1" x14ac:dyDescent="0.3">
      <c r="A5447">
        <v>5445</v>
      </c>
      <c r="B5447" s="1" t="s">
        <v>131</v>
      </c>
      <c r="C5447" t="s">
        <v>9</v>
      </c>
      <c r="D5447" s="1" t="s">
        <v>132</v>
      </c>
    </row>
    <row r="5448" spans="1:4" hidden="1" x14ac:dyDescent="0.3">
      <c r="A5448">
        <v>5446</v>
      </c>
      <c r="B5448" t="s">
        <v>13</v>
      </c>
      <c r="C5448" t="s">
        <v>14</v>
      </c>
      <c r="D5448">
        <v>91.74609375</v>
      </c>
    </row>
    <row r="5449" spans="1:4" hidden="1" x14ac:dyDescent="0.3">
      <c r="A5449">
        <v>5447</v>
      </c>
      <c r="B5449" t="s">
        <v>15</v>
      </c>
      <c r="C5449" t="s">
        <v>16</v>
      </c>
      <c r="D5449">
        <v>4.1883572307132804</v>
      </c>
    </row>
    <row r="5450" spans="1:4" hidden="1" x14ac:dyDescent="0.3">
      <c r="A5450">
        <v>5448</v>
      </c>
      <c r="B5450" s="1" t="s">
        <v>133</v>
      </c>
      <c r="C5450" t="s">
        <v>134</v>
      </c>
      <c r="D5450" s="1" t="s">
        <v>135</v>
      </c>
    </row>
    <row r="5451" spans="1:4" hidden="1" x14ac:dyDescent="0.3">
      <c r="A5451">
        <v>5449</v>
      </c>
      <c r="B5451" t="s">
        <v>21</v>
      </c>
      <c r="C5451" t="s">
        <v>22</v>
      </c>
      <c r="D5451">
        <v>38.25</v>
      </c>
    </row>
    <row r="5452" spans="1:4" hidden="1" x14ac:dyDescent="0.3">
      <c r="A5452">
        <v>5450</v>
      </c>
      <c r="B5452" t="s">
        <v>6240</v>
      </c>
      <c r="C5452" t="s">
        <v>24</v>
      </c>
      <c r="D5452">
        <v>5.9199730512833204</v>
      </c>
    </row>
    <row r="5453" spans="1:4" hidden="1" x14ac:dyDescent="0.3">
      <c r="A5453">
        <v>5451</v>
      </c>
      <c r="B5453" s="1" t="s">
        <v>6241</v>
      </c>
      <c r="C5453" t="s">
        <v>138</v>
      </c>
      <c r="D5453" s="1" t="s">
        <v>6242</v>
      </c>
    </row>
    <row r="5454" spans="1:4" hidden="1" x14ac:dyDescent="0.3">
      <c r="A5454">
        <v>5452</v>
      </c>
      <c r="B5454" t="s">
        <v>6243</v>
      </c>
      <c r="C5454" t="s">
        <v>35</v>
      </c>
      <c r="D5454">
        <v>0.53844756694898399</v>
      </c>
    </row>
    <row r="5455" spans="1:4" hidden="1" x14ac:dyDescent="0.3">
      <c r="A5455">
        <v>5453</v>
      </c>
      <c r="B5455" t="s">
        <v>6244</v>
      </c>
      <c r="C5455" t="s">
        <v>142</v>
      </c>
      <c r="D5455">
        <v>0.72142860604080095</v>
      </c>
    </row>
    <row r="5456" spans="1:4" hidden="1" x14ac:dyDescent="0.3">
      <c r="A5456">
        <v>5454</v>
      </c>
      <c r="B5456" s="1" t="s">
        <v>6245</v>
      </c>
      <c r="C5456" t="s">
        <v>144</v>
      </c>
      <c r="D5456" s="1" t="s">
        <v>6246</v>
      </c>
    </row>
    <row r="5457" spans="1:4" hidden="1" x14ac:dyDescent="0.3">
      <c r="A5457">
        <v>5455</v>
      </c>
      <c r="B5457" t="s">
        <v>6247</v>
      </c>
      <c r="C5457" t="s">
        <v>30</v>
      </c>
      <c r="D5457">
        <v>0.190155214827259</v>
      </c>
    </row>
    <row r="5458" spans="1:4" hidden="1" x14ac:dyDescent="0.3">
      <c r="A5458">
        <v>5456</v>
      </c>
      <c r="B5458" t="s">
        <v>6248</v>
      </c>
      <c r="C5458" t="s">
        <v>32</v>
      </c>
      <c r="D5458">
        <v>0.21438797539995999</v>
      </c>
    </row>
    <row r="5459" spans="1:4" hidden="1" x14ac:dyDescent="0.3">
      <c r="A5459">
        <v>5457</v>
      </c>
      <c r="B5459" s="1" t="s">
        <v>6249</v>
      </c>
      <c r="C5459" t="s">
        <v>148</v>
      </c>
      <c r="D5459" s="1" t="s">
        <v>6250</v>
      </c>
    </row>
    <row r="5460" spans="1:4" hidden="1" x14ac:dyDescent="0.3">
      <c r="A5460">
        <v>5458</v>
      </c>
      <c r="B5460" t="s">
        <v>6251</v>
      </c>
      <c r="C5460" t="s">
        <v>40</v>
      </c>
      <c r="D5460">
        <v>0.27139721822375501</v>
      </c>
    </row>
    <row r="5461" spans="1:4" hidden="1" x14ac:dyDescent="0.3">
      <c r="A5461">
        <v>5459</v>
      </c>
      <c r="B5461" t="s">
        <v>6252</v>
      </c>
      <c r="C5461" t="s">
        <v>42</v>
      </c>
      <c r="D5461">
        <v>0.171750571958173</v>
      </c>
    </row>
    <row r="5462" spans="1:4" hidden="1" x14ac:dyDescent="0.3">
      <c r="A5462">
        <v>5460</v>
      </c>
      <c r="B5462" s="1" t="s">
        <v>6253</v>
      </c>
      <c r="C5462" t="s">
        <v>152</v>
      </c>
      <c r="D5462" s="1" t="s">
        <v>6254</v>
      </c>
    </row>
    <row r="5463" spans="1:4" hidden="1" x14ac:dyDescent="0.3">
      <c r="A5463">
        <v>5461</v>
      </c>
      <c r="B5463" t="s">
        <v>153</v>
      </c>
      <c r="C5463" t="s">
        <v>154</v>
      </c>
      <c r="D5463">
        <v>1</v>
      </c>
    </row>
    <row r="5464" spans="1:4" hidden="1" x14ac:dyDescent="0.3">
      <c r="A5464">
        <v>5462</v>
      </c>
      <c r="B5464" t="s">
        <v>155</v>
      </c>
      <c r="C5464" t="s">
        <v>156</v>
      </c>
      <c r="D5464">
        <v>1</v>
      </c>
    </row>
    <row r="5465" spans="1:4" hidden="1" x14ac:dyDescent="0.3">
      <c r="A5465">
        <v>5463</v>
      </c>
      <c r="B5465" s="1" t="s">
        <v>6255</v>
      </c>
      <c r="C5465" t="s">
        <v>158</v>
      </c>
      <c r="D5465" s="1" t="s">
        <v>6256</v>
      </c>
    </row>
    <row r="5466" spans="1:4" hidden="1" x14ac:dyDescent="0.3">
      <c r="A5466">
        <v>5464</v>
      </c>
      <c r="B5466" t="s">
        <v>6257</v>
      </c>
      <c r="C5466" t="s">
        <v>161</v>
      </c>
      <c r="D5466">
        <v>0.99962295936447998</v>
      </c>
    </row>
    <row r="5467" spans="1:4" hidden="1" x14ac:dyDescent="0.3">
      <c r="A5467">
        <v>5465</v>
      </c>
      <c r="B5467" t="s">
        <v>6258</v>
      </c>
      <c r="C5467" t="s">
        <v>163</v>
      </c>
      <c r="D5467">
        <v>1.0007010859354</v>
      </c>
    </row>
    <row r="5468" spans="1:4" hidden="1" x14ac:dyDescent="0.3">
      <c r="A5468">
        <v>5466</v>
      </c>
      <c r="B5468" s="1" t="s">
        <v>6259</v>
      </c>
      <c r="C5468" t="s">
        <v>165</v>
      </c>
      <c r="D5468" s="1" t="s">
        <v>6260</v>
      </c>
    </row>
    <row r="5469" spans="1:4" hidden="1" x14ac:dyDescent="0.3">
      <c r="A5469">
        <v>5467</v>
      </c>
      <c r="B5469" s="1" t="s">
        <v>6261</v>
      </c>
      <c r="C5469" t="s">
        <v>55</v>
      </c>
      <c r="D5469" s="1" t="s">
        <v>6262</v>
      </c>
    </row>
    <row r="5470" spans="1:4" hidden="1" x14ac:dyDescent="0.3">
      <c r="A5470">
        <v>5468</v>
      </c>
      <c r="B5470" s="1" t="s">
        <v>6263</v>
      </c>
      <c r="C5470" t="s">
        <v>52</v>
      </c>
      <c r="D5470" s="1" t="s">
        <v>6264</v>
      </c>
    </row>
    <row r="5471" spans="1:4" hidden="1" x14ac:dyDescent="0.3">
      <c r="A5471">
        <v>5469</v>
      </c>
      <c r="B5471" s="1" t="s">
        <v>6265</v>
      </c>
      <c r="C5471" t="s">
        <v>58</v>
      </c>
      <c r="D5471" s="1" t="s">
        <v>6266</v>
      </c>
    </row>
    <row r="5472" spans="1:4" hidden="1" x14ac:dyDescent="0.3">
      <c r="A5472">
        <v>5470</v>
      </c>
      <c r="B5472" t="s">
        <v>6267</v>
      </c>
      <c r="C5472" t="s">
        <v>60</v>
      </c>
      <c r="D5472">
        <v>150036499.64263701</v>
      </c>
    </row>
    <row r="5473" spans="1:4" hidden="1" x14ac:dyDescent="0.3">
      <c r="A5473">
        <v>5471</v>
      </c>
      <c r="B5473" t="s">
        <v>6268</v>
      </c>
      <c r="C5473" t="s">
        <v>62</v>
      </c>
      <c r="D5473">
        <v>79984200.621543601</v>
      </c>
    </row>
    <row r="5474" spans="1:4" hidden="1" x14ac:dyDescent="0.3">
      <c r="A5474">
        <v>5472</v>
      </c>
      <c r="B5474" t="s">
        <v>6269</v>
      </c>
      <c r="C5474" t="s">
        <v>64</v>
      </c>
      <c r="D5474">
        <v>34992438.375678197</v>
      </c>
    </row>
    <row r="5475" spans="1:4" hidden="1" x14ac:dyDescent="0.3">
      <c r="A5475">
        <v>5473</v>
      </c>
      <c r="B5475" s="1" t="s">
        <v>6270</v>
      </c>
      <c r="C5475" t="s">
        <v>66</v>
      </c>
      <c r="D5475" s="1" t="s">
        <v>6271</v>
      </c>
    </row>
    <row r="5476" spans="1:4" hidden="1" x14ac:dyDescent="0.3">
      <c r="A5476">
        <v>5474</v>
      </c>
      <c r="B5476" s="1" t="s">
        <v>6272</v>
      </c>
      <c r="C5476" t="s">
        <v>69</v>
      </c>
      <c r="D5476" s="1" t="s">
        <v>6273</v>
      </c>
    </row>
    <row r="5477" spans="1:4" hidden="1" x14ac:dyDescent="0.3">
      <c r="A5477">
        <v>5475</v>
      </c>
      <c r="B5477" t="s">
        <v>6274</v>
      </c>
      <c r="C5477" t="s">
        <v>72</v>
      </c>
      <c r="D5477">
        <v>1.00007866418739</v>
      </c>
    </row>
    <row r="5478" spans="1:4" hidden="1" x14ac:dyDescent="0.3">
      <c r="A5478">
        <v>5476</v>
      </c>
      <c r="B5478" t="s">
        <v>73</v>
      </c>
      <c r="C5478" t="s">
        <v>74</v>
      </c>
      <c r="D5478">
        <v>2.7397260273972599E-3</v>
      </c>
    </row>
    <row r="5479" spans="1:4" hidden="1" x14ac:dyDescent="0.3">
      <c r="A5479">
        <v>5477</v>
      </c>
      <c r="B5479" t="s">
        <v>75</v>
      </c>
      <c r="C5479" t="s">
        <v>76</v>
      </c>
      <c r="D5479">
        <v>0</v>
      </c>
    </row>
    <row r="5480" spans="1:4" hidden="1" x14ac:dyDescent="0.3">
      <c r="A5480">
        <v>5478</v>
      </c>
      <c r="B5480" t="s">
        <v>2686</v>
      </c>
      <c r="C5480" t="s">
        <v>78</v>
      </c>
      <c r="D5480" s="2">
        <v>-2.2204460492503101E-16</v>
      </c>
    </row>
    <row r="5481" spans="1:4" hidden="1" x14ac:dyDescent="0.3">
      <c r="A5481">
        <v>5479</v>
      </c>
      <c r="B5481" s="1" t="s">
        <v>6275</v>
      </c>
      <c r="C5481" t="s">
        <v>80</v>
      </c>
      <c r="D5481" s="1" t="s">
        <v>6276</v>
      </c>
    </row>
    <row r="5482" spans="1:4" hidden="1" x14ac:dyDescent="0.3">
      <c r="A5482">
        <v>5480</v>
      </c>
      <c r="B5482" t="s">
        <v>6277</v>
      </c>
      <c r="C5482" t="s">
        <v>83</v>
      </c>
      <c r="D5482">
        <v>1.00010181198698</v>
      </c>
    </row>
    <row r="5483" spans="1:4" hidden="1" x14ac:dyDescent="0.3">
      <c r="A5483">
        <v>5481</v>
      </c>
      <c r="B5483" s="1" t="s">
        <v>6278</v>
      </c>
      <c r="C5483" t="s">
        <v>85</v>
      </c>
      <c r="D5483" s="1" t="s">
        <v>6279</v>
      </c>
    </row>
    <row r="5484" spans="1:4" hidden="1" x14ac:dyDescent="0.3">
      <c r="A5484">
        <v>5482</v>
      </c>
      <c r="B5484" t="s">
        <v>6280</v>
      </c>
      <c r="C5484" t="s">
        <v>88</v>
      </c>
      <c r="D5484">
        <v>100023279.44336</v>
      </c>
    </row>
    <row r="5485" spans="1:4" hidden="1" x14ac:dyDescent="0.3">
      <c r="A5485">
        <v>5483</v>
      </c>
      <c r="B5485" s="1" t="s">
        <v>6281</v>
      </c>
      <c r="C5485" t="s">
        <v>90</v>
      </c>
      <c r="D5485" s="1" t="s">
        <v>6227</v>
      </c>
    </row>
    <row r="5486" spans="1:4" hidden="1" x14ac:dyDescent="0.3">
      <c r="A5486">
        <v>5484</v>
      </c>
      <c r="B5486" t="s">
        <v>6282</v>
      </c>
      <c r="C5486" t="s">
        <v>93</v>
      </c>
      <c r="D5486">
        <v>79984200.621543601</v>
      </c>
    </row>
    <row r="5487" spans="1:4" hidden="1" x14ac:dyDescent="0.3">
      <c r="A5487">
        <v>5485</v>
      </c>
      <c r="B5487" t="s">
        <v>6283</v>
      </c>
      <c r="C5487" t="s">
        <v>95</v>
      </c>
      <c r="D5487">
        <v>34992438.375678197</v>
      </c>
    </row>
    <row r="5488" spans="1:4" hidden="1" x14ac:dyDescent="0.3">
      <c r="A5488">
        <v>5486</v>
      </c>
      <c r="B5488" t="s">
        <v>6284</v>
      </c>
      <c r="C5488" t="s">
        <v>97</v>
      </c>
      <c r="D5488">
        <v>35059860.645415902</v>
      </c>
    </row>
    <row r="5489" spans="1:4" hidden="1" x14ac:dyDescent="0.3">
      <c r="A5489">
        <v>5487</v>
      </c>
      <c r="B5489" s="1" t="s">
        <v>6285</v>
      </c>
      <c r="C5489" t="s">
        <v>99</v>
      </c>
      <c r="D5489" s="1" t="s">
        <v>6286</v>
      </c>
    </row>
    <row r="5490" spans="1:4" hidden="1" x14ac:dyDescent="0.3">
      <c r="A5490">
        <v>5488</v>
      </c>
      <c r="B5490" t="s">
        <v>6287</v>
      </c>
      <c r="C5490" t="s">
        <v>102</v>
      </c>
      <c r="D5490">
        <v>8.7460205735005302E-3</v>
      </c>
    </row>
    <row r="5491" spans="1:4" hidden="1" x14ac:dyDescent="0.3">
      <c r="A5491">
        <v>5489</v>
      </c>
      <c r="B5491" t="s">
        <v>6288</v>
      </c>
      <c r="C5491" t="s">
        <v>104</v>
      </c>
      <c r="D5491">
        <v>1.62370852137551E-3</v>
      </c>
    </row>
    <row r="5492" spans="1:4" hidden="1" x14ac:dyDescent="0.3">
      <c r="A5492">
        <v>5490</v>
      </c>
      <c r="B5492" t="s">
        <v>6289</v>
      </c>
      <c r="C5492" t="s">
        <v>106</v>
      </c>
      <c r="D5492">
        <v>1.8014274145429401E-2</v>
      </c>
    </row>
    <row r="5493" spans="1:4" hidden="1" x14ac:dyDescent="0.3">
      <c r="A5493">
        <v>5491</v>
      </c>
      <c r="B5493" s="1" t="s">
        <v>6290</v>
      </c>
      <c r="C5493" t="s">
        <v>108</v>
      </c>
      <c r="D5493" s="1" t="s">
        <v>6291</v>
      </c>
    </row>
    <row r="5494" spans="1:4" hidden="1" x14ac:dyDescent="0.3">
      <c r="A5494">
        <v>5492</v>
      </c>
      <c r="B5494" t="s">
        <v>6292</v>
      </c>
      <c r="C5494" t="s">
        <v>196</v>
      </c>
      <c r="D5494">
        <v>150037296.76006499</v>
      </c>
    </row>
    <row r="5495" spans="1:4" hidden="1" x14ac:dyDescent="0.3">
      <c r="A5495">
        <v>5493</v>
      </c>
      <c r="B5495" t="s">
        <v>6293</v>
      </c>
      <c r="C5495" t="s">
        <v>198</v>
      </c>
      <c r="D5495">
        <v>-1851.3268989373701</v>
      </c>
    </row>
    <row r="5496" spans="1:4" hidden="1" x14ac:dyDescent="0.3">
      <c r="A5496">
        <v>5494</v>
      </c>
      <c r="B5496" t="s">
        <v>6294</v>
      </c>
      <c r="C5496" t="s">
        <v>200</v>
      </c>
      <c r="D5496">
        <v>-809.93637453575002</v>
      </c>
    </row>
    <row r="5497" spans="1:4" hidden="1" x14ac:dyDescent="0.3">
      <c r="A5497">
        <v>5495</v>
      </c>
      <c r="B5497" s="1" t="s">
        <v>6295</v>
      </c>
      <c r="C5497" t="s">
        <v>202</v>
      </c>
      <c r="D5497" s="1" t="s">
        <v>6296</v>
      </c>
    </row>
    <row r="5498" spans="1:4" hidden="1" x14ac:dyDescent="0.3">
      <c r="A5498">
        <v>5496</v>
      </c>
      <c r="B5498" t="s">
        <v>6297</v>
      </c>
      <c r="C5498" t="s">
        <v>205</v>
      </c>
      <c r="D5498">
        <v>79986669.094690293</v>
      </c>
    </row>
    <row r="5499" spans="1:4" hidden="1" x14ac:dyDescent="0.3">
      <c r="A5499">
        <v>5497</v>
      </c>
      <c r="B5499" t="s">
        <v>6298</v>
      </c>
      <c r="C5499" t="s">
        <v>207</v>
      </c>
      <c r="D5499">
        <v>34993340.622301303</v>
      </c>
    </row>
    <row r="5500" spans="1:4" hidden="1" x14ac:dyDescent="0.3">
      <c r="A5500">
        <v>5498</v>
      </c>
      <c r="B5500" t="s">
        <v>6299</v>
      </c>
      <c r="C5500" t="s">
        <v>209</v>
      </c>
      <c r="D5500">
        <v>35060759.803168297</v>
      </c>
    </row>
    <row r="5501" spans="1:4" hidden="1" x14ac:dyDescent="0.3">
      <c r="A5501">
        <v>5499</v>
      </c>
      <c r="B5501" s="1" t="s">
        <v>6300</v>
      </c>
      <c r="C5501" t="s">
        <v>211</v>
      </c>
      <c r="D5501" s="1" t="s">
        <v>6301</v>
      </c>
    </row>
    <row r="5502" spans="1:4" hidden="1" x14ac:dyDescent="0.3">
      <c r="A5502">
        <v>5500</v>
      </c>
      <c r="B5502" t="s">
        <v>6302</v>
      </c>
      <c r="C5502" t="s">
        <v>214</v>
      </c>
      <c r="D5502">
        <v>100025594.58006901</v>
      </c>
    </row>
    <row r="5503" spans="1:4" hidden="1" x14ac:dyDescent="0.3">
      <c r="A5503">
        <v>5501</v>
      </c>
      <c r="B5503" t="s">
        <v>6303</v>
      </c>
      <c r="C5503" t="s">
        <v>216</v>
      </c>
      <c r="D5503">
        <v>-2315.1367087066101</v>
      </c>
    </row>
    <row r="5504" spans="1:4" hidden="1" x14ac:dyDescent="0.3">
      <c r="A5504">
        <v>5502</v>
      </c>
      <c r="B5504" s="1" t="s">
        <v>6304</v>
      </c>
      <c r="C5504" t="s">
        <v>218</v>
      </c>
      <c r="D5504" s="1" t="s">
        <v>6305</v>
      </c>
    </row>
    <row r="5505" spans="1:4" hidden="1" x14ac:dyDescent="0.3">
      <c r="A5505">
        <v>5503</v>
      </c>
      <c r="B5505" t="s">
        <v>6306</v>
      </c>
      <c r="C5505" t="s">
        <v>111</v>
      </c>
      <c r="D5505">
        <v>617.14624776751396</v>
      </c>
    </row>
    <row r="5506" spans="1:4" hidden="1" x14ac:dyDescent="0.3">
      <c r="A5506">
        <v>5504</v>
      </c>
      <c r="B5506" t="s">
        <v>6307</v>
      </c>
      <c r="C5506" t="s">
        <v>113</v>
      </c>
      <c r="D5506">
        <v>92.310248509896397</v>
      </c>
    </row>
    <row r="5507" spans="1:4" hidden="1" x14ac:dyDescent="0.3">
      <c r="A5507">
        <v>5505</v>
      </c>
      <c r="B5507" s="1" t="s">
        <v>6308</v>
      </c>
      <c r="C5507" t="s">
        <v>115</v>
      </c>
      <c r="D5507" s="1" t="s">
        <v>6309</v>
      </c>
    </row>
    <row r="5508" spans="1:4" hidden="1" x14ac:dyDescent="0.3">
      <c r="A5508">
        <v>5506</v>
      </c>
      <c r="B5508" t="s">
        <v>6310</v>
      </c>
      <c r="C5508" t="s">
        <v>118</v>
      </c>
      <c r="D5508">
        <v>79986669.094690293</v>
      </c>
    </row>
    <row r="5509" spans="1:4" hidden="1" x14ac:dyDescent="0.3">
      <c r="A5509">
        <v>5507</v>
      </c>
      <c r="B5509" t="s">
        <v>6311</v>
      </c>
      <c r="C5509" t="s">
        <v>120</v>
      </c>
      <c r="D5509">
        <v>34993340.622301303</v>
      </c>
    </row>
    <row r="5510" spans="1:4" hidden="1" x14ac:dyDescent="0.3">
      <c r="A5510">
        <v>5508</v>
      </c>
      <c r="B5510" s="1" t="s">
        <v>6312</v>
      </c>
      <c r="C5510" t="s">
        <v>122</v>
      </c>
      <c r="D5510" s="1" t="s">
        <v>6313</v>
      </c>
    </row>
    <row r="5511" spans="1:4" hidden="1" x14ac:dyDescent="0.3">
      <c r="A5511">
        <v>5509</v>
      </c>
      <c r="B5511" t="s">
        <v>6314</v>
      </c>
      <c r="C5511" t="s">
        <v>125</v>
      </c>
      <c r="D5511">
        <v>0.79958061391964297</v>
      </c>
    </row>
    <row r="5512" spans="1:4" hidden="1" x14ac:dyDescent="0.3">
      <c r="A5512">
        <v>5510</v>
      </c>
      <c r="B5512" t="s">
        <v>6315</v>
      </c>
      <c r="C5512" t="s">
        <v>127</v>
      </c>
      <c r="D5512">
        <v>0.34980825048178199</v>
      </c>
    </row>
    <row r="5513" spans="1:4" hidden="1" x14ac:dyDescent="0.3">
      <c r="A5513">
        <v>5511</v>
      </c>
      <c r="B5513" s="1" t="s">
        <v>6316</v>
      </c>
      <c r="C5513" t="s">
        <v>129</v>
      </c>
      <c r="D5513" s="1" t="s">
        <v>6317</v>
      </c>
    </row>
    <row r="5514" spans="1:4" ht="72" x14ac:dyDescent="0.3">
      <c r="A5514">
        <v>5512</v>
      </c>
      <c r="B5514" s="1" t="s">
        <v>3</v>
      </c>
      <c r="C5514" t="s">
        <v>4</v>
      </c>
      <c r="D5514" t="s">
        <v>5</v>
      </c>
    </row>
    <row r="5515" spans="1:4" hidden="1" x14ac:dyDescent="0.3">
      <c r="A5515">
        <v>5513</v>
      </c>
      <c r="B5515" t="s">
        <v>6</v>
      </c>
      <c r="C5515" t="s">
        <v>7</v>
      </c>
      <c r="D5515">
        <v>1981.95</v>
      </c>
    </row>
    <row r="5516" spans="1:4" hidden="1" x14ac:dyDescent="0.3">
      <c r="A5516">
        <v>5514</v>
      </c>
      <c r="B5516" s="1" t="s">
        <v>131</v>
      </c>
      <c r="C5516" t="s">
        <v>9</v>
      </c>
      <c r="D5516" s="1" t="s">
        <v>132</v>
      </c>
    </row>
    <row r="5517" spans="1:4" hidden="1" x14ac:dyDescent="0.3">
      <c r="A5517">
        <v>5515</v>
      </c>
      <c r="B5517" t="s">
        <v>13</v>
      </c>
      <c r="C5517" t="s">
        <v>14</v>
      </c>
      <c r="D5517">
        <v>91.74609375</v>
      </c>
    </row>
    <row r="5518" spans="1:4" hidden="1" x14ac:dyDescent="0.3">
      <c r="A5518">
        <v>5516</v>
      </c>
      <c r="B5518" t="s">
        <v>15</v>
      </c>
      <c r="C5518" t="s">
        <v>16</v>
      </c>
      <c r="D5518">
        <v>4.1883572307132804</v>
      </c>
    </row>
    <row r="5519" spans="1:4" hidden="1" x14ac:dyDescent="0.3">
      <c r="A5519">
        <v>5517</v>
      </c>
      <c r="B5519" s="1" t="s">
        <v>133</v>
      </c>
      <c r="C5519" t="s">
        <v>134</v>
      </c>
      <c r="D5519" s="1" t="s">
        <v>135</v>
      </c>
    </row>
    <row r="5520" spans="1:4" hidden="1" x14ac:dyDescent="0.3">
      <c r="A5520">
        <v>5518</v>
      </c>
      <c r="B5520" t="s">
        <v>21</v>
      </c>
      <c r="C5520" t="s">
        <v>22</v>
      </c>
      <c r="D5520">
        <v>38.25</v>
      </c>
    </row>
    <row r="5521" spans="1:4" hidden="1" x14ac:dyDescent="0.3">
      <c r="A5521">
        <v>5519</v>
      </c>
      <c r="B5521" t="s">
        <v>6318</v>
      </c>
      <c r="C5521" t="s">
        <v>24</v>
      </c>
      <c r="D5521">
        <v>5.8948398170050602</v>
      </c>
    </row>
    <row r="5522" spans="1:4" hidden="1" x14ac:dyDescent="0.3">
      <c r="A5522">
        <v>5520</v>
      </c>
      <c r="B5522" s="1" t="s">
        <v>6319</v>
      </c>
      <c r="C5522" t="s">
        <v>138</v>
      </c>
      <c r="D5522" s="1" t="s">
        <v>6320</v>
      </c>
    </row>
    <row r="5523" spans="1:4" hidden="1" x14ac:dyDescent="0.3">
      <c r="A5523">
        <v>5521</v>
      </c>
      <c r="B5523" t="s">
        <v>6321</v>
      </c>
      <c r="C5523" t="s">
        <v>35</v>
      </c>
      <c r="D5523">
        <v>0.54115921444640203</v>
      </c>
    </row>
    <row r="5524" spans="1:4" hidden="1" x14ac:dyDescent="0.3">
      <c r="A5524">
        <v>5522</v>
      </c>
      <c r="B5524" t="s">
        <v>6322</v>
      </c>
      <c r="C5524" t="s">
        <v>142</v>
      </c>
      <c r="D5524">
        <v>0.71918911338667302</v>
      </c>
    </row>
    <row r="5525" spans="1:4" hidden="1" x14ac:dyDescent="0.3">
      <c r="A5525">
        <v>5523</v>
      </c>
      <c r="B5525" s="1" t="s">
        <v>6323</v>
      </c>
      <c r="C5525" t="s">
        <v>144</v>
      </c>
      <c r="D5525" s="1" t="s">
        <v>6324</v>
      </c>
    </row>
    <row r="5526" spans="1:4" hidden="1" x14ac:dyDescent="0.3">
      <c r="A5526">
        <v>5524</v>
      </c>
      <c r="B5526" t="s">
        <v>6325</v>
      </c>
      <c r="C5526" t="s">
        <v>30</v>
      </c>
      <c r="D5526">
        <v>0.19111284551232099</v>
      </c>
    </row>
    <row r="5527" spans="1:4" hidden="1" x14ac:dyDescent="0.3">
      <c r="A5527">
        <v>5525</v>
      </c>
      <c r="B5527" t="s">
        <v>6326</v>
      </c>
      <c r="C5527" t="s">
        <v>32</v>
      </c>
      <c r="D5527">
        <v>0.21660305758564199</v>
      </c>
    </row>
    <row r="5528" spans="1:4" hidden="1" x14ac:dyDescent="0.3">
      <c r="A5528">
        <v>5526</v>
      </c>
      <c r="B5528" s="1" t="s">
        <v>6327</v>
      </c>
      <c r="C5528" t="s">
        <v>148</v>
      </c>
      <c r="D5528" s="1" t="s">
        <v>6328</v>
      </c>
    </row>
    <row r="5529" spans="1:4" hidden="1" x14ac:dyDescent="0.3">
      <c r="A5529">
        <v>5527</v>
      </c>
      <c r="B5529" t="s">
        <v>6329</v>
      </c>
      <c r="C5529" t="s">
        <v>40</v>
      </c>
      <c r="D5529">
        <v>0.26772794004127498</v>
      </c>
    </row>
    <row r="5530" spans="1:4" hidden="1" x14ac:dyDescent="0.3">
      <c r="A5530">
        <v>5528</v>
      </c>
      <c r="B5530" t="s">
        <v>6330</v>
      </c>
      <c r="C5530" t="s">
        <v>42</v>
      </c>
      <c r="D5530">
        <v>0.17385180524033</v>
      </c>
    </row>
    <row r="5531" spans="1:4" hidden="1" x14ac:dyDescent="0.3">
      <c r="A5531">
        <v>5529</v>
      </c>
      <c r="B5531" s="1" t="s">
        <v>6331</v>
      </c>
      <c r="C5531" t="s">
        <v>152</v>
      </c>
      <c r="D5531" s="1" t="s">
        <v>6332</v>
      </c>
    </row>
    <row r="5532" spans="1:4" hidden="1" x14ac:dyDescent="0.3">
      <c r="A5532">
        <v>5530</v>
      </c>
      <c r="B5532" t="s">
        <v>153</v>
      </c>
      <c r="C5532" t="s">
        <v>154</v>
      </c>
      <c r="D5532">
        <v>1</v>
      </c>
    </row>
    <row r="5533" spans="1:4" hidden="1" x14ac:dyDescent="0.3">
      <c r="A5533">
        <v>5531</v>
      </c>
      <c r="B5533" t="s">
        <v>155</v>
      </c>
      <c r="C5533" t="s">
        <v>156</v>
      </c>
      <c r="D5533">
        <v>1</v>
      </c>
    </row>
    <row r="5534" spans="1:4" hidden="1" x14ac:dyDescent="0.3">
      <c r="A5534">
        <v>5532</v>
      </c>
      <c r="B5534" s="1" t="s">
        <v>6333</v>
      </c>
      <c r="C5534" t="s">
        <v>158</v>
      </c>
      <c r="D5534" s="1" t="s">
        <v>6334</v>
      </c>
    </row>
    <row r="5535" spans="1:4" hidden="1" x14ac:dyDescent="0.3">
      <c r="A5535">
        <v>5533</v>
      </c>
      <c r="B5535" t="s">
        <v>6335</v>
      </c>
      <c r="C5535" t="s">
        <v>161</v>
      </c>
      <c r="D5535">
        <v>0.99869904993662195</v>
      </c>
    </row>
    <row r="5536" spans="1:4" hidden="1" x14ac:dyDescent="0.3">
      <c r="A5536">
        <v>5534</v>
      </c>
      <c r="B5536" t="s">
        <v>6336</v>
      </c>
      <c r="C5536" t="s">
        <v>163</v>
      </c>
      <c r="D5536">
        <v>1.0018240317184799</v>
      </c>
    </row>
    <row r="5537" spans="1:4" hidden="1" x14ac:dyDescent="0.3">
      <c r="A5537">
        <v>5535</v>
      </c>
      <c r="B5537" s="1" t="s">
        <v>6337</v>
      </c>
      <c r="C5537" t="s">
        <v>165</v>
      </c>
      <c r="D5537" s="1" t="s">
        <v>6338</v>
      </c>
    </row>
    <row r="5538" spans="1:4" hidden="1" x14ac:dyDescent="0.3">
      <c r="A5538">
        <v>5536</v>
      </c>
      <c r="B5538" s="1" t="s">
        <v>6339</v>
      </c>
      <c r="C5538" t="s">
        <v>55</v>
      </c>
      <c r="D5538" s="1" t="s">
        <v>6340</v>
      </c>
    </row>
    <row r="5539" spans="1:4" hidden="1" x14ac:dyDescent="0.3">
      <c r="A5539">
        <v>5537</v>
      </c>
      <c r="B5539" s="1" t="s">
        <v>6341</v>
      </c>
      <c r="C5539" t="s">
        <v>52</v>
      </c>
      <c r="D5539" s="1" t="s">
        <v>6342</v>
      </c>
    </row>
    <row r="5540" spans="1:4" hidden="1" x14ac:dyDescent="0.3">
      <c r="A5540">
        <v>5538</v>
      </c>
      <c r="B5540" s="1" t="s">
        <v>6343</v>
      </c>
      <c r="C5540" t="s">
        <v>58</v>
      </c>
      <c r="D5540" s="1" t="s">
        <v>6344</v>
      </c>
    </row>
    <row r="5541" spans="1:4" hidden="1" x14ac:dyDescent="0.3">
      <c r="A5541">
        <v>5539</v>
      </c>
      <c r="B5541" t="s">
        <v>6345</v>
      </c>
      <c r="C5541" t="s">
        <v>60</v>
      </c>
      <c r="D5541">
        <v>150020819.53537899</v>
      </c>
    </row>
    <row r="5542" spans="1:4" hidden="1" x14ac:dyDescent="0.3">
      <c r="A5542">
        <v>5540</v>
      </c>
      <c r="B5542" t="s">
        <v>6346</v>
      </c>
      <c r="C5542" t="s">
        <v>62</v>
      </c>
      <c r="D5542">
        <v>79986669.094690293</v>
      </c>
    </row>
    <row r="5543" spans="1:4" hidden="1" x14ac:dyDescent="0.3">
      <c r="A5543">
        <v>5541</v>
      </c>
      <c r="B5543" t="s">
        <v>6347</v>
      </c>
      <c r="C5543" t="s">
        <v>64</v>
      </c>
      <c r="D5543">
        <v>34993340.622301303</v>
      </c>
    </row>
    <row r="5544" spans="1:4" hidden="1" x14ac:dyDescent="0.3">
      <c r="A5544">
        <v>5542</v>
      </c>
      <c r="B5544" s="1" t="s">
        <v>6348</v>
      </c>
      <c r="C5544" t="s">
        <v>66</v>
      </c>
      <c r="D5544" s="1" t="s">
        <v>6349</v>
      </c>
    </row>
    <row r="5545" spans="1:4" hidden="1" x14ac:dyDescent="0.3">
      <c r="A5545">
        <v>5543</v>
      </c>
      <c r="B5545" s="1" t="s">
        <v>6350</v>
      </c>
      <c r="C5545" t="s">
        <v>69</v>
      </c>
      <c r="D5545" s="1" t="s">
        <v>6351</v>
      </c>
    </row>
    <row r="5546" spans="1:4" hidden="1" x14ac:dyDescent="0.3">
      <c r="A5546">
        <v>5544</v>
      </c>
      <c r="B5546" t="s">
        <v>6352</v>
      </c>
      <c r="C5546" t="s">
        <v>72</v>
      </c>
      <c r="D5546">
        <v>1.00010181198698</v>
      </c>
    </row>
    <row r="5547" spans="1:4" hidden="1" x14ac:dyDescent="0.3">
      <c r="A5547">
        <v>5545</v>
      </c>
      <c r="B5547" t="s">
        <v>73</v>
      </c>
      <c r="C5547" t="s">
        <v>74</v>
      </c>
      <c r="D5547">
        <v>2.7397260273972599E-3</v>
      </c>
    </row>
    <row r="5548" spans="1:4" hidden="1" x14ac:dyDescent="0.3">
      <c r="A5548">
        <v>5546</v>
      </c>
      <c r="B5548" t="s">
        <v>75</v>
      </c>
      <c r="C5548" t="s">
        <v>76</v>
      </c>
      <c r="D5548">
        <v>0</v>
      </c>
    </row>
    <row r="5549" spans="1:4" hidden="1" x14ac:dyDescent="0.3">
      <c r="A5549">
        <v>5547</v>
      </c>
      <c r="B5549" t="s">
        <v>77</v>
      </c>
      <c r="C5549" t="s">
        <v>78</v>
      </c>
      <c r="D5549">
        <v>0</v>
      </c>
    </row>
    <row r="5550" spans="1:4" hidden="1" x14ac:dyDescent="0.3">
      <c r="A5550">
        <v>5548</v>
      </c>
      <c r="B5550" s="1" t="s">
        <v>6353</v>
      </c>
      <c r="C5550" t="s">
        <v>80</v>
      </c>
      <c r="D5550" s="1" t="s">
        <v>6354</v>
      </c>
    </row>
    <row r="5551" spans="1:4" hidden="1" x14ac:dyDescent="0.3">
      <c r="A5551">
        <v>5549</v>
      </c>
      <c r="B5551" t="s">
        <v>6355</v>
      </c>
      <c r="C5551" t="s">
        <v>83</v>
      </c>
      <c r="D5551">
        <v>1.0000960627000699</v>
      </c>
    </row>
    <row r="5552" spans="1:4" hidden="1" x14ac:dyDescent="0.3">
      <c r="A5552">
        <v>5550</v>
      </c>
      <c r="B5552" s="1" t="s">
        <v>6356</v>
      </c>
      <c r="C5552" t="s">
        <v>85</v>
      </c>
      <c r="D5552" s="1" t="s">
        <v>6357</v>
      </c>
    </row>
    <row r="5553" spans="1:4" hidden="1" x14ac:dyDescent="0.3">
      <c r="A5553">
        <v>5551</v>
      </c>
      <c r="B5553" t="s">
        <v>6358</v>
      </c>
      <c r="C5553" t="s">
        <v>88</v>
      </c>
      <c r="D5553">
        <v>100023854.450654</v>
      </c>
    </row>
    <row r="5554" spans="1:4" hidden="1" x14ac:dyDescent="0.3">
      <c r="A5554">
        <v>5552</v>
      </c>
      <c r="B5554" s="1" t="s">
        <v>6359</v>
      </c>
      <c r="C5554" t="s">
        <v>90</v>
      </c>
      <c r="D5554" s="1" t="s">
        <v>6305</v>
      </c>
    </row>
    <row r="5555" spans="1:4" hidden="1" x14ac:dyDescent="0.3">
      <c r="A5555">
        <v>5553</v>
      </c>
      <c r="B5555" t="s">
        <v>6360</v>
      </c>
      <c r="C5555" t="s">
        <v>93</v>
      </c>
      <c r="D5555">
        <v>79986669.094690293</v>
      </c>
    </row>
    <row r="5556" spans="1:4" hidden="1" x14ac:dyDescent="0.3">
      <c r="A5556">
        <v>5554</v>
      </c>
      <c r="B5556" t="s">
        <v>6361</v>
      </c>
      <c r="C5556" t="s">
        <v>95</v>
      </c>
      <c r="D5556">
        <v>34993340.622301303</v>
      </c>
    </row>
    <row r="5557" spans="1:4" hidden="1" x14ac:dyDescent="0.3">
      <c r="A5557">
        <v>5555</v>
      </c>
      <c r="B5557" t="s">
        <v>6362</v>
      </c>
      <c r="C5557" t="s">
        <v>97</v>
      </c>
      <c r="D5557">
        <v>35040809.818388298</v>
      </c>
    </row>
    <row r="5558" spans="1:4" hidden="1" x14ac:dyDescent="0.3">
      <c r="A5558">
        <v>5556</v>
      </c>
      <c r="B5558" s="1" t="s">
        <v>6363</v>
      </c>
      <c r="C5558" t="s">
        <v>99</v>
      </c>
      <c r="D5558" s="1" t="s">
        <v>6364</v>
      </c>
    </row>
    <row r="5559" spans="1:4" hidden="1" x14ac:dyDescent="0.3">
      <c r="A5559">
        <v>5557</v>
      </c>
      <c r="B5559" t="s">
        <v>6365</v>
      </c>
      <c r="C5559" t="s">
        <v>102</v>
      </c>
      <c r="D5559">
        <v>8.9762096823409899E-3</v>
      </c>
    </row>
    <row r="5560" spans="1:4" hidden="1" x14ac:dyDescent="0.3">
      <c r="A5560">
        <v>5558</v>
      </c>
      <c r="B5560" t="s">
        <v>6366</v>
      </c>
      <c r="C5560" t="s">
        <v>104</v>
      </c>
      <c r="D5560">
        <v>1.66541470428439E-3</v>
      </c>
    </row>
    <row r="5561" spans="1:4" hidden="1" x14ac:dyDescent="0.3">
      <c r="A5561">
        <v>5559</v>
      </c>
      <c r="B5561" t="s">
        <v>6367</v>
      </c>
      <c r="C5561" t="s">
        <v>106</v>
      </c>
      <c r="D5561">
        <v>1.8327342845076498E-2</v>
      </c>
    </row>
    <row r="5562" spans="1:4" hidden="1" x14ac:dyDescent="0.3">
      <c r="A5562">
        <v>5560</v>
      </c>
      <c r="B5562" s="1" t="s">
        <v>6368</v>
      </c>
      <c r="C5562" t="s">
        <v>108</v>
      </c>
      <c r="D5562" s="1" t="s">
        <v>6369</v>
      </c>
    </row>
    <row r="5563" spans="1:4" hidden="1" x14ac:dyDescent="0.3">
      <c r="A5563">
        <v>5561</v>
      </c>
      <c r="B5563" t="s">
        <v>6370</v>
      </c>
      <c r="C5563" t="s">
        <v>196</v>
      </c>
      <c r="D5563">
        <v>150020621.59801599</v>
      </c>
    </row>
    <row r="5564" spans="1:4" hidden="1" x14ac:dyDescent="0.3">
      <c r="A5564">
        <v>5562</v>
      </c>
      <c r="B5564" t="s">
        <v>6371</v>
      </c>
      <c r="C5564" t="s">
        <v>198</v>
      </c>
      <c r="D5564">
        <v>459.81861296276901</v>
      </c>
    </row>
    <row r="5565" spans="1:4" hidden="1" x14ac:dyDescent="0.3">
      <c r="A5565">
        <v>5563</v>
      </c>
      <c r="B5565" t="s">
        <v>6372</v>
      </c>
      <c r="C5565" t="s">
        <v>200</v>
      </c>
      <c r="D5565">
        <v>201.166142252904</v>
      </c>
    </row>
    <row r="5566" spans="1:4" hidden="1" x14ac:dyDescent="0.3">
      <c r="A5566">
        <v>5564</v>
      </c>
      <c r="B5566" s="1" t="s">
        <v>6373</v>
      </c>
      <c r="C5566" t="s">
        <v>202</v>
      </c>
      <c r="D5566" s="1" t="s">
        <v>6374</v>
      </c>
    </row>
    <row r="5567" spans="1:4" hidden="1" x14ac:dyDescent="0.3">
      <c r="A5567">
        <v>5565</v>
      </c>
      <c r="B5567" t="s">
        <v>6375</v>
      </c>
      <c r="C5567" t="s">
        <v>205</v>
      </c>
      <c r="D5567">
        <v>79986055.972019494</v>
      </c>
    </row>
    <row r="5568" spans="1:4" hidden="1" x14ac:dyDescent="0.3">
      <c r="A5568">
        <v>5566</v>
      </c>
      <c r="B5568" t="s">
        <v>6376</v>
      </c>
      <c r="C5568" t="s">
        <v>207</v>
      </c>
      <c r="D5568">
        <v>34993116.547065198</v>
      </c>
    </row>
    <row r="5569" spans="1:4" hidden="1" x14ac:dyDescent="0.3">
      <c r="A5569">
        <v>5567</v>
      </c>
      <c r="B5569" t="s">
        <v>6377</v>
      </c>
      <c r="C5569" t="s">
        <v>209</v>
      </c>
      <c r="D5569">
        <v>35040586.655141599</v>
      </c>
    </row>
    <row r="5570" spans="1:4" hidden="1" x14ac:dyDescent="0.3">
      <c r="A5570">
        <v>5568</v>
      </c>
      <c r="B5570" s="1" t="s">
        <v>6378</v>
      </c>
      <c r="C5570" t="s">
        <v>211</v>
      </c>
      <c r="D5570" s="1" t="s">
        <v>6379</v>
      </c>
    </row>
    <row r="5571" spans="1:4" hidden="1" x14ac:dyDescent="0.3">
      <c r="A5571">
        <v>5569</v>
      </c>
      <c r="B5571" t="s">
        <v>6380</v>
      </c>
      <c r="C5571" t="s">
        <v>214</v>
      </c>
      <c r="D5571">
        <v>100023279.44336</v>
      </c>
    </row>
    <row r="5572" spans="1:4" hidden="1" x14ac:dyDescent="0.3">
      <c r="A5572">
        <v>5570</v>
      </c>
      <c r="B5572" t="s">
        <v>6381</v>
      </c>
      <c r="C5572" t="s">
        <v>216</v>
      </c>
      <c r="D5572">
        <v>575.00729419290997</v>
      </c>
    </row>
    <row r="5573" spans="1:4" hidden="1" x14ac:dyDescent="0.3">
      <c r="A5573">
        <v>5571</v>
      </c>
      <c r="B5573" s="1" t="s">
        <v>6382</v>
      </c>
      <c r="C5573" t="s">
        <v>218</v>
      </c>
      <c r="D5573" s="1" t="s">
        <v>6383</v>
      </c>
    </row>
    <row r="5574" spans="1:4" hidden="1" x14ac:dyDescent="0.3">
      <c r="A5574">
        <v>5572</v>
      </c>
      <c r="B5574" t="s">
        <v>6384</v>
      </c>
      <c r="C5574" t="s">
        <v>111</v>
      </c>
      <c r="D5574">
        <v>-153.30405786422901</v>
      </c>
    </row>
    <row r="5575" spans="1:4" hidden="1" x14ac:dyDescent="0.3">
      <c r="A5575">
        <v>5573</v>
      </c>
      <c r="B5575" t="s">
        <v>6385</v>
      </c>
      <c r="C5575" t="s">
        <v>113</v>
      </c>
      <c r="D5575">
        <v>-22.909093850461801</v>
      </c>
    </row>
    <row r="5576" spans="1:4" hidden="1" x14ac:dyDescent="0.3">
      <c r="A5576">
        <v>5574</v>
      </c>
      <c r="B5576" s="1" t="s">
        <v>6386</v>
      </c>
      <c r="C5576" t="s">
        <v>115</v>
      </c>
      <c r="D5576" s="1" t="s">
        <v>6387</v>
      </c>
    </row>
    <row r="5577" spans="1:4" hidden="1" x14ac:dyDescent="0.3">
      <c r="A5577">
        <v>5575</v>
      </c>
      <c r="B5577" t="s">
        <v>6388</v>
      </c>
      <c r="C5577" t="s">
        <v>118</v>
      </c>
      <c r="D5577">
        <v>79986055.972019494</v>
      </c>
    </row>
    <row r="5578" spans="1:4" hidden="1" x14ac:dyDescent="0.3">
      <c r="A5578">
        <v>5576</v>
      </c>
      <c r="B5578" t="s">
        <v>6389</v>
      </c>
      <c r="C5578" t="s">
        <v>120</v>
      </c>
      <c r="D5578">
        <v>34993116.547065198</v>
      </c>
    </row>
    <row r="5579" spans="1:4" hidden="1" x14ac:dyDescent="0.3">
      <c r="A5579">
        <v>5577</v>
      </c>
      <c r="B5579" s="1" t="s">
        <v>6390</v>
      </c>
      <c r="C5579" t="s">
        <v>122</v>
      </c>
      <c r="D5579" s="1" t="s">
        <v>6391</v>
      </c>
    </row>
    <row r="5580" spans="1:4" hidden="1" x14ac:dyDescent="0.3">
      <c r="A5580">
        <v>5578</v>
      </c>
      <c r="B5580" t="s">
        <v>6392</v>
      </c>
      <c r="C5580" t="s">
        <v>125</v>
      </c>
      <c r="D5580">
        <v>0.799597588467858</v>
      </c>
    </row>
    <row r="5581" spans="1:4" hidden="1" x14ac:dyDescent="0.3">
      <c r="A5581">
        <v>5579</v>
      </c>
      <c r="B5581" t="s">
        <v>6393</v>
      </c>
      <c r="C5581" t="s">
        <v>127</v>
      </c>
      <c r="D5581">
        <v>0.34981611812183999</v>
      </c>
    </row>
    <row r="5582" spans="1:4" hidden="1" x14ac:dyDescent="0.3">
      <c r="A5582">
        <v>5580</v>
      </c>
      <c r="B5582" s="1" t="s">
        <v>6394</v>
      </c>
      <c r="C5582" t="s">
        <v>129</v>
      </c>
      <c r="D5582" s="1" t="s">
        <v>6395</v>
      </c>
    </row>
    <row r="5583" spans="1:4" ht="72" x14ac:dyDescent="0.3">
      <c r="A5583">
        <v>5581</v>
      </c>
      <c r="B5583" s="1" t="s">
        <v>3</v>
      </c>
      <c r="C5583" t="s">
        <v>4</v>
      </c>
      <c r="D5583" t="s">
        <v>5</v>
      </c>
    </row>
    <row r="5584" spans="1:4" hidden="1" x14ac:dyDescent="0.3">
      <c r="A5584">
        <v>5582</v>
      </c>
      <c r="B5584" t="s">
        <v>6</v>
      </c>
      <c r="C5584" t="s">
        <v>7</v>
      </c>
      <c r="D5584">
        <v>1981.95</v>
      </c>
    </row>
    <row r="5585" spans="1:4" hidden="1" x14ac:dyDescent="0.3">
      <c r="A5585">
        <v>5583</v>
      </c>
      <c r="B5585" s="1" t="s">
        <v>131</v>
      </c>
      <c r="C5585" t="s">
        <v>9</v>
      </c>
      <c r="D5585" s="1" t="s">
        <v>132</v>
      </c>
    </row>
    <row r="5586" spans="1:4" hidden="1" x14ac:dyDescent="0.3">
      <c r="A5586">
        <v>5584</v>
      </c>
      <c r="B5586" t="s">
        <v>13</v>
      </c>
      <c r="C5586" t="s">
        <v>14</v>
      </c>
      <c r="D5586">
        <v>91.74609375</v>
      </c>
    </row>
    <row r="5587" spans="1:4" hidden="1" x14ac:dyDescent="0.3">
      <c r="A5587">
        <v>5585</v>
      </c>
      <c r="B5587" t="s">
        <v>15</v>
      </c>
      <c r="C5587" t="s">
        <v>16</v>
      </c>
      <c r="D5587">
        <v>4.1883572307132804</v>
      </c>
    </row>
    <row r="5588" spans="1:4" hidden="1" x14ac:dyDescent="0.3">
      <c r="A5588">
        <v>5586</v>
      </c>
      <c r="B5588" s="1" t="s">
        <v>133</v>
      </c>
      <c r="C5588" t="s">
        <v>134</v>
      </c>
      <c r="D5588" s="1" t="s">
        <v>135</v>
      </c>
    </row>
    <row r="5589" spans="1:4" hidden="1" x14ac:dyDescent="0.3">
      <c r="A5589">
        <v>5587</v>
      </c>
      <c r="B5589" t="s">
        <v>21</v>
      </c>
      <c r="C5589" t="s">
        <v>22</v>
      </c>
      <c r="D5589">
        <v>38.25</v>
      </c>
    </row>
    <row r="5590" spans="1:4" hidden="1" x14ac:dyDescent="0.3">
      <c r="A5590">
        <v>5588</v>
      </c>
      <c r="B5590" t="s">
        <v>6396</v>
      </c>
      <c r="C5590" t="s">
        <v>24</v>
      </c>
      <c r="D5590">
        <v>5.8845586431120598</v>
      </c>
    </row>
    <row r="5591" spans="1:4" hidden="1" x14ac:dyDescent="0.3">
      <c r="A5591">
        <v>5589</v>
      </c>
      <c r="B5591" s="1" t="s">
        <v>6397</v>
      </c>
      <c r="C5591" t="s">
        <v>138</v>
      </c>
      <c r="D5591" s="1" t="s">
        <v>6398</v>
      </c>
    </row>
    <row r="5592" spans="1:4" hidden="1" x14ac:dyDescent="0.3">
      <c r="A5592">
        <v>5590</v>
      </c>
      <c r="B5592" t="s">
        <v>6399</v>
      </c>
      <c r="C5592" t="s">
        <v>35</v>
      </c>
      <c r="D5592">
        <v>0.54337850560132195</v>
      </c>
    </row>
    <row r="5593" spans="1:4" hidden="1" x14ac:dyDescent="0.3">
      <c r="A5593">
        <v>5591</v>
      </c>
      <c r="B5593" t="s">
        <v>6400</v>
      </c>
      <c r="C5593" t="s">
        <v>142</v>
      </c>
      <c r="D5593">
        <v>0.74880930653669697</v>
      </c>
    </row>
    <row r="5594" spans="1:4" hidden="1" x14ac:dyDescent="0.3">
      <c r="A5594">
        <v>5592</v>
      </c>
      <c r="B5594" s="1" t="s">
        <v>6401</v>
      </c>
      <c r="C5594" t="s">
        <v>144</v>
      </c>
      <c r="D5594" s="1" t="s">
        <v>6402</v>
      </c>
    </row>
    <row r="5595" spans="1:4" hidden="1" x14ac:dyDescent="0.3">
      <c r="A5595">
        <v>5593</v>
      </c>
      <c r="B5595" t="s">
        <v>6403</v>
      </c>
      <c r="C5595" t="s">
        <v>30</v>
      </c>
      <c r="D5595">
        <v>0.191896598308753</v>
      </c>
    </row>
    <row r="5596" spans="1:4" hidden="1" x14ac:dyDescent="0.3">
      <c r="A5596">
        <v>5594</v>
      </c>
      <c r="B5596" t="s">
        <v>6404</v>
      </c>
      <c r="C5596" t="s">
        <v>32</v>
      </c>
      <c r="D5596">
        <v>0.185996843220644</v>
      </c>
    </row>
    <row r="5597" spans="1:4" hidden="1" x14ac:dyDescent="0.3">
      <c r="A5597">
        <v>5595</v>
      </c>
      <c r="B5597" s="1" t="s">
        <v>6405</v>
      </c>
      <c r="C5597" t="s">
        <v>148</v>
      </c>
      <c r="D5597" s="1" t="s">
        <v>6406</v>
      </c>
    </row>
    <row r="5598" spans="1:4" hidden="1" x14ac:dyDescent="0.3">
      <c r="A5598">
        <v>5596</v>
      </c>
      <c r="B5598" t="s">
        <v>6407</v>
      </c>
      <c r="C5598" t="s">
        <v>40</v>
      </c>
      <c r="D5598">
        <v>0.264724896089923</v>
      </c>
    </row>
    <row r="5599" spans="1:4" hidden="1" x14ac:dyDescent="0.3">
      <c r="A5599">
        <v>5597</v>
      </c>
      <c r="B5599" t="s">
        <v>6408</v>
      </c>
      <c r="C5599" t="s">
        <v>42</v>
      </c>
      <c r="D5599">
        <v>0.14945664443040901</v>
      </c>
    </row>
    <row r="5600" spans="1:4" hidden="1" x14ac:dyDescent="0.3">
      <c r="A5600">
        <v>5598</v>
      </c>
      <c r="B5600" s="1" t="s">
        <v>6409</v>
      </c>
      <c r="C5600" t="s">
        <v>152</v>
      </c>
      <c r="D5600" s="1" t="s">
        <v>6410</v>
      </c>
    </row>
    <row r="5601" spans="1:4" hidden="1" x14ac:dyDescent="0.3">
      <c r="A5601">
        <v>5599</v>
      </c>
      <c r="B5601" t="s">
        <v>153</v>
      </c>
      <c r="C5601" t="s">
        <v>154</v>
      </c>
      <c r="D5601">
        <v>1</v>
      </c>
    </row>
    <row r="5602" spans="1:4" hidden="1" x14ac:dyDescent="0.3">
      <c r="A5602">
        <v>5600</v>
      </c>
      <c r="B5602" t="s">
        <v>155</v>
      </c>
      <c r="C5602" t="s">
        <v>156</v>
      </c>
      <c r="D5602">
        <v>1</v>
      </c>
    </row>
    <row r="5603" spans="1:4" hidden="1" x14ac:dyDescent="0.3">
      <c r="A5603">
        <v>5601</v>
      </c>
      <c r="B5603" s="1" t="s">
        <v>6411</v>
      </c>
      <c r="C5603" t="s">
        <v>158</v>
      </c>
      <c r="D5603" s="1" t="s">
        <v>6412</v>
      </c>
    </row>
    <row r="5604" spans="1:4" hidden="1" x14ac:dyDescent="0.3">
      <c r="A5604">
        <v>5602</v>
      </c>
      <c r="B5604" t="s">
        <v>6413</v>
      </c>
      <c r="C5604" t="s">
        <v>161</v>
      </c>
      <c r="D5604">
        <v>1.0172291651449901</v>
      </c>
    </row>
    <row r="5605" spans="1:4" hidden="1" x14ac:dyDescent="0.3">
      <c r="A5605">
        <v>5603</v>
      </c>
      <c r="B5605" t="s">
        <v>6414</v>
      </c>
      <c r="C5605" t="s">
        <v>163</v>
      </c>
      <c r="D5605">
        <v>0.97484289212149799</v>
      </c>
    </row>
    <row r="5606" spans="1:4" hidden="1" x14ac:dyDescent="0.3">
      <c r="A5606">
        <v>5604</v>
      </c>
      <c r="B5606" s="1" t="s">
        <v>6415</v>
      </c>
      <c r="C5606" t="s">
        <v>165</v>
      </c>
      <c r="D5606" s="1" t="s">
        <v>6416</v>
      </c>
    </row>
    <row r="5607" spans="1:4" hidden="1" x14ac:dyDescent="0.3">
      <c r="A5607">
        <v>5605</v>
      </c>
      <c r="B5607" s="1" t="s">
        <v>6417</v>
      </c>
      <c r="C5607" t="s">
        <v>55</v>
      </c>
      <c r="D5607" s="1" t="s">
        <v>6418</v>
      </c>
    </row>
    <row r="5608" spans="1:4" hidden="1" x14ac:dyDescent="0.3">
      <c r="A5608">
        <v>5606</v>
      </c>
      <c r="B5608" s="1" t="s">
        <v>6419</v>
      </c>
      <c r="C5608" t="s">
        <v>52</v>
      </c>
      <c r="D5608" s="1" t="s">
        <v>6420</v>
      </c>
    </row>
    <row r="5609" spans="1:4" hidden="1" x14ac:dyDescent="0.3">
      <c r="A5609">
        <v>5607</v>
      </c>
      <c r="B5609" s="1" t="s">
        <v>6421</v>
      </c>
      <c r="C5609" t="s">
        <v>58</v>
      </c>
      <c r="D5609" s="1" t="s">
        <v>6422</v>
      </c>
    </row>
    <row r="5610" spans="1:4" hidden="1" x14ac:dyDescent="0.3">
      <c r="A5610">
        <v>5608</v>
      </c>
      <c r="B5610" t="s">
        <v>6423</v>
      </c>
      <c r="C5610" t="s">
        <v>60</v>
      </c>
      <c r="D5610">
        <v>150011598.348041</v>
      </c>
    </row>
    <row r="5611" spans="1:4" hidden="1" x14ac:dyDescent="0.3">
      <c r="A5611">
        <v>5609</v>
      </c>
      <c r="B5611" t="s">
        <v>6424</v>
      </c>
      <c r="C5611" t="s">
        <v>62</v>
      </c>
      <c r="D5611">
        <v>79986055.972019494</v>
      </c>
    </row>
    <row r="5612" spans="1:4" hidden="1" x14ac:dyDescent="0.3">
      <c r="A5612">
        <v>5610</v>
      </c>
      <c r="B5612" t="s">
        <v>6425</v>
      </c>
      <c r="C5612" t="s">
        <v>64</v>
      </c>
      <c r="D5612">
        <v>34993116.547065198</v>
      </c>
    </row>
    <row r="5613" spans="1:4" hidden="1" x14ac:dyDescent="0.3">
      <c r="A5613">
        <v>5611</v>
      </c>
      <c r="B5613" s="1" t="s">
        <v>6426</v>
      </c>
      <c r="C5613" t="s">
        <v>66</v>
      </c>
      <c r="D5613" s="1" t="s">
        <v>6427</v>
      </c>
    </row>
    <row r="5614" spans="1:4" hidden="1" x14ac:dyDescent="0.3">
      <c r="A5614">
        <v>5612</v>
      </c>
      <c r="B5614" s="1" t="s">
        <v>6428</v>
      </c>
      <c r="C5614" t="s">
        <v>69</v>
      </c>
      <c r="D5614" s="1" t="s">
        <v>6429</v>
      </c>
    </row>
    <row r="5615" spans="1:4" hidden="1" x14ac:dyDescent="0.3">
      <c r="A5615">
        <v>5613</v>
      </c>
      <c r="B5615" t="s">
        <v>6430</v>
      </c>
      <c r="C5615" t="s">
        <v>72</v>
      </c>
      <c r="D5615">
        <v>1.0000960627000699</v>
      </c>
    </row>
    <row r="5616" spans="1:4" hidden="1" x14ac:dyDescent="0.3">
      <c r="A5616">
        <v>5614</v>
      </c>
      <c r="B5616" t="s">
        <v>73</v>
      </c>
      <c r="C5616" t="s">
        <v>74</v>
      </c>
      <c r="D5616">
        <v>2.7397260273972599E-3</v>
      </c>
    </row>
    <row r="5617" spans="1:4" hidden="1" x14ac:dyDescent="0.3">
      <c r="A5617">
        <v>5615</v>
      </c>
      <c r="B5617" t="s">
        <v>75</v>
      </c>
      <c r="C5617" t="s">
        <v>76</v>
      </c>
      <c r="D5617">
        <v>0</v>
      </c>
    </row>
    <row r="5618" spans="1:4" hidden="1" x14ac:dyDescent="0.3">
      <c r="A5618">
        <v>5616</v>
      </c>
      <c r="B5618" t="s">
        <v>77</v>
      </c>
      <c r="C5618" t="s">
        <v>78</v>
      </c>
      <c r="D5618">
        <v>0</v>
      </c>
    </row>
    <row r="5619" spans="1:4" hidden="1" x14ac:dyDescent="0.3">
      <c r="A5619">
        <v>5617</v>
      </c>
      <c r="B5619" s="1" t="s">
        <v>6431</v>
      </c>
      <c r="C5619" t="s">
        <v>80</v>
      </c>
      <c r="D5619" s="1" t="s">
        <v>6432</v>
      </c>
    </row>
    <row r="5620" spans="1:4" hidden="1" x14ac:dyDescent="0.3">
      <c r="A5620">
        <v>5618</v>
      </c>
      <c r="B5620" t="s">
        <v>6433</v>
      </c>
      <c r="C5620" t="s">
        <v>83</v>
      </c>
      <c r="D5620">
        <v>1.00009582518319</v>
      </c>
    </row>
    <row r="5621" spans="1:4" hidden="1" x14ac:dyDescent="0.3">
      <c r="A5621">
        <v>5619</v>
      </c>
      <c r="B5621" s="1" t="s">
        <v>6434</v>
      </c>
      <c r="C5621" t="s">
        <v>85</v>
      </c>
      <c r="D5621" s="1" t="s">
        <v>6435</v>
      </c>
    </row>
    <row r="5622" spans="1:4" hidden="1" x14ac:dyDescent="0.3">
      <c r="A5622">
        <v>5620</v>
      </c>
      <c r="B5622" t="s">
        <v>6436</v>
      </c>
      <c r="C5622" t="s">
        <v>88</v>
      </c>
      <c r="D5622">
        <v>100023878.205732</v>
      </c>
    </row>
    <row r="5623" spans="1:4" hidden="1" x14ac:dyDescent="0.3">
      <c r="A5623">
        <v>5621</v>
      </c>
      <c r="B5623" s="1" t="s">
        <v>6437</v>
      </c>
      <c r="C5623" t="s">
        <v>90</v>
      </c>
      <c r="D5623" s="1" t="s">
        <v>6383</v>
      </c>
    </row>
    <row r="5624" spans="1:4" hidden="1" x14ac:dyDescent="0.3">
      <c r="A5624">
        <v>5622</v>
      </c>
      <c r="B5624" t="s">
        <v>6438</v>
      </c>
      <c r="C5624" t="s">
        <v>93</v>
      </c>
      <c r="D5624">
        <v>79986055.972019494</v>
      </c>
    </row>
    <row r="5625" spans="1:4" hidden="1" x14ac:dyDescent="0.3">
      <c r="A5625">
        <v>5623</v>
      </c>
      <c r="B5625" t="s">
        <v>6439</v>
      </c>
      <c r="C5625" t="s">
        <v>95</v>
      </c>
      <c r="D5625">
        <v>34993116.547065198</v>
      </c>
    </row>
    <row r="5626" spans="1:4" hidden="1" x14ac:dyDescent="0.3">
      <c r="A5626">
        <v>5624</v>
      </c>
      <c r="B5626" t="s">
        <v>6440</v>
      </c>
      <c r="C5626" t="s">
        <v>97</v>
      </c>
      <c r="D5626">
        <v>35032425.8289565</v>
      </c>
    </row>
    <row r="5627" spans="1:4" hidden="1" x14ac:dyDescent="0.3">
      <c r="A5627">
        <v>5625</v>
      </c>
      <c r="B5627" s="1" t="s">
        <v>6441</v>
      </c>
      <c r="C5627" t="s">
        <v>99</v>
      </c>
      <c r="D5627" s="1" t="s">
        <v>6442</v>
      </c>
    </row>
    <row r="5628" spans="1:4" hidden="1" x14ac:dyDescent="0.3">
      <c r="A5628">
        <v>5626</v>
      </c>
      <c r="B5628" t="s">
        <v>6443</v>
      </c>
      <c r="C5628" t="s">
        <v>102</v>
      </c>
      <c r="D5628">
        <v>9.0571802825353698E-3</v>
      </c>
    </row>
    <row r="5629" spans="1:4" hidden="1" x14ac:dyDescent="0.3">
      <c r="A5629">
        <v>5627</v>
      </c>
      <c r="B5629" t="s">
        <v>6444</v>
      </c>
      <c r="C5629" t="s">
        <v>104</v>
      </c>
      <c r="D5629">
        <v>1.4376201889259701E-3</v>
      </c>
    </row>
    <row r="5630" spans="1:4" hidden="1" x14ac:dyDescent="0.3">
      <c r="A5630">
        <v>5628</v>
      </c>
      <c r="B5630" t="s">
        <v>6445</v>
      </c>
      <c r="C5630" t="s">
        <v>106</v>
      </c>
      <c r="D5630">
        <v>1.8455368593061999E-2</v>
      </c>
    </row>
    <row r="5631" spans="1:4" hidden="1" x14ac:dyDescent="0.3">
      <c r="A5631">
        <v>5629</v>
      </c>
      <c r="B5631" s="1" t="s">
        <v>6446</v>
      </c>
      <c r="C5631" t="s">
        <v>108</v>
      </c>
      <c r="D5631" s="1" t="s">
        <v>6447</v>
      </c>
    </row>
    <row r="5632" spans="1:4" hidden="1" x14ac:dyDescent="0.3">
      <c r="A5632">
        <v>5630</v>
      </c>
      <c r="B5632" t="s">
        <v>6448</v>
      </c>
      <c r="C5632" t="s">
        <v>196</v>
      </c>
      <c r="D5632">
        <v>150011590.12909901</v>
      </c>
    </row>
    <row r="5633" spans="1:4" hidden="1" x14ac:dyDescent="0.3">
      <c r="A5633">
        <v>5631</v>
      </c>
      <c r="B5633" t="s">
        <v>6449</v>
      </c>
      <c r="C5633" t="s">
        <v>198</v>
      </c>
      <c r="D5633">
        <v>18.996212278003998</v>
      </c>
    </row>
    <row r="5634" spans="1:4" hidden="1" x14ac:dyDescent="0.3">
      <c r="A5634">
        <v>5632</v>
      </c>
      <c r="B5634" t="s">
        <v>6450</v>
      </c>
      <c r="C5634" t="s">
        <v>200</v>
      </c>
      <c r="D5634">
        <v>8.3106573554207408</v>
      </c>
    </row>
    <row r="5635" spans="1:4" hidden="1" x14ac:dyDescent="0.3">
      <c r="A5635">
        <v>5633</v>
      </c>
      <c r="B5635" s="1" t="s">
        <v>6451</v>
      </c>
      <c r="C5635" t="s">
        <v>202</v>
      </c>
      <c r="D5635" s="1" t="s">
        <v>6452</v>
      </c>
    </row>
    <row r="5636" spans="1:4" hidden="1" x14ac:dyDescent="0.3">
      <c r="A5636">
        <v>5634</v>
      </c>
      <c r="B5636" t="s">
        <v>6453</v>
      </c>
      <c r="C5636" t="s">
        <v>205</v>
      </c>
      <c r="D5636">
        <v>79986030.642105207</v>
      </c>
    </row>
    <row r="5637" spans="1:4" hidden="1" x14ac:dyDescent="0.3">
      <c r="A5637">
        <v>5635</v>
      </c>
      <c r="B5637" t="s">
        <v>6454</v>
      </c>
      <c r="C5637" t="s">
        <v>207</v>
      </c>
      <c r="D5637">
        <v>34993107.265727296</v>
      </c>
    </row>
    <row r="5638" spans="1:4" hidden="1" x14ac:dyDescent="0.3">
      <c r="A5638">
        <v>5636</v>
      </c>
      <c r="B5638" t="s">
        <v>6455</v>
      </c>
      <c r="C5638" t="s">
        <v>209</v>
      </c>
      <c r="D5638">
        <v>35032416.5944039</v>
      </c>
    </row>
    <row r="5639" spans="1:4" hidden="1" x14ac:dyDescent="0.3">
      <c r="A5639">
        <v>5637</v>
      </c>
      <c r="B5639" s="1" t="s">
        <v>6456</v>
      </c>
      <c r="C5639" t="s">
        <v>211</v>
      </c>
      <c r="D5639" s="1" t="s">
        <v>6457</v>
      </c>
    </row>
    <row r="5640" spans="1:4" hidden="1" x14ac:dyDescent="0.3">
      <c r="A5640">
        <v>5638</v>
      </c>
      <c r="B5640" t="s">
        <v>6458</v>
      </c>
      <c r="C5640" t="s">
        <v>214</v>
      </c>
      <c r="D5640">
        <v>100023854.450654</v>
      </c>
    </row>
    <row r="5641" spans="1:4" hidden="1" x14ac:dyDescent="0.3">
      <c r="A5641">
        <v>5639</v>
      </c>
      <c r="B5641" t="s">
        <v>6459</v>
      </c>
      <c r="C5641" t="s">
        <v>216</v>
      </c>
      <c r="D5641">
        <v>23.755077689886001</v>
      </c>
    </row>
    <row r="5642" spans="1:4" hidden="1" x14ac:dyDescent="0.3">
      <c r="A5642">
        <v>5640</v>
      </c>
      <c r="B5642" s="1" t="s">
        <v>6460</v>
      </c>
      <c r="C5642" t="s">
        <v>218</v>
      </c>
      <c r="D5642" s="1" t="s">
        <v>6461</v>
      </c>
    </row>
    <row r="5643" spans="1:4" hidden="1" x14ac:dyDescent="0.3">
      <c r="A5643">
        <v>5641</v>
      </c>
      <c r="B5643" t="s">
        <v>6462</v>
      </c>
      <c r="C5643" t="s">
        <v>111</v>
      </c>
      <c r="D5643">
        <v>-6.3337019314414098</v>
      </c>
    </row>
    <row r="5644" spans="1:4" hidden="1" x14ac:dyDescent="0.3">
      <c r="A5644">
        <v>5642</v>
      </c>
      <c r="B5644" t="s">
        <v>6463</v>
      </c>
      <c r="C5644" t="s">
        <v>113</v>
      </c>
      <c r="D5644">
        <v>-0.97068055973252798</v>
      </c>
    </row>
    <row r="5645" spans="1:4" hidden="1" x14ac:dyDescent="0.3">
      <c r="A5645">
        <v>5643</v>
      </c>
      <c r="B5645" s="1" t="s">
        <v>6464</v>
      </c>
      <c r="C5645" t="s">
        <v>115</v>
      </c>
      <c r="D5645" s="1" t="s">
        <v>6465</v>
      </c>
    </row>
    <row r="5646" spans="1:4" hidden="1" x14ac:dyDescent="0.3">
      <c r="A5646">
        <v>5644</v>
      </c>
      <c r="B5646" t="s">
        <v>6466</v>
      </c>
      <c r="C5646" t="s">
        <v>118</v>
      </c>
      <c r="D5646">
        <v>79986030.642105207</v>
      </c>
    </row>
    <row r="5647" spans="1:4" hidden="1" x14ac:dyDescent="0.3">
      <c r="A5647">
        <v>5645</v>
      </c>
      <c r="B5647" t="s">
        <v>6467</v>
      </c>
      <c r="C5647" t="s">
        <v>120</v>
      </c>
      <c r="D5647">
        <v>34993107.265727296</v>
      </c>
    </row>
    <row r="5648" spans="1:4" hidden="1" x14ac:dyDescent="0.3">
      <c r="A5648">
        <v>5646</v>
      </c>
      <c r="B5648" s="1" t="s">
        <v>6468</v>
      </c>
      <c r="C5648" t="s">
        <v>122</v>
      </c>
      <c r="D5648" s="1" t="s">
        <v>6469</v>
      </c>
    </row>
    <row r="5649" spans="1:4" hidden="1" x14ac:dyDescent="0.3">
      <c r="A5649">
        <v>5647</v>
      </c>
      <c r="B5649" t="s">
        <v>6470</v>
      </c>
      <c r="C5649" t="s">
        <v>125</v>
      </c>
      <c r="D5649">
        <v>0.79959292850407304</v>
      </c>
    </row>
    <row r="5650" spans="1:4" hidden="1" x14ac:dyDescent="0.3">
      <c r="A5650">
        <v>5648</v>
      </c>
      <c r="B5650" t="s">
        <v>6471</v>
      </c>
      <c r="C5650" t="s">
        <v>127</v>
      </c>
      <c r="D5650">
        <v>0.34981409742979602</v>
      </c>
    </row>
    <row r="5651" spans="1:4" hidden="1" x14ac:dyDescent="0.3">
      <c r="A5651">
        <v>5649</v>
      </c>
      <c r="B5651" s="1" t="s">
        <v>6472</v>
      </c>
      <c r="C5651" t="s">
        <v>129</v>
      </c>
      <c r="D5651" s="1" t="s">
        <v>6473</v>
      </c>
    </row>
    <row r="5652" spans="1:4" ht="72" x14ac:dyDescent="0.3">
      <c r="A5652">
        <v>5650</v>
      </c>
      <c r="B5652" s="1" t="s">
        <v>3</v>
      </c>
      <c r="C5652" t="s">
        <v>4</v>
      </c>
      <c r="D5652" t="s">
        <v>5</v>
      </c>
    </row>
    <row r="5653" spans="1:4" hidden="1" x14ac:dyDescent="0.3">
      <c r="A5653">
        <v>5651</v>
      </c>
      <c r="B5653" t="s">
        <v>6</v>
      </c>
      <c r="C5653" t="s">
        <v>7</v>
      </c>
      <c r="D5653">
        <v>1981.95</v>
      </c>
    </row>
    <row r="5654" spans="1:4" hidden="1" x14ac:dyDescent="0.3">
      <c r="A5654">
        <v>5652</v>
      </c>
      <c r="B5654" s="1" t="s">
        <v>131</v>
      </c>
      <c r="C5654" t="s">
        <v>9</v>
      </c>
      <c r="D5654" s="1" t="s">
        <v>132</v>
      </c>
    </row>
    <row r="5655" spans="1:4" hidden="1" x14ac:dyDescent="0.3">
      <c r="A5655">
        <v>5653</v>
      </c>
      <c r="B5655" t="s">
        <v>13</v>
      </c>
      <c r="C5655" t="s">
        <v>14</v>
      </c>
      <c r="D5655">
        <v>91.74609375</v>
      </c>
    </row>
    <row r="5656" spans="1:4" hidden="1" x14ac:dyDescent="0.3">
      <c r="A5656">
        <v>5654</v>
      </c>
      <c r="B5656" t="s">
        <v>15</v>
      </c>
      <c r="C5656" t="s">
        <v>16</v>
      </c>
      <c r="D5656">
        <v>4.1883572307132804</v>
      </c>
    </row>
    <row r="5657" spans="1:4" hidden="1" x14ac:dyDescent="0.3">
      <c r="A5657">
        <v>5655</v>
      </c>
      <c r="B5657" s="1" t="s">
        <v>133</v>
      </c>
      <c r="C5657" t="s">
        <v>134</v>
      </c>
      <c r="D5657" s="1" t="s">
        <v>135</v>
      </c>
    </row>
    <row r="5658" spans="1:4" hidden="1" x14ac:dyDescent="0.3">
      <c r="A5658">
        <v>5656</v>
      </c>
      <c r="B5658" t="s">
        <v>21</v>
      </c>
      <c r="C5658" t="s">
        <v>22</v>
      </c>
      <c r="D5658">
        <v>38.25</v>
      </c>
    </row>
    <row r="5659" spans="1:4" hidden="1" x14ac:dyDescent="0.3">
      <c r="A5659">
        <v>5657</v>
      </c>
      <c r="B5659" t="s">
        <v>6474</v>
      </c>
      <c r="C5659" t="s">
        <v>24</v>
      </c>
      <c r="D5659">
        <v>6.3618090269790999</v>
      </c>
    </row>
    <row r="5660" spans="1:4" hidden="1" x14ac:dyDescent="0.3">
      <c r="A5660">
        <v>5658</v>
      </c>
      <c r="B5660" s="1" t="s">
        <v>6475</v>
      </c>
      <c r="C5660" t="s">
        <v>138</v>
      </c>
      <c r="D5660" s="1" t="s">
        <v>6476</v>
      </c>
    </row>
    <row r="5661" spans="1:4" hidden="1" x14ac:dyDescent="0.3">
      <c r="A5661">
        <v>5659</v>
      </c>
      <c r="B5661" t="s">
        <v>6477</v>
      </c>
      <c r="C5661" t="s">
        <v>35</v>
      </c>
      <c r="D5661">
        <v>0.53110898182770405</v>
      </c>
    </row>
    <row r="5662" spans="1:4" hidden="1" x14ac:dyDescent="0.3">
      <c r="A5662">
        <v>5660</v>
      </c>
      <c r="B5662" t="s">
        <v>6478</v>
      </c>
      <c r="C5662" t="s">
        <v>142</v>
      </c>
      <c r="D5662">
        <v>0.75967981593813105</v>
      </c>
    </row>
    <row r="5663" spans="1:4" hidden="1" x14ac:dyDescent="0.3">
      <c r="A5663">
        <v>5661</v>
      </c>
      <c r="B5663" s="1" t="s">
        <v>6479</v>
      </c>
      <c r="C5663" t="s">
        <v>144</v>
      </c>
      <c r="D5663" s="1" t="s">
        <v>6480</v>
      </c>
    </row>
    <row r="5664" spans="1:4" hidden="1" x14ac:dyDescent="0.3">
      <c r="A5664">
        <v>5662</v>
      </c>
      <c r="B5664" t="s">
        <v>6481</v>
      </c>
      <c r="C5664" t="s">
        <v>30</v>
      </c>
      <c r="D5664">
        <v>0.187563560010854</v>
      </c>
    </row>
    <row r="5665" spans="1:4" hidden="1" x14ac:dyDescent="0.3">
      <c r="A5665">
        <v>5663</v>
      </c>
      <c r="B5665" t="s">
        <v>6482</v>
      </c>
      <c r="C5665" t="s">
        <v>32</v>
      </c>
      <c r="D5665">
        <v>0.17670949642262801</v>
      </c>
    </row>
    <row r="5666" spans="1:4" hidden="1" x14ac:dyDescent="0.3">
      <c r="A5666">
        <v>5664</v>
      </c>
      <c r="B5666" s="1" t="s">
        <v>6483</v>
      </c>
      <c r="C5666" t="s">
        <v>148</v>
      </c>
      <c r="D5666" s="1" t="s">
        <v>6484</v>
      </c>
    </row>
    <row r="5667" spans="1:4" hidden="1" x14ac:dyDescent="0.3">
      <c r="A5667">
        <v>5665</v>
      </c>
      <c r="B5667" t="s">
        <v>6485</v>
      </c>
      <c r="C5667" t="s">
        <v>40</v>
      </c>
      <c r="D5667">
        <v>0.28132745816144</v>
      </c>
    </row>
    <row r="5668" spans="1:4" hidden="1" x14ac:dyDescent="0.3">
      <c r="A5668">
        <v>5666</v>
      </c>
      <c r="B5668" t="s">
        <v>6486</v>
      </c>
      <c r="C5668" t="s">
        <v>42</v>
      </c>
      <c r="D5668">
        <v>0.13963454618576401</v>
      </c>
    </row>
    <row r="5669" spans="1:4" hidden="1" x14ac:dyDescent="0.3">
      <c r="A5669">
        <v>5667</v>
      </c>
      <c r="B5669" s="1" t="s">
        <v>6487</v>
      </c>
      <c r="C5669" t="s">
        <v>152</v>
      </c>
      <c r="D5669" s="1" t="s">
        <v>6488</v>
      </c>
    </row>
    <row r="5670" spans="1:4" hidden="1" x14ac:dyDescent="0.3">
      <c r="A5670">
        <v>5668</v>
      </c>
      <c r="B5670" t="s">
        <v>153</v>
      </c>
      <c r="C5670" t="s">
        <v>154</v>
      </c>
      <c r="D5670">
        <v>1</v>
      </c>
    </row>
    <row r="5671" spans="1:4" hidden="1" x14ac:dyDescent="0.3">
      <c r="A5671">
        <v>5669</v>
      </c>
      <c r="B5671" t="s">
        <v>155</v>
      </c>
      <c r="C5671" t="s">
        <v>156</v>
      </c>
      <c r="D5671">
        <v>1</v>
      </c>
    </row>
    <row r="5672" spans="1:4" hidden="1" x14ac:dyDescent="0.3">
      <c r="A5672">
        <v>5670</v>
      </c>
      <c r="B5672" s="1" t="s">
        <v>6489</v>
      </c>
      <c r="C5672" t="s">
        <v>158</v>
      </c>
      <c r="D5672" s="1" t="s">
        <v>6490</v>
      </c>
    </row>
    <row r="5673" spans="1:4" hidden="1" x14ac:dyDescent="0.3">
      <c r="A5673">
        <v>5671</v>
      </c>
      <c r="B5673" t="s">
        <v>6491</v>
      </c>
      <c r="C5673" t="s">
        <v>161</v>
      </c>
      <c r="D5673">
        <v>1.00621594896642</v>
      </c>
    </row>
    <row r="5674" spans="1:4" hidden="1" x14ac:dyDescent="0.3">
      <c r="A5674">
        <v>5672</v>
      </c>
      <c r="B5674" t="s">
        <v>6492</v>
      </c>
      <c r="C5674" t="s">
        <v>163</v>
      </c>
      <c r="D5674">
        <v>0.99216916398124899</v>
      </c>
    </row>
    <row r="5675" spans="1:4" hidden="1" x14ac:dyDescent="0.3">
      <c r="A5675">
        <v>5673</v>
      </c>
      <c r="B5675" s="1" t="s">
        <v>6493</v>
      </c>
      <c r="C5675" t="s">
        <v>165</v>
      </c>
      <c r="D5675" s="1" t="s">
        <v>6494</v>
      </c>
    </row>
    <row r="5676" spans="1:4" hidden="1" x14ac:dyDescent="0.3">
      <c r="A5676">
        <v>5674</v>
      </c>
      <c r="B5676" s="1" t="s">
        <v>6495</v>
      </c>
      <c r="C5676" t="s">
        <v>55</v>
      </c>
      <c r="D5676" s="1" t="s">
        <v>6496</v>
      </c>
    </row>
    <row r="5677" spans="1:4" hidden="1" x14ac:dyDescent="0.3">
      <c r="A5677">
        <v>5675</v>
      </c>
      <c r="B5677" s="1" t="s">
        <v>6497</v>
      </c>
      <c r="C5677" t="s">
        <v>52</v>
      </c>
      <c r="D5677" s="1" t="s">
        <v>6498</v>
      </c>
    </row>
    <row r="5678" spans="1:4" hidden="1" x14ac:dyDescent="0.3">
      <c r="A5678">
        <v>5676</v>
      </c>
      <c r="B5678" s="1" t="s">
        <v>6499</v>
      </c>
      <c r="C5678" t="s">
        <v>58</v>
      </c>
      <c r="D5678" s="1" t="s">
        <v>6500</v>
      </c>
    </row>
    <row r="5679" spans="1:4" hidden="1" x14ac:dyDescent="0.3">
      <c r="A5679">
        <v>5677</v>
      </c>
      <c r="B5679" t="s">
        <v>6501</v>
      </c>
      <c r="C5679" t="s">
        <v>60</v>
      </c>
      <c r="D5679">
        <v>150390378.597945</v>
      </c>
    </row>
    <row r="5680" spans="1:4" hidden="1" x14ac:dyDescent="0.3">
      <c r="A5680">
        <v>5678</v>
      </c>
      <c r="B5680" t="s">
        <v>6502</v>
      </c>
      <c r="C5680" t="s">
        <v>62</v>
      </c>
      <c r="D5680">
        <v>79986030.642105207</v>
      </c>
    </row>
    <row r="5681" spans="1:4" hidden="1" x14ac:dyDescent="0.3">
      <c r="A5681">
        <v>5679</v>
      </c>
      <c r="B5681" t="s">
        <v>6503</v>
      </c>
      <c r="C5681" t="s">
        <v>64</v>
      </c>
      <c r="D5681">
        <v>34993107.265727296</v>
      </c>
    </row>
    <row r="5682" spans="1:4" hidden="1" x14ac:dyDescent="0.3">
      <c r="A5682">
        <v>5680</v>
      </c>
      <c r="B5682" s="1" t="s">
        <v>6504</v>
      </c>
      <c r="C5682" t="s">
        <v>66</v>
      </c>
      <c r="D5682" s="1" t="s">
        <v>6505</v>
      </c>
    </row>
    <row r="5683" spans="1:4" hidden="1" x14ac:dyDescent="0.3">
      <c r="A5683">
        <v>5681</v>
      </c>
      <c r="B5683" s="1" t="s">
        <v>6506</v>
      </c>
      <c r="C5683" t="s">
        <v>69</v>
      </c>
      <c r="D5683" s="1" t="s">
        <v>6507</v>
      </c>
    </row>
    <row r="5684" spans="1:4" hidden="1" x14ac:dyDescent="0.3">
      <c r="A5684">
        <v>5682</v>
      </c>
      <c r="B5684" t="s">
        <v>6508</v>
      </c>
      <c r="C5684" t="s">
        <v>72</v>
      </c>
      <c r="D5684">
        <v>1.00009582518319</v>
      </c>
    </row>
    <row r="5685" spans="1:4" hidden="1" x14ac:dyDescent="0.3">
      <c r="A5685">
        <v>5683</v>
      </c>
      <c r="B5685" t="s">
        <v>73</v>
      </c>
      <c r="C5685" t="s">
        <v>74</v>
      </c>
      <c r="D5685">
        <v>2.7397260273972599E-3</v>
      </c>
    </row>
    <row r="5686" spans="1:4" hidden="1" x14ac:dyDescent="0.3">
      <c r="A5686">
        <v>5684</v>
      </c>
      <c r="B5686" t="s">
        <v>75</v>
      </c>
      <c r="C5686" t="s">
        <v>76</v>
      </c>
      <c r="D5686">
        <v>0</v>
      </c>
    </row>
    <row r="5687" spans="1:4" hidden="1" x14ac:dyDescent="0.3">
      <c r="A5687">
        <v>5685</v>
      </c>
      <c r="B5687" t="s">
        <v>77</v>
      </c>
      <c r="C5687" t="s">
        <v>78</v>
      </c>
      <c r="D5687">
        <v>0</v>
      </c>
    </row>
    <row r="5688" spans="1:4" hidden="1" x14ac:dyDescent="0.3">
      <c r="A5688">
        <v>5686</v>
      </c>
      <c r="B5688" s="1" t="s">
        <v>6509</v>
      </c>
      <c r="C5688" t="s">
        <v>80</v>
      </c>
      <c r="D5688" s="1" t="s">
        <v>6510</v>
      </c>
    </row>
    <row r="5689" spans="1:4" hidden="1" x14ac:dyDescent="0.3">
      <c r="A5689">
        <v>5687</v>
      </c>
      <c r="B5689" t="s">
        <v>6511</v>
      </c>
      <c r="C5689" t="s">
        <v>83</v>
      </c>
      <c r="D5689">
        <v>1.0000447635715899</v>
      </c>
    </row>
    <row r="5690" spans="1:4" hidden="1" x14ac:dyDescent="0.3">
      <c r="A5690">
        <v>5688</v>
      </c>
      <c r="B5690" s="1" t="s">
        <v>6512</v>
      </c>
      <c r="C5690" t="s">
        <v>85</v>
      </c>
      <c r="D5690" s="1" t="s">
        <v>6513</v>
      </c>
    </row>
    <row r="5691" spans="1:4" hidden="1" x14ac:dyDescent="0.3">
      <c r="A5691">
        <v>5689</v>
      </c>
      <c r="B5691" t="s">
        <v>6514</v>
      </c>
      <c r="C5691" t="s">
        <v>88</v>
      </c>
      <c r="D5691">
        <v>100255764.59253301</v>
      </c>
    </row>
    <row r="5692" spans="1:4" hidden="1" x14ac:dyDescent="0.3">
      <c r="A5692">
        <v>5690</v>
      </c>
      <c r="B5692" s="1" t="s">
        <v>6515</v>
      </c>
      <c r="C5692" t="s">
        <v>90</v>
      </c>
      <c r="D5692" s="1" t="s">
        <v>6461</v>
      </c>
    </row>
    <row r="5693" spans="1:4" hidden="1" x14ac:dyDescent="0.3">
      <c r="A5693">
        <v>5691</v>
      </c>
      <c r="B5693" t="s">
        <v>6516</v>
      </c>
      <c r="C5693" t="s">
        <v>93</v>
      </c>
      <c r="D5693">
        <v>79986030.642105207</v>
      </c>
    </row>
    <row r="5694" spans="1:4" hidden="1" x14ac:dyDescent="0.3">
      <c r="A5694">
        <v>5692</v>
      </c>
      <c r="B5694" t="s">
        <v>6517</v>
      </c>
      <c r="C5694" t="s">
        <v>95</v>
      </c>
      <c r="D5694">
        <v>34993107.265727296</v>
      </c>
    </row>
    <row r="5695" spans="1:4" hidden="1" x14ac:dyDescent="0.3">
      <c r="A5695">
        <v>5693</v>
      </c>
      <c r="B5695" t="s">
        <v>6518</v>
      </c>
      <c r="C5695" t="s">
        <v>97</v>
      </c>
      <c r="D5695">
        <v>35411240.690112397</v>
      </c>
    </row>
    <row r="5696" spans="1:4" hidden="1" x14ac:dyDescent="0.3">
      <c r="A5696">
        <v>5694</v>
      </c>
      <c r="B5696" s="1" t="s">
        <v>6519</v>
      </c>
      <c r="C5696" t="s">
        <v>99</v>
      </c>
      <c r="D5696" s="1" t="s">
        <v>6520</v>
      </c>
    </row>
    <row r="5697" spans="1:4" hidden="1" x14ac:dyDescent="0.3">
      <c r="A5697">
        <v>5695</v>
      </c>
      <c r="B5697" t="s">
        <v>6521</v>
      </c>
      <c r="C5697" t="s">
        <v>102</v>
      </c>
      <c r="D5697">
        <v>9.2922804826106702E-3</v>
      </c>
    </row>
    <row r="5698" spans="1:4" hidden="1" x14ac:dyDescent="0.3">
      <c r="A5698">
        <v>5696</v>
      </c>
      <c r="B5698" t="s">
        <v>6522</v>
      </c>
      <c r="C5698" t="s">
        <v>104</v>
      </c>
      <c r="D5698">
        <v>1.4097835524517601E-3</v>
      </c>
    </row>
    <row r="5699" spans="1:4" hidden="1" x14ac:dyDescent="0.3">
      <c r="A5699">
        <v>5697</v>
      </c>
      <c r="B5699" t="s">
        <v>6523</v>
      </c>
      <c r="C5699" t="s">
        <v>106</v>
      </c>
      <c r="D5699">
        <v>1.2487603027851801E-2</v>
      </c>
    </row>
    <row r="5700" spans="1:4" hidden="1" x14ac:dyDescent="0.3">
      <c r="A5700">
        <v>5698</v>
      </c>
      <c r="B5700" s="1" t="s">
        <v>6524</v>
      </c>
      <c r="C5700" t="s">
        <v>108</v>
      </c>
      <c r="D5700" s="1" t="s">
        <v>6525</v>
      </c>
    </row>
    <row r="5701" spans="1:4" hidden="1" x14ac:dyDescent="0.3">
      <c r="A5701">
        <v>5699</v>
      </c>
      <c r="B5701" t="s">
        <v>6526</v>
      </c>
      <c r="C5701" t="s">
        <v>196</v>
      </c>
      <c r="D5701">
        <v>150388613.74640599</v>
      </c>
    </row>
    <row r="5702" spans="1:4" hidden="1" x14ac:dyDescent="0.3">
      <c r="A5702">
        <v>5700</v>
      </c>
      <c r="B5702" t="s">
        <v>6527</v>
      </c>
      <c r="C5702" t="s">
        <v>198</v>
      </c>
      <c r="D5702">
        <v>185000.57010048901</v>
      </c>
    </row>
    <row r="5703" spans="1:4" hidden="1" x14ac:dyDescent="0.3">
      <c r="A5703">
        <v>5701</v>
      </c>
      <c r="B5703" t="s">
        <v>6528</v>
      </c>
      <c r="C5703" t="s">
        <v>200</v>
      </c>
      <c r="D5703">
        <v>80936.795730522004</v>
      </c>
    </row>
    <row r="5704" spans="1:4" hidden="1" x14ac:dyDescent="0.3">
      <c r="A5704">
        <v>5702</v>
      </c>
      <c r="B5704" s="1" t="s">
        <v>6529</v>
      </c>
      <c r="C5704" t="s">
        <v>202</v>
      </c>
      <c r="D5704" s="1" t="s">
        <v>6530</v>
      </c>
    </row>
    <row r="5705" spans="1:4" hidden="1" x14ac:dyDescent="0.3">
      <c r="A5705">
        <v>5703</v>
      </c>
      <c r="B5705" t="s">
        <v>6531</v>
      </c>
      <c r="C5705" t="s">
        <v>205</v>
      </c>
      <c r="D5705">
        <v>79799744.810308501</v>
      </c>
    </row>
    <row r="5706" spans="1:4" hidden="1" x14ac:dyDescent="0.3">
      <c r="A5706">
        <v>5704</v>
      </c>
      <c r="B5706" t="s">
        <v>6532</v>
      </c>
      <c r="C5706" t="s">
        <v>207</v>
      </c>
      <c r="D5706">
        <v>34911976.982294798</v>
      </c>
    </row>
    <row r="5707" spans="1:4" hidden="1" x14ac:dyDescent="0.3">
      <c r="A5707">
        <v>5705</v>
      </c>
      <c r="B5707" t="s">
        <v>6533</v>
      </c>
      <c r="C5707" t="s">
        <v>209</v>
      </c>
      <c r="D5707">
        <v>35329050.885517098</v>
      </c>
    </row>
    <row r="5708" spans="1:4" hidden="1" x14ac:dyDescent="0.3">
      <c r="A5708">
        <v>5706</v>
      </c>
      <c r="B5708" s="1" t="s">
        <v>6534</v>
      </c>
      <c r="C5708" t="s">
        <v>211</v>
      </c>
      <c r="D5708" s="1" t="s">
        <v>6535</v>
      </c>
    </row>
    <row r="5709" spans="1:4" hidden="1" x14ac:dyDescent="0.3">
      <c r="A5709">
        <v>5707</v>
      </c>
      <c r="B5709" t="s">
        <v>6536</v>
      </c>
      <c r="C5709" t="s">
        <v>214</v>
      </c>
      <c r="D5709">
        <v>100023878.205732</v>
      </c>
    </row>
    <row r="5710" spans="1:4" hidden="1" x14ac:dyDescent="0.3">
      <c r="A5710">
        <v>5708</v>
      </c>
      <c r="B5710" t="s">
        <v>6537</v>
      </c>
      <c r="C5710" t="s">
        <v>216</v>
      </c>
      <c r="D5710">
        <v>231886.386801227</v>
      </c>
    </row>
    <row r="5711" spans="1:4" hidden="1" x14ac:dyDescent="0.3">
      <c r="A5711">
        <v>5709</v>
      </c>
      <c r="B5711" s="1" t="s">
        <v>6538</v>
      </c>
      <c r="C5711" t="s">
        <v>218</v>
      </c>
      <c r="D5711" s="1" t="s">
        <v>6539</v>
      </c>
    </row>
    <row r="5712" spans="1:4" hidden="1" x14ac:dyDescent="0.3">
      <c r="A5712">
        <v>5710</v>
      </c>
      <c r="B5712" t="s">
        <v>6540</v>
      </c>
      <c r="C5712" t="s">
        <v>111</v>
      </c>
      <c r="D5712">
        <v>-1285.2616962970501</v>
      </c>
    </row>
    <row r="5713" spans="1:4" hidden="1" x14ac:dyDescent="0.3">
      <c r="A5713">
        <v>5711</v>
      </c>
      <c r="B5713" t="s">
        <v>6541</v>
      </c>
      <c r="C5713" t="s">
        <v>113</v>
      </c>
      <c r="D5713">
        <v>-193.48770191710801</v>
      </c>
    </row>
    <row r="5714" spans="1:4" hidden="1" x14ac:dyDescent="0.3">
      <c r="A5714">
        <v>5712</v>
      </c>
      <c r="B5714" s="1" t="s">
        <v>6542</v>
      </c>
      <c r="C5714" t="s">
        <v>115</v>
      </c>
      <c r="D5714" s="1" t="s">
        <v>6543</v>
      </c>
    </row>
    <row r="5715" spans="1:4" hidden="1" x14ac:dyDescent="0.3">
      <c r="A5715">
        <v>5713</v>
      </c>
      <c r="B5715" t="s">
        <v>6544</v>
      </c>
      <c r="C5715" t="s">
        <v>118</v>
      </c>
      <c r="D5715">
        <v>79799744.810308501</v>
      </c>
    </row>
    <row r="5716" spans="1:4" hidden="1" x14ac:dyDescent="0.3">
      <c r="A5716">
        <v>5714</v>
      </c>
      <c r="B5716" t="s">
        <v>6545</v>
      </c>
      <c r="C5716" t="s">
        <v>120</v>
      </c>
      <c r="D5716">
        <v>34911976.982294798</v>
      </c>
    </row>
    <row r="5717" spans="1:4" hidden="1" x14ac:dyDescent="0.3">
      <c r="A5717">
        <v>5715</v>
      </c>
      <c r="B5717" s="1" t="s">
        <v>6546</v>
      </c>
      <c r="C5717" t="s">
        <v>122</v>
      </c>
      <c r="D5717" s="1" t="s">
        <v>6547</v>
      </c>
    </row>
    <row r="5718" spans="1:4" hidden="1" x14ac:dyDescent="0.3">
      <c r="A5718">
        <v>5716</v>
      </c>
      <c r="B5718" t="s">
        <v>6548</v>
      </c>
      <c r="C5718" t="s">
        <v>125</v>
      </c>
      <c r="D5718">
        <v>0.79777123502934499</v>
      </c>
    </row>
    <row r="5719" spans="1:4" hidden="1" x14ac:dyDescent="0.3">
      <c r="A5719">
        <v>5717</v>
      </c>
      <c r="B5719" t="s">
        <v>6549</v>
      </c>
      <c r="C5719" t="s">
        <v>127</v>
      </c>
      <c r="D5719">
        <v>0.34902080276932901</v>
      </c>
    </row>
    <row r="5720" spans="1:4" hidden="1" x14ac:dyDescent="0.3">
      <c r="A5720">
        <v>5718</v>
      </c>
      <c r="B5720" s="1" t="s">
        <v>6550</v>
      </c>
      <c r="C5720" t="s">
        <v>129</v>
      </c>
      <c r="D5720" s="1" t="s">
        <v>6551</v>
      </c>
    </row>
    <row r="5721" spans="1:4" ht="72" x14ac:dyDescent="0.3">
      <c r="A5721">
        <v>5719</v>
      </c>
      <c r="B5721" s="1" t="s">
        <v>3</v>
      </c>
      <c r="C5721" t="s">
        <v>4</v>
      </c>
      <c r="D5721" t="s">
        <v>5</v>
      </c>
    </row>
    <row r="5722" spans="1:4" hidden="1" x14ac:dyDescent="0.3">
      <c r="A5722">
        <v>5720</v>
      </c>
      <c r="B5722" t="s">
        <v>6</v>
      </c>
      <c r="C5722" t="s">
        <v>7</v>
      </c>
      <c r="D5722">
        <v>1981.95</v>
      </c>
    </row>
    <row r="5723" spans="1:4" hidden="1" x14ac:dyDescent="0.3">
      <c r="A5723">
        <v>5721</v>
      </c>
      <c r="B5723" s="1" t="s">
        <v>131</v>
      </c>
      <c r="C5723" t="s">
        <v>9</v>
      </c>
      <c r="D5723" s="1" t="s">
        <v>132</v>
      </c>
    </row>
    <row r="5724" spans="1:4" hidden="1" x14ac:dyDescent="0.3">
      <c r="A5724">
        <v>5722</v>
      </c>
      <c r="B5724" t="s">
        <v>13</v>
      </c>
      <c r="C5724" t="s">
        <v>14</v>
      </c>
      <c r="D5724">
        <v>91.74609375</v>
      </c>
    </row>
    <row r="5725" spans="1:4" hidden="1" x14ac:dyDescent="0.3">
      <c r="A5725">
        <v>5723</v>
      </c>
      <c r="B5725" t="s">
        <v>15</v>
      </c>
      <c r="C5725" t="s">
        <v>16</v>
      </c>
      <c r="D5725">
        <v>4.1883572307132804</v>
      </c>
    </row>
    <row r="5726" spans="1:4" hidden="1" x14ac:dyDescent="0.3">
      <c r="A5726">
        <v>5724</v>
      </c>
      <c r="B5726" s="1" t="s">
        <v>133</v>
      </c>
      <c r="C5726" t="s">
        <v>134</v>
      </c>
      <c r="D5726" s="1" t="s">
        <v>135</v>
      </c>
    </row>
    <row r="5727" spans="1:4" hidden="1" x14ac:dyDescent="0.3">
      <c r="A5727">
        <v>5725</v>
      </c>
      <c r="B5727" t="s">
        <v>21</v>
      </c>
      <c r="C5727" t="s">
        <v>22</v>
      </c>
      <c r="D5727">
        <v>38.25</v>
      </c>
    </row>
    <row r="5728" spans="1:4" hidden="1" x14ac:dyDescent="0.3">
      <c r="A5728">
        <v>5726</v>
      </c>
      <c r="B5728" t="s">
        <v>6552</v>
      </c>
      <c r="C5728" t="s">
        <v>24</v>
      </c>
      <c r="D5728">
        <v>6.3551148083692501</v>
      </c>
    </row>
    <row r="5729" spans="1:4" hidden="1" x14ac:dyDescent="0.3">
      <c r="A5729">
        <v>5727</v>
      </c>
      <c r="B5729" s="1" t="s">
        <v>6553</v>
      </c>
      <c r="C5729" t="s">
        <v>138</v>
      </c>
      <c r="D5729" s="1" t="s">
        <v>6554</v>
      </c>
    </row>
    <row r="5730" spans="1:4" hidden="1" x14ac:dyDescent="0.3">
      <c r="A5730">
        <v>5728</v>
      </c>
      <c r="B5730" t="s">
        <v>6555</v>
      </c>
      <c r="C5730" t="s">
        <v>35</v>
      </c>
      <c r="D5730">
        <v>0.529134923695599</v>
      </c>
    </row>
    <row r="5731" spans="1:4" hidden="1" x14ac:dyDescent="0.3">
      <c r="A5731">
        <v>5729</v>
      </c>
      <c r="B5731" t="s">
        <v>6556</v>
      </c>
      <c r="C5731" t="s">
        <v>142</v>
      </c>
      <c r="D5731">
        <v>0.75998002280765498</v>
      </c>
    </row>
    <row r="5732" spans="1:4" hidden="1" x14ac:dyDescent="0.3">
      <c r="A5732">
        <v>5730</v>
      </c>
      <c r="B5732" s="1" t="s">
        <v>6557</v>
      </c>
      <c r="C5732" t="s">
        <v>144</v>
      </c>
      <c r="D5732" s="1" t="s">
        <v>6558</v>
      </c>
    </row>
    <row r="5733" spans="1:4" hidden="1" x14ac:dyDescent="0.3">
      <c r="A5733">
        <v>5731</v>
      </c>
      <c r="B5733" t="s">
        <v>6559</v>
      </c>
      <c r="C5733" t="s">
        <v>30</v>
      </c>
      <c r="D5733">
        <v>0.186866412375256</v>
      </c>
    </row>
    <row r="5734" spans="1:4" hidden="1" x14ac:dyDescent="0.3">
      <c r="A5734">
        <v>5732</v>
      </c>
      <c r="B5734" t="s">
        <v>6560</v>
      </c>
      <c r="C5734" t="s">
        <v>32</v>
      </c>
      <c r="D5734">
        <v>0.176328780235355</v>
      </c>
    </row>
    <row r="5735" spans="1:4" hidden="1" x14ac:dyDescent="0.3">
      <c r="A5735">
        <v>5733</v>
      </c>
      <c r="B5735" s="1" t="s">
        <v>6561</v>
      </c>
      <c r="C5735" t="s">
        <v>148</v>
      </c>
      <c r="D5735" s="1" t="s">
        <v>6562</v>
      </c>
    </row>
    <row r="5736" spans="1:4" hidden="1" x14ac:dyDescent="0.3">
      <c r="A5736">
        <v>5734</v>
      </c>
      <c r="B5736" t="s">
        <v>6563</v>
      </c>
      <c r="C5736" t="s">
        <v>40</v>
      </c>
      <c r="D5736">
        <v>0.28399866392914302</v>
      </c>
    </row>
    <row r="5737" spans="1:4" hidden="1" x14ac:dyDescent="0.3">
      <c r="A5737">
        <v>5735</v>
      </c>
      <c r="B5737" t="s">
        <v>6564</v>
      </c>
      <c r="C5737" t="s">
        <v>42</v>
      </c>
      <c r="D5737">
        <v>0.139495280909856</v>
      </c>
    </row>
    <row r="5738" spans="1:4" hidden="1" x14ac:dyDescent="0.3">
      <c r="A5738">
        <v>5736</v>
      </c>
      <c r="B5738" s="1" t="s">
        <v>6565</v>
      </c>
      <c r="C5738" t="s">
        <v>152</v>
      </c>
      <c r="D5738" s="1" t="s">
        <v>6566</v>
      </c>
    </row>
    <row r="5739" spans="1:4" hidden="1" x14ac:dyDescent="0.3">
      <c r="A5739">
        <v>5737</v>
      </c>
      <c r="B5739" t="s">
        <v>153</v>
      </c>
      <c r="C5739" t="s">
        <v>154</v>
      </c>
      <c r="D5739">
        <v>1</v>
      </c>
    </row>
    <row r="5740" spans="1:4" hidden="1" x14ac:dyDescent="0.3">
      <c r="A5740">
        <v>5738</v>
      </c>
      <c r="B5740" t="s">
        <v>155</v>
      </c>
      <c r="C5740" t="s">
        <v>156</v>
      </c>
      <c r="D5740">
        <v>1</v>
      </c>
    </row>
    <row r="5741" spans="1:4" hidden="1" x14ac:dyDescent="0.3">
      <c r="A5741">
        <v>5739</v>
      </c>
      <c r="B5741" s="1" t="s">
        <v>6567</v>
      </c>
      <c r="C5741" t="s">
        <v>158</v>
      </c>
      <c r="D5741" s="1" t="s">
        <v>6568</v>
      </c>
    </row>
    <row r="5742" spans="1:4" hidden="1" x14ac:dyDescent="0.3">
      <c r="A5742">
        <v>5740</v>
      </c>
      <c r="B5742" t="s">
        <v>6569</v>
      </c>
      <c r="C5742" t="s">
        <v>161</v>
      </c>
      <c r="D5742">
        <v>1.00017060312154</v>
      </c>
    </row>
    <row r="5743" spans="1:4" hidden="1" x14ac:dyDescent="0.3">
      <c r="A5743">
        <v>5741</v>
      </c>
      <c r="B5743" t="s">
        <v>6570</v>
      </c>
      <c r="C5743" t="s">
        <v>163</v>
      </c>
      <c r="D5743">
        <v>0.99967645694333995</v>
      </c>
    </row>
    <row r="5744" spans="1:4" hidden="1" x14ac:dyDescent="0.3">
      <c r="A5744">
        <v>5742</v>
      </c>
      <c r="B5744" s="1" t="s">
        <v>6571</v>
      </c>
      <c r="C5744" t="s">
        <v>165</v>
      </c>
      <c r="D5744" s="1" t="s">
        <v>6572</v>
      </c>
    </row>
    <row r="5745" spans="1:4" hidden="1" x14ac:dyDescent="0.3">
      <c r="A5745">
        <v>5743</v>
      </c>
      <c r="B5745" s="1" t="s">
        <v>6573</v>
      </c>
      <c r="C5745" t="s">
        <v>55</v>
      </c>
      <c r="D5745" s="1" t="s">
        <v>6574</v>
      </c>
    </row>
    <row r="5746" spans="1:4" hidden="1" x14ac:dyDescent="0.3">
      <c r="A5746">
        <v>5744</v>
      </c>
      <c r="B5746" s="1" t="s">
        <v>6575</v>
      </c>
      <c r="C5746" t="s">
        <v>52</v>
      </c>
      <c r="D5746" s="1" t="s">
        <v>6576</v>
      </c>
    </row>
    <row r="5747" spans="1:4" hidden="1" x14ac:dyDescent="0.3">
      <c r="A5747">
        <v>5745</v>
      </c>
      <c r="B5747" s="1" t="s">
        <v>6577</v>
      </c>
      <c r="C5747" t="s">
        <v>58</v>
      </c>
      <c r="D5747" s="1" t="s">
        <v>6578</v>
      </c>
    </row>
    <row r="5748" spans="1:4" hidden="1" x14ac:dyDescent="0.3">
      <c r="A5748">
        <v>5746</v>
      </c>
      <c r="B5748" t="s">
        <v>6579</v>
      </c>
      <c r="C5748" t="s">
        <v>60</v>
      </c>
      <c r="D5748">
        <v>150035471.38245299</v>
      </c>
    </row>
    <row r="5749" spans="1:4" hidden="1" x14ac:dyDescent="0.3">
      <c r="A5749">
        <v>5747</v>
      </c>
      <c r="B5749" t="s">
        <v>6580</v>
      </c>
      <c r="C5749" t="s">
        <v>62</v>
      </c>
      <c r="D5749">
        <v>79799744.810308501</v>
      </c>
    </row>
    <row r="5750" spans="1:4" hidden="1" x14ac:dyDescent="0.3">
      <c r="A5750">
        <v>5748</v>
      </c>
      <c r="B5750" t="s">
        <v>6581</v>
      </c>
      <c r="C5750" t="s">
        <v>64</v>
      </c>
      <c r="D5750">
        <v>34911976.982294798</v>
      </c>
    </row>
    <row r="5751" spans="1:4" hidden="1" x14ac:dyDescent="0.3">
      <c r="A5751">
        <v>5749</v>
      </c>
      <c r="B5751" s="1" t="s">
        <v>6582</v>
      </c>
      <c r="C5751" t="s">
        <v>66</v>
      </c>
      <c r="D5751" s="1" t="s">
        <v>6583</v>
      </c>
    </row>
    <row r="5752" spans="1:4" hidden="1" x14ac:dyDescent="0.3">
      <c r="A5752">
        <v>5750</v>
      </c>
      <c r="B5752" s="1" t="s">
        <v>6584</v>
      </c>
      <c r="C5752" t="s">
        <v>69</v>
      </c>
      <c r="D5752" s="1" t="s">
        <v>6585</v>
      </c>
    </row>
    <row r="5753" spans="1:4" hidden="1" x14ac:dyDescent="0.3">
      <c r="A5753">
        <v>5751</v>
      </c>
      <c r="B5753" t="s">
        <v>6586</v>
      </c>
      <c r="C5753" t="s">
        <v>72</v>
      </c>
      <c r="D5753">
        <v>1.0000447635715899</v>
      </c>
    </row>
    <row r="5754" spans="1:4" hidden="1" x14ac:dyDescent="0.3">
      <c r="A5754">
        <v>5752</v>
      </c>
      <c r="B5754" t="s">
        <v>73</v>
      </c>
      <c r="C5754" t="s">
        <v>74</v>
      </c>
      <c r="D5754">
        <v>2.7397260273972599E-3</v>
      </c>
    </row>
    <row r="5755" spans="1:4" hidden="1" x14ac:dyDescent="0.3">
      <c r="A5755">
        <v>5753</v>
      </c>
      <c r="B5755" t="s">
        <v>75</v>
      </c>
      <c r="C5755" t="s">
        <v>76</v>
      </c>
      <c r="D5755">
        <v>0</v>
      </c>
    </row>
    <row r="5756" spans="1:4" hidden="1" x14ac:dyDescent="0.3">
      <c r="A5756">
        <v>5754</v>
      </c>
      <c r="B5756" t="s">
        <v>2686</v>
      </c>
      <c r="C5756" t="s">
        <v>78</v>
      </c>
      <c r="D5756" s="2">
        <v>-2.2204460492503101E-16</v>
      </c>
    </row>
    <row r="5757" spans="1:4" hidden="1" x14ac:dyDescent="0.3">
      <c r="A5757">
        <v>5755</v>
      </c>
      <c r="B5757" s="1" t="s">
        <v>6587</v>
      </c>
      <c r="C5757" t="s">
        <v>80</v>
      </c>
      <c r="D5757" s="1" t="s">
        <v>6588</v>
      </c>
    </row>
    <row r="5758" spans="1:4" hidden="1" x14ac:dyDescent="0.3">
      <c r="A5758">
        <v>5756</v>
      </c>
      <c r="B5758" t="s">
        <v>6589</v>
      </c>
      <c r="C5758" t="s">
        <v>83</v>
      </c>
      <c r="D5758">
        <v>1.00005735325964</v>
      </c>
    </row>
    <row r="5759" spans="1:4" hidden="1" x14ac:dyDescent="0.3">
      <c r="A5759">
        <v>5757</v>
      </c>
      <c r="B5759" s="1" t="s">
        <v>6590</v>
      </c>
      <c r="C5759" t="s">
        <v>85</v>
      </c>
      <c r="D5759" s="1" t="s">
        <v>6591</v>
      </c>
    </row>
    <row r="5760" spans="1:4" hidden="1" x14ac:dyDescent="0.3">
      <c r="A5760">
        <v>5758</v>
      </c>
      <c r="B5760" t="s">
        <v>6592</v>
      </c>
      <c r="C5760" t="s">
        <v>88</v>
      </c>
      <c r="D5760">
        <v>100254502.476119</v>
      </c>
    </row>
    <row r="5761" spans="1:4" hidden="1" x14ac:dyDescent="0.3">
      <c r="A5761">
        <v>5759</v>
      </c>
      <c r="B5761" s="1" t="s">
        <v>6593</v>
      </c>
      <c r="C5761" t="s">
        <v>90</v>
      </c>
      <c r="D5761" s="1" t="s">
        <v>6539</v>
      </c>
    </row>
    <row r="5762" spans="1:4" hidden="1" x14ac:dyDescent="0.3">
      <c r="A5762">
        <v>5760</v>
      </c>
      <c r="B5762" t="s">
        <v>6594</v>
      </c>
      <c r="C5762" t="s">
        <v>93</v>
      </c>
      <c r="D5762">
        <v>79799744.810308501</v>
      </c>
    </row>
    <row r="5763" spans="1:4" hidden="1" x14ac:dyDescent="0.3">
      <c r="A5763">
        <v>5761</v>
      </c>
      <c r="B5763" t="s">
        <v>6595</v>
      </c>
      <c r="C5763" t="s">
        <v>95</v>
      </c>
      <c r="D5763">
        <v>34911976.982294798</v>
      </c>
    </row>
    <row r="5764" spans="1:4" hidden="1" x14ac:dyDescent="0.3">
      <c r="A5764">
        <v>5762</v>
      </c>
      <c r="B5764" t="s">
        <v>6596</v>
      </c>
      <c r="C5764" t="s">
        <v>97</v>
      </c>
      <c r="D5764">
        <v>35323749.5898498</v>
      </c>
    </row>
    <row r="5765" spans="1:4" hidden="1" x14ac:dyDescent="0.3">
      <c r="A5765">
        <v>5763</v>
      </c>
      <c r="B5765" s="1" t="s">
        <v>6597</v>
      </c>
      <c r="C5765" t="s">
        <v>99</v>
      </c>
      <c r="D5765" s="1" t="s">
        <v>6598</v>
      </c>
    </row>
    <row r="5766" spans="1:4" hidden="1" x14ac:dyDescent="0.3">
      <c r="A5766">
        <v>5764</v>
      </c>
      <c r="B5766" t="s">
        <v>6599</v>
      </c>
      <c r="C5766" t="s">
        <v>102</v>
      </c>
      <c r="D5766">
        <v>9.2722579752764593E-3</v>
      </c>
    </row>
    <row r="5767" spans="1:4" hidden="1" x14ac:dyDescent="0.3">
      <c r="A5767">
        <v>5765</v>
      </c>
      <c r="B5767" t="s">
        <v>6600</v>
      </c>
      <c r="C5767" t="s">
        <v>104</v>
      </c>
      <c r="D5767">
        <v>1.40498093692499E-3</v>
      </c>
    </row>
    <row r="5768" spans="1:4" hidden="1" x14ac:dyDescent="0.3">
      <c r="A5768">
        <v>5766</v>
      </c>
      <c r="B5768" t="s">
        <v>6601</v>
      </c>
      <c r="C5768" t="s">
        <v>106</v>
      </c>
      <c r="D5768">
        <v>1.2571664228260501E-2</v>
      </c>
    </row>
    <row r="5769" spans="1:4" hidden="1" x14ac:dyDescent="0.3">
      <c r="A5769">
        <v>5767</v>
      </c>
      <c r="B5769" s="1" t="s">
        <v>6602</v>
      </c>
      <c r="C5769" t="s">
        <v>108</v>
      </c>
      <c r="D5769" s="1" t="s">
        <v>6603</v>
      </c>
    </row>
    <row r="5770" spans="1:4" hidden="1" x14ac:dyDescent="0.3">
      <c r="A5770">
        <v>5768</v>
      </c>
      <c r="B5770" t="s">
        <v>6604</v>
      </c>
      <c r="C5770" t="s">
        <v>196</v>
      </c>
      <c r="D5770">
        <v>150035905.80257899</v>
      </c>
    </row>
    <row r="5771" spans="1:4" hidden="1" x14ac:dyDescent="0.3">
      <c r="A5771">
        <v>5769</v>
      </c>
      <c r="B5771" t="s">
        <v>6605</v>
      </c>
      <c r="C5771" t="s">
        <v>198</v>
      </c>
      <c r="D5771">
        <v>-1004.61291494428</v>
      </c>
    </row>
    <row r="5772" spans="1:4" hidden="1" x14ac:dyDescent="0.3">
      <c r="A5772">
        <v>5770</v>
      </c>
      <c r="B5772" t="s">
        <v>6606</v>
      </c>
      <c r="C5772" t="s">
        <v>200</v>
      </c>
      <c r="D5772">
        <v>-439.51182196889903</v>
      </c>
    </row>
    <row r="5773" spans="1:4" hidden="1" x14ac:dyDescent="0.3">
      <c r="A5773">
        <v>5771</v>
      </c>
      <c r="B5773" s="1" t="s">
        <v>6607</v>
      </c>
      <c r="C5773" t="s">
        <v>202</v>
      </c>
      <c r="D5773" s="1" t="s">
        <v>6608</v>
      </c>
    </row>
    <row r="5774" spans="1:4" hidden="1" x14ac:dyDescent="0.3">
      <c r="A5774">
        <v>5772</v>
      </c>
      <c r="B5774" t="s">
        <v>6609</v>
      </c>
      <c r="C5774" t="s">
        <v>205</v>
      </c>
      <c r="D5774">
        <v>79801066.473211005</v>
      </c>
    </row>
    <row r="5775" spans="1:4" hidden="1" x14ac:dyDescent="0.3">
      <c r="A5775">
        <v>5773</v>
      </c>
      <c r="B5775" t="s">
        <v>6610</v>
      </c>
      <c r="C5775" t="s">
        <v>207</v>
      </c>
      <c r="D5775">
        <v>34912463.894262403</v>
      </c>
    </row>
    <row r="5776" spans="1:4" hidden="1" x14ac:dyDescent="0.3">
      <c r="A5776">
        <v>5774</v>
      </c>
      <c r="B5776" t="s">
        <v>6611</v>
      </c>
      <c r="C5776" t="s">
        <v>209</v>
      </c>
      <c r="D5776">
        <v>35324264.255805098</v>
      </c>
    </row>
    <row r="5777" spans="1:4" hidden="1" x14ac:dyDescent="0.3">
      <c r="A5777">
        <v>5775</v>
      </c>
      <c r="B5777" s="1" t="s">
        <v>6612</v>
      </c>
      <c r="C5777" t="s">
        <v>211</v>
      </c>
      <c r="D5777" s="1" t="s">
        <v>6613</v>
      </c>
    </row>
    <row r="5778" spans="1:4" hidden="1" x14ac:dyDescent="0.3">
      <c r="A5778">
        <v>5776</v>
      </c>
      <c r="B5778" t="s">
        <v>6614</v>
      </c>
      <c r="C5778" t="s">
        <v>214</v>
      </c>
      <c r="D5778">
        <v>100255764.59253301</v>
      </c>
    </row>
    <row r="5779" spans="1:4" hidden="1" x14ac:dyDescent="0.3">
      <c r="A5779">
        <v>5777</v>
      </c>
      <c r="B5779" t="s">
        <v>6615</v>
      </c>
      <c r="C5779" t="s">
        <v>216</v>
      </c>
      <c r="D5779">
        <v>-1262.11641471087</v>
      </c>
    </row>
    <row r="5780" spans="1:4" hidden="1" x14ac:dyDescent="0.3">
      <c r="A5780">
        <v>5778</v>
      </c>
      <c r="B5780" s="1" t="s">
        <v>6616</v>
      </c>
      <c r="C5780" t="s">
        <v>218</v>
      </c>
      <c r="D5780" s="1" t="s">
        <v>6617</v>
      </c>
    </row>
    <row r="5781" spans="1:4" hidden="1" x14ac:dyDescent="0.3">
      <c r="A5781">
        <v>5779</v>
      </c>
      <c r="B5781" t="s">
        <v>6618</v>
      </c>
      <c r="C5781" t="s">
        <v>111</v>
      </c>
      <c r="D5781">
        <v>317.04998762320201</v>
      </c>
    </row>
    <row r="5782" spans="1:4" hidden="1" x14ac:dyDescent="0.3">
      <c r="A5782">
        <v>5780</v>
      </c>
      <c r="B5782" t="s">
        <v>6619</v>
      </c>
      <c r="C5782" t="s">
        <v>113</v>
      </c>
      <c r="D5782">
        <v>47.400145635618699</v>
      </c>
    </row>
    <row r="5783" spans="1:4" hidden="1" x14ac:dyDescent="0.3">
      <c r="A5783">
        <v>5781</v>
      </c>
      <c r="B5783" s="1" t="s">
        <v>6620</v>
      </c>
      <c r="C5783" t="s">
        <v>115</v>
      </c>
      <c r="D5783" s="1" t="s">
        <v>6621</v>
      </c>
    </row>
    <row r="5784" spans="1:4" hidden="1" x14ac:dyDescent="0.3">
      <c r="A5784">
        <v>5782</v>
      </c>
      <c r="B5784" t="s">
        <v>6622</v>
      </c>
      <c r="C5784" t="s">
        <v>118</v>
      </c>
      <c r="D5784">
        <v>79801066.473211005</v>
      </c>
    </row>
    <row r="5785" spans="1:4" hidden="1" x14ac:dyDescent="0.3">
      <c r="A5785">
        <v>5783</v>
      </c>
      <c r="B5785" t="s">
        <v>6623</v>
      </c>
      <c r="C5785" t="s">
        <v>120</v>
      </c>
      <c r="D5785">
        <v>34912463.894262403</v>
      </c>
    </row>
    <row r="5786" spans="1:4" hidden="1" x14ac:dyDescent="0.3">
      <c r="A5786">
        <v>5784</v>
      </c>
      <c r="B5786" s="1" t="s">
        <v>6624</v>
      </c>
      <c r="C5786" t="s">
        <v>122</v>
      </c>
      <c r="D5786" s="1" t="s">
        <v>6625</v>
      </c>
    </row>
    <row r="5787" spans="1:4" hidden="1" x14ac:dyDescent="0.3">
      <c r="A5787">
        <v>5785</v>
      </c>
      <c r="B5787" t="s">
        <v>6626</v>
      </c>
      <c r="C5787" t="s">
        <v>125</v>
      </c>
      <c r="D5787">
        <v>0.79592919378474003</v>
      </c>
    </row>
    <row r="5788" spans="1:4" hidden="1" x14ac:dyDescent="0.3">
      <c r="A5788">
        <v>5786</v>
      </c>
      <c r="B5788" t="s">
        <v>6627</v>
      </c>
      <c r="C5788" t="s">
        <v>127</v>
      </c>
      <c r="D5788">
        <v>0.34821400851487899</v>
      </c>
    </row>
    <row r="5789" spans="1:4" hidden="1" x14ac:dyDescent="0.3">
      <c r="A5789">
        <v>5787</v>
      </c>
      <c r="B5789" s="1" t="s">
        <v>6628</v>
      </c>
      <c r="C5789" t="s">
        <v>129</v>
      </c>
      <c r="D5789" s="1" t="s">
        <v>6629</v>
      </c>
    </row>
    <row r="5790" spans="1:4" ht="72" x14ac:dyDescent="0.3">
      <c r="A5790">
        <v>5788</v>
      </c>
      <c r="B5790" s="1" t="s">
        <v>3</v>
      </c>
      <c r="C5790" t="s">
        <v>4</v>
      </c>
      <c r="D5790" t="s">
        <v>5</v>
      </c>
    </row>
    <row r="5791" spans="1:4" hidden="1" x14ac:dyDescent="0.3">
      <c r="A5791">
        <v>5789</v>
      </c>
      <c r="B5791" t="s">
        <v>6</v>
      </c>
      <c r="C5791" t="s">
        <v>7</v>
      </c>
      <c r="D5791">
        <v>1981.95</v>
      </c>
    </row>
    <row r="5792" spans="1:4" hidden="1" x14ac:dyDescent="0.3">
      <c r="A5792">
        <v>5790</v>
      </c>
      <c r="B5792" s="1" t="s">
        <v>131</v>
      </c>
      <c r="C5792" t="s">
        <v>9</v>
      </c>
      <c r="D5792" s="1" t="s">
        <v>132</v>
      </c>
    </row>
    <row r="5793" spans="1:4" hidden="1" x14ac:dyDescent="0.3">
      <c r="A5793">
        <v>5791</v>
      </c>
      <c r="B5793" t="s">
        <v>13</v>
      </c>
      <c r="C5793" t="s">
        <v>14</v>
      </c>
      <c r="D5793">
        <v>91.74609375</v>
      </c>
    </row>
    <row r="5794" spans="1:4" hidden="1" x14ac:dyDescent="0.3">
      <c r="A5794">
        <v>5792</v>
      </c>
      <c r="B5794" t="s">
        <v>15</v>
      </c>
      <c r="C5794" t="s">
        <v>16</v>
      </c>
      <c r="D5794">
        <v>4.1883572307132804</v>
      </c>
    </row>
    <row r="5795" spans="1:4" hidden="1" x14ac:dyDescent="0.3">
      <c r="A5795">
        <v>5793</v>
      </c>
      <c r="B5795" s="1" t="s">
        <v>133</v>
      </c>
      <c r="C5795" t="s">
        <v>134</v>
      </c>
      <c r="D5795" s="1" t="s">
        <v>135</v>
      </c>
    </row>
    <row r="5796" spans="1:4" hidden="1" x14ac:dyDescent="0.3">
      <c r="A5796">
        <v>5794</v>
      </c>
      <c r="B5796" t="s">
        <v>21</v>
      </c>
      <c r="C5796" t="s">
        <v>22</v>
      </c>
      <c r="D5796">
        <v>38.25</v>
      </c>
    </row>
    <row r="5797" spans="1:4" hidden="1" x14ac:dyDescent="0.3">
      <c r="A5797">
        <v>5795</v>
      </c>
      <c r="B5797" t="s">
        <v>6630</v>
      </c>
      <c r="C5797" t="s">
        <v>24</v>
      </c>
      <c r="D5797">
        <v>6.3406433855732001</v>
      </c>
    </row>
    <row r="5798" spans="1:4" hidden="1" x14ac:dyDescent="0.3">
      <c r="A5798">
        <v>5796</v>
      </c>
      <c r="B5798" s="1" t="s">
        <v>6631</v>
      </c>
      <c r="C5798" t="s">
        <v>138</v>
      </c>
      <c r="D5798" s="1" t="s">
        <v>6632</v>
      </c>
    </row>
    <row r="5799" spans="1:4" hidden="1" x14ac:dyDescent="0.3">
      <c r="A5799">
        <v>5797</v>
      </c>
      <c r="B5799" t="s">
        <v>6633</v>
      </c>
      <c r="C5799" t="s">
        <v>35</v>
      </c>
      <c r="D5799">
        <v>0.529726989220627</v>
      </c>
    </row>
    <row r="5800" spans="1:4" hidden="1" x14ac:dyDescent="0.3">
      <c r="A5800">
        <v>5798</v>
      </c>
      <c r="B5800" t="s">
        <v>6634</v>
      </c>
      <c r="C5800" t="s">
        <v>142</v>
      </c>
      <c r="D5800">
        <v>0.75913489054288497</v>
      </c>
    </row>
    <row r="5801" spans="1:4" hidden="1" x14ac:dyDescent="0.3">
      <c r="A5801">
        <v>5799</v>
      </c>
      <c r="B5801" s="1" t="s">
        <v>6635</v>
      </c>
      <c r="C5801" t="s">
        <v>144</v>
      </c>
      <c r="D5801" s="1" t="s">
        <v>6636</v>
      </c>
    </row>
    <row r="5802" spans="1:4" hidden="1" x14ac:dyDescent="0.3">
      <c r="A5802">
        <v>5800</v>
      </c>
      <c r="B5802" t="s">
        <v>6637</v>
      </c>
      <c r="C5802" t="s">
        <v>30</v>
      </c>
      <c r="D5802">
        <v>0.1870755030166</v>
      </c>
    </row>
    <row r="5803" spans="1:4" hidden="1" x14ac:dyDescent="0.3">
      <c r="A5803">
        <v>5801</v>
      </c>
      <c r="B5803" t="s">
        <v>6638</v>
      </c>
      <c r="C5803" t="s">
        <v>32</v>
      </c>
      <c r="D5803">
        <v>0.17714303109082799</v>
      </c>
    </row>
    <row r="5804" spans="1:4" hidden="1" x14ac:dyDescent="0.3">
      <c r="A5804">
        <v>5802</v>
      </c>
      <c r="B5804" s="1" t="s">
        <v>6639</v>
      </c>
      <c r="C5804" t="s">
        <v>148</v>
      </c>
      <c r="D5804" s="1" t="s">
        <v>6640</v>
      </c>
    </row>
    <row r="5805" spans="1:4" hidden="1" x14ac:dyDescent="0.3">
      <c r="A5805">
        <v>5803</v>
      </c>
      <c r="B5805" t="s">
        <v>6641</v>
      </c>
      <c r="C5805" t="s">
        <v>40</v>
      </c>
      <c r="D5805">
        <v>0.28319750776277203</v>
      </c>
    </row>
    <row r="5806" spans="1:4" hidden="1" x14ac:dyDescent="0.3">
      <c r="A5806">
        <v>5804</v>
      </c>
      <c r="B5806" t="s">
        <v>6642</v>
      </c>
      <c r="C5806" t="s">
        <v>42</v>
      </c>
      <c r="D5806">
        <v>0.14014591512644001</v>
      </c>
    </row>
    <row r="5807" spans="1:4" hidden="1" x14ac:dyDescent="0.3">
      <c r="A5807">
        <v>5805</v>
      </c>
      <c r="B5807" s="1" t="s">
        <v>6643</v>
      </c>
      <c r="C5807" t="s">
        <v>152</v>
      </c>
      <c r="D5807" s="1" t="s">
        <v>6644</v>
      </c>
    </row>
    <row r="5808" spans="1:4" hidden="1" x14ac:dyDescent="0.3">
      <c r="A5808">
        <v>5806</v>
      </c>
      <c r="B5808" t="s">
        <v>153</v>
      </c>
      <c r="C5808" t="s">
        <v>154</v>
      </c>
      <c r="D5808">
        <v>1</v>
      </c>
    </row>
    <row r="5809" spans="1:4" hidden="1" x14ac:dyDescent="0.3">
      <c r="A5809">
        <v>5807</v>
      </c>
      <c r="B5809" t="s">
        <v>155</v>
      </c>
      <c r="C5809" t="s">
        <v>156</v>
      </c>
      <c r="D5809">
        <v>1</v>
      </c>
    </row>
    <row r="5810" spans="1:4" hidden="1" x14ac:dyDescent="0.3">
      <c r="A5810">
        <v>5808</v>
      </c>
      <c r="B5810" s="1" t="s">
        <v>6645</v>
      </c>
      <c r="C5810" t="s">
        <v>158</v>
      </c>
      <c r="D5810" s="1" t="s">
        <v>6646</v>
      </c>
    </row>
    <row r="5811" spans="1:4" hidden="1" x14ac:dyDescent="0.3">
      <c r="A5811">
        <v>5809</v>
      </c>
      <c r="B5811" t="s">
        <v>6647</v>
      </c>
      <c r="C5811" t="s">
        <v>161</v>
      </c>
      <c r="D5811">
        <v>0.99951980576266897</v>
      </c>
    </row>
    <row r="5812" spans="1:4" hidden="1" x14ac:dyDescent="0.3">
      <c r="A5812">
        <v>5810</v>
      </c>
      <c r="B5812" t="s">
        <v>6648</v>
      </c>
      <c r="C5812" t="s">
        <v>163</v>
      </c>
      <c r="D5812">
        <v>1.0006921966623199</v>
      </c>
    </row>
    <row r="5813" spans="1:4" hidden="1" x14ac:dyDescent="0.3">
      <c r="A5813">
        <v>5811</v>
      </c>
      <c r="B5813" s="1" t="s">
        <v>6649</v>
      </c>
      <c r="C5813" t="s">
        <v>165</v>
      </c>
      <c r="D5813" s="1" t="s">
        <v>6650</v>
      </c>
    </row>
    <row r="5814" spans="1:4" hidden="1" x14ac:dyDescent="0.3">
      <c r="A5814">
        <v>5812</v>
      </c>
      <c r="B5814" s="1" t="s">
        <v>6651</v>
      </c>
      <c r="C5814" t="s">
        <v>55</v>
      </c>
      <c r="D5814" s="1" t="s">
        <v>6652</v>
      </c>
    </row>
    <row r="5815" spans="1:4" hidden="1" x14ac:dyDescent="0.3">
      <c r="A5815">
        <v>5813</v>
      </c>
      <c r="B5815" s="1" t="s">
        <v>6653</v>
      </c>
      <c r="C5815" t="s">
        <v>52</v>
      </c>
      <c r="D5815" s="1" t="s">
        <v>6654</v>
      </c>
    </row>
    <row r="5816" spans="1:4" hidden="1" x14ac:dyDescent="0.3">
      <c r="A5816">
        <v>5814</v>
      </c>
      <c r="B5816" s="1" t="s">
        <v>6655</v>
      </c>
      <c r="C5816" t="s">
        <v>58</v>
      </c>
      <c r="D5816" s="1" t="s">
        <v>6656</v>
      </c>
    </row>
    <row r="5817" spans="1:4" hidden="1" x14ac:dyDescent="0.3">
      <c r="A5817">
        <v>5815</v>
      </c>
      <c r="B5817" t="s">
        <v>6657</v>
      </c>
      <c r="C5817" t="s">
        <v>60</v>
      </c>
      <c r="D5817">
        <v>150026334.225402</v>
      </c>
    </row>
    <row r="5818" spans="1:4" hidden="1" x14ac:dyDescent="0.3">
      <c r="A5818">
        <v>5816</v>
      </c>
      <c r="B5818" t="s">
        <v>6658</v>
      </c>
      <c r="C5818" t="s">
        <v>62</v>
      </c>
      <c r="D5818">
        <v>79801066.473211005</v>
      </c>
    </row>
    <row r="5819" spans="1:4" hidden="1" x14ac:dyDescent="0.3">
      <c r="A5819">
        <v>5817</v>
      </c>
      <c r="B5819" t="s">
        <v>6659</v>
      </c>
      <c r="C5819" t="s">
        <v>64</v>
      </c>
      <c r="D5819">
        <v>34912463.894262403</v>
      </c>
    </row>
    <row r="5820" spans="1:4" hidden="1" x14ac:dyDescent="0.3">
      <c r="A5820">
        <v>5818</v>
      </c>
      <c r="B5820" s="1" t="s">
        <v>6660</v>
      </c>
      <c r="C5820" t="s">
        <v>66</v>
      </c>
      <c r="D5820" s="1" t="s">
        <v>6661</v>
      </c>
    </row>
    <row r="5821" spans="1:4" hidden="1" x14ac:dyDescent="0.3">
      <c r="A5821">
        <v>5819</v>
      </c>
      <c r="B5821" s="1" t="s">
        <v>6662</v>
      </c>
      <c r="C5821" t="s">
        <v>69</v>
      </c>
      <c r="D5821" s="1" t="s">
        <v>6663</v>
      </c>
    </row>
    <row r="5822" spans="1:4" hidden="1" x14ac:dyDescent="0.3">
      <c r="A5822">
        <v>5820</v>
      </c>
      <c r="B5822" t="s">
        <v>6664</v>
      </c>
      <c r="C5822" t="s">
        <v>72</v>
      </c>
      <c r="D5822">
        <v>1.00005735325964</v>
      </c>
    </row>
    <row r="5823" spans="1:4" hidden="1" x14ac:dyDescent="0.3">
      <c r="A5823">
        <v>5821</v>
      </c>
      <c r="B5823" t="s">
        <v>73</v>
      </c>
      <c r="C5823" t="s">
        <v>74</v>
      </c>
      <c r="D5823">
        <v>2.7397260273972599E-3</v>
      </c>
    </row>
    <row r="5824" spans="1:4" hidden="1" x14ac:dyDescent="0.3">
      <c r="A5824">
        <v>5822</v>
      </c>
      <c r="B5824" t="s">
        <v>75</v>
      </c>
      <c r="C5824" t="s">
        <v>76</v>
      </c>
      <c r="D5824">
        <v>0</v>
      </c>
    </row>
    <row r="5825" spans="1:4" hidden="1" x14ac:dyDescent="0.3">
      <c r="A5825">
        <v>5823</v>
      </c>
      <c r="B5825" t="s">
        <v>969</v>
      </c>
      <c r="C5825" t="s">
        <v>78</v>
      </c>
      <c r="D5825" s="2">
        <v>2.2204460492503101E-16</v>
      </c>
    </row>
    <row r="5826" spans="1:4" hidden="1" x14ac:dyDescent="0.3">
      <c r="A5826">
        <v>5824</v>
      </c>
      <c r="B5826" s="1" t="s">
        <v>6665</v>
      </c>
      <c r="C5826" t="s">
        <v>80</v>
      </c>
      <c r="D5826" s="1" t="s">
        <v>6666</v>
      </c>
    </row>
    <row r="5827" spans="1:4" hidden="1" x14ac:dyDescent="0.3">
      <c r="A5827">
        <v>5825</v>
      </c>
      <c r="B5827" t="s">
        <v>6667</v>
      </c>
      <c r="C5827" t="s">
        <v>83</v>
      </c>
      <c r="D5827">
        <v>1.0000672100277599</v>
      </c>
    </row>
    <row r="5828" spans="1:4" hidden="1" x14ac:dyDescent="0.3">
      <c r="A5828">
        <v>5826</v>
      </c>
      <c r="B5828" s="1" t="s">
        <v>6668</v>
      </c>
      <c r="C5828" t="s">
        <v>85</v>
      </c>
      <c r="D5828" s="1" t="s">
        <v>6669</v>
      </c>
    </row>
    <row r="5829" spans="1:4" hidden="1" x14ac:dyDescent="0.3">
      <c r="A5829">
        <v>5827</v>
      </c>
      <c r="B5829" t="s">
        <v>6670</v>
      </c>
      <c r="C5829" t="s">
        <v>88</v>
      </c>
      <c r="D5829">
        <v>100253514.35714599</v>
      </c>
    </row>
    <row r="5830" spans="1:4" hidden="1" x14ac:dyDescent="0.3">
      <c r="A5830">
        <v>5828</v>
      </c>
      <c r="B5830" s="1" t="s">
        <v>6671</v>
      </c>
      <c r="C5830" t="s">
        <v>90</v>
      </c>
      <c r="D5830" s="1" t="s">
        <v>6617</v>
      </c>
    </row>
    <row r="5831" spans="1:4" hidden="1" x14ac:dyDescent="0.3">
      <c r="A5831">
        <v>5829</v>
      </c>
      <c r="B5831" t="s">
        <v>6672</v>
      </c>
      <c r="C5831" t="s">
        <v>93</v>
      </c>
      <c r="D5831">
        <v>79801066.473211005</v>
      </c>
    </row>
    <row r="5832" spans="1:4" hidden="1" x14ac:dyDescent="0.3">
      <c r="A5832">
        <v>5830</v>
      </c>
      <c r="B5832" t="s">
        <v>6673</v>
      </c>
      <c r="C5832" t="s">
        <v>95</v>
      </c>
      <c r="D5832">
        <v>34912463.894262403</v>
      </c>
    </row>
    <row r="5833" spans="1:4" hidden="1" x14ac:dyDescent="0.3">
      <c r="A5833">
        <v>5831</v>
      </c>
      <c r="B5833" t="s">
        <v>6674</v>
      </c>
      <c r="C5833" t="s">
        <v>97</v>
      </c>
      <c r="D5833">
        <v>35312803.8579292</v>
      </c>
    </row>
    <row r="5834" spans="1:4" hidden="1" x14ac:dyDescent="0.3">
      <c r="A5834">
        <v>5832</v>
      </c>
      <c r="B5834" s="1" t="s">
        <v>6675</v>
      </c>
      <c r="C5834" t="s">
        <v>99</v>
      </c>
      <c r="D5834" s="1" t="s">
        <v>6676</v>
      </c>
    </row>
    <row r="5835" spans="1:4" hidden="1" x14ac:dyDescent="0.3">
      <c r="A5835">
        <v>5833</v>
      </c>
      <c r="B5835" t="s">
        <v>6677</v>
      </c>
      <c r="C5835" t="s">
        <v>102</v>
      </c>
      <c r="D5835">
        <v>9.5946180749795201E-3</v>
      </c>
    </row>
    <row r="5836" spans="1:4" hidden="1" x14ac:dyDescent="0.3">
      <c r="A5836">
        <v>5834</v>
      </c>
      <c r="B5836" t="s">
        <v>6678</v>
      </c>
      <c r="C5836" t="s">
        <v>104</v>
      </c>
      <c r="D5836">
        <v>1.432416396158E-3</v>
      </c>
    </row>
    <row r="5837" spans="1:4" hidden="1" x14ac:dyDescent="0.3">
      <c r="A5837">
        <v>5835</v>
      </c>
      <c r="B5837" t="s">
        <v>6679</v>
      </c>
      <c r="C5837" t="s">
        <v>106</v>
      </c>
      <c r="D5837">
        <v>1.27533513659238E-2</v>
      </c>
    </row>
    <row r="5838" spans="1:4" hidden="1" x14ac:dyDescent="0.3">
      <c r="A5838">
        <v>5836</v>
      </c>
      <c r="B5838" s="1" t="s">
        <v>6680</v>
      </c>
      <c r="C5838" t="s">
        <v>108</v>
      </c>
      <c r="D5838" s="1" t="s">
        <v>6681</v>
      </c>
    </row>
    <row r="5839" spans="1:4" hidden="1" x14ac:dyDescent="0.3">
      <c r="A5839">
        <v>5837</v>
      </c>
      <c r="B5839" t="s">
        <v>6682</v>
      </c>
      <c r="C5839" t="s">
        <v>196</v>
      </c>
      <c r="D5839">
        <v>150026674.284747</v>
      </c>
    </row>
    <row r="5840" spans="1:4" hidden="1" x14ac:dyDescent="0.3">
      <c r="A5840">
        <v>5838</v>
      </c>
      <c r="B5840" t="s">
        <v>6683</v>
      </c>
      <c r="C5840" t="s">
        <v>198</v>
      </c>
      <c r="D5840">
        <v>-786.53794491528197</v>
      </c>
    </row>
    <row r="5841" spans="1:4" hidden="1" x14ac:dyDescent="0.3">
      <c r="A5841">
        <v>5839</v>
      </c>
      <c r="B5841" t="s">
        <v>6684</v>
      </c>
      <c r="C5841" t="s">
        <v>200</v>
      </c>
      <c r="D5841">
        <v>-344.10469127541899</v>
      </c>
    </row>
    <row r="5842" spans="1:4" hidden="1" x14ac:dyDescent="0.3">
      <c r="A5842">
        <v>5840</v>
      </c>
      <c r="B5842" s="1" t="s">
        <v>6685</v>
      </c>
      <c r="C5842" t="s">
        <v>202</v>
      </c>
      <c r="D5842" s="1" t="s">
        <v>6686</v>
      </c>
    </row>
    <row r="5843" spans="1:4" hidden="1" x14ac:dyDescent="0.3">
      <c r="A5843">
        <v>5841</v>
      </c>
      <c r="B5843" t="s">
        <v>6687</v>
      </c>
      <c r="C5843" t="s">
        <v>205</v>
      </c>
      <c r="D5843">
        <v>79802101.270532697</v>
      </c>
    </row>
    <row r="5844" spans="1:4" hidden="1" x14ac:dyDescent="0.3">
      <c r="A5844">
        <v>5842</v>
      </c>
      <c r="B5844" t="s">
        <v>6688</v>
      </c>
      <c r="C5844" t="s">
        <v>207</v>
      </c>
      <c r="D5844">
        <v>34912845.080581702</v>
      </c>
    </row>
    <row r="5845" spans="1:4" hidden="1" x14ac:dyDescent="0.3">
      <c r="A5845">
        <v>5843</v>
      </c>
      <c r="B5845" t="s">
        <v>6689</v>
      </c>
      <c r="C5845" t="s">
        <v>209</v>
      </c>
      <c r="D5845">
        <v>35313206.626965903</v>
      </c>
    </row>
    <row r="5846" spans="1:4" hidden="1" x14ac:dyDescent="0.3">
      <c r="A5846">
        <v>5844</v>
      </c>
      <c r="B5846" s="1" t="s">
        <v>6690</v>
      </c>
      <c r="C5846" t="s">
        <v>211</v>
      </c>
      <c r="D5846" s="1" t="s">
        <v>6691</v>
      </c>
    </row>
    <row r="5847" spans="1:4" hidden="1" x14ac:dyDescent="0.3">
      <c r="A5847">
        <v>5845</v>
      </c>
      <c r="B5847" t="s">
        <v>6692</v>
      </c>
      <c r="C5847" t="s">
        <v>214</v>
      </c>
      <c r="D5847">
        <v>100254502.476119</v>
      </c>
    </row>
    <row r="5848" spans="1:4" hidden="1" x14ac:dyDescent="0.3">
      <c r="A5848">
        <v>5846</v>
      </c>
      <c r="B5848" t="s">
        <v>6693</v>
      </c>
      <c r="C5848" t="s">
        <v>216</v>
      </c>
      <c r="D5848">
        <v>-988.11897294223297</v>
      </c>
    </row>
    <row r="5849" spans="1:4" hidden="1" x14ac:dyDescent="0.3">
      <c r="A5849">
        <v>5847</v>
      </c>
      <c r="B5849" s="1" t="s">
        <v>6694</v>
      </c>
      <c r="C5849" t="s">
        <v>218</v>
      </c>
      <c r="D5849" s="1" t="s">
        <v>6695</v>
      </c>
    </row>
    <row r="5850" spans="1:4" hidden="1" x14ac:dyDescent="0.3">
      <c r="A5850">
        <v>5848</v>
      </c>
      <c r="B5850" t="s">
        <v>6696</v>
      </c>
      <c r="C5850" t="s">
        <v>111</v>
      </c>
      <c r="D5850">
        <v>248.259376731966</v>
      </c>
    </row>
    <row r="5851" spans="1:4" hidden="1" x14ac:dyDescent="0.3">
      <c r="A5851">
        <v>5849</v>
      </c>
      <c r="B5851" t="s">
        <v>6697</v>
      </c>
      <c r="C5851" t="s">
        <v>113</v>
      </c>
      <c r="D5851">
        <v>37.0816280041659</v>
      </c>
    </row>
    <row r="5852" spans="1:4" hidden="1" x14ac:dyDescent="0.3">
      <c r="A5852">
        <v>5850</v>
      </c>
      <c r="B5852" s="1" t="s">
        <v>6698</v>
      </c>
      <c r="C5852" t="s">
        <v>115</v>
      </c>
      <c r="D5852" s="1" t="s">
        <v>6699</v>
      </c>
    </row>
    <row r="5853" spans="1:4" hidden="1" x14ac:dyDescent="0.3">
      <c r="A5853">
        <v>5851</v>
      </c>
      <c r="B5853" t="s">
        <v>6700</v>
      </c>
      <c r="C5853" t="s">
        <v>118</v>
      </c>
      <c r="D5853">
        <v>79802101.270532697</v>
      </c>
    </row>
    <row r="5854" spans="1:4" hidden="1" x14ac:dyDescent="0.3">
      <c r="A5854">
        <v>5852</v>
      </c>
      <c r="B5854" t="s">
        <v>6701</v>
      </c>
      <c r="C5854" t="s">
        <v>120</v>
      </c>
      <c r="D5854">
        <v>34912845.080581702</v>
      </c>
    </row>
    <row r="5855" spans="1:4" hidden="1" x14ac:dyDescent="0.3">
      <c r="A5855">
        <v>5853</v>
      </c>
      <c r="B5855" s="1" t="s">
        <v>6702</v>
      </c>
      <c r="C5855" t="s">
        <v>122</v>
      </c>
      <c r="D5855" s="1" t="s">
        <v>6703</v>
      </c>
    </row>
    <row r="5856" spans="1:4" hidden="1" x14ac:dyDescent="0.3">
      <c r="A5856">
        <v>5854</v>
      </c>
      <c r="B5856" t="s">
        <v>6704</v>
      </c>
      <c r="C5856" t="s">
        <v>125</v>
      </c>
      <c r="D5856">
        <v>0.79594168998599302</v>
      </c>
    </row>
    <row r="5857" spans="1:4" hidden="1" x14ac:dyDescent="0.3">
      <c r="A5857">
        <v>5855</v>
      </c>
      <c r="B5857" t="s">
        <v>6705</v>
      </c>
      <c r="C5857" t="s">
        <v>127</v>
      </c>
      <c r="D5857">
        <v>0.34821876207811597</v>
      </c>
    </row>
    <row r="5858" spans="1:4" hidden="1" x14ac:dyDescent="0.3">
      <c r="A5858">
        <v>5856</v>
      </c>
      <c r="B5858" s="1" t="s">
        <v>6706</v>
      </c>
      <c r="C5858" t="s">
        <v>129</v>
      </c>
      <c r="D5858" s="1" t="s">
        <v>6707</v>
      </c>
    </row>
    <row r="5859" spans="1:4" ht="72" x14ac:dyDescent="0.3">
      <c r="A5859">
        <v>5857</v>
      </c>
      <c r="B5859" s="1" t="s">
        <v>3</v>
      </c>
      <c r="C5859" t="s">
        <v>4</v>
      </c>
      <c r="D5859" t="s">
        <v>5</v>
      </c>
    </row>
    <row r="5860" spans="1:4" hidden="1" x14ac:dyDescent="0.3">
      <c r="A5860">
        <v>5858</v>
      </c>
      <c r="B5860" t="s">
        <v>6</v>
      </c>
      <c r="C5860" t="s">
        <v>7</v>
      </c>
      <c r="D5860">
        <v>1981.95</v>
      </c>
    </row>
    <row r="5861" spans="1:4" hidden="1" x14ac:dyDescent="0.3">
      <c r="A5861">
        <v>5859</v>
      </c>
      <c r="B5861" s="1" t="s">
        <v>131</v>
      </c>
      <c r="C5861" t="s">
        <v>9</v>
      </c>
      <c r="D5861" s="1" t="s">
        <v>132</v>
      </c>
    </row>
    <row r="5862" spans="1:4" hidden="1" x14ac:dyDescent="0.3">
      <c r="A5862">
        <v>5860</v>
      </c>
      <c r="B5862" t="s">
        <v>13</v>
      </c>
      <c r="C5862" t="s">
        <v>14</v>
      </c>
      <c r="D5862">
        <v>91.74609375</v>
      </c>
    </row>
    <row r="5863" spans="1:4" hidden="1" x14ac:dyDescent="0.3">
      <c r="A5863">
        <v>5861</v>
      </c>
      <c r="B5863" t="s">
        <v>15</v>
      </c>
      <c r="C5863" t="s">
        <v>16</v>
      </c>
      <c r="D5863">
        <v>4.1883572307132804</v>
      </c>
    </row>
    <row r="5864" spans="1:4" hidden="1" x14ac:dyDescent="0.3">
      <c r="A5864">
        <v>5862</v>
      </c>
      <c r="B5864" s="1" t="s">
        <v>133</v>
      </c>
      <c r="C5864" t="s">
        <v>134</v>
      </c>
      <c r="D5864" s="1" t="s">
        <v>135</v>
      </c>
    </row>
    <row r="5865" spans="1:4" hidden="1" x14ac:dyDescent="0.3">
      <c r="A5865">
        <v>5863</v>
      </c>
      <c r="B5865" t="s">
        <v>21</v>
      </c>
      <c r="C5865" t="s">
        <v>22</v>
      </c>
      <c r="D5865">
        <v>38.25</v>
      </c>
    </row>
    <row r="5866" spans="1:4" hidden="1" x14ac:dyDescent="0.3">
      <c r="A5866">
        <v>5864</v>
      </c>
      <c r="B5866" t="s">
        <v>6708</v>
      </c>
      <c r="C5866" t="s">
        <v>24</v>
      </c>
      <c r="D5866">
        <v>6.4437859812069398</v>
      </c>
    </row>
    <row r="5867" spans="1:4" hidden="1" x14ac:dyDescent="0.3">
      <c r="A5867">
        <v>5865</v>
      </c>
      <c r="B5867" s="1" t="s">
        <v>6709</v>
      </c>
      <c r="C5867" t="s">
        <v>138</v>
      </c>
      <c r="D5867" s="1" t="s">
        <v>6710</v>
      </c>
    </row>
    <row r="5868" spans="1:4" hidden="1" x14ac:dyDescent="0.3">
      <c r="A5868">
        <v>5866</v>
      </c>
      <c r="B5868" t="s">
        <v>6711</v>
      </c>
      <c r="C5868" t="s">
        <v>35</v>
      </c>
      <c r="D5868">
        <v>0.52967207544863004</v>
      </c>
    </row>
    <row r="5869" spans="1:4" hidden="1" x14ac:dyDescent="0.3">
      <c r="A5869">
        <v>5867</v>
      </c>
      <c r="B5869" t="s">
        <v>6712</v>
      </c>
      <c r="C5869" t="s">
        <v>142</v>
      </c>
      <c r="D5869">
        <v>0.75750806754759803</v>
      </c>
    </row>
    <row r="5870" spans="1:4" hidden="1" x14ac:dyDescent="0.3">
      <c r="A5870">
        <v>5868</v>
      </c>
      <c r="B5870" s="1" t="s">
        <v>6713</v>
      </c>
      <c r="C5870" t="s">
        <v>144</v>
      </c>
      <c r="D5870" s="1" t="s">
        <v>6714</v>
      </c>
    </row>
    <row r="5871" spans="1:4" hidden="1" x14ac:dyDescent="0.3">
      <c r="A5871">
        <v>5869</v>
      </c>
      <c r="B5871" t="s">
        <v>6715</v>
      </c>
      <c r="C5871" t="s">
        <v>30</v>
      </c>
      <c r="D5871">
        <v>0.18705610996748601</v>
      </c>
    </row>
    <row r="5872" spans="1:4" hidden="1" x14ac:dyDescent="0.3">
      <c r="A5872">
        <v>5870</v>
      </c>
      <c r="B5872" t="s">
        <v>6716</v>
      </c>
      <c r="C5872" t="s">
        <v>32</v>
      </c>
      <c r="D5872">
        <v>0.178913870445189</v>
      </c>
    </row>
    <row r="5873" spans="1:4" hidden="1" x14ac:dyDescent="0.3">
      <c r="A5873">
        <v>5871</v>
      </c>
      <c r="B5873" s="1" t="s">
        <v>6717</v>
      </c>
      <c r="C5873" t="s">
        <v>148</v>
      </c>
      <c r="D5873" s="1" t="s">
        <v>6718</v>
      </c>
    </row>
    <row r="5874" spans="1:4" hidden="1" x14ac:dyDescent="0.3">
      <c r="A5874">
        <v>5872</v>
      </c>
      <c r="B5874" t="s">
        <v>6719</v>
      </c>
      <c r="C5874" t="s">
        <v>40</v>
      </c>
      <c r="D5874">
        <v>0.28327181458388301</v>
      </c>
    </row>
    <row r="5875" spans="1:4" hidden="1" x14ac:dyDescent="0.3">
      <c r="A5875">
        <v>5873</v>
      </c>
      <c r="B5875" t="s">
        <v>6720</v>
      </c>
      <c r="C5875" t="s">
        <v>42</v>
      </c>
      <c r="D5875">
        <v>0.141204083199131</v>
      </c>
    </row>
    <row r="5876" spans="1:4" hidden="1" x14ac:dyDescent="0.3">
      <c r="A5876">
        <v>5874</v>
      </c>
      <c r="B5876" s="1" t="s">
        <v>6721</v>
      </c>
      <c r="C5876" t="s">
        <v>152</v>
      </c>
      <c r="D5876" s="1" t="s">
        <v>6722</v>
      </c>
    </row>
    <row r="5877" spans="1:4" hidden="1" x14ac:dyDescent="0.3">
      <c r="A5877">
        <v>5875</v>
      </c>
      <c r="B5877" t="s">
        <v>153</v>
      </c>
      <c r="C5877" t="s">
        <v>154</v>
      </c>
      <c r="D5877">
        <v>1</v>
      </c>
    </row>
    <row r="5878" spans="1:4" hidden="1" x14ac:dyDescent="0.3">
      <c r="A5878">
        <v>5876</v>
      </c>
      <c r="B5878" t="s">
        <v>155</v>
      </c>
      <c r="C5878" t="s">
        <v>156</v>
      </c>
      <c r="D5878">
        <v>1</v>
      </c>
    </row>
    <row r="5879" spans="1:4" hidden="1" x14ac:dyDescent="0.3">
      <c r="A5879">
        <v>5877</v>
      </c>
      <c r="B5879" s="1" t="s">
        <v>6723</v>
      </c>
      <c r="C5879" t="s">
        <v>158</v>
      </c>
      <c r="D5879" s="1" t="s">
        <v>6724</v>
      </c>
    </row>
    <row r="5880" spans="1:4" hidden="1" x14ac:dyDescent="0.3">
      <c r="A5880">
        <v>5878</v>
      </c>
      <c r="B5880" t="s">
        <v>6725</v>
      </c>
      <c r="C5880" t="s">
        <v>161</v>
      </c>
      <c r="D5880">
        <v>0.99907521418395295</v>
      </c>
    </row>
    <row r="5881" spans="1:4" hidden="1" x14ac:dyDescent="0.3">
      <c r="A5881">
        <v>5879</v>
      </c>
      <c r="B5881" t="s">
        <v>6726</v>
      </c>
      <c r="C5881" t="s">
        <v>163</v>
      </c>
      <c r="D5881">
        <v>1.00150435359815</v>
      </c>
    </row>
    <row r="5882" spans="1:4" hidden="1" x14ac:dyDescent="0.3">
      <c r="A5882">
        <v>5880</v>
      </c>
      <c r="B5882" s="1" t="s">
        <v>6727</v>
      </c>
      <c r="C5882" t="s">
        <v>165</v>
      </c>
      <c r="D5882" s="1" t="s">
        <v>6728</v>
      </c>
    </row>
    <row r="5883" spans="1:4" hidden="1" x14ac:dyDescent="0.3">
      <c r="A5883">
        <v>5881</v>
      </c>
      <c r="B5883" s="1" t="s">
        <v>6729</v>
      </c>
      <c r="C5883" t="s">
        <v>55</v>
      </c>
      <c r="D5883" s="1" t="s">
        <v>6730</v>
      </c>
    </row>
    <row r="5884" spans="1:4" hidden="1" x14ac:dyDescent="0.3">
      <c r="A5884">
        <v>5882</v>
      </c>
      <c r="B5884" s="1" t="s">
        <v>6731</v>
      </c>
      <c r="C5884" t="s">
        <v>52</v>
      </c>
      <c r="D5884" s="1" t="s">
        <v>6732</v>
      </c>
    </row>
    <row r="5885" spans="1:4" hidden="1" x14ac:dyDescent="0.3">
      <c r="A5885">
        <v>5883</v>
      </c>
      <c r="B5885" s="1" t="s">
        <v>6733</v>
      </c>
      <c r="C5885" t="s">
        <v>58</v>
      </c>
      <c r="D5885" s="1" t="s">
        <v>6734</v>
      </c>
    </row>
    <row r="5886" spans="1:4" hidden="1" x14ac:dyDescent="0.3">
      <c r="A5886">
        <v>5884</v>
      </c>
      <c r="B5886" t="s">
        <v>6735</v>
      </c>
      <c r="C5886" t="s">
        <v>60</v>
      </c>
      <c r="D5886">
        <v>150109835.939237</v>
      </c>
    </row>
    <row r="5887" spans="1:4" hidden="1" x14ac:dyDescent="0.3">
      <c r="A5887">
        <v>5885</v>
      </c>
      <c r="B5887" t="s">
        <v>6736</v>
      </c>
      <c r="C5887" t="s">
        <v>62</v>
      </c>
      <c r="D5887">
        <v>79802101.270532697</v>
      </c>
    </row>
    <row r="5888" spans="1:4" hidden="1" x14ac:dyDescent="0.3">
      <c r="A5888">
        <v>5886</v>
      </c>
      <c r="B5888" t="s">
        <v>6737</v>
      </c>
      <c r="C5888" t="s">
        <v>64</v>
      </c>
      <c r="D5888">
        <v>34912845.080581702</v>
      </c>
    </row>
    <row r="5889" spans="1:4" hidden="1" x14ac:dyDescent="0.3">
      <c r="A5889">
        <v>5887</v>
      </c>
      <c r="B5889" s="1" t="s">
        <v>6738</v>
      </c>
      <c r="C5889" t="s">
        <v>66</v>
      </c>
      <c r="D5889" s="1" t="s">
        <v>6739</v>
      </c>
    </row>
    <row r="5890" spans="1:4" hidden="1" x14ac:dyDescent="0.3">
      <c r="A5890">
        <v>5888</v>
      </c>
      <c r="B5890" s="1" t="s">
        <v>6740</v>
      </c>
      <c r="C5890" t="s">
        <v>69</v>
      </c>
      <c r="D5890" s="1" t="s">
        <v>6741</v>
      </c>
    </row>
    <row r="5891" spans="1:4" hidden="1" x14ac:dyDescent="0.3">
      <c r="A5891">
        <v>5889</v>
      </c>
      <c r="B5891" t="s">
        <v>6742</v>
      </c>
      <c r="C5891" t="s">
        <v>72</v>
      </c>
      <c r="D5891">
        <v>1.0000672100277599</v>
      </c>
    </row>
    <row r="5892" spans="1:4" hidden="1" x14ac:dyDescent="0.3">
      <c r="A5892">
        <v>5890</v>
      </c>
      <c r="B5892" t="s">
        <v>73</v>
      </c>
      <c r="C5892" t="s">
        <v>74</v>
      </c>
      <c r="D5892">
        <v>2.7397260273972599E-3</v>
      </c>
    </row>
    <row r="5893" spans="1:4" hidden="1" x14ac:dyDescent="0.3">
      <c r="A5893">
        <v>5891</v>
      </c>
      <c r="B5893" t="s">
        <v>75</v>
      </c>
      <c r="C5893" t="s">
        <v>76</v>
      </c>
      <c r="D5893">
        <v>0</v>
      </c>
    </row>
    <row r="5894" spans="1:4" hidden="1" x14ac:dyDescent="0.3">
      <c r="A5894">
        <v>5892</v>
      </c>
      <c r="B5894" t="s">
        <v>77</v>
      </c>
      <c r="C5894" t="s">
        <v>78</v>
      </c>
      <c r="D5894">
        <v>0</v>
      </c>
    </row>
    <row r="5895" spans="1:4" hidden="1" x14ac:dyDescent="0.3">
      <c r="A5895">
        <v>5893</v>
      </c>
      <c r="B5895" s="1" t="s">
        <v>6743</v>
      </c>
      <c r="C5895" t="s">
        <v>80</v>
      </c>
      <c r="D5895" s="1" t="s">
        <v>6744</v>
      </c>
    </row>
    <row r="5896" spans="1:4" hidden="1" x14ac:dyDescent="0.3">
      <c r="A5896">
        <v>5894</v>
      </c>
      <c r="B5896" t="s">
        <v>6745</v>
      </c>
      <c r="C5896" t="s">
        <v>83</v>
      </c>
      <c r="D5896">
        <v>1.0000358360066099</v>
      </c>
    </row>
    <row r="5897" spans="1:4" hidden="1" x14ac:dyDescent="0.3">
      <c r="A5897">
        <v>5895</v>
      </c>
      <c r="B5897" s="1" t="s">
        <v>6746</v>
      </c>
      <c r="C5897" t="s">
        <v>85</v>
      </c>
      <c r="D5897" s="1" t="s">
        <v>6747</v>
      </c>
    </row>
    <row r="5898" spans="1:4" hidden="1" x14ac:dyDescent="0.3">
      <c r="A5898">
        <v>5896</v>
      </c>
      <c r="B5898" t="s">
        <v>6748</v>
      </c>
      <c r="C5898" t="s">
        <v>88</v>
      </c>
      <c r="D5898">
        <v>100256659.60031299</v>
      </c>
    </row>
    <row r="5899" spans="1:4" hidden="1" x14ac:dyDescent="0.3">
      <c r="A5899">
        <v>5897</v>
      </c>
      <c r="B5899" s="1" t="s">
        <v>6749</v>
      </c>
      <c r="C5899" t="s">
        <v>90</v>
      </c>
      <c r="D5899" s="1" t="s">
        <v>6695</v>
      </c>
    </row>
    <row r="5900" spans="1:4" hidden="1" x14ac:dyDescent="0.3">
      <c r="A5900">
        <v>5898</v>
      </c>
      <c r="B5900" t="s">
        <v>6750</v>
      </c>
      <c r="C5900" t="s">
        <v>93</v>
      </c>
      <c r="D5900">
        <v>79802101.270532697</v>
      </c>
    </row>
    <row r="5901" spans="1:4" hidden="1" x14ac:dyDescent="0.3">
      <c r="A5901">
        <v>5899</v>
      </c>
      <c r="B5901" t="s">
        <v>6751</v>
      </c>
      <c r="C5901" t="s">
        <v>95</v>
      </c>
      <c r="D5901">
        <v>34912845.080581702</v>
      </c>
    </row>
    <row r="5902" spans="1:4" hidden="1" x14ac:dyDescent="0.3">
      <c r="A5902">
        <v>5900</v>
      </c>
      <c r="B5902" t="s">
        <v>6752</v>
      </c>
      <c r="C5902" t="s">
        <v>97</v>
      </c>
      <c r="D5902">
        <v>35394889.5881235</v>
      </c>
    </row>
    <row r="5903" spans="1:4" hidden="1" x14ac:dyDescent="0.3">
      <c r="A5903">
        <v>5901</v>
      </c>
      <c r="B5903" s="1" t="s">
        <v>6753</v>
      </c>
      <c r="C5903" t="s">
        <v>99</v>
      </c>
      <c r="D5903" s="1" t="s">
        <v>6754</v>
      </c>
    </row>
    <row r="5904" spans="1:4" hidden="1" x14ac:dyDescent="0.3">
      <c r="A5904">
        <v>5902</v>
      </c>
      <c r="B5904" t="s">
        <v>6755</v>
      </c>
      <c r="C5904" t="s">
        <v>102</v>
      </c>
      <c r="D5904">
        <v>9.9349724743148203E-3</v>
      </c>
    </row>
    <row r="5905" spans="1:4" hidden="1" x14ac:dyDescent="0.3">
      <c r="A5905">
        <v>5903</v>
      </c>
      <c r="B5905" t="s">
        <v>6756</v>
      </c>
      <c r="C5905" t="s">
        <v>104</v>
      </c>
      <c r="D5905">
        <v>1.4694899875414801E-3</v>
      </c>
    </row>
    <row r="5906" spans="1:4" hidden="1" x14ac:dyDescent="0.3">
      <c r="A5906">
        <v>5904</v>
      </c>
      <c r="B5906" t="s">
        <v>6757</v>
      </c>
      <c r="C5906" t="s">
        <v>106</v>
      </c>
      <c r="D5906">
        <v>1.14573722510553E-2</v>
      </c>
    </row>
    <row r="5907" spans="1:4" hidden="1" x14ac:dyDescent="0.3">
      <c r="A5907">
        <v>5905</v>
      </c>
      <c r="B5907" s="1" t="s">
        <v>6758</v>
      </c>
      <c r="C5907" t="s">
        <v>108</v>
      </c>
      <c r="D5907" s="1" t="s">
        <v>6759</v>
      </c>
    </row>
    <row r="5908" spans="1:4" hidden="1" x14ac:dyDescent="0.3">
      <c r="A5908">
        <v>5906</v>
      </c>
      <c r="B5908" t="s">
        <v>6760</v>
      </c>
      <c r="C5908" t="s">
        <v>196</v>
      </c>
      <c r="D5908">
        <v>150108753.73612499</v>
      </c>
    </row>
    <row r="5909" spans="1:4" hidden="1" x14ac:dyDescent="0.3">
      <c r="A5909">
        <v>5907</v>
      </c>
      <c r="B5909" t="s">
        <v>6761</v>
      </c>
      <c r="C5909" t="s">
        <v>198</v>
      </c>
      <c r="D5909">
        <v>2503.5197768575399</v>
      </c>
    </row>
    <row r="5910" spans="1:4" hidden="1" x14ac:dyDescent="0.3">
      <c r="A5910">
        <v>5908</v>
      </c>
      <c r="B5910" t="s">
        <v>6762</v>
      </c>
      <c r="C5910" t="s">
        <v>200</v>
      </c>
      <c r="D5910">
        <v>1095.2790299161099</v>
      </c>
    </row>
    <row r="5911" spans="1:4" hidden="1" x14ac:dyDescent="0.3">
      <c r="A5911">
        <v>5909</v>
      </c>
      <c r="B5911" s="1" t="s">
        <v>6763</v>
      </c>
      <c r="C5911" t="s">
        <v>202</v>
      </c>
      <c r="D5911" s="1" t="s">
        <v>6764</v>
      </c>
    </row>
    <row r="5912" spans="1:4" hidden="1" x14ac:dyDescent="0.3">
      <c r="A5912">
        <v>5910</v>
      </c>
      <c r="B5912" t="s">
        <v>6765</v>
      </c>
      <c r="C5912" t="s">
        <v>205</v>
      </c>
      <c r="D5912">
        <v>79798808.096378505</v>
      </c>
    </row>
    <row r="5913" spans="1:4" hidden="1" x14ac:dyDescent="0.3">
      <c r="A5913">
        <v>5911</v>
      </c>
      <c r="B5913" t="s">
        <v>6766</v>
      </c>
      <c r="C5913" t="s">
        <v>207</v>
      </c>
      <c r="D5913">
        <v>34911631.986375503</v>
      </c>
    </row>
    <row r="5914" spans="1:4" hidden="1" x14ac:dyDescent="0.3">
      <c r="A5914">
        <v>5912</v>
      </c>
      <c r="B5914" t="s">
        <v>6767</v>
      </c>
      <c r="C5914" t="s">
        <v>209</v>
      </c>
      <c r="D5914">
        <v>35393604.454662003</v>
      </c>
    </row>
    <row r="5915" spans="1:4" hidden="1" x14ac:dyDescent="0.3">
      <c r="A5915">
        <v>5913</v>
      </c>
      <c r="B5915" s="1" t="s">
        <v>6768</v>
      </c>
      <c r="C5915" t="s">
        <v>211</v>
      </c>
      <c r="D5915" s="1" t="s">
        <v>6769</v>
      </c>
    </row>
    <row r="5916" spans="1:4" hidden="1" x14ac:dyDescent="0.3">
      <c r="A5916">
        <v>5914</v>
      </c>
      <c r="B5916" t="s">
        <v>6770</v>
      </c>
      <c r="C5916" t="s">
        <v>214</v>
      </c>
      <c r="D5916">
        <v>100253514.35714599</v>
      </c>
    </row>
    <row r="5917" spans="1:4" hidden="1" x14ac:dyDescent="0.3">
      <c r="A5917">
        <v>5915</v>
      </c>
      <c r="B5917" t="s">
        <v>6771</v>
      </c>
      <c r="C5917" t="s">
        <v>216</v>
      </c>
      <c r="D5917">
        <v>3145.24316690862</v>
      </c>
    </row>
    <row r="5918" spans="1:4" hidden="1" x14ac:dyDescent="0.3">
      <c r="A5918">
        <v>5916</v>
      </c>
      <c r="B5918" s="1" t="s">
        <v>6772</v>
      </c>
      <c r="C5918" t="s">
        <v>218</v>
      </c>
      <c r="D5918" s="1" t="s">
        <v>6773</v>
      </c>
    </row>
    <row r="5919" spans="1:4" hidden="1" x14ac:dyDescent="0.3">
      <c r="A5919">
        <v>5917</v>
      </c>
      <c r="B5919" t="s">
        <v>6774</v>
      </c>
      <c r="C5919" t="s">
        <v>111</v>
      </c>
      <c r="D5919">
        <v>-789.65437737844502</v>
      </c>
    </row>
    <row r="5920" spans="1:4" hidden="1" x14ac:dyDescent="0.3">
      <c r="A5920">
        <v>5918</v>
      </c>
      <c r="B5920" t="s">
        <v>6775</v>
      </c>
      <c r="C5920" t="s">
        <v>113</v>
      </c>
      <c r="D5920">
        <v>-117.815176289349</v>
      </c>
    </row>
    <row r="5921" spans="1:4" hidden="1" x14ac:dyDescent="0.3">
      <c r="A5921">
        <v>5919</v>
      </c>
      <c r="B5921" s="1" t="s">
        <v>6776</v>
      </c>
      <c r="C5921" t="s">
        <v>115</v>
      </c>
      <c r="D5921" s="1" t="s">
        <v>6777</v>
      </c>
    </row>
    <row r="5922" spans="1:4" hidden="1" x14ac:dyDescent="0.3">
      <c r="A5922">
        <v>5920</v>
      </c>
      <c r="B5922" t="s">
        <v>6778</v>
      </c>
      <c r="C5922" t="s">
        <v>118</v>
      </c>
      <c r="D5922">
        <v>79798808.096378505</v>
      </c>
    </row>
    <row r="5923" spans="1:4" hidden="1" x14ac:dyDescent="0.3">
      <c r="A5923">
        <v>5921</v>
      </c>
      <c r="B5923" t="s">
        <v>6779</v>
      </c>
      <c r="C5923" t="s">
        <v>120</v>
      </c>
      <c r="D5923">
        <v>34911631.986375503</v>
      </c>
    </row>
    <row r="5924" spans="1:4" hidden="1" x14ac:dyDescent="0.3">
      <c r="A5924">
        <v>5922</v>
      </c>
      <c r="B5924" s="1" t="s">
        <v>6780</v>
      </c>
      <c r="C5924" t="s">
        <v>122</v>
      </c>
      <c r="D5924" s="1" t="s">
        <v>6781</v>
      </c>
    </row>
    <row r="5925" spans="1:4" hidden="1" x14ac:dyDescent="0.3">
      <c r="A5925">
        <v>5923</v>
      </c>
      <c r="B5925" t="s">
        <v>6782</v>
      </c>
      <c r="C5925" t="s">
        <v>125</v>
      </c>
      <c r="D5925">
        <v>0.79594165890256396</v>
      </c>
    </row>
    <row r="5926" spans="1:4" hidden="1" x14ac:dyDescent="0.3">
      <c r="A5926">
        <v>5924</v>
      </c>
      <c r="B5926" t="s">
        <v>6783</v>
      </c>
      <c r="C5926" t="s">
        <v>127</v>
      </c>
      <c r="D5926">
        <v>0.34822101909931402</v>
      </c>
    </row>
    <row r="5927" spans="1:4" hidden="1" x14ac:dyDescent="0.3">
      <c r="A5927">
        <v>5925</v>
      </c>
      <c r="B5927" s="1" t="s">
        <v>6784</v>
      </c>
      <c r="C5927" t="s">
        <v>129</v>
      </c>
      <c r="D5927" s="1" t="s">
        <v>6785</v>
      </c>
    </row>
    <row r="5928" spans="1:4" ht="72" x14ac:dyDescent="0.3">
      <c r="A5928">
        <v>5926</v>
      </c>
      <c r="B5928" s="1" t="s">
        <v>3</v>
      </c>
      <c r="C5928" t="s">
        <v>4</v>
      </c>
      <c r="D5928" t="s">
        <v>5</v>
      </c>
    </row>
    <row r="5929" spans="1:4" hidden="1" x14ac:dyDescent="0.3">
      <c r="A5929">
        <v>5927</v>
      </c>
      <c r="B5929" t="s">
        <v>6</v>
      </c>
      <c r="C5929" t="s">
        <v>7</v>
      </c>
      <c r="D5929">
        <v>1981.95</v>
      </c>
    </row>
    <row r="5930" spans="1:4" hidden="1" x14ac:dyDescent="0.3">
      <c r="A5930">
        <v>5928</v>
      </c>
      <c r="B5930" s="1" t="s">
        <v>131</v>
      </c>
      <c r="C5930" t="s">
        <v>9</v>
      </c>
      <c r="D5930" s="1" t="s">
        <v>132</v>
      </c>
    </row>
    <row r="5931" spans="1:4" hidden="1" x14ac:dyDescent="0.3">
      <c r="A5931">
        <v>5929</v>
      </c>
      <c r="B5931" t="s">
        <v>13</v>
      </c>
      <c r="C5931" t="s">
        <v>14</v>
      </c>
      <c r="D5931">
        <v>91.74609375</v>
      </c>
    </row>
    <row r="5932" spans="1:4" hidden="1" x14ac:dyDescent="0.3">
      <c r="A5932">
        <v>5930</v>
      </c>
      <c r="B5932" t="s">
        <v>15</v>
      </c>
      <c r="C5932" t="s">
        <v>16</v>
      </c>
      <c r="D5932">
        <v>4.1883572307132804</v>
      </c>
    </row>
    <row r="5933" spans="1:4" hidden="1" x14ac:dyDescent="0.3">
      <c r="A5933">
        <v>5931</v>
      </c>
      <c r="B5933" s="1" t="s">
        <v>133</v>
      </c>
      <c r="C5933" t="s">
        <v>134</v>
      </c>
      <c r="D5933" s="1" t="s">
        <v>135</v>
      </c>
    </row>
    <row r="5934" spans="1:4" hidden="1" x14ac:dyDescent="0.3">
      <c r="A5934">
        <v>5932</v>
      </c>
      <c r="B5934" t="s">
        <v>21</v>
      </c>
      <c r="C5934" t="s">
        <v>22</v>
      </c>
      <c r="D5934">
        <v>38.25</v>
      </c>
    </row>
    <row r="5935" spans="1:4" hidden="1" x14ac:dyDescent="0.3">
      <c r="A5935">
        <v>5933</v>
      </c>
      <c r="B5935" t="s">
        <v>6786</v>
      </c>
      <c r="C5935" t="s">
        <v>24</v>
      </c>
      <c r="D5935">
        <v>6.5875785142899002</v>
      </c>
    </row>
    <row r="5936" spans="1:4" hidden="1" x14ac:dyDescent="0.3">
      <c r="A5936">
        <v>5934</v>
      </c>
      <c r="B5936" s="1" t="s">
        <v>6787</v>
      </c>
      <c r="C5936" t="s">
        <v>138</v>
      </c>
      <c r="D5936" s="1" t="s">
        <v>6788</v>
      </c>
    </row>
    <row r="5937" spans="1:4" hidden="1" x14ac:dyDescent="0.3">
      <c r="A5937">
        <v>5935</v>
      </c>
      <c r="B5937" t="s">
        <v>6789</v>
      </c>
      <c r="C5937" t="s">
        <v>35</v>
      </c>
      <c r="D5937">
        <v>0.52419377200138895</v>
      </c>
    </row>
    <row r="5938" spans="1:4" hidden="1" x14ac:dyDescent="0.3">
      <c r="A5938">
        <v>5936</v>
      </c>
      <c r="B5938" t="s">
        <v>6790</v>
      </c>
      <c r="C5938" t="s">
        <v>142</v>
      </c>
      <c r="D5938">
        <v>0.75183193076869204</v>
      </c>
    </row>
    <row r="5939" spans="1:4" hidden="1" x14ac:dyDescent="0.3">
      <c r="A5939">
        <v>5937</v>
      </c>
      <c r="B5939" s="1" t="s">
        <v>6791</v>
      </c>
      <c r="C5939" t="s">
        <v>144</v>
      </c>
      <c r="D5939" s="1" t="s">
        <v>6792</v>
      </c>
    </row>
    <row r="5940" spans="1:4" hidden="1" x14ac:dyDescent="0.3">
      <c r="A5940">
        <v>5938</v>
      </c>
      <c r="B5940" t="s">
        <v>6793</v>
      </c>
      <c r="C5940" t="s">
        <v>30</v>
      </c>
      <c r="D5940">
        <v>0.18512142211143001</v>
      </c>
    </row>
    <row r="5941" spans="1:4" hidden="1" x14ac:dyDescent="0.3">
      <c r="A5941">
        <v>5939</v>
      </c>
      <c r="B5941" t="s">
        <v>6794</v>
      </c>
      <c r="C5941" t="s">
        <v>32</v>
      </c>
      <c r="D5941">
        <v>0.18453126005737899</v>
      </c>
    </row>
    <row r="5942" spans="1:4" hidden="1" x14ac:dyDescent="0.3">
      <c r="A5942">
        <v>5940</v>
      </c>
      <c r="B5942" s="1" t="s">
        <v>6795</v>
      </c>
      <c r="C5942" t="s">
        <v>148</v>
      </c>
      <c r="D5942" s="1" t="s">
        <v>6796</v>
      </c>
    </row>
    <row r="5943" spans="1:4" hidden="1" x14ac:dyDescent="0.3">
      <c r="A5943">
        <v>5941</v>
      </c>
      <c r="B5943" t="s">
        <v>6797</v>
      </c>
      <c r="C5943" t="s">
        <v>40</v>
      </c>
      <c r="D5943">
        <v>0.29068480588717999</v>
      </c>
    </row>
    <row r="5944" spans="1:4" hidden="1" x14ac:dyDescent="0.3">
      <c r="A5944">
        <v>5942</v>
      </c>
      <c r="B5944" t="s">
        <v>6798</v>
      </c>
      <c r="C5944" t="s">
        <v>42</v>
      </c>
      <c r="D5944">
        <v>0.14555324297453301</v>
      </c>
    </row>
    <row r="5945" spans="1:4" hidden="1" x14ac:dyDescent="0.3">
      <c r="A5945">
        <v>5943</v>
      </c>
      <c r="B5945" s="1" t="s">
        <v>6799</v>
      </c>
      <c r="C5945" t="s">
        <v>152</v>
      </c>
      <c r="D5945" s="1" t="s">
        <v>6800</v>
      </c>
    </row>
    <row r="5946" spans="1:4" hidden="1" x14ac:dyDescent="0.3">
      <c r="A5946">
        <v>5944</v>
      </c>
      <c r="B5946" t="s">
        <v>153</v>
      </c>
      <c r="C5946" t="s">
        <v>154</v>
      </c>
      <c r="D5946">
        <v>1</v>
      </c>
    </row>
    <row r="5947" spans="1:4" hidden="1" x14ac:dyDescent="0.3">
      <c r="A5947">
        <v>5945</v>
      </c>
      <c r="B5947" t="s">
        <v>155</v>
      </c>
      <c r="C5947" t="s">
        <v>156</v>
      </c>
      <c r="D5947">
        <v>1</v>
      </c>
    </row>
    <row r="5948" spans="1:4" hidden="1" x14ac:dyDescent="0.3">
      <c r="A5948">
        <v>5946</v>
      </c>
      <c r="B5948" s="1" t="s">
        <v>6801</v>
      </c>
      <c r="C5948" t="s">
        <v>158</v>
      </c>
      <c r="D5948" s="1" t="s">
        <v>6802</v>
      </c>
    </row>
    <row r="5949" spans="1:4" hidden="1" x14ac:dyDescent="0.3">
      <c r="A5949">
        <v>5947</v>
      </c>
      <c r="B5949" t="s">
        <v>6803</v>
      </c>
      <c r="C5949" t="s">
        <v>161</v>
      </c>
      <c r="D5949">
        <v>0.99677034951718402</v>
      </c>
    </row>
    <row r="5950" spans="1:4" hidden="1" x14ac:dyDescent="0.3">
      <c r="A5950">
        <v>5948</v>
      </c>
      <c r="B5950" t="s">
        <v>6804</v>
      </c>
      <c r="C5950" t="s">
        <v>163</v>
      </c>
      <c r="D5950">
        <v>1.00476488550437</v>
      </c>
    </row>
    <row r="5951" spans="1:4" hidden="1" x14ac:dyDescent="0.3">
      <c r="A5951">
        <v>5949</v>
      </c>
      <c r="B5951" s="1" t="s">
        <v>6805</v>
      </c>
      <c r="C5951" t="s">
        <v>165</v>
      </c>
      <c r="D5951" s="1" t="s">
        <v>6806</v>
      </c>
    </row>
    <row r="5952" spans="1:4" hidden="1" x14ac:dyDescent="0.3">
      <c r="A5952">
        <v>5950</v>
      </c>
      <c r="B5952" s="1" t="s">
        <v>6807</v>
      </c>
      <c r="C5952" t="s">
        <v>55</v>
      </c>
      <c r="D5952" s="1" t="s">
        <v>6808</v>
      </c>
    </row>
    <row r="5953" spans="1:4" hidden="1" x14ac:dyDescent="0.3">
      <c r="A5953">
        <v>5951</v>
      </c>
      <c r="B5953" s="1" t="s">
        <v>6809</v>
      </c>
      <c r="C5953" t="s">
        <v>52</v>
      </c>
      <c r="D5953" s="1" t="s">
        <v>6810</v>
      </c>
    </row>
    <row r="5954" spans="1:4" hidden="1" x14ac:dyDescent="0.3">
      <c r="A5954">
        <v>5952</v>
      </c>
      <c r="B5954" s="1" t="s">
        <v>6811</v>
      </c>
      <c r="C5954" t="s">
        <v>58</v>
      </c>
      <c r="D5954" s="1" t="s">
        <v>6812</v>
      </c>
    </row>
    <row r="5955" spans="1:4" hidden="1" x14ac:dyDescent="0.3">
      <c r="A5955">
        <v>5953</v>
      </c>
      <c r="B5955" t="s">
        <v>6813</v>
      </c>
      <c r="C5955" t="s">
        <v>60</v>
      </c>
      <c r="D5955">
        <v>150217915.759729</v>
      </c>
    </row>
    <row r="5956" spans="1:4" hidden="1" x14ac:dyDescent="0.3">
      <c r="A5956">
        <v>5954</v>
      </c>
      <c r="B5956" t="s">
        <v>6814</v>
      </c>
      <c r="C5956" t="s">
        <v>62</v>
      </c>
      <c r="D5956">
        <v>79798808.096378505</v>
      </c>
    </row>
    <row r="5957" spans="1:4" hidden="1" x14ac:dyDescent="0.3">
      <c r="A5957">
        <v>5955</v>
      </c>
      <c r="B5957" t="s">
        <v>6815</v>
      </c>
      <c r="C5957" t="s">
        <v>64</v>
      </c>
      <c r="D5957">
        <v>34911631.986375503</v>
      </c>
    </row>
    <row r="5958" spans="1:4" hidden="1" x14ac:dyDescent="0.3">
      <c r="A5958">
        <v>5956</v>
      </c>
      <c r="B5958" s="1" t="s">
        <v>6816</v>
      </c>
      <c r="C5958" t="s">
        <v>66</v>
      </c>
      <c r="D5958" s="1" t="s">
        <v>6817</v>
      </c>
    </row>
    <row r="5959" spans="1:4" hidden="1" x14ac:dyDescent="0.3">
      <c r="A5959">
        <v>5957</v>
      </c>
      <c r="B5959" s="1" t="s">
        <v>6818</v>
      </c>
      <c r="C5959" t="s">
        <v>69</v>
      </c>
      <c r="D5959" s="1" t="s">
        <v>6819</v>
      </c>
    </row>
    <row r="5960" spans="1:4" hidden="1" x14ac:dyDescent="0.3">
      <c r="A5960">
        <v>5958</v>
      </c>
      <c r="B5960" t="s">
        <v>6820</v>
      </c>
      <c r="C5960" t="s">
        <v>72</v>
      </c>
      <c r="D5960">
        <v>1.0000358360066099</v>
      </c>
    </row>
    <row r="5961" spans="1:4" hidden="1" x14ac:dyDescent="0.3">
      <c r="A5961">
        <v>5959</v>
      </c>
      <c r="B5961" t="s">
        <v>73</v>
      </c>
      <c r="C5961" t="s">
        <v>74</v>
      </c>
      <c r="D5961">
        <v>2.7397260273972599E-3</v>
      </c>
    </row>
    <row r="5962" spans="1:4" hidden="1" x14ac:dyDescent="0.3">
      <c r="A5962">
        <v>5960</v>
      </c>
      <c r="B5962" t="s">
        <v>75</v>
      </c>
      <c r="C5962" t="s">
        <v>76</v>
      </c>
      <c r="D5962">
        <v>0</v>
      </c>
    </row>
    <row r="5963" spans="1:4" hidden="1" x14ac:dyDescent="0.3">
      <c r="A5963">
        <v>5961</v>
      </c>
      <c r="B5963" t="s">
        <v>77</v>
      </c>
      <c r="C5963" t="s">
        <v>78</v>
      </c>
      <c r="D5963">
        <v>0</v>
      </c>
    </row>
    <row r="5964" spans="1:4" hidden="1" x14ac:dyDescent="0.3">
      <c r="A5964">
        <v>5962</v>
      </c>
      <c r="B5964" s="1" t="s">
        <v>6821</v>
      </c>
      <c r="C5964" t="s">
        <v>80</v>
      </c>
      <c r="D5964" s="1" t="s">
        <v>6822</v>
      </c>
    </row>
    <row r="5965" spans="1:4" hidden="1" x14ac:dyDescent="0.3">
      <c r="A5965">
        <v>5963</v>
      </c>
      <c r="B5965" t="s">
        <v>6823</v>
      </c>
      <c r="C5965" t="s">
        <v>83</v>
      </c>
      <c r="D5965">
        <v>1.00002256023183</v>
      </c>
    </row>
    <row r="5966" spans="1:4" hidden="1" x14ac:dyDescent="0.3">
      <c r="A5966">
        <v>5964</v>
      </c>
      <c r="B5966" s="1" t="s">
        <v>6824</v>
      </c>
      <c r="C5966" t="s">
        <v>85</v>
      </c>
      <c r="D5966" s="1" t="s">
        <v>6825</v>
      </c>
    </row>
    <row r="5967" spans="1:4" hidden="1" x14ac:dyDescent="0.3">
      <c r="A5967">
        <v>5965</v>
      </c>
      <c r="B5967" t="s">
        <v>6826</v>
      </c>
      <c r="C5967" t="s">
        <v>88</v>
      </c>
      <c r="D5967">
        <v>100257990.55511899</v>
      </c>
    </row>
    <row r="5968" spans="1:4" hidden="1" x14ac:dyDescent="0.3">
      <c r="A5968">
        <v>5966</v>
      </c>
      <c r="B5968" s="1" t="s">
        <v>6827</v>
      </c>
      <c r="C5968" t="s">
        <v>90</v>
      </c>
      <c r="D5968" s="1" t="s">
        <v>6773</v>
      </c>
    </row>
    <row r="5969" spans="1:4" hidden="1" x14ac:dyDescent="0.3">
      <c r="A5969">
        <v>5967</v>
      </c>
      <c r="B5969" t="s">
        <v>6828</v>
      </c>
      <c r="C5969" t="s">
        <v>93</v>
      </c>
      <c r="D5969">
        <v>79798808.096378505</v>
      </c>
    </row>
    <row r="5970" spans="1:4" hidden="1" x14ac:dyDescent="0.3">
      <c r="A5970">
        <v>5968</v>
      </c>
      <c r="B5970" t="s">
        <v>6829</v>
      </c>
      <c r="C5970" t="s">
        <v>95</v>
      </c>
      <c r="D5970">
        <v>34911631.986375503</v>
      </c>
    </row>
    <row r="5971" spans="1:4" hidden="1" x14ac:dyDescent="0.3">
      <c r="A5971">
        <v>5969</v>
      </c>
      <c r="B5971" t="s">
        <v>6830</v>
      </c>
      <c r="C5971" t="s">
        <v>97</v>
      </c>
      <c r="D5971">
        <v>35507475.676974997</v>
      </c>
    </row>
    <row r="5972" spans="1:4" hidden="1" x14ac:dyDescent="0.3">
      <c r="A5972">
        <v>5970</v>
      </c>
      <c r="B5972" s="1" t="s">
        <v>6831</v>
      </c>
      <c r="C5972" t="s">
        <v>99</v>
      </c>
      <c r="D5972" s="1" t="s">
        <v>6832</v>
      </c>
    </row>
    <row r="5973" spans="1:4" hidden="1" x14ac:dyDescent="0.3">
      <c r="A5973">
        <v>5971</v>
      </c>
      <c r="B5973" t="s">
        <v>6833</v>
      </c>
      <c r="C5973" t="s">
        <v>102</v>
      </c>
      <c r="D5973">
        <v>9.9689339516358094E-3</v>
      </c>
    </row>
    <row r="5974" spans="1:4" hidden="1" x14ac:dyDescent="0.3">
      <c r="A5974">
        <v>5972</v>
      </c>
      <c r="B5974" t="s">
        <v>6834</v>
      </c>
      <c r="C5974" t="s">
        <v>104</v>
      </c>
      <c r="D5974">
        <v>1.5187612949338E-3</v>
      </c>
    </row>
    <row r="5975" spans="1:4" hidden="1" x14ac:dyDescent="0.3">
      <c r="A5975">
        <v>5973</v>
      </c>
      <c r="B5975" t="s">
        <v>6835</v>
      </c>
      <c r="C5975" t="s">
        <v>106</v>
      </c>
      <c r="D5975">
        <v>9.6465964589726502E-3</v>
      </c>
    </row>
    <row r="5976" spans="1:4" hidden="1" x14ac:dyDescent="0.3">
      <c r="A5976">
        <v>5974</v>
      </c>
      <c r="B5976" s="1" t="s">
        <v>6836</v>
      </c>
      <c r="C5976" t="s">
        <v>108</v>
      </c>
      <c r="D5976" s="1" t="s">
        <v>6837</v>
      </c>
    </row>
    <row r="5977" spans="1:4" hidden="1" x14ac:dyDescent="0.3">
      <c r="A5977">
        <v>5975</v>
      </c>
      <c r="B5977" t="s">
        <v>6838</v>
      </c>
      <c r="C5977" t="s">
        <v>196</v>
      </c>
      <c r="D5977">
        <v>150217458.17635</v>
      </c>
    </row>
    <row r="5978" spans="1:4" hidden="1" x14ac:dyDescent="0.3">
      <c r="A5978">
        <v>5976</v>
      </c>
      <c r="B5978" t="s">
        <v>6839</v>
      </c>
      <c r="C5978" t="s">
        <v>198</v>
      </c>
      <c r="D5978">
        <v>1059.3486089979201</v>
      </c>
    </row>
    <row r="5979" spans="1:4" hidden="1" x14ac:dyDescent="0.3">
      <c r="A5979">
        <v>5977</v>
      </c>
      <c r="B5979" t="s">
        <v>6840</v>
      </c>
      <c r="C5979" t="s">
        <v>200</v>
      </c>
      <c r="D5979">
        <v>463.46169584980601</v>
      </c>
    </row>
    <row r="5980" spans="1:4" hidden="1" x14ac:dyDescent="0.3">
      <c r="A5980">
        <v>5978</v>
      </c>
      <c r="B5980" s="1" t="s">
        <v>6841</v>
      </c>
      <c r="C5980" t="s">
        <v>202</v>
      </c>
      <c r="D5980" s="1" t="s">
        <v>6842</v>
      </c>
    </row>
    <row r="5981" spans="1:4" hidden="1" x14ac:dyDescent="0.3">
      <c r="A5981">
        <v>5979</v>
      </c>
      <c r="B5981" t="s">
        <v>6843</v>
      </c>
      <c r="C5981" t="s">
        <v>205</v>
      </c>
      <c r="D5981">
        <v>79797414.902865693</v>
      </c>
    </row>
    <row r="5982" spans="1:4" hidden="1" x14ac:dyDescent="0.3">
      <c r="A5982">
        <v>5980</v>
      </c>
      <c r="B5982" t="s">
        <v>6844</v>
      </c>
      <c r="C5982" t="s">
        <v>207</v>
      </c>
      <c r="D5982">
        <v>34911118.890594803</v>
      </c>
    </row>
    <row r="5983" spans="1:4" hidden="1" x14ac:dyDescent="0.3">
      <c r="A5983">
        <v>5981</v>
      </c>
      <c r="B5983" t="s">
        <v>6845</v>
      </c>
      <c r="C5983" t="s">
        <v>209</v>
      </c>
      <c r="D5983">
        <v>35506930.201210998</v>
      </c>
    </row>
    <row r="5984" spans="1:4" hidden="1" x14ac:dyDescent="0.3">
      <c r="A5984">
        <v>5982</v>
      </c>
      <c r="B5984" s="1" t="s">
        <v>6846</v>
      </c>
      <c r="C5984" t="s">
        <v>211</v>
      </c>
      <c r="D5984" s="1" t="s">
        <v>6847</v>
      </c>
    </row>
    <row r="5985" spans="1:4" hidden="1" x14ac:dyDescent="0.3">
      <c r="A5985">
        <v>5983</v>
      </c>
      <c r="B5985" t="s">
        <v>6848</v>
      </c>
      <c r="C5985" t="s">
        <v>214</v>
      </c>
      <c r="D5985">
        <v>100256659.60031299</v>
      </c>
    </row>
    <row r="5986" spans="1:4" hidden="1" x14ac:dyDescent="0.3">
      <c r="A5986">
        <v>5984</v>
      </c>
      <c r="B5986" t="s">
        <v>6849</v>
      </c>
      <c r="C5986" t="s">
        <v>216</v>
      </c>
      <c r="D5986">
        <v>1330.9548062384099</v>
      </c>
    </row>
    <row r="5987" spans="1:4" hidden="1" x14ac:dyDescent="0.3">
      <c r="A5987">
        <v>5985</v>
      </c>
      <c r="B5987" s="1" t="s">
        <v>6850</v>
      </c>
      <c r="C5987" t="s">
        <v>218</v>
      </c>
      <c r="D5987" s="1" t="s">
        <v>6851</v>
      </c>
    </row>
    <row r="5988" spans="1:4" hidden="1" x14ac:dyDescent="0.3">
      <c r="A5988">
        <v>5986</v>
      </c>
      <c r="B5988" t="s">
        <v>6852</v>
      </c>
      <c r="C5988" t="s">
        <v>111</v>
      </c>
      <c r="D5988">
        <v>-333.84490381727198</v>
      </c>
    </row>
    <row r="5989" spans="1:4" hidden="1" x14ac:dyDescent="0.3">
      <c r="A5989">
        <v>5987</v>
      </c>
      <c r="B5989" t="s">
        <v>6853</v>
      </c>
      <c r="C5989" t="s">
        <v>113</v>
      </c>
      <c r="D5989">
        <v>-49.634084839726199</v>
      </c>
    </row>
    <row r="5990" spans="1:4" hidden="1" x14ac:dyDescent="0.3">
      <c r="A5990">
        <v>5988</v>
      </c>
      <c r="B5990" s="1" t="s">
        <v>6854</v>
      </c>
      <c r="C5990" t="s">
        <v>115</v>
      </c>
      <c r="D5990" s="1" t="s">
        <v>6855</v>
      </c>
    </row>
    <row r="5991" spans="1:4" hidden="1" x14ac:dyDescent="0.3">
      <c r="A5991">
        <v>5989</v>
      </c>
      <c r="B5991" t="s">
        <v>6856</v>
      </c>
      <c r="C5991" t="s">
        <v>118</v>
      </c>
      <c r="D5991">
        <v>79797414.902865693</v>
      </c>
    </row>
    <row r="5992" spans="1:4" hidden="1" x14ac:dyDescent="0.3">
      <c r="A5992">
        <v>5990</v>
      </c>
      <c r="B5992" t="s">
        <v>6857</v>
      </c>
      <c r="C5992" t="s">
        <v>120</v>
      </c>
      <c r="D5992">
        <v>34911118.890594803</v>
      </c>
    </row>
    <row r="5993" spans="1:4" hidden="1" x14ac:dyDescent="0.3">
      <c r="A5993">
        <v>5991</v>
      </c>
      <c r="B5993" s="1" t="s">
        <v>6858</v>
      </c>
      <c r="C5993" t="s">
        <v>122</v>
      </c>
      <c r="D5993" s="1" t="s">
        <v>6859</v>
      </c>
    </row>
    <row r="5994" spans="1:4" hidden="1" x14ac:dyDescent="0.3">
      <c r="A5994">
        <v>5992</v>
      </c>
      <c r="B5994" t="s">
        <v>6860</v>
      </c>
      <c r="C5994" t="s">
        <v>125</v>
      </c>
      <c r="D5994">
        <v>0.79591335890717396</v>
      </c>
    </row>
    <row r="5995" spans="1:4" hidden="1" x14ac:dyDescent="0.3">
      <c r="A5995">
        <v>5993</v>
      </c>
      <c r="B5995" t="s">
        <v>6861</v>
      </c>
      <c r="C5995" t="s">
        <v>127</v>
      </c>
      <c r="D5995">
        <v>0.34820959968746001</v>
      </c>
    </row>
    <row r="5996" spans="1:4" hidden="1" x14ac:dyDescent="0.3">
      <c r="A5996">
        <v>5994</v>
      </c>
      <c r="B5996" s="1" t="s">
        <v>6862</v>
      </c>
      <c r="C5996" t="s">
        <v>129</v>
      </c>
      <c r="D5996" s="1" t="s">
        <v>6863</v>
      </c>
    </row>
    <row r="5997" spans="1:4" ht="72" x14ac:dyDescent="0.3">
      <c r="A5997">
        <v>5995</v>
      </c>
      <c r="B5997" s="1" t="s">
        <v>3</v>
      </c>
      <c r="C5997" t="s">
        <v>4</v>
      </c>
      <c r="D5997" t="s">
        <v>5</v>
      </c>
    </row>
    <row r="5998" spans="1:4" hidden="1" x14ac:dyDescent="0.3">
      <c r="A5998">
        <v>5996</v>
      </c>
      <c r="B5998" t="s">
        <v>6</v>
      </c>
      <c r="C5998" t="s">
        <v>7</v>
      </c>
      <c r="D5998">
        <v>1981.95</v>
      </c>
    </row>
    <row r="5999" spans="1:4" hidden="1" x14ac:dyDescent="0.3">
      <c r="A5999">
        <v>5997</v>
      </c>
      <c r="B5999" s="1" t="s">
        <v>131</v>
      </c>
      <c r="C5999" t="s">
        <v>9</v>
      </c>
      <c r="D5999" s="1" t="s">
        <v>132</v>
      </c>
    </row>
    <row r="6000" spans="1:4" hidden="1" x14ac:dyDescent="0.3">
      <c r="A6000">
        <v>5998</v>
      </c>
      <c r="B6000" t="s">
        <v>13</v>
      </c>
      <c r="C6000" t="s">
        <v>14</v>
      </c>
      <c r="D6000">
        <v>91.74609375</v>
      </c>
    </row>
    <row r="6001" spans="1:4" hidden="1" x14ac:dyDescent="0.3">
      <c r="A6001">
        <v>5999</v>
      </c>
      <c r="B6001" t="s">
        <v>15</v>
      </c>
      <c r="C6001" t="s">
        <v>16</v>
      </c>
      <c r="D6001">
        <v>4.1883572307132804</v>
      </c>
    </row>
    <row r="6002" spans="1:4" hidden="1" x14ac:dyDescent="0.3">
      <c r="A6002">
        <v>6000</v>
      </c>
      <c r="B6002" s="1" t="s">
        <v>133</v>
      </c>
      <c r="C6002" t="s">
        <v>134</v>
      </c>
      <c r="D6002" s="1" t="s">
        <v>135</v>
      </c>
    </row>
    <row r="6003" spans="1:4" hidden="1" x14ac:dyDescent="0.3">
      <c r="A6003">
        <v>6001</v>
      </c>
      <c r="B6003" t="s">
        <v>21</v>
      </c>
      <c r="C6003" t="s">
        <v>22</v>
      </c>
      <c r="D6003">
        <v>38.25</v>
      </c>
    </row>
    <row r="6004" spans="1:4" hidden="1" x14ac:dyDescent="0.3">
      <c r="A6004">
        <v>6002</v>
      </c>
      <c r="B6004" t="s">
        <v>6864</v>
      </c>
      <c r="C6004" t="s">
        <v>24</v>
      </c>
      <c r="D6004">
        <v>6.5956345557571696</v>
      </c>
    </row>
    <row r="6005" spans="1:4" hidden="1" x14ac:dyDescent="0.3">
      <c r="A6005">
        <v>6003</v>
      </c>
      <c r="B6005" s="1" t="s">
        <v>6865</v>
      </c>
      <c r="C6005" t="s">
        <v>138</v>
      </c>
      <c r="D6005" s="1" t="s">
        <v>6866</v>
      </c>
    </row>
    <row r="6006" spans="1:4" hidden="1" x14ac:dyDescent="0.3">
      <c r="A6006">
        <v>6004</v>
      </c>
      <c r="B6006" t="s">
        <v>6867</v>
      </c>
      <c r="C6006" t="s">
        <v>35</v>
      </c>
      <c r="D6006">
        <v>0.52647432113799097</v>
      </c>
    </row>
    <row r="6007" spans="1:4" hidden="1" x14ac:dyDescent="0.3">
      <c r="A6007">
        <v>6005</v>
      </c>
      <c r="B6007" t="s">
        <v>6868</v>
      </c>
      <c r="C6007" t="s">
        <v>142</v>
      </c>
      <c r="D6007">
        <v>0.75213856888519204</v>
      </c>
    </row>
    <row r="6008" spans="1:4" hidden="1" x14ac:dyDescent="0.3">
      <c r="A6008">
        <v>6006</v>
      </c>
      <c r="B6008" s="1" t="s">
        <v>6869</v>
      </c>
      <c r="C6008" t="s">
        <v>144</v>
      </c>
      <c r="D6008" s="1" t="s">
        <v>6870</v>
      </c>
    </row>
    <row r="6009" spans="1:4" hidden="1" x14ac:dyDescent="0.3">
      <c r="A6009">
        <v>6007</v>
      </c>
      <c r="B6009" t="s">
        <v>6871</v>
      </c>
      <c r="C6009" t="s">
        <v>30</v>
      </c>
      <c r="D6009">
        <v>0.18592680844357001</v>
      </c>
    </row>
    <row r="6010" spans="1:4" hidden="1" x14ac:dyDescent="0.3">
      <c r="A6010">
        <v>6008</v>
      </c>
      <c r="B6010" t="s">
        <v>6872</v>
      </c>
      <c r="C6010" t="s">
        <v>32</v>
      </c>
      <c r="D6010">
        <v>0.184339736456238</v>
      </c>
    </row>
    <row r="6011" spans="1:4" hidden="1" x14ac:dyDescent="0.3">
      <c r="A6011">
        <v>6009</v>
      </c>
      <c r="B6011" s="1" t="s">
        <v>6873</v>
      </c>
      <c r="C6011" t="s">
        <v>148</v>
      </c>
      <c r="D6011" s="1" t="s">
        <v>6874</v>
      </c>
    </row>
    <row r="6012" spans="1:4" hidden="1" x14ac:dyDescent="0.3">
      <c r="A6012">
        <v>6010</v>
      </c>
      <c r="B6012" t="s">
        <v>6875</v>
      </c>
      <c r="C6012" t="s">
        <v>40</v>
      </c>
      <c r="D6012">
        <v>0.28759887041843701</v>
      </c>
    </row>
    <row r="6013" spans="1:4" hidden="1" x14ac:dyDescent="0.3">
      <c r="A6013">
        <v>6011</v>
      </c>
      <c r="B6013" t="s">
        <v>6876</v>
      </c>
      <c r="C6013" t="s">
        <v>42</v>
      </c>
      <c r="D6013">
        <v>0.14520250664689499</v>
      </c>
    </row>
    <row r="6014" spans="1:4" hidden="1" x14ac:dyDescent="0.3">
      <c r="A6014">
        <v>6012</v>
      </c>
      <c r="B6014" s="1" t="s">
        <v>6877</v>
      </c>
      <c r="C6014" t="s">
        <v>152</v>
      </c>
      <c r="D6014" s="1" t="s">
        <v>6878</v>
      </c>
    </row>
    <row r="6015" spans="1:4" hidden="1" x14ac:dyDescent="0.3">
      <c r="A6015">
        <v>6013</v>
      </c>
      <c r="B6015" t="s">
        <v>153</v>
      </c>
      <c r="C6015" t="s">
        <v>154</v>
      </c>
      <c r="D6015">
        <v>1</v>
      </c>
    </row>
    <row r="6016" spans="1:4" hidden="1" x14ac:dyDescent="0.3">
      <c r="A6016">
        <v>6014</v>
      </c>
      <c r="B6016" t="s">
        <v>155</v>
      </c>
      <c r="C6016" t="s">
        <v>156</v>
      </c>
      <c r="D6016">
        <v>1</v>
      </c>
    </row>
    <row r="6017" spans="1:4" hidden="1" x14ac:dyDescent="0.3">
      <c r="A6017">
        <v>6015</v>
      </c>
      <c r="B6017" s="1" t="s">
        <v>6879</v>
      </c>
      <c r="C6017" t="s">
        <v>158</v>
      </c>
      <c r="D6017" s="1" t="s">
        <v>6880</v>
      </c>
    </row>
    <row r="6018" spans="1:4" hidden="1" x14ac:dyDescent="0.3">
      <c r="A6018">
        <v>6016</v>
      </c>
      <c r="B6018" t="s">
        <v>6881</v>
      </c>
      <c r="C6018" t="s">
        <v>161</v>
      </c>
      <c r="D6018">
        <v>1.00017503854742</v>
      </c>
    </row>
    <row r="6019" spans="1:4" hidden="1" x14ac:dyDescent="0.3">
      <c r="A6019">
        <v>6017</v>
      </c>
      <c r="B6019" t="s">
        <v>6882</v>
      </c>
      <c r="C6019" t="s">
        <v>163</v>
      </c>
      <c r="D6019">
        <v>0.999838312750706</v>
      </c>
    </row>
    <row r="6020" spans="1:4" hidden="1" x14ac:dyDescent="0.3">
      <c r="A6020">
        <v>6018</v>
      </c>
      <c r="B6020" s="1" t="s">
        <v>6883</v>
      </c>
      <c r="C6020" t="s">
        <v>165</v>
      </c>
      <c r="D6020" s="1" t="s">
        <v>6884</v>
      </c>
    </row>
    <row r="6021" spans="1:4" hidden="1" x14ac:dyDescent="0.3">
      <c r="A6021">
        <v>6019</v>
      </c>
      <c r="B6021" s="1" t="s">
        <v>6885</v>
      </c>
      <c r="C6021" t="s">
        <v>55</v>
      </c>
      <c r="D6021" s="1" t="s">
        <v>6886</v>
      </c>
    </row>
    <row r="6022" spans="1:4" hidden="1" x14ac:dyDescent="0.3">
      <c r="A6022">
        <v>6020</v>
      </c>
      <c r="B6022" s="1" t="s">
        <v>6887</v>
      </c>
      <c r="C6022" t="s">
        <v>52</v>
      </c>
      <c r="D6022" s="1" t="s">
        <v>6888</v>
      </c>
    </row>
    <row r="6023" spans="1:4" hidden="1" x14ac:dyDescent="0.3">
      <c r="A6023">
        <v>6021</v>
      </c>
      <c r="B6023" s="1" t="s">
        <v>6889</v>
      </c>
      <c r="C6023" t="s">
        <v>58</v>
      </c>
      <c r="D6023" s="1" t="s">
        <v>6890</v>
      </c>
    </row>
    <row r="6024" spans="1:4" hidden="1" x14ac:dyDescent="0.3">
      <c r="A6024">
        <v>6022</v>
      </c>
      <c r="B6024" t="s">
        <v>6891</v>
      </c>
      <c r="C6024" t="s">
        <v>60</v>
      </c>
      <c r="D6024">
        <v>150221843.58321199</v>
      </c>
    </row>
    <row r="6025" spans="1:4" hidden="1" x14ac:dyDescent="0.3">
      <c r="A6025">
        <v>6023</v>
      </c>
      <c r="B6025" t="s">
        <v>6892</v>
      </c>
      <c r="C6025" t="s">
        <v>62</v>
      </c>
      <c r="D6025">
        <v>79797414.902865693</v>
      </c>
    </row>
    <row r="6026" spans="1:4" hidden="1" x14ac:dyDescent="0.3">
      <c r="A6026">
        <v>6024</v>
      </c>
      <c r="B6026" t="s">
        <v>6893</v>
      </c>
      <c r="C6026" t="s">
        <v>64</v>
      </c>
      <c r="D6026">
        <v>34911118.890594803</v>
      </c>
    </row>
    <row r="6027" spans="1:4" hidden="1" x14ac:dyDescent="0.3">
      <c r="A6027">
        <v>6025</v>
      </c>
      <c r="B6027" s="1" t="s">
        <v>6894</v>
      </c>
      <c r="C6027" t="s">
        <v>66</v>
      </c>
      <c r="D6027" s="1" t="s">
        <v>6895</v>
      </c>
    </row>
    <row r="6028" spans="1:4" hidden="1" x14ac:dyDescent="0.3">
      <c r="A6028">
        <v>6026</v>
      </c>
      <c r="B6028" s="1" t="s">
        <v>6896</v>
      </c>
      <c r="C6028" t="s">
        <v>69</v>
      </c>
      <c r="D6028" s="1" t="s">
        <v>6897</v>
      </c>
    </row>
    <row r="6029" spans="1:4" hidden="1" x14ac:dyDescent="0.3">
      <c r="A6029">
        <v>6027</v>
      </c>
      <c r="B6029" t="s">
        <v>6898</v>
      </c>
      <c r="C6029" t="s">
        <v>72</v>
      </c>
      <c r="D6029">
        <v>1.00002256023183</v>
      </c>
    </row>
    <row r="6030" spans="1:4" hidden="1" x14ac:dyDescent="0.3">
      <c r="A6030">
        <v>6028</v>
      </c>
      <c r="B6030" t="s">
        <v>73</v>
      </c>
      <c r="C6030" t="s">
        <v>74</v>
      </c>
      <c r="D6030">
        <v>2.7397260273972599E-3</v>
      </c>
    </row>
    <row r="6031" spans="1:4" hidden="1" x14ac:dyDescent="0.3">
      <c r="A6031">
        <v>6029</v>
      </c>
      <c r="B6031" t="s">
        <v>75</v>
      </c>
      <c r="C6031" t="s">
        <v>76</v>
      </c>
      <c r="D6031">
        <v>0</v>
      </c>
    </row>
    <row r="6032" spans="1:4" hidden="1" x14ac:dyDescent="0.3">
      <c r="A6032">
        <v>6030</v>
      </c>
      <c r="B6032" t="s">
        <v>77</v>
      </c>
      <c r="C6032" t="s">
        <v>78</v>
      </c>
      <c r="D6032">
        <v>0</v>
      </c>
    </row>
    <row r="6033" spans="1:4" hidden="1" x14ac:dyDescent="0.3">
      <c r="A6033">
        <v>6031</v>
      </c>
      <c r="B6033" s="1" t="s">
        <v>6899</v>
      </c>
      <c r="C6033" t="s">
        <v>80</v>
      </c>
      <c r="D6033" s="1" t="s">
        <v>6900</v>
      </c>
    </row>
    <row r="6034" spans="1:4" hidden="1" x14ac:dyDescent="0.3">
      <c r="A6034">
        <v>6032</v>
      </c>
      <c r="B6034" t="s">
        <v>6901</v>
      </c>
      <c r="C6034" t="s">
        <v>83</v>
      </c>
      <c r="D6034">
        <v>1.00004501312256</v>
      </c>
    </row>
    <row r="6035" spans="1:4" hidden="1" x14ac:dyDescent="0.3">
      <c r="A6035">
        <v>6033</v>
      </c>
      <c r="B6035" s="1" t="s">
        <v>6902</v>
      </c>
      <c r="C6035" t="s">
        <v>85</v>
      </c>
      <c r="D6035" s="1" t="s">
        <v>6903</v>
      </c>
    </row>
    <row r="6036" spans="1:4" hidden="1" x14ac:dyDescent="0.3">
      <c r="A6036">
        <v>6034</v>
      </c>
      <c r="B6036" t="s">
        <v>6904</v>
      </c>
      <c r="C6036" t="s">
        <v>88</v>
      </c>
      <c r="D6036">
        <v>100255739.574737</v>
      </c>
    </row>
    <row r="6037" spans="1:4" hidden="1" x14ac:dyDescent="0.3">
      <c r="A6037">
        <v>6035</v>
      </c>
      <c r="B6037" s="1" t="s">
        <v>6905</v>
      </c>
      <c r="C6037" t="s">
        <v>90</v>
      </c>
      <c r="D6037" s="1" t="s">
        <v>6851</v>
      </c>
    </row>
    <row r="6038" spans="1:4" hidden="1" x14ac:dyDescent="0.3">
      <c r="A6038">
        <v>6036</v>
      </c>
      <c r="B6038" t="s">
        <v>6906</v>
      </c>
      <c r="C6038" t="s">
        <v>93</v>
      </c>
      <c r="D6038">
        <v>79797414.902865693</v>
      </c>
    </row>
    <row r="6039" spans="1:4" hidden="1" x14ac:dyDescent="0.3">
      <c r="A6039">
        <v>6037</v>
      </c>
      <c r="B6039" t="s">
        <v>6907</v>
      </c>
      <c r="C6039" t="s">
        <v>95</v>
      </c>
      <c r="D6039">
        <v>34911118.890594803</v>
      </c>
    </row>
    <row r="6040" spans="1:4" hidden="1" x14ac:dyDescent="0.3">
      <c r="A6040">
        <v>6038</v>
      </c>
      <c r="B6040" t="s">
        <v>6908</v>
      </c>
      <c r="C6040" t="s">
        <v>97</v>
      </c>
      <c r="D6040">
        <v>35513309.7897515</v>
      </c>
    </row>
    <row r="6041" spans="1:4" hidden="1" x14ac:dyDescent="0.3">
      <c r="A6041">
        <v>6039</v>
      </c>
      <c r="B6041" s="1" t="s">
        <v>6909</v>
      </c>
      <c r="C6041" t="s">
        <v>99</v>
      </c>
      <c r="D6041" s="1" t="s">
        <v>6910</v>
      </c>
    </row>
    <row r="6042" spans="1:4" hidden="1" x14ac:dyDescent="0.3">
      <c r="A6042">
        <v>6040</v>
      </c>
      <c r="B6042" t="s">
        <v>6911</v>
      </c>
      <c r="C6042" t="s">
        <v>102</v>
      </c>
      <c r="D6042">
        <v>1.03204896582296E-2</v>
      </c>
    </row>
    <row r="6043" spans="1:4" hidden="1" x14ac:dyDescent="0.3">
      <c r="A6043">
        <v>6041</v>
      </c>
      <c r="B6043" t="s">
        <v>6912</v>
      </c>
      <c r="C6043" t="s">
        <v>104</v>
      </c>
      <c r="D6043">
        <v>1.5689592208198099E-3</v>
      </c>
    </row>
    <row r="6044" spans="1:4" hidden="1" x14ac:dyDescent="0.3">
      <c r="A6044">
        <v>6042</v>
      </c>
      <c r="B6044" t="s">
        <v>6913</v>
      </c>
      <c r="C6044" t="s">
        <v>106</v>
      </c>
      <c r="D6044">
        <v>9.5450074188112299E-3</v>
      </c>
    </row>
    <row r="6045" spans="1:4" hidden="1" x14ac:dyDescent="0.3">
      <c r="A6045">
        <v>6043</v>
      </c>
      <c r="B6045" s="1" t="s">
        <v>6914</v>
      </c>
      <c r="C6045" t="s">
        <v>108</v>
      </c>
      <c r="D6045" s="1" t="s">
        <v>6915</v>
      </c>
    </row>
    <row r="6046" spans="1:4" hidden="1" x14ac:dyDescent="0.3">
      <c r="A6046">
        <v>6044</v>
      </c>
      <c r="B6046" t="s">
        <v>6916</v>
      </c>
      <c r="C6046" t="s">
        <v>196</v>
      </c>
      <c r="D6046">
        <v>150222618.17732599</v>
      </c>
    </row>
    <row r="6047" spans="1:4" hidden="1" x14ac:dyDescent="0.3">
      <c r="A6047">
        <v>6045</v>
      </c>
      <c r="B6047" t="s">
        <v>6917</v>
      </c>
      <c r="C6047" t="s">
        <v>198</v>
      </c>
      <c r="D6047">
        <v>-1791.6556404646899</v>
      </c>
    </row>
    <row r="6048" spans="1:4" hidden="1" x14ac:dyDescent="0.3">
      <c r="A6048">
        <v>6046</v>
      </c>
      <c r="B6048" t="s">
        <v>6918</v>
      </c>
      <c r="C6048" t="s">
        <v>200</v>
      </c>
      <c r="D6048">
        <v>-783.839858808504</v>
      </c>
    </row>
    <row r="6049" spans="1:4" hidden="1" x14ac:dyDescent="0.3">
      <c r="A6049">
        <v>6047</v>
      </c>
      <c r="B6049" s="1" t="s">
        <v>6919</v>
      </c>
      <c r="C6049" t="s">
        <v>202</v>
      </c>
      <c r="D6049" s="1" t="s">
        <v>6920</v>
      </c>
    </row>
    <row r="6050" spans="1:4" hidden="1" x14ac:dyDescent="0.3">
      <c r="A6050">
        <v>6048</v>
      </c>
      <c r="B6050" t="s">
        <v>6921</v>
      </c>
      <c r="C6050" t="s">
        <v>205</v>
      </c>
      <c r="D6050">
        <v>79799804.429173693</v>
      </c>
    </row>
    <row r="6051" spans="1:4" hidden="1" x14ac:dyDescent="0.3">
      <c r="A6051">
        <v>6049</v>
      </c>
      <c r="B6051" t="s">
        <v>6922</v>
      </c>
      <c r="C6051" t="s">
        <v>207</v>
      </c>
      <c r="D6051">
        <v>34911992.027935803</v>
      </c>
    </row>
    <row r="6052" spans="1:4" hidden="1" x14ac:dyDescent="0.3">
      <c r="A6052">
        <v>6050</v>
      </c>
      <c r="B6052" t="s">
        <v>6923</v>
      </c>
      <c r="C6052" t="s">
        <v>209</v>
      </c>
      <c r="D6052">
        <v>35514194.576153897</v>
      </c>
    </row>
    <row r="6053" spans="1:4" hidden="1" x14ac:dyDescent="0.3">
      <c r="A6053">
        <v>6051</v>
      </c>
      <c r="B6053" s="1" t="s">
        <v>6924</v>
      </c>
      <c r="C6053" t="s">
        <v>211</v>
      </c>
      <c r="D6053" s="1" t="s">
        <v>6925</v>
      </c>
    </row>
    <row r="6054" spans="1:4" hidden="1" x14ac:dyDescent="0.3">
      <c r="A6054">
        <v>6052</v>
      </c>
      <c r="B6054" t="s">
        <v>6926</v>
      </c>
      <c r="C6054" t="s">
        <v>214</v>
      </c>
      <c r="D6054">
        <v>100257990.55511899</v>
      </c>
    </row>
    <row r="6055" spans="1:4" hidden="1" x14ac:dyDescent="0.3">
      <c r="A6055">
        <v>6053</v>
      </c>
      <c r="B6055" t="s">
        <v>6927</v>
      </c>
      <c r="C6055" t="s">
        <v>216</v>
      </c>
      <c r="D6055">
        <v>-2250.9803822785598</v>
      </c>
    </row>
    <row r="6056" spans="1:4" hidden="1" x14ac:dyDescent="0.3">
      <c r="A6056">
        <v>6054</v>
      </c>
      <c r="B6056" s="1" t="s">
        <v>6928</v>
      </c>
      <c r="C6056" t="s">
        <v>218</v>
      </c>
      <c r="D6056" s="1" t="s">
        <v>6929</v>
      </c>
    </row>
    <row r="6057" spans="1:4" hidden="1" x14ac:dyDescent="0.3">
      <c r="A6057">
        <v>6055</v>
      </c>
      <c r="B6057" t="s">
        <v>6930</v>
      </c>
      <c r="C6057" t="s">
        <v>111</v>
      </c>
      <c r="D6057">
        <v>597.87066761468805</v>
      </c>
    </row>
    <row r="6058" spans="1:4" hidden="1" x14ac:dyDescent="0.3">
      <c r="A6058">
        <v>6056</v>
      </c>
      <c r="B6058" t="s">
        <v>6931</v>
      </c>
      <c r="C6058" t="s">
        <v>113</v>
      </c>
      <c r="D6058">
        <v>89.297482169504093</v>
      </c>
    </row>
    <row r="6059" spans="1:4" hidden="1" x14ac:dyDescent="0.3">
      <c r="A6059">
        <v>6057</v>
      </c>
      <c r="B6059" s="1" t="s">
        <v>6932</v>
      </c>
      <c r="C6059" t="s">
        <v>115</v>
      </c>
      <c r="D6059" s="1" t="s">
        <v>6933</v>
      </c>
    </row>
    <row r="6060" spans="1:4" hidden="1" x14ac:dyDescent="0.3">
      <c r="A6060">
        <v>6058</v>
      </c>
      <c r="B6060" t="s">
        <v>6934</v>
      </c>
      <c r="C6060" t="s">
        <v>118</v>
      </c>
      <c r="D6060">
        <v>79799804.429173693</v>
      </c>
    </row>
    <row r="6061" spans="1:4" hidden="1" x14ac:dyDescent="0.3">
      <c r="A6061">
        <v>6059</v>
      </c>
      <c r="B6061" t="s">
        <v>6935</v>
      </c>
      <c r="C6061" t="s">
        <v>120</v>
      </c>
      <c r="D6061">
        <v>34911992.027935803</v>
      </c>
    </row>
    <row r="6062" spans="1:4" hidden="1" x14ac:dyDescent="0.3">
      <c r="A6062">
        <v>6060</v>
      </c>
      <c r="B6062" s="1" t="s">
        <v>6936</v>
      </c>
      <c r="C6062" t="s">
        <v>122</v>
      </c>
      <c r="D6062" s="1" t="s">
        <v>6937</v>
      </c>
    </row>
    <row r="6063" spans="1:4" hidden="1" x14ac:dyDescent="0.3">
      <c r="A6063">
        <v>6061</v>
      </c>
      <c r="B6063" t="s">
        <v>6938</v>
      </c>
      <c r="C6063" t="s">
        <v>125</v>
      </c>
      <c r="D6063">
        <v>0.79590875610665901</v>
      </c>
    </row>
    <row r="6064" spans="1:4" hidden="1" x14ac:dyDescent="0.3">
      <c r="A6064">
        <v>6062</v>
      </c>
      <c r="B6064" t="s">
        <v>6939</v>
      </c>
      <c r="C6064" t="s">
        <v>127</v>
      </c>
      <c r="D6064">
        <v>0.34820586775776002</v>
      </c>
    </row>
    <row r="6065" spans="1:4" hidden="1" x14ac:dyDescent="0.3">
      <c r="A6065">
        <v>6063</v>
      </c>
      <c r="B6065" s="1" t="s">
        <v>6940</v>
      </c>
      <c r="C6065" t="s">
        <v>129</v>
      </c>
      <c r="D6065" s="1" t="s">
        <v>6941</v>
      </c>
    </row>
    <row r="6066" spans="1:4" ht="72" x14ac:dyDescent="0.3">
      <c r="A6066">
        <v>6064</v>
      </c>
      <c r="B6066" s="1" t="s">
        <v>3</v>
      </c>
      <c r="C6066" t="s">
        <v>4</v>
      </c>
      <c r="D6066" t="s">
        <v>5</v>
      </c>
    </row>
    <row r="6067" spans="1:4" hidden="1" x14ac:dyDescent="0.3">
      <c r="A6067">
        <v>6065</v>
      </c>
      <c r="B6067" t="s">
        <v>6</v>
      </c>
      <c r="C6067" t="s">
        <v>7</v>
      </c>
      <c r="D6067">
        <v>1981.95</v>
      </c>
    </row>
    <row r="6068" spans="1:4" hidden="1" x14ac:dyDescent="0.3">
      <c r="A6068">
        <v>6066</v>
      </c>
      <c r="B6068" s="1" t="s">
        <v>131</v>
      </c>
      <c r="C6068" t="s">
        <v>9</v>
      </c>
      <c r="D6068" s="1" t="s">
        <v>132</v>
      </c>
    </row>
    <row r="6069" spans="1:4" hidden="1" x14ac:dyDescent="0.3">
      <c r="A6069">
        <v>6067</v>
      </c>
      <c r="B6069" t="s">
        <v>13</v>
      </c>
      <c r="C6069" t="s">
        <v>14</v>
      </c>
      <c r="D6069">
        <v>91.74609375</v>
      </c>
    </row>
    <row r="6070" spans="1:4" hidden="1" x14ac:dyDescent="0.3">
      <c r="A6070">
        <v>6068</v>
      </c>
      <c r="B6070" t="s">
        <v>15</v>
      </c>
      <c r="C6070" t="s">
        <v>16</v>
      </c>
      <c r="D6070">
        <v>4.1883572307132804</v>
      </c>
    </row>
    <row r="6071" spans="1:4" hidden="1" x14ac:dyDescent="0.3">
      <c r="A6071">
        <v>6069</v>
      </c>
      <c r="B6071" s="1" t="s">
        <v>133</v>
      </c>
      <c r="C6071" t="s">
        <v>134</v>
      </c>
      <c r="D6071" s="1" t="s">
        <v>135</v>
      </c>
    </row>
    <row r="6072" spans="1:4" hidden="1" x14ac:dyDescent="0.3">
      <c r="A6072">
        <v>6070</v>
      </c>
      <c r="B6072" t="s">
        <v>21</v>
      </c>
      <c r="C6072" t="s">
        <v>22</v>
      </c>
      <c r="D6072">
        <v>38.25</v>
      </c>
    </row>
    <row r="6073" spans="1:4" hidden="1" x14ac:dyDescent="0.3">
      <c r="A6073">
        <v>6071</v>
      </c>
      <c r="B6073" t="s">
        <v>6942</v>
      </c>
      <c r="C6073" t="s">
        <v>24</v>
      </c>
      <c r="D6073">
        <v>6.5626623378360804</v>
      </c>
    </row>
    <row r="6074" spans="1:4" hidden="1" x14ac:dyDescent="0.3">
      <c r="A6074">
        <v>6072</v>
      </c>
      <c r="B6074" s="1" t="s">
        <v>6943</v>
      </c>
      <c r="C6074" t="s">
        <v>138</v>
      </c>
      <c r="D6074" s="1" t="s">
        <v>6944</v>
      </c>
    </row>
    <row r="6075" spans="1:4" hidden="1" x14ac:dyDescent="0.3">
      <c r="A6075">
        <v>6073</v>
      </c>
      <c r="B6075" t="s">
        <v>6945</v>
      </c>
      <c r="C6075" t="s">
        <v>35</v>
      </c>
      <c r="D6075">
        <v>0.52525974406603604</v>
      </c>
    </row>
    <row r="6076" spans="1:4" hidden="1" x14ac:dyDescent="0.3">
      <c r="A6076">
        <v>6074</v>
      </c>
      <c r="B6076" t="s">
        <v>6946</v>
      </c>
      <c r="C6076" t="s">
        <v>142</v>
      </c>
      <c r="D6076">
        <v>0.75135249880402999</v>
      </c>
    </row>
    <row r="6077" spans="1:4" hidden="1" x14ac:dyDescent="0.3">
      <c r="A6077">
        <v>6075</v>
      </c>
      <c r="B6077" s="1" t="s">
        <v>6947</v>
      </c>
      <c r="C6077" t="s">
        <v>144</v>
      </c>
      <c r="D6077" s="1" t="s">
        <v>6948</v>
      </c>
    </row>
    <row r="6078" spans="1:4" hidden="1" x14ac:dyDescent="0.3">
      <c r="A6078">
        <v>6076</v>
      </c>
      <c r="B6078" t="s">
        <v>6949</v>
      </c>
      <c r="C6078" t="s">
        <v>30</v>
      </c>
      <c r="D6078">
        <v>0.185497875009345</v>
      </c>
    </row>
    <row r="6079" spans="1:4" hidden="1" x14ac:dyDescent="0.3">
      <c r="A6079">
        <v>6077</v>
      </c>
      <c r="B6079" t="s">
        <v>6950</v>
      </c>
      <c r="C6079" t="s">
        <v>32</v>
      </c>
      <c r="D6079">
        <v>0.185002848758793</v>
      </c>
    </row>
    <row r="6080" spans="1:4" hidden="1" x14ac:dyDescent="0.3">
      <c r="A6080">
        <v>6078</v>
      </c>
      <c r="B6080" s="1" t="s">
        <v>6951</v>
      </c>
      <c r="C6080" t="s">
        <v>148</v>
      </c>
      <c r="D6080" s="1" t="s">
        <v>6952</v>
      </c>
    </row>
    <row r="6081" spans="1:4" hidden="1" x14ac:dyDescent="0.3">
      <c r="A6081">
        <v>6079</v>
      </c>
      <c r="B6081" t="s">
        <v>6953</v>
      </c>
      <c r="C6081" t="s">
        <v>40</v>
      </c>
      <c r="D6081">
        <v>0.28924238092461801</v>
      </c>
    </row>
    <row r="6082" spans="1:4" hidden="1" x14ac:dyDescent="0.3">
      <c r="A6082">
        <v>6080</v>
      </c>
      <c r="B6082" t="s">
        <v>6954</v>
      </c>
      <c r="C6082" t="s">
        <v>42</v>
      </c>
      <c r="D6082">
        <v>0.14593037045822599</v>
      </c>
    </row>
    <row r="6083" spans="1:4" hidden="1" x14ac:dyDescent="0.3">
      <c r="A6083">
        <v>6081</v>
      </c>
      <c r="B6083" s="1" t="s">
        <v>6955</v>
      </c>
      <c r="C6083" t="s">
        <v>152</v>
      </c>
      <c r="D6083" s="1" t="s">
        <v>6956</v>
      </c>
    </row>
    <row r="6084" spans="1:4" hidden="1" x14ac:dyDescent="0.3">
      <c r="A6084">
        <v>6082</v>
      </c>
      <c r="B6084" t="s">
        <v>153</v>
      </c>
      <c r="C6084" t="s">
        <v>154</v>
      </c>
      <c r="D6084">
        <v>1</v>
      </c>
    </row>
    <row r="6085" spans="1:4" hidden="1" x14ac:dyDescent="0.3">
      <c r="A6085">
        <v>6083</v>
      </c>
      <c r="B6085" t="s">
        <v>155</v>
      </c>
      <c r="C6085" t="s">
        <v>156</v>
      </c>
      <c r="D6085">
        <v>1</v>
      </c>
    </row>
    <row r="6086" spans="1:4" hidden="1" x14ac:dyDescent="0.3">
      <c r="A6086">
        <v>6084</v>
      </c>
      <c r="B6086" s="1" t="s">
        <v>6957</v>
      </c>
      <c r="C6086" t="s">
        <v>158</v>
      </c>
      <c r="D6086" s="1" t="s">
        <v>6958</v>
      </c>
    </row>
    <row r="6087" spans="1:4" hidden="1" x14ac:dyDescent="0.3">
      <c r="A6087">
        <v>6085</v>
      </c>
      <c r="B6087" t="s">
        <v>6959</v>
      </c>
      <c r="C6087" t="s">
        <v>161</v>
      </c>
      <c r="D6087">
        <v>0.99955136534568501</v>
      </c>
    </row>
    <row r="6088" spans="1:4" hidden="1" x14ac:dyDescent="0.3">
      <c r="A6088">
        <v>6086</v>
      </c>
      <c r="B6088" t="s">
        <v>6960</v>
      </c>
      <c r="C6088" t="s">
        <v>163</v>
      </c>
      <c r="D6088">
        <v>1.00055990040876</v>
      </c>
    </row>
    <row r="6089" spans="1:4" hidden="1" x14ac:dyDescent="0.3">
      <c r="A6089">
        <v>6087</v>
      </c>
      <c r="B6089" s="1" t="s">
        <v>6961</v>
      </c>
      <c r="C6089" t="s">
        <v>165</v>
      </c>
      <c r="D6089" s="1" t="s">
        <v>6962</v>
      </c>
    </row>
    <row r="6090" spans="1:4" hidden="1" x14ac:dyDescent="0.3">
      <c r="A6090">
        <v>6088</v>
      </c>
      <c r="B6090" s="1" t="s">
        <v>6963</v>
      </c>
      <c r="C6090" t="s">
        <v>55</v>
      </c>
      <c r="D6090" s="1" t="s">
        <v>6964</v>
      </c>
    </row>
    <row r="6091" spans="1:4" hidden="1" x14ac:dyDescent="0.3">
      <c r="A6091">
        <v>6089</v>
      </c>
      <c r="B6091" s="1" t="s">
        <v>6965</v>
      </c>
      <c r="C6091" t="s">
        <v>52</v>
      </c>
      <c r="D6091" s="1" t="s">
        <v>6966</v>
      </c>
    </row>
    <row r="6092" spans="1:4" hidden="1" x14ac:dyDescent="0.3">
      <c r="A6092">
        <v>6090</v>
      </c>
      <c r="B6092" s="1" t="s">
        <v>6967</v>
      </c>
      <c r="C6092" t="s">
        <v>58</v>
      </c>
      <c r="D6092" s="1" t="s">
        <v>6968</v>
      </c>
    </row>
    <row r="6093" spans="1:4" hidden="1" x14ac:dyDescent="0.3">
      <c r="A6093">
        <v>6091</v>
      </c>
      <c r="B6093" t="s">
        <v>6969</v>
      </c>
      <c r="C6093" t="s">
        <v>60</v>
      </c>
      <c r="D6093">
        <v>150199879.64528799</v>
      </c>
    </row>
    <row r="6094" spans="1:4" hidden="1" x14ac:dyDescent="0.3">
      <c r="A6094">
        <v>6092</v>
      </c>
      <c r="B6094" t="s">
        <v>6970</v>
      </c>
      <c r="C6094" t="s">
        <v>62</v>
      </c>
      <c r="D6094">
        <v>79799804.429173693</v>
      </c>
    </row>
    <row r="6095" spans="1:4" hidden="1" x14ac:dyDescent="0.3">
      <c r="A6095">
        <v>6093</v>
      </c>
      <c r="B6095" t="s">
        <v>6971</v>
      </c>
      <c r="C6095" t="s">
        <v>64</v>
      </c>
      <c r="D6095">
        <v>34911992.027935803</v>
      </c>
    </row>
    <row r="6096" spans="1:4" hidden="1" x14ac:dyDescent="0.3">
      <c r="A6096">
        <v>6094</v>
      </c>
      <c r="B6096" s="1" t="s">
        <v>6972</v>
      </c>
      <c r="C6096" t="s">
        <v>66</v>
      </c>
      <c r="D6096" s="1" t="s">
        <v>6973</v>
      </c>
    </row>
    <row r="6097" spans="1:4" hidden="1" x14ac:dyDescent="0.3">
      <c r="A6097">
        <v>6095</v>
      </c>
      <c r="B6097" s="1" t="s">
        <v>6974</v>
      </c>
      <c r="C6097" t="s">
        <v>69</v>
      </c>
      <c r="D6097" s="1" t="s">
        <v>6975</v>
      </c>
    </row>
    <row r="6098" spans="1:4" hidden="1" x14ac:dyDescent="0.3">
      <c r="A6098">
        <v>6096</v>
      </c>
      <c r="B6098" t="s">
        <v>6976</v>
      </c>
      <c r="C6098" t="s">
        <v>72</v>
      </c>
      <c r="D6098">
        <v>1.00004501312256</v>
      </c>
    </row>
    <row r="6099" spans="1:4" hidden="1" x14ac:dyDescent="0.3">
      <c r="A6099">
        <v>6097</v>
      </c>
      <c r="B6099" t="s">
        <v>73</v>
      </c>
      <c r="C6099" t="s">
        <v>74</v>
      </c>
      <c r="D6099">
        <v>2.7397260273972599E-3</v>
      </c>
    </row>
    <row r="6100" spans="1:4" hidden="1" x14ac:dyDescent="0.3">
      <c r="A6100">
        <v>6098</v>
      </c>
      <c r="B6100" t="s">
        <v>75</v>
      </c>
      <c r="C6100" t="s">
        <v>76</v>
      </c>
      <c r="D6100">
        <v>0</v>
      </c>
    </row>
    <row r="6101" spans="1:4" hidden="1" x14ac:dyDescent="0.3">
      <c r="A6101">
        <v>6099</v>
      </c>
      <c r="B6101" t="s">
        <v>2686</v>
      </c>
      <c r="C6101" t="s">
        <v>78</v>
      </c>
      <c r="D6101" s="2">
        <v>-2.2204460492503101E-16</v>
      </c>
    </row>
    <row r="6102" spans="1:4" hidden="1" x14ac:dyDescent="0.3">
      <c r="A6102">
        <v>6100</v>
      </c>
      <c r="B6102" s="1" t="s">
        <v>6977</v>
      </c>
      <c r="C6102" t="s">
        <v>80</v>
      </c>
      <c r="D6102" s="1" t="s">
        <v>6978</v>
      </c>
    </row>
    <row r="6103" spans="1:4" hidden="1" x14ac:dyDescent="0.3">
      <c r="A6103">
        <v>6101</v>
      </c>
      <c r="B6103" t="s">
        <v>6979</v>
      </c>
      <c r="C6103" t="s">
        <v>83</v>
      </c>
      <c r="D6103">
        <v>1.00007775688568</v>
      </c>
    </row>
    <row r="6104" spans="1:4" hidden="1" x14ac:dyDescent="0.3">
      <c r="A6104">
        <v>6102</v>
      </c>
      <c r="B6104" s="1" t="s">
        <v>6980</v>
      </c>
      <c r="C6104" t="s">
        <v>85</v>
      </c>
      <c r="D6104" s="1" t="s">
        <v>6981</v>
      </c>
    </row>
    <row r="6105" spans="1:4" hidden="1" x14ac:dyDescent="0.3">
      <c r="A6105">
        <v>6103</v>
      </c>
      <c r="B6105" t="s">
        <v>6982</v>
      </c>
      <c r="C6105" t="s">
        <v>88</v>
      </c>
      <c r="D6105">
        <v>100252457.079785</v>
      </c>
    </row>
    <row r="6106" spans="1:4" hidden="1" x14ac:dyDescent="0.3">
      <c r="A6106">
        <v>6104</v>
      </c>
      <c r="B6106" s="1" t="s">
        <v>6983</v>
      </c>
      <c r="C6106" t="s">
        <v>90</v>
      </c>
      <c r="D6106" s="1" t="s">
        <v>6929</v>
      </c>
    </row>
    <row r="6107" spans="1:4" hidden="1" x14ac:dyDescent="0.3">
      <c r="A6107">
        <v>6105</v>
      </c>
      <c r="B6107" t="s">
        <v>6984</v>
      </c>
      <c r="C6107" t="s">
        <v>93</v>
      </c>
      <c r="D6107">
        <v>79799804.429173693</v>
      </c>
    </row>
    <row r="6108" spans="1:4" hidden="1" x14ac:dyDescent="0.3">
      <c r="A6108">
        <v>6106</v>
      </c>
      <c r="B6108" t="s">
        <v>6985</v>
      </c>
      <c r="C6108" t="s">
        <v>95</v>
      </c>
      <c r="D6108">
        <v>34911992.027935803</v>
      </c>
    </row>
    <row r="6109" spans="1:4" hidden="1" x14ac:dyDescent="0.3">
      <c r="A6109">
        <v>6107</v>
      </c>
      <c r="B6109" t="s">
        <v>6986</v>
      </c>
      <c r="C6109" t="s">
        <v>97</v>
      </c>
      <c r="D6109">
        <v>35488083.188179202</v>
      </c>
    </row>
    <row r="6110" spans="1:4" hidden="1" x14ac:dyDescent="0.3">
      <c r="A6110">
        <v>6108</v>
      </c>
      <c r="B6110" s="1" t="s">
        <v>6987</v>
      </c>
      <c r="C6110" t="s">
        <v>99</v>
      </c>
      <c r="D6110" s="1" t="s">
        <v>6988</v>
      </c>
    </row>
    <row r="6111" spans="1:4" hidden="1" x14ac:dyDescent="0.3">
      <c r="A6111">
        <v>6109</v>
      </c>
      <c r="B6111" t="s">
        <v>6989</v>
      </c>
      <c r="C6111" t="s">
        <v>102</v>
      </c>
      <c r="D6111">
        <v>1.07143725631096E-2</v>
      </c>
    </row>
    <row r="6112" spans="1:4" hidden="1" x14ac:dyDescent="0.3">
      <c r="A6112">
        <v>6110</v>
      </c>
      <c r="B6112" t="s">
        <v>6990</v>
      </c>
      <c r="C6112" t="s">
        <v>104</v>
      </c>
      <c r="D6112">
        <v>1.6110378566516299E-3</v>
      </c>
    </row>
    <row r="6113" spans="1:4" hidden="1" x14ac:dyDescent="0.3">
      <c r="A6113">
        <v>6111</v>
      </c>
      <c r="B6113" t="s">
        <v>6991</v>
      </c>
      <c r="C6113" t="s">
        <v>106</v>
      </c>
      <c r="D6113">
        <v>9.9607028668743207E-3</v>
      </c>
    </row>
    <row r="6114" spans="1:4" hidden="1" x14ac:dyDescent="0.3">
      <c r="A6114">
        <v>6112</v>
      </c>
      <c r="B6114" s="1" t="s">
        <v>6992</v>
      </c>
      <c r="C6114" t="s">
        <v>108</v>
      </c>
      <c r="D6114" s="1" t="s">
        <v>6993</v>
      </c>
    </row>
    <row r="6115" spans="1:4" hidden="1" x14ac:dyDescent="0.3">
      <c r="A6115">
        <v>6113</v>
      </c>
      <c r="B6115" t="s">
        <v>6994</v>
      </c>
      <c r="C6115" t="s">
        <v>196</v>
      </c>
      <c r="D6115">
        <v>150201009.06510299</v>
      </c>
    </row>
    <row r="6116" spans="1:4" hidden="1" x14ac:dyDescent="0.3">
      <c r="A6116">
        <v>6114</v>
      </c>
      <c r="B6116" t="s">
        <v>6995</v>
      </c>
      <c r="C6116" t="s">
        <v>198</v>
      </c>
      <c r="D6116">
        <v>-2612.8552406436502</v>
      </c>
    </row>
    <row r="6117" spans="1:4" hidden="1" x14ac:dyDescent="0.3">
      <c r="A6117">
        <v>6115</v>
      </c>
      <c r="B6117" t="s">
        <v>6996</v>
      </c>
      <c r="C6117" t="s">
        <v>200</v>
      </c>
      <c r="D6117">
        <v>-1143.1025668913601</v>
      </c>
    </row>
    <row r="6118" spans="1:4" hidden="1" x14ac:dyDescent="0.3">
      <c r="A6118">
        <v>6116</v>
      </c>
      <c r="B6118" s="1" t="s">
        <v>6997</v>
      </c>
      <c r="C6118" t="s">
        <v>202</v>
      </c>
      <c r="D6118" s="1" t="s">
        <v>6998</v>
      </c>
    </row>
    <row r="6119" spans="1:4" hidden="1" x14ac:dyDescent="0.3">
      <c r="A6119">
        <v>6117</v>
      </c>
      <c r="B6119" t="s">
        <v>6999</v>
      </c>
      <c r="C6119" t="s">
        <v>205</v>
      </c>
      <c r="D6119">
        <v>79803240.651999399</v>
      </c>
    </row>
    <row r="6120" spans="1:4" hidden="1" x14ac:dyDescent="0.3">
      <c r="A6120">
        <v>6118</v>
      </c>
      <c r="B6120" t="s">
        <v>7000</v>
      </c>
      <c r="C6120" t="s">
        <v>207</v>
      </c>
      <c r="D6120">
        <v>34913258.039154798</v>
      </c>
    </row>
    <row r="6121" spans="1:4" hidden="1" x14ac:dyDescent="0.3">
      <c r="A6121">
        <v>6119</v>
      </c>
      <c r="B6121" t="s">
        <v>7001</v>
      </c>
      <c r="C6121" t="s">
        <v>209</v>
      </c>
      <c r="D6121">
        <v>35489428.2988391</v>
      </c>
    </row>
    <row r="6122" spans="1:4" hidden="1" x14ac:dyDescent="0.3">
      <c r="A6122">
        <v>6120</v>
      </c>
      <c r="B6122" s="1" t="s">
        <v>7002</v>
      </c>
      <c r="C6122" t="s">
        <v>211</v>
      </c>
      <c r="D6122" s="1" t="s">
        <v>7003</v>
      </c>
    </row>
    <row r="6123" spans="1:4" hidden="1" x14ac:dyDescent="0.3">
      <c r="A6123">
        <v>6121</v>
      </c>
      <c r="B6123" t="s">
        <v>7004</v>
      </c>
      <c r="C6123" t="s">
        <v>214</v>
      </c>
      <c r="D6123">
        <v>100255739.574737</v>
      </c>
    </row>
    <row r="6124" spans="1:4" hidden="1" x14ac:dyDescent="0.3">
      <c r="A6124">
        <v>6122</v>
      </c>
      <c r="B6124" t="s">
        <v>7005</v>
      </c>
      <c r="C6124" t="s">
        <v>216</v>
      </c>
      <c r="D6124">
        <v>-3282.4949514865798</v>
      </c>
    </row>
    <row r="6125" spans="1:4" hidden="1" x14ac:dyDescent="0.3">
      <c r="A6125">
        <v>6123</v>
      </c>
      <c r="B6125" s="1" t="s">
        <v>7006</v>
      </c>
      <c r="C6125" t="s">
        <v>218</v>
      </c>
      <c r="D6125" s="1" t="s">
        <v>7007</v>
      </c>
    </row>
    <row r="6126" spans="1:4" hidden="1" x14ac:dyDescent="0.3">
      <c r="A6126">
        <v>6124</v>
      </c>
      <c r="B6126" t="s">
        <v>7008</v>
      </c>
      <c r="C6126" t="s">
        <v>111</v>
      </c>
      <c r="D6126">
        <v>823.36758505253397</v>
      </c>
    </row>
    <row r="6127" spans="1:4" hidden="1" x14ac:dyDescent="0.3">
      <c r="A6127">
        <v>6125</v>
      </c>
      <c r="B6127" t="s">
        <v>7009</v>
      </c>
      <c r="C6127" t="s">
        <v>113</v>
      </c>
      <c r="D6127">
        <v>122.908652101594</v>
      </c>
    </row>
    <row r="6128" spans="1:4" hidden="1" x14ac:dyDescent="0.3">
      <c r="A6128">
        <v>6126</v>
      </c>
      <c r="B6128" s="1" t="s">
        <v>7010</v>
      </c>
      <c r="C6128" t="s">
        <v>115</v>
      </c>
      <c r="D6128" s="1" t="s">
        <v>7011</v>
      </c>
    </row>
    <row r="6129" spans="1:4" hidden="1" x14ac:dyDescent="0.3">
      <c r="A6129">
        <v>6127</v>
      </c>
      <c r="B6129" t="s">
        <v>7012</v>
      </c>
      <c r="C6129" t="s">
        <v>118</v>
      </c>
      <c r="D6129">
        <v>79803240.651999399</v>
      </c>
    </row>
    <row r="6130" spans="1:4" hidden="1" x14ac:dyDescent="0.3">
      <c r="A6130">
        <v>6128</v>
      </c>
      <c r="B6130" t="s">
        <v>7013</v>
      </c>
      <c r="C6130" t="s">
        <v>120</v>
      </c>
      <c r="D6130">
        <v>34913258.039154798</v>
      </c>
    </row>
    <row r="6131" spans="1:4" hidden="1" x14ac:dyDescent="0.3">
      <c r="A6131">
        <v>6129</v>
      </c>
      <c r="B6131" s="1" t="s">
        <v>7014</v>
      </c>
      <c r="C6131" t="s">
        <v>122</v>
      </c>
      <c r="D6131" s="1" t="s">
        <v>7015</v>
      </c>
    </row>
    <row r="6132" spans="1:4" hidden="1" x14ac:dyDescent="0.3">
      <c r="A6132">
        <v>6130</v>
      </c>
      <c r="B6132" t="s">
        <v>7016</v>
      </c>
      <c r="C6132" t="s">
        <v>125</v>
      </c>
      <c r="D6132">
        <v>0.79593483845896695</v>
      </c>
    </row>
    <row r="6133" spans="1:4" hidden="1" x14ac:dyDescent="0.3">
      <c r="A6133">
        <v>6131</v>
      </c>
      <c r="B6133" t="s">
        <v>7017</v>
      </c>
      <c r="C6133" t="s">
        <v>127</v>
      </c>
      <c r="D6133">
        <v>0.34821491170577701</v>
      </c>
    </row>
    <row r="6134" spans="1:4" hidden="1" x14ac:dyDescent="0.3">
      <c r="A6134">
        <v>6132</v>
      </c>
      <c r="B6134" s="1" t="s">
        <v>7018</v>
      </c>
      <c r="C6134" t="s">
        <v>129</v>
      </c>
      <c r="D6134" s="1" t="s">
        <v>7019</v>
      </c>
    </row>
    <row r="6135" spans="1:4" ht="72" x14ac:dyDescent="0.3">
      <c r="A6135">
        <v>6133</v>
      </c>
      <c r="B6135" s="1" t="s">
        <v>3</v>
      </c>
      <c r="C6135" t="s">
        <v>4</v>
      </c>
      <c r="D6135" t="s">
        <v>5</v>
      </c>
    </row>
    <row r="6136" spans="1:4" hidden="1" x14ac:dyDescent="0.3">
      <c r="A6136">
        <v>6134</v>
      </c>
      <c r="B6136" t="s">
        <v>6</v>
      </c>
      <c r="C6136" t="s">
        <v>7</v>
      </c>
      <c r="D6136">
        <v>1981.95</v>
      </c>
    </row>
    <row r="6137" spans="1:4" hidden="1" x14ac:dyDescent="0.3">
      <c r="A6137">
        <v>6135</v>
      </c>
      <c r="B6137" s="1" t="s">
        <v>131</v>
      </c>
      <c r="C6137" t="s">
        <v>9</v>
      </c>
      <c r="D6137" s="1" t="s">
        <v>132</v>
      </c>
    </row>
    <row r="6138" spans="1:4" hidden="1" x14ac:dyDescent="0.3">
      <c r="A6138">
        <v>6136</v>
      </c>
      <c r="B6138" t="s">
        <v>13</v>
      </c>
      <c r="C6138" t="s">
        <v>14</v>
      </c>
      <c r="D6138">
        <v>91.74609375</v>
      </c>
    </row>
    <row r="6139" spans="1:4" hidden="1" x14ac:dyDescent="0.3">
      <c r="A6139">
        <v>6137</v>
      </c>
      <c r="B6139" t="s">
        <v>15</v>
      </c>
      <c r="C6139" t="s">
        <v>16</v>
      </c>
      <c r="D6139">
        <v>4.1883572307132804</v>
      </c>
    </row>
    <row r="6140" spans="1:4" hidden="1" x14ac:dyDescent="0.3">
      <c r="A6140">
        <v>6138</v>
      </c>
      <c r="B6140" s="1" t="s">
        <v>133</v>
      </c>
      <c r="C6140" t="s">
        <v>134</v>
      </c>
      <c r="D6140" s="1" t="s">
        <v>135</v>
      </c>
    </row>
    <row r="6141" spans="1:4" hidden="1" x14ac:dyDescent="0.3">
      <c r="A6141">
        <v>6139</v>
      </c>
      <c r="B6141" t="s">
        <v>21</v>
      </c>
      <c r="C6141" t="s">
        <v>22</v>
      </c>
      <c r="D6141">
        <v>38.25</v>
      </c>
    </row>
    <row r="6142" spans="1:4" hidden="1" x14ac:dyDescent="0.3">
      <c r="A6142">
        <v>6140</v>
      </c>
      <c r="B6142" t="s">
        <v>7020</v>
      </c>
      <c r="C6142" t="s">
        <v>24</v>
      </c>
      <c r="D6142">
        <v>6.5587060272241597</v>
      </c>
    </row>
    <row r="6143" spans="1:4" hidden="1" x14ac:dyDescent="0.3">
      <c r="A6143">
        <v>6141</v>
      </c>
      <c r="B6143" s="1" t="s">
        <v>7021</v>
      </c>
      <c r="C6143" t="s">
        <v>138</v>
      </c>
      <c r="D6143" s="1" t="s">
        <v>7022</v>
      </c>
    </row>
    <row r="6144" spans="1:4" hidden="1" x14ac:dyDescent="0.3">
      <c r="A6144">
        <v>6142</v>
      </c>
      <c r="B6144" t="s">
        <v>7023</v>
      </c>
      <c r="C6144" t="s">
        <v>35</v>
      </c>
      <c r="D6144">
        <v>0.52463909871384395</v>
      </c>
    </row>
    <row r="6145" spans="1:4" hidden="1" x14ac:dyDescent="0.3">
      <c r="A6145">
        <v>6143</v>
      </c>
      <c r="B6145" t="s">
        <v>7024</v>
      </c>
      <c r="C6145" t="s">
        <v>142</v>
      </c>
      <c r="D6145">
        <v>0.749039329114082</v>
      </c>
    </row>
    <row r="6146" spans="1:4" hidden="1" x14ac:dyDescent="0.3">
      <c r="A6146">
        <v>6144</v>
      </c>
      <c r="B6146" s="1" t="s">
        <v>7025</v>
      </c>
      <c r="C6146" t="s">
        <v>144</v>
      </c>
      <c r="D6146" s="1" t="s">
        <v>7026</v>
      </c>
    </row>
    <row r="6147" spans="1:4" hidden="1" x14ac:dyDescent="0.3">
      <c r="A6147">
        <v>6145</v>
      </c>
      <c r="B6147" t="s">
        <v>7027</v>
      </c>
      <c r="C6147" t="s">
        <v>30</v>
      </c>
      <c r="D6147">
        <v>0.18527869127164801</v>
      </c>
    </row>
    <row r="6148" spans="1:4" hidden="1" x14ac:dyDescent="0.3">
      <c r="A6148">
        <v>6146</v>
      </c>
      <c r="B6148" t="s">
        <v>7028</v>
      </c>
      <c r="C6148" t="s">
        <v>32</v>
      </c>
      <c r="D6148">
        <v>0.18726622545038801</v>
      </c>
    </row>
    <row r="6149" spans="1:4" hidden="1" x14ac:dyDescent="0.3">
      <c r="A6149">
        <v>6147</v>
      </c>
      <c r="B6149" s="1" t="s">
        <v>7029</v>
      </c>
      <c r="C6149" t="s">
        <v>148</v>
      </c>
      <c r="D6149" s="1" t="s">
        <v>7030</v>
      </c>
    </row>
    <row r="6150" spans="1:4" hidden="1" x14ac:dyDescent="0.3">
      <c r="A6150">
        <v>6148</v>
      </c>
      <c r="B6150" t="s">
        <v>7031</v>
      </c>
      <c r="C6150" t="s">
        <v>40</v>
      </c>
      <c r="D6150">
        <v>0.29008221001450701</v>
      </c>
    </row>
    <row r="6151" spans="1:4" hidden="1" x14ac:dyDescent="0.3">
      <c r="A6151">
        <v>6149</v>
      </c>
      <c r="B6151" t="s">
        <v>7032</v>
      </c>
      <c r="C6151" t="s">
        <v>42</v>
      </c>
      <c r="D6151">
        <v>0.14777715762902499</v>
      </c>
    </row>
    <row r="6152" spans="1:4" hidden="1" x14ac:dyDescent="0.3">
      <c r="A6152">
        <v>6150</v>
      </c>
      <c r="B6152" s="1" t="s">
        <v>7033</v>
      </c>
      <c r="C6152" t="s">
        <v>152</v>
      </c>
      <c r="D6152" s="1" t="s">
        <v>7034</v>
      </c>
    </row>
    <row r="6153" spans="1:4" hidden="1" x14ac:dyDescent="0.3">
      <c r="A6153">
        <v>6151</v>
      </c>
      <c r="B6153" t="s">
        <v>153</v>
      </c>
      <c r="C6153" t="s">
        <v>154</v>
      </c>
      <c r="D6153">
        <v>1</v>
      </c>
    </row>
    <row r="6154" spans="1:4" hidden="1" x14ac:dyDescent="0.3">
      <c r="A6154">
        <v>6152</v>
      </c>
      <c r="B6154" t="s">
        <v>155</v>
      </c>
      <c r="C6154" t="s">
        <v>156</v>
      </c>
      <c r="D6154">
        <v>1</v>
      </c>
    </row>
    <row r="6155" spans="1:4" hidden="1" x14ac:dyDescent="0.3">
      <c r="A6155">
        <v>6153</v>
      </c>
      <c r="B6155" s="1" t="s">
        <v>7035</v>
      </c>
      <c r="C6155" t="s">
        <v>158</v>
      </c>
      <c r="D6155" s="1" t="s">
        <v>7036</v>
      </c>
    </row>
    <row r="6156" spans="1:4" hidden="1" x14ac:dyDescent="0.3">
      <c r="A6156">
        <v>6154</v>
      </c>
      <c r="B6156" t="s">
        <v>7037</v>
      </c>
      <c r="C6156" t="s">
        <v>161</v>
      </c>
      <c r="D6156">
        <v>0.99867920953004696</v>
      </c>
    </row>
    <row r="6157" spans="1:4" hidden="1" x14ac:dyDescent="0.3">
      <c r="A6157">
        <v>6155</v>
      </c>
      <c r="B6157" t="s">
        <v>7038</v>
      </c>
      <c r="C6157" t="s">
        <v>163</v>
      </c>
      <c r="D6157">
        <v>1.00191001793283</v>
      </c>
    </row>
    <row r="6158" spans="1:4" hidden="1" x14ac:dyDescent="0.3">
      <c r="A6158">
        <v>6156</v>
      </c>
      <c r="B6158" s="1" t="s">
        <v>7039</v>
      </c>
      <c r="C6158" t="s">
        <v>165</v>
      </c>
      <c r="D6158" s="1" t="s">
        <v>7040</v>
      </c>
    </row>
    <row r="6159" spans="1:4" hidden="1" x14ac:dyDescent="0.3">
      <c r="A6159">
        <v>6157</v>
      </c>
      <c r="B6159" s="1" t="s">
        <v>7041</v>
      </c>
      <c r="C6159" t="s">
        <v>55</v>
      </c>
      <c r="D6159" s="1" t="s">
        <v>7042</v>
      </c>
    </row>
    <row r="6160" spans="1:4" hidden="1" x14ac:dyDescent="0.3">
      <c r="A6160">
        <v>6158</v>
      </c>
      <c r="B6160" s="1" t="s">
        <v>7043</v>
      </c>
      <c r="C6160" t="s">
        <v>52</v>
      </c>
      <c r="D6160" s="1" t="s">
        <v>7044</v>
      </c>
    </row>
    <row r="6161" spans="1:4" hidden="1" x14ac:dyDescent="0.3">
      <c r="A6161">
        <v>6159</v>
      </c>
      <c r="B6161" s="1" t="s">
        <v>7045</v>
      </c>
      <c r="C6161" t="s">
        <v>58</v>
      </c>
      <c r="D6161" s="1" t="s">
        <v>7046</v>
      </c>
    </row>
    <row r="6162" spans="1:4" hidden="1" x14ac:dyDescent="0.3">
      <c r="A6162">
        <v>6160</v>
      </c>
      <c r="B6162" t="s">
        <v>7047</v>
      </c>
      <c r="C6162" t="s">
        <v>60</v>
      </c>
      <c r="D6162">
        <v>150202793.78624099</v>
      </c>
    </row>
    <row r="6163" spans="1:4" hidden="1" x14ac:dyDescent="0.3">
      <c r="A6163">
        <v>6161</v>
      </c>
      <c r="B6163" t="s">
        <v>7048</v>
      </c>
      <c r="C6163" t="s">
        <v>62</v>
      </c>
      <c r="D6163">
        <v>79803240.651999399</v>
      </c>
    </row>
    <row r="6164" spans="1:4" hidden="1" x14ac:dyDescent="0.3">
      <c r="A6164">
        <v>6162</v>
      </c>
      <c r="B6164" t="s">
        <v>7049</v>
      </c>
      <c r="C6164" t="s">
        <v>64</v>
      </c>
      <c r="D6164">
        <v>34913258.039154798</v>
      </c>
    </row>
    <row r="6165" spans="1:4" hidden="1" x14ac:dyDescent="0.3">
      <c r="A6165">
        <v>6163</v>
      </c>
      <c r="B6165" s="1" t="s">
        <v>7050</v>
      </c>
      <c r="C6165" t="s">
        <v>66</v>
      </c>
      <c r="D6165" s="1" t="s">
        <v>7051</v>
      </c>
    </row>
    <row r="6166" spans="1:4" hidden="1" x14ac:dyDescent="0.3">
      <c r="A6166">
        <v>6164</v>
      </c>
      <c r="B6166" s="1" t="s">
        <v>7052</v>
      </c>
      <c r="C6166" t="s">
        <v>69</v>
      </c>
      <c r="D6166" s="1" t="s">
        <v>7053</v>
      </c>
    </row>
    <row r="6167" spans="1:4" hidden="1" x14ac:dyDescent="0.3">
      <c r="A6167">
        <v>6165</v>
      </c>
      <c r="B6167" t="s">
        <v>7054</v>
      </c>
      <c r="C6167" t="s">
        <v>72</v>
      </c>
      <c r="D6167">
        <v>1.00007775688568</v>
      </c>
    </row>
    <row r="6168" spans="1:4" hidden="1" x14ac:dyDescent="0.3">
      <c r="A6168">
        <v>6166</v>
      </c>
      <c r="B6168" t="s">
        <v>73</v>
      </c>
      <c r="C6168" t="s">
        <v>74</v>
      </c>
      <c r="D6168">
        <v>2.7397260273972599E-3</v>
      </c>
    </row>
    <row r="6169" spans="1:4" hidden="1" x14ac:dyDescent="0.3">
      <c r="A6169">
        <v>6167</v>
      </c>
      <c r="B6169" t="s">
        <v>75</v>
      </c>
      <c r="C6169" t="s">
        <v>76</v>
      </c>
      <c r="D6169">
        <v>0</v>
      </c>
    </row>
    <row r="6170" spans="1:4" hidden="1" x14ac:dyDescent="0.3">
      <c r="A6170">
        <v>6168</v>
      </c>
      <c r="B6170" t="s">
        <v>77</v>
      </c>
      <c r="C6170" t="s">
        <v>78</v>
      </c>
      <c r="D6170">
        <v>0</v>
      </c>
    </row>
    <row r="6171" spans="1:4" hidden="1" x14ac:dyDescent="0.3">
      <c r="A6171">
        <v>6169</v>
      </c>
      <c r="B6171" s="1" t="s">
        <v>7055</v>
      </c>
      <c r="C6171" t="s">
        <v>80</v>
      </c>
      <c r="D6171" s="1" t="s">
        <v>7056</v>
      </c>
    </row>
    <row r="6172" spans="1:4" hidden="1" x14ac:dyDescent="0.3">
      <c r="A6172">
        <v>6170</v>
      </c>
      <c r="B6172" t="s">
        <v>7057</v>
      </c>
      <c r="C6172" t="s">
        <v>83</v>
      </c>
      <c r="D6172">
        <v>1.0000801138322599</v>
      </c>
    </row>
    <row r="6173" spans="1:4" hidden="1" x14ac:dyDescent="0.3">
      <c r="A6173">
        <v>6171</v>
      </c>
      <c r="B6173" s="1" t="s">
        <v>7058</v>
      </c>
      <c r="C6173" t="s">
        <v>85</v>
      </c>
      <c r="D6173" s="1" t="s">
        <v>7059</v>
      </c>
    </row>
    <row r="6174" spans="1:4" hidden="1" x14ac:dyDescent="0.3">
      <c r="A6174">
        <v>6172</v>
      </c>
      <c r="B6174" t="s">
        <v>7060</v>
      </c>
      <c r="C6174" t="s">
        <v>88</v>
      </c>
      <c r="D6174">
        <v>100252220.809027</v>
      </c>
    </row>
    <row r="6175" spans="1:4" hidden="1" x14ac:dyDescent="0.3">
      <c r="A6175">
        <v>6173</v>
      </c>
      <c r="B6175" s="1" t="s">
        <v>7061</v>
      </c>
      <c r="C6175" t="s">
        <v>90</v>
      </c>
      <c r="D6175" s="1" t="s">
        <v>7007</v>
      </c>
    </row>
    <row r="6176" spans="1:4" hidden="1" x14ac:dyDescent="0.3">
      <c r="A6176">
        <v>6174</v>
      </c>
      <c r="B6176" t="s">
        <v>7062</v>
      </c>
      <c r="C6176" t="s">
        <v>93</v>
      </c>
      <c r="D6176">
        <v>79803240.651999399</v>
      </c>
    </row>
    <row r="6177" spans="1:4" hidden="1" x14ac:dyDescent="0.3">
      <c r="A6177">
        <v>6175</v>
      </c>
      <c r="B6177" t="s">
        <v>7063</v>
      </c>
      <c r="C6177" t="s">
        <v>95</v>
      </c>
      <c r="D6177">
        <v>34913258.039154798</v>
      </c>
    </row>
    <row r="6178" spans="1:4" hidden="1" x14ac:dyDescent="0.3">
      <c r="A6178">
        <v>6176</v>
      </c>
      <c r="B6178" t="s">
        <v>7064</v>
      </c>
      <c r="C6178" t="s">
        <v>97</v>
      </c>
      <c r="D6178">
        <v>35486295.095086798</v>
      </c>
    </row>
    <row r="6179" spans="1:4" hidden="1" x14ac:dyDescent="0.3">
      <c r="A6179">
        <v>6177</v>
      </c>
      <c r="B6179" s="1" t="s">
        <v>7065</v>
      </c>
      <c r="C6179" t="s">
        <v>99</v>
      </c>
      <c r="D6179" s="1" t="s">
        <v>7066</v>
      </c>
    </row>
    <row r="6180" spans="1:4" hidden="1" x14ac:dyDescent="0.3">
      <c r="A6180">
        <v>6178</v>
      </c>
      <c r="B6180" t="s">
        <v>7067</v>
      </c>
      <c r="C6180" t="s">
        <v>102</v>
      </c>
      <c r="D6180">
        <v>1.1067624949206699E-2</v>
      </c>
    </row>
    <row r="6181" spans="1:4" hidden="1" x14ac:dyDescent="0.3">
      <c r="A6181">
        <v>6179</v>
      </c>
      <c r="B6181" t="s">
        <v>7068</v>
      </c>
      <c r="C6181" t="s">
        <v>104</v>
      </c>
      <c r="D6181">
        <v>1.6638238657087101E-3</v>
      </c>
    </row>
    <row r="6182" spans="1:4" hidden="1" x14ac:dyDescent="0.3">
      <c r="A6182">
        <v>6180</v>
      </c>
      <c r="B6182" t="s">
        <v>7069</v>
      </c>
      <c r="C6182" t="s">
        <v>106</v>
      </c>
      <c r="D6182">
        <v>1.00105651526054E-2</v>
      </c>
    </row>
    <row r="6183" spans="1:4" hidden="1" x14ac:dyDescent="0.3">
      <c r="A6183">
        <v>6181</v>
      </c>
      <c r="B6183" s="1" t="s">
        <v>7070</v>
      </c>
      <c r="C6183" t="s">
        <v>108</v>
      </c>
      <c r="D6183" s="1" t="s">
        <v>7071</v>
      </c>
    </row>
    <row r="6184" spans="1:4" hidden="1" x14ac:dyDescent="0.3">
      <c r="A6184">
        <v>6182</v>
      </c>
      <c r="B6184" t="s">
        <v>7072</v>
      </c>
      <c r="C6184" t="s">
        <v>196</v>
      </c>
      <c r="D6184">
        <v>150202875.06435001</v>
      </c>
    </row>
    <row r="6185" spans="1:4" hidden="1" x14ac:dyDescent="0.3">
      <c r="A6185">
        <v>6183</v>
      </c>
      <c r="B6185" t="s">
        <v>7073</v>
      </c>
      <c r="C6185" t="s">
        <v>198</v>
      </c>
      <c r="D6185">
        <v>-188.07749075235799</v>
      </c>
    </row>
    <row r="6186" spans="1:4" hidden="1" x14ac:dyDescent="0.3">
      <c r="A6186">
        <v>6184</v>
      </c>
      <c r="B6186" t="s">
        <v>7074</v>
      </c>
      <c r="C6186" t="s">
        <v>200</v>
      </c>
      <c r="D6186">
        <v>-82.282307050128594</v>
      </c>
    </row>
    <row r="6187" spans="1:4" hidden="1" x14ac:dyDescent="0.3">
      <c r="A6187">
        <v>6185</v>
      </c>
      <c r="B6187" s="1" t="s">
        <v>7075</v>
      </c>
      <c r="C6187" t="s">
        <v>202</v>
      </c>
      <c r="D6187" s="1" t="s">
        <v>7076</v>
      </c>
    </row>
    <row r="6188" spans="1:4" hidden="1" x14ac:dyDescent="0.3">
      <c r="A6188">
        <v>6186</v>
      </c>
      <c r="B6188" t="s">
        <v>7077</v>
      </c>
      <c r="C6188" t="s">
        <v>205</v>
      </c>
      <c r="D6188">
        <v>79803488.001646504</v>
      </c>
    </row>
    <row r="6189" spans="1:4" hidden="1" x14ac:dyDescent="0.3">
      <c r="A6189">
        <v>6187</v>
      </c>
      <c r="B6189" t="s">
        <v>7078</v>
      </c>
      <c r="C6189" t="s">
        <v>207</v>
      </c>
      <c r="D6189">
        <v>34913349.158133499</v>
      </c>
    </row>
    <row r="6190" spans="1:4" hidden="1" x14ac:dyDescent="0.3">
      <c r="A6190">
        <v>6188</v>
      </c>
      <c r="B6190" t="s">
        <v>7079</v>
      </c>
      <c r="C6190" t="s">
        <v>209</v>
      </c>
      <c r="D6190">
        <v>35486391.897197798</v>
      </c>
    </row>
    <row r="6191" spans="1:4" hidden="1" x14ac:dyDescent="0.3">
      <c r="A6191">
        <v>6189</v>
      </c>
      <c r="B6191" s="1" t="s">
        <v>7080</v>
      </c>
      <c r="C6191" t="s">
        <v>211</v>
      </c>
      <c r="D6191" s="1" t="s">
        <v>7081</v>
      </c>
    </row>
    <row r="6192" spans="1:4" hidden="1" x14ac:dyDescent="0.3">
      <c r="A6192">
        <v>6190</v>
      </c>
      <c r="B6192" t="s">
        <v>7082</v>
      </c>
      <c r="C6192" t="s">
        <v>214</v>
      </c>
      <c r="D6192">
        <v>100252457.079785</v>
      </c>
    </row>
    <row r="6193" spans="1:4" hidden="1" x14ac:dyDescent="0.3">
      <c r="A6193">
        <v>6191</v>
      </c>
      <c r="B6193" t="s">
        <v>7083</v>
      </c>
      <c r="C6193" t="s">
        <v>216</v>
      </c>
      <c r="D6193">
        <v>-236.27075760066501</v>
      </c>
    </row>
    <row r="6194" spans="1:4" hidden="1" x14ac:dyDescent="0.3">
      <c r="A6194">
        <v>6192</v>
      </c>
      <c r="B6194" s="1" t="s">
        <v>7084</v>
      </c>
      <c r="C6194" t="s">
        <v>218</v>
      </c>
      <c r="D6194" s="1" t="s">
        <v>7085</v>
      </c>
    </row>
    <row r="6195" spans="1:4" hidden="1" x14ac:dyDescent="0.3">
      <c r="A6195">
        <v>6193</v>
      </c>
      <c r="B6195" t="s">
        <v>7086</v>
      </c>
      <c r="C6195" t="s">
        <v>111</v>
      </c>
      <c r="D6195">
        <v>59.272156301541401</v>
      </c>
    </row>
    <row r="6196" spans="1:4" hidden="1" x14ac:dyDescent="0.3">
      <c r="A6196">
        <v>6194</v>
      </c>
      <c r="B6196" t="s">
        <v>7087</v>
      </c>
      <c r="C6196" t="s">
        <v>113</v>
      </c>
      <c r="D6196">
        <v>8.8366716655708295</v>
      </c>
    </row>
    <row r="6197" spans="1:4" hidden="1" x14ac:dyDescent="0.3">
      <c r="A6197">
        <v>6195</v>
      </c>
      <c r="B6197" s="1" t="s">
        <v>7088</v>
      </c>
      <c r="C6197" t="s">
        <v>115</v>
      </c>
      <c r="D6197" s="1" t="s">
        <v>7089</v>
      </c>
    </row>
    <row r="6198" spans="1:4" hidden="1" x14ac:dyDescent="0.3">
      <c r="A6198">
        <v>6196</v>
      </c>
      <c r="B6198" t="s">
        <v>7090</v>
      </c>
      <c r="C6198" t="s">
        <v>118</v>
      </c>
      <c r="D6198">
        <v>79803488.001646504</v>
      </c>
    </row>
    <row r="6199" spans="1:4" hidden="1" x14ac:dyDescent="0.3">
      <c r="A6199">
        <v>6197</v>
      </c>
      <c r="B6199" t="s">
        <v>7091</v>
      </c>
      <c r="C6199" t="s">
        <v>120</v>
      </c>
      <c r="D6199">
        <v>34913349.158133499</v>
      </c>
    </row>
    <row r="6200" spans="1:4" hidden="1" x14ac:dyDescent="0.3">
      <c r="A6200">
        <v>6198</v>
      </c>
      <c r="B6200" s="1" t="s">
        <v>7092</v>
      </c>
      <c r="C6200" t="s">
        <v>122</v>
      </c>
      <c r="D6200" s="1" t="s">
        <v>7093</v>
      </c>
    </row>
    <row r="6201" spans="1:4" hidden="1" x14ac:dyDescent="0.3">
      <c r="A6201">
        <v>6199</v>
      </c>
      <c r="B6201" t="s">
        <v>7094</v>
      </c>
      <c r="C6201" t="s">
        <v>125</v>
      </c>
      <c r="D6201">
        <v>0.79596149037069597</v>
      </c>
    </row>
    <row r="6202" spans="1:4" hidden="1" x14ac:dyDescent="0.3">
      <c r="A6202">
        <v>6200</v>
      </c>
      <c r="B6202" t="s">
        <v>7095</v>
      </c>
      <c r="C6202" t="s">
        <v>127</v>
      </c>
      <c r="D6202">
        <v>0.34822640119648801</v>
      </c>
    </row>
    <row r="6203" spans="1:4" hidden="1" x14ac:dyDescent="0.3">
      <c r="A6203">
        <v>6201</v>
      </c>
      <c r="B6203" s="1" t="s">
        <v>7096</v>
      </c>
      <c r="C6203" t="s">
        <v>129</v>
      </c>
      <c r="D6203" s="1" t="s">
        <v>7097</v>
      </c>
    </row>
  </sheetData>
  <autoFilter ref="A1:D6203" xr:uid="{73175AA6-80E3-4587-8FF8-D4844A0DA21D}">
    <filterColumn colId="2">
      <filters>
        <filter val="date i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78212-6392-401F-A044-62DDF34E4A3D}">
  <dimension ref="A1:Q97"/>
  <sheetViews>
    <sheetView tabSelected="1" workbookViewId="0">
      <selection activeCell="E1" sqref="B1:E1048576"/>
    </sheetView>
  </sheetViews>
  <sheetFormatPr defaultRowHeight="14.4" x14ac:dyDescent="0.3"/>
  <cols>
    <col min="2" max="2" width="10" bestFit="1" customWidth="1"/>
    <col min="13" max="15" width="12" bestFit="1" customWidth="1"/>
    <col min="16" max="16" width="9" bestFit="1" customWidth="1"/>
    <col min="17" max="17" width="12.6640625" bestFit="1" customWidth="1"/>
    <col min="18" max="20" width="9" bestFit="1" customWidth="1"/>
  </cols>
  <sheetData>
    <row r="1" spans="1:17" x14ac:dyDescent="0.3">
      <c r="A1" t="s">
        <v>2</v>
      </c>
      <c r="B1" t="s">
        <v>90</v>
      </c>
      <c r="C1" t="s">
        <v>85</v>
      </c>
      <c r="D1" t="s">
        <v>69</v>
      </c>
      <c r="E1" t="s">
        <v>196</v>
      </c>
      <c r="L1" t="s">
        <v>2</v>
      </c>
      <c r="M1" t="s">
        <v>7099</v>
      </c>
      <c r="N1" t="s">
        <v>7098</v>
      </c>
      <c r="O1" t="s">
        <v>7100</v>
      </c>
      <c r="P1" t="s">
        <v>7101</v>
      </c>
      <c r="Q1" t="s">
        <v>7102</v>
      </c>
    </row>
    <row r="2" spans="1:17" x14ac:dyDescent="0.3">
      <c r="A2" t="s">
        <v>5</v>
      </c>
      <c r="B2">
        <v>100000000</v>
      </c>
      <c r="C2">
        <v>1</v>
      </c>
      <c r="D2">
        <v>1.5</v>
      </c>
      <c r="E2">
        <v>150000000</v>
      </c>
      <c r="L2" t="s">
        <v>90</v>
      </c>
      <c r="M2">
        <v>100061134.83204199</v>
      </c>
      <c r="N2">
        <v>99995625.614826903</v>
      </c>
      <c r="O2">
        <v>100021032.59118137</v>
      </c>
      <c r="P2">
        <v>2179.1839706568444</v>
      </c>
      <c r="Q2">
        <v>-4271.200582487415</v>
      </c>
    </row>
    <row r="3" spans="1:17" x14ac:dyDescent="0.3">
      <c r="A3" t="s">
        <v>5</v>
      </c>
      <c r="B3">
        <v>99999669.872308403</v>
      </c>
      <c r="C3">
        <v>1.00000330128781</v>
      </c>
      <c r="D3">
        <v>1.4999803595647401</v>
      </c>
      <c r="E3">
        <v>149997311.155476</v>
      </c>
      <c r="F3">
        <f>STDEV(B2:B3)</f>
        <v>233.43552938552065</v>
      </c>
      <c r="G3">
        <f t="shared" ref="G3:H3" si="0">STDEV(C2:C3)</f>
        <v>2.3343629971059617E-6</v>
      </c>
      <c r="H3">
        <f t="shared" si="0"/>
        <v>1.3887884957749504E-5</v>
      </c>
      <c r="I3">
        <f>STDEV(E2:E3)</f>
        <v>1901.3001964739672</v>
      </c>
      <c r="L3" t="s">
        <v>85</v>
      </c>
      <c r="M3">
        <v>1.00004374576533</v>
      </c>
      <c r="N3">
        <v>0.99955135885231905</v>
      </c>
      <c r="O3">
        <v>0.99981464422715227</v>
      </c>
      <c r="P3">
        <v>1.7649598234745805E-5</v>
      </c>
      <c r="Q3">
        <v>-3.4593212540101776E-5</v>
      </c>
    </row>
    <row r="4" spans="1:17" x14ac:dyDescent="0.3">
      <c r="A4" t="s">
        <v>5</v>
      </c>
      <c r="B4">
        <v>100001764.265507</v>
      </c>
      <c r="C4">
        <v>0.99998235765618304</v>
      </c>
      <c r="D4">
        <v>1.4999121630758601</v>
      </c>
      <c r="E4">
        <v>149991404.59267399</v>
      </c>
      <c r="F4">
        <f t="shared" ref="F4:F67" si="1">STDEV(B3:B4)</f>
        <v>1480.95963319712</v>
      </c>
      <c r="G4">
        <f t="shared" ref="G4:G67" si="2">STDEV(C3:C4)</f>
        <v>1.4809383946102428E-5</v>
      </c>
      <c r="H4">
        <f t="shared" ref="H4:H67" si="3">STDEV(D3:D4)</f>
        <v>4.8222199740169751E-5</v>
      </c>
      <c r="I4">
        <f t="shared" ref="I4:I67" si="4">STDEV(E3:E4)</f>
        <v>4176.5706108102486</v>
      </c>
      <c r="L4" t="s">
        <v>69</v>
      </c>
      <c r="M4">
        <v>1.5008382471466799</v>
      </c>
      <c r="N4">
        <v>1.4951398836954599</v>
      </c>
      <c r="O4">
        <v>1.4984901368266457</v>
      </c>
      <c r="P4">
        <v>1.3385251426956075E-4</v>
      </c>
      <c r="Q4">
        <v>-2.6235092796833906E-4</v>
      </c>
    </row>
    <row r="5" spans="1:17" x14ac:dyDescent="0.3">
      <c r="A5" t="s">
        <v>5</v>
      </c>
      <c r="B5">
        <v>100001220.206627</v>
      </c>
      <c r="C5">
        <v>0.99998779808261395</v>
      </c>
      <c r="D5">
        <v>1.49988602035272</v>
      </c>
      <c r="E5">
        <v>149988666.79202801</v>
      </c>
      <c r="F5">
        <f t="shared" si="1"/>
        <v>384.707723413682</v>
      </c>
      <c r="G5">
        <f t="shared" si="2"/>
        <v>3.8469624218456766E-6</v>
      </c>
      <c r="H5">
        <f t="shared" si="3"/>
        <v>1.8485696811015091E-5</v>
      </c>
      <c r="I5">
        <f t="shared" si="4"/>
        <v>1935.9174023074299</v>
      </c>
      <c r="L5" t="s">
        <v>196</v>
      </c>
      <c r="M5">
        <v>150130796.05068499</v>
      </c>
      <c r="N5">
        <v>149515501.54670399</v>
      </c>
      <c r="O5">
        <v>149852759.79366806</v>
      </c>
      <c r="P5">
        <v>12582.097821317435</v>
      </c>
      <c r="Q5">
        <v>-24660.911729782172</v>
      </c>
    </row>
    <row r="6" spans="1:17" x14ac:dyDescent="0.3">
      <c r="A6" t="s">
        <v>5</v>
      </c>
      <c r="B6">
        <v>100001033.092528</v>
      </c>
      <c r="C6">
        <v>0.99998966918144505</v>
      </c>
      <c r="D6">
        <v>1.49987454860534</v>
      </c>
      <c r="E6">
        <v>149987644.13655499</v>
      </c>
      <c r="F6">
        <f t="shared" si="1"/>
        <v>132.30964825562882</v>
      </c>
      <c r="G6">
        <f t="shared" si="2"/>
        <v>1.3230666717386254E-6</v>
      </c>
      <c r="H6">
        <f t="shared" si="3"/>
        <v>8.1117503644795468E-6</v>
      </c>
      <c r="I6">
        <f t="shared" si="4"/>
        <v>723.12661979256154</v>
      </c>
    </row>
    <row r="7" spans="1:17" x14ac:dyDescent="0.3">
      <c r="A7" t="s">
        <v>5</v>
      </c>
      <c r="B7">
        <v>100000486.15810999</v>
      </c>
      <c r="C7">
        <v>0.99999513844252697</v>
      </c>
      <c r="D7">
        <v>1.4998448908570501</v>
      </c>
      <c r="E7">
        <v>149984281.20311701</v>
      </c>
      <c r="F7">
        <f t="shared" si="1"/>
        <v>386.74103583758466</v>
      </c>
      <c r="G7">
        <f t="shared" si="2"/>
        <v>3.8673515991010873E-6</v>
      </c>
      <c r="H7">
        <f t="shared" si="3"/>
        <v>2.097119493050549E-5</v>
      </c>
      <c r="I7">
        <f t="shared" si="4"/>
        <v>2377.9530386698825</v>
      </c>
    </row>
    <row r="8" spans="1:17" x14ac:dyDescent="0.3">
      <c r="A8" t="s">
        <v>5</v>
      </c>
      <c r="B8">
        <v>100001086.833957</v>
      </c>
      <c r="C8">
        <v>0.99998913177854198</v>
      </c>
      <c r="D8">
        <v>1.4997934071615999</v>
      </c>
      <c r="E8">
        <v>149981230.741173</v>
      </c>
      <c r="F8">
        <f t="shared" si="1"/>
        <v>424.74196471491285</v>
      </c>
      <c r="G8">
        <f t="shared" si="2"/>
        <v>4.2473528360890424E-6</v>
      </c>
      <c r="H8">
        <f t="shared" si="3"/>
        <v>3.640447017335166E-5</v>
      </c>
      <c r="I8">
        <f t="shared" si="4"/>
        <v>2157.0023263636804</v>
      </c>
    </row>
    <row r="9" spans="1:17" x14ac:dyDescent="0.3">
      <c r="A9" t="s">
        <v>5</v>
      </c>
      <c r="B9">
        <v>99995625.614826903</v>
      </c>
      <c r="C9">
        <v>1.00004374576533</v>
      </c>
      <c r="D9">
        <v>1.49986558023394</v>
      </c>
      <c r="E9">
        <v>149984497.92610699</v>
      </c>
      <c r="F9">
        <f t="shared" si="1"/>
        <v>3861.6650804385736</v>
      </c>
      <c r="G9">
        <f t="shared" si="2"/>
        <v>3.8617920405403131E-5</v>
      </c>
      <c r="H9">
        <f t="shared" si="3"/>
        <v>5.1034068870742815E-5</v>
      </c>
      <c r="I9">
        <f t="shared" si="4"/>
        <v>2310.2486222150214</v>
      </c>
    </row>
    <row r="10" spans="1:17" x14ac:dyDescent="0.3">
      <c r="A10" t="s">
        <v>5</v>
      </c>
      <c r="B10">
        <v>100001577.88565899</v>
      </c>
      <c r="C10">
        <v>0.99998422139237297</v>
      </c>
      <c r="D10">
        <v>1.49971398198511</v>
      </c>
      <c r="E10">
        <v>149972083.083745</v>
      </c>
      <c r="F10">
        <f t="shared" si="1"/>
        <v>4208.8910688308424</v>
      </c>
      <c r="G10">
        <f t="shared" si="2"/>
        <v>4.2090087763754948E-5</v>
      </c>
      <c r="H10">
        <f t="shared" si="3"/>
        <v>1.0719614976372878E-4</v>
      </c>
      <c r="I10">
        <f t="shared" si="4"/>
        <v>8778.6192215227657</v>
      </c>
    </row>
    <row r="11" spans="1:17" x14ac:dyDescent="0.3">
      <c r="A11" t="s">
        <v>5</v>
      </c>
      <c r="B11">
        <v>99999599.264352396</v>
      </c>
      <c r="C11">
        <v>1.00000400737253</v>
      </c>
      <c r="D11">
        <v>1.49973307826029</v>
      </c>
      <c r="E11">
        <v>149971508.919734</v>
      </c>
      <c r="F11">
        <f t="shared" si="1"/>
        <v>1399.0965432957646</v>
      </c>
      <c r="G11">
        <f t="shared" si="2"/>
        <v>1.3990800741480311E-5</v>
      </c>
      <c r="H11">
        <f t="shared" si="3"/>
        <v>1.3503105675211806E-5</v>
      </c>
      <c r="I11">
        <f t="shared" si="4"/>
        <v>405.99526569248962</v>
      </c>
    </row>
    <row r="12" spans="1:17" x14ac:dyDescent="0.3">
      <c r="A12" t="s">
        <v>5</v>
      </c>
      <c r="B12">
        <v>100004797.14295</v>
      </c>
      <c r="C12">
        <v>0.99995203087163897</v>
      </c>
      <c r="D12">
        <v>1.4996066977254701</v>
      </c>
      <c r="E12">
        <v>149959797.117488</v>
      </c>
      <c r="F12">
        <f t="shared" si="1"/>
        <v>3675.4552041489715</v>
      </c>
      <c r="G12">
        <f t="shared" si="2"/>
        <v>3.6752936242417147E-5</v>
      </c>
      <c r="H12">
        <f t="shared" si="3"/>
        <v>8.9364533181167532E-5</v>
      </c>
      <c r="I12">
        <f t="shared" si="4"/>
        <v>8281.4947880655091</v>
      </c>
    </row>
    <row r="13" spans="1:17" x14ac:dyDescent="0.3">
      <c r="A13" t="s">
        <v>5</v>
      </c>
      <c r="B13">
        <v>100007318.80806001</v>
      </c>
      <c r="C13">
        <v>0.99992681727550004</v>
      </c>
      <c r="D13">
        <v>1.49954111310233</v>
      </c>
      <c r="E13">
        <v>149953773.64328599</v>
      </c>
      <c r="F13">
        <f t="shared" si="1"/>
        <v>1783.0864991674205</v>
      </c>
      <c r="G13">
        <f t="shared" si="2"/>
        <v>1.7828704807943368E-5</v>
      </c>
      <c r="H13">
        <f t="shared" si="3"/>
        <v>4.6375331763930634E-5</v>
      </c>
      <c r="I13">
        <f t="shared" si="4"/>
        <v>4259.2394545414172</v>
      </c>
    </row>
    <row r="14" spans="1:17" x14ac:dyDescent="0.3">
      <c r="A14" t="s">
        <v>5</v>
      </c>
      <c r="B14">
        <v>100008294.567265</v>
      </c>
      <c r="C14">
        <v>0.99991706120675905</v>
      </c>
      <c r="D14">
        <v>1.4994881295629101</v>
      </c>
      <c r="E14">
        <v>149948918.76519501</v>
      </c>
      <c r="F14">
        <f t="shared" si="1"/>
        <v>689.96595065971337</v>
      </c>
      <c r="G14">
        <f t="shared" si="2"/>
        <v>6.8985823644724414E-6</v>
      </c>
      <c r="H14">
        <f t="shared" si="3"/>
        <v>3.7465020015039676E-5</v>
      </c>
      <c r="I14">
        <f t="shared" si="4"/>
        <v>3432.9172199643099</v>
      </c>
    </row>
    <row r="15" spans="1:17" x14ac:dyDescent="0.3">
      <c r="A15" t="s">
        <v>5</v>
      </c>
      <c r="B15">
        <v>100007988.80853599</v>
      </c>
      <c r="C15">
        <v>0.99992011829623095</v>
      </c>
      <c r="D15">
        <v>1.499449840149</v>
      </c>
      <c r="E15">
        <v>149944654.03764901</v>
      </c>
      <c r="F15">
        <f t="shared" si="1"/>
        <v>216.20407069053107</v>
      </c>
      <c r="G15">
        <f t="shared" si="2"/>
        <v>2.1616886962765161E-6</v>
      </c>
      <c r="H15">
        <f t="shared" si="3"/>
        <v>2.7074704223527747E-5</v>
      </c>
      <c r="I15">
        <f t="shared" si="4"/>
        <v>3015.6177676942184</v>
      </c>
    </row>
    <row r="16" spans="1:17" x14ac:dyDescent="0.3">
      <c r="A16" t="s">
        <v>5</v>
      </c>
      <c r="B16">
        <v>100008942.33161101</v>
      </c>
      <c r="C16">
        <v>0.99991058467969396</v>
      </c>
      <c r="D16">
        <v>1.4993864421154901</v>
      </c>
      <c r="E16">
        <v>149938562.83651301</v>
      </c>
      <c r="F16">
        <f t="shared" si="1"/>
        <v>674.24263236049796</v>
      </c>
      <c r="G16">
        <f t="shared" si="2"/>
        <v>6.7412849025407651E-6</v>
      </c>
      <c r="H16">
        <f t="shared" si="3"/>
        <v>4.482917940870963E-5</v>
      </c>
      <c r="I16">
        <f t="shared" si="4"/>
        <v>4307.1296288318545</v>
      </c>
    </row>
    <row r="17" spans="1:9" x14ac:dyDescent="0.3">
      <c r="A17" t="s">
        <v>5</v>
      </c>
      <c r="B17">
        <v>100009177.47673</v>
      </c>
      <c r="C17">
        <v>0.99990823365452597</v>
      </c>
      <c r="D17">
        <v>1.49939915965566</v>
      </c>
      <c r="E17">
        <v>149940477.77236599</v>
      </c>
      <c r="F17">
        <f t="shared" si="1"/>
        <v>166.27270820534349</v>
      </c>
      <c r="G17">
        <f t="shared" si="2"/>
        <v>1.6624258390262188E-6</v>
      </c>
      <c r="H17">
        <f t="shared" si="3"/>
        <v>8.9926588941123459E-6</v>
      </c>
      <c r="I17">
        <f t="shared" si="4"/>
        <v>1354.0641271756228</v>
      </c>
    </row>
    <row r="18" spans="1:9" x14ac:dyDescent="0.3">
      <c r="A18" t="s">
        <v>5</v>
      </c>
      <c r="B18">
        <v>100007554.07198299</v>
      </c>
      <c r="C18">
        <v>0.99992446498613796</v>
      </c>
      <c r="D18">
        <v>1.49938454996027</v>
      </c>
      <c r="E18">
        <v>149936858.01103899</v>
      </c>
      <c r="F18">
        <f t="shared" si="1"/>
        <v>1147.9205052206917</v>
      </c>
      <c r="G18">
        <f t="shared" si="2"/>
        <v>1.1477284650528041E-5</v>
      </c>
      <c r="H18">
        <f t="shared" si="3"/>
        <v>1.0330614681275968E-5</v>
      </c>
      <c r="I18">
        <f t="shared" si="4"/>
        <v>2559.5577805974358</v>
      </c>
    </row>
    <row r="19" spans="1:9" x14ac:dyDescent="0.3">
      <c r="A19" t="s">
        <v>5</v>
      </c>
      <c r="B19">
        <v>100012169.236249</v>
      </c>
      <c r="C19">
        <v>0.99987832244473596</v>
      </c>
      <c r="D19">
        <v>1.49939033297591</v>
      </c>
      <c r="E19">
        <v>149938236.865955</v>
      </c>
      <c r="F19">
        <f t="shared" si="1"/>
        <v>3263.4139487820826</v>
      </c>
      <c r="G19">
        <f t="shared" si="2"/>
        <v>3.2627703926539167E-5</v>
      </c>
      <c r="H19">
        <f t="shared" si="3"/>
        <v>4.0892095746919242E-6</v>
      </c>
      <c r="I19">
        <f t="shared" si="4"/>
        <v>974.99766138048096</v>
      </c>
    </row>
    <row r="20" spans="1:9" x14ac:dyDescent="0.3">
      <c r="A20" t="s">
        <v>5</v>
      </c>
      <c r="B20">
        <v>100014470.721696</v>
      </c>
      <c r="C20">
        <v>0.99985531372018299</v>
      </c>
      <c r="D20">
        <v>1.4993328480627599</v>
      </c>
      <c r="E20">
        <v>149933389.690451</v>
      </c>
      <c r="F20">
        <f t="shared" si="1"/>
        <v>1627.3959663789904</v>
      </c>
      <c r="G20">
        <f t="shared" si="2"/>
        <v>1.6269625157854408E-5</v>
      </c>
      <c r="H20">
        <f t="shared" si="3"/>
        <v>4.0647971904321582E-5</v>
      </c>
      <c r="I20">
        <f t="shared" si="4"/>
        <v>3427.4706684790103</v>
      </c>
    </row>
    <row r="21" spans="1:9" x14ac:dyDescent="0.3">
      <c r="A21" t="s">
        <v>5</v>
      </c>
      <c r="B21">
        <v>100014167.621603</v>
      </c>
      <c r="C21">
        <v>0.999858343853267</v>
      </c>
      <c r="D21">
        <v>1.4993253160345701</v>
      </c>
      <c r="E21">
        <v>149931402.37948</v>
      </c>
      <c r="F21">
        <f t="shared" si="1"/>
        <v>214.32413114358496</v>
      </c>
      <c r="G21">
        <f t="shared" si="2"/>
        <v>2.1426276515963968E-6</v>
      </c>
      <c r="H21">
        <f t="shared" si="3"/>
        <v>5.3259482091072225E-6</v>
      </c>
      <c r="I21">
        <f t="shared" si="4"/>
        <v>1405.2410639147593</v>
      </c>
    </row>
    <row r="22" spans="1:9" x14ac:dyDescent="0.3">
      <c r="A22" t="s">
        <v>5</v>
      </c>
      <c r="B22">
        <v>100017430.76923899</v>
      </c>
      <c r="C22">
        <v>0.99982572268547898</v>
      </c>
      <c r="D22">
        <v>1.4992249086396401</v>
      </c>
      <c r="E22">
        <v>149920919.64736599</v>
      </c>
      <c r="F22">
        <f t="shared" si="1"/>
        <v>2307.3938214258651</v>
      </c>
      <c r="G22">
        <f t="shared" si="2"/>
        <v>2.3066648953130395E-5</v>
      </c>
      <c r="H22">
        <f t="shared" si="3"/>
        <v>7.0998749836280307E-5</v>
      </c>
      <c r="I22">
        <f t="shared" si="4"/>
        <v>7412.4109631834208</v>
      </c>
    </row>
    <row r="23" spans="1:9" x14ac:dyDescent="0.3">
      <c r="A23" t="s">
        <v>5</v>
      </c>
      <c r="B23">
        <v>100021971.425486</v>
      </c>
      <c r="C23">
        <v>0.999780334008881</v>
      </c>
      <c r="D23">
        <v>1.4990908450374401</v>
      </c>
      <c r="E23">
        <v>149909361.39552501</v>
      </c>
      <c r="F23">
        <f t="shared" si="1"/>
        <v>3210.7288232942005</v>
      </c>
      <c r="G23">
        <f t="shared" si="2"/>
        <v>3.2094641011514391E-5</v>
      </c>
      <c r="H23">
        <f t="shared" si="3"/>
        <v>9.4797282225936733E-5</v>
      </c>
      <c r="I23">
        <f t="shared" si="4"/>
        <v>8172.9182554180488</v>
      </c>
    </row>
    <row r="24" spans="1:9" x14ac:dyDescent="0.3">
      <c r="A24" t="s">
        <v>5</v>
      </c>
      <c r="B24">
        <v>100021171.324469</v>
      </c>
      <c r="C24">
        <v>0.99978833156831504</v>
      </c>
      <c r="D24">
        <v>1.4990621749590001</v>
      </c>
      <c r="E24">
        <v>149904749.613774</v>
      </c>
      <c r="F24">
        <f t="shared" si="1"/>
        <v>565.75685475374473</v>
      </c>
      <c r="G24">
        <f t="shared" si="2"/>
        <v>5.6551285087496283E-6</v>
      </c>
      <c r="H24">
        <f t="shared" si="3"/>
        <v>2.0272806882063733E-5</v>
      </c>
      <c r="I24">
        <f t="shared" si="4"/>
        <v>3261.0221494893076</v>
      </c>
    </row>
    <row r="25" spans="1:9" x14ac:dyDescent="0.3">
      <c r="A25" t="s">
        <v>5</v>
      </c>
      <c r="B25">
        <v>100025413.20626301</v>
      </c>
      <c r="C25">
        <v>0.99974593250405697</v>
      </c>
      <c r="D25">
        <v>1.4989323709652</v>
      </c>
      <c r="E25">
        <v>149892287.349338</v>
      </c>
      <c r="F25">
        <f t="shared" si="1"/>
        <v>2999.4633815331404</v>
      </c>
      <c r="G25">
        <f t="shared" si="2"/>
        <v>2.9980665852845196E-5</v>
      </c>
      <c r="H25">
        <f t="shared" si="3"/>
        <v>9.1785284241095074E-5</v>
      </c>
      <c r="I25">
        <f t="shared" si="4"/>
        <v>8812.1516916401742</v>
      </c>
    </row>
    <row r="26" spans="1:9" x14ac:dyDescent="0.3">
      <c r="A26" t="s">
        <v>5</v>
      </c>
      <c r="B26">
        <v>100028158.01982699</v>
      </c>
      <c r="C26">
        <v>0.99971849906680899</v>
      </c>
      <c r="D26">
        <v>1.4988303305834201</v>
      </c>
      <c r="E26">
        <v>149883313.54206601</v>
      </c>
      <c r="F26">
        <f t="shared" si="1"/>
        <v>1940.8762841884566</v>
      </c>
      <c r="G26">
        <f t="shared" si="2"/>
        <v>1.9398369509303122E-5</v>
      </c>
      <c r="H26">
        <f t="shared" si="3"/>
        <v>7.2153445911478503E-5</v>
      </c>
      <c r="I26">
        <f t="shared" si="4"/>
        <v>6345.4399750833018</v>
      </c>
    </row>
    <row r="27" spans="1:9" x14ac:dyDescent="0.3">
      <c r="A27" t="s">
        <v>5</v>
      </c>
      <c r="B27">
        <v>100027347.38322701</v>
      </c>
      <c r="C27">
        <v>0.99972660093521304</v>
      </c>
      <c r="D27">
        <v>1.4988054345898401</v>
      </c>
      <c r="E27">
        <v>149880085.719188</v>
      </c>
      <c r="F27">
        <f t="shared" si="1"/>
        <v>573.20663692934147</v>
      </c>
      <c r="G27">
        <f t="shared" si="2"/>
        <v>5.728886088787239E-6</v>
      </c>
      <c r="H27">
        <f t="shared" si="3"/>
        <v>1.760412588480947E-5</v>
      </c>
      <c r="I27">
        <f t="shared" si="4"/>
        <v>2282.4154455050848</v>
      </c>
    </row>
    <row r="28" spans="1:9" x14ac:dyDescent="0.3">
      <c r="A28" t="s">
        <v>5</v>
      </c>
      <c r="B28">
        <v>100028670.24160799</v>
      </c>
      <c r="C28">
        <v>0.99971337975862995</v>
      </c>
      <c r="D28">
        <v>1.4987274569120399</v>
      </c>
      <c r="E28">
        <v>149872775.984694</v>
      </c>
      <c r="F28">
        <f t="shared" si="1"/>
        <v>935.40213174624216</v>
      </c>
      <c r="G28">
        <f t="shared" si="2"/>
        <v>9.348783617167153E-6</v>
      </c>
      <c r="H28">
        <f t="shared" si="3"/>
        <v>5.5138544753670144E-5</v>
      </c>
      <c r="I28">
        <f t="shared" si="4"/>
        <v>5168.7628293810931</v>
      </c>
    </row>
    <row r="29" spans="1:9" x14ac:dyDescent="0.3">
      <c r="A29" t="s">
        <v>5</v>
      </c>
      <c r="B29">
        <v>100028582.69462299</v>
      </c>
      <c r="C29">
        <v>0.999714254727466</v>
      </c>
      <c r="D29">
        <v>1.498691454582</v>
      </c>
      <c r="E29">
        <v>149868415.47078499</v>
      </c>
      <c r="F29">
        <f t="shared" si="1"/>
        <v>61.905066766199951</v>
      </c>
      <c r="G29">
        <f t="shared" si="2"/>
        <v>6.1869639729855006E-7</v>
      </c>
      <c r="H29">
        <f t="shared" si="3"/>
        <v>2.5457491709703804E-5</v>
      </c>
      <c r="I29">
        <f t="shared" si="4"/>
        <v>3083.3489545207012</v>
      </c>
    </row>
    <row r="30" spans="1:9" x14ac:dyDescent="0.3">
      <c r="A30" t="s">
        <v>5</v>
      </c>
      <c r="B30">
        <v>100030692.317405</v>
      </c>
      <c r="C30">
        <v>0.99969317099887101</v>
      </c>
      <c r="D30">
        <v>1.4986509539866</v>
      </c>
      <c r="E30">
        <v>149865508.071679</v>
      </c>
      <c r="F30">
        <f t="shared" si="1"/>
        <v>1491.7285749026803</v>
      </c>
      <c r="G30">
        <f t="shared" si="2"/>
        <v>1.4908447462217661E-5</v>
      </c>
      <c r="H30">
        <f t="shared" si="3"/>
        <v>2.8638245649476149E-5</v>
      </c>
      <c r="I30">
        <f t="shared" si="4"/>
        <v>2055.8416234654019</v>
      </c>
    </row>
    <row r="31" spans="1:9" x14ac:dyDescent="0.3">
      <c r="A31" t="s">
        <v>5</v>
      </c>
      <c r="B31">
        <v>100029499.66207699</v>
      </c>
      <c r="C31">
        <v>0.99970509037656896</v>
      </c>
      <c r="D31">
        <v>1.49862418837522</v>
      </c>
      <c r="E31">
        <v>149863577.302037</v>
      </c>
      <c r="F31">
        <f t="shared" si="1"/>
        <v>843.33467005099214</v>
      </c>
      <c r="G31">
        <f t="shared" si="2"/>
        <v>8.4282727977479408E-6</v>
      </c>
      <c r="H31">
        <f t="shared" si="3"/>
        <v>1.8926145309352917E-5</v>
      </c>
      <c r="I31">
        <f t="shared" si="4"/>
        <v>1365.2603067640912</v>
      </c>
    </row>
    <row r="32" spans="1:9" x14ac:dyDescent="0.3">
      <c r="A32" t="s">
        <v>5</v>
      </c>
      <c r="B32">
        <v>100026151.67325699</v>
      </c>
      <c r="C32">
        <v>0.99973855164054104</v>
      </c>
      <c r="D32">
        <v>1.4986320662504999</v>
      </c>
      <c r="E32">
        <v>149862724.55073401</v>
      </c>
      <c r="F32">
        <f t="shared" si="1"/>
        <v>2367.3855979597961</v>
      </c>
      <c r="G32">
        <f t="shared" si="2"/>
        <v>2.3660686661730047E-5</v>
      </c>
      <c r="H32">
        <f t="shared" si="3"/>
        <v>5.5704990317546266E-6</v>
      </c>
      <c r="I32">
        <f t="shared" si="4"/>
        <v>602.98622900801024</v>
      </c>
    </row>
    <row r="33" spans="1:9" x14ac:dyDescent="0.3">
      <c r="A33" t="s">
        <v>5</v>
      </c>
      <c r="B33">
        <v>100027544.591864</v>
      </c>
      <c r="C33">
        <v>0.99972462993091804</v>
      </c>
      <c r="D33">
        <v>1.4986867109955899</v>
      </c>
      <c r="E33">
        <v>149869107.76285499</v>
      </c>
      <c r="F33">
        <f t="shared" si="1"/>
        <v>984.94219265870709</v>
      </c>
      <c r="G33">
        <f t="shared" si="2"/>
        <v>9.8441352801328355E-6</v>
      </c>
      <c r="H33">
        <f t="shared" si="3"/>
        <v>3.8639669809336773E-5</v>
      </c>
      <c r="I33">
        <f t="shared" si="4"/>
        <v>4513.6125764971403</v>
      </c>
    </row>
    <row r="34" spans="1:9" x14ac:dyDescent="0.3">
      <c r="A34" t="s">
        <v>5</v>
      </c>
      <c r="B34">
        <v>100026282.677386</v>
      </c>
      <c r="C34">
        <v>0.999737242285897</v>
      </c>
      <c r="D34">
        <v>1.4986490736116</v>
      </c>
      <c r="E34">
        <v>149864047.991777</v>
      </c>
      <c r="F34">
        <f t="shared" si="1"/>
        <v>892.30828467409572</v>
      </c>
      <c r="G34">
        <f t="shared" si="2"/>
        <v>8.9182817323531704E-6</v>
      </c>
      <c r="H34">
        <f t="shared" si="3"/>
        <v>2.6613649445362401E-5</v>
      </c>
      <c r="I34">
        <f t="shared" si="4"/>
        <v>3577.7984404986728</v>
      </c>
    </row>
    <row r="35" spans="1:9" x14ac:dyDescent="0.3">
      <c r="A35" t="s">
        <v>5</v>
      </c>
      <c r="B35">
        <v>100028766.164471</v>
      </c>
      <c r="C35">
        <v>0.99971242108070602</v>
      </c>
      <c r="D35">
        <v>1.4985592670821599</v>
      </c>
      <c r="E35">
        <v>149855651.78699201</v>
      </c>
      <c r="F35">
        <f t="shared" si="1"/>
        <v>1756.090558792486</v>
      </c>
      <c r="G35">
        <f t="shared" si="2"/>
        <v>1.7551242507767182E-5</v>
      </c>
      <c r="H35">
        <f t="shared" si="3"/>
        <v>6.3502805961944146E-5</v>
      </c>
      <c r="I35">
        <f t="shared" si="4"/>
        <v>5937.0133396969122</v>
      </c>
    </row>
    <row r="36" spans="1:9" x14ac:dyDescent="0.3">
      <c r="A36" t="s">
        <v>5</v>
      </c>
      <c r="B36">
        <v>100029560.586354</v>
      </c>
      <c r="C36">
        <v>0.99970448149345903</v>
      </c>
      <c r="D36">
        <v>1.4985880673343299</v>
      </c>
      <c r="E36">
        <v>149858470.39760801</v>
      </c>
      <c r="F36">
        <f t="shared" si="1"/>
        <v>561.74110059364625</v>
      </c>
      <c r="G36">
        <f t="shared" si="2"/>
        <v>5.6141359821657674E-6</v>
      </c>
      <c r="H36">
        <f t="shared" si="3"/>
        <v>2.0364853609291416E-5</v>
      </c>
      <c r="I36">
        <f t="shared" si="4"/>
        <v>1993.0586800969359</v>
      </c>
    </row>
    <row r="37" spans="1:9" x14ac:dyDescent="0.3">
      <c r="A37" t="s">
        <v>5</v>
      </c>
      <c r="B37">
        <v>100030532.59551699</v>
      </c>
      <c r="C37">
        <v>0.99969476724030903</v>
      </c>
      <c r="D37">
        <v>1.4985453074294099</v>
      </c>
      <c r="E37">
        <v>149855261.587412</v>
      </c>
      <c r="F37">
        <f t="shared" si="1"/>
        <v>687.31427052727236</v>
      </c>
      <c r="G37">
        <f t="shared" si="2"/>
        <v>6.8690142765242206E-6</v>
      </c>
      <c r="H37">
        <f t="shared" si="3"/>
        <v>3.0235818731806771E-5</v>
      </c>
      <c r="I37">
        <f t="shared" si="4"/>
        <v>2268.9714491408026</v>
      </c>
    </row>
    <row r="38" spans="1:9" x14ac:dyDescent="0.3">
      <c r="A38" t="s">
        <v>5</v>
      </c>
      <c r="B38">
        <v>100028420.51772</v>
      </c>
      <c r="C38">
        <v>0.99971587557242703</v>
      </c>
      <c r="D38">
        <v>1.49854084421075</v>
      </c>
      <c r="E38">
        <v>149854078.903826</v>
      </c>
      <c r="F38">
        <f t="shared" si="1"/>
        <v>1493.4645326491614</v>
      </c>
      <c r="G38">
        <f t="shared" si="2"/>
        <v>1.4925844780169715E-5</v>
      </c>
      <c r="H38">
        <f t="shared" si="3"/>
        <v>3.1559721803966357E-6</v>
      </c>
      <c r="I38">
        <f t="shared" si="4"/>
        <v>836.2835836596106</v>
      </c>
    </row>
    <row r="39" spans="1:9" x14ac:dyDescent="0.3">
      <c r="A39" t="s">
        <v>5</v>
      </c>
      <c r="B39">
        <v>100028436.462249</v>
      </c>
      <c r="C39">
        <v>0.99971571621775901</v>
      </c>
      <c r="D39">
        <v>1.49855158994211</v>
      </c>
      <c r="E39">
        <v>149855992.23339701</v>
      </c>
      <c r="F39">
        <f t="shared" si="1"/>
        <v>11.274484576564944</v>
      </c>
      <c r="G39">
        <f t="shared" si="2"/>
        <v>1.1268076636837741E-7</v>
      </c>
      <c r="H39">
        <f t="shared" si="3"/>
        <v>7.5983795135089902E-6</v>
      </c>
      <c r="I39">
        <f t="shared" si="4"/>
        <v>1352.928314304987</v>
      </c>
    </row>
    <row r="40" spans="1:9" x14ac:dyDescent="0.3">
      <c r="A40" t="s">
        <v>5</v>
      </c>
      <c r="B40">
        <v>100026028.471075</v>
      </c>
      <c r="C40">
        <v>0.99973978301974997</v>
      </c>
      <c r="D40">
        <v>1.4985847423718399</v>
      </c>
      <c r="E40">
        <v>149859150.95439601</v>
      </c>
      <c r="F40">
        <f t="shared" si="1"/>
        <v>1702.7068881710029</v>
      </c>
      <c r="G40">
        <f t="shared" si="2"/>
        <v>1.7017798889283767E-5</v>
      </c>
      <c r="H40">
        <f t="shared" si="3"/>
        <v>2.3442307874822133E-5</v>
      </c>
      <c r="I40">
        <f t="shared" si="4"/>
        <v>2233.5530382709826</v>
      </c>
    </row>
    <row r="41" spans="1:9" x14ac:dyDescent="0.3">
      <c r="A41" t="s">
        <v>5</v>
      </c>
      <c r="B41">
        <v>100024072.908428</v>
      </c>
      <c r="C41">
        <v>0.99975932885225904</v>
      </c>
      <c r="D41">
        <v>1.4985516965322401</v>
      </c>
      <c r="E41">
        <v>149855700.18345499</v>
      </c>
      <c r="F41">
        <f t="shared" si="1"/>
        <v>1382.7916087287829</v>
      </c>
      <c r="G41">
        <f t="shared" si="2"/>
        <v>1.3820990711100844E-5</v>
      </c>
      <c r="H41">
        <f t="shared" si="3"/>
        <v>2.3366937271052226E-5</v>
      </c>
      <c r="I41">
        <f t="shared" si="4"/>
        <v>2440.0635327160599</v>
      </c>
    </row>
    <row r="42" spans="1:9" x14ac:dyDescent="0.3">
      <c r="A42" t="s">
        <v>5</v>
      </c>
      <c r="B42">
        <v>100022539.826657</v>
      </c>
      <c r="C42">
        <v>0.999774652526351</v>
      </c>
      <c r="D42">
        <v>1.49851000490493</v>
      </c>
      <c r="E42">
        <v>149851853.49283499</v>
      </c>
      <c r="F42">
        <f t="shared" si="1"/>
        <v>1084.0525163884442</v>
      </c>
      <c r="G42">
        <f t="shared" si="2"/>
        <v>1.0835473863117845E-5</v>
      </c>
      <c r="H42">
        <f t="shared" si="3"/>
        <v>2.9480432389636922E-5</v>
      </c>
      <c r="I42">
        <f t="shared" si="4"/>
        <v>2720.0210225323126</v>
      </c>
    </row>
    <row r="43" spans="1:9" x14ac:dyDescent="0.3">
      <c r="A43" t="s">
        <v>5</v>
      </c>
      <c r="B43">
        <v>100020075.124097</v>
      </c>
      <c r="C43">
        <v>0.999799289051997</v>
      </c>
      <c r="D43">
        <v>1.4984827305913699</v>
      </c>
      <c r="E43">
        <v>149848404.355822</v>
      </c>
      <c r="F43">
        <f t="shared" si="1"/>
        <v>1742.8078937786611</v>
      </c>
      <c r="G43">
        <f t="shared" si="2"/>
        <v>1.7420654349158292E-5</v>
      </c>
      <c r="H43">
        <f t="shared" si="3"/>
        <v>1.9285852070546684E-5</v>
      </c>
      <c r="I43">
        <f t="shared" si="4"/>
        <v>2438.9081711255603</v>
      </c>
    </row>
    <row r="44" spans="1:9" x14ac:dyDescent="0.3">
      <c r="A44" t="s">
        <v>5</v>
      </c>
      <c r="B44">
        <v>100019695.740356</v>
      </c>
      <c r="C44">
        <v>0.99980308138101903</v>
      </c>
      <c r="D44">
        <v>1.49841604076336</v>
      </c>
      <c r="E44">
        <v>149837880.40474901</v>
      </c>
      <c r="F44">
        <f t="shared" si="1"/>
        <v>268.26481593744387</v>
      </c>
      <c r="G44">
        <f t="shared" si="2"/>
        <v>2.681581567971003E-6</v>
      </c>
      <c r="H44">
        <f t="shared" si="3"/>
        <v>4.7156829621998114E-5</v>
      </c>
      <c r="I44">
        <f t="shared" si="4"/>
        <v>7441.5571685873047</v>
      </c>
    </row>
    <row r="45" spans="1:9" x14ac:dyDescent="0.3">
      <c r="A45" t="s">
        <v>5</v>
      </c>
      <c r="B45">
        <v>100030455.59205601</v>
      </c>
      <c r="C45">
        <v>0.99969553680550305</v>
      </c>
      <c r="D45">
        <v>1.4981425949192699</v>
      </c>
      <c r="E45">
        <v>149812947.577645</v>
      </c>
      <c r="F45">
        <f t="shared" si="1"/>
        <v>7608.3641016371985</v>
      </c>
      <c r="G45">
        <f t="shared" si="2"/>
        <v>7.6045498627180447E-5</v>
      </c>
      <c r="H45">
        <f t="shared" si="3"/>
        <v>1.9335541064336006E-4</v>
      </c>
      <c r="I45">
        <f t="shared" si="4"/>
        <v>17630.171119391733</v>
      </c>
    </row>
    <row r="46" spans="1:9" x14ac:dyDescent="0.3">
      <c r="A46" t="s">
        <v>5</v>
      </c>
      <c r="B46">
        <v>100034246.70885301</v>
      </c>
      <c r="C46">
        <v>0.99965765015501795</v>
      </c>
      <c r="D46">
        <v>1.49802248534075</v>
      </c>
      <c r="E46">
        <v>149801630.35959899</v>
      </c>
      <c r="F46">
        <f t="shared" si="1"/>
        <v>2680.7243954290439</v>
      </c>
      <c r="G46">
        <f t="shared" si="2"/>
        <v>2.6789907474456837E-5</v>
      </c>
      <c r="H46">
        <f t="shared" si="3"/>
        <v>8.4930297456903091E-5</v>
      </c>
      <c r="I46">
        <f t="shared" si="4"/>
        <v>8002.4816245001148</v>
      </c>
    </row>
    <row r="47" spans="1:9" x14ac:dyDescent="0.3">
      <c r="A47" t="s">
        <v>5</v>
      </c>
      <c r="B47">
        <v>100036033.13420101</v>
      </c>
      <c r="C47">
        <v>0.99963979844989304</v>
      </c>
      <c r="D47">
        <v>1.49853058788375</v>
      </c>
      <c r="E47">
        <v>149852733.441632</v>
      </c>
      <c r="F47">
        <f t="shared" si="1"/>
        <v>1263.1934776534458</v>
      </c>
      <c r="G47">
        <f t="shared" si="2"/>
        <v>1.2623061749570798E-5</v>
      </c>
      <c r="H47">
        <f t="shared" si="3"/>
        <v>3.5928275369346055E-4</v>
      </c>
      <c r="I47">
        <f t="shared" si="4"/>
        <v>36135.335845072615</v>
      </c>
    </row>
    <row r="48" spans="1:9" x14ac:dyDescent="0.3">
      <c r="A48" t="s">
        <v>5</v>
      </c>
      <c r="B48">
        <v>100036973.423687</v>
      </c>
      <c r="C48">
        <v>0.99963040241600898</v>
      </c>
      <c r="D48">
        <v>1.49852529262707</v>
      </c>
      <c r="E48">
        <v>149852935.84120801</v>
      </c>
      <c r="F48">
        <f t="shared" si="1"/>
        <v>664.88507182265005</v>
      </c>
      <c r="G48">
        <f t="shared" si="2"/>
        <v>6.6439992756753329E-6</v>
      </c>
      <c r="H48">
        <f t="shared" si="3"/>
        <v>3.7443119065703421E-6</v>
      </c>
      <c r="I48">
        <f t="shared" si="4"/>
        <v>143.11811270476503</v>
      </c>
    </row>
    <row r="49" spans="1:9" x14ac:dyDescent="0.3">
      <c r="A49" t="s">
        <v>5</v>
      </c>
      <c r="B49">
        <v>100035798.358493</v>
      </c>
      <c r="C49">
        <v>0.99964214452145295</v>
      </c>
      <c r="D49">
        <v>1.4984683489450701</v>
      </c>
      <c r="E49">
        <v>149846039.32484999</v>
      </c>
      <c r="F49">
        <f t="shared" si="1"/>
        <v>830.89656701073989</v>
      </c>
      <c r="G49">
        <f t="shared" si="2"/>
        <v>8.3029223848373493E-6</v>
      </c>
      <c r="H49">
        <f t="shared" si="3"/>
        <v>4.0265263687882613E-5</v>
      </c>
      <c r="I49">
        <f t="shared" si="4"/>
        <v>4876.5734833184242</v>
      </c>
    </row>
    <row r="50" spans="1:9" x14ac:dyDescent="0.3">
      <c r="A50" t="s">
        <v>5</v>
      </c>
      <c r="B50">
        <v>100038097.771752</v>
      </c>
      <c r="C50">
        <v>0.99961916737122403</v>
      </c>
      <c r="D50">
        <v>1.4984456128102099</v>
      </c>
      <c r="E50">
        <v>149844140.675699</v>
      </c>
      <c r="F50">
        <f t="shared" si="1"/>
        <v>1625.9307081888664</v>
      </c>
      <c r="G50">
        <f t="shared" si="2"/>
        <v>1.6247298739211363E-5</v>
      </c>
      <c r="H50">
        <f t="shared" si="3"/>
        <v>1.6076875137581271E-5</v>
      </c>
      <c r="I50">
        <f t="shared" si="4"/>
        <v>1342.547689764343</v>
      </c>
    </row>
    <row r="51" spans="1:9" x14ac:dyDescent="0.3">
      <c r="A51" t="s">
        <v>5</v>
      </c>
      <c r="B51">
        <v>100039313.372183</v>
      </c>
      <c r="C51">
        <v>0.99960702077154995</v>
      </c>
      <c r="D51">
        <v>1.4984032960388101</v>
      </c>
      <c r="E51">
        <v>149838401.96279201</v>
      </c>
      <c r="F51">
        <f t="shared" si="1"/>
        <v>859.55930797001406</v>
      </c>
      <c r="G51">
        <f t="shared" si="2"/>
        <v>8.5889429978994474E-6</v>
      </c>
      <c r="H51">
        <f t="shared" si="3"/>
        <v>2.9922476014772639E-5</v>
      </c>
      <c r="I51">
        <f t="shared" si="4"/>
        <v>4057.8828118129013</v>
      </c>
    </row>
    <row r="52" spans="1:9" x14ac:dyDescent="0.3">
      <c r="A52" t="s">
        <v>5</v>
      </c>
      <c r="B52">
        <v>100044884.25169</v>
      </c>
      <c r="C52">
        <v>0.99955135885231905</v>
      </c>
      <c r="D52">
        <v>1.49822727685357</v>
      </c>
      <c r="E52">
        <v>149822883.93487701</v>
      </c>
      <c r="F52">
        <f t="shared" si="1"/>
        <v>3939.206676576558</v>
      </c>
      <c r="G52">
        <f t="shared" si="2"/>
        <v>3.9358920542026048E-5</v>
      </c>
      <c r="H52">
        <f t="shared" si="3"/>
        <v>1.2446435950214726E-4</v>
      </c>
      <c r="I52">
        <f t="shared" si="4"/>
        <v>10972.902769339289</v>
      </c>
    </row>
    <row r="53" spans="1:9" x14ac:dyDescent="0.3">
      <c r="A53" t="s">
        <v>5</v>
      </c>
      <c r="B53">
        <v>100044432.62601499</v>
      </c>
      <c r="C53">
        <v>0.99955587107798605</v>
      </c>
      <c r="D53">
        <v>1.4982282047953099</v>
      </c>
      <c r="E53">
        <v>149825019.07009101</v>
      </c>
      <c r="F53">
        <f t="shared" si="1"/>
        <v>319.34757735589722</v>
      </c>
      <c r="G53">
        <f t="shared" si="2"/>
        <v>3.1906253673776846E-6</v>
      </c>
      <c r="H53">
        <f t="shared" si="3"/>
        <v>6.5615389682381155E-7</v>
      </c>
      <c r="I53">
        <f t="shared" si="4"/>
        <v>1509.7685885702551</v>
      </c>
    </row>
    <row r="54" spans="1:9" x14ac:dyDescent="0.3">
      <c r="A54" t="s">
        <v>5</v>
      </c>
      <c r="B54">
        <v>100038078.888569</v>
      </c>
      <c r="C54">
        <v>0.99961935605928298</v>
      </c>
      <c r="D54">
        <v>1.49826505981142</v>
      </c>
      <c r="E54">
        <v>149826096.15315801</v>
      </c>
      <c r="F54">
        <f t="shared" si="1"/>
        <v>4492.7708339421097</v>
      </c>
      <c r="G54">
        <f t="shared" si="2"/>
        <v>4.4890660778563978E-5</v>
      </c>
      <c r="H54">
        <f t="shared" si="3"/>
        <v>2.6060431812162905E-5</v>
      </c>
      <c r="I54">
        <f t="shared" si="4"/>
        <v>761.6127405768425</v>
      </c>
    </row>
    <row r="55" spans="1:9" x14ac:dyDescent="0.3">
      <c r="A55" t="s">
        <v>5</v>
      </c>
      <c r="B55">
        <v>100039263.37658601</v>
      </c>
      <c r="C55">
        <v>0.99960752033490297</v>
      </c>
      <c r="D55">
        <v>1.4981560675785801</v>
      </c>
      <c r="E55">
        <v>149816599.78141099</v>
      </c>
      <c r="F55">
        <f t="shared" si="1"/>
        <v>837.55950906035741</v>
      </c>
      <c r="G55">
        <f t="shared" si="2"/>
        <v>8.3691209693642667E-6</v>
      </c>
      <c r="H55">
        <f t="shared" si="3"/>
        <v>7.7069146937748254E-5</v>
      </c>
      <c r="I55">
        <f t="shared" si="4"/>
        <v>6714.9488589839957</v>
      </c>
    </row>
    <row r="56" spans="1:9" x14ac:dyDescent="0.3">
      <c r="A56" t="s">
        <v>5</v>
      </c>
      <c r="B56">
        <v>100036393.47558799</v>
      </c>
      <c r="C56">
        <v>0.99963619764443701</v>
      </c>
      <c r="D56">
        <v>1.4981241885835199</v>
      </c>
      <c r="E56">
        <v>149815412.348391</v>
      </c>
      <c r="F56">
        <f t="shared" si="1"/>
        <v>2029.3264570277822</v>
      </c>
      <c r="G56">
        <f t="shared" si="2"/>
        <v>2.0277920037706741E-5</v>
      </c>
      <c r="H56">
        <f t="shared" si="3"/>
        <v>2.254185358447004E-5</v>
      </c>
      <c r="I56">
        <f t="shared" si="4"/>
        <v>839.6419406437733</v>
      </c>
    </row>
    <row r="57" spans="1:9" x14ac:dyDescent="0.3">
      <c r="A57" t="s">
        <v>5</v>
      </c>
      <c r="B57">
        <v>100027742.291851</v>
      </c>
      <c r="C57">
        <v>0.99972265402361304</v>
      </c>
      <c r="D57">
        <v>1.49825491028841</v>
      </c>
      <c r="E57">
        <v>149826954.03656301</v>
      </c>
      <c r="F57">
        <f t="shared" si="1"/>
        <v>6117.3106857198454</v>
      </c>
      <c r="G57">
        <f t="shared" si="2"/>
        <v>6.1133891992210779E-5</v>
      </c>
      <c r="H57">
        <f t="shared" si="3"/>
        <v>9.2434203976010795E-5</v>
      </c>
      <c r="I57">
        <f t="shared" si="4"/>
        <v>8161.2059727706546</v>
      </c>
    </row>
    <row r="58" spans="1:9" x14ac:dyDescent="0.3">
      <c r="A58" t="s">
        <v>5</v>
      </c>
      <c r="B58">
        <v>100023515.47286899</v>
      </c>
      <c r="C58">
        <v>0.99976490055604705</v>
      </c>
      <c r="D58">
        <v>1.4982328574180299</v>
      </c>
      <c r="E58">
        <v>149823300.59217501</v>
      </c>
      <c r="F58">
        <f t="shared" si="1"/>
        <v>2988.8123650238394</v>
      </c>
      <c r="G58">
        <f t="shared" si="2"/>
        <v>2.9872809565705419E-5</v>
      </c>
      <c r="H58">
        <f t="shared" si="3"/>
        <v>1.5593734190354554E-5</v>
      </c>
      <c r="I58">
        <f t="shared" si="4"/>
        <v>2583.3753014442614</v>
      </c>
    </row>
    <row r="59" spans="1:9" x14ac:dyDescent="0.3">
      <c r="A59" t="s">
        <v>5</v>
      </c>
      <c r="B59">
        <v>100023472.562342</v>
      </c>
      <c r="C59">
        <v>0.99976532945976404</v>
      </c>
      <c r="D59">
        <v>1.49813503534417</v>
      </c>
      <c r="E59">
        <v>149814058.65510499</v>
      </c>
      <c r="F59">
        <f t="shared" si="1"/>
        <v>30.342324619547053</v>
      </c>
      <c r="G59">
        <f t="shared" si="2"/>
        <v>3.0328072675754909E-7</v>
      </c>
      <c r="H59">
        <f t="shared" si="3"/>
        <v>6.9170651776058001E-5</v>
      </c>
      <c r="I59">
        <f t="shared" si="4"/>
        <v>6535.0363735048822</v>
      </c>
    </row>
    <row r="60" spans="1:9" x14ac:dyDescent="0.3">
      <c r="A60" t="s">
        <v>5</v>
      </c>
      <c r="B60">
        <v>100021868.624313</v>
      </c>
      <c r="C60">
        <v>0.99978136157007802</v>
      </c>
      <c r="D60">
        <v>1.49807400868717</v>
      </c>
      <c r="E60">
        <v>149806939.18114701</v>
      </c>
      <c r="F60">
        <f t="shared" si="1"/>
        <v>1134.1554569132154</v>
      </c>
      <c r="G60">
        <f t="shared" si="2"/>
        <v>1.1336413919745575E-5</v>
      </c>
      <c r="H60">
        <f t="shared" si="3"/>
        <v>4.315236299786636E-5</v>
      </c>
      <c r="I60">
        <f t="shared" si="4"/>
        <v>5034.2283141726748</v>
      </c>
    </row>
    <row r="61" spans="1:9" x14ac:dyDescent="0.3">
      <c r="A61" t="s">
        <v>5</v>
      </c>
      <c r="B61">
        <v>100023202.592794</v>
      </c>
      <c r="C61">
        <v>0.99976802789559305</v>
      </c>
      <c r="D61">
        <v>1.49794398328043</v>
      </c>
      <c r="E61">
        <v>149795608.87113899</v>
      </c>
      <c r="F61">
        <f t="shared" si="1"/>
        <v>943.25815880721495</v>
      </c>
      <c r="G61">
        <f t="shared" si="2"/>
        <v>9.4283316464578431E-6</v>
      </c>
      <c r="H61">
        <f t="shared" si="3"/>
        <v>9.1941846832399119E-5</v>
      </c>
      <c r="I61">
        <f t="shared" si="4"/>
        <v>8011.7390396161882</v>
      </c>
    </row>
    <row r="62" spans="1:9" x14ac:dyDescent="0.3">
      <c r="A62" t="s">
        <v>5</v>
      </c>
      <c r="B62">
        <v>100019704.92138501</v>
      </c>
      <c r="C62">
        <v>0.99980298960688796</v>
      </c>
      <c r="D62">
        <v>1.49799252698793</v>
      </c>
      <c r="E62">
        <v>149799217.646292</v>
      </c>
      <c r="F62">
        <f t="shared" si="1"/>
        <v>2473.2271716633682</v>
      </c>
      <c r="G62">
        <f t="shared" si="2"/>
        <v>2.4721663138518503E-5</v>
      </c>
      <c r="H62">
        <f t="shared" si="3"/>
        <v>3.4325584757157634E-5</v>
      </c>
      <c r="I62">
        <f t="shared" si="4"/>
        <v>2551.789382471658</v>
      </c>
    </row>
    <row r="63" spans="1:9" x14ac:dyDescent="0.3">
      <c r="A63" t="s">
        <v>5</v>
      </c>
      <c r="B63">
        <v>100019806.18073501</v>
      </c>
      <c r="C63">
        <v>0.99980197741335797</v>
      </c>
      <c r="D63">
        <v>1.49789683391029</v>
      </c>
      <c r="E63">
        <v>149791399.929986</v>
      </c>
      <c r="F63">
        <f t="shared" si="1"/>
        <v>71.601173044823298</v>
      </c>
      <c r="G63">
        <f t="shared" si="2"/>
        <v>7.1572890893068108E-7</v>
      </c>
      <c r="H63">
        <f t="shared" si="3"/>
        <v>6.7665224111785712E-5</v>
      </c>
      <c r="I63">
        <f t="shared" si="4"/>
        <v>5527.9602133659173</v>
      </c>
    </row>
    <row r="64" spans="1:9" x14ac:dyDescent="0.3">
      <c r="A64" t="s">
        <v>5</v>
      </c>
      <c r="B64">
        <v>100014846.81421299</v>
      </c>
      <c r="C64">
        <v>0.999851553897386</v>
      </c>
      <c r="D64">
        <v>1.4978652409076401</v>
      </c>
      <c r="E64">
        <v>149787898.568198</v>
      </c>
      <c r="F64">
        <f t="shared" si="1"/>
        <v>3506.8016981057426</v>
      </c>
      <c r="G64">
        <f t="shared" si="2"/>
        <v>3.5055868043610464E-5</v>
      </c>
      <c r="H64">
        <f t="shared" si="3"/>
        <v>2.2339626411850915E-5</v>
      </c>
      <c r="I64">
        <f t="shared" si="4"/>
        <v>2475.8366636855335</v>
      </c>
    </row>
    <row r="65" spans="1:9" x14ac:dyDescent="0.3">
      <c r="A65" t="s">
        <v>5</v>
      </c>
      <c r="B65">
        <v>100010876.027843</v>
      </c>
      <c r="C65">
        <v>0.99989125154907399</v>
      </c>
      <c r="D65">
        <v>1.4985453331646501</v>
      </c>
      <c r="E65">
        <v>149854292.290537</v>
      </c>
      <c r="F65">
        <f t="shared" si="1"/>
        <v>2807.7699688660728</v>
      </c>
      <c r="G65">
        <f t="shared" si="2"/>
        <v>2.8070478705756889E-5</v>
      </c>
      <c r="H65">
        <f t="shared" si="3"/>
        <v>4.8089784676426741E-4</v>
      </c>
      <c r="I65">
        <f t="shared" si="4"/>
        <v>46947.451294126688</v>
      </c>
    </row>
    <row r="66" spans="1:9" x14ac:dyDescent="0.3">
      <c r="A66" t="s">
        <v>5</v>
      </c>
      <c r="B66">
        <v>100011572.384626</v>
      </c>
      <c r="C66">
        <v>0.99988428954419295</v>
      </c>
      <c r="D66">
        <v>1.4984121165434801</v>
      </c>
      <c r="E66">
        <v>149840697.583114</v>
      </c>
      <c r="F66">
        <f t="shared" si="1"/>
        <v>492.39860338639824</v>
      </c>
      <c r="G66">
        <f t="shared" si="2"/>
        <v>4.9228808620367063E-6</v>
      </c>
      <c r="H66">
        <f t="shared" si="3"/>
        <v>9.4198376196102734E-5</v>
      </c>
      <c r="I66">
        <f t="shared" si="4"/>
        <v>9612.9098070514756</v>
      </c>
    </row>
    <row r="67" spans="1:9" x14ac:dyDescent="0.3">
      <c r="A67" t="s">
        <v>5</v>
      </c>
      <c r="B67">
        <v>100013057.51227701</v>
      </c>
      <c r="C67">
        <v>0.99986944192486504</v>
      </c>
      <c r="D67">
        <v>1.49827761245548</v>
      </c>
      <c r="E67">
        <v>149825098.98786899</v>
      </c>
      <c r="F67">
        <f t="shared" si="1"/>
        <v>1050.1438329539792</v>
      </c>
      <c r="G67">
        <f t="shared" si="2"/>
        <v>1.0498852311239342E-5</v>
      </c>
      <c r="H67">
        <f t="shared" si="3"/>
        <v>9.5108752722173611E-5</v>
      </c>
      <c r="I67">
        <f t="shared" si="4"/>
        <v>11029.872474726353</v>
      </c>
    </row>
    <row r="68" spans="1:9" x14ac:dyDescent="0.3">
      <c r="A68" t="s">
        <v>5</v>
      </c>
      <c r="B68">
        <v>100020748.86237299</v>
      </c>
      <c r="C68">
        <v>0.99979255441886195</v>
      </c>
      <c r="D68">
        <v>1.49801669894205</v>
      </c>
      <c r="E68">
        <v>149801558.71494699</v>
      </c>
      <c r="F68">
        <f t="shared" ref="F68:F91" si="5">STDEV(B67:B68)</f>
        <v>5438.6058093524371</v>
      </c>
      <c r="G68">
        <f t="shared" ref="G68:G91" si="6">STDEV(C67:C68)</f>
        <v>5.4367676883312147E-5</v>
      </c>
      <c r="H68">
        <f t="shared" ref="H68:H91" si="7">STDEV(D67:D68)</f>
        <v>1.8449371464951717E-4</v>
      </c>
      <c r="I68">
        <f t="shared" ref="I68:I91" si="8">STDEV(E67:E68)</f>
        <v>16645.486614134792</v>
      </c>
    </row>
    <row r="69" spans="1:9" x14ac:dyDescent="0.3">
      <c r="A69" t="s">
        <v>5</v>
      </c>
      <c r="B69">
        <v>100021070.059819</v>
      </c>
      <c r="C69">
        <v>0.99978934378718998</v>
      </c>
      <c r="D69">
        <v>1.4980581702387401</v>
      </c>
      <c r="E69">
        <v>149806288.91714501</v>
      </c>
      <c r="F69">
        <f t="shared" si="5"/>
        <v>227.12089216891457</v>
      </c>
      <c r="G69">
        <f t="shared" si="6"/>
        <v>2.2702594271410331E-6</v>
      </c>
      <c r="H69">
        <f t="shared" si="7"/>
        <v>2.9324635114152346E-5</v>
      </c>
      <c r="I69">
        <f t="shared" si="8"/>
        <v>3344.7580506095105</v>
      </c>
    </row>
    <row r="70" spans="1:9" x14ac:dyDescent="0.3">
      <c r="A70" t="s">
        <v>5</v>
      </c>
      <c r="B70">
        <v>100019706.638878</v>
      </c>
      <c r="C70">
        <v>0.99980297243872296</v>
      </c>
      <c r="D70">
        <v>1.4979664968423201</v>
      </c>
      <c r="E70">
        <v>149797859.00325799</v>
      </c>
      <c r="F70">
        <f t="shared" si="5"/>
        <v>964.08419298946114</v>
      </c>
      <c r="G70">
        <f t="shared" si="6"/>
        <v>9.6369119173999968E-6</v>
      </c>
      <c r="H70">
        <f t="shared" si="7"/>
        <v>6.4822880263000306E-5</v>
      </c>
      <c r="I70">
        <f t="shared" si="8"/>
        <v>5960.8492743332654</v>
      </c>
    </row>
    <row r="71" spans="1:9" x14ac:dyDescent="0.3">
      <c r="A71" t="s">
        <v>5</v>
      </c>
      <c r="B71">
        <v>100016213.02774601</v>
      </c>
      <c r="C71">
        <v>0.99983789600450201</v>
      </c>
      <c r="D71">
        <v>1.49790938315127</v>
      </c>
      <c r="E71">
        <v>149789392.26345801</v>
      </c>
      <c r="F71">
        <f t="shared" si="5"/>
        <v>2470.3561222631229</v>
      </c>
      <c r="G71">
        <f t="shared" si="6"/>
        <v>2.469469018558407E-5</v>
      </c>
      <c r="H71">
        <f t="shared" si="7"/>
        <v>4.0385478240121651E-5</v>
      </c>
      <c r="I71">
        <f t="shared" si="8"/>
        <v>5986.8891271053089</v>
      </c>
    </row>
    <row r="72" spans="1:9" x14ac:dyDescent="0.3">
      <c r="A72" t="s">
        <v>5</v>
      </c>
      <c r="B72">
        <v>100020679.732215</v>
      </c>
      <c r="C72">
        <v>0.99979324543413395</v>
      </c>
      <c r="D72">
        <v>1.49768745798884</v>
      </c>
      <c r="E72">
        <v>149770456.42259499</v>
      </c>
      <c r="F72">
        <f t="shared" si="5"/>
        <v>3158.4370195828565</v>
      </c>
      <c r="G72">
        <f t="shared" si="6"/>
        <v>3.1572721091106248E-5</v>
      </c>
      <c r="H72">
        <f t="shared" si="7"/>
        <v>1.569247872701971E-4</v>
      </c>
      <c r="I72">
        <f t="shared" si="8"/>
        <v>13389.661481710222</v>
      </c>
    </row>
    <row r="73" spans="1:9" x14ac:dyDescent="0.3">
      <c r="A73" t="s">
        <v>5</v>
      </c>
      <c r="B73">
        <v>100015737.840544</v>
      </c>
      <c r="C73">
        <v>0.99984264635861597</v>
      </c>
      <c r="D73">
        <v>1.49761465678043</v>
      </c>
      <c r="E73">
        <v>149758994.255597</v>
      </c>
      <c r="F73">
        <f t="shared" si="5"/>
        <v>3494.44511245477</v>
      </c>
      <c r="G73">
        <f t="shared" si="6"/>
        <v>3.4931728698123498E-5</v>
      </c>
      <c r="H73">
        <f t="shared" si="7"/>
        <v>5.1478228145223651E-5</v>
      </c>
      <c r="I73">
        <f t="shared" si="8"/>
        <v>8104.976011377712</v>
      </c>
    </row>
    <row r="74" spans="1:9" x14ac:dyDescent="0.3">
      <c r="A74" t="s">
        <v>5</v>
      </c>
      <c r="B74">
        <v>100022876.915647</v>
      </c>
      <c r="C74">
        <v>0.99977128316687702</v>
      </c>
      <c r="D74">
        <v>1.49740125728549</v>
      </c>
      <c r="E74">
        <v>149742515.072945</v>
      </c>
      <c r="F74">
        <f t="shared" si="5"/>
        <v>5048.0884167312133</v>
      </c>
      <c r="G74">
        <f t="shared" si="6"/>
        <v>5.0461396805726647E-5</v>
      </c>
      <c r="H74">
        <f t="shared" si="7"/>
        <v>1.5089622997388407E-4</v>
      </c>
      <c r="I74">
        <f t="shared" si="8"/>
        <v>11652.541801638517</v>
      </c>
    </row>
    <row r="75" spans="1:9" x14ac:dyDescent="0.3">
      <c r="A75" t="s">
        <v>5</v>
      </c>
      <c r="B75">
        <v>100015974.272787</v>
      </c>
      <c r="C75">
        <v>0.99984028278578396</v>
      </c>
      <c r="D75">
        <v>1.4973936443707301</v>
      </c>
      <c r="E75">
        <v>149740099.92811599</v>
      </c>
      <c r="F75">
        <f t="shared" si="5"/>
        <v>4880.9055744116276</v>
      </c>
      <c r="G75">
        <f t="shared" si="6"/>
        <v>4.8790098428384603E-5</v>
      </c>
      <c r="H75">
        <f t="shared" si="7"/>
        <v>5.3831436513378774E-6</v>
      </c>
      <c r="I75">
        <f t="shared" si="8"/>
        <v>1707.7652861370623</v>
      </c>
    </row>
    <row r="76" spans="1:9" x14ac:dyDescent="0.3">
      <c r="A76" t="s">
        <v>5</v>
      </c>
      <c r="B76">
        <v>100013849.67510299</v>
      </c>
      <c r="C76">
        <v>0.99986152242766202</v>
      </c>
      <c r="D76">
        <v>1.4972400392879399</v>
      </c>
      <c r="E76">
        <v>149724120.26761201</v>
      </c>
      <c r="F76">
        <f t="shared" si="5"/>
        <v>1502.3174296573152</v>
      </c>
      <c r="G76">
        <f t="shared" si="6"/>
        <v>1.5018694801947837E-5</v>
      </c>
      <c r="H76">
        <f t="shared" si="7"/>
        <v>1.0861519566564652E-4</v>
      </c>
      <c r="I76">
        <f t="shared" si="8"/>
        <v>11299.326303425574</v>
      </c>
    </row>
    <row r="77" spans="1:9" x14ac:dyDescent="0.3">
      <c r="A77" t="s">
        <v>5</v>
      </c>
      <c r="B77">
        <v>100013513.64313599</v>
      </c>
      <c r="C77">
        <v>0.99986488182801703</v>
      </c>
      <c r="D77">
        <v>1.4970672329905499</v>
      </c>
      <c r="E77">
        <v>149707632.75584</v>
      </c>
      <c r="F77">
        <f t="shared" si="5"/>
        <v>237.61048256056949</v>
      </c>
      <c r="G77">
        <f t="shared" si="6"/>
        <v>2.3754547717462842E-6</v>
      </c>
      <c r="H77">
        <f t="shared" si="7"/>
        <v>1.2219250471622717E-4</v>
      </c>
      <c r="I77">
        <f t="shared" si="8"/>
        <v>11658.431378879004</v>
      </c>
    </row>
    <row r="78" spans="1:9" x14ac:dyDescent="0.3">
      <c r="A78" t="s">
        <v>5</v>
      </c>
      <c r="B78">
        <v>100010887.122842</v>
      </c>
      <c r="C78">
        <v>0.99989114062322404</v>
      </c>
      <c r="D78">
        <v>1.4969138146363601</v>
      </c>
      <c r="E78">
        <v>149690098.07785699</v>
      </c>
      <c r="F78">
        <f t="shared" si="5"/>
        <v>1857.2303108084707</v>
      </c>
      <c r="G78">
        <f t="shared" si="6"/>
        <v>1.8567772156667402E-5</v>
      </c>
      <c r="H78">
        <f t="shared" si="7"/>
        <v>1.0848315860609059E-4</v>
      </c>
      <c r="I78">
        <f t="shared" si="8"/>
        <v>12398.88970771291</v>
      </c>
    </row>
    <row r="79" spans="1:9" x14ac:dyDescent="0.3">
      <c r="A79" t="s">
        <v>5</v>
      </c>
      <c r="B79">
        <v>100014593.124024</v>
      </c>
      <c r="C79">
        <v>0.99985409005257297</v>
      </c>
      <c r="D79">
        <v>1.4967066661336199</v>
      </c>
      <c r="E79">
        <v>149669516.66822201</v>
      </c>
      <c r="F79">
        <f t="shared" si="5"/>
        <v>2620.5385668809613</v>
      </c>
      <c r="G79">
        <f t="shared" si="6"/>
        <v>2.6198709754199249E-5</v>
      </c>
      <c r="H79">
        <f t="shared" si="7"/>
        <v>1.4647611100021654E-4</v>
      </c>
      <c r="I79">
        <f t="shared" si="8"/>
        <v>14553.254319270793</v>
      </c>
    </row>
    <row r="80" spans="1:9" x14ac:dyDescent="0.3">
      <c r="A80" t="s">
        <v>5</v>
      </c>
      <c r="B80">
        <v>100017914.325095</v>
      </c>
      <c r="C80">
        <v>0.99982088883559495</v>
      </c>
      <c r="D80">
        <v>1.4966496912337499</v>
      </c>
      <c r="E80">
        <v>149665694.19643801</v>
      </c>
      <c r="F80">
        <f t="shared" si="5"/>
        <v>2348.4437989839798</v>
      </c>
      <c r="G80">
        <f t="shared" si="6"/>
        <v>2.3476805668810492E-5</v>
      </c>
      <c r="H80">
        <f t="shared" si="7"/>
        <v>4.0287338055501021E-5</v>
      </c>
      <c r="I80">
        <f t="shared" si="8"/>
        <v>2702.8957193575488</v>
      </c>
    </row>
    <row r="81" spans="1:9" x14ac:dyDescent="0.3">
      <c r="A81" t="s">
        <v>5</v>
      </c>
      <c r="B81">
        <v>100015820.177027</v>
      </c>
      <c r="C81">
        <v>0.99984182325356896</v>
      </c>
      <c r="D81">
        <v>1.4964355000229601</v>
      </c>
      <c r="E81">
        <v>149643639.87593001</v>
      </c>
      <c r="F81">
        <f t="shared" si="5"/>
        <v>1480.7862996886122</v>
      </c>
      <c r="G81">
        <f t="shared" si="6"/>
        <v>1.4802868909620782E-5</v>
      </c>
      <c r="H81">
        <f t="shared" si="7"/>
        <v>1.5145605762002814E-4</v>
      </c>
      <c r="I81">
        <f t="shared" si="8"/>
        <v>15594.75958567063</v>
      </c>
    </row>
    <row r="82" spans="1:9" x14ac:dyDescent="0.3">
      <c r="A82" t="s">
        <v>5</v>
      </c>
      <c r="B82">
        <v>100015560.619176</v>
      </c>
      <c r="C82">
        <v>0.99984441801775603</v>
      </c>
      <c r="D82">
        <v>1.4961682408838599</v>
      </c>
      <c r="E82">
        <v>149618066.01025999</v>
      </c>
      <c r="F82">
        <f t="shared" si="5"/>
        <v>183.53511655345321</v>
      </c>
      <c r="G82">
        <f t="shared" si="6"/>
        <v>1.8347753522567629E-6</v>
      </c>
      <c r="H82">
        <f t="shared" si="7"/>
        <v>1.88980749591827E-4</v>
      </c>
      <c r="I82">
        <f t="shared" si="8"/>
        <v>18083.453836428773</v>
      </c>
    </row>
    <row r="83" spans="1:9" x14ac:dyDescent="0.3">
      <c r="A83" t="s">
        <v>5</v>
      </c>
      <c r="B83">
        <v>100011974.77489901</v>
      </c>
      <c r="C83">
        <v>0.99988026658881402</v>
      </c>
      <c r="D83">
        <v>1.4959404209959499</v>
      </c>
      <c r="E83">
        <v>149593505.74222499</v>
      </c>
      <c r="F83">
        <f t="shared" si="5"/>
        <v>2535.5748045417599</v>
      </c>
      <c r="G83">
        <f t="shared" si="6"/>
        <v>2.5348767690948058E-5</v>
      </c>
      <c r="H83">
        <f t="shared" si="7"/>
        <v>1.6109298763031008E-4</v>
      </c>
      <c r="I83">
        <f t="shared" si="8"/>
        <v>17366.732075303888</v>
      </c>
    </row>
    <row r="84" spans="1:9" x14ac:dyDescent="0.3">
      <c r="A84" t="s">
        <v>5</v>
      </c>
      <c r="B84">
        <v>100013523.55720399</v>
      </c>
      <c r="C84">
        <v>0.99986478271414003</v>
      </c>
      <c r="D84">
        <v>1.4957703379374601</v>
      </c>
      <c r="E84">
        <v>149579070.28837901</v>
      </c>
      <c r="F84">
        <f t="shared" si="5"/>
        <v>1095.1544704382595</v>
      </c>
      <c r="G84">
        <f t="shared" si="6"/>
        <v>1.0948752781015817E-5</v>
      </c>
      <c r="H84">
        <f t="shared" si="7"/>
        <v>1.2026688402313325E-4</v>
      </c>
      <c r="I84">
        <f t="shared" si="8"/>
        <v>10207.407303996319</v>
      </c>
    </row>
    <row r="85" spans="1:9" x14ac:dyDescent="0.3">
      <c r="A85" t="s">
        <v>5</v>
      </c>
      <c r="B85">
        <v>100007643.416436</v>
      </c>
      <c r="C85">
        <v>0.999923571677372</v>
      </c>
      <c r="D85">
        <v>1.4955308008135499</v>
      </c>
      <c r="E85">
        <v>149553040.82401499</v>
      </c>
      <c r="F85">
        <f t="shared" si="5"/>
        <v>4157.8874113782931</v>
      </c>
      <c r="G85">
        <f t="shared" si="6"/>
        <v>4.1570074560252934E-5</v>
      </c>
      <c r="H85">
        <f t="shared" si="7"/>
        <v>1.6937832466276551E-4</v>
      </c>
      <c r="I85">
        <f t="shared" si="8"/>
        <v>18405.610762453551</v>
      </c>
    </row>
    <row r="86" spans="1:9" x14ac:dyDescent="0.3">
      <c r="A86" t="s">
        <v>5</v>
      </c>
      <c r="B86">
        <v>100007756.752195</v>
      </c>
      <c r="C86">
        <v>0.99992243849429896</v>
      </c>
      <c r="D86">
        <v>1.4951398836954599</v>
      </c>
      <c r="E86">
        <v>149515501.54670399</v>
      </c>
      <c r="F86">
        <f t="shared" si="5"/>
        <v>80.140483739110152</v>
      </c>
      <c r="G86">
        <f t="shared" si="6"/>
        <v>8.0128143527467177E-7</v>
      </c>
      <c r="H86">
        <f t="shared" si="7"/>
        <v>2.7642014508336149E-4</v>
      </c>
      <c r="I86">
        <f t="shared" si="8"/>
        <v>26544.277547448459</v>
      </c>
    </row>
    <row r="87" spans="1:9" x14ac:dyDescent="0.3">
      <c r="A87" t="s">
        <v>5</v>
      </c>
      <c r="B87">
        <v>100003389.139686</v>
      </c>
      <c r="C87">
        <v>0.99996610975172195</v>
      </c>
      <c r="D87">
        <v>1.5008382471466799</v>
      </c>
      <c r="E87">
        <v>150084553.502018</v>
      </c>
      <c r="F87">
        <f t="shared" si="5"/>
        <v>3088.3684227071967</v>
      </c>
      <c r="G87">
        <f t="shared" si="6"/>
        <v>3.0880242266742911E-5</v>
      </c>
      <c r="H87">
        <f t="shared" si="7"/>
        <v>4.0293514380232327E-3</v>
      </c>
      <c r="I87">
        <f t="shared" si="8"/>
        <v>402380.49645000097</v>
      </c>
    </row>
    <row r="88" spans="1:9" x14ac:dyDescent="0.3">
      <c r="A88" t="s">
        <v>5</v>
      </c>
      <c r="B88">
        <v>100057165.544856</v>
      </c>
      <c r="C88">
        <v>0.99998718330928504</v>
      </c>
      <c r="D88">
        <v>1.4993742458330099</v>
      </c>
      <c r="E88">
        <v>150020662.023314</v>
      </c>
      <c r="F88">
        <f t="shared" si="5"/>
        <v>38025.660763537817</v>
      </c>
      <c r="G88">
        <f t="shared" si="6"/>
        <v>1.4901255456585551E-5</v>
      </c>
      <c r="H88">
        <f t="shared" si="7"/>
        <v>1.0352052565620507E-3</v>
      </c>
      <c r="I88">
        <f t="shared" si="8"/>
        <v>45178.097851638166</v>
      </c>
    </row>
    <row r="89" spans="1:9" x14ac:dyDescent="0.3">
      <c r="A89" t="s">
        <v>5</v>
      </c>
      <c r="B89">
        <v>100058761.751359</v>
      </c>
      <c r="C89">
        <v>0.99997123082280504</v>
      </c>
      <c r="D89">
        <v>1.5000056775471899</v>
      </c>
      <c r="E89">
        <v>150083700.92906901</v>
      </c>
      <c r="F89">
        <f t="shared" si="5"/>
        <v>1128.6884424480775</v>
      </c>
      <c r="G89">
        <f t="shared" si="6"/>
        <v>1.1280111366800861E-5</v>
      </c>
      <c r="H89">
        <f t="shared" si="7"/>
        <v>4.4648964695292992E-4</v>
      </c>
      <c r="I89">
        <f t="shared" si="8"/>
        <v>44575.23773794953</v>
      </c>
    </row>
    <row r="90" spans="1:9" x14ac:dyDescent="0.3">
      <c r="A90" t="s">
        <v>5</v>
      </c>
      <c r="B90">
        <v>100061134.83204199</v>
      </c>
      <c r="C90">
        <v>0.99995130003000599</v>
      </c>
      <c r="D90">
        <v>1.4998210692865099</v>
      </c>
      <c r="E90">
        <v>150067292.90767401</v>
      </c>
      <c r="F90">
        <f t="shared" si="5"/>
        <v>1678.0214432471082</v>
      </c>
      <c r="G90">
        <f t="shared" si="6"/>
        <v>1.4093198742632242E-5</v>
      </c>
      <c r="H90">
        <f t="shared" si="7"/>
        <v>1.3053775298988763E-4</v>
      </c>
      <c r="I90">
        <f t="shared" si="8"/>
        <v>11602.223194256925</v>
      </c>
    </row>
    <row r="91" spans="1:9" x14ac:dyDescent="0.3">
      <c r="A91" t="s">
        <v>5</v>
      </c>
      <c r="B91">
        <v>100058812.672098</v>
      </c>
      <c r="C91">
        <v>0.999974506849999</v>
      </c>
      <c r="D91">
        <v>1.50044648508678</v>
      </c>
      <c r="E91">
        <v>150130796.05068499</v>
      </c>
      <c r="F91">
        <f t="shared" si="5"/>
        <v>1642.0150434006603</v>
      </c>
      <c r="G91">
        <f t="shared" si="6"/>
        <v>1.6409699786836999E-5</v>
      </c>
      <c r="H91">
        <f t="shared" si="7"/>
        <v>4.4223575343219236E-4</v>
      </c>
      <c r="I91">
        <f t="shared" si="8"/>
        <v>44903.503049718776</v>
      </c>
    </row>
    <row r="92" spans="1:9" x14ac:dyDescent="0.3">
      <c r="A92" t="s">
        <v>7098</v>
      </c>
      <c r="B92">
        <f>MIN($B$2:B91)</f>
        <v>99995625.614826903</v>
      </c>
      <c r="C92">
        <f>MIN($C$2:C91)</f>
        <v>0.99955135885231905</v>
      </c>
      <c r="D92">
        <f>MIN($D$2:D91)</f>
        <v>1.4951398836954599</v>
      </c>
      <c r="E92">
        <f>MIN($E$2:E91)</f>
        <v>149515501.54670399</v>
      </c>
    </row>
    <row r="93" spans="1:9" x14ac:dyDescent="0.3">
      <c r="A93" t="s">
        <v>7099</v>
      </c>
      <c r="B93">
        <f>MAX($B$2:B91)</f>
        <v>100061134.83204199</v>
      </c>
      <c r="C93">
        <f>MAX($C$2:C91)</f>
        <v>1.00004374576533</v>
      </c>
      <c r="D93">
        <f>MAX($D$2:D91)</f>
        <v>1.5008382471466799</v>
      </c>
      <c r="E93">
        <f>MAX($E$2:E91)</f>
        <v>150130796.05068499</v>
      </c>
    </row>
    <row r="94" spans="1:9" x14ac:dyDescent="0.3">
      <c r="A94" t="s">
        <v>7100</v>
      </c>
      <c r="B94">
        <f>AVERAGE($B$2:B91)</f>
        <v>100021032.59118137</v>
      </c>
      <c r="C94">
        <f>AVERAGE($C$2:C91)</f>
        <v>0.99981464422715227</v>
      </c>
      <c r="D94">
        <f>AVERAGE($D$2:D91)</f>
        <v>1.4984901368266457</v>
      </c>
      <c r="E94" s="3">
        <f>AVERAGE($E$2:E91)</f>
        <v>149852759.79366806</v>
      </c>
    </row>
    <row r="95" spans="1:9" x14ac:dyDescent="0.3">
      <c r="A95" t="s">
        <v>7101</v>
      </c>
      <c r="B95">
        <f>AVERAGE($F$2:F91)</f>
        <v>2179.1839706568444</v>
      </c>
      <c r="C95">
        <f>AVERAGE($G$2:G91)</f>
        <v>1.7649598234745805E-5</v>
      </c>
      <c r="D95">
        <f>AVERAGE($H$2:H91)</f>
        <v>1.3385251426956075E-4</v>
      </c>
      <c r="E95" s="3">
        <f>AVERAGE($I$2:I91)</f>
        <v>12582.097821317435</v>
      </c>
    </row>
    <row r="96" spans="1:9" x14ac:dyDescent="0.3">
      <c r="A96" t="s">
        <v>7102</v>
      </c>
      <c r="B96">
        <f>-1.96*B95</f>
        <v>-4271.200582487415</v>
      </c>
      <c r="C96">
        <f>-1.96*C95</f>
        <v>-3.4593212540101776E-5</v>
      </c>
      <c r="D96">
        <f t="shared" ref="D96:E96" si="9">-1.96*D95</f>
        <v>-2.6235092796833906E-4</v>
      </c>
      <c r="E96" s="3">
        <f t="shared" si="9"/>
        <v>-24660.911729782172</v>
      </c>
    </row>
    <row r="97" spans="2:5" x14ac:dyDescent="0.3">
      <c r="B97">
        <f>B96/B94</f>
        <v>-4.2703024272356864E-5</v>
      </c>
      <c r="C97">
        <f>C96/C94</f>
        <v>-3.4599625780478562E-5</v>
      </c>
      <c r="D97">
        <f t="shared" ref="D97:E97" si="10">D96/D94</f>
        <v>-1.7507684670112005E-4</v>
      </c>
      <c r="E97">
        <f t="shared" si="10"/>
        <v>-1.6456761799874575E-4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1F9CE-B06A-42B3-9013-A7C088E2CF65}">
  <dimension ref="A1:H91"/>
  <sheetViews>
    <sheetView workbookViewId="0">
      <selection activeCell="E2" sqref="E2:H91"/>
    </sheetView>
  </sheetViews>
  <sheetFormatPr defaultRowHeight="14.4" x14ac:dyDescent="0.3"/>
  <cols>
    <col min="5" max="5" width="10" bestFit="1" customWidth="1"/>
  </cols>
  <sheetData>
    <row r="1" spans="1:8" x14ac:dyDescent="0.3">
      <c r="A1" t="s">
        <v>2</v>
      </c>
      <c r="B1" t="s">
        <v>2</v>
      </c>
      <c r="C1" t="s">
        <v>2</v>
      </c>
    </row>
    <row r="2" spans="1:8" ht="57.6" x14ac:dyDescent="0.3">
      <c r="A2" s="1" t="s">
        <v>91</v>
      </c>
      <c r="B2" s="1" t="s">
        <v>86</v>
      </c>
      <c r="C2" s="1" t="s">
        <v>70</v>
      </c>
      <c r="D2">
        <v>150000000</v>
      </c>
      <c r="E2">
        <f>_xlfn.NUMBERVALUE(A2)</f>
        <v>100000000</v>
      </c>
      <c r="F2">
        <f t="shared" ref="F2:H2" si="0">_xlfn.NUMBERVALUE(B2)</f>
        <v>1</v>
      </c>
      <c r="G2">
        <f t="shared" si="0"/>
        <v>1.5</v>
      </c>
      <c r="H2">
        <f t="shared" si="0"/>
        <v>150000000</v>
      </c>
    </row>
    <row r="3" spans="1:8" ht="72" x14ac:dyDescent="0.3">
      <c r="A3" s="1" t="s">
        <v>7103</v>
      </c>
      <c r="B3" s="1" t="s">
        <v>7192</v>
      </c>
      <c r="C3" s="1" t="s">
        <v>7281</v>
      </c>
      <c r="D3">
        <v>149997311.155476</v>
      </c>
      <c r="E3">
        <f t="shared" ref="E3:E66" si="1">_xlfn.NUMBERVALUE(A3)</f>
        <v>99999669.872308403</v>
      </c>
      <c r="F3">
        <f t="shared" ref="F3:F66" si="2">_xlfn.NUMBERVALUE(B3)</f>
        <v>1.00000330128781</v>
      </c>
      <c r="G3">
        <f t="shared" ref="G3:G66" si="3">_xlfn.NUMBERVALUE(C3)</f>
        <v>1.4999803595647401</v>
      </c>
      <c r="H3">
        <f t="shared" ref="H3:H66" si="4">_xlfn.NUMBERVALUE(D3)</f>
        <v>149997311.155476</v>
      </c>
    </row>
    <row r="4" spans="1:8" ht="72" x14ac:dyDescent="0.3">
      <c r="A4" s="1" t="s">
        <v>7104</v>
      </c>
      <c r="B4" s="1" t="s">
        <v>7193</v>
      </c>
      <c r="C4" s="1" t="s">
        <v>7282</v>
      </c>
      <c r="D4">
        <v>149991404.59267399</v>
      </c>
      <c r="E4">
        <f t="shared" si="1"/>
        <v>100001764.265507</v>
      </c>
      <c r="F4">
        <f t="shared" si="2"/>
        <v>0.99998235765618304</v>
      </c>
      <c r="G4">
        <f t="shared" si="3"/>
        <v>1.4999121630758601</v>
      </c>
      <c r="H4">
        <f t="shared" si="4"/>
        <v>149991404.59267399</v>
      </c>
    </row>
    <row r="5" spans="1:8" ht="72" x14ac:dyDescent="0.3">
      <c r="A5" s="1" t="s">
        <v>7105</v>
      </c>
      <c r="B5" s="1" t="s">
        <v>7194</v>
      </c>
      <c r="C5" s="1" t="s">
        <v>7283</v>
      </c>
      <c r="D5">
        <v>149988666.79202801</v>
      </c>
      <c r="E5">
        <f t="shared" si="1"/>
        <v>100001220.206627</v>
      </c>
      <c r="F5">
        <f t="shared" si="2"/>
        <v>0.99998779808261395</v>
      </c>
      <c r="G5">
        <f t="shared" si="3"/>
        <v>1.49988602035272</v>
      </c>
      <c r="H5">
        <f t="shared" si="4"/>
        <v>149988666.79202801</v>
      </c>
    </row>
    <row r="6" spans="1:8" ht="72" x14ac:dyDescent="0.3">
      <c r="A6" s="1" t="s">
        <v>7106</v>
      </c>
      <c r="B6" s="1" t="s">
        <v>7195</v>
      </c>
      <c r="C6" s="1" t="s">
        <v>7284</v>
      </c>
      <c r="D6">
        <v>149987644.13655499</v>
      </c>
      <c r="E6">
        <f t="shared" si="1"/>
        <v>100001033.092528</v>
      </c>
      <c r="F6">
        <f t="shared" si="2"/>
        <v>0.99998966918144505</v>
      </c>
      <c r="G6">
        <f t="shared" si="3"/>
        <v>1.49987454860534</v>
      </c>
      <c r="H6">
        <f t="shared" si="4"/>
        <v>149987644.13655499</v>
      </c>
    </row>
    <row r="7" spans="1:8" ht="72" x14ac:dyDescent="0.3">
      <c r="A7" s="1" t="s">
        <v>7107</v>
      </c>
      <c r="B7" s="1" t="s">
        <v>7196</v>
      </c>
      <c r="C7" s="1" t="s">
        <v>7285</v>
      </c>
      <c r="D7">
        <v>149984281.20311701</v>
      </c>
      <c r="E7">
        <f t="shared" si="1"/>
        <v>100000486.15810999</v>
      </c>
      <c r="F7">
        <f t="shared" si="2"/>
        <v>0.99999513844252697</v>
      </c>
      <c r="G7">
        <f t="shared" si="3"/>
        <v>1.4998448908570501</v>
      </c>
      <c r="H7">
        <f t="shared" si="4"/>
        <v>149984281.20311701</v>
      </c>
    </row>
    <row r="8" spans="1:8" ht="72" x14ac:dyDescent="0.3">
      <c r="A8" s="1" t="s">
        <v>7108</v>
      </c>
      <c r="B8" s="1" t="s">
        <v>7197</v>
      </c>
      <c r="C8" s="1" t="s">
        <v>7286</v>
      </c>
      <c r="D8">
        <v>149981230.741173</v>
      </c>
      <c r="E8">
        <f t="shared" si="1"/>
        <v>100001086.833957</v>
      </c>
      <c r="F8">
        <f t="shared" si="2"/>
        <v>0.99998913177854198</v>
      </c>
      <c r="G8">
        <f t="shared" si="3"/>
        <v>1.4997934071615999</v>
      </c>
      <c r="H8">
        <f t="shared" si="4"/>
        <v>149981230.741173</v>
      </c>
    </row>
    <row r="9" spans="1:8" ht="72" x14ac:dyDescent="0.3">
      <c r="A9" s="1" t="s">
        <v>7109</v>
      </c>
      <c r="B9" s="1" t="s">
        <v>7198</v>
      </c>
      <c r="C9" s="1" t="s">
        <v>7287</v>
      </c>
      <c r="D9">
        <v>149984497.92610699</v>
      </c>
      <c r="E9">
        <f t="shared" si="1"/>
        <v>99995625.614826903</v>
      </c>
      <c r="F9">
        <f t="shared" si="2"/>
        <v>1.00004374576533</v>
      </c>
      <c r="G9">
        <f t="shared" si="3"/>
        <v>1.49986558023394</v>
      </c>
      <c r="H9">
        <f t="shared" si="4"/>
        <v>149984497.92610699</v>
      </c>
    </row>
    <row r="10" spans="1:8" ht="72" x14ac:dyDescent="0.3">
      <c r="A10" s="1" t="s">
        <v>7110</v>
      </c>
      <c r="B10" s="1" t="s">
        <v>7199</v>
      </c>
      <c r="C10" s="1" t="s">
        <v>7288</v>
      </c>
      <c r="D10">
        <v>149972083.083745</v>
      </c>
      <c r="E10">
        <f t="shared" si="1"/>
        <v>100001577.88565899</v>
      </c>
      <c r="F10">
        <f t="shared" si="2"/>
        <v>0.99998422139237297</v>
      </c>
      <c r="G10">
        <f t="shared" si="3"/>
        <v>1.49971398198511</v>
      </c>
      <c r="H10">
        <f t="shared" si="4"/>
        <v>149972083.083745</v>
      </c>
    </row>
    <row r="11" spans="1:8" ht="72" x14ac:dyDescent="0.3">
      <c r="A11" s="1" t="s">
        <v>7111</v>
      </c>
      <c r="B11" s="1" t="s">
        <v>7200</v>
      </c>
      <c r="C11" s="1" t="s">
        <v>7289</v>
      </c>
      <c r="D11">
        <v>149971508.919734</v>
      </c>
      <c r="E11">
        <f t="shared" si="1"/>
        <v>99999599.264352396</v>
      </c>
      <c r="F11">
        <f t="shared" si="2"/>
        <v>1.00000400737253</v>
      </c>
      <c r="G11">
        <f t="shared" si="3"/>
        <v>1.49973307826029</v>
      </c>
      <c r="H11">
        <f t="shared" si="4"/>
        <v>149971508.919734</v>
      </c>
    </row>
    <row r="12" spans="1:8" ht="72" x14ac:dyDescent="0.3">
      <c r="A12" s="1" t="s">
        <v>7112</v>
      </c>
      <c r="B12" s="1" t="s">
        <v>7201</v>
      </c>
      <c r="C12" s="1" t="s">
        <v>7290</v>
      </c>
      <c r="D12">
        <v>149959797.117488</v>
      </c>
      <c r="E12">
        <f t="shared" si="1"/>
        <v>100004797.14295</v>
      </c>
      <c r="F12">
        <f t="shared" si="2"/>
        <v>0.99995203087163897</v>
      </c>
      <c r="G12">
        <f t="shared" si="3"/>
        <v>1.4996066977254701</v>
      </c>
      <c r="H12">
        <f t="shared" si="4"/>
        <v>149959797.117488</v>
      </c>
    </row>
    <row r="13" spans="1:8" ht="72" x14ac:dyDescent="0.3">
      <c r="A13" s="1" t="s">
        <v>7113</v>
      </c>
      <c r="B13" s="1" t="s">
        <v>7202</v>
      </c>
      <c r="C13" s="1" t="s">
        <v>7291</v>
      </c>
      <c r="D13">
        <v>149953773.64328599</v>
      </c>
      <c r="E13">
        <f t="shared" si="1"/>
        <v>100007318.80806001</v>
      </c>
      <c r="F13">
        <f t="shared" si="2"/>
        <v>0.99992681727550004</v>
      </c>
      <c r="G13">
        <f t="shared" si="3"/>
        <v>1.49954111310233</v>
      </c>
      <c r="H13">
        <f t="shared" si="4"/>
        <v>149953773.64328599</v>
      </c>
    </row>
    <row r="14" spans="1:8" ht="72" x14ac:dyDescent="0.3">
      <c r="A14" s="1" t="s">
        <v>7114</v>
      </c>
      <c r="B14" s="1" t="s">
        <v>7203</v>
      </c>
      <c r="C14" s="1" t="s">
        <v>7292</v>
      </c>
      <c r="D14">
        <v>149948918.76519501</v>
      </c>
      <c r="E14">
        <f t="shared" si="1"/>
        <v>100008294.567265</v>
      </c>
      <c r="F14">
        <f t="shared" si="2"/>
        <v>0.99991706120675905</v>
      </c>
      <c r="G14">
        <f t="shared" si="3"/>
        <v>1.4994881295629101</v>
      </c>
      <c r="H14">
        <f t="shared" si="4"/>
        <v>149948918.76519501</v>
      </c>
    </row>
    <row r="15" spans="1:8" ht="72" x14ac:dyDescent="0.3">
      <c r="A15" s="1" t="s">
        <v>7115</v>
      </c>
      <c r="B15" s="1" t="s">
        <v>7204</v>
      </c>
      <c r="C15" s="1" t="s">
        <v>7293</v>
      </c>
      <c r="D15">
        <v>149944654.03764901</v>
      </c>
      <c r="E15">
        <f t="shared" si="1"/>
        <v>100007988.80853599</v>
      </c>
      <c r="F15">
        <f t="shared" si="2"/>
        <v>0.99992011829623095</v>
      </c>
      <c r="G15">
        <f t="shared" si="3"/>
        <v>1.499449840149</v>
      </c>
      <c r="H15">
        <f t="shared" si="4"/>
        <v>149944654.03764901</v>
      </c>
    </row>
    <row r="16" spans="1:8" ht="72" x14ac:dyDescent="0.3">
      <c r="A16" s="1" t="s">
        <v>7116</v>
      </c>
      <c r="B16" s="1" t="s">
        <v>7205</v>
      </c>
      <c r="C16" s="1" t="s">
        <v>7294</v>
      </c>
      <c r="D16">
        <v>149938562.83651301</v>
      </c>
      <c r="E16">
        <f t="shared" si="1"/>
        <v>100008942.33161101</v>
      </c>
      <c r="F16">
        <f t="shared" si="2"/>
        <v>0.99991058467969396</v>
      </c>
      <c r="G16">
        <f t="shared" si="3"/>
        <v>1.4993864421154901</v>
      </c>
      <c r="H16">
        <f t="shared" si="4"/>
        <v>149938562.83651301</v>
      </c>
    </row>
    <row r="17" spans="1:8" ht="72" x14ac:dyDescent="0.3">
      <c r="A17" s="1" t="s">
        <v>7117</v>
      </c>
      <c r="B17" s="1" t="s">
        <v>7206</v>
      </c>
      <c r="C17" s="1" t="s">
        <v>7295</v>
      </c>
      <c r="D17">
        <v>149940477.77236599</v>
      </c>
      <c r="E17">
        <f t="shared" si="1"/>
        <v>100009177.47673</v>
      </c>
      <c r="F17">
        <f t="shared" si="2"/>
        <v>0.99990823365452597</v>
      </c>
      <c r="G17">
        <f t="shared" si="3"/>
        <v>1.49939915965566</v>
      </c>
      <c r="H17">
        <f t="shared" si="4"/>
        <v>149940477.77236599</v>
      </c>
    </row>
    <row r="18" spans="1:8" ht="72" x14ac:dyDescent="0.3">
      <c r="A18" s="1" t="s">
        <v>7118</v>
      </c>
      <c r="B18" s="1" t="s">
        <v>7207</v>
      </c>
      <c r="C18" s="1" t="s">
        <v>7296</v>
      </c>
      <c r="D18">
        <v>149936858.01103899</v>
      </c>
      <c r="E18">
        <f t="shared" si="1"/>
        <v>100007554.07198299</v>
      </c>
      <c r="F18">
        <f t="shared" si="2"/>
        <v>0.99992446498613796</v>
      </c>
      <c r="G18">
        <f t="shared" si="3"/>
        <v>1.49938454996027</v>
      </c>
      <c r="H18">
        <f t="shared" si="4"/>
        <v>149936858.01103899</v>
      </c>
    </row>
    <row r="19" spans="1:8" ht="72" x14ac:dyDescent="0.3">
      <c r="A19" s="1" t="s">
        <v>7119</v>
      </c>
      <c r="B19" s="1" t="s">
        <v>7208</v>
      </c>
      <c r="C19" s="1" t="s">
        <v>7297</v>
      </c>
      <c r="D19">
        <v>149938236.865955</v>
      </c>
      <c r="E19">
        <f t="shared" si="1"/>
        <v>100012169.236249</v>
      </c>
      <c r="F19">
        <f t="shared" si="2"/>
        <v>0.99987832244473596</v>
      </c>
      <c r="G19">
        <f t="shared" si="3"/>
        <v>1.49939033297591</v>
      </c>
      <c r="H19">
        <f t="shared" si="4"/>
        <v>149938236.865955</v>
      </c>
    </row>
    <row r="20" spans="1:8" ht="72" x14ac:dyDescent="0.3">
      <c r="A20" s="1" t="s">
        <v>7120</v>
      </c>
      <c r="B20" s="1" t="s">
        <v>7209</v>
      </c>
      <c r="C20" s="1" t="s">
        <v>7298</v>
      </c>
      <c r="D20">
        <v>149933389.690451</v>
      </c>
      <c r="E20">
        <f t="shared" si="1"/>
        <v>100014470.721696</v>
      </c>
      <c r="F20">
        <f t="shared" si="2"/>
        <v>0.99985531372018299</v>
      </c>
      <c r="G20">
        <f t="shared" si="3"/>
        <v>1.4993328480627599</v>
      </c>
      <c r="H20">
        <f t="shared" si="4"/>
        <v>149933389.690451</v>
      </c>
    </row>
    <row r="21" spans="1:8" ht="72" x14ac:dyDescent="0.3">
      <c r="A21" s="1" t="s">
        <v>7121</v>
      </c>
      <c r="B21" s="1" t="s">
        <v>7210</v>
      </c>
      <c r="C21" s="1" t="s">
        <v>7299</v>
      </c>
      <c r="D21">
        <v>149931402.37948</v>
      </c>
      <c r="E21">
        <f t="shared" si="1"/>
        <v>100014167.621603</v>
      </c>
      <c r="F21">
        <f t="shared" si="2"/>
        <v>0.999858343853267</v>
      </c>
      <c r="G21">
        <f t="shared" si="3"/>
        <v>1.4993253160345701</v>
      </c>
      <c r="H21">
        <f t="shared" si="4"/>
        <v>149931402.37948</v>
      </c>
    </row>
    <row r="22" spans="1:8" ht="72" x14ac:dyDescent="0.3">
      <c r="A22" s="1" t="s">
        <v>7122</v>
      </c>
      <c r="B22" s="1" t="s">
        <v>7211</v>
      </c>
      <c r="C22" s="1" t="s">
        <v>7300</v>
      </c>
      <c r="D22">
        <v>149920919.64736599</v>
      </c>
      <c r="E22">
        <f t="shared" si="1"/>
        <v>100017430.76923899</v>
      </c>
      <c r="F22">
        <f t="shared" si="2"/>
        <v>0.99982572268547898</v>
      </c>
      <c r="G22">
        <f t="shared" si="3"/>
        <v>1.4992249086396401</v>
      </c>
      <c r="H22">
        <f t="shared" si="4"/>
        <v>149920919.64736599</v>
      </c>
    </row>
    <row r="23" spans="1:8" ht="72" x14ac:dyDescent="0.3">
      <c r="A23" s="1" t="s">
        <v>7123</v>
      </c>
      <c r="B23" s="1" t="s">
        <v>7212</v>
      </c>
      <c r="C23" s="1" t="s">
        <v>7301</v>
      </c>
      <c r="D23">
        <v>149909361.39552501</v>
      </c>
      <c r="E23">
        <f t="shared" si="1"/>
        <v>100021971.425486</v>
      </c>
      <c r="F23">
        <f t="shared" si="2"/>
        <v>0.999780334008881</v>
      </c>
      <c r="G23">
        <f t="shared" si="3"/>
        <v>1.4990908450374401</v>
      </c>
      <c r="H23">
        <f t="shared" si="4"/>
        <v>149909361.39552501</v>
      </c>
    </row>
    <row r="24" spans="1:8" ht="72" x14ac:dyDescent="0.3">
      <c r="A24" s="1" t="s">
        <v>7124</v>
      </c>
      <c r="B24" s="1" t="s">
        <v>7213</v>
      </c>
      <c r="C24" s="1" t="s">
        <v>7302</v>
      </c>
      <c r="D24">
        <v>149904749.613774</v>
      </c>
      <c r="E24">
        <f t="shared" si="1"/>
        <v>100021171.324469</v>
      </c>
      <c r="F24">
        <f t="shared" si="2"/>
        <v>0.99978833156831504</v>
      </c>
      <c r="G24">
        <f t="shared" si="3"/>
        <v>1.4990621749590001</v>
      </c>
      <c r="H24">
        <f t="shared" si="4"/>
        <v>149904749.613774</v>
      </c>
    </row>
    <row r="25" spans="1:8" ht="72" x14ac:dyDescent="0.3">
      <c r="A25" s="1" t="s">
        <v>7125</v>
      </c>
      <c r="B25" s="1" t="s">
        <v>7214</v>
      </c>
      <c r="C25" s="1" t="s">
        <v>7303</v>
      </c>
      <c r="D25">
        <v>149892287.349338</v>
      </c>
      <c r="E25">
        <f t="shared" si="1"/>
        <v>100025413.20626301</v>
      </c>
      <c r="F25">
        <f t="shared" si="2"/>
        <v>0.99974593250405697</v>
      </c>
      <c r="G25">
        <f t="shared" si="3"/>
        <v>1.4989323709652</v>
      </c>
      <c r="H25">
        <f t="shared" si="4"/>
        <v>149892287.349338</v>
      </c>
    </row>
    <row r="26" spans="1:8" ht="72" x14ac:dyDescent="0.3">
      <c r="A26" s="1" t="s">
        <v>7126</v>
      </c>
      <c r="B26" s="1" t="s">
        <v>7215</v>
      </c>
      <c r="C26" s="1" t="s">
        <v>7304</v>
      </c>
      <c r="D26">
        <v>149883313.54206601</v>
      </c>
      <c r="E26">
        <f t="shared" si="1"/>
        <v>100028158.01982699</v>
      </c>
      <c r="F26">
        <f t="shared" si="2"/>
        <v>0.99971849906680899</v>
      </c>
      <c r="G26">
        <f t="shared" si="3"/>
        <v>1.4988303305834201</v>
      </c>
      <c r="H26">
        <f t="shared" si="4"/>
        <v>149883313.54206601</v>
      </c>
    </row>
    <row r="27" spans="1:8" ht="72" x14ac:dyDescent="0.3">
      <c r="A27" s="1" t="s">
        <v>7127</v>
      </c>
      <c r="B27" s="1" t="s">
        <v>7216</v>
      </c>
      <c r="C27" s="1" t="s">
        <v>7305</v>
      </c>
      <c r="D27">
        <v>149880085.719188</v>
      </c>
      <c r="E27">
        <f t="shared" si="1"/>
        <v>100027347.38322701</v>
      </c>
      <c r="F27">
        <f t="shared" si="2"/>
        <v>0.99972660093521304</v>
      </c>
      <c r="G27">
        <f t="shared" si="3"/>
        <v>1.4988054345898401</v>
      </c>
      <c r="H27">
        <f t="shared" si="4"/>
        <v>149880085.719188</v>
      </c>
    </row>
    <row r="28" spans="1:8" ht="72" x14ac:dyDescent="0.3">
      <c r="A28" s="1" t="s">
        <v>7128</v>
      </c>
      <c r="B28" s="1" t="s">
        <v>7217</v>
      </c>
      <c r="C28" s="1" t="s">
        <v>7306</v>
      </c>
      <c r="D28">
        <v>149872775.984694</v>
      </c>
      <c r="E28">
        <f t="shared" si="1"/>
        <v>100028670.24160799</v>
      </c>
      <c r="F28">
        <f t="shared" si="2"/>
        <v>0.99971337975862995</v>
      </c>
      <c r="G28">
        <f t="shared" si="3"/>
        <v>1.4987274569120399</v>
      </c>
      <c r="H28">
        <f t="shared" si="4"/>
        <v>149872775.984694</v>
      </c>
    </row>
    <row r="29" spans="1:8" ht="72" x14ac:dyDescent="0.3">
      <c r="A29" s="1" t="s">
        <v>7129</v>
      </c>
      <c r="B29" s="1" t="s">
        <v>7218</v>
      </c>
      <c r="C29" s="1" t="s">
        <v>7307</v>
      </c>
      <c r="D29">
        <v>149868415.47078499</v>
      </c>
      <c r="E29">
        <f t="shared" si="1"/>
        <v>100028582.69462299</v>
      </c>
      <c r="F29">
        <f t="shared" si="2"/>
        <v>0.999714254727466</v>
      </c>
      <c r="G29">
        <f t="shared" si="3"/>
        <v>1.498691454582</v>
      </c>
      <c r="H29">
        <f t="shared" si="4"/>
        <v>149868415.47078499</v>
      </c>
    </row>
    <row r="30" spans="1:8" ht="72" x14ac:dyDescent="0.3">
      <c r="A30" s="1" t="s">
        <v>7130</v>
      </c>
      <c r="B30" s="1" t="s">
        <v>7219</v>
      </c>
      <c r="C30" s="1" t="s">
        <v>7308</v>
      </c>
      <c r="D30">
        <v>149865508.071679</v>
      </c>
      <c r="E30">
        <f t="shared" si="1"/>
        <v>100030692.317405</v>
      </c>
      <c r="F30">
        <f t="shared" si="2"/>
        <v>0.99969317099887101</v>
      </c>
      <c r="G30">
        <f t="shared" si="3"/>
        <v>1.4986509539866</v>
      </c>
      <c r="H30">
        <f t="shared" si="4"/>
        <v>149865508.071679</v>
      </c>
    </row>
    <row r="31" spans="1:8" ht="72" x14ac:dyDescent="0.3">
      <c r="A31" s="1" t="s">
        <v>7131</v>
      </c>
      <c r="B31" s="1" t="s">
        <v>7220</v>
      </c>
      <c r="C31" s="1" t="s">
        <v>7309</v>
      </c>
      <c r="D31">
        <v>149863577.302037</v>
      </c>
      <c r="E31">
        <f t="shared" si="1"/>
        <v>100029499.66207699</v>
      </c>
      <c r="F31">
        <f t="shared" si="2"/>
        <v>0.99970509037656896</v>
      </c>
      <c r="G31">
        <f t="shared" si="3"/>
        <v>1.49862418837522</v>
      </c>
      <c r="H31">
        <f t="shared" si="4"/>
        <v>149863577.302037</v>
      </c>
    </row>
    <row r="32" spans="1:8" ht="72" x14ac:dyDescent="0.3">
      <c r="A32" s="1" t="s">
        <v>7132</v>
      </c>
      <c r="B32" s="1" t="s">
        <v>7221</v>
      </c>
      <c r="C32" s="1" t="s">
        <v>7310</v>
      </c>
      <c r="D32">
        <v>149862724.55073401</v>
      </c>
      <c r="E32">
        <f t="shared" si="1"/>
        <v>100026151.67325699</v>
      </c>
      <c r="F32">
        <f t="shared" si="2"/>
        <v>0.99973855164054104</v>
      </c>
      <c r="G32">
        <f t="shared" si="3"/>
        <v>1.4986320662504999</v>
      </c>
      <c r="H32">
        <f t="shared" si="4"/>
        <v>149862724.55073401</v>
      </c>
    </row>
    <row r="33" spans="1:8" ht="72" x14ac:dyDescent="0.3">
      <c r="A33" s="1" t="s">
        <v>7133</v>
      </c>
      <c r="B33" s="1" t="s">
        <v>7222</v>
      </c>
      <c r="C33" s="1" t="s">
        <v>7311</v>
      </c>
      <c r="D33">
        <v>149869107.76285499</v>
      </c>
      <c r="E33">
        <f t="shared" si="1"/>
        <v>100027544.591864</v>
      </c>
      <c r="F33">
        <f t="shared" si="2"/>
        <v>0.99972462993091804</v>
      </c>
      <c r="G33">
        <f t="shared" si="3"/>
        <v>1.4986867109955899</v>
      </c>
      <c r="H33">
        <f t="shared" si="4"/>
        <v>149869107.76285499</v>
      </c>
    </row>
    <row r="34" spans="1:8" ht="72" x14ac:dyDescent="0.3">
      <c r="A34" s="1" t="s">
        <v>7134</v>
      </c>
      <c r="B34" s="1" t="s">
        <v>7223</v>
      </c>
      <c r="C34" s="1" t="s">
        <v>7312</v>
      </c>
      <c r="D34">
        <v>149864047.991777</v>
      </c>
      <c r="E34">
        <f t="shared" si="1"/>
        <v>100026282.677386</v>
      </c>
      <c r="F34">
        <f t="shared" si="2"/>
        <v>0.999737242285897</v>
      </c>
      <c r="G34">
        <f t="shared" si="3"/>
        <v>1.4986490736116</v>
      </c>
      <c r="H34">
        <f t="shared" si="4"/>
        <v>149864047.991777</v>
      </c>
    </row>
    <row r="35" spans="1:8" ht="72" x14ac:dyDescent="0.3">
      <c r="A35" s="1" t="s">
        <v>7135</v>
      </c>
      <c r="B35" s="1" t="s">
        <v>7224</v>
      </c>
      <c r="C35" s="1" t="s">
        <v>7313</v>
      </c>
      <c r="D35">
        <v>149855651.78699201</v>
      </c>
      <c r="E35">
        <f t="shared" si="1"/>
        <v>100028766.164471</v>
      </c>
      <c r="F35">
        <f t="shared" si="2"/>
        <v>0.99971242108070602</v>
      </c>
      <c r="G35">
        <f t="shared" si="3"/>
        <v>1.4985592670821599</v>
      </c>
      <c r="H35">
        <f t="shared" si="4"/>
        <v>149855651.78699201</v>
      </c>
    </row>
    <row r="36" spans="1:8" ht="72" x14ac:dyDescent="0.3">
      <c r="A36" s="1" t="s">
        <v>7136</v>
      </c>
      <c r="B36" s="1" t="s">
        <v>7225</v>
      </c>
      <c r="C36" s="1" t="s">
        <v>7314</v>
      </c>
      <c r="D36">
        <v>149858470.39760801</v>
      </c>
      <c r="E36">
        <f t="shared" si="1"/>
        <v>100029560.586354</v>
      </c>
      <c r="F36">
        <f t="shared" si="2"/>
        <v>0.99970448149345903</v>
      </c>
      <c r="G36">
        <f t="shared" si="3"/>
        <v>1.4985880673343299</v>
      </c>
      <c r="H36">
        <f t="shared" si="4"/>
        <v>149858470.39760801</v>
      </c>
    </row>
    <row r="37" spans="1:8" ht="72" x14ac:dyDescent="0.3">
      <c r="A37" s="1" t="s">
        <v>7137</v>
      </c>
      <c r="B37" s="1" t="s">
        <v>7226</v>
      </c>
      <c r="C37" s="1" t="s">
        <v>7315</v>
      </c>
      <c r="D37">
        <v>149855261.587412</v>
      </c>
      <c r="E37">
        <f t="shared" si="1"/>
        <v>100030532.59551699</v>
      </c>
      <c r="F37">
        <f t="shared" si="2"/>
        <v>0.99969476724030903</v>
      </c>
      <c r="G37">
        <f t="shared" si="3"/>
        <v>1.4985453074294099</v>
      </c>
      <c r="H37">
        <f t="shared" si="4"/>
        <v>149855261.587412</v>
      </c>
    </row>
    <row r="38" spans="1:8" ht="72" x14ac:dyDescent="0.3">
      <c r="A38" s="1" t="s">
        <v>7138</v>
      </c>
      <c r="B38" s="1" t="s">
        <v>7227</v>
      </c>
      <c r="C38" s="1" t="s">
        <v>7316</v>
      </c>
      <c r="D38">
        <v>149854078.903826</v>
      </c>
      <c r="E38">
        <f t="shared" si="1"/>
        <v>100028420.51772</v>
      </c>
      <c r="F38">
        <f t="shared" si="2"/>
        <v>0.99971587557242703</v>
      </c>
      <c r="G38">
        <f t="shared" si="3"/>
        <v>1.49854084421075</v>
      </c>
      <c r="H38">
        <f t="shared" si="4"/>
        <v>149854078.903826</v>
      </c>
    </row>
    <row r="39" spans="1:8" ht="72" x14ac:dyDescent="0.3">
      <c r="A39" s="1" t="s">
        <v>7139</v>
      </c>
      <c r="B39" s="1" t="s">
        <v>7228</v>
      </c>
      <c r="C39" s="1" t="s">
        <v>7317</v>
      </c>
      <c r="D39">
        <v>149855992.23339701</v>
      </c>
      <c r="E39">
        <f t="shared" si="1"/>
        <v>100028436.462249</v>
      </c>
      <c r="F39">
        <f t="shared" si="2"/>
        <v>0.99971571621775901</v>
      </c>
      <c r="G39">
        <f t="shared" si="3"/>
        <v>1.49855158994211</v>
      </c>
      <c r="H39">
        <f t="shared" si="4"/>
        <v>149855992.23339701</v>
      </c>
    </row>
    <row r="40" spans="1:8" ht="72" x14ac:dyDescent="0.3">
      <c r="A40" s="1" t="s">
        <v>7140</v>
      </c>
      <c r="B40" s="1" t="s">
        <v>7229</v>
      </c>
      <c r="C40" s="1" t="s">
        <v>7318</v>
      </c>
      <c r="D40">
        <v>149859150.95439601</v>
      </c>
      <c r="E40">
        <f t="shared" si="1"/>
        <v>100026028.471075</v>
      </c>
      <c r="F40">
        <f t="shared" si="2"/>
        <v>0.99973978301974997</v>
      </c>
      <c r="G40">
        <f t="shared" si="3"/>
        <v>1.4985847423718399</v>
      </c>
      <c r="H40">
        <f t="shared" si="4"/>
        <v>149859150.95439601</v>
      </c>
    </row>
    <row r="41" spans="1:8" ht="72" x14ac:dyDescent="0.3">
      <c r="A41" s="1" t="s">
        <v>7141</v>
      </c>
      <c r="B41" s="1" t="s">
        <v>7230</v>
      </c>
      <c r="C41" s="1" t="s">
        <v>7319</v>
      </c>
      <c r="D41">
        <v>149855700.18345499</v>
      </c>
      <c r="E41">
        <f t="shared" si="1"/>
        <v>100024072.908428</v>
      </c>
      <c r="F41">
        <f t="shared" si="2"/>
        <v>0.99975932885225904</v>
      </c>
      <c r="G41">
        <f t="shared" si="3"/>
        <v>1.4985516965322401</v>
      </c>
      <c r="H41">
        <f t="shared" si="4"/>
        <v>149855700.18345499</v>
      </c>
    </row>
    <row r="42" spans="1:8" ht="72" x14ac:dyDescent="0.3">
      <c r="A42" s="1" t="s">
        <v>7142</v>
      </c>
      <c r="B42" s="1" t="s">
        <v>7231</v>
      </c>
      <c r="C42" s="1" t="s">
        <v>7320</v>
      </c>
      <c r="D42">
        <v>149851853.49283499</v>
      </c>
      <c r="E42">
        <f t="shared" si="1"/>
        <v>100022539.826657</v>
      </c>
      <c r="F42">
        <f t="shared" si="2"/>
        <v>0.999774652526351</v>
      </c>
      <c r="G42">
        <f t="shared" si="3"/>
        <v>1.49851000490493</v>
      </c>
      <c r="H42">
        <f t="shared" si="4"/>
        <v>149851853.49283499</v>
      </c>
    </row>
    <row r="43" spans="1:8" ht="72" x14ac:dyDescent="0.3">
      <c r="A43" s="1" t="s">
        <v>7143</v>
      </c>
      <c r="B43" s="1" t="s">
        <v>7232</v>
      </c>
      <c r="C43" s="1" t="s">
        <v>7321</v>
      </c>
      <c r="D43">
        <v>149848404.355822</v>
      </c>
      <c r="E43">
        <f t="shared" si="1"/>
        <v>100020075.124097</v>
      </c>
      <c r="F43">
        <f t="shared" si="2"/>
        <v>0.999799289051997</v>
      </c>
      <c r="G43">
        <f t="shared" si="3"/>
        <v>1.4984827305913699</v>
      </c>
      <c r="H43">
        <f t="shared" si="4"/>
        <v>149848404.355822</v>
      </c>
    </row>
    <row r="44" spans="1:8" ht="72" x14ac:dyDescent="0.3">
      <c r="A44" s="1" t="s">
        <v>7144</v>
      </c>
      <c r="B44" s="1" t="s">
        <v>7233</v>
      </c>
      <c r="C44" s="1" t="s">
        <v>7322</v>
      </c>
      <c r="D44">
        <v>149837880.40474901</v>
      </c>
      <c r="E44">
        <f t="shared" si="1"/>
        <v>100019695.740356</v>
      </c>
      <c r="F44">
        <f t="shared" si="2"/>
        <v>0.99980308138101903</v>
      </c>
      <c r="G44">
        <f t="shared" si="3"/>
        <v>1.49841604076336</v>
      </c>
      <c r="H44">
        <f t="shared" si="4"/>
        <v>149837880.40474901</v>
      </c>
    </row>
    <row r="45" spans="1:8" ht="72" x14ac:dyDescent="0.3">
      <c r="A45" s="1" t="s">
        <v>7145</v>
      </c>
      <c r="B45" s="1" t="s">
        <v>7234</v>
      </c>
      <c r="C45" s="1" t="s">
        <v>7323</v>
      </c>
      <c r="D45">
        <v>149812947.577645</v>
      </c>
      <c r="E45">
        <f t="shared" si="1"/>
        <v>100030455.59205601</v>
      </c>
      <c r="F45">
        <f t="shared" si="2"/>
        <v>0.99969553680550305</v>
      </c>
      <c r="G45">
        <f t="shared" si="3"/>
        <v>1.4981425949192699</v>
      </c>
      <c r="H45">
        <f t="shared" si="4"/>
        <v>149812947.577645</v>
      </c>
    </row>
    <row r="46" spans="1:8" ht="72" x14ac:dyDescent="0.3">
      <c r="A46" s="1" t="s">
        <v>7146</v>
      </c>
      <c r="B46" s="1" t="s">
        <v>7235</v>
      </c>
      <c r="C46" s="1" t="s">
        <v>7324</v>
      </c>
      <c r="D46">
        <v>149801630.35959899</v>
      </c>
      <c r="E46">
        <f t="shared" si="1"/>
        <v>100034246.70885301</v>
      </c>
      <c r="F46">
        <f t="shared" si="2"/>
        <v>0.99965765015501795</v>
      </c>
      <c r="G46">
        <f t="shared" si="3"/>
        <v>1.49802248534075</v>
      </c>
      <c r="H46">
        <f t="shared" si="4"/>
        <v>149801630.35959899</v>
      </c>
    </row>
    <row r="47" spans="1:8" ht="72" x14ac:dyDescent="0.3">
      <c r="A47" s="1" t="s">
        <v>7147</v>
      </c>
      <c r="B47" s="1" t="s">
        <v>7236</v>
      </c>
      <c r="C47" s="1" t="s">
        <v>7325</v>
      </c>
      <c r="D47">
        <v>149852733.441632</v>
      </c>
      <c r="E47">
        <f t="shared" si="1"/>
        <v>100036033.13420101</v>
      </c>
      <c r="F47">
        <f t="shared" si="2"/>
        <v>0.99963979844989304</v>
      </c>
      <c r="G47">
        <f t="shared" si="3"/>
        <v>1.49853058788375</v>
      </c>
      <c r="H47">
        <f t="shared" si="4"/>
        <v>149852733.441632</v>
      </c>
    </row>
    <row r="48" spans="1:8" ht="72" x14ac:dyDescent="0.3">
      <c r="A48" s="1" t="s">
        <v>7148</v>
      </c>
      <c r="B48" s="1" t="s">
        <v>7237</v>
      </c>
      <c r="C48" s="1" t="s">
        <v>7326</v>
      </c>
      <c r="D48">
        <v>149852935.84120801</v>
      </c>
      <c r="E48">
        <f t="shared" si="1"/>
        <v>100036973.423687</v>
      </c>
      <c r="F48">
        <f t="shared" si="2"/>
        <v>0.99963040241600898</v>
      </c>
      <c r="G48">
        <f t="shared" si="3"/>
        <v>1.49852529262707</v>
      </c>
      <c r="H48">
        <f t="shared" si="4"/>
        <v>149852935.84120801</v>
      </c>
    </row>
    <row r="49" spans="1:8" ht="72" x14ac:dyDescent="0.3">
      <c r="A49" s="1" t="s">
        <v>7149</v>
      </c>
      <c r="B49" s="1" t="s">
        <v>7238</v>
      </c>
      <c r="C49" s="1" t="s">
        <v>7327</v>
      </c>
      <c r="D49">
        <v>149846039.32484999</v>
      </c>
      <c r="E49">
        <f t="shared" si="1"/>
        <v>100035798.358493</v>
      </c>
      <c r="F49">
        <f t="shared" si="2"/>
        <v>0.99964214452145295</v>
      </c>
      <c r="G49">
        <f t="shared" si="3"/>
        <v>1.4984683489450701</v>
      </c>
      <c r="H49">
        <f t="shared" si="4"/>
        <v>149846039.32484999</v>
      </c>
    </row>
    <row r="50" spans="1:8" ht="72" x14ac:dyDescent="0.3">
      <c r="A50" s="1" t="s">
        <v>7150</v>
      </c>
      <c r="B50" s="1" t="s">
        <v>7239</v>
      </c>
      <c r="C50" s="1" t="s">
        <v>7328</v>
      </c>
      <c r="D50">
        <v>149844140.675699</v>
      </c>
      <c r="E50">
        <f t="shared" si="1"/>
        <v>100038097.771752</v>
      </c>
      <c r="F50">
        <f t="shared" si="2"/>
        <v>0.99961916737122403</v>
      </c>
      <c r="G50">
        <f t="shared" si="3"/>
        <v>1.4984456128102099</v>
      </c>
      <c r="H50">
        <f t="shared" si="4"/>
        <v>149844140.675699</v>
      </c>
    </row>
    <row r="51" spans="1:8" ht="72" x14ac:dyDescent="0.3">
      <c r="A51" s="1" t="s">
        <v>7151</v>
      </c>
      <c r="B51" s="1" t="s">
        <v>7240</v>
      </c>
      <c r="C51" s="1" t="s">
        <v>7329</v>
      </c>
      <c r="D51">
        <v>149838401.96279201</v>
      </c>
      <c r="E51">
        <f t="shared" si="1"/>
        <v>100039313.372183</v>
      </c>
      <c r="F51">
        <f t="shared" si="2"/>
        <v>0.99960702077154995</v>
      </c>
      <c r="G51">
        <f t="shared" si="3"/>
        <v>1.4984032960388101</v>
      </c>
      <c r="H51">
        <f t="shared" si="4"/>
        <v>149838401.96279201</v>
      </c>
    </row>
    <row r="52" spans="1:8" ht="72" x14ac:dyDescent="0.3">
      <c r="A52" s="1" t="s">
        <v>7152</v>
      </c>
      <c r="B52" s="1" t="s">
        <v>7241</v>
      </c>
      <c r="C52" s="1" t="s">
        <v>7330</v>
      </c>
      <c r="D52">
        <v>149822883.93487701</v>
      </c>
      <c r="E52">
        <f t="shared" si="1"/>
        <v>100044884.25169</v>
      </c>
      <c r="F52">
        <f t="shared" si="2"/>
        <v>0.99955135885231905</v>
      </c>
      <c r="G52">
        <f t="shared" si="3"/>
        <v>1.49822727685357</v>
      </c>
      <c r="H52">
        <f t="shared" si="4"/>
        <v>149822883.93487701</v>
      </c>
    </row>
    <row r="53" spans="1:8" ht="72" x14ac:dyDescent="0.3">
      <c r="A53" s="1" t="s">
        <v>7153</v>
      </c>
      <c r="B53" s="1" t="s">
        <v>7242</v>
      </c>
      <c r="C53" s="1" t="s">
        <v>7331</v>
      </c>
      <c r="D53">
        <v>149825019.07009101</v>
      </c>
      <c r="E53">
        <f t="shared" si="1"/>
        <v>100044432.62601499</v>
      </c>
      <c r="F53">
        <f t="shared" si="2"/>
        <v>0.99955587107798605</v>
      </c>
      <c r="G53">
        <f t="shared" si="3"/>
        <v>1.4982282047953099</v>
      </c>
      <c r="H53">
        <f t="shared" si="4"/>
        <v>149825019.07009101</v>
      </c>
    </row>
    <row r="54" spans="1:8" ht="72" x14ac:dyDescent="0.3">
      <c r="A54" s="1" t="s">
        <v>7154</v>
      </c>
      <c r="B54" s="1" t="s">
        <v>7243</v>
      </c>
      <c r="C54" s="1" t="s">
        <v>7332</v>
      </c>
      <c r="D54">
        <v>149826096.15315801</v>
      </c>
      <c r="E54">
        <f t="shared" si="1"/>
        <v>100038078.888569</v>
      </c>
      <c r="F54">
        <f t="shared" si="2"/>
        <v>0.99961935605928298</v>
      </c>
      <c r="G54">
        <f t="shared" si="3"/>
        <v>1.49826505981142</v>
      </c>
      <c r="H54">
        <f t="shared" si="4"/>
        <v>149826096.15315801</v>
      </c>
    </row>
    <row r="55" spans="1:8" ht="72" x14ac:dyDescent="0.3">
      <c r="A55" s="1" t="s">
        <v>7155</v>
      </c>
      <c r="B55" s="1" t="s">
        <v>7244</v>
      </c>
      <c r="C55" s="1" t="s">
        <v>7333</v>
      </c>
      <c r="D55">
        <v>149816599.78141099</v>
      </c>
      <c r="E55">
        <f t="shared" si="1"/>
        <v>100039263.37658601</v>
      </c>
      <c r="F55">
        <f t="shared" si="2"/>
        <v>0.99960752033490297</v>
      </c>
      <c r="G55">
        <f t="shared" si="3"/>
        <v>1.4981560675785801</v>
      </c>
      <c r="H55">
        <f t="shared" si="4"/>
        <v>149816599.78141099</v>
      </c>
    </row>
    <row r="56" spans="1:8" ht="72" x14ac:dyDescent="0.3">
      <c r="A56" s="1" t="s">
        <v>7156</v>
      </c>
      <c r="B56" s="1" t="s">
        <v>7245</v>
      </c>
      <c r="C56" s="1" t="s">
        <v>7334</v>
      </c>
      <c r="D56">
        <v>149815412.348391</v>
      </c>
      <c r="E56">
        <f t="shared" si="1"/>
        <v>100036393.47558799</v>
      </c>
      <c r="F56">
        <f t="shared" si="2"/>
        <v>0.99963619764443701</v>
      </c>
      <c r="G56">
        <f t="shared" si="3"/>
        <v>1.4981241885835199</v>
      </c>
      <c r="H56">
        <f t="shared" si="4"/>
        <v>149815412.348391</v>
      </c>
    </row>
    <row r="57" spans="1:8" ht="72" x14ac:dyDescent="0.3">
      <c r="A57" s="1" t="s">
        <v>7157</v>
      </c>
      <c r="B57" s="1" t="s">
        <v>7246</v>
      </c>
      <c r="C57" s="1" t="s">
        <v>7335</v>
      </c>
      <c r="D57">
        <v>149826954.03656301</v>
      </c>
      <c r="E57">
        <f t="shared" si="1"/>
        <v>100027742.291851</v>
      </c>
      <c r="F57">
        <f t="shared" si="2"/>
        <v>0.99972265402361304</v>
      </c>
      <c r="G57">
        <f t="shared" si="3"/>
        <v>1.49825491028841</v>
      </c>
      <c r="H57">
        <f t="shared" si="4"/>
        <v>149826954.03656301</v>
      </c>
    </row>
    <row r="58" spans="1:8" ht="72" x14ac:dyDescent="0.3">
      <c r="A58" s="1" t="s">
        <v>7158</v>
      </c>
      <c r="B58" s="1" t="s">
        <v>7247</v>
      </c>
      <c r="C58" s="1" t="s">
        <v>7336</v>
      </c>
      <c r="D58">
        <v>149823300.59217501</v>
      </c>
      <c r="E58">
        <f t="shared" si="1"/>
        <v>100023515.47286899</v>
      </c>
      <c r="F58">
        <f t="shared" si="2"/>
        <v>0.99976490055604705</v>
      </c>
      <c r="G58">
        <f t="shared" si="3"/>
        <v>1.4982328574180299</v>
      </c>
      <c r="H58">
        <f t="shared" si="4"/>
        <v>149823300.59217501</v>
      </c>
    </row>
    <row r="59" spans="1:8" ht="72" x14ac:dyDescent="0.3">
      <c r="A59" s="1" t="s">
        <v>7159</v>
      </c>
      <c r="B59" s="1" t="s">
        <v>7248</v>
      </c>
      <c r="C59" s="1" t="s">
        <v>7337</v>
      </c>
      <c r="D59">
        <v>149814058.65510499</v>
      </c>
      <c r="E59">
        <f t="shared" si="1"/>
        <v>100023472.562342</v>
      </c>
      <c r="F59">
        <f t="shared" si="2"/>
        <v>0.99976532945976404</v>
      </c>
      <c r="G59">
        <f t="shared" si="3"/>
        <v>1.49813503534417</v>
      </c>
      <c r="H59">
        <f t="shared" si="4"/>
        <v>149814058.65510499</v>
      </c>
    </row>
    <row r="60" spans="1:8" ht="72" x14ac:dyDescent="0.3">
      <c r="A60" s="1" t="s">
        <v>7160</v>
      </c>
      <c r="B60" s="1" t="s">
        <v>7249</v>
      </c>
      <c r="C60" s="1" t="s">
        <v>7338</v>
      </c>
      <c r="D60">
        <v>149806939.18114701</v>
      </c>
      <c r="E60">
        <f t="shared" si="1"/>
        <v>100021868.624313</v>
      </c>
      <c r="F60">
        <f t="shared" si="2"/>
        <v>0.99978136157007802</v>
      </c>
      <c r="G60">
        <f t="shared" si="3"/>
        <v>1.49807400868717</v>
      </c>
      <c r="H60">
        <f t="shared" si="4"/>
        <v>149806939.18114701</v>
      </c>
    </row>
    <row r="61" spans="1:8" ht="72" x14ac:dyDescent="0.3">
      <c r="A61" s="1" t="s">
        <v>7161</v>
      </c>
      <c r="B61" s="1" t="s">
        <v>7250</v>
      </c>
      <c r="C61" s="1" t="s">
        <v>7339</v>
      </c>
      <c r="D61">
        <v>149795608.87113899</v>
      </c>
      <c r="E61">
        <f t="shared" si="1"/>
        <v>100023202.592794</v>
      </c>
      <c r="F61">
        <f t="shared" si="2"/>
        <v>0.99976802789559305</v>
      </c>
      <c r="G61">
        <f t="shared" si="3"/>
        <v>1.49794398328043</v>
      </c>
      <c r="H61">
        <f t="shared" si="4"/>
        <v>149795608.87113899</v>
      </c>
    </row>
    <row r="62" spans="1:8" ht="72" x14ac:dyDescent="0.3">
      <c r="A62" s="1" t="s">
        <v>7162</v>
      </c>
      <c r="B62" s="1" t="s">
        <v>7251</v>
      </c>
      <c r="C62" s="1" t="s">
        <v>7340</v>
      </c>
      <c r="D62">
        <v>149799217.646292</v>
      </c>
      <c r="E62">
        <f t="shared" si="1"/>
        <v>100019704.92138501</v>
      </c>
      <c r="F62">
        <f t="shared" si="2"/>
        <v>0.99980298960688796</v>
      </c>
      <c r="G62">
        <f t="shared" si="3"/>
        <v>1.49799252698793</v>
      </c>
      <c r="H62">
        <f t="shared" si="4"/>
        <v>149799217.646292</v>
      </c>
    </row>
    <row r="63" spans="1:8" ht="72" x14ac:dyDescent="0.3">
      <c r="A63" s="1" t="s">
        <v>7163</v>
      </c>
      <c r="B63" s="1" t="s">
        <v>7252</v>
      </c>
      <c r="C63" s="1" t="s">
        <v>7341</v>
      </c>
      <c r="D63">
        <v>149791399.929986</v>
      </c>
      <c r="E63">
        <f t="shared" si="1"/>
        <v>100019806.18073501</v>
      </c>
      <c r="F63">
        <f t="shared" si="2"/>
        <v>0.99980197741335797</v>
      </c>
      <c r="G63">
        <f t="shared" si="3"/>
        <v>1.49789683391029</v>
      </c>
      <c r="H63">
        <f t="shared" si="4"/>
        <v>149791399.929986</v>
      </c>
    </row>
    <row r="64" spans="1:8" ht="72" x14ac:dyDescent="0.3">
      <c r="A64" s="1" t="s">
        <v>7164</v>
      </c>
      <c r="B64" s="1" t="s">
        <v>7253</v>
      </c>
      <c r="C64" s="1" t="s">
        <v>7342</v>
      </c>
      <c r="D64">
        <v>149787898.568198</v>
      </c>
      <c r="E64">
        <f t="shared" si="1"/>
        <v>100014846.81421299</v>
      </c>
      <c r="F64">
        <f t="shared" si="2"/>
        <v>0.999851553897386</v>
      </c>
      <c r="G64">
        <f t="shared" si="3"/>
        <v>1.4978652409076401</v>
      </c>
      <c r="H64">
        <f t="shared" si="4"/>
        <v>149787898.568198</v>
      </c>
    </row>
    <row r="65" spans="1:8" ht="72" x14ac:dyDescent="0.3">
      <c r="A65" s="1" t="s">
        <v>7165</v>
      </c>
      <c r="B65" s="1" t="s">
        <v>7254</v>
      </c>
      <c r="C65" s="1" t="s">
        <v>7343</v>
      </c>
      <c r="D65">
        <v>149854292.290537</v>
      </c>
      <c r="E65">
        <f t="shared" si="1"/>
        <v>100010876.027843</v>
      </c>
      <c r="F65">
        <f t="shared" si="2"/>
        <v>0.99989125154907399</v>
      </c>
      <c r="G65">
        <f t="shared" si="3"/>
        <v>1.4985453331646501</v>
      </c>
      <c r="H65">
        <f t="shared" si="4"/>
        <v>149854292.290537</v>
      </c>
    </row>
    <row r="66" spans="1:8" ht="72" x14ac:dyDescent="0.3">
      <c r="A66" s="1" t="s">
        <v>7166</v>
      </c>
      <c r="B66" s="1" t="s">
        <v>7255</v>
      </c>
      <c r="C66" s="1" t="s">
        <v>7344</v>
      </c>
      <c r="D66">
        <v>149840697.583114</v>
      </c>
      <c r="E66">
        <f t="shared" si="1"/>
        <v>100011572.384626</v>
      </c>
      <c r="F66">
        <f t="shared" si="2"/>
        <v>0.99988428954419295</v>
      </c>
      <c r="G66">
        <f t="shared" si="3"/>
        <v>1.4984121165434801</v>
      </c>
      <c r="H66">
        <f t="shared" si="4"/>
        <v>149840697.583114</v>
      </c>
    </row>
    <row r="67" spans="1:8" ht="72" x14ac:dyDescent="0.3">
      <c r="A67" s="1" t="s">
        <v>7167</v>
      </c>
      <c r="B67" s="1" t="s">
        <v>7256</v>
      </c>
      <c r="C67" s="1" t="s">
        <v>7345</v>
      </c>
      <c r="D67">
        <v>149825098.98786899</v>
      </c>
      <c r="E67">
        <f t="shared" ref="E67:E91" si="5">_xlfn.NUMBERVALUE(A67)</f>
        <v>100013057.51227701</v>
      </c>
      <c r="F67">
        <f t="shared" ref="F67:F91" si="6">_xlfn.NUMBERVALUE(B67)</f>
        <v>0.99986944192486504</v>
      </c>
      <c r="G67">
        <f t="shared" ref="G67:G91" si="7">_xlfn.NUMBERVALUE(C67)</f>
        <v>1.49827761245548</v>
      </c>
      <c r="H67">
        <f t="shared" ref="H67:H91" si="8">_xlfn.NUMBERVALUE(D67)</f>
        <v>149825098.98786899</v>
      </c>
    </row>
    <row r="68" spans="1:8" ht="72" x14ac:dyDescent="0.3">
      <c r="A68" s="1" t="s">
        <v>7168</v>
      </c>
      <c r="B68" s="1" t="s">
        <v>7257</v>
      </c>
      <c r="C68" s="1" t="s">
        <v>7346</v>
      </c>
      <c r="D68">
        <v>149801558.71494699</v>
      </c>
      <c r="E68">
        <f t="shared" si="5"/>
        <v>100020748.86237299</v>
      </c>
      <c r="F68">
        <f t="shared" si="6"/>
        <v>0.99979255441886195</v>
      </c>
      <c r="G68">
        <f t="shared" si="7"/>
        <v>1.49801669894205</v>
      </c>
      <c r="H68">
        <f t="shared" si="8"/>
        <v>149801558.71494699</v>
      </c>
    </row>
    <row r="69" spans="1:8" ht="72" x14ac:dyDescent="0.3">
      <c r="A69" s="1" t="s">
        <v>7169</v>
      </c>
      <c r="B69" s="1" t="s">
        <v>7258</v>
      </c>
      <c r="C69" s="1" t="s">
        <v>7347</v>
      </c>
      <c r="D69">
        <v>149806288.91714501</v>
      </c>
      <c r="E69">
        <f t="shared" si="5"/>
        <v>100021070.059819</v>
      </c>
      <c r="F69">
        <f t="shared" si="6"/>
        <v>0.99978934378718998</v>
      </c>
      <c r="G69">
        <f t="shared" si="7"/>
        <v>1.4980581702387401</v>
      </c>
      <c r="H69">
        <f t="shared" si="8"/>
        <v>149806288.91714501</v>
      </c>
    </row>
    <row r="70" spans="1:8" ht="72" x14ac:dyDescent="0.3">
      <c r="A70" s="1" t="s">
        <v>7170</v>
      </c>
      <c r="B70" s="1" t="s">
        <v>7259</v>
      </c>
      <c r="C70" s="1" t="s">
        <v>7348</v>
      </c>
      <c r="D70">
        <v>149797859.00325799</v>
      </c>
      <c r="E70">
        <f t="shared" si="5"/>
        <v>100019706.638878</v>
      </c>
      <c r="F70">
        <f t="shared" si="6"/>
        <v>0.99980297243872296</v>
      </c>
      <c r="G70">
        <f t="shared" si="7"/>
        <v>1.4979664968423201</v>
      </c>
      <c r="H70">
        <f t="shared" si="8"/>
        <v>149797859.00325799</v>
      </c>
    </row>
    <row r="71" spans="1:8" ht="72" x14ac:dyDescent="0.3">
      <c r="A71" s="1" t="s">
        <v>7171</v>
      </c>
      <c r="B71" s="1" t="s">
        <v>7260</v>
      </c>
      <c r="C71" s="1" t="s">
        <v>7349</v>
      </c>
      <c r="D71">
        <v>149789392.26345801</v>
      </c>
      <c r="E71">
        <f t="shared" si="5"/>
        <v>100016213.02774601</v>
      </c>
      <c r="F71">
        <f t="shared" si="6"/>
        <v>0.99983789600450201</v>
      </c>
      <c r="G71">
        <f t="shared" si="7"/>
        <v>1.49790938315127</v>
      </c>
      <c r="H71">
        <f t="shared" si="8"/>
        <v>149789392.26345801</v>
      </c>
    </row>
    <row r="72" spans="1:8" ht="72" x14ac:dyDescent="0.3">
      <c r="A72" s="1" t="s">
        <v>7172</v>
      </c>
      <c r="B72" s="1" t="s">
        <v>7261</v>
      </c>
      <c r="C72" s="1" t="s">
        <v>7350</v>
      </c>
      <c r="D72">
        <v>149770456.42259499</v>
      </c>
      <c r="E72">
        <f t="shared" si="5"/>
        <v>100020679.732215</v>
      </c>
      <c r="F72">
        <f t="shared" si="6"/>
        <v>0.99979324543413395</v>
      </c>
      <c r="G72">
        <f t="shared" si="7"/>
        <v>1.49768745798884</v>
      </c>
      <c r="H72">
        <f t="shared" si="8"/>
        <v>149770456.42259499</v>
      </c>
    </row>
    <row r="73" spans="1:8" ht="72" x14ac:dyDescent="0.3">
      <c r="A73" s="1" t="s">
        <v>7173</v>
      </c>
      <c r="B73" s="1" t="s">
        <v>7262</v>
      </c>
      <c r="C73" s="1" t="s">
        <v>7351</v>
      </c>
      <c r="D73">
        <v>149758994.255597</v>
      </c>
      <c r="E73">
        <f t="shared" si="5"/>
        <v>100015737.840544</v>
      </c>
      <c r="F73">
        <f t="shared" si="6"/>
        <v>0.99984264635861597</v>
      </c>
      <c r="G73">
        <f t="shared" si="7"/>
        <v>1.49761465678043</v>
      </c>
      <c r="H73">
        <f t="shared" si="8"/>
        <v>149758994.255597</v>
      </c>
    </row>
    <row r="74" spans="1:8" ht="72" x14ac:dyDescent="0.3">
      <c r="A74" s="1" t="s">
        <v>7174</v>
      </c>
      <c r="B74" s="1" t="s">
        <v>7263</v>
      </c>
      <c r="C74" s="1" t="s">
        <v>7352</v>
      </c>
      <c r="D74">
        <v>149742515.072945</v>
      </c>
      <c r="E74">
        <f t="shared" si="5"/>
        <v>100022876.915647</v>
      </c>
      <c r="F74">
        <f t="shared" si="6"/>
        <v>0.99977128316687702</v>
      </c>
      <c r="G74">
        <f t="shared" si="7"/>
        <v>1.49740125728549</v>
      </c>
      <c r="H74">
        <f t="shared" si="8"/>
        <v>149742515.072945</v>
      </c>
    </row>
    <row r="75" spans="1:8" ht="72" x14ac:dyDescent="0.3">
      <c r="A75" s="1" t="s">
        <v>7175</v>
      </c>
      <c r="B75" s="1" t="s">
        <v>7264</v>
      </c>
      <c r="C75" s="1" t="s">
        <v>7353</v>
      </c>
      <c r="D75">
        <v>149740099.92811599</v>
      </c>
      <c r="E75">
        <f t="shared" si="5"/>
        <v>100015974.272787</v>
      </c>
      <c r="F75">
        <f t="shared" si="6"/>
        <v>0.99984028278578396</v>
      </c>
      <c r="G75">
        <f t="shared" si="7"/>
        <v>1.4973936443707301</v>
      </c>
      <c r="H75">
        <f t="shared" si="8"/>
        <v>149740099.92811599</v>
      </c>
    </row>
    <row r="76" spans="1:8" ht="72" x14ac:dyDescent="0.3">
      <c r="A76" s="1" t="s">
        <v>7176</v>
      </c>
      <c r="B76" s="1" t="s">
        <v>7265</v>
      </c>
      <c r="C76" s="1" t="s">
        <v>7354</v>
      </c>
      <c r="D76">
        <v>149724120.26761201</v>
      </c>
      <c r="E76">
        <f t="shared" si="5"/>
        <v>100013849.67510299</v>
      </c>
      <c r="F76">
        <f t="shared" si="6"/>
        <v>0.99986152242766202</v>
      </c>
      <c r="G76">
        <f t="shared" si="7"/>
        <v>1.4972400392879399</v>
      </c>
      <c r="H76">
        <f t="shared" si="8"/>
        <v>149724120.26761201</v>
      </c>
    </row>
    <row r="77" spans="1:8" ht="72" x14ac:dyDescent="0.3">
      <c r="A77" s="1" t="s">
        <v>7177</v>
      </c>
      <c r="B77" s="1" t="s">
        <v>7266</v>
      </c>
      <c r="C77" s="1" t="s">
        <v>7355</v>
      </c>
      <c r="D77">
        <v>149707632.75584</v>
      </c>
      <c r="E77">
        <f t="shared" si="5"/>
        <v>100013513.64313599</v>
      </c>
      <c r="F77">
        <f t="shared" si="6"/>
        <v>0.99986488182801703</v>
      </c>
      <c r="G77">
        <f t="shared" si="7"/>
        <v>1.4970672329905499</v>
      </c>
      <c r="H77">
        <f t="shared" si="8"/>
        <v>149707632.75584</v>
      </c>
    </row>
    <row r="78" spans="1:8" ht="72" x14ac:dyDescent="0.3">
      <c r="A78" s="1" t="s">
        <v>7178</v>
      </c>
      <c r="B78" s="1" t="s">
        <v>7267</v>
      </c>
      <c r="C78" s="1" t="s">
        <v>7356</v>
      </c>
      <c r="D78">
        <v>149690098.07785699</v>
      </c>
      <c r="E78">
        <f t="shared" si="5"/>
        <v>100010887.122842</v>
      </c>
      <c r="F78">
        <f t="shared" si="6"/>
        <v>0.99989114062322404</v>
      </c>
      <c r="G78">
        <f t="shared" si="7"/>
        <v>1.4969138146363601</v>
      </c>
      <c r="H78">
        <f t="shared" si="8"/>
        <v>149690098.07785699</v>
      </c>
    </row>
    <row r="79" spans="1:8" ht="72" x14ac:dyDescent="0.3">
      <c r="A79" s="1" t="s">
        <v>7179</v>
      </c>
      <c r="B79" s="1" t="s">
        <v>7268</v>
      </c>
      <c r="C79" s="1" t="s">
        <v>7357</v>
      </c>
      <c r="D79">
        <v>149669516.66822201</v>
      </c>
      <c r="E79">
        <f t="shared" si="5"/>
        <v>100014593.124024</v>
      </c>
      <c r="F79">
        <f t="shared" si="6"/>
        <v>0.99985409005257297</v>
      </c>
      <c r="G79">
        <f t="shared" si="7"/>
        <v>1.4967066661336199</v>
      </c>
      <c r="H79">
        <f t="shared" si="8"/>
        <v>149669516.66822201</v>
      </c>
    </row>
    <row r="80" spans="1:8" ht="72" x14ac:dyDescent="0.3">
      <c r="A80" s="1" t="s">
        <v>7180</v>
      </c>
      <c r="B80" s="1" t="s">
        <v>7269</v>
      </c>
      <c r="C80" s="1" t="s">
        <v>7358</v>
      </c>
      <c r="D80">
        <v>149665694.19643801</v>
      </c>
      <c r="E80">
        <f t="shared" si="5"/>
        <v>100017914.325095</v>
      </c>
      <c r="F80">
        <f t="shared" si="6"/>
        <v>0.99982088883559495</v>
      </c>
      <c r="G80">
        <f t="shared" si="7"/>
        <v>1.4966496912337499</v>
      </c>
      <c r="H80">
        <f t="shared" si="8"/>
        <v>149665694.19643801</v>
      </c>
    </row>
    <row r="81" spans="1:8" ht="72" x14ac:dyDescent="0.3">
      <c r="A81" s="1" t="s">
        <v>7181</v>
      </c>
      <c r="B81" s="1" t="s">
        <v>7270</v>
      </c>
      <c r="C81" s="1" t="s">
        <v>7359</v>
      </c>
      <c r="D81">
        <v>149643639.87593001</v>
      </c>
      <c r="E81">
        <f t="shared" si="5"/>
        <v>100015820.177027</v>
      </c>
      <c r="F81">
        <f t="shared" si="6"/>
        <v>0.99984182325356896</v>
      </c>
      <c r="G81">
        <f t="shared" si="7"/>
        <v>1.4964355000229601</v>
      </c>
      <c r="H81">
        <f t="shared" si="8"/>
        <v>149643639.87593001</v>
      </c>
    </row>
    <row r="82" spans="1:8" ht="72" x14ac:dyDescent="0.3">
      <c r="A82" s="1" t="s">
        <v>7182</v>
      </c>
      <c r="B82" s="1" t="s">
        <v>7271</v>
      </c>
      <c r="C82" s="1" t="s">
        <v>7360</v>
      </c>
      <c r="D82">
        <v>149618066.01025999</v>
      </c>
      <c r="E82">
        <f t="shared" si="5"/>
        <v>100015560.619176</v>
      </c>
      <c r="F82">
        <f t="shared" si="6"/>
        <v>0.99984441801775603</v>
      </c>
      <c r="G82">
        <f t="shared" si="7"/>
        <v>1.4961682408838599</v>
      </c>
      <c r="H82">
        <f t="shared" si="8"/>
        <v>149618066.01025999</v>
      </c>
    </row>
    <row r="83" spans="1:8" ht="72" x14ac:dyDescent="0.3">
      <c r="A83" s="1" t="s">
        <v>7183</v>
      </c>
      <c r="B83" s="1" t="s">
        <v>7272</v>
      </c>
      <c r="C83" s="1" t="s">
        <v>7361</v>
      </c>
      <c r="D83">
        <v>149593505.74222499</v>
      </c>
      <c r="E83">
        <f t="shared" si="5"/>
        <v>100011974.77489901</v>
      </c>
      <c r="F83">
        <f t="shared" si="6"/>
        <v>0.99988026658881402</v>
      </c>
      <c r="G83">
        <f t="shared" si="7"/>
        <v>1.4959404209959499</v>
      </c>
      <c r="H83">
        <f t="shared" si="8"/>
        <v>149593505.74222499</v>
      </c>
    </row>
    <row r="84" spans="1:8" ht="72" x14ac:dyDescent="0.3">
      <c r="A84" s="1" t="s">
        <v>7184</v>
      </c>
      <c r="B84" s="1" t="s">
        <v>7273</v>
      </c>
      <c r="C84" s="1" t="s">
        <v>7362</v>
      </c>
      <c r="D84">
        <v>149579070.28837901</v>
      </c>
      <c r="E84">
        <f t="shared" si="5"/>
        <v>100013523.55720399</v>
      </c>
      <c r="F84">
        <f t="shared" si="6"/>
        <v>0.99986478271414003</v>
      </c>
      <c r="G84">
        <f t="shared" si="7"/>
        <v>1.4957703379374601</v>
      </c>
      <c r="H84">
        <f t="shared" si="8"/>
        <v>149579070.28837901</v>
      </c>
    </row>
    <row r="85" spans="1:8" ht="72" x14ac:dyDescent="0.3">
      <c r="A85" s="1" t="s">
        <v>7185</v>
      </c>
      <c r="B85" s="1" t="s">
        <v>7274</v>
      </c>
      <c r="C85" s="1" t="s">
        <v>7363</v>
      </c>
      <c r="D85">
        <v>149553040.82401499</v>
      </c>
      <c r="E85">
        <f t="shared" si="5"/>
        <v>100007643.416436</v>
      </c>
      <c r="F85">
        <f t="shared" si="6"/>
        <v>0.999923571677372</v>
      </c>
      <c r="G85">
        <f t="shared" si="7"/>
        <v>1.4955308008135499</v>
      </c>
      <c r="H85">
        <f t="shared" si="8"/>
        <v>149553040.82401499</v>
      </c>
    </row>
    <row r="86" spans="1:8" ht="72" x14ac:dyDescent="0.3">
      <c r="A86" s="1" t="s">
        <v>7186</v>
      </c>
      <c r="B86" s="1" t="s">
        <v>7275</v>
      </c>
      <c r="C86" s="1" t="s">
        <v>7364</v>
      </c>
      <c r="D86">
        <v>149515501.54670399</v>
      </c>
      <c r="E86">
        <f t="shared" si="5"/>
        <v>100007756.752195</v>
      </c>
      <c r="F86">
        <f t="shared" si="6"/>
        <v>0.99992243849429896</v>
      </c>
      <c r="G86">
        <f t="shared" si="7"/>
        <v>1.4951398836954599</v>
      </c>
      <c r="H86">
        <f t="shared" si="8"/>
        <v>149515501.54670399</v>
      </c>
    </row>
    <row r="87" spans="1:8" ht="72" x14ac:dyDescent="0.3">
      <c r="A87" s="1" t="s">
        <v>7187</v>
      </c>
      <c r="B87" s="1" t="s">
        <v>7276</v>
      </c>
      <c r="C87" s="1" t="s">
        <v>7365</v>
      </c>
      <c r="D87">
        <v>150084553.502018</v>
      </c>
      <c r="E87">
        <f t="shared" si="5"/>
        <v>100003389.139686</v>
      </c>
      <c r="F87">
        <f t="shared" si="6"/>
        <v>0.99996610975172195</v>
      </c>
      <c r="G87">
        <f t="shared" si="7"/>
        <v>1.5008382471466799</v>
      </c>
      <c r="H87">
        <f t="shared" si="8"/>
        <v>150084553.502018</v>
      </c>
    </row>
    <row r="88" spans="1:8" ht="72" x14ac:dyDescent="0.3">
      <c r="A88" s="1" t="s">
        <v>7188</v>
      </c>
      <c r="B88" s="1" t="s">
        <v>7277</v>
      </c>
      <c r="C88" s="1" t="s">
        <v>7366</v>
      </c>
      <c r="D88">
        <v>150020662.023314</v>
      </c>
      <c r="E88">
        <f t="shared" si="5"/>
        <v>100057165.544856</v>
      </c>
      <c r="F88">
        <f t="shared" si="6"/>
        <v>0.99998718330928504</v>
      </c>
      <c r="G88">
        <f t="shared" si="7"/>
        <v>1.4993742458330099</v>
      </c>
      <c r="H88">
        <f t="shared" si="8"/>
        <v>150020662.023314</v>
      </c>
    </row>
    <row r="89" spans="1:8" ht="72" x14ac:dyDescent="0.3">
      <c r="A89" s="1" t="s">
        <v>7189</v>
      </c>
      <c r="B89" s="1" t="s">
        <v>7278</v>
      </c>
      <c r="C89" s="1" t="s">
        <v>7367</v>
      </c>
      <c r="D89">
        <v>150083700.92906901</v>
      </c>
      <c r="E89">
        <f t="shared" si="5"/>
        <v>100058761.751359</v>
      </c>
      <c r="F89">
        <f t="shared" si="6"/>
        <v>0.99997123082280504</v>
      </c>
      <c r="G89">
        <f t="shared" si="7"/>
        <v>1.5000056775471899</v>
      </c>
      <c r="H89">
        <f t="shared" si="8"/>
        <v>150083700.92906901</v>
      </c>
    </row>
    <row r="90" spans="1:8" ht="72" x14ac:dyDescent="0.3">
      <c r="A90" s="1" t="s">
        <v>7190</v>
      </c>
      <c r="B90" s="1" t="s">
        <v>7279</v>
      </c>
      <c r="C90" s="1" t="s">
        <v>7368</v>
      </c>
      <c r="D90">
        <v>150067292.90767401</v>
      </c>
      <c r="E90">
        <f t="shared" si="5"/>
        <v>100061134.83204199</v>
      </c>
      <c r="F90">
        <f t="shared" si="6"/>
        <v>0.99995130003000599</v>
      </c>
      <c r="G90">
        <f t="shared" si="7"/>
        <v>1.4998210692865099</v>
      </c>
      <c r="H90">
        <f t="shared" si="8"/>
        <v>150067292.90767401</v>
      </c>
    </row>
    <row r="91" spans="1:8" ht="72" x14ac:dyDescent="0.3">
      <c r="A91" s="1" t="s">
        <v>7191</v>
      </c>
      <c r="B91" s="1" t="s">
        <v>7280</v>
      </c>
      <c r="C91" s="1" t="s">
        <v>7369</v>
      </c>
      <c r="D91">
        <v>150130796.05068499</v>
      </c>
      <c r="E91">
        <f t="shared" si="5"/>
        <v>100058812.672098</v>
      </c>
      <c r="F91">
        <f t="shared" si="6"/>
        <v>0.999974506849999</v>
      </c>
      <c r="G91">
        <f t="shared" si="7"/>
        <v>1.50044648508678</v>
      </c>
      <c r="H91">
        <f t="shared" si="8"/>
        <v>150130796.05068499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test_90_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u3546092@connect.hku.hk</cp:lastModifiedBy>
  <dcterms:created xsi:type="dcterms:W3CDTF">2026-02-21T11:39:03Z</dcterms:created>
  <dcterms:modified xsi:type="dcterms:W3CDTF">2026-02-22T07:06:23Z</dcterms:modified>
</cp:coreProperties>
</file>