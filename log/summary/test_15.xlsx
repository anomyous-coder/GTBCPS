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ile\Documents\DApps Upgrade\dapp_web3\log\test\template\"/>
    </mc:Choice>
  </mc:AlternateContent>
  <xr:revisionPtr revIDLastSave="0" documentId="13_ncr:1_{2DF15E40-DCEC-4F75-820C-76474871591E}" xr6:coauthVersionLast="47" xr6:coauthVersionMax="47" xr10:uidLastSave="{00000000-0000-0000-0000-000000000000}"/>
  <bookViews>
    <workbookView xWindow="1488" yWindow="1308" windowWidth="21204" windowHeight="8880" activeTab="1" xr2:uid="{16E5037D-5999-4105-AFDD-43EDE9985221}"/>
  </bookViews>
  <sheets>
    <sheet name="test_15" sheetId="1" r:id="rId1"/>
    <sheet name="Sheet1" sheetId="2" r:id="rId2"/>
  </sheets>
  <definedNames>
    <definedName name="_xlnm._FilterDatabase" localSheetId="0" hidden="1">test_15!$A$1:$D$1028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2" l="1"/>
  <c r="D19" i="2"/>
  <c r="C19" i="2"/>
  <c r="B19" i="2"/>
  <c r="E18" i="2"/>
  <c r="D18" i="2"/>
  <c r="C18" i="2"/>
  <c r="B18" i="2"/>
  <c r="E17" i="2"/>
  <c r="D17" i="2"/>
  <c r="C17" i="2"/>
  <c r="B17" i="2"/>
  <c r="F4" i="2"/>
  <c r="G4" i="2"/>
  <c r="H4" i="2"/>
  <c r="I4" i="2"/>
  <c r="F5" i="2"/>
  <c r="G5" i="2"/>
  <c r="H5" i="2"/>
  <c r="I5" i="2"/>
  <c r="F6" i="2"/>
  <c r="G6" i="2"/>
  <c r="H6" i="2"/>
  <c r="I6" i="2"/>
  <c r="F7" i="2"/>
  <c r="G7" i="2"/>
  <c r="H7" i="2"/>
  <c r="I7" i="2"/>
  <c r="F8" i="2"/>
  <c r="G8" i="2"/>
  <c r="H8" i="2"/>
  <c r="I8" i="2"/>
  <c r="F9" i="2"/>
  <c r="G9" i="2"/>
  <c r="H9" i="2"/>
  <c r="I9" i="2"/>
  <c r="F10" i="2"/>
  <c r="G10" i="2"/>
  <c r="H10" i="2"/>
  <c r="I10" i="2"/>
  <c r="F11" i="2"/>
  <c r="G11" i="2"/>
  <c r="H11" i="2"/>
  <c r="I11" i="2"/>
  <c r="F12" i="2"/>
  <c r="G12" i="2"/>
  <c r="H12" i="2"/>
  <c r="I12" i="2"/>
  <c r="F13" i="2"/>
  <c r="G13" i="2"/>
  <c r="H13" i="2"/>
  <c r="I13" i="2"/>
  <c r="F14" i="2"/>
  <c r="G14" i="2"/>
  <c r="H14" i="2"/>
  <c r="I14" i="2"/>
  <c r="F15" i="2"/>
  <c r="G15" i="2"/>
  <c r="H15" i="2"/>
  <c r="I15" i="2"/>
  <c r="F16" i="2"/>
  <c r="G16" i="2"/>
  <c r="H16" i="2"/>
  <c r="I16" i="2"/>
  <c r="I3" i="2"/>
  <c r="H3" i="2"/>
  <c r="D20" i="2" s="1"/>
  <c r="D21" i="2" s="1"/>
  <c r="D22" i="2" s="1"/>
  <c r="G3" i="2"/>
  <c r="C20" i="2" s="1"/>
  <c r="C21" i="2" s="1"/>
  <c r="C22" i="2" s="1"/>
  <c r="F3" i="2"/>
  <c r="E20" i="2" l="1"/>
  <c r="E21" i="2" s="1"/>
  <c r="E22" i="2" s="1"/>
  <c r="B20" i="2"/>
  <c r="B21" i="2" s="1"/>
  <c r="B22" i="2" s="1"/>
</calcChain>
</file>

<file path=xl/sharedStrings.xml><?xml version="1.0" encoding="utf-8"?>
<sst xmlns="http://schemas.openxmlformats.org/spreadsheetml/2006/main" count="2466" uniqueCount="1254">
  <si>
    <t>string</t>
  </si>
  <si>
    <t>name</t>
  </si>
  <si>
    <t>value</t>
  </si>
  <si>
    <t xml:space="preserve">date is: 2018-08-30 00:00:00
</t>
  </si>
  <si>
    <t>date is</t>
  </si>
  <si>
    <t xml:space="preserve"> 2018-08-30 00</t>
  </si>
  <si>
    <t>current price of gold is: 1199.98</t>
  </si>
  <si>
    <t>current price of gold is</t>
  </si>
  <si>
    <t xml:space="preserve"> predicted price of gold is: 1201.8984658283036</t>
  </si>
  <si>
    <t xml:space="preserve"> predicted price of gold is</t>
  </si>
  <si>
    <t xml:space="preserve">profit is: 1.9184658283036242
</t>
  </si>
  <si>
    <t>profit is</t>
  </si>
  <si>
    <t xml:space="preserve"> 1.9184658283036242
</t>
  </si>
  <si>
    <t>current price of tb is: 97.91796875</t>
  </si>
  <si>
    <t>current price of tb is</t>
  </si>
  <si>
    <t xml:space="preserve"> current price of tb option is: 4.275288200585309</t>
  </si>
  <si>
    <t xml:space="preserve"> current price of tb option is</t>
  </si>
  <si>
    <t>predicted price of tb is: 98.15161823055233</t>
  </si>
  <si>
    <t>predicted price of tb is</t>
  </si>
  <si>
    <t xml:space="preserve">profit is: 4.508937681137638
</t>
  </si>
  <si>
    <t xml:space="preserve"> 4.508937681137638
</t>
  </si>
  <si>
    <t>current price of reit is: 77.95</t>
  </si>
  <si>
    <t>current price of reit is</t>
  </si>
  <si>
    <t xml:space="preserve"> current price of reit option is: 4.9088140240049825</t>
  </si>
  <si>
    <t xml:space="preserve"> current price of reit option is</t>
  </si>
  <si>
    <t>predicted price of reit is: 78.49342268953284</t>
  </si>
  <si>
    <t>predicted price of reit is</t>
  </si>
  <si>
    <t xml:space="preserve">profit is: 5.452236713537815
</t>
  </si>
  <si>
    <t xml:space="preserve"> 5.452236713537815
</t>
  </si>
  <si>
    <t>value_ratio_tb_to_total is: 0.37955170329282284</t>
  </si>
  <si>
    <t>value_ratio_tb_to_total is</t>
  </si>
  <si>
    <t xml:space="preserve"> risk_ratio_tb_to_gold is: 0.14163964074653937
</t>
  </si>
  <si>
    <t xml:space="preserve"> risk_ratio_tb_to_gold is</t>
  </si>
  <si>
    <t xml:space="preserve"> 0.14163964074653937
</t>
  </si>
  <si>
    <t>value_ratio_gold_to_total is: 0.16149191324773363</t>
  </si>
  <si>
    <t>value_ratio_gold_to_total is</t>
  </si>
  <si>
    <t xml:space="preserve"> risk_ratio_gold_to_total is: 0.7706339505191965
</t>
  </si>
  <si>
    <t xml:space="preserve"> risk_ratio_gold_to_total is</t>
  </si>
  <si>
    <t xml:space="preserve"> 0.7706339505191965
</t>
  </si>
  <si>
    <t>value_ratio_reit_to_total is: 0.45895638345944356</t>
  </si>
  <si>
    <t>value_ratio_reit_to_total is</t>
  </si>
  <si>
    <t xml:space="preserve"> risk_ratio_reit_to_gold is: 0.1559933007119486
</t>
  </si>
  <si>
    <t xml:space="preserve"> risk_ratio_reit_to_gold is</t>
  </si>
  <si>
    <t xml:space="preserve"> 0.1559933007119486
</t>
  </si>
  <si>
    <t>average_risk_gold is: 0.005241518853719871</t>
  </si>
  <si>
    <t>average_risk_gold is</t>
  </si>
  <si>
    <t xml:space="preserve"> average_risk_tb is: 1.222732627789173</t>
  </si>
  <si>
    <t xml:space="preserve"> average_risk_tb is</t>
  </si>
  <si>
    <t xml:space="preserve"> average_risk_reit is: 1.3466434784196375
</t>
  </si>
  <si>
    <t xml:space="preserve"> average_risk_reit is</t>
  </si>
  <si>
    <t xml:space="preserve"> 1.3466434784196375
</t>
  </si>
  <si>
    <t xml:space="preserve">collateral_ratio_tranche_tb is: 0.35
</t>
  </si>
  <si>
    <t>collateral_ratio_tranche_tb is</t>
  </si>
  <si>
    <t xml:space="preserve"> 0.35
</t>
  </si>
  <si>
    <t xml:space="preserve">collateral_ratio_tranche_gold is: 0.8
</t>
  </si>
  <si>
    <t>collateral_ratio_tranche_gold is</t>
  </si>
  <si>
    <t xml:space="preserve"> 0.8
</t>
  </si>
  <si>
    <t xml:space="preserve">collateral_ratio_tranche_reit is: 0.35466356029273005
</t>
  </si>
  <si>
    <t>collateral_ratio_tranche_reit is</t>
  </si>
  <si>
    <t xml:space="preserve"> 0.35466356029273005
</t>
  </si>
  <si>
    <t>Total plot size is: 150466356.029273</t>
  </si>
  <si>
    <t>Total plot size is</t>
  </si>
  <si>
    <t xml:space="preserve"> plot size of gold is: 80000000.0</t>
  </si>
  <si>
    <t xml:space="preserve"> plot size of gold is</t>
  </si>
  <si>
    <t xml:space="preserve"> plot size of TB is: 35000000.0</t>
  </si>
  <si>
    <t xml:space="preserve"> plot size of TB is</t>
  </si>
  <si>
    <t xml:space="preserve"> plot size of REIT is: 35466356.029273
</t>
  </si>
  <si>
    <t xml:space="preserve"> plot size of REIT is</t>
  </si>
  <si>
    <t xml:space="preserve"> 35466356.029273
</t>
  </si>
  <si>
    <t xml:space="preserve">collateral ratio is: 1.50466356029273
</t>
  </si>
  <si>
    <t>collateral ratio is</t>
  </si>
  <si>
    <t xml:space="preserve"> 1.50466356029273
</t>
  </si>
  <si>
    <t>S_gtbcps_0 is: 1.0</t>
  </si>
  <si>
    <t>S_gtbcps_0 is</t>
  </si>
  <si>
    <t>T is: 0.0027397260273972603</t>
  </si>
  <si>
    <t>T is</t>
  </si>
  <si>
    <t>t is: 0.0</t>
  </si>
  <si>
    <t>t is</t>
  </si>
  <si>
    <t>change_of_collaterals is: 0.0</t>
  </si>
  <si>
    <t>change_of_collaterals is</t>
  </si>
  <si>
    <t xml:space="preserve">stdev_gtbcps is: 0.006065918136728295
</t>
  </si>
  <si>
    <t>stdev_gtbcps is</t>
  </si>
  <si>
    <t xml:space="preserve"> 0.006065918136728295
</t>
  </si>
  <si>
    <t>predicted price of GTBCPS is: 0.999992312485239</t>
  </si>
  <si>
    <t>predicted price of GTBCPS is</t>
  </si>
  <si>
    <t xml:space="preserve"> actual price is: 1.0
</t>
  </si>
  <si>
    <t xml:space="preserve"> actual price is</t>
  </si>
  <si>
    <t xml:space="preserve"> 1.0
</t>
  </si>
  <si>
    <t>predicted amount of GTBCPS is: 100311675.16699888</t>
  </si>
  <si>
    <t>predicted amount of GTBCPS is</t>
  </si>
  <si>
    <t xml:space="preserve"> actual amount is: 100000000
</t>
  </si>
  <si>
    <t xml:space="preserve"> actual amount is</t>
  </si>
  <si>
    <t xml:space="preserve"> 100000000
</t>
  </si>
  <si>
    <t>plot sizes of gold is: 80000000.0</t>
  </si>
  <si>
    <t>plot sizes of gold is</t>
  </si>
  <si>
    <t xml:space="preserve"> plot sizes of tb is: 35000000.0 </t>
  </si>
  <si>
    <t xml:space="preserve"> plot sizes of tb is</t>
  </si>
  <si>
    <t xml:space="preserve"> plot sizes of reit is: 35466356.029273</t>
  </si>
  <si>
    <t xml:space="preserve"> plot sizes of reit is</t>
  </si>
  <si>
    <t xml:space="preserve"> plot sizes of total is: 150466356.029273.
</t>
  </si>
  <si>
    <t xml:space="preserve"> plot sizes of total is</t>
  </si>
  <si>
    <t xml:space="preserve"> 150466356.029273.
</t>
  </si>
  <si>
    <t>predicted stdevs of gold is: 0.0059676822377866656</t>
  </si>
  <si>
    <t>predicted stdevs of gold is</t>
  </si>
  <si>
    <t xml:space="preserve"> predicted stdevs of tb is: 0.0007424068474070954</t>
  </si>
  <si>
    <t xml:space="preserve"> predicted stdevs of tb is</t>
  </si>
  <si>
    <t xml:space="preserve"> predicted stdevs of reit is: 0.011541015913373292</t>
  </si>
  <si>
    <t xml:space="preserve"> predicted stdevs of reit is</t>
  </si>
  <si>
    <t xml:space="preserve"> predicted stdevs of GTBCPS is: 0.006065918136728295.
</t>
  </si>
  <si>
    <t xml:space="preserve"> predicted stdevs of GTBCPS is</t>
  </si>
  <si>
    <t xml:space="preserve"> 0.006065918136728295.
</t>
  </si>
  <si>
    <t>payout of tranche of gold is: -205.00196958206865</t>
  </si>
  <si>
    <t>payout of tranche of gold is</t>
  </si>
  <si>
    <t xml:space="preserve"> payout of tranche of Treausry Bill Option is: -30.632705258865496</t>
  </si>
  <si>
    <t xml:space="preserve"> payout of tranche of Treausry Bill Option is</t>
  </si>
  <si>
    <t xml:space="preserve"> payout of tranche of Collar of REIT is: -29.75255008817715
</t>
  </si>
  <si>
    <t xml:space="preserve"> payout of tranche of Collar of REIT is</t>
  </si>
  <si>
    <t xml:space="preserve"> -29.75255008817715
</t>
  </si>
  <si>
    <t>Collateral size of tranche of gold is: 79999794.99803042</t>
  </si>
  <si>
    <t>Collateral size of tranche of gold is</t>
  </si>
  <si>
    <t xml:space="preserve"> collateral size of tranche of Treausry Bill Option is: 34999969.36729474</t>
  </si>
  <si>
    <t xml:space="preserve"> collateral size of tranche of Treausry Bill Option is</t>
  </si>
  <si>
    <t xml:space="preserve"> collateral size of tranche of Collar of REIT is: 35466326.276722915
</t>
  </si>
  <si>
    <t xml:space="preserve"> collateral size of tranche of Collar of REIT is</t>
  </si>
  <si>
    <t xml:space="preserve"> 35466326.276722915
</t>
  </si>
  <si>
    <t>Collateral ratio of tranche of gold is: 0.7975184331153728</t>
  </si>
  <si>
    <t>Collateral ratio of tranche of gold is</t>
  </si>
  <si>
    <t xml:space="preserve"> collateral ratio of tranche of Treausry Bill Option is: 0.34891490321416657</t>
  </si>
  <si>
    <t xml:space="preserve"> collateral ratio of tranche of Treausry Bill Option is</t>
  </si>
  <si>
    <t xml:space="preserve"> collateral ratio of tranche of Collar of REIT is: 0.35356401802363374
</t>
  </si>
  <si>
    <t xml:space="preserve"> collateral ratio of tranche of Collar of REIT is</t>
  </si>
  <si>
    <t xml:space="preserve"> 0.35356401802363374
</t>
  </si>
  <si>
    <t xml:space="preserve"> predicted price of gold is: 1201.8984658283036
</t>
  </si>
  <si>
    <t xml:space="preserve"> 1201.8984658283036
</t>
  </si>
  <si>
    <t xml:space="preserve"> predicted price of tb is: 98.15161823055233
</t>
  </si>
  <si>
    <t xml:space="preserve"> predicted price of tb is</t>
  </si>
  <si>
    <t xml:space="preserve"> 98.15161823055233
</t>
  </si>
  <si>
    <t xml:space="preserve"> current price of reit option is: 4.915767895399753</t>
  </si>
  <si>
    <t xml:space="preserve"> predicted price of reit is: 78.64049815326405
</t>
  </si>
  <si>
    <t xml:space="preserve"> predicted price of reit is</t>
  </si>
  <si>
    <t xml:space="preserve"> 78.64049815326405
</t>
  </si>
  <si>
    <t>value_ratio_gold_to_total is: 0.15942483870279422</t>
  </si>
  <si>
    <t xml:space="preserve"> risk_ratio_to_gold is: 0.7718230064893042</t>
  </si>
  <si>
    <t xml:space="preserve"> risk_ratio_to_gold is</t>
  </si>
  <si>
    <t xml:space="preserve"> risk_ratio_to_gold_before is: 0.7706339505191965
</t>
  </si>
  <si>
    <t xml:space="preserve"> risk_ratio_to_gold_before is</t>
  </si>
  <si>
    <t>value_ratio_tb_to_total is: 0.37469349306676986</t>
  </si>
  <si>
    <t xml:space="preserve"> risk_ratio_tb_to_gold is: 0.14143477610687263</t>
  </si>
  <si>
    <t xml:space="preserve"> risk_ratio_tb_to_gold_before is: 0.14163964074653937
</t>
  </si>
  <si>
    <t xml:space="preserve"> risk_ratio_tb_to_gold_before is</t>
  </si>
  <si>
    <t>value_ratio_reit_to_total is: 0.4658816682304359</t>
  </si>
  <si>
    <t xml:space="preserve"> risk_ratio_reit_to_gold is: 0.15419905651049945</t>
  </si>
  <si>
    <t xml:space="preserve"> risk_ratio_reit_to_gold_before is: 0.1559933007119486
</t>
  </si>
  <si>
    <t xml:space="preserve"> risk_ratio_reit_to_gold_before is</t>
  </si>
  <si>
    <t>delta_gold is: 1.0</t>
  </si>
  <si>
    <t>delta_gold is</t>
  </si>
  <si>
    <t xml:space="preserve"> delta_tb is: 1.0</t>
  </si>
  <si>
    <t xml:space="preserve"> delta_tb is</t>
  </si>
  <si>
    <t xml:space="preserve"> delta_reit is: 1.0000839243413833
</t>
  </si>
  <si>
    <t xml:space="preserve"> delta_reit is</t>
  </si>
  <si>
    <t xml:space="preserve"> 1.0000839243413833
</t>
  </si>
  <si>
    <t>delta_gold_risk is: 1.0006715425115162</t>
  </si>
  <si>
    <t>delta_gold_risk is</t>
  </si>
  <si>
    <t xml:space="preserve"> delta_tb_risk is: 0.9998205522720525</t>
  </si>
  <si>
    <t xml:space="preserve"> delta_tb_risk is</t>
  </si>
  <si>
    <t xml:space="preserve"> delta_reit_risk is: 0.9984478766439698
</t>
  </si>
  <si>
    <t xml:space="preserve"> delta_reit_risk is</t>
  </si>
  <si>
    <t xml:space="preserve"> 0.9984478766439698
</t>
  </si>
  <si>
    <t xml:space="preserve">collateral_ratio_tranche_gold is: 0.7969832249988209
</t>
  </si>
  <si>
    <t xml:space="preserve"> 0.7969832249988209
</t>
  </si>
  <si>
    <t xml:space="preserve">collateral_ratio_tranche_tb is: 0.3489775264383907
</t>
  </si>
  <si>
    <t xml:space="preserve"> 0.3489775264383907
</t>
  </si>
  <si>
    <t xml:space="preserve">collateral_ratio_tranche_reit is: 0.35414336483893283
</t>
  </si>
  <si>
    <t xml:space="preserve"> 0.35414336483893283
</t>
  </si>
  <si>
    <t>Total plot size is: 150469332.51984403</t>
  </si>
  <si>
    <t xml:space="preserve"> plot size of REIT is: 35469332.519844025
</t>
  </si>
  <si>
    <t xml:space="preserve"> 35469332.519844025
</t>
  </si>
  <si>
    <t xml:space="preserve">collateral ratio is: 1.5000296726522417
</t>
  </si>
  <si>
    <t xml:space="preserve"> 1.5000296726522417
</t>
  </si>
  <si>
    <t>S_gtbcps_0 is: 0.999992312485239</t>
  </si>
  <si>
    <t xml:space="preserve">stdev_gtbcps is: 0.006071492756380888
</t>
  </si>
  <si>
    <t xml:space="preserve"> 0.006071492756380888
</t>
  </si>
  <si>
    <t>predicted price of GTBCPS is: 0.9999625864084265</t>
  </si>
  <si>
    <t xml:space="preserve"> actual price is: 0.999992312485239
</t>
  </si>
  <si>
    <t xml:space="preserve"> 0.999992312485239
</t>
  </si>
  <si>
    <t>predicted amount of GTBCPS is: 100316641.55241776</t>
  </si>
  <si>
    <t xml:space="preserve"> actual amount is: 100311675.16699888
</t>
  </si>
  <si>
    <t xml:space="preserve"> 100311675.16699888
</t>
  </si>
  <si>
    <t xml:space="preserve"> plot sizes of reit is: 35469332.519844025</t>
  </si>
  <si>
    <t xml:space="preserve"> plot sizes of total is: 150469332.51984403.
</t>
  </si>
  <si>
    <t xml:space="preserve"> 150469332.51984403.
</t>
  </si>
  <si>
    <t>predicted stdevs of gold is: 0.005996819639487431</t>
  </si>
  <si>
    <t xml:space="preserve"> predicted stdevs of tb is: 0.0007433935664787635</t>
  </si>
  <si>
    <t xml:space="preserve"> predicted stdevs of reit is: 0.011497513133008409</t>
  </si>
  <si>
    <t xml:space="preserve"> predicted stdevs of GTBCPS is: 0.006071492756380888.
</t>
  </si>
  <si>
    <t xml:space="preserve"> 0.006071492756380888.
</t>
  </si>
  <si>
    <t>total_value_of_collaterals is: 150468306.08608368</t>
  </si>
  <si>
    <t>total_value_of_collaterals is</t>
  </si>
  <si>
    <t xml:space="preserve"> createdtionValue_gold is: 3960.530471069206</t>
  </si>
  <si>
    <t xml:space="preserve"> createdtionValue_gold is</t>
  </si>
  <si>
    <t xml:space="preserve"> createdValue_tb is: 1732.7427568920045</t>
  </si>
  <si>
    <t xml:space="preserve"> createdValue_tb is</t>
  </si>
  <si>
    <t xml:space="preserve"> createdValue_reit is: 1755.9753691279905
</t>
  </si>
  <si>
    <t xml:space="preserve"> createdValue_reit is</t>
  </si>
  <si>
    <t xml:space="preserve"> 1755.9753691279905
</t>
  </si>
  <si>
    <t>plotValue_gold_after_creation is: 79995290.85938914</t>
  </si>
  <si>
    <t>plotValue_gold_after_creation is</t>
  </si>
  <si>
    <t xml:space="preserve"> plotValue_tb_after_creation  is: 34998155.38211361</t>
  </si>
  <si>
    <t xml:space="preserve"> plotValue_tb_after_creation  is</t>
  </si>
  <si>
    <t xml:space="preserve"> plotValue_reit_after_creation  is: 35467410.59598383</t>
  </si>
  <si>
    <t xml:space="preserve"> plotValue_reit_after_creation  is</t>
  </si>
  <si>
    <t xml:space="preserve">total_value_after_creation is: 150460856.8374866
</t>
  </si>
  <si>
    <t>total_value_after_creation is</t>
  </si>
  <si>
    <t xml:space="preserve"> 150460856.8374866
</t>
  </si>
  <si>
    <t>total_amount_gtncps_before_creation is: 100311675.16699888</t>
  </si>
  <si>
    <t>total_amount_gtncps_before_creation is</t>
  </si>
  <si>
    <t>creation_amount_gtbcps is: 4966.385418877006</t>
  </si>
  <si>
    <t>creation_amount_gtbcps is</t>
  </si>
  <si>
    <t xml:space="preserve">total_amount_gtbcps_new is: 100316641.55241776
</t>
  </si>
  <si>
    <t>total_amount_gtbcps_new is</t>
  </si>
  <si>
    <t xml:space="preserve"> 100316641.55241776
</t>
  </si>
  <si>
    <t>payout of tranche of gold is: -748.6101397903556</t>
  </si>
  <si>
    <t xml:space="preserve"> payout of tranche of Treausry Bill Option is: -111.8751294942127</t>
  </si>
  <si>
    <t xml:space="preserve"> payout of tranche of Collar of REIT is: -165.94849106400298
</t>
  </si>
  <si>
    <t xml:space="preserve"> -165.94849106400298
</t>
  </si>
  <si>
    <t>Collateral size of tranche of gold is: 79995290.85938914</t>
  </si>
  <si>
    <t xml:space="preserve"> collateral size of tranche of Treausry Bill Option is: 34998155.38211361</t>
  </si>
  <si>
    <t xml:space="preserve"> collateral size of tranche of Collar of REIT is: 35467410.59598383
</t>
  </si>
  <si>
    <t xml:space="preserve"> 35467410.59598383
</t>
  </si>
  <si>
    <t>Collateral ratio of tranche of gold is: 0.7974972379768134</t>
  </si>
  <si>
    <t xml:space="preserve"> collateral ratio of tranche of Treausry Bill Option is: 0.348907191306787</t>
  </si>
  <si>
    <t xml:space="preserve"> collateral ratio of tranche of Collar of REIT is: 0.3535853383945388
</t>
  </si>
  <si>
    <t xml:space="preserve"> 0.3535853383945388
</t>
  </si>
  <si>
    <t xml:space="preserve"> current price of reit option is: 4.919300442308099</t>
  </si>
  <si>
    <t xml:space="preserve"> predicted price of reit is: 78.56723271117082
</t>
  </si>
  <si>
    <t xml:space="preserve"> 78.56723271117082
</t>
  </si>
  <si>
    <t>value_ratio_gold_to_total is: 0.16035406090451185</t>
  </si>
  <si>
    <t xml:space="preserve"> risk_ratio_to_gold is: 0.7721204868203025</t>
  </si>
  <si>
    <t xml:space="preserve"> risk_ratio_to_gold_before is: 0.7718230064893042
</t>
  </si>
  <si>
    <t xml:space="preserve"> 0.7718230064893042
</t>
  </si>
  <si>
    <t>value_ratio_tb_to_total is: 0.37687742823916703</t>
  </si>
  <si>
    <t xml:space="preserve"> risk_ratio_tb_to_gold is: 0.14095507066259336</t>
  </si>
  <si>
    <t xml:space="preserve"> risk_ratio_tb_to_gold_before is: 0.14143477610687263
</t>
  </si>
  <si>
    <t xml:space="preserve"> 0.14143477610687263
</t>
  </si>
  <si>
    <t>value_ratio_reit_to_total is: 0.4627685108563211</t>
  </si>
  <si>
    <t xml:space="preserve"> risk_ratio_reit_to_gold is: 0.15417958392756845</t>
  </si>
  <si>
    <t xml:space="preserve"> risk_ratio_reit_to_gold_before is: 0.15419905651049945
</t>
  </si>
  <si>
    <t xml:space="preserve"> 0.15419905651049945
</t>
  </si>
  <si>
    <t xml:space="preserve"> delta_reit is: 1.0000426297492688
</t>
  </si>
  <si>
    <t xml:space="preserve"> 1.0000426297492688
</t>
  </si>
  <si>
    <t>delta_gold_risk is: 1.0001678950605726</t>
  </si>
  <si>
    <t xml:space="preserve"> delta_tb_risk is: 0.9995797346862731</t>
  </si>
  <si>
    <t xml:space="preserve"> delta_reit_risk is: 0.9999831289214619
</t>
  </si>
  <si>
    <t xml:space="preserve"> 0.9999831289214619
</t>
  </si>
  <si>
    <t xml:space="preserve">collateral_ratio_tranche_gold is: 0.7973633646064144
</t>
  </si>
  <si>
    <t xml:space="preserve"> 0.7973633646064144
</t>
  </si>
  <si>
    <t xml:space="preserve">collateral_ratio_tranche_tb is: 0.34905388654792463
</t>
  </si>
  <si>
    <t xml:space="preserve"> 0.34905388654792463
</t>
  </si>
  <si>
    <t xml:space="preserve">collateral_ratio_tranche_reit is: 0.35360637736982387
</t>
  </si>
  <si>
    <t xml:space="preserve"> 0.35360637736982387
</t>
  </si>
  <si>
    <t>Total plot size is: 150462368.8043075</t>
  </si>
  <si>
    <t xml:space="preserve"> plot size of gold is: 79995290.85938914</t>
  </si>
  <si>
    <t xml:space="preserve"> plot size of TB is: 34998155.38211361</t>
  </si>
  <si>
    <t xml:space="preserve"> plot size of REIT is: 35468922.56280475
</t>
  </si>
  <si>
    <t xml:space="preserve"> 35468922.56280475
</t>
  </si>
  <si>
    <t xml:space="preserve">collateral ratio is: 1.4999305800515634
</t>
  </si>
  <si>
    <t xml:space="preserve"> 1.4999305800515634
</t>
  </si>
  <si>
    <t>S_gtbcps_0 is: 0.9999625864084265</t>
  </si>
  <si>
    <t>change_of_collaterals is: 2.220446049250313e-16</t>
  </si>
  <si>
    <t xml:space="preserve">stdev_gtbcps is: 0.006082301998856927
</t>
  </si>
  <si>
    <t xml:space="preserve"> 0.006082301998856927
</t>
  </si>
  <si>
    <t>predicted price of GTBCPS is: 0.9999954996290721</t>
  </si>
  <si>
    <t xml:space="preserve"> actual price is: 0.9999625864084265
</t>
  </si>
  <si>
    <t xml:space="preserve"> 0.9999625864084265
</t>
  </si>
  <si>
    <t>predicted amount of GTBCPS is: 100313339.7938008</t>
  </si>
  <si>
    <t xml:space="preserve"> actual amount is: 100316641.55241776
</t>
  </si>
  <si>
    <t>plot sizes of gold is: 79995290.85938914</t>
  </si>
  <si>
    <t xml:space="preserve"> plot sizes of tb is: 34998155.38211361 </t>
  </si>
  <si>
    <t xml:space="preserve"> plot sizes of reit is: 35468922.56280475</t>
  </si>
  <si>
    <t xml:space="preserve"> plot sizes of total is: 150462368.80430752.
</t>
  </si>
  <si>
    <t xml:space="preserve"> 150462368.80430752.
</t>
  </si>
  <si>
    <t>predicted stdevs of gold is: 0.006027280616325229</t>
  </si>
  <si>
    <t xml:space="preserve"> predicted stdevs of tb is: 0.0007424097681969705</t>
  </si>
  <si>
    <t xml:space="preserve"> predicted stdevs of reit is: 0.011475412803753084</t>
  </si>
  <si>
    <t xml:space="preserve"> predicted stdevs of GTBCPS is: 0.006082301998856927.
</t>
  </si>
  <si>
    <t xml:space="preserve"> 0.006082301998856927.
</t>
  </si>
  <si>
    <t>total_value_of_collaterals is: 150463505.0927985</t>
  </si>
  <si>
    <t xml:space="preserve"> createdtionValue_gold is: -2633.0300569910964</t>
  </si>
  <si>
    <t xml:space="preserve"> createdValue_tb is: -1151.949427077548</t>
  </si>
  <si>
    <t xml:space="preserve"> createdValue_reit is: -1167.4443460864338
</t>
  </si>
  <si>
    <t xml:space="preserve"> -1167.4443460864338
</t>
  </si>
  <si>
    <t>plotValue_gold_after_creation is: 79998801.56823434</t>
  </si>
  <si>
    <t xml:space="preserve"> plotValue_tb_after_creation  is: 34999438.53232269</t>
  </si>
  <si>
    <t xml:space="preserve"> plotValue_reit_after_creation  is: 35470217.416071646</t>
  </si>
  <si>
    <t xml:space="preserve">total_value_after_creation is: 150468457.51662868
</t>
  </si>
  <si>
    <t xml:space="preserve"> 150468457.51662868
</t>
  </si>
  <si>
    <t>total_amount_gtncps_before_creation is: 100316641.55241776</t>
  </si>
  <si>
    <t>creation_amount_gtbcps is: -3301.758616954088</t>
  </si>
  <si>
    <t xml:space="preserve">total_amount_gtbcps_new is: 100313339.7938008
</t>
  </si>
  <si>
    <t xml:space="preserve"> 100313339.7938008
</t>
  </si>
  <si>
    <t>payout of tranche of gold is: 877.678788195608</t>
  </si>
  <si>
    <t xml:space="preserve"> payout of tranche of Treausry Bill Option is: 131.20078200076745</t>
  </si>
  <si>
    <t xml:space="preserve"> payout of tranche of Collar of REIT is: 127.40892080785845
</t>
  </si>
  <si>
    <t xml:space="preserve"> 127.40892080785845
</t>
  </si>
  <si>
    <t>Collateral size of tranche of gold is: 79998801.56823434</t>
  </si>
  <si>
    <t xml:space="preserve"> collateral size of tranche of Treausry Bill Option is: 34999438.53232269</t>
  </si>
  <si>
    <t xml:space="preserve"> collateral size of tranche of Collar of REIT is: 35470217.416071646
</t>
  </si>
  <si>
    <t xml:space="preserve"> 35470217.416071646
</t>
  </si>
  <si>
    <t>Collateral ratio of tranche of gold is: 0.797466505617954</t>
  </si>
  <si>
    <t xml:space="preserve"> collateral ratio of tranche of Treausry Bill Option is: 0.3488912258411195</t>
  </si>
  <si>
    <t xml:space="preserve"> collateral ratio of tranche of Collar of REIT is: 0.35358417603515185
</t>
  </si>
  <si>
    <t xml:space="preserve"> 0.35358417603515185
</t>
  </si>
  <si>
    <t xml:space="preserve"> current price of reit option is: 4.935040331147761</t>
  </si>
  <si>
    <t xml:space="preserve"> predicted price of reit is: 78.49865874878219
</t>
  </si>
  <si>
    <t xml:space="preserve"> 78.49865874878219
</t>
  </si>
  <si>
    <t>value_ratio_gold_to_total is: 0.1610653433558329</t>
  </si>
  <si>
    <t xml:space="preserve"> risk_ratio_to_gold is: 0.7716704806047342</t>
  </si>
  <si>
    <t xml:space="preserve"> risk_ratio_to_gold_before is: 0.7721204868203025
</t>
  </si>
  <si>
    <t xml:space="preserve"> 0.7721204868203025
</t>
  </si>
  <si>
    <t>value_ratio_tb_to_total is: 0.3785491433145037</t>
  </si>
  <si>
    <t xml:space="preserve"> risk_ratio_tb_to_gold is: 0.14130647667503612</t>
  </si>
  <si>
    <t xml:space="preserve"> risk_ratio_tb_to_gold_before is: 0.14095507066259336
</t>
  </si>
  <si>
    <t xml:space="preserve"> 0.14095507066259336
</t>
  </si>
  <si>
    <t>value_ratio_reit_to_total is: 0.46038551332966343</t>
  </si>
  <si>
    <t xml:space="preserve"> risk_ratio_reit_to_gold is: 0.15458344672378452</t>
  </si>
  <si>
    <t xml:space="preserve"> risk_ratio_reit_to_gold_before is: 0.15417958392756845
</t>
  </si>
  <si>
    <t xml:space="preserve"> 0.15417958392756845
</t>
  </si>
  <si>
    <t xml:space="preserve"> delta_reit is: 1.0001899363063964
</t>
  </si>
  <si>
    <t xml:space="preserve"> 1.0001899363063964
</t>
  </si>
  <si>
    <t>delta_gold_risk is: 0.9997460634201144</t>
  </si>
  <si>
    <t xml:space="preserve"> delta_tb_risk is: 1.0003079928574565</t>
  </si>
  <si>
    <t xml:space="preserve"> delta_reit_risk is: 1.000349913307981
</t>
  </si>
  <si>
    <t xml:space="preserve"> 1.000349913307981
</t>
  </si>
  <si>
    <t xml:space="preserve">collateral_ratio_tranche_gold is: 0.7976690629716855
</t>
  </si>
  <si>
    <t xml:space="preserve"> 0.7976690629716855
</t>
  </si>
  <si>
    <t xml:space="preserve">collateral_ratio_tranche_tb is: 0.3487838029210233
</t>
  </si>
  <si>
    <t xml:space="preserve"> 0.3487838029210233
</t>
  </si>
  <si>
    <t xml:space="preserve">collateral_ratio_tranche_reit is: 0.35352763048490254
</t>
  </si>
  <si>
    <t xml:space="preserve"> 0.35352763048490254
</t>
  </si>
  <si>
    <t>Total plot size is: 150475194.59871176</t>
  </si>
  <si>
    <t xml:space="preserve"> plot size of gold is: 79998801.56823434</t>
  </si>
  <si>
    <t xml:space="preserve"> plot size of TB is: 34999438.53232269</t>
  </si>
  <si>
    <t xml:space="preserve"> plot size of REIT is: 35476954.49815473
</t>
  </si>
  <si>
    <t xml:space="preserve"> 35476954.49815473
</t>
  </si>
  <si>
    <t xml:space="preserve">collateral ratio is: 1.5000584379431627
</t>
  </si>
  <si>
    <t xml:space="preserve"> 1.5000584379431627
</t>
  </si>
  <si>
    <t>S_gtbcps_0 is: 0.9999954996290721</t>
  </si>
  <si>
    <t xml:space="preserve">stdev_gtbcps is: 0.006071163999174761
</t>
  </si>
  <si>
    <t xml:space="preserve"> 0.006071163999174761
</t>
  </si>
  <si>
    <t>predicted price of GTBCPS is: 1.000011159730673</t>
  </si>
  <si>
    <t xml:space="preserve"> actual price is: 0.9999954996290721
</t>
  </si>
  <si>
    <t xml:space="preserve"> 0.9999954996290721
</t>
  </si>
  <si>
    <t>predicted amount of GTBCPS is: 100315676.90320466</t>
  </si>
  <si>
    <t xml:space="preserve"> actual amount is: 100313339.7938008
</t>
  </si>
  <si>
    <t>plot sizes of gold is: 79998801.56823434</t>
  </si>
  <si>
    <t xml:space="preserve"> plot sizes of tb is: 34999438.53232269 </t>
  </si>
  <si>
    <t xml:space="preserve"> plot sizes of reit is: 35476954.49815473</t>
  </si>
  <si>
    <t xml:space="preserve"> plot sizes of total is: 150475194.59871176.
</t>
  </si>
  <si>
    <t xml:space="preserve"> 150475194.59871176.
</t>
  </si>
  <si>
    <t>predicted stdevs of gold is: 0.006048096782531313</t>
  </si>
  <si>
    <t xml:space="preserve"> predicted stdevs of tb is: 0.000745731351748383</t>
  </si>
  <si>
    <t xml:space="preserve"> predicted stdevs of reit is: 0.011376932347988504</t>
  </si>
  <si>
    <t xml:space="preserve"> predicted stdevs of GTBCPS is: 0.006071163999174761.
</t>
  </si>
  <si>
    <t xml:space="preserve"> 0.006071163999174761.
</t>
  </si>
  <si>
    <t>total_value_of_collaterals is: 150475735.19165453</t>
  </si>
  <si>
    <t xml:space="preserve"> createdtionValue_gold is: 1863.7857329223561</t>
  </si>
  <si>
    <t xml:space="preserve"> createdValue_tb is: 815.402589440869</t>
  </si>
  <si>
    <t xml:space="preserve"> createdValue_reit is: 826.5275001899531
</t>
  </si>
  <si>
    <t xml:space="preserve"> 826.5275001899531
</t>
  </si>
  <si>
    <t>plotValue_gold_after_creation is: 79997355.3742947</t>
  </si>
  <si>
    <t xml:space="preserve"> plotValue_tb_after_creation  is: 34998685.507879004</t>
  </si>
  <si>
    <t xml:space="preserve"> plotValue_reit_after_creation  is: 35476188.59365827</t>
  </si>
  <si>
    <t xml:space="preserve">total_value_after_creation is: 150472229.475832
</t>
  </si>
  <si>
    <t xml:space="preserve"> 150472229.475832
</t>
  </si>
  <si>
    <t>total_amount_gtncps_before_creation is: 100313339.7938008</t>
  </si>
  <si>
    <t>creation_amount_gtbcps is: 2337.1094038635492</t>
  </si>
  <si>
    <t xml:space="preserve">total_amount_gtbcps_new is: 100315676.90320466
</t>
  </si>
  <si>
    <t xml:space="preserve"> 100315676.90320466
</t>
  </si>
  <si>
    <t>payout of tranche of gold is: 417.59179328863223</t>
  </si>
  <si>
    <t xml:space="preserve"> payout of tranche of Treausry Bill Option is: 62.37814575175928</t>
  </si>
  <si>
    <t xml:space="preserve"> payout of tranche of Collar of REIT is: 60.62300372826629
</t>
  </si>
  <si>
    <t xml:space="preserve"> 60.62300372826629
</t>
  </si>
  <si>
    <t>Collateral size of tranche of gold is: 79997355.3742947</t>
  </si>
  <si>
    <t xml:space="preserve"> collateral size of tranche of Treausry Bill Option is: 34998685.507879004</t>
  </si>
  <si>
    <t xml:space="preserve"> collateral size of tranche of Collar of REIT is: 35476188.59365827
</t>
  </si>
  <si>
    <t xml:space="preserve"> 35476188.59365827
</t>
  </si>
  <si>
    <t>Collateral ratio of tranche of gold is: 0.7974658485078228</t>
  </si>
  <si>
    <t xml:space="preserve"> collateral ratio of tranche of Treausry Bill Option is: 0.3488897389746397</t>
  </si>
  <si>
    <t xml:space="preserve"> collateral ratio of tranche of Collar of REIT is: 0.35364980137525787
</t>
  </si>
  <si>
    <t xml:space="preserve"> 0.35364980137525787
</t>
  </si>
  <si>
    <t xml:space="preserve"> current price of reit option is: 4.92553516464676</t>
  </si>
  <si>
    <t xml:space="preserve"> predicted price of reit is: 78.49449797493953
</t>
  </si>
  <si>
    <t xml:space="preserve"> 78.49449797493953
</t>
  </si>
  <si>
    <t>value_ratio_gold_to_total is: 0.1612503503820238</t>
  </si>
  <si>
    <t xml:space="preserve"> risk_ratio_to_gold is: 0.771629266542362</t>
  </si>
  <si>
    <t xml:space="preserve"> risk_ratio_to_gold_before is: 0.7716704806047342
</t>
  </si>
  <si>
    <t xml:space="preserve"> 0.7716704806047342
</t>
  </si>
  <si>
    <t>value_ratio_tb_to_total is: 0.3789839621887106</t>
  </si>
  <si>
    <t xml:space="preserve"> risk_ratio_tb_to_gold is: 0.14115033411235786</t>
  </si>
  <si>
    <t xml:space="preserve"> risk_ratio_tb_to_gold_before is: 0.14130647667503612
</t>
  </si>
  <si>
    <t xml:space="preserve"> 0.14130647667503612
</t>
  </si>
  <si>
    <t>value_ratio_reit_to_total is: 0.4597656874292656</t>
  </si>
  <si>
    <t xml:space="preserve"> risk_ratio_reit_to_gold is: 0.15480880502314645</t>
  </si>
  <si>
    <t xml:space="preserve"> risk_ratio_reit_to_gold_before is: 0.15458344672378452
</t>
  </si>
  <si>
    <t xml:space="preserve"> 0.15458344672378452
</t>
  </si>
  <si>
    <t xml:space="preserve"> delta_reit is: 0.9998853210849264
</t>
  </si>
  <si>
    <t xml:space="preserve"> 0.9998853210849264
</t>
  </si>
  <si>
    <t>delta_gold_risk is: 0.9999767371738574</t>
  </si>
  <si>
    <t xml:space="preserve"> delta_tb_risk is: 0.9998631896288427</t>
  </si>
  <si>
    <t xml:space="preserve"> delta_reit_risk is: 1.0001951858048903
</t>
  </si>
  <si>
    <t xml:space="preserve"> 1.0001951858048903
</t>
  </si>
  <si>
    <t xml:space="preserve">collateral_ratio_tranche_gold is: 0.7974844002487772
</t>
  </si>
  <si>
    <t xml:space="preserve"> 0.7974844002487772
</t>
  </si>
  <si>
    <t xml:space="preserve">collateral_ratio_tranche_tb is: 0.34893747724041163
</t>
  </si>
  <si>
    <t xml:space="preserve"> 0.34893747724041163
</t>
  </si>
  <si>
    <t xml:space="preserve">collateral_ratio_tranche_reit is: 0.3535402391635779
</t>
  </si>
  <si>
    <t xml:space="preserve"> 0.3535402391635779
</t>
  </si>
  <si>
    <t>Total plot size is: 150468161.1050131</t>
  </si>
  <si>
    <t xml:space="preserve"> plot size of gold is: 79997355.3742947</t>
  </si>
  <si>
    <t xml:space="preserve"> plot size of TB is: 34998685.507879004</t>
  </si>
  <si>
    <t xml:space="preserve"> plot size of REIT is: 35472120.2228394
</t>
  </si>
  <si>
    <t xml:space="preserve"> 35472120.2228394
</t>
  </si>
  <si>
    <t xml:space="preserve">collateral ratio is: 1.499929887177909
</t>
  </si>
  <si>
    <t xml:space="preserve"> 1.499929887177909
</t>
  </si>
  <si>
    <t>S_gtbcps_0 is: 1.000011159730673</t>
  </si>
  <si>
    <t xml:space="preserve">stdev_gtbcps is: 0.006096431318938882
</t>
  </si>
  <si>
    <t xml:space="preserve"> 0.006096431318938882
</t>
  </si>
  <si>
    <t>predicted price of GTBCPS is: 0.9999991375916667</t>
  </si>
  <si>
    <t xml:space="preserve"> actual price is: 1.000011159730673
</t>
  </si>
  <si>
    <t xml:space="preserve"> 1.000011159730673
</t>
  </si>
  <si>
    <t>predicted amount of GTBCPS is: 100316882.91325697</t>
  </si>
  <si>
    <t xml:space="preserve"> actual amount is: 100315676.90320466
</t>
  </si>
  <si>
    <t>plot sizes of gold is: 79997355.3742947</t>
  </si>
  <si>
    <t xml:space="preserve"> plot sizes of tb is: 34998685.507879004 </t>
  </si>
  <si>
    <t xml:space="preserve"> plot sizes of reit is: 35472120.2228394</t>
  </si>
  <si>
    <t xml:space="preserve"> plot sizes of total is: 150468161.1050131.
</t>
  </si>
  <si>
    <t xml:space="preserve"> 150468161.1050131.
</t>
  </si>
  <si>
    <t>predicted stdevs of gold is: 0.006069229225950926</t>
  </si>
  <si>
    <t xml:space="preserve"> predicted stdevs of tb is: 0.0007463987501030769</t>
  </si>
  <si>
    <t xml:space="preserve"> predicted stdevs of reit is: 0.011436405406851301</t>
  </si>
  <si>
    <t xml:space="preserve"> predicted stdevs of GTBCPS is: 0.006096431318938882.
</t>
  </si>
  <si>
    <t xml:space="preserve"> 0.006096431318938882.
</t>
  </si>
  <si>
    <t>total_value_of_collaterals is: 150467746.0631026</t>
  </si>
  <si>
    <t xml:space="preserve"> createdtionValue_gold is: 961.7247396141227</t>
  </si>
  <si>
    <t xml:space="preserve"> createdValue_tb is: 420.753790729379</t>
  </si>
  <si>
    <t xml:space="preserve"> createdValue_reit is: 426.44544167830657
</t>
  </si>
  <si>
    <t xml:space="preserve"> 426.44544167830657
</t>
  </si>
  <si>
    <t>plotValue_gold_after_creation is: 79996073.05451792</t>
  </si>
  <si>
    <t xml:space="preserve"> plotValue_tb_after_creation  is: 34998216.84389419</t>
  </si>
  <si>
    <t xml:space="preserve"> plotValue_reit_after_creation  is: 35471647.24071846</t>
  </si>
  <si>
    <t xml:space="preserve">total_value_after_creation is: 150465937.13913056
</t>
  </si>
  <si>
    <t xml:space="preserve"> 150465937.13913056
</t>
  </si>
  <si>
    <t>total_amount_gtncps_before_creation is: 100315676.90320466</t>
  </si>
  <si>
    <t>creation_amount_gtbcps is: 1206.0100523084402</t>
  </si>
  <si>
    <t xml:space="preserve">total_amount_gtbcps_new is: 100316882.91325697
</t>
  </si>
  <si>
    <t xml:space="preserve"> 100316882.91325697
</t>
  </si>
  <si>
    <t>payout of tranche of gold is: -320.5950371653845</t>
  </si>
  <si>
    <t xml:space="preserve"> payout of tranche of Treausry Bill Option is: -47.910194086174684</t>
  </si>
  <si>
    <t xml:space="preserve"> payout of tranche of Collar of REIT is: -46.536679257173766
</t>
  </si>
  <si>
    <t xml:space="preserve"> -46.536679257173766
</t>
  </si>
  <si>
    <t>Collateral size of tranche of gold is: 79996073.05451792</t>
  </si>
  <si>
    <t xml:space="preserve"> collateral size of tranche of Treausry Bill Option is: 34998216.84389419</t>
  </si>
  <si>
    <t xml:space="preserve"> collateral size of tranche of Collar of REIT is: 35471647.24071846
</t>
  </si>
  <si>
    <t xml:space="preserve"> 35471647.24071846
</t>
  </si>
  <si>
    <t>Collateral ratio of tranche of gold is: 0.7974440736819861</t>
  </si>
  <si>
    <t xml:space="preserve"> collateral ratio of tranche of Treausry Bill Option is: 0.3488811331098742</t>
  </si>
  <si>
    <t xml:space="preserve"> collateral ratio of tranche of Collar of REIT is: 0.35360054307379996
</t>
  </si>
  <si>
    <t xml:space="preserve"> 0.35360054307379996
</t>
  </si>
  <si>
    <t xml:space="preserve"> current price of reit option is: 4.91781213969179</t>
  </si>
  <si>
    <t xml:space="preserve"> predicted price of reit is: 78.52527663773175
</t>
  </si>
  <si>
    <t xml:space="preserve"> 78.52527663773175
</t>
  </si>
  <si>
    <t>value_ratio_gold_to_total is: 0.16093847318852622</t>
  </si>
  <si>
    <t xml:space="preserve"> risk_ratio_to_gold is: 0.7693493323082957</t>
  </si>
  <si>
    <t xml:space="preserve"> risk_ratio_to_gold_before is: 0.771629266542362
</t>
  </si>
  <si>
    <t xml:space="preserve"> 0.771629266542362
</t>
  </si>
  <si>
    <t>value_ratio_tb_to_total is: 0.3782509625131875</t>
  </si>
  <si>
    <t xml:space="preserve"> risk_ratio_tb_to_gold is: 0.14297539830350328</t>
  </si>
  <si>
    <t xml:space="preserve"> risk_ratio_tb_to_gold_before is: 0.14115033411235786
</t>
  </si>
  <si>
    <t xml:space="preserve"> 0.14115033411235786
</t>
  </si>
  <si>
    <t>value_ratio_reit_to_total is: 0.46081056429828626</t>
  </si>
  <si>
    <t xml:space="preserve"> risk_ratio_reit_to_gold is: 0.1568242609743933</t>
  </si>
  <si>
    <t xml:space="preserve"> risk_ratio_reit_to_gold_before is: 0.15480880502314645
</t>
  </si>
  <si>
    <t xml:space="preserve"> 0.15480880502314645
</t>
  </si>
  <si>
    <t xml:space="preserve"> delta_reit is: 0.9999068117636932
</t>
  </si>
  <si>
    <t xml:space="preserve"> 0.9999068117636932
</t>
  </si>
  <si>
    <t>delta_gold_risk is: 0.9987130861534502</t>
  </si>
  <si>
    <t xml:space="preserve"> delta_tb_risk is: 1.0015993196834712</t>
  </si>
  <si>
    <t xml:space="preserve"> delta_reit_risk is: 1.0017452724143425
</t>
  </si>
  <si>
    <t xml:space="preserve"> 1.0017452724143425
</t>
  </si>
  <si>
    <t xml:space="preserve">collateral_ratio_tranche_gold is: 0.7984716378888627
</t>
  </si>
  <si>
    <t xml:space="preserve"> 0.7984716378888627
</t>
  </si>
  <si>
    <t xml:space="preserve">collateral_ratio_tranche_tb is: 0.3483240515979272
</t>
  </si>
  <si>
    <t xml:space="preserve"> 0.3483240515979272
</t>
  </si>
  <si>
    <t xml:space="preserve">collateral_ratio_tranche_reit is: 0.3529515949805161
</t>
  </si>
  <si>
    <t xml:space="preserve"> 0.3529515949805161
</t>
  </si>
  <si>
    <t>Total plot size is: 150462631.59888533</t>
  </si>
  <si>
    <t xml:space="preserve"> plot size of gold is: 79996073.05451792</t>
  </si>
  <si>
    <t xml:space="preserve"> plot size of TB is: 34998216.84389419</t>
  </si>
  <si>
    <t xml:space="preserve"> plot size of REIT is: 35468341.700473204
</t>
  </si>
  <si>
    <t xml:space="preserve"> 35468341.700473204
</t>
  </si>
  <si>
    <t xml:space="preserve">collateral ratio is: 1.4998747667362058
</t>
  </si>
  <si>
    <t xml:space="preserve"> 1.4998747667362058
</t>
  </si>
  <si>
    <t>S_gtbcps_0 is: 0.9999991375916667</t>
  </si>
  <si>
    <t>change_of_collaterals is: -2.220446049250313e-16</t>
  </si>
  <si>
    <t xml:space="preserve">stdev_gtbcps is: 0.006064283383263553
</t>
  </si>
  <si>
    <t xml:space="preserve"> 0.006064283383263553
</t>
  </si>
  <si>
    <t>predicted price of GTBCPS is: 0.9999944447822092</t>
  </si>
  <si>
    <t xml:space="preserve"> actual price is: 0.9999991375916667
</t>
  </si>
  <si>
    <t xml:space="preserve"> 0.9999991375916667
</t>
  </si>
  <si>
    <t>predicted amount of GTBCPS is: 100317353.68388908</t>
  </si>
  <si>
    <t xml:space="preserve"> actual amount is: 100316882.91325697
</t>
  </si>
  <si>
    <t>plot sizes of gold is: 79996073.05451792</t>
  </si>
  <si>
    <t xml:space="preserve"> plot sizes of tb is: 34998216.84389419 </t>
  </si>
  <si>
    <t xml:space="preserve"> plot sizes of reit is: 35468341.700473204</t>
  </si>
  <si>
    <t xml:space="preserve"> plot sizes of total is: 150462631.5988853.
</t>
  </si>
  <si>
    <t xml:space="preserve"> 150462631.5988853.
</t>
  </si>
  <si>
    <t>predicted stdevs of gold is: 0.005985942705720946</t>
  </si>
  <si>
    <t xml:space="preserve"> predicted stdevs of tb is: 0.0007500956733228323</t>
  </si>
  <si>
    <t xml:space="preserve"> predicted stdevs of reit is: 0.011484724011953462</t>
  </si>
  <si>
    <t xml:space="preserve"> predicted stdevs of GTBCPS is: 0.006064283383263553.
</t>
  </si>
  <si>
    <t xml:space="preserve"> 0.006064283383263553.
</t>
  </si>
  <si>
    <t>total_value_of_collaterals is: 150462469.64234948</t>
  </si>
  <si>
    <t xml:space="preserve"> createdtionValue_gold is: 375.4060646473237</t>
  </si>
  <si>
    <t xml:space="preserve"> createdValue_tb is: 164.24001701506205</t>
  </si>
  <si>
    <t xml:space="preserve"> createdValue_reit is: 166.4462277950953
</t>
  </si>
  <si>
    <t xml:space="preserve"> 166.4462277950953
</t>
  </si>
  <si>
    <t>plotValue_gold_after_creation is: 79995572.50186704</t>
  </si>
  <si>
    <t xml:space="preserve"> plotValue_tb_after_creation  is: 34998033.93208165</t>
  </si>
  <si>
    <t xml:space="preserve"> plotValue_reit_after_creation  is: 35468157.11609134</t>
  </si>
  <si>
    <t xml:space="preserve">total_value_after_creation is: 150461763.55004004
</t>
  </si>
  <si>
    <t xml:space="preserve"> 150461763.55004004
</t>
  </si>
  <si>
    <t>total_amount_gtncps_before_creation is: 100316882.91325697</t>
  </si>
  <si>
    <t>creation_amount_gtbcps is: 470.7706321030855</t>
  </si>
  <si>
    <t xml:space="preserve">total_amount_gtbcps_new is: 100317353.68388908
</t>
  </si>
  <si>
    <t xml:space="preserve"> 100317353.68388908
</t>
  </si>
  <si>
    <t>payout of tranche of gold is: -125.14658623246763</t>
  </si>
  <si>
    <t xml:space="preserve"> payout of tranche of Treausry Bill Option is: -18.671795531498027</t>
  </si>
  <si>
    <t xml:space="preserve"> payout of tranche of Collar of REIT is: -18.13815406830685
</t>
  </si>
  <si>
    <t xml:space="preserve"> -18.13815406830685
</t>
  </si>
  <si>
    <t>Collateral size of tranche of gold is: 79995572.50186704</t>
  </si>
  <si>
    <t xml:space="preserve"> collateral size of tranche of Treausry Bill Option is: 34998033.93208165</t>
  </si>
  <si>
    <t xml:space="preserve"> collateral size of tranche of Collar of REIT is: 35468157.11609134
</t>
  </si>
  <si>
    <t xml:space="preserve"> 35468157.11609134
</t>
  </si>
  <si>
    <t>Collateral ratio of tranche of gold is: 0.7974332392916861</t>
  </si>
  <si>
    <t xml:space="preserve"> collateral ratio of tranche of Treausry Bill Option is: 0.3488767527308945</t>
  </si>
  <si>
    <t xml:space="preserve"> collateral ratio of tranche of Collar of REIT is: 0.35356316026278917
</t>
  </si>
  <si>
    <t xml:space="preserve"> 0.35356316026278917
</t>
  </si>
  <si>
    <t xml:space="preserve"> current price of reit option is: 4.908956593273089</t>
  </si>
  <si>
    <t xml:space="preserve"> predicted price of reit is: 78.47007337193949
</t>
  </si>
  <si>
    <t xml:space="preserve"> 78.47007337193949
</t>
  </si>
  <si>
    <t>value_ratio_gold_to_total is: 0.16180800342740806</t>
  </si>
  <si>
    <t xml:space="preserve"> risk_ratio_to_gold is: 0.766576258500081</t>
  </si>
  <si>
    <t xml:space="preserve"> risk_ratio_to_gold_before is: 0.7693493323082957
</t>
  </si>
  <si>
    <t xml:space="preserve"> 0.7693493323082957
</t>
  </si>
  <si>
    <t>value_ratio_tb_to_total is: 0.3802946046782657</t>
  </si>
  <si>
    <t xml:space="preserve"> risk_ratio_tb_to_gold is: 0.14480504077351336</t>
  </si>
  <si>
    <t xml:space="preserve"> risk_ratio_tb_to_gold_before is: 0.14297539830350328
</t>
  </si>
  <si>
    <t xml:space="preserve"> 0.14297539830350328
</t>
  </si>
  <si>
    <t>value_ratio_reit_to_total is: 0.45789739189432627</t>
  </si>
  <si>
    <t xml:space="preserve"> risk_ratio_reit_to_gold is: 0.1596966169697708</t>
  </si>
  <si>
    <t xml:space="preserve"> risk_ratio_reit_to_gold_before is: 0.1568242609743933
</t>
  </si>
  <si>
    <t xml:space="preserve"> 0.1568242609743933
</t>
  </si>
  <si>
    <t xml:space="preserve"> delta_reit is: 0.9998931364761534
</t>
  </si>
  <si>
    <t xml:space="preserve"> 0.9998931364761534
</t>
  </si>
  <si>
    <t>delta_gold_risk is: 0.9984327154860952</t>
  </si>
  <si>
    <t xml:space="preserve"> delta_tb_risk is: 1.0016007715238016</t>
  </si>
  <si>
    <t xml:space="preserve"> delta_reit_risk is: 1.0024829665942157
</t>
  </si>
  <si>
    <t xml:space="preserve"> 1.0024829665942157
</t>
  </si>
  <si>
    <t xml:space="preserve">collateral_ratio_tranche_gold is: 0.7986850059329729
</t>
  </si>
  <si>
    <t xml:space="preserve"> 0.7986850059329729
</t>
  </si>
  <si>
    <t xml:space="preserve">collateral_ratio_tranche_tb is: 0.3483191733170545
</t>
  </si>
  <si>
    <t xml:space="preserve"> 0.3483191733170545
</t>
  </si>
  <si>
    <t xml:space="preserve">collateral_ratio_tranche_reit is: 0.35264975968482554
</t>
  </si>
  <si>
    <t xml:space="preserve"> 0.35264975968482554
</t>
  </si>
  <si>
    <t>Total plot size is: 150457973.29778627</t>
  </si>
  <si>
    <t xml:space="preserve"> plot size of gold is: 79995572.50186704</t>
  </si>
  <si>
    <t xml:space="preserve"> plot size of TB is: 34998033.93208165</t>
  </si>
  <si>
    <t xml:space="preserve"> plot size of REIT is: 35464366.86383757
</t>
  </si>
  <si>
    <t xml:space="preserve"> 35464366.86383757
</t>
  </si>
  <si>
    <t xml:space="preserve">collateral ratio is: 1.4998283308324862
</t>
  </si>
  <si>
    <t xml:space="preserve"> 1.4998283308324862
</t>
  </si>
  <si>
    <t>S_gtbcps_0 is: 0.9999944447822092</t>
  </si>
  <si>
    <t xml:space="preserve">stdev_gtbcps is: 0.006017168954597758
</t>
  </si>
  <si>
    <t xml:space="preserve"> 0.006017168954597758
</t>
  </si>
  <si>
    <t>predicted price of GTBCPS is: 0.9999834484837077</t>
  </si>
  <si>
    <t xml:space="preserve"> actual price is: 0.9999944447822092
</t>
  </si>
  <si>
    <t xml:space="preserve"> 0.9999944447822092
</t>
  </si>
  <si>
    <t>predicted amount of GTBCPS is: 100318456.82171367</t>
  </si>
  <si>
    <t xml:space="preserve"> actual amount is: 100317353.68388908
</t>
  </si>
  <si>
    <t>plot sizes of gold is: 79995572.50186704</t>
  </si>
  <si>
    <t xml:space="preserve"> plot sizes of tb is: 34998033.93208165 </t>
  </si>
  <si>
    <t xml:space="preserve"> plot sizes of reit is: 35464366.86383757</t>
  </si>
  <si>
    <t xml:space="preserve"> plot sizes of total is: 150457973.29778627.
</t>
  </si>
  <si>
    <t xml:space="preserve"> 150457973.29778627.
</t>
  </si>
  <si>
    <t>predicted stdevs of gold is: 0.005876132540375738</t>
  </si>
  <si>
    <t xml:space="preserve"> predicted stdevs of tb is: 0.0007429922109967947</t>
  </si>
  <si>
    <t xml:space="preserve"> predicted stdevs of reit is: 0.011540124040407196</t>
  </si>
  <si>
    <t xml:space="preserve"> predicted stdevs of GTBCPS is: 0.006017168954597758.
</t>
  </si>
  <si>
    <t xml:space="preserve"> 0.006017168954597758.
</t>
  </si>
  <si>
    <t>total_value_of_collaterals is: 150457593.8209704</t>
  </si>
  <si>
    <t xml:space="preserve"> createdtionValue_gold is: 879.656855977029</t>
  </si>
  <si>
    <t xml:space="preserve"> createdValue_tb is: 384.8504848634065</t>
  </si>
  <si>
    <t xml:space="preserve"> createdValue_reit is: 389.9784636654266
</t>
  </si>
  <si>
    <t xml:space="preserve"> 389.9784636654266
</t>
  </si>
  <si>
    <t>plotValue_gold_after_creation is: 79994399.58819766</t>
  </si>
  <si>
    <t xml:space="preserve"> plotValue_tb_after_creation  is: 34997605.32609194</t>
  </si>
  <si>
    <t xml:space="preserve"> plotValue_reit_after_creation  is: 35463934.42087627</t>
  </si>
  <si>
    <t xml:space="preserve">total_value_after_creation is: 150455939.33516586
</t>
  </si>
  <si>
    <t xml:space="preserve"> 150455939.33516586
</t>
  </si>
  <si>
    <t>total_amount_gtncps_before_creation is: 100317353.68388908</t>
  </si>
  <si>
    <t>creation_amount_gtbcps is: 1103.1378245949745</t>
  </si>
  <si>
    <t xml:space="preserve">total_amount_gtbcps_new is: 100318456.82171367
</t>
  </si>
  <si>
    <t xml:space="preserve"> 100318456.82171367
</t>
  </si>
  <si>
    <t>payout of tranche of gold is: -293.2568134022</t>
  </si>
  <si>
    <t xml:space="preserve"> payout of tranche of Treausry Bill Option is: -43.7555048450074</t>
  </si>
  <si>
    <t xml:space="preserve"> payout of tranche of Collar of REIT is: -42.46449763034003
</t>
  </si>
  <si>
    <t xml:space="preserve"> -42.46449763034003
</t>
  </si>
  <si>
    <t>Collateral size of tranche of gold is: 79994399.58819766</t>
  </si>
  <si>
    <t xml:space="preserve"> collateral size of tranche of Treausry Bill Option is: 34997605.32609194</t>
  </si>
  <si>
    <t xml:space="preserve"> collateral size of tranche of Collar of REIT is: 35463934.42087627
</t>
  </si>
  <si>
    <t xml:space="preserve"> 35463934.42087627
</t>
  </si>
  <si>
    <t>Collateral ratio of tranche of gold is: 0.7974265737790097</t>
  </si>
  <si>
    <t xml:space="preserve"> collateral ratio of tranche of Treausry Bill Option is: 0.34887467934409067</t>
  </si>
  <si>
    <t xml:space="preserve"> collateral ratio of tranche of Collar of REIT is: 0.35352329492495194
</t>
  </si>
  <si>
    <t xml:space="preserve"> 0.35352329492495194
</t>
  </si>
  <si>
    <t xml:space="preserve"> current price of reit option is: 4.9004347812688</t>
  </si>
  <si>
    <t xml:space="preserve"> predicted price of reit is: 78.48982141667693
</t>
  </si>
  <si>
    <t xml:space="preserve"> 78.48982141667693
</t>
  </si>
  <si>
    <t>value_ratio_gold_to_total is: 0.16165494087342938</t>
  </si>
  <si>
    <t xml:space="preserve"> risk_ratio_to_gold is: 0.7645870907367096</t>
  </si>
  <si>
    <t xml:space="preserve"> risk_ratio_to_gold_before is: 0.766576258500081
</t>
  </si>
  <si>
    <t xml:space="preserve"> 0.766576258500081
</t>
  </si>
  <si>
    <t>value_ratio_tb_to_total is: 0.37993486435502216</t>
  </si>
  <si>
    <t xml:space="preserve"> risk_ratio_tb_to_gold is: 0.14634875524096022</t>
  </si>
  <si>
    <t xml:space="preserve"> risk_ratio_tb_to_gold_before is: 0.14480504077351336
</t>
  </si>
  <si>
    <t xml:space="preserve"> 0.14480504077351336
</t>
  </si>
  <si>
    <t>value_ratio_reit_to_total is: 0.4584101947715485</t>
  </si>
  <si>
    <t xml:space="preserve"> risk_ratio_reit_to_gold is: 0.1615467247055568</t>
  </si>
  <si>
    <t xml:space="preserve"> risk_ratio_reit_to_gold_before is: 0.1596966169697708
</t>
  </si>
  <si>
    <t xml:space="preserve"> 0.1596966169697708
</t>
  </si>
  <si>
    <t xml:space="preserve"> delta_reit is: 0.9998971527960928
</t>
  </si>
  <si>
    <t xml:space="preserve"> 0.9998971527960928
</t>
  </si>
  <si>
    <t>delta_gold_risk is: 0.9988739983605008</t>
  </si>
  <si>
    <t xml:space="preserve"> delta_tb_risk is: 1.0013484518432971</t>
  </si>
  <si>
    <t xml:space="preserve"> delta_reit_risk is: 1.0015953377018727
</t>
  </si>
  <si>
    <t xml:space="preserve"> 1.0015953377018727
</t>
  </si>
  <si>
    <t xml:space="preserve">collateral_ratio_tranche_gold is: 0.7983254895891412
</t>
  </si>
  <si>
    <t xml:space="preserve"> 0.7983254895891412
</t>
  </si>
  <si>
    <t xml:space="preserve">collateral_ratio_tranche_tb is: 0.34840487215202354
</t>
  </si>
  <si>
    <t xml:space="preserve"> 0.34840487215202354
</t>
  </si>
  <si>
    <t xml:space="preserve">collateral_ratio_tranche_reit is: 0.3529239032338318
</t>
  </si>
  <si>
    <t xml:space="preserve"> 0.3529239032338318
</t>
  </si>
  <si>
    <t>Total plot size is: 150452291.96867114</t>
  </si>
  <si>
    <t xml:space="preserve"> plot size of gold is: 79994399.58819766</t>
  </si>
  <si>
    <t xml:space="preserve"> plot size of TB is: 34997605.32609194</t>
  </si>
  <si>
    <t xml:space="preserve"> plot size of REIT is: 35460287.054381534
</t>
  </si>
  <si>
    <t xml:space="preserve"> 35460287.054381534
</t>
  </si>
  <si>
    <t xml:space="preserve">collateral ratio is: 1.4997716969554185
</t>
  </si>
  <si>
    <t xml:space="preserve"> 1.4997716969554185
</t>
  </si>
  <si>
    <t>S_gtbcps_0 is: 0.9999834484837077</t>
  </si>
  <si>
    <t xml:space="preserve">stdev_gtbcps is: 0.006002055800322448
</t>
  </si>
  <si>
    <t xml:space="preserve"> 0.006002055800322448
</t>
  </si>
  <si>
    <t>predicted price of GTBCPS is: 0.999966042923228</t>
  </si>
  <si>
    <t xml:space="preserve"> actual price is: 0.9999834484837077
</t>
  </si>
  <si>
    <t xml:space="preserve"> 0.9999834484837077
</t>
  </si>
  <si>
    <t>predicted amount of GTBCPS is: 100320202.97997554</t>
  </si>
  <si>
    <t xml:space="preserve"> actual amount is: 100318456.82171367
</t>
  </si>
  <si>
    <t>plot sizes of gold is: 79994399.58819766</t>
  </si>
  <si>
    <t xml:space="preserve"> plot sizes of tb is: 34997605.32609194 </t>
  </si>
  <si>
    <t xml:space="preserve"> plot sizes of reit is: 35460287.054381534</t>
  </si>
  <si>
    <t xml:space="preserve"> plot sizes of total is: 150452291.96867114.
</t>
  </si>
  <si>
    <t xml:space="preserve"> 150452291.96867114.
</t>
  </si>
  <si>
    <t>predicted stdevs of gold is: 0.005822577808304174</t>
  </si>
  <si>
    <t xml:space="preserve"> predicted stdevs of tb is: 0.0007469941495884844</t>
  </si>
  <si>
    <t xml:space="preserve"> predicted stdevs of reit is: 0.011593432077773275</t>
  </si>
  <si>
    <t xml:space="preserve"> predicted stdevs of GTBCPS is: 0.006002055800322448.
</t>
  </si>
  <si>
    <t xml:space="preserve"> 0.006002055800322448.
</t>
  </si>
  <si>
    <t>total_value_of_collaterals is: 150451691.2265729</t>
  </si>
  <si>
    <t xml:space="preserve"> createdtionValue_gold is: 1392.3623260737093</t>
  </si>
  <si>
    <t xml:space="preserve"> createdValue_tb is: 609.1618128737011</t>
  </si>
  <si>
    <t xml:space="preserve"> createdValue_reit is: 617.2152160690246
</t>
  </si>
  <si>
    <t xml:space="preserve"> 617.2152160690246
</t>
  </si>
  <si>
    <t>plotValue_gold_after_creation is: 79992543.02367184</t>
  </si>
  <si>
    <t xml:space="preserve"> plotValue_tb_after_creation  is: 34996926.88618312</t>
  </si>
  <si>
    <t xml:space="preserve"> plotValue_reit_after_creation  is: 35459602.57736293</t>
  </si>
  <si>
    <t xml:space="preserve">total_value_after_creation is: 150449072.48721787
</t>
  </si>
  <si>
    <t xml:space="preserve"> 150449072.48721787
</t>
  </si>
  <si>
    <t>total_amount_gtncps_before_creation is: 100318456.82171367</t>
  </si>
  <si>
    <t>creation_amount_gtbcps is: 1746.1582618653774</t>
  </si>
  <si>
    <t xml:space="preserve">total_amount_gtbcps_new is: 100320202.97997554
</t>
  </si>
  <si>
    <t xml:space="preserve"> 100320202.97997554
</t>
  </si>
  <si>
    <t>payout of tranche of gold is: -464.20219975716856</t>
  </si>
  <si>
    <t xml:space="preserve"> payout of tranche of Treausry Bill Option is: -69.27809594483315</t>
  </si>
  <si>
    <t xml:space="preserve"> payout of tranche of Collar of REIT is: -67.26180253542377
</t>
  </si>
  <si>
    <t xml:space="preserve"> -67.26180253542377
</t>
  </si>
  <si>
    <t>Collateral size of tranche of gold is: 79992543.02367184</t>
  </si>
  <si>
    <t xml:space="preserve"> collateral size of tranche of Treausry Bill Option is: 34996926.88618312</t>
  </si>
  <si>
    <t xml:space="preserve"> collateral size of tranche of Collar of REIT is: 35459602.57736293
</t>
  </si>
  <si>
    <t xml:space="preserve"> 35459602.57736293
</t>
  </si>
  <si>
    <t>Collateral ratio of tranche of gold is: 0.7974131776269797</t>
  </si>
  <si>
    <t xml:space="preserve"> collateral ratio of tranche of Treausry Bill Option is: 0.3488701523994801</t>
  </si>
  <si>
    <t xml:space="preserve"> collateral ratio of tranche of Collar of REIT is: 0.35348237847916947
</t>
  </si>
  <si>
    <t xml:space="preserve"> 0.35348237847916947
</t>
  </si>
  <si>
    <t xml:space="preserve"> current price of reit option is: 4.89446684318041</t>
  </si>
  <si>
    <t xml:space="preserve"> predicted price of reit is: 78.59958769528218
</t>
  </si>
  <si>
    <t xml:space="preserve"> 78.59958769528218
</t>
  </si>
  <si>
    <t>value_ratio_gold_to_total is: 0.16025331422679454</t>
  </si>
  <si>
    <t xml:space="preserve"> risk_ratio_to_gold is: 0.764990575287059</t>
  </si>
  <si>
    <t xml:space="preserve"> risk_ratio_to_gold_before is: 0.7645870907367096
</t>
  </si>
  <si>
    <t xml:space="preserve"> 0.7645870907367096
</t>
  </si>
  <si>
    <t>value_ratio_tb_to_total is: 0.37664064503213396</t>
  </si>
  <si>
    <t xml:space="preserve"> risk_ratio_tb_to_gold is: 0.14640420348144625</t>
  </si>
  <si>
    <t xml:space="preserve"> risk_ratio_tb_to_gold_before is: 0.14634875524096022
</t>
  </si>
  <si>
    <t xml:space="preserve"> 0.14634875524096022
</t>
  </si>
  <si>
    <t>value_ratio_reit_to_total is: 0.4631060407410715</t>
  </si>
  <si>
    <t xml:space="preserve"> risk_ratio_reit_to_gold is: 0.1608014436270226</t>
  </si>
  <si>
    <t xml:space="preserve"> risk_ratio_reit_to_gold_before is: 0.1615467247055568
</t>
  </si>
  <si>
    <t xml:space="preserve"> 0.1615467247055568
</t>
  </si>
  <si>
    <t xml:space="preserve"> delta_reit is: 0.9999279673292706
</t>
  </si>
  <si>
    <t xml:space="preserve"> 0.9999279673292706
</t>
  </si>
  <si>
    <t>delta_gold_risk is: 1.0002286566372764</t>
  </si>
  <si>
    <t xml:space="preserve"> delta_tb_risk is: 1.000048369434025</t>
  </si>
  <si>
    <t xml:space="preserve"> delta_reit_risk is: 0.9993583718479141
</t>
  </si>
  <si>
    <t xml:space="preserve"> 0.9993583718479141
</t>
  </si>
  <si>
    <t xml:space="preserve">collateral_ratio_tranche_gold is: 0.7972308854935698
</t>
  </si>
  <si>
    <t xml:space="preserve"> 0.7972308854935698
</t>
  </si>
  <si>
    <t xml:space="preserve">collateral_ratio_tranche_tb is: 0.3488532785638382
</t>
  </si>
  <si>
    <t xml:space="preserve"> 0.3488532785638382
</t>
  </si>
  <si>
    <t xml:space="preserve">collateral_ratio_tranche_reit is: 0.35368384971430666
</t>
  </si>
  <si>
    <t xml:space="preserve"> 0.35368384971430666
</t>
  </si>
  <si>
    <t>Total plot size is: 150446518.23734123</t>
  </si>
  <si>
    <t xml:space="preserve"> plot size of gold is: 79992543.02367184</t>
  </si>
  <si>
    <t xml:space="preserve"> plot size of TB is: 34996926.88618312</t>
  </si>
  <si>
    <t xml:space="preserve"> plot size of REIT is: 35457048.327486284
</t>
  </si>
  <si>
    <t xml:space="preserve"> 35457048.327486284
</t>
  </si>
  <si>
    <t xml:space="preserve">collateral ratio is: 1.499714141974227
</t>
  </si>
  <si>
    <t xml:space="preserve"> 1.499714141974227
</t>
  </si>
  <si>
    <t>S_gtbcps_0 is: 0.999966042923228</t>
  </si>
  <si>
    <t xml:space="preserve">stdev_gtbcps is: 0.00602787166834139
</t>
  </si>
  <si>
    <t xml:space="preserve"> 0.00602787166834139
</t>
  </si>
  <si>
    <t>predicted price of GTBCPS is: 0.9999595436725806</t>
  </si>
  <si>
    <t xml:space="preserve"> actual price is: 0.999966042923228
</t>
  </si>
  <si>
    <t xml:space="preserve"> 0.999966042923228
</t>
  </si>
  <si>
    <t>predicted amount of GTBCPS is: 100320855.01249854</t>
  </si>
  <si>
    <t xml:space="preserve"> actual amount is: 100320202.97997554
</t>
  </si>
  <si>
    <t>plot sizes of gold is: 79992543.02367184</t>
  </si>
  <si>
    <t xml:space="preserve"> plot sizes of tb is: 34996926.88618312 </t>
  </si>
  <si>
    <t xml:space="preserve"> plot sizes of reit is: 35457048.327486284</t>
  </si>
  <si>
    <t xml:space="preserve"> plot sizes of total is: 150446518.23734123.
</t>
  </si>
  <si>
    <t xml:space="preserve"> 150446518.23734123.
</t>
  </si>
  <si>
    <t>predicted stdevs of gold is: 0.00585390554140764</t>
  </si>
  <si>
    <t xml:space="preserve"> predicted stdevs of tb is: 0.0007489521757249305</t>
  </si>
  <si>
    <t xml:space="preserve"> predicted stdevs of reit is: 0.01163076197606483</t>
  </si>
  <si>
    <t xml:space="preserve"> predicted stdevs of GTBCPS is: 0.00602787166834139.
</t>
  </si>
  <si>
    <t xml:space="preserve"> 0.00602787166834139.
</t>
  </si>
  <si>
    <t>total_value_of_collaterals is: 150446293.83504736</t>
  </si>
  <si>
    <t xml:space="preserve"> createdtionValue_gold is: 519.9081150314228</t>
  </si>
  <si>
    <t xml:space="preserve"> createdValue_tb is: 227.46135531192616</t>
  </si>
  <si>
    <t xml:space="preserve"> createdValue_reit is: 230.45190621865132
</t>
  </si>
  <si>
    <t xml:space="preserve"> 230.45190621865132
</t>
  </si>
  <si>
    <t>plotValue_gold_after_creation is: 79991849.77831665</t>
  </si>
  <si>
    <t xml:space="preserve"> plotValue_tb_after_creation  is: 34996673.524482705</t>
  </si>
  <si>
    <t xml:space="preserve"> plotValue_reit_after_creation  is: 35456792.71087146</t>
  </si>
  <si>
    <t xml:space="preserve">total_value_after_creation is: 150445316.0136708
</t>
  </si>
  <si>
    <t xml:space="preserve"> 150445316.0136708
</t>
  </si>
  <si>
    <t>total_amount_gtncps_before_creation is: 100320202.97997554</t>
  </si>
  <si>
    <t>creation_amount_gtbcps is: 652.0325230062008</t>
  </si>
  <si>
    <t xml:space="preserve">total_amount_gtbcps_new is: 100320855.01249854
</t>
  </si>
  <si>
    <t xml:space="preserve"> 100320855.01249854
</t>
  </si>
  <si>
    <t>payout of tranche of gold is: -173.3372401582493</t>
  </si>
  <si>
    <t xml:space="preserve"> payout of tranche of Treausry Bill Option is: -25.90034510016563</t>
  </si>
  <si>
    <t xml:space="preserve"> payout of tranche of Collar of REIT is: -25.164708603674118
</t>
  </si>
  <si>
    <t xml:space="preserve"> -25.164708603674118
</t>
  </si>
  <si>
    <t>Collateral size of tranche of gold is: 79991849.77831665</t>
  </si>
  <si>
    <t xml:space="preserve"> collateral size of tranche of Treausry Bill Option is: 34996673.524482705</t>
  </si>
  <si>
    <t xml:space="preserve"> collateral size of tranche of Collar of REIT is: 35456792.71087146
</t>
  </si>
  <si>
    <t xml:space="preserve"> 35456792.71087146
</t>
  </si>
  <si>
    <t>Collateral ratio of tranche of gold is: 0.7973975700754785</t>
  </si>
  <si>
    <t xml:space="preserve"> collateral ratio of tranche of Treausry Bill Option is: 0.3488638218329073</t>
  </si>
  <si>
    <t xml:space="preserve"> collateral ratio of tranche of Collar of REIT is: 0.35345051312943676
</t>
  </si>
  <si>
    <t xml:space="preserve"> 0.35345051312943676
</t>
  </si>
  <si>
    <t xml:space="preserve"> current price of reit option is: 4.897497352255087</t>
  </si>
  <si>
    <t xml:space="preserve"> predicted price of reit is: 78.48626478578464
</t>
  </si>
  <si>
    <t xml:space="preserve"> 78.48626478578464
</t>
  </si>
  <si>
    <t>value_ratio_gold_to_total is: 0.16174344793094245</t>
  </si>
  <si>
    <t xml:space="preserve"> risk_ratio_to_gold is: 0.7640808577182049</t>
  </si>
  <si>
    <t xml:space="preserve"> risk_ratio_to_gold_before is: 0.764990575287059
</t>
  </si>
  <si>
    <t xml:space="preserve"> 0.764990575287059
</t>
  </si>
  <si>
    <t>value_ratio_tb_to_total is: 0.38014288099038757</t>
  </si>
  <si>
    <t xml:space="preserve"> risk_ratio_tb_to_gold is: 0.14668848154211492</t>
  </si>
  <si>
    <t xml:space="preserve"> risk_ratio_tb_to_gold_before is: 0.14640420348144625
</t>
  </si>
  <si>
    <t xml:space="preserve"> 0.14640420348144625
</t>
  </si>
  <si>
    <t>value_ratio_reit_to_total is: 0.45811367107867</t>
  </si>
  <si>
    <t xml:space="preserve"> risk_ratio_reit_to_gold is: 0.16207352957059196</t>
  </si>
  <si>
    <t xml:space="preserve"> risk_ratio_reit_to_gold_before is: 0.1608014436270226
</t>
  </si>
  <si>
    <t xml:space="preserve"> 0.1608014436270226
</t>
  </si>
  <si>
    <t xml:space="preserve"> delta_reit is: 1.0000365807058715
</t>
  </si>
  <si>
    <t xml:space="preserve"> 1.0000365807058715
</t>
  </si>
  <si>
    <t>delta_gold_risk is: 0.9994845765288541</t>
  </si>
  <si>
    <t xml:space="preserve"> delta_tb_risk is: 1.0002479736726413</t>
  </si>
  <si>
    <t xml:space="preserve"> delta_reit_risk is: 1.0010958686781044
</t>
  </si>
  <si>
    <t xml:space="preserve"> 1.0010958686781044
</t>
  </si>
  <si>
    <t xml:space="preserve">collateral_ratio_tranche_gold is: 0.7978087794458911
</t>
  </si>
  <si>
    <t xml:space="preserve"> 0.7978087794458911
</t>
  </si>
  <si>
    <t xml:space="preserve">collateral_ratio_tranche_tb is: 0.34877733423640267
</t>
  </si>
  <si>
    <t xml:space="preserve"> 0.34877733423640267
</t>
  </si>
  <si>
    <t xml:space="preserve">collateral_ratio_tranche_reit is: 0.3530765171026307
</t>
  </si>
  <si>
    <t xml:space="preserve"> 0.3530765171026307
</t>
  </si>
  <si>
    <t>Total plot size is: 150446613.0481761</t>
  </si>
  <si>
    <t xml:space="preserve"> plot size of gold is: 79991849.77831665</t>
  </si>
  <si>
    <t xml:space="preserve"> plot size of TB is: 34996673.524482705</t>
  </si>
  <si>
    <t xml:space="preserve"> plot size of REIT is: 35458089.745376766
</t>
  </si>
  <si>
    <t xml:space="preserve"> 35458089.745376766
</t>
  </si>
  <si>
    <t xml:space="preserve">collateral ratio is: 1.499715087088488
</t>
  </si>
  <si>
    <t xml:space="preserve"> 1.499715087088488
</t>
  </si>
  <si>
    <t>S_gtbcps_0 is: 0.9999595436725806</t>
  </si>
  <si>
    <t xml:space="preserve">stdev_gtbcps is: 0.006038792165160293
</t>
  </si>
  <si>
    <t xml:space="preserve"> 0.006038792165160293
</t>
  </si>
  <si>
    <t>predicted price of GTBCPS is: 0.9999756144982622</t>
  </si>
  <si>
    <t xml:space="preserve"> actual price is: 0.9999595436725806
</t>
  </si>
  <si>
    <t xml:space="preserve"> 0.9999595436725806
</t>
  </si>
  <si>
    <t>predicted amount of GTBCPS is: 100319242.7342092</t>
  </si>
  <si>
    <t xml:space="preserve"> actual amount is: 100320855.01249854
</t>
  </si>
  <si>
    <t>plot sizes of gold is: 79991849.77831665</t>
  </si>
  <si>
    <t xml:space="preserve"> plot sizes of tb is: 34996673.524482705 </t>
  </si>
  <si>
    <t xml:space="preserve"> plot sizes of reit is: 35458089.745376766</t>
  </si>
  <si>
    <t xml:space="preserve"> plot sizes of total is: 150446613.0481761.
</t>
  </si>
  <si>
    <t xml:space="preserve"> 150446613.0481761.
</t>
  </si>
  <si>
    <t>predicted stdevs of gold is: 0.005881242482753983</t>
  </si>
  <si>
    <t xml:space="preserve"> predicted stdevs of tb is: 0.0007524114490468336</t>
  </si>
  <si>
    <t xml:space="preserve"> predicted stdevs of reit is: 0.011611806165480944</t>
  </si>
  <si>
    <t xml:space="preserve"> predicted stdevs of GTBCPS is: 0.006038792165160293.
</t>
  </si>
  <si>
    <t xml:space="preserve"> 0.006038792165160293.
</t>
  </si>
  <si>
    <t>total_value_of_collaterals is: 150447167.80959773</t>
  </si>
  <si>
    <t xml:space="preserve"> createdtionValue_gold is: -1285.5939721580255</t>
  </si>
  <si>
    <t xml:space="preserve"> createdValue_tb is: -562.4492233488297</t>
  </si>
  <si>
    <t xml:space="preserve"> createdValue_reit is: -569.8648323273507
</t>
  </si>
  <si>
    <t xml:space="preserve"> -569.8648323273507
</t>
  </si>
  <si>
    <t>plotValue_gold_after_creation is: 79993563.97583957</t>
  </si>
  <si>
    <t xml:space="preserve"> plotValue_tb_after_creation  is: 34997300.007241644</t>
  </si>
  <si>
    <t xml:space="preserve"> plotValue_reit_after_creation  is: 35458721.73454437</t>
  </si>
  <si>
    <t xml:space="preserve">total_value_after_creation is: 150449585.7176256
</t>
  </si>
  <si>
    <t xml:space="preserve"> 150449585.7176256
</t>
  </si>
  <si>
    <t>total_amount_gtncps_before_creation is: 100320855.01249854</t>
  </si>
  <si>
    <t>creation_amount_gtbcps is: -1612.278289347887</t>
  </si>
  <si>
    <t xml:space="preserve">total_amount_gtbcps_new is: 100319242.7342092
</t>
  </si>
  <si>
    <t xml:space="preserve"> 100319242.7342092
</t>
  </si>
  <si>
    <t>payout of tranche of gold is: 428.60355076495773</t>
  </si>
  <si>
    <t xml:space="preserve"> payout of tranche of Treausry Bill Option is: 64.03353559031295</t>
  </si>
  <si>
    <t xml:space="preserve"> payout of tranche of Collar of REIT is: 62.12433527073472
</t>
  </si>
  <si>
    <t xml:space="preserve"> 62.12433527073472
</t>
  </si>
  <si>
    <t>Collateral size of tranche of gold is: 79993563.97583957</t>
  </si>
  <si>
    <t xml:space="preserve"> collateral size of tranche of Treausry Bill Option is: 34997300.007241644</t>
  </si>
  <si>
    <t xml:space="preserve"> collateral size of tranche of Collar of REIT is: 35458721.73454437
</t>
  </si>
  <si>
    <t xml:space="preserve"> 35458721.73454437
</t>
  </si>
  <si>
    <t>Collateral ratio of tranche of gold is: 0.7973966599131972</t>
  </si>
  <si>
    <t xml:space="preserve"> collateral ratio of tranche of Treausry Bill Option is: 0.34886219271569474</t>
  </si>
  <si>
    <t xml:space="preserve"> collateral ratio of tranche of Collar of REIT is: 0.3534617645546704
</t>
  </si>
  <si>
    <t xml:space="preserve"> 0.3534617645546704
</t>
  </si>
  <si>
    <t xml:space="preserve"> current price of reit option is: 4.887139948526155</t>
  </si>
  <si>
    <t xml:space="preserve"> predicted price of reit is: 78.62587227860678
</t>
  </si>
  <si>
    <t xml:space="preserve"> 78.62587227860678
</t>
  </si>
  <si>
    <t>value_ratio_gold_to_total is: 0.1599999424917149</t>
  </si>
  <si>
    <t xml:space="preserve"> risk_ratio_to_gold is: 0.7662812252793922</t>
  </si>
  <si>
    <t xml:space="preserve"> risk_ratio_to_gold_before is: 0.7640808577182049
</t>
  </si>
  <si>
    <t xml:space="preserve"> 0.7640808577182049
</t>
  </si>
  <si>
    <t>value_ratio_tb_to_total is: 0.37604514974273084</t>
  </si>
  <si>
    <t xml:space="preserve"> risk_ratio_tb_to_gold is: 0.1453360666357031</t>
  </si>
  <si>
    <t xml:space="preserve"> risk_ratio_tb_to_gold_before is: 0.14668848154211492
</t>
  </si>
  <si>
    <t xml:space="preserve"> 0.14668848154211492
</t>
  </si>
  <si>
    <t>value_ratio_reit_to_total is: 0.46395490776555426</t>
  </si>
  <si>
    <t xml:space="preserve"> risk_ratio_reit_to_gold is: 0.1596678496946128</t>
  </si>
  <si>
    <t xml:space="preserve"> risk_ratio_reit_to_gold_before is: 0.16207352957059196
</t>
  </si>
  <si>
    <t xml:space="preserve"> 0.16207352957059196
</t>
  </si>
  <si>
    <t xml:space="preserve"> delta_reit is: 0.9998749822980785
</t>
  </si>
  <si>
    <t xml:space="preserve"> 0.9998749822980785
</t>
  </si>
  <si>
    <t>delta_gold_risk is: 1.001247316726759</t>
  </si>
  <si>
    <t xml:space="preserve"> delta_tb_risk is: 0.9988205908333594</t>
  </si>
  <si>
    <t xml:space="preserve"> delta_reit_risk is: 0.9979298385043948
</t>
  </si>
  <si>
    <t xml:space="preserve"> 0.9979298385043948
</t>
  </si>
  <si>
    <t xml:space="preserve">collateral_ratio_tranche_gold is: 0.7964032927648855
</t>
  </si>
  <si>
    <t xml:space="preserve"> 0.7964032927648855
</t>
  </si>
  <si>
    <t xml:space="preserve">collateral_ratio_tranche_tb is: 0.349274129826082
</t>
  </si>
  <si>
    <t xml:space="preserve"> 0.349274129826082
</t>
  </si>
  <si>
    <t xml:space="preserve">collateral_ratio_tranche_reit is: 0.3541507247712107
</t>
  </si>
  <si>
    <t xml:space="preserve"> 0.3541507247712107
</t>
  </si>
  <si>
    <t>Total plot size is: 150445152.74972126</t>
  </si>
  <si>
    <t xml:space="preserve"> plot size of gold is: 79993563.97583957</t>
  </si>
  <si>
    <t xml:space="preserve"> plot size of TB is: 34997300.007241644</t>
  </si>
  <si>
    <t xml:space="preserve"> plot size of REIT is: 35454288.76664004
</t>
  </si>
  <si>
    <t xml:space="preserve"> 35454288.76664004
</t>
  </si>
  <si>
    <t xml:space="preserve">collateral ratio is: 1.499700530219576
</t>
  </si>
  <si>
    <t xml:space="preserve"> 1.499700530219576
</t>
  </si>
  <si>
    <t>S_gtbcps_0 is: 0.9999756144982622</t>
  </si>
  <si>
    <t xml:space="preserve">stdev_gtbcps is: 0.00606688514096944
</t>
  </si>
  <si>
    <t xml:space="preserve"> 0.00606688514096944
</t>
  </si>
  <si>
    <t>predicted price of GTBCPS is: 0.9999910856080264</t>
  </si>
  <si>
    <t xml:space="preserve"> actual price is: 0.9999756144982622
</t>
  </si>
  <si>
    <t xml:space="preserve"> 0.9999756144982622
</t>
  </si>
  <si>
    <t>predicted amount of GTBCPS is: 100317690.67035769</t>
  </si>
  <si>
    <t xml:space="preserve"> actual amount is: 100319242.7342092
</t>
  </si>
  <si>
    <t>plot sizes of gold is: 79993563.97583957</t>
  </si>
  <si>
    <t xml:space="preserve"> plot sizes of tb is: 34997300.007241644 </t>
  </si>
  <si>
    <t xml:space="preserve"> plot sizes of reit is: 35454288.76664004</t>
  </si>
  <si>
    <t xml:space="preserve"> plot sizes of total is: 150445152.74972126.
</t>
  </si>
  <si>
    <t xml:space="preserve"> 150445152.74972126.
</t>
  </si>
  <si>
    <t>predicted stdevs of gold is: 0.005907862676255231</t>
  </si>
  <si>
    <t xml:space="preserve"> predicted stdevs of tb is: 0.0007474089239018487</t>
  </si>
  <si>
    <t xml:space="preserve"> predicted stdevs of reit is: 0.011676589514505</t>
  </si>
  <si>
    <t xml:space="preserve"> predicted stdevs of GTBCPS is: 0.00606688514096944.
</t>
  </si>
  <si>
    <t xml:space="preserve"> 0.00606688514096944.
</t>
  </si>
  <si>
    <t>total_value_of_collaterals is: 150445687.05987018</t>
  </si>
  <si>
    <t xml:space="preserve"> createdtionValue_gold is: -1237.6254172129943</t>
  </si>
  <si>
    <t xml:space="preserve"> createdValue_tb is: -541.4611754792993</t>
  </si>
  <si>
    <t xml:space="preserve"> createdValue_reit is: -548.5319055027812
</t>
  </si>
  <si>
    <t xml:space="preserve"> -548.5319055027812
</t>
  </si>
  <si>
    <t>plotValue_gold_after_creation is: 79995191.25645706</t>
  </si>
  <si>
    <t xml:space="preserve"> plotValue_tb_after_creation  is: 34997899.75867815</t>
  </si>
  <si>
    <t xml:space="preserve"> plotValue_reit_after_creation  is: 35454923.66323317</t>
  </si>
  <si>
    <t xml:space="preserve">total_value_after_creation is: 150448014.6783684
</t>
  </si>
  <si>
    <t xml:space="preserve"> 150448014.6783684
</t>
  </si>
  <si>
    <t>total_amount_gtncps_before_creation is: 100319242.7342092</t>
  </si>
  <si>
    <t>creation_amount_gtbcps is: -1552.063851505518</t>
  </si>
  <si>
    <t xml:space="preserve">total_amount_gtbcps_new is: 100317690.67035769
</t>
  </si>
  <si>
    <t xml:space="preserve"> 100317690.67035769
</t>
  </si>
  <si>
    <t>payout of tranche of gold is: 389.65520027373964</t>
  </si>
  <si>
    <t xml:space="preserve"> payout of tranche of Treausry Bill Option is: 58.290261031289624</t>
  </si>
  <si>
    <t xml:space="preserve"> payout of tranche of Collar of REIT is: 86.36468763268721
</t>
  </si>
  <si>
    <t xml:space="preserve"> 86.36468763268721
</t>
  </si>
  <si>
    <t>Collateral size of tranche of gold is: 79995191.25645706</t>
  </si>
  <si>
    <t xml:space="preserve"> collateral size of tranche of Treausry Bill Option is: 34997899.75867815</t>
  </si>
  <si>
    <t xml:space="preserve"> collateral size of tranche of Collar of REIT is: 35454923.66323317
</t>
  </si>
  <si>
    <t xml:space="preserve"> 35454923.66323317
</t>
  </si>
  <si>
    <t>Collateral ratio of tranche of gold is: 0.7974133595012279</t>
  </si>
  <si>
    <t xml:space="preserve"> collateral ratio of tranche of Treausry Bill Option is: 0.3488683805078358</t>
  </si>
  <si>
    <t xml:space="preserve"> collateral ratio of tranche of Collar of REIT is: 0.35342411643870236
</t>
  </si>
  <si>
    <t xml:space="preserve"> 0.35342411643870236
</t>
  </si>
  <si>
    <t xml:space="preserve"> current price of reit option is: 4.881544350496199</t>
  </si>
  <si>
    <t xml:space="preserve"> predicted price of reit is: 78.47536393168835
</t>
  </si>
  <si>
    <t xml:space="preserve"> 78.47536393168835
</t>
  </si>
  <si>
    <t>value_ratio_gold_to_total is: 0.16211046844829358</t>
  </si>
  <si>
    <t xml:space="preserve"> risk_ratio_to_gold is: 0.7655431128488822</t>
  </si>
  <si>
    <t xml:space="preserve"> risk_ratio_to_gold_before is: 0.7662812252793922
</t>
  </si>
  <si>
    <t xml:space="preserve"> 0.7662812252793922
</t>
  </si>
  <si>
    <t>value_ratio_tb_to_total is: 0.38100548308421717</t>
  </si>
  <si>
    <t xml:space="preserve"> risk_ratio_tb_to_gold is: 0.14514964673516192</t>
  </si>
  <si>
    <t xml:space="preserve"> risk_ratio_tb_to_gold_before is: 0.1453360666357031
</t>
  </si>
  <si>
    <t xml:space="preserve"> 0.1453360666357031
</t>
  </si>
  <si>
    <t>value_ratio_reit_to_total is: 0.45688404846748926</t>
  </si>
  <si>
    <t xml:space="preserve"> risk_ratio_reit_to_gold is: 0.1611125130517808</t>
  </si>
  <si>
    <t xml:space="preserve"> risk_ratio_reit_to_gold_before is: 0.1596678496946128
</t>
  </si>
  <si>
    <t xml:space="preserve"> 0.1596678496946128
</t>
  </si>
  <si>
    <t xml:space="preserve"> delta_reit is: 0.9999324506129325
</t>
  </si>
  <si>
    <t xml:space="preserve"> 0.9999324506129325
</t>
  </si>
  <si>
    <t>delta_gold_risk is: 0.9995821093380002</t>
  </si>
  <si>
    <t xml:space="preserve"> delta_tb_risk is: 0.9998372356324299</t>
  </si>
  <si>
    <t xml:space="preserve"> delta_reit_risk is: 1.0012457561512533
</t>
  </si>
  <si>
    <t xml:space="preserve"> 1.0012457561512533
</t>
  </si>
  <si>
    <t xml:space="preserve">collateral_ratio_tranche_gold is: 0.7977467304105075
</t>
  </si>
  <si>
    <t xml:space="preserve"> 0.7977467304105075
</t>
  </si>
  <si>
    <t xml:space="preserve">collateral_ratio_tranche_tb is: 0.34892517309296356
</t>
  </si>
  <si>
    <t xml:space="preserve"> 0.34892517309296356
</t>
  </si>
  <si>
    <t xml:space="preserve">collateral_ratio_tranche_reit is: 0.3529605400922924
</t>
  </si>
  <si>
    <t xml:space="preserve"> 0.3529605400922924
</t>
  </si>
  <si>
    <t>Total plot size is: 150445619.7200064</t>
  </si>
  <si>
    <t xml:space="preserve"> plot size of gold is: 79995191.25645706</t>
  </si>
  <si>
    <t xml:space="preserve"> plot size of TB is: 34997899.75867815</t>
  </si>
  <si>
    <t xml:space="preserve"> plot size of REIT is: 35452528.70487119
</t>
  </si>
  <si>
    <t xml:space="preserve"> 35452528.70487119
</t>
  </si>
  <si>
    <t xml:space="preserve">collateral ratio is: 1.4997051851756942
</t>
  </si>
  <si>
    <t xml:space="preserve"> 1.4997051851756942
</t>
  </si>
  <si>
    <t>S_gtbcps_0 is: 0.9999910856080264</t>
  </si>
  <si>
    <t xml:space="preserve">stdev_gtbcps is: 0.006092558096997088
</t>
  </si>
  <si>
    <t xml:space="preserve"> 0.006092558096997088
</t>
  </si>
  <si>
    <t>predicted price of GTBCPS is: 0.9999887266483377</t>
  </si>
  <si>
    <t xml:space="preserve"> actual price is: 0.9999910856080264
</t>
  </si>
  <si>
    <t xml:space="preserve"> 0.9999910856080264
</t>
  </si>
  <si>
    <t>predicted amount of GTBCPS is: 100317927.31841385</t>
  </si>
  <si>
    <t xml:space="preserve"> actual amount is: 100317690.67035769
</t>
  </si>
  <si>
    <t>plot sizes of gold is: 79995191.25645706</t>
  </si>
  <si>
    <t xml:space="preserve"> plot sizes of tb is: 34997899.75867815 </t>
  </si>
  <si>
    <t xml:space="preserve"> plot sizes of reit is: 35452528.70487119</t>
  </si>
  <si>
    <t xml:space="preserve"> plot sizes of total is: 150445619.7200064.
</t>
  </si>
  <si>
    <t xml:space="preserve"> 150445619.7200064.
</t>
  </si>
  <si>
    <t>predicted stdevs of gold is: 0.005939142882588773</t>
  </si>
  <si>
    <t xml:space="preserve"> predicted stdevs of tb is: 0.0007512010494116908</t>
  </si>
  <si>
    <t xml:space="preserve"> predicted stdevs of reit is: 0.01171158627981822</t>
  </si>
  <si>
    <t xml:space="preserve"> predicted stdevs of GTBCPS is: 0.006092558096997088.
</t>
  </si>
  <si>
    <t xml:space="preserve"> 0.006092558096997088.
</t>
  </si>
  <si>
    <t>total_value_of_collaterals is: 150445538.28744727</t>
  </si>
  <si>
    <t xml:space="preserve"> createdtionValue_gold is: 188.70696525224753</t>
  </si>
  <si>
    <t xml:space="preserve"> createdValue_tb is: 82.55934850139099</t>
  </si>
  <si>
    <t xml:space="preserve"> createdValue_reit is: 83.63181010137599
</t>
  </si>
  <si>
    <t xml:space="preserve"> 83.63181010137599
</t>
  </si>
  <si>
    <t>plotValue_gold_after_creation is: 79994939.6346067</t>
  </si>
  <si>
    <t xml:space="preserve"> plotValue_tb_after_creation  is: 34997807.7958761</t>
  </si>
  <si>
    <t xml:space="preserve"> plotValue_reit_after_creation  is: 35452435.9588406</t>
  </si>
  <si>
    <t xml:space="preserve">total_value_after_creation is: 150445183.3893234
</t>
  </si>
  <si>
    <t xml:space="preserve"> 150445183.3893234
</t>
  </si>
  <si>
    <t>total_amount_gtncps_before_creation is: 100317690.67035769</t>
  </si>
  <si>
    <t>creation_amount_gtbcps is: 236.6480561643839</t>
  </si>
  <si>
    <t xml:space="preserve">total_amount_gtbcps_new is: 100317927.31841385
</t>
  </si>
  <si>
    <t xml:space="preserve"> 100317927.31841385
</t>
  </si>
  <si>
    <t>payout of tranche of gold is: -62.914885103965254</t>
  </si>
  <si>
    <t xml:space="preserve"> payout of tranche of Treausry Bill Option is: -9.403453548528496</t>
  </si>
  <si>
    <t xml:space="preserve"> payout of tranche of Collar of REIT is: -9.1142204932473
</t>
  </si>
  <si>
    <t xml:space="preserve"> -9.1142204932473
</t>
  </si>
  <si>
    <t>Collateral size of tranche of gold is: 79994939.6346067</t>
  </si>
  <si>
    <t xml:space="preserve"> collateral size of tranche of Treausry Bill Option is: 34997807.7958761</t>
  </si>
  <si>
    <t xml:space="preserve"> collateral size of tranche of Collar of REIT is: 35452435.9588406
</t>
  </si>
  <si>
    <t xml:space="preserve"> 35452435.9588406
</t>
  </si>
  <si>
    <t>Collateral ratio of tranche of gold is: 0.7974250695096641</t>
  </si>
  <si>
    <t xml:space="preserve"> collateral ratio of tranche of Treausry Bill Option is: 0.34887368428288673</t>
  </si>
  <si>
    <t xml:space="preserve"> collateral ratio of tranche of Collar of REIT is: 0.3534056196291593
</t>
  </si>
  <si>
    <t xml:space="preserve"> 0.3534056196291593
</t>
  </si>
  <si>
    <t xml:space="preserve"> current price of reit option is: 4.892471009674949</t>
  </si>
  <si>
    <t xml:space="preserve"> predicted price of reit is: 78.52660850889085
</t>
  </si>
  <si>
    <t xml:space="preserve"> 78.52660850889085
</t>
  </si>
  <si>
    <t>value_ratio_gold_to_total is: 0.16126327619575592</t>
  </si>
  <si>
    <t xml:space="preserve"> risk_ratio_to_gold is: 0.7667627708979677</t>
  </si>
  <si>
    <t xml:space="preserve"> risk_ratio_to_gold_before is: 0.7655431128488822
</t>
  </si>
  <si>
    <t xml:space="preserve"> 0.7655431128488822
</t>
  </si>
  <si>
    <t>value_ratio_tb_to_total is: 0.37901434150938246</t>
  </si>
  <si>
    <t xml:space="preserve"> risk_ratio_tb_to_gold is: 0.14460337309498814</t>
  </si>
  <si>
    <t xml:space="preserve"> risk_ratio_tb_to_gold_before is: 0.14514964673516192
</t>
  </si>
  <si>
    <t xml:space="preserve"> 0.14514964673516192
</t>
  </si>
  <si>
    <t>value_ratio_reit_to_total is: 0.4597223822948616</t>
  </si>
  <si>
    <t xml:space="preserve"> risk_ratio_reit_to_gold is: 0.15958096912194625</t>
  </si>
  <si>
    <t xml:space="preserve"> risk_ratio_reit_to_gold_before is: 0.1611125130517808
</t>
  </si>
  <si>
    <t xml:space="preserve"> 0.1611125130517808
</t>
  </si>
  <si>
    <t xml:space="preserve"> delta_reit is: 1.000131914227417
</t>
  </si>
  <si>
    <t xml:space="preserve"> 1.000131914227417
</t>
  </si>
  <si>
    <t>delta_gold_risk is: 1.0006908118188726</t>
  </si>
  <si>
    <t xml:space="preserve"> delta_tb_risk is: 0.9995229674639194</t>
  </si>
  <si>
    <t xml:space="preserve"> delta_reit_risk is: 0.9986809685429976
</t>
  </si>
  <si>
    <t xml:space="preserve"> 0.9986809685429976
</t>
  </si>
  <si>
    <t xml:space="preserve">collateral_ratio_tranche_gold is: 0.7968745791322404
</t>
  </si>
  <si>
    <t xml:space="preserve"> 0.7968745791322404
</t>
  </si>
  <si>
    <t xml:space="preserve">collateral_ratio_tranche_tb is: 0.34904018780887125
</t>
  </si>
  <si>
    <t xml:space="preserve"> 0.34904018780887125
</t>
  </si>
  <si>
    <t xml:space="preserve">collateral_ratio_tranche_reit is: 0.35391906924400335
</t>
  </si>
  <si>
    <t xml:space="preserve"> 0.35391906924400335
</t>
  </si>
  <si>
    <t>Total plot size is: 150449860.07002294</t>
  </si>
  <si>
    <t xml:space="preserve"> plot size of gold is: 79994939.6346067</t>
  </si>
  <si>
    <t xml:space="preserve"> plot size of TB is: 34997807.7958761</t>
  </si>
  <si>
    <t xml:space="preserve"> plot size of REIT is: 35457112.63954016
</t>
  </si>
  <si>
    <t xml:space="preserve"> 35457112.63954016
</t>
  </si>
  <si>
    <t xml:space="preserve">collateral ratio is: 1.4997474547673153
</t>
  </si>
  <si>
    <t xml:space="preserve"> 1.4997474547673153
</t>
  </si>
  <si>
    <t>S_gtbcps_0 is: 0.9999887266483377</t>
  </si>
  <si>
    <t xml:space="preserve">stdev_gtbcps is: 0.006078650732693945
</t>
  </si>
  <si>
    <t xml:space="preserve"> 0.006078650732693945
</t>
  </si>
  <si>
    <t>predicted price of GTBCPS is: 1.0000100560874847</t>
  </si>
  <si>
    <t xml:space="preserve"> actual price is: 0.9999887266483377
</t>
  </si>
  <si>
    <t xml:space="preserve"> 0.9999887266483377
</t>
  </si>
  <si>
    <t>predicted amount of GTBCPS is: 100315787.61480482</t>
  </si>
  <si>
    <t xml:space="preserve"> actual amount is: 100317927.31841385
</t>
  </si>
  <si>
    <t>plot sizes of gold is: 79994939.6346067</t>
  </si>
  <si>
    <t xml:space="preserve"> plot sizes of tb is: 34997807.7958761 </t>
  </si>
  <si>
    <t xml:space="preserve"> plot sizes of reit is: 35457112.63954016</t>
  </si>
  <si>
    <t xml:space="preserve"> plot sizes of total is: 150449860.07002297.
</t>
  </si>
  <si>
    <t xml:space="preserve"> 150449860.07002297.
</t>
  </si>
  <si>
    <t>predicted stdevs of gold is: 0.0059428266882314024</t>
  </si>
  <si>
    <t xml:space="preserve"> predicted stdevs of tb is: 0.0007514818862700589</t>
  </si>
  <si>
    <t xml:space="preserve"> predicted stdevs of reit is: 0.011643245617416916</t>
  </si>
  <si>
    <t xml:space="preserve"> predicted stdevs of GTBCPS is: 0.006078650732693945.
</t>
  </si>
  <si>
    <t xml:space="preserve"> 0.006078650732693945.
</t>
  </si>
  <si>
    <t>total_value_of_collaterals is: 150450596.5763867</t>
  </si>
  <si>
    <t xml:space="preserve"> createdtionValue_gold is: -1706.2785654938248</t>
  </si>
  <si>
    <t xml:space="preserve"> createdValue_tb is: -746.4938409589096</t>
  </si>
  <si>
    <t xml:space="preserve"> createdValue_reit is: -756.2906147338374
</t>
  </si>
  <si>
    <t xml:space="preserve"> -756.2906147338374
</t>
  </si>
  <si>
    <t>plotValue_gold_after_creation is: 79997214.75229028</t>
  </si>
  <si>
    <t xml:space="preserve"> plotValue_tb_after_creation  is: 34998639.32778685</t>
  </si>
  <si>
    <t xml:space="preserve"> plotValue_reit_after_creation  is: 35457951.559330754</t>
  </si>
  <si>
    <t xml:space="preserve">total_value_after_creation is: 150453805.63940787
</t>
  </si>
  <si>
    <t xml:space="preserve"> 150453805.63940787
</t>
  </si>
  <si>
    <t>total_amount_gtncps_before_creation is: 100317927.31841385</t>
  </si>
  <si>
    <t>creation_amount_gtbcps is: -2139.703609034419</t>
  </si>
  <si>
    <t xml:space="preserve">total_amount_gtbcps_new is: 100315787.61480482
</t>
  </si>
  <si>
    <t xml:space="preserve"> 100315787.61480482
</t>
  </si>
  <si>
    <t>payout of tranche of gold is: 568.8391180738272</t>
  </si>
  <si>
    <t xml:space="preserve"> payout of tranche of Treausry Bill Option is: 85.0380697955017</t>
  </si>
  <si>
    <t xml:space="preserve"> payout of tranche of Collar of REIT is: 82.62917586370712
</t>
  </si>
  <si>
    <t xml:space="preserve"> 82.62917586370712
</t>
  </si>
  <si>
    <t>Collateral size of tranche of gold is: 79997214.75229028</t>
  </si>
  <si>
    <t xml:space="preserve"> collateral size of tranche of Treausry Bill Option is: 34998639.32778685</t>
  </si>
  <si>
    <t xml:space="preserve"> collateral size of tranche of Collar of REIT is: 35457951.559330754
</t>
  </si>
  <si>
    <t xml:space="preserve"> 35457951.559330754
</t>
  </si>
  <si>
    <t>Collateral ratio of tranche of gold is: 0.7974288588267721</t>
  </si>
  <si>
    <t xml:space="preserve"> collateral ratio of tranche of Treausry Bill Option is: 0.3488737089918226</t>
  </si>
  <si>
    <t xml:space="preserve"> collateral ratio of tranche of Collar of REIT is: 0.353452228753784
</t>
  </si>
  <si>
    <t xml:space="preserve"> 0.353452228753784
</t>
  </si>
  <si>
    <t xml:space="preserve"> current price of reit option is: 4.89751921352412</t>
  </si>
  <si>
    <t xml:space="preserve"> predicted price of reit is: 78.47298820454529
</t>
  </si>
  <si>
    <t xml:space="preserve"> 78.47298820454529
</t>
  </si>
  <si>
    <t>value_ratio_gold_to_total is: 0.16192439663341626</t>
  </si>
  <si>
    <t xml:space="preserve"> risk_ratio_to_gold is: 0.7658391036300374</t>
  </si>
  <si>
    <t xml:space="preserve"> risk_ratio_to_gold_before is: 0.7667627708979677
</t>
  </si>
  <si>
    <t xml:space="preserve"> 0.7667627708979677
</t>
  </si>
  <si>
    <t>value_ratio_tb_to_total is: 0.38056816165522933</t>
  </si>
  <si>
    <t xml:space="preserve"> risk_ratio_tb_to_gold is: 0.14520024689644567</t>
  </si>
  <si>
    <t xml:space="preserve"> risk_ratio_tb_to_gold_before is: 0.14460337309498814
</t>
  </si>
  <si>
    <t xml:space="preserve"> 0.14460337309498814
</t>
  </si>
  <si>
    <t>value_ratio_reit_to_total is: 0.4575074417113544</t>
  </si>
  <si>
    <t xml:space="preserve"> risk_ratio_reit_to_gold is: 0.1605570528549671</t>
  </si>
  <si>
    <t xml:space="preserve"> risk_ratio_reit_to_gold_before is: 0.15958096912194625
</t>
  </si>
  <si>
    <t xml:space="preserve"> 0.15958096912194625
</t>
  </si>
  <si>
    <t xml:space="preserve"> delta_reit is: 1.000060937388608
</t>
  </si>
  <si>
    <t xml:space="preserve"> 1.000060937388608
</t>
  </si>
  <si>
    <t>delta_gold_risk is: 0.9994771979106959</t>
  </si>
  <si>
    <t xml:space="preserve"> delta_tb_risk is: 1.000521467798792</t>
  </si>
  <si>
    <t xml:space="preserve"> delta_reit_risk is: 1.0008417555643052
</t>
  </si>
  <si>
    <t xml:space="preserve"> 1.0008417555643052
</t>
  </si>
  <si>
    <t xml:space="preserve">collateral_ratio_tranche_gold is: 0.797845974369115
</t>
  </si>
  <si>
    <t xml:space="preserve"> 0.797845974369115
</t>
  </si>
  <si>
    <t xml:space="preserve">collateral_ratio_tranche_tb is: 0.348691877406055
</t>
  </si>
  <si>
    <t xml:space="preserve"> 0.348691877406055
</t>
  </si>
  <si>
    <t xml:space="preserve">collateral_ratio_tranche_reit is: 0.35317647894326976
</t>
  </si>
  <si>
    <t xml:space="preserve"> 0.35317647894326976
</t>
  </si>
  <si>
    <t>Total plot size is: 150455966.3543813</t>
  </si>
  <si>
    <t xml:space="preserve"> plot size of gold is: 79997214.75229028</t>
  </si>
  <si>
    <t xml:space="preserve"> plot size of TB is: 34998639.32778685</t>
  </si>
  <si>
    <t xml:space="preserve"> plot size of REIT is: 35460112.27430417
</t>
  </si>
  <si>
    <t xml:space="preserve"> 35460112.27430417
</t>
  </si>
  <si>
    <t xml:space="preserve">collateral ratio is: 1.4998083247769
</t>
  </si>
  <si>
    <t xml:space="preserve"> 1.4998083247769
</t>
  </si>
  <si>
    <t>S_gtbcps_0 is: 1.0000100560874847</t>
  </si>
  <si>
    <t xml:space="preserve">stdev_gtbcps is: 0.0060608776666061185
</t>
  </si>
  <si>
    <t xml:space="preserve"> 0.0060608776666061185
</t>
  </si>
  <si>
    <t>predicted price of GTBCPS is: 0.999985686162511</t>
  </si>
  <si>
    <t xml:space="preserve"> actual price is: 1.0000100560874847
</t>
  </si>
  <si>
    <t xml:space="preserve"> 1.0000100560874847
</t>
  </si>
  <si>
    <t>predicted amount of GTBCPS is: 100318232.33801605</t>
  </si>
  <si>
    <t xml:space="preserve"> actual amount is: 100315787.61480482
</t>
  </si>
  <si>
    <t>plot sizes of gold is: 79997214.75229028</t>
  </si>
  <si>
    <t xml:space="preserve"> plot sizes of tb is: 34998639.32778685 </t>
  </si>
  <si>
    <t xml:space="preserve"> plot sizes of reit is: 35460112.27430417</t>
  </si>
  <si>
    <t xml:space="preserve"> plot sizes of total is: 150455966.3543813.
</t>
  </si>
  <si>
    <t xml:space="preserve"> 150455966.3543813.
</t>
  </si>
  <si>
    <t>predicted stdevs of gold is: 0.0059220357406170035</t>
  </si>
  <si>
    <t xml:space="preserve"> predicted stdevs of tb is: 0.0007542504651357762</t>
  </si>
  <si>
    <t xml:space="preserve"> predicted stdevs of reit is: 0.011611669421540533</t>
  </si>
  <si>
    <t xml:space="preserve"> predicted stdevs of GTBCPS is: 0.0060608776666061185.
</t>
  </si>
  <si>
    <t xml:space="preserve"> 0.0060608776666061185.
</t>
  </si>
  <si>
    <t>total_value_of_collaterals is: 150455125.11872065</t>
  </si>
  <si>
    <t xml:space="preserve"> createdtionValue_gold is: 1949.4915576130418</t>
  </si>
  <si>
    <t xml:space="preserve"> createdValue_tb is: 852.9034033911774</t>
  </si>
  <si>
    <t xml:space="preserve"> createdValue_reit is: 864.1482789795788
</t>
  </si>
  <si>
    <t xml:space="preserve"> 864.1482789795788
</t>
  </si>
  <si>
    <t>plotValue_gold_after_creation is: 79994651.39943746</t>
  </si>
  <si>
    <t xml:space="preserve"> plotValue_tb_after_creation  is: 34997694.740062915</t>
  </si>
  <si>
    <t xml:space="preserve"> plotValue_reit_after_creation  is: 35459112.435980305</t>
  </si>
  <si>
    <t xml:space="preserve">total_value_after_creation is: 150451458.5754807
</t>
  </si>
  <si>
    <t xml:space="preserve"> 150451458.5754807
</t>
  </si>
  <si>
    <t>total_amount_gtncps_before_creation is: 100315787.61480482</t>
  </si>
  <si>
    <t>creation_amount_gtbcps is: 2444.7232112288475</t>
  </si>
  <si>
    <t xml:space="preserve">total_amount_gtbcps_new is: 100318232.33801605
</t>
  </si>
  <si>
    <t xml:space="preserve"> 100318232.33801605
</t>
  </si>
  <si>
    <t>payout of tranche of gold is: -613.8612952112999</t>
  </si>
  <si>
    <t xml:space="preserve"> payout of tranche of Treausry Bill Option is: -91.684320535548</t>
  </si>
  <si>
    <t xml:space="preserve"> payout of tranche of Collar of REIT is: -135.69004488252577
</t>
  </si>
  <si>
    <t xml:space="preserve"> -135.69004488252577
</t>
  </si>
  <si>
    <t>Collateral size of tranche of gold is: 79994651.39943746</t>
  </si>
  <si>
    <t xml:space="preserve"> collateral size of tranche of Treausry Bill Option is: 34997694.740062915</t>
  </si>
  <si>
    <t xml:space="preserve"> collateral size of tranche of Collar of REIT is: 35459112.435980305
</t>
  </si>
  <si>
    <t xml:space="preserve"> 35459112.435980305
</t>
  </si>
  <si>
    <t>Collateral ratio of tranche of gold is: 0.7974397485013779</t>
  </si>
  <si>
    <t xml:space="preserve"> collateral ratio of tranche of Treausry Bill Option is: 0.34888023640840604</t>
  </si>
  <si>
    <t xml:space="preserve"> collateral ratio of tranche of Collar of REIT is: 0.353479954076393
</t>
  </si>
  <si>
    <t xml:space="preserve"> 0.353479954076393
</t>
  </si>
  <si>
    <t xml:space="preserve"> current price of reit option is: 4.887477790855328</t>
  </si>
  <si>
    <t xml:space="preserve"> predicted price of reit is: 78.55549678455584
</t>
  </si>
  <si>
    <t xml:space="preserve"> 78.55549678455584
</t>
  </si>
  <si>
    <t>value_ratio_gold_to_total is: 0.160940015043774</t>
  </si>
  <si>
    <t xml:space="preserve"> risk_ratio_to_gold is: 0.7651667653549041</t>
  </si>
  <si>
    <t xml:space="preserve"> risk_ratio_to_gold_before is: 0.7658391036300374
</t>
  </si>
  <si>
    <t xml:space="preserve"> 0.7658391036300374
</t>
  </si>
  <si>
    <t>value_ratio_tb_to_total is: 0.3782545863094121</t>
  </si>
  <si>
    <t xml:space="preserve"> risk_ratio_tb_to_gold is: 0.14593444540755962</t>
  </si>
  <si>
    <t xml:space="preserve"> risk_ratio_tb_to_gold_before is: 0.14520024689644567
</t>
  </si>
  <si>
    <t xml:space="preserve"> 0.14520024689644567
</t>
  </si>
  <si>
    <t>value_ratio_reit_to_total is: 0.46080539864681386</t>
  </si>
  <si>
    <t xml:space="preserve"> risk_ratio_reit_to_gold is: 0.16097019979899738</t>
  </si>
  <si>
    <t xml:space="preserve"> risk_ratio_reit_to_gold_before is: 0.1605570528549671
</t>
  </si>
  <si>
    <t xml:space="preserve"> 0.1605570528549671
</t>
  </si>
  <si>
    <t xml:space="preserve"> delta_reit is: 0.9998787963385734
</t>
  </si>
  <si>
    <t xml:space="preserve"> 0.9998787963385734
</t>
  </si>
  <si>
    <t>delta_gold_risk is: 0.9996192528108868</t>
  </si>
  <si>
    <t xml:space="preserve"> delta_tb_risk is: 1.0006411092846894</t>
  </si>
  <si>
    <t xml:space="preserve"> delta_reit_risk is: 1.00035599020575
</t>
  </si>
  <si>
    <t xml:space="preserve"> 1.00035599020575
</t>
  </si>
  <si>
    <t xml:space="preserve">collateral_ratio_tranche_gold is: 0.7977434870917215
</t>
  </si>
  <si>
    <t xml:space="preserve"> 0.7977434870917215
</t>
  </si>
  <si>
    <t xml:space="preserve">collateral_ratio_tranche_tb is: 0.34865670935486937
</t>
  </si>
  <si>
    <t xml:space="preserve"> 0.34865670935486937
</t>
  </si>
  <si>
    <t xml:space="preserve">collateral_ratio_tranche_reit is: 0.3533113356366509
</t>
  </si>
  <si>
    <t xml:space="preserve"> 0.3533113356366509
</t>
  </si>
  <si>
    <t>Total plot size is: 150447160.8012225</t>
  </si>
  <si>
    <t xml:space="preserve"> plot size of gold is: 79994651.39943746</t>
  </si>
  <si>
    <t xml:space="preserve"> plot size of TB is: 34997694.740062915</t>
  </si>
  <si>
    <t xml:space="preserve"> plot size of REIT is: 35454814.66172212
</t>
  </si>
  <si>
    <t xml:space="preserve"> 35454814.66172212
</t>
  </si>
  <si>
    <t xml:space="preserve">collateral ratio is: 1.4997205473211312
</t>
  </si>
  <si>
    <t xml:space="preserve"> 1.4997205473211312
</t>
  </si>
  <si>
    <t>S_gtbcps_0 is: 0.999985686162511</t>
  </si>
  <si>
    <t xml:space="preserve">stdev_gtbcps is: 0.006080374528276003
</t>
  </si>
  <si>
    <t xml:space="preserve"> 0.006080374528276003
</t>
  </si>
  <si>
    <t>predicted price of GTBCPS is: 0.999984651368206</t>
  </si>
  <si>
    <t xml:space="preserve"> actual price is: 0.999985686162511
</t>
  </si>
  <si>
    <t xml:space="preserve"> 0.999985686162511
</t>
  </si>
  <si>
    <t>predicted amount of GTBCPS is: 100318336.1483449</t>
  </si>
  <si>
    <t xml:space="preserve"> actual amount is: 100318232.33801605
</t>
  </si>
  <si>
    <t>plot sizes of gold is: 79994651.39943746</t>
  </si>
  <si>
    <t xml:space="preserve"> plot sizes of tb is: 34997694.740062915 </t>
  </si>
  <si>
    <t xml:space="preserve"> plot sizes of reit is: 35454814.66172212</t>
  </si>
  <si>
    <t xml:space="preserve"> plot sizes of total is: 150447160.8012225.
</t>
  </si>
  <si>
    <t xml:space="preserve"> 150447160.8012225.
</t>
  </si>
  <si>
    <t>predicted stdevs of gold is: 0.005929267831011513</t>
  </si>
  <si>
    <t xml:space="preserve"> predicted stdevs of tb is: 0.0007585920042047169</t>
  </si>
  <si>
    <t xml:space="preserve"> predicted stdevs of reit is: 0.01167447647788715</t>
  </si>
  <si>
    <t xml:space="preserve"> predicted stdevs of GTBCPS is: 0.006080374528276003.
</t>
  </si>
  <si>
    <t xml:space="preserve"> 0.006080374528276003.
</t>
  </si>
  <si>
    <t>total_value_of_collaterals is: 150447125.07912505</t>
  </si>
  <si>
    <t xml:space="preserve"> createdtionValue_gold is: 82.77916602647603</t>
  </si>
  <si>
    <t xml:space="preserve"> createdValue_tb is: 36.215929328604595</t>
  </si>
  <si>
    <t xml:space="preserve"> createdValue_reit is: 36.68896131453393
</t>
  </si>
  <si>
    <t xml:space="preserve"> 36.68896131453393
</t>
  </si>
  <si>
    <t>plotValue_gold_after_creation is: 79994541.02203642</t>
  </si>
  <si>
    <t xml:space="preserve"> plotValue_tb_after_creation  is: 34997654.402577974</t>
  </si>
  <si>
    <t xml:space="preserve"> plotValue_reit_after_creation  is: 35454773.970453985</t>
  </si>
  <si>
    <t xml:space="preserve">total_value_after_creation is: 150446969.39506838
</t>
  </si>
  <si>
    <t xml:space="preserve"> 150446969.39506838
</t>
  </si>
  <si>
    <t>total_amount_gtncps_before_creation is: 100318232.33801605</t>
  </si>
  <si>
    <t>creation_amount_gtbcps is: 103.81032885611057</t>
  </si>
  <si>
    <t xml:space="preserve">total_amount_gtbcps_new is: 100318336.1483449
</t>
  </si>
  <si>
    <t xml:space="preserve"> 100318336.1483449
</t>
  </si>
  <si>
    <t>payout of tranche of gold is: -27.598235016808946</t>
  </si>
  <si>
    <t xml:space="preserve"> payout of tranche of Treausry Bill Option is: -4.121555614398228</t>
  </si>
  <si>
    <t xml:space="preserve"> payout of tranche of Collar of REIT is: -4.002306829800771
</t>
  </si>
  <si>
    <t xml:space="preserve"> -4.002306829800771
</t>
  </si>
  <si>
    <t>Collateral size of tranche of gold is: 79994541.02203642</t>
  </si>
  <si>
    <t xml:space="preserve"> collateral size of tranche of Treausry Bill Option is: 34997654.402577974</t>
  </si>
  <si>
    <t xml:space="preserve"> collateral size of tranche of Collar of REIT is: 35454773.970453985
</t>
  </si>
  <si>
    <t xml:space="preserve"> 35454773.970453985
</t>
  </si>
  <si>
    <t>Collateral ratio of tranche of gold is: 0.7974200400391503</t>
  </si>
  <si>
    <t xml:space="preserve"> collateral ratio of tranche of Treausry Bill Option is: 0.3488716932233187</t>
  </si>
  <si>
    <t xml:space="preserve"> collateral ratio of tranche of Collar of REIT is: 0.3534284579657772
</t>
  </si>
  <si>
    <t xml:space="preserve"> 0.3534284579657772
</t>
  </si>
  <si>
    <t>min</t>
  </si>
  <si>
    <t>max</t>
  </si>
  <si>
    <t>average</t>
  </si>
  <si>
    <t>stdev</t>
  </si>
  <si>
    <t>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</si>
</sst>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C2894-941F-47D5-9A76-3102C708863F}">
  <sheetPr filterMode="1"/>
  <dimension ref="A1:D1028"/>
  <sheetViews>
    <sheetView workbookViewId="0">
      <selection activeCell="D1" sqref="D1:D1048576"/>
    </sheetView>
  </sheetViews>
  <sheetFormatPr defaultRowHeight="14.4" x14ac:dyDescent="0.3"/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>
        <v>0</v>
      </c>
      <c r="B2" s="1" t="s">
        <v>3</v>
      </c>
      <c r="C2" t="s">
        <v>4</v>
      </c>
      <c r="D2" t="s">
        <v>5</v>
      </c>
    </row>
    <row r="3" spans="1:4" hidden="1" x14ac:dyDescent="0.3">
      <c r="A3">
        <v>1</v>
      </c>
      <c r="B3" t="s">
        <v>6</v>
      </c>
      <c r="C3" t="s">
        <v>7</v>
      </c>
      <c r="D3">
        <v>1199.98</v>
      </c>
    </row>
    <row r="4" spans="1:4" hidden="1" x14ac:dyDescent="0.3">
      <c r="A4">
        <v>2</v>
      </c>
      <c r="B4" t="s">
        <v>8</v>
      </c>
      <c r="C4" t="s">
        <v>9</v>
      </c>
      <c r="D4">
        <v>1201.8984658283</v>
      </c>
    </row>
    <row r="5" spans="1:4" hidden="1" x14ac:dyDescent="0.3">
      <c r="A5">
        <v>3</v>
      </c>
      <c r="B5" s="1" t="s">
        <v>10</v>
      </c>
      <c r="C5" t="s">
        <v>11</v>
      </c>
      <c r="D5" s="1" t="s">
        <v>12</v>
      </c>
    </row>
    <row r="6" spans="1:4" hidden="1" x14ac:dyDescent="0.3">
      <c r="A6">
        <v>4</v>
      </c>
      <c r="B6" t="s">
        <v>13</v>
      </c>
      <c r="C6" t="s">
        <v>14</v>
      </c>
      <c r="D6">
        <v>97.91796875</v>
      </c>
    </row>
    <row r="7" spans="1:4" hidden="1" x14ac:dyDescent="0.3">
      <c r="A7">
        <v>5</v>
      </c>
      <c r="B7" t="s">
        <v>15</v>
      </c>
      <c r="C7" t="s">
        <v>16</v>
      </c>
      <c r="D7">
        <v>4.2752882005853001</v>
      </c>
    </row>
    <row r="8" spans="1:4" hidden="1" x14ac:dyDescent="0.3">
      <c r="A8">
        <v>6</v>
      </c>
      <c r="B8" t="s">
        <v>17</v>
      </c>
      <c r="C8" t="s">
        <v>18</v>
      </c>
      <c r="D8">
        <v>98.151618230552302</v>
      </c>
    </row>
    <row r="9" spans="1:4" hidden="1" x14ac:dyDescent="0.3">
      <c r="A9">
        <v>7</v>
      </c>
      <c r="B9" s="1" t="s">
        <v>19</v>
      </c>
      <c r="C9" t="s">
        <v>11</v>
      </c>
      <c r="D9" s="1" t="s">
        <v>20</v>
      </c>
    </row>
    <row r="10" spans="1:4" hidden="1" x14ac:dyDescent="0.3">
      <c r="A10">
        <v>8</v>
      </c>
      <c r="B10" t="s">
        <v>21</v>
      </c>
      <c r="C10" t="s">
        <v>22</v>
      </c>
      <c r="D10">
        <v>77.95</v>
      </c>
    </row>
    <row r="11" spans="1:4" hidden="1" x14ac:dyDescent="0.3">
      <c r="A11">
        <v>9</v>
      </c>
      <c r="B11" t="s">
        <v>23</v>
      </c>
      <c r="C11" t="s">
        <v>24</v>
      </c>
      <c r="D11">
        <v>4.9088140240049798</v>
      </c>
    </row>
    <row r="12" spans="1:4" hidden="1" x14ac:dyDescent="0.3">
      <c r="A12">
        <v>10</v>
      </c>
      <c r="B12" t="s">
        <v>25</v>
      </c>
      <c r="C12" t="s">
        <v>26</v>
      </c>
      <c r="D12">
        <v>78.493422689532807</v>
      </c>
    </row>
    <row r="13" spans="1:4" hidden="1" x14ac:dyDescent="0.3">
      <c r="A13">
        <v>11</v>
      </c>
      <c r="B13" s="1" t="s">
        <v>27</v>
      </c>
      <c r="C13" t="s">
        <v>11</v>
      </c>
      <c r="D13" s="1" t="s">
        <v>28</v>
      </c>
    </row>
    <row r="14" spans="1:4" hidden="1" x14ac:dyDescent="0.3">
      <c r="A14">
        <v>12</v>
      </c>
      <c r="B14" t="s">
        <v>29</v>
      </c>
      <c r="C14" t="s">
        <v>30</v>
      </c>
      <c r="D14">
        <v>0.37955170329282201</v>
      </c>
    </row>
    <row r="15" spans="1:4" hidden="1" x14ac:dyDescent="0.3">
      <c r="A15">
        <v>13</v>
      </c>
      <c r="B15" s="1" t="s">
        <v>31</v>
      </c>
      <c r="C15" t="s">
        <v>32</v>
      </c>
      <c r="D15" s="1" t="s">
        <v>33</v>
      </c>
    </row>
    <row r="16" spans="1:4" hidden="1" x14ac:dyDescent="0.3">
      <c r="A16">
        <v>14</v>
      </c>
      <c r="B16" t="s">
        <v>34</v>
      </c>
      <c r="C16" t="s">
        <v>35</v>
      </c>
      <c r="D16">
        <v>0.16149191324773299</v>
      </c>
    </row>
    <row r="17" spans="1:4" hidden="1" x14ac:dyDescent="0.3">
      <c r="A17">
        <v>15</v>
      </c>
      <c r="B17" s="1" t="s">
        <v>36</v>
      </c>
      <c r="C17" t="s">
        <v>37</v>
      </c>
      <c r="D17" s="1" t="s">
        <v>38</v>
      </c>
    </row>
    <row r="18" spans="1:4" hidden="1" x14ac:dyDescent="0.3">
      <c r="A18">
        <v>16</v>
      </c>
      <c r="B18" t="s">
        <v>39</v>
      </c>
      <c r="C18" t="s">
        <v>40</v>
      </c>
      <c r="D18">
        <v>0.45895638345944301</v>
      </c>
    </row>
    <row r="19" spans="1:4" hidden="1" x14ac:dyDescent="0.3">
      <c r="A19">
        <v>17</v>
      </c>
      <c r="B19" s="1" t="s">
        <v>41</v>
      </c>
      <c r="C19" t="s">
        <v>42</v>
      </c>
      <c r="D19" s="1" t="s">
        <v>43</v>
      </c>
    </row>
    <row r="20" spans="1:4" hidden="1" x14ac:dyDescent="0.3">
      <c r="A20">
        <v>18</v>
      </c>
      <c r="B20" t="s">
        <v>44</v>
      </c>
      <c r="C20" t="s">
        <v>45</v>
      </c>
      <c r="D20">
        <v>5.2415188537198697E-3</v>
      </c>
    </row>
    <row r="21" spans="1:4" hidden="1" x14ac:dyDescent="0.3">
      <c r="A21">
        <v>19</v>
      </c>
      <c r="B21" t="s">
        <v>46</v>
      </c>
      <c r="C21" t="s">
        <v>47</v>
      </c>
      <c r="D21">
        <v>1.2227326277891699</v>
      </c>
    </row>
    <row r="22" spans="1:4" hidden="1" x14ac:dyDescent="0.3">
      <c r="A22">
        <v>20</v>
      </c>
      <c r="B22" s="1" t="s">
        <v>48</v>
      </c>
      <c r="C22" t="s">
        <v>49</v>
      </c>
      <c r="D22" s="1" t="s">
        <v>50</v>
      </c>
    </row>
    <row r="23" spans="1:4" hidden="1" x14ac:dyDescent="0.3">
      <c r="A23">
        <v>21</v>
      </c>
      <c r="B23" t="s">
        <v>29</v>
      </c>
      <c r="C23" t="s">
        <v>30</v>
      </c>
      <c r="D23">
        <v>0.37955170329282201</v>
      </c>
    </row>
    <row r="24" spans="1:4" hidden="1" x14ac:dyDescent="0.3">
      <c r="A24">
        <v>22</v>
      </c>
      <c r="B24" s="1" t="s">
        <v>31</v>
      </c>
      <c r="C24" t="s">
        <v>32</v>
      </c>
      <c r="D24" s="1" t="s">
        <v>33</v>
      </c>
    </row>
    <row r="25" spans="1:4" hidden="1" x14ac:dyDescent="0.3">
      <c r="A25">
        <v>23</v>
      </c>
      <c r="B25" t="s">
        <v>34</v>
      </c>
      <c r="C25" t="s">
        <v>35</v>
      </c>
      <c r="D25">
        <v>0.16149191324773299</v>
      </c>
    </row>
    <row r="26" spans="1:4" hidden="1" x14ac:dyDescent="0.3">
      <c r="A26">
        <v>24</v>
      </c>
      <c r="B26" s="1" t="s">
        <v>36</v>
      </c>
      <c r="C26" t="s">
        <v>37</v>
      </c>
      <c r="D26" s="1" t="s">
        <v>38</v>
      </c>
    </row>
    <row r="27" spans="1:4" hidden="1" x14ac:dyDescent="0.3">
      <c r="A27">
        <v>25</v>
      </c>
      <c r="B27" t="s">
        <v>39</v>
      </c>
      <c r="C27" t="s">
        <v>40</v>
      </c>
      <c r="D27">
        <v>0.45895638345944301</v>
      </c>
    </row>
    <row r="28" spans="1:4" hidden="1" x14ac:dyDescent="0.3">
      <c r="A28">
        <v>26</v>
      </c>
      <c r="B28" s="1" t="s">
        <v>41</v>
      </c>
      <c r="C28" t="s">
        <v>42</v>
      </c>
      <c r="D28" s="1" t="s">
        <v>43</v>
      </c>
    </row>
    <row r="29" spans="1:4" hidden="1" x14ac:dyDescent="0.3">
      <c r="A29">
        <v>27</v>
      </c>
      <c r="B29" s="1" t="s">
        <v>51</v>
      </c>
      <c r="C29" t="s">
        <v>52</v>
      </c>
      <c r="D29" s="1" t="s">
        <v>53</v>
      </c>
    </row>
    <row r="30" spans="1:4" hidden="1" x14ac:dyDescent="0.3">
      <c r="A30">
        <v>28</v>
      </c>
      <c r="B30" s="1" t="s">
        <v>54</v>
      </c>
      <c r="C30" t="s">
        <v>55</v>
      </c>
      <c r="D30" s="1" t="s">
        <v>56</v>
      </c>
    </row>
    <row r="31" spans="1:4" hidden="1" x14ac:dyDescent="0.3">
      <c r="A31">
        <v>29</v>
      </c>
      <c r="B31" s="1" t="s">
        <v>57</v>
      </c>
      <c r="C31" t="s">
        <v>58</v>
      </c>
      <c r="D31" s="1" t="s">
        <v>59</v>
      </c>
    </row>
    <row r="32" spans="1:4" hidden="1" x14ac:dyDescent="0.3">
      <c r="A32">
        <v>30</v>
      </c>
      <c r="B32" t="s">
        <v>60</v>
      </c>
      <c r="C32" t="s">
        <v>61</v>
      </c>
      <c r="D32">
        <v>150466356.029273</v>
      </c>
    </row>
    <row r="33" spans="1:4" hidden="1" x14ac:dyDescent="0.3">
      <c r="A33">
        <v>31</v>
      </c>
      <c r="B33" t="s">
        <v>62</v>
      </c>
      <c r="C33" t="s">
        <v>63</v>
      </c>
      <c r="D33">
        <v>80000000</v>
      </c>
    </row>
    <row r="34" spans="1:4" hidden="1" x14ac:dyDescent="0.3">
      <c r="A34">
        <v>32</v>
      </c>
      <c r="B34" t="s">
        <v>64</v>
      </c>
      <c r="C34" t="s">
        <v>65</v>
      </c>
      <c r="D34">
        <v>35000000</v>
      </c>
    </row>
    <row r="35" spans="1:4" hidden="1" x14ac:dyDescent="0.3">
      <c r="A35">
        <v>33</v>
      </c>
      <c r="B35" s="1" t="s">
        <v>66</v>
      </c>
      <c r="C35" t="s">
        <v>67</v>
      </c>
      <c r="D35" s="1" t="s">
        <v>68</v>
      </c>
    </row>
    <row r="36" spans="1:4" hidden="1" x14ac:dyDescent="0.3">
      <c r="A36">
        <v>34</v>
      </c>
      <c r="B36" s="1" t="s">
        <v>69</v>
      </c>
      <c r="C36" t="s">
        <v>70</v>
      </c>
      <c r="D36" s="1" t="s">
        <v>71</v>
      </c>
    </row>
    <row r="37" spans="1:4" hidden="1" x14ac:dyDescent="0.3">
      <c r="A37">
        <v>35</v>
      </c>
      <c r="B37" t="s">
        <v>72</v>
      </c>
      <c r="C37" t="s">
        <v>73</v>
      </c>
      <c r="D37">
        <v>1</v>
      </c>
    </row>
    <row r="38" spans="1:4" hidden="1" x14ac:dyDescent="0.3">
      <c r="A38">
        <v>36</v>
      </c>
      <c r="B38" t="s">
        <v>74</v>
      </c>
      <c r="C38" t="s">
        <v>75</v>
      </c>
      <c r="D38">
        <v>2.7397260273972599E-3</v>
      </c>
    </row>
    <row r="39" spans="1:4" hidden="1" x14ac:dyDescent="0.3">
      <c r="A39">
        <v>37</v>
      </c>
      <c r="B39" t="s">
        <v>76</v>
      </c>
      <c r="C39" t="s">
        <v>77</v>
      </c>
      <c r="D39">
        <v>0</v>
      </c>
    </row>
    <row r="40" spans="1:4" hidden="1" x14ac:dyDescent="0.3">
      <c r="A40">
        <v>38</v>
      </c>
      <c r="B40" t="s">
        <v>78</v>
      </c>
      <c r="C40" t="s">
        <v>79</v>
      </c>
      <c r="D40">
        <v>0</v>
      </c>
    </row>
    <row r="41" spans="1:4" hidden="1" x14ac:dyDescent="0.3">
      <c r="A41">
        <v>39</v>
      </c>
      <c r="B41" s="1" t="s">
        <v>80</v>
      </c>
      <c r="C41" t="s">
        <v>81</v>
      </c>
      <c r="D41" s="1" t="s">
        <v>82</v>
      </c>
    </row>
    <row r="42" spans="1:4" hidden="1" x14ac:dyDescent="0.3">
      <c r="A42">
        <v>40</v>
      </c>
      <c r="B42" t="s">
        <v>83</v>
      </c>
      <c r="C42" t="s">
        <v>84</v>
      </c>
      <c r="D42">
        <v>0.99999231248523901</v>
      </c>
    </row>
    <row r="43" spans="1:4" hidden="1" x14ac:dyDescent="0.3">
      <c r="A43">
        <v>41</v>
      </c>
      <c r="B43" s="1" t="s">
        <v>85</v>
      </c>
      <c r="C43" t="s">
        <v>86</v>
      </c>
      <c r="D43" s="1" t="s">
        <v>87</v>
      </c>
    </row>
    <row r="44" spans="1:4" hidden="1" x14ac:dyDescent="0.3">
      <c r="A44">
        <v>42</v>
      </c>
      <c r="B44" t="s">
        <v>88</v>
      </c>
      <c r="C44" t="s">
        <v>89</v>
      </c>
      <c r="D44">
        <v>100311675.166998</v>
      </c>
    </row>
    <row r="45" spans="1:4" hidden="1" x14ac:dyDescent="0.3">
      <c r="A45">
        <v>43</v>
      </c>
      <c r="B45" s="1" t="s">
        <v>90</v>
      </c>
      <c r="C45" t="s">
        <v>91</v>
      </c>
      <c r="D45" s="1" t="s">
        <v>92</v>
      </c>
    </row>
    <row r="46" spans="1:4" hidden="1" x14ac:dyDescent="0.3">
      <c r="A46">
        <v>44</v>
      </c>
      <c r="B46" t="s">
        <v>93</v>
      </c>
      <c r="C46" t="s">
        <v>94</v>
      </c>
      <c r="D46">
        <v>80000000</v>
      </c>
    </row>
    <row r="47" spans="1:4" hidden="1" x14ac:dyDescent="0.3">
      <c r="A47">
        <v>45</v>
      </c>
      <c r="B47" t="s">
        <v>95</v>
      </c>
      <c r="C47" t="s">
        <v>96</v>
      </c>
      <c r="D47">
        <v>35000000</v>
      </c>
    </row>
    <row r="48" spans="1:4" hidden="1" x14ac:dyDescent="0.3">
      <c r="A48">
        <v>46</v>
      </c>
      <c r="B48" t="s">
        <v>97</v>
      </c>
      <c r="C48" t="s">
        <v>98</v>
      </c>
      <c r="D48">
        <v>35466356.029273003</v>
      </c>
    </row>
    <row r="49" spans="1:4" hidden="1" x14ac:dyDescent="0.3">
      <c r="A49">
        <v>47</v>
      </c>
      <c r="B49" s="1" t="s">
        <v>99</v>
      </c>
      <c r="C49" t="s">
        <v>100</v>
      </c>
      <c r="D49" s="1" t="s">
        <v>101</v>
      </c>
    </row>
    <row r="50" spans="1:4" hidden="1" x14ac:dyDescent="0.3">
      <c r="A50">
        <v>48</v>
      </c>
      <c r="B50" t="s">
        <v>102</v>
      </c>
      <c r="C50" t="s">
        <v>103</v>
      </c>
      <c r="D50">
        <v>5.9676822377866603E-3</v>
      </c>
    </row>
    <row r="51" spans="1:4" hidden="1" x14ac:dyDescent="0.3">
      <c r="A51">
        <v>49</v>
      </c>
      <c r="B51" t="s">
        <v>104</v>
      </c>
      <c r="C51" t="s">
        <v>105</v>
      </c>
      <c r="D51">
        <v>7.4240684740709505E-4</v>
      </c>
    </row>
    <row r="52" spans="1:4" hidden="1" x14ac:dyDescent="0.3">
      <c r="A52">
        <v>50</v>
      </c>
      <c r="B52" t="s">
        <v>106</v>
      </c>
      <c r="C52" t="s">
        <v>107</v>
      </c>
      <c r="D52">
        <v>1.15410159133732E-2</v>
      </c>
    </row>
    <row r="53" spans="1:4" hidden="1" x14ac:dyDescent="0.3">
      <c r="A53">
        <v>51</v>
      </c>
      <c r="B53" s="1" t="s">
        <v>108</v>
      </c>
      <c r="C53" t="s">
        <v>109</v>
      </c>
      <c r="D53" s="1" t="s">
        <v>110</v>
      </c>
    </row>
    <row r="54" spans="1:4" hidden="1" x14ac:dyDescent="0.3">
      <c r="A54">
        <v>52</v>
      </c>
      <c r="B54" t="s">
        <v>111</v>
      </c>
      <c r="C54" t="s">
        <v>112</v>
      </c>
      <c r="D54">
        <v>-205.001969582068</v>
      </c>
    </row>
    <row r="55" spans="1:4" hidden="1" x14ac:dyDescent="0.3">
      <c r="A55">
        <v>53</v>
      </c>
      <c r="B55" t="s">
        <v>113</v>
      </c>
      <c r="C55" t="s">
        <v>114</v>
      </c>
      <c r="D55">
        <v>-30.6327052588654</v>
      </c>
    </row>
    <row r="56" spans="1:4" hidden="1" x14ac:dyDescent="0.3">
      <c r="A56">
        <v>54</v>
      </c>
      <c r="B56" s="1" t="s">
        <v>115</v>
      </c>
      <c r="C56" t="s">
        <v>116</v>
      </c>
      <c r="D56" s="1" t="s">
        <v>117</v>
      </c>
    </row>
    <row r="57" spans="1:4" hidden="1" x14ac:dyDescent="0.3">
      <c r="A57">
        <v>55</v>
      </c>
      <c r="B57" t="s">
        <v>118</v>
      </c>
      <c r="C57" t="s">
        <v>119</v>
      </c>
      <c r="D57">
        <v>79999794.998030394</v>
      </c>
    </row>
    <row r="58" spans="1:4" hidden="1" x14ac:dyDescent="0.3">
      <c r="A58">
        <v>56</v>
      </c>
      <c r="B58" t="s">
        <v>120</v>
      </c>
      <c r="C58" t="s">
        <v>121</v>
      </c>
      <c r="D58">
        <v>34999969.367294699</v>
      </c>
    </row>
    <row r="59" spans="1:4" hidden="1" x14ac:dyDescent="0.3">
      <c r="A59">
        <v>57</v>
      </c>
      <c r="B59" s="1" t="s">
        <v>122</v>
      </c>
      <c r="C59" t="s">
        <v>123</v>
      </c>
      <c r="D59" s="1" t="s">
        <v>124</v>
      </c>
    </row>
    <row r="60" spans="1:4" hidden="1" x14ac:dyDescent="0.3">
      <c r="A60">
        <v>58</v>
      </c>
      <c r="B60" t="s">
        <v>125</v>
      </c>
      <c r="C60" t="s">
        <v>126</v>
      </c>
      <c r="D60">
        <v>0.79751843311537196</v>
      </c>
    </row>
    <row r="61" spans="1:4" hidden="1" x14ac:dyDescent="0.3">
      <c r="A61">
        <v>59</v>
      </c>
      <c r="B61" t="s">
        <v>127</v>
      </c>
      <c r="C61" t="s">
        <v>128</v>
      </c>
      <c r="D61">
        <v>0.34891490321416602</v>
      </c>
    </row>
    <row r="62" spans="1:4" hidden="1" x14ac:dyDescent="0.3">
      <c r="A62">
        <v>60</v>
      </c>
      <c r="B62" s="1" t="s">
        <v>129</v>
      </c>
      <c r="C62" t="s">
        <v>130</v>
      </c>
      <c r="D62" s="1" t="s">
        <v>131</v>
      </c>
    </row>
    <row r="63" spans="1:4" x14ac:dyDescent="0.3">
      <c r="A63">
        <v>61</v>
      </c>
      <c r="B63" s="1" t="s">
        <v>3</v>
      </c>
      <c r="C63" t="s">
        <v>4</v>
      </c>
      <c r="D63" t="s">
        <v>5</v>
      </c>
    </row>
    <row r="64" spans="1:4" hidden="1" x14ac:dyDescent="0.3">
      <c r="A64">
        <v>62</v>
      </c>
      <c r="B64" t="s">
        <v>6</v>
      </c>
      <c r="C64" t="s">
        <v>7</v>
      </c>
      <c r="D64">
        <v>1199.98</v>
      </c>
    </row>
    <row r="65" spans="1:4" hidden="1" x14ac:dyDescent="0.3">
      <c r="A65">
        <v>63</v>
      </c>
      <c r="B65" s="1" t="s">
        <v>132</v>
      </c>
      <c r="C65" t="s">
        <v>9</v>
      </c>
      <c r="D65" s="1" t="s">
        <v>133</v>
      </c>
    </row>
    <row r="66" spans="1:4" hidden="1" x14ac:dyDescent="0.3">
      <c r="A66">
        <v>64</v>
      </c>
      <c r="B66" t="s">
        <v>13</v>
      </c>
      <c r="C66" t="s">
        <v>14</v>
      </c>
      <c r="D66">
        <v>97.91796875</v>
      </c>
    </row>
    <row r="67" spans="1:4" hidden="1" x14ac:dyDescent="0.3">
      <c r="A67">
        <v>65</v>
      </c>
      <c r="B67" t="s">
        <v>15</v>
      </c>
      <c r="C67" t="s">
        <v>16</v>
      </c>
      <c r="D67">
        <v>4.2752882005853001</v>
      </c>
    </row>
    <row r="68" spans="1:4" hidden="1" x14ac:dyDescent="0.3">
      <c r="A68">
        <v>66</v>
      </c>
      <c r="B68" s="1" t="s">
        <v>134</v>
      </c>
      <c r="C68" t="s">
        <v>135</v>
      </c>
      <c r="D68" s="1" t="s">
        <v>136</v>
      </c>
    </row>
    <row r="69" spans="1:4" hidden="1" x14ac:dyDescent="0.3">
      <c r="A69">
        <v>67</v>
      </c>
      <c r="B69" t="s">
        <v>21</v>
      </c>
      <c r="C69" t="s">
        <v>22</v>
      </c>
      <c r="D69">
        <v>77.95</v>
      </c>
    </row>
    <row r="70" spans="1:4" hidden="1" x14ac:dyDescent="0.3">
      <c r="A70">
        <v>68</v>
      </c>
      <c r="B70" t="s">
        <v>137</v>
      </c>
      <c r="C70" t="s">
        <v>24</v>
      </c>
      <c r="D70">
        <v>4.9157678953997497</v>
      </c>
    </row>
    <row r="71" spans="1:4" hidden="1" x14ac:dyDescent="0.3">
      <c r="A71">
        <v>69</v>
      </c>
      <c r="B71" s="1" t="s">
        <v>138</v>
      </c>
      <c r="C71" t="s">
        <v>139</v>
      </c>
      <c r="D71" s="1" t="s">
        <v>140</v>
      </c>
    </row>
    <row r="72" spans="1:4" hidden="1" x14ac:dyDescent="0.3">
      <c r="A72">
        <v>70</v>
      </c>
      <c r="B72" t="s">
        <v>141</v>
      </c>
      <c r="C72" t="s">
        <v>35</v>
      </c>
      <c r="D72">
        <v>0.159424838702794</v>
      </c>
    </row>
    <row r="73" spans="1:4" hidden="1" x14ac:dyDescent="0.3">
      <c r="A73">
        <v>71</v>
      </c>
      <c r="B73" t="s">
        <v>142</v>
      </c>
      <c r="C73" t="s">
        <v>143</v>
      </c>
      <c r="D73">
        <v>0.77182300648930402</v>
      </c>
    </row>
    <row r="74" spans="1:4" hidden="1" x14ac:dyDescent="0.3">
      <c r="A74">
        <v>72</v>
      </c>
      <c r="B74" s="1" t="s">
        <v>144</v>
      </c>
      <c r="C74" t="s">
        <v>145</v>
      </c>
      <c r="D74" s="1" t="s">
        <v>38</v>
      </c>
    </row>
    <row r="75" spans="1:4" hidden="1" x14ac:dyDescent="0.3">
      <c r="A75">
        <v>73</v>
      </c>
      <c r="B75" t="s">
        <v>146</v>
      </c>
      <c r="C75" t="s">
        <v>30</v>
      </c>
      <c r="D75">
        <v>0.37469349306676902</v>
      </c>
    </row>
    <row r="76" spans="1:4" hidden="1" x14ac:dyDescent="0.3">
      <c r="A76">
        <v>74</v>
      </c>
      <c r="B76" t="s">
        <v>147</v>
      </c>
      <c r="C76" t="s">
        <v>32</v>
      </c>
      <c r="D76">
        <v>0.141434776106872</v>
      </c>
    </row>
    <row r="77" spans="1:4" hidden="1" x14ac:dyDescent="0.3">
      <c r="A77">
        <v>75</v>
      </c>
      <c r="B77" s="1" t="s">
        <v>148</v>
      </c>
      <c r="C77" t="s">
        <v>149</v>
      </c>
      <c r="D77" s="1" t="s">
        <v>33</v>
      </c>
    </row>
    <row r="78" spans="1:4" hidden="1" x14ac:dyDescent="0.3">
      <c r="A78">
        <v>76</v>
      </c>
      <c r="B78" t="s">
        <v>150</v>
      </c>
      <c r="C78" t="s">
        <v>40</v>
      </c>
      <c r="D78">
        <v>0.46588166823043498</v>
      </c>
    </row>
    <row r="79" spans="1:4" hidden="1" x14ac:dyDescent="0.3">
      <c r="A79">
        <v>77</v>
      </c>
      <c r="B79" t="s">
        <v>151</v>
      </c>
      <c r="C79" t="s">
        <v>42</v>
      </c>
      <c r="D79">
        <v>0.15419905651049901</v>
      </c>
    </row>
    <row r="80" spans="1:4" hidden="1" x14ac:dyDescent="0.3">
      <c r="A80">
        <v>78</v>
      </c>
      <c r="B80" s="1" t="s">
        <v>152</v>
      </c>
      <c r="C80" t="s">
        <v>153</v>
      </c>
      <c r="D80" s="1" t="s">
        <v>43</v>
      </c>
    </row>
    <row r="81" spans="1:4" hidden="1" x14ac:dyDescent="0.3">
      <c r="A81">
        <v>79</v>
      </c>
      <c r="B81" t="s">
        <v>154</v>
      </c>
      <c r="C81" t="s">
        <v>155</v>
      </c>
      <c r="D81">
        <v>1</v>
      </c>
    </row>
    <row r="82" spans="1:4" hidden="1" x14ac:dyDescent="0.3">
      <c r="A82">
        <v>80</v>
      </c>
      <c r="B82" t="s">
        <v>156</v>
      </c>
      <c r="C82" t="s">
        <v>157</v>
      </c>
      <c r="D82">
        <v>1</v>
      </c>
    </row>
    <row r="83" spans="1:4" hidden="1" x14ac:dyDescent="0.3">
      <c r="A83">
        <v>81</v>
      </c>
      <c r="B83" s="1" t="s">
        <v>158</v>
      </c>
      <c r="C83" t="s">
        <v>159</v>
      </c>
      <c r="D83" s="1" t="s">
        <v>160</v>
      </c>
    </row>
    <row r="84" spans="1:4" hidden="1" x14ac:dyDescent="0.3">
      <c r="A84">
        <v>82</v>
      </c>
      <c r="B84" t="s">
        <v>161</v>
      </c>
      <c r="C84" t="s">
        <v>162</v>
      </c>
      <c r="D84">
        <v>1.00067154251151</v>
      </c>
    </row>
    <row r="85" spans="1:4" hidden="1" x14ac:dyDescent="0.3">
      <c r="A85">
        <v>83</v>
      </c>
      <c r="B85" t="s">
        <v>163</v>
      </c>
      <c r="C85" t="s">
        <v>164</v>
      </c>
      <c r="D85">
        <v>0.99982055227205202</v>
      </c>
    </row>
    <row r="86" spans="1:4" hidden="1" x14ac:dyDescent="0.3">
      <c r="A86">
        <v>84</v>
      </c>
      <c r="B86" s="1" t="s">
        <v>165</v>
      </c>
      <c r="C86" t="s">
        <v>166</v>
      </c>
      <c r="D86" s="1" t="s">
        <v>167</v>
      </c>
    </row>
    <row r="87" spans="1:4" hidden="1" x14ac:dyDescent="0.3">
      <c r="A87">
        <v>85</v>
      </c>
      <c r="B87" s="1" t="s">
        <v>168</v>
      </c>
      <c r="C87" t="s">
        <v>55</v>
      </c>
      <c r="D87" s="1" t="s">
        <v>169</v>
      </c>
    </row>
    <row r="88" spans="1:4" hidden="1" x14ac:dyDescent="0.3">
      <c r="A88">
        <v>86</v>
      </c>
      <c r="B88" s="1" t="s">
        <v>170</v>
      </c>
      <c r="C88" t="s">
        <v>52</v>
      </c>
      <c r="D88" s="1" t="s">
        <v>171</v>
      </c>
    </row>
    <row r="89" spans="1:4" hidden="1" x14ac:dyDescent="0.3">
      <c r="A89">
        <v>87</v>
      </c>
      <c r="B89" s="1" t="s">
        <v>172</v>
      </c>
      <c r="C89" t="s">
        <v>58</v>
      </c>
      <c r="D89" s="1" t="s">
        <v>173</v>
      </c>
    </row>
    <row r="90" spans="1:4" hidden="1" x14ac:dyDescent="0.3">
      <c r="A90">
        <v>88</v>
      </c>
      <c r="B90" t="s">
        <v>174</v>
      </c>
      <c r="C90" t="s">
        <v>61</v>
      </c>
      <c r="D90">
        <v>150469332.519844</v>
      </c>
    </row>
    <row r="91" spans="1:4" hidden="1" x14ac:dyDescent="0.3">
      <c r="A91">
        <v>89</v>
      </c>
      <c r="B91" t="s">
        <v>62</v>
      </c>
      <c r="C91" t="s">
        <v>63</v>
      </c>
      <c r="D91">
        <v>80000000</v>
      </c>
    </row>
    <row r="92" spans="1:4" hidden="1" x14ac:dyDescent="0.3">
      <c r="A92">
        <v>90</v>
      </c>
      <c r="B92" t="s">
        <v>64</v>
      </c>
      <c r="C92" t="s">
        <v>65</v>
      </c>
      <c r="D92">
        <v>35000000</v>
      </c>
    </row>
    <row r="93" spans="1:4" hidden="1" x14ac:dyDescent="0.3">
      <c r="A93">
        <v>91</v>
      </c>
      <c r="B93" s="1" t="s">
        <v>175</v>
      </c>
      <c r="C93" t="s">
        <v>67</v>
      </c>
      <c r="D93" s="1" t="s">
        <v>176</v>
      </c>
    </row>
    <row r="94" spans="1:4" hidden="1" x14ac:dyDescent="0.3">
      <c r="A94">
        <v>92</v>
      </c>
      <c r="B94" s="1" t="s">
        <v>177</v>
      </c>
      <c r="C94" t="s">
        <v>70</v>
      </c>
      <c r="D94" s="1" t="s">
        <v>178</v>
      </c>
    </row>
    <row r="95" spans="1:4" hidden="1" x14ac:dyDescent="0.3">
      <c r="A95">
        <v>93</v>
      </c>
      <c r="B95" t="s">
        <v>179</v>
      </c>
      <c r="C95" t="s">
        <v>73</v>
      </c>
      <c r="D95">
        <v>0.99999231248523901</v>
      </c>
    </row>
    <row r="96" spans="1:4" hidden="1" x14ac:dyDescent="0.3">
      <c r="A96">
        <v>94</v>
      </c>
      <c r="B96" t="s">
        <v>74</v>
      </c>
      <c r="C96" t="s">
        <v>75</v>
      </c>
      <c r="D96">
        <v>2.7397260273972599E-3</v>
      </c>
    </row>
    <row r="97" spans="1:4" hidden="1" x14ac:dyDescent="0.3">
      <c r="A97">
        <v>95</v>
      </c>
      <c r="B97" t="s">
        <v>76</v>
      </c>
      <c r="C97" t="s">
        <v>77</v>
      </c>
      <c r="D97">
        <v>0</v>
      </c>
    </row>
    <row r="98" spans="1:4" hidden="1" x14ac:dyDescent="0.3">
      <c r="A98">
        <v>96</v>
      </c>
      <c r="B98" t="s">
        <v>78</v>
      </c>
      <c r="C98" t="s">
        <v>79</v>
      </c>
      <c r="D98">
        <v>0</v>
      </c>
    </row>
    <row r="99" spans="1:4" hidden="1" x14ac:dyDescent="0.3">
      <c r="A99">
        <v>97</v>
      </c>
      <c r="B99" s="1" t="s">
        <v>180</v>
      </c>
      <c r="C99" t="s">
        <v>81</v>
      </c>
      <c r="D99" s="1" t="s">
        <v>181</v>
      </c>
    </row>
    <row r="100" spans="1:4" hidden="1" x14ac:dyDescent="0.3">
      <c r="A100">
        <v>98</v>
      </c>
      <c r="B100" t="s">
        <v>182</v>
      </c>
      <c r="C100" t="s">
        <v>84</v>
      </c>
      <c r="D100">
        <v>0.99996258640842595</v>
      </c>
    </row>
    <row r="101" spans="1:4" hidden="1" x14ac:dyDescent="0.3">
      <c r="A101">
        <v>99</v>
      </c>
      <c r="B101" s="1" t="s">
        <v>183</v>
      </c>
      <c r="C101" t="s">
        <v>86</v>
      </c>
      <c r="D101" s="1" t="s">
        <v>184</v>
      </c>
    </row>
    <row r="102" spans="1:4" hidden="1" x14ac:dyDescent="0.3">
      <c r="A102">
        <v>100</v>
      </c>
      <c r="B102" t="s">
        <v>185</v>
      </c>
      <c r="C102" t="s">
        <v>89</v>
      </c>
      <c r="D102">
        <v>100316641.552417</v>
      </c>
    </row>
    <row r="103" spans="1:4" hidden="1" x14ac:dyDescent="0.3">
      <c r="A103">
        <v>101</v>
      </c>
      <c r="B103" s="1" t="s">
        <v>186</v>
      </c>
      <c r="C103" t="s">
        <v>91</v>
      </c>
      <c r="D103" s="1" t="s">
        <v>187</v>
      </c>
    </row>
    <row r="104" spans="1:4" hidden="1" x14ac:dyDescent="0.3">
      <c r="A104">
        <v>102</v>
      </c>
      <c r="B104" t="s">
        <v>93</v>
      </c>
      <c r="C104" t="s">
        <v>94</v>
      </c>
      <c r="D104">
        <v>80000000</v>
      </c>
    </row>
    <row r="105" spans="1:4" hidden="1" x14ac:dyDescent="0.3">
      <c r="A105">
        <v>103</v>
      </c>
      <c r="B105" t="s">
        <v>95</v>
      </c>
      <c r="C105" t="s">
        <v>96</v>
      </c>
      <c r="D105">
        <v>35000000</v>
      </c>
    </row>
    <row r="106" spans="1:4" hidden="1" x14ac:dyDescent="0.3">
      <c r="A106">
        <v>104</v>
      </c>
      <c r="B106" t="s">
        <v>188</v>
      </c>
      <c r="C106" t="s">
        <v>98</v>
      </c>
      <c r="D106">
        <v>35469332.519844003</v>
      </c>
    </row>
    <row r="107" spans="1:4" hidden="1" x14ac:dyDescent="0.3">
      <c r="A107">
        <v>105</v>
      </c>
      <c r="B107" s="1" t="s">
        <v>189</v>
      </c>
      <c r="C107" t="s">
        <v>100</v>
      </c>
      <c r="D107" s="1" t="s">
        <v>190</v>
      </c>
    </row>
    <row r="108" spans="1:4" hidden="1" x14ac:dyDescent="0.3">
      <c r="A108">
        <v>106</v>
      </c>
      <c r="B108" t="s">
        <v>191</v>
      </c>
      <c r="C108" t="s">
        <v>103</v>
      </c>
      <c r="D108">
        <v>5.9968196394874296E-3</v>
      </c>
    </row>
    <row r="109" spans="1:4" hidden="1" x14ac:dyDescent="0.3">
      <c r="A109">
        <v>107</v>
      </c>
      <c r="B109" t="s">
        <v>192</v>
      </c>
      <c r="C109" t="s">
        <v>105</v>
      </c>
      <c r="D109">
        <v>7.4339356647876295E-4</v>
      </c>
    </row>
    <row r="110" spans="1:4" hidden="1" x14ac:dyDescent="0.3">
      <c r="A110">
        <v>108</v>
      </c>
      <c r="B110" t="s">
        <v>193</v>
      </c>
      <c r="C110" t="s">
        <v>107</v>
      </c>
      <c r="D110">
        <v>1.14975131330084E-2</v>
      </c>
    </row>
    <row r="111" spans="1:4" hidden="1" x14ac:dyDescent="0.3">
      <c r="A111">
        <v>109</v>
      </c>
      <c r="B111" s="1" t="s">
        <v>194</v>
      </c>
      <c r="C111" t="s">
        <v>109</v>
      </c>
      <c r="D111" s="1" t="s">
        <v>195</v>
      </c>
    </row>
    <row r="112" spans="1:4" hidden="1" x14ac:dyDescent="0.3">
      <c r="A112">
        <v>110</v>
      </c>
      <c r="B112" t="s">
        <v>196</v>
      </c>
      <c r="C112" t="s">
        <v>197</v>
      </c>
      <c r="D112">
        <v>150468306.08608299</v>
      </c>
    </row>
    <row r="113" spans="1:4" hidden="1" x14ac:dyDescent="0.3">
      <c r="A113">
        <v>111</v>
      </c>
      <c r="B113" t="s">
        <v>198</v>
      </c>
      <c r="C113" t="s">
        <v>199</v>
      </c>
      <c r="D113">
        <v>3960.5304710691998</v>
      </c>
    </row>
    <row r="114" spans="1:4" hidden="1" x14ac:dyDescent="0.3">
      <c r="A114">
        <v>112</v>
      </c>
      <c r="B114" t="s">
        <v>200</v>
      </c>
      <c r="C114" t="s">
        <v>201</v>
      </c>
      <c r="D114">
        <v>1732.742756892</v>
      </c>
    </row>
    <row r="115" spans="1:4" hidden="1" x14ac:dyDescent="0.3">
      <c r="A115">
        <v>113</v>
      </c>
      <c r="B115" s="1" t="s">
        <v>202</v>
      </c>
      <c r="C115" t="s">
        <v>203</v>
      </c>
      <c r="D115" s="1" t="s">
        <v>204</v>
      </c>
    </row>
    <row r="116" spans="1:4" hidden="1" x14ac:dyDescent="0.3">
      <c r="A116">
        <v>114</v>
      </c>
      <c r="B116" t="s">
        <v>205</v>
      </c>
      <c r="C116" t="s">
        <v>206</v>
      </c>
      <c r="D116">
        <v>79995290.859389096</v>
      </c>
    </row>
    <row r="117" spans="1:4" hidden="1" x14ac:dyDescent="0.3">
      <c r="A117">
        <v>115</v>
      </c>
      <c r="B117" t="s">
        <v>207</v>
      </c>
      <c r="C117" t="s">
        <v>208</v>
      </c>
      <c r="D117">
        <v>34998155.382113598</v>
      </c>
    </row>
    <row r="118" spans="1:4" hidden="1" x14ac:dyDescent="0.3">
      <c r="A118">
        <v>116</v>
      </c>
      <c r="B118" t="s">
        <v>209</v>
      </c>
      <c r="C118" t="s">
        <v>210</v>
      </c>
      <c r="D118">
        <v>35467410.595983803</v>
      </c>
    </row>
    <row r="119" spans="1:4" hidden="1" x14ac:dyDescent="0.3">
      <c r="A119">
        <v>117</v>
      </c>
      <c r="B119" s="1" t="s">
        <v>211</v>
      </c>
      <c r="C119" t="s">
        <v>212</v>
      </c>
      <c r="D119" s="1" t="s">
        <v>213</v>
      </c>
    </row>
    <row r="120" spans="1:4" hidden="1" x14ac:dyDescent="0.3">
      <c r="A120">
        <v>118</v>
      </c>
      <c r="B120" t="s">
        <v>214</v>
      </c>
      <c r="C120" t="s">
        <v>215</v>
      </c>
      <c r="D120">
        <v>100311675.166998</v>
      </c>
    </row>
    <row r="121" spans="1:4" hidden="1" x14ac:dyDescent="0.3">
      <c r="A121">
        <v>119</v>
      </c>
      <c r="B121" t="s">
        <v>216</v>
      </c>
      <c r="C121" t="s">
        <v>217</v>
      </c>
      <c r="D121">
        <v>4966.3854188770001</v>
      </c>
    </row>
    <row r="122" spans="1:4" hidden="1" x14ac:dyDescent="0.3">
      <c r="A122">
        <v>120</v>
      </c>
      <c r="B122" s="1" t="s">
        <v>218</v>
      </c>
      <c r="C122" t="s">
        <v>219</v>
      </c>
      <c r="D122" s="1" t="s">
        <v>220</v>
      </c>
    </row>
    <row r="123" spans="1:4" hidden="1" x14ac:dyDescent="0.3">
      <c r="A123">
        <v>121</v>
      </c>
      <c r="B123" t="s">
        <v>221</v>
      </c>
      <c r="C123" t="s">
        <v>112</v>
      </c>
      <c r="D123">
        <v>-748.61013979035499</v>
      </c>
    </row>
    <row r="124" spans="1:4" hidden="1" x14ac:dyDescent="0.3">
      <c r="A124">
        <v>122</v>
      </c>
      <c r="B124" t="s">
        <v>222</v>
      </c>
      <c r="C124" t="s">
        <v>114</v>
      </c>
      <c r="D124">
        <v>-111.875129494212</v>
      </c>
    </row>
    <row r="125" spans="1:4" hidden="1" x14ac:dyDescent="0.3">
      <c r="A125">
        <v>123</v>
      </c>
      <c r="B125" s="1" t="s">
        <v>223</v>
      </c>
      <c r="C125" t="s">
        <v>116</v>
      </c>
      <c r="D125" s="1" t="s">
        <v>224</v>
      </c>
    </row>
    <row r="126" spans="1:4" hidden="1" x14ac:dyDescent="0.3">
      <c r="A126">
        <v>124</v>
      </c>
      <c r="B126" t="s">
        <v>225</v>
      </c>
      <c r="C126" t="s">
        <v>119</v>
      </c>
      <c r="D126">
        <v>79995290.859389096</v>
      </c>
    </row>
    <row r="127" spans="1:4" hidden="1" x14ac:dyDescent="0.3">
      <c r="A127">
        <v>125</v>
      </c>
      <c r="B127" t="s">
        <v>226</v>
      </c>
      <c r="C127" t="s">
        <v>121</v>
      </c>
      <c r="D127">
        <v>34998155.382113598</v>
      </c>
    </row>
    <row r="128" spans="1:4" hidden="1" x14ac:dyDescent="0.3">
      <c r="A128">
        <v>126</v>
      </c>
      <c r="B128" s="1" t="s">
        <v>227</v>
      </c>
      <c r="C128" t="s">
        <v>123</v>
      </c>
      <c r="D128" s="1" t="s">
        <v>228</v>
      </c>
    </row>
    <row r="129" spans="1:4" hidden="1" x14ac:dyDescent="0.3">
      <c r="A129">
        <v>127</v>
      </c>
      <c r="B129" t="s">
        <v>229</v>
      </c>
      <c r="C129" t="s">
        <v>126</v>
      </c>
      <c r="D129">
        <v>0.79749723797681304</v>
      </c>
    </row>
    <row r="130" spans="1:4" hidden="1" x14ac:dyDescent="0.3">
      <c r="A130">
        <v>128</v>
      </c>
      <c r="B130" t="s">
        <v>230</v>
      </c>
      <c r="C130" t="s">
        <v>128</v>
      </c>
      <c r="D130">
        <v>0.34890719130678699</v>
      </c>
    </row>
    <row r="131" spans="1:4" hidden="1" x14ac:dyDescent="0.3">
      <c r="A131">
        <v>129</v>
      </c>
      <c r="B131" s="1" t="s">
        <v>231</v>
      </c>
      <c r="C131" t="s">
        <v>130</v>
      </c>
      <c r="D131" s="1" t="s">
        <v>232</v>
      </c>
    </row>
    <row r="132" spans="1:4" x14ac:dyDescent="0.3">
      <c r="A132">
        <v>130</v>
      </c>
      <c r="B132" s="1" t="s">
        <v>3</v>
      </c>
      <c r="C132" t="s">
        <v>4</v>
      </c>
      <c r="D132" t="s">
        <v>5</v>
      </c>
    </row>
    <row r="133" spans="1:4" hidden="1" x14ac:dyDescent="0.3">
      <c r="A133">
        <v>131</v>
      </c>
      <c r="B133" t="s">
        <v>6</v>
      </c>
      <c r="C133" t="s">
        <v>7</v>
      </c>
      <c r="D133">
        <v>1199.98</v>
      </c>
    </row>
    <row r="134" spans="1:4" hidden="1" x14ac:dyDescent="0.3">
      <c r="A134">
        <v>132</v>
      </c>
      <c r="B134" s="1" t="s">
        <v>132</v>
      </c>
      <c r="C134" t="s">
        <v>9</v>
      </c>
      <c r="D134" s="1" t="s">
        <v>133</v>
      </c>
    </row>
    <row r="135" spans="1:4" hidden="1" x14ac:dyDescent="0.3">
      <c r="A135">
        <v>133</v>
      </c>
      <c r="B135" t="s">
        <v>13</v>
      </c>
      <c r="C135" t="s">
        <v>14</v>
      </c>
      <c r="D135">
        <v>97.91796875</v>
      </c>
    </row>
    <row r="136" spans="1:4" hidden="1" x14ac:dyDescent="0.3">
      <c r="A136">
        <v>134</v>
      </c>
      <c r="B136" t="s">
        <v>15</v>
      </c>
      <c r="C136" t="s">
        <v>16</v>
      </c>
      <c r="D136">
        <v>4.2752882005853001</v>
      </c>
    </row>
    <row r="137" spans="1:4" hidden="1" x14ac:dyDescent="0.3">
      <c r="A137">
        <v>135</v>
      </c>
      <c r="B137" s="1" t="s">
        <v>134</v>
      </c>
      <c r="C137" t="s">
        <v>135</v>
      </c>
      <c r="D137" s="1" t="s">
        <v>136</v>
      </c>
    </row>
    <row r="138" spans="1:4" hidden="1" x14ac:dyDescent="0.3">
      <c r="A138">
        <v>136</v>
      </c>
      <c r="B138" t="s">
        <v>21</v>
      </c>
      <c r="C138" t="s">
        <v>22</v>
      </c>
      <c r="D138">
        <v>77.95</v>
      </c>
    </row>
    <row r="139" spans="1:4" hidden="1" x14ac:dyDescent="0.3">
      <c r="A139">
        <v>137</v>
      </c>
      <c r="B139" t="s">
        <v>233</v>
      </c>
      <c r="C139" t="s">
        <v>24</v>
      </c>
      <c r="D139">
        <v>4.9193004423080904</v>
      </c>
    </row>
    <row r="140" spans="1:4" hidden="1" x14ac:dyDescent="0.3">
      <c r="A140">
        <v>138</v>
      </c>
      <c r="B140" s="1" t="s">
        <v>234</v>
      </c>
      <c r="C140" t="s">
        <v>139</v>
      </c>
      <c r="D140" s="1" t="s">
        <v>235</v>
      </c>
    </row>
    <row r="141" spans="1:4" hidden="1" x14ac:dyDescent="0.3">
      <c r="A141">
        <v>139</v>
      </c>
      <c r="B141" t="s">
        <v>236</v>
      </c>
      <c r="C141" t="s">
        <v>35</v>
      </c>
      <c r="D141">
        <v>0.16035406090451099</v>
      </c>
    </row>
    <row r="142" spans="1:4" hidden="1" x14ac:dyDescent="0.3">
      <c r="A142">
        <v>140</v>
      </c>
      <c r="B142" t="s">
        <v>237</v>
      </c>
      <c r="C142" t="s">
        <v>143</v>
      </c>
      <c r="D142">
        <v>0.77212048682030199</v>
      </c>
    </row>
    <row r="143" spans="1:4" hidden="1" x14ac:dyDescent="0.3">
      <c r="A143">
        <v>141</v>
      </c>
      <c r="B143" s="1" t="s">
        <v>238</v>
      </c>
      <c r="C143" t="s">
        <v>145</v>
      </c>
      <c r="D143" s="1" t="s">
        <v>239</v>
      </c>
    </row>
    <row r="144" spans="1:4" hidden="1" x14ac:dyDescent="0.3">
      <c r="A144">
        <v>142</v>
      </c>
      <c r="B144" t="s">
        <v>240</v>
      </c>
      <c r="C144" t="s">
        <v>30</v>
      </c>
      <c r="D144">
        <v>0.37687742823916698</v>
      </c>
    </row>
    <row r="145" spans="1:4" hidden="1" x14ac:dyDescent="0.3">
      <c r="A145">
        <v>143</v>
      </c>
      <c r="B145" t="s">
        <v>241</v>
      </c>
      <c r="C145" t="s">
        <v>32</v>
      </c>
      <c r="D145">
        <v>0.140955070662593</v>
      </c>
    </row>
    <row r="146" spans="1:4" hidden="1" x14ac:dyDescent="0.3">
      <c r="A146">
        <v>144</v>
      </c>
      <c r="B146" s="1" t="s">
        <v>242</v>
      </c>
      <c r="C146" t="s">
        <v>149</v>
      </c>
      <c r="D146" s="1" t="s">
        <v>243</v>
      </c>
    </row>
    <row r="147" spans="1:4" hidden="1" x14ac:dyDescent="0.3">
      <c r="A147">
        <v>145</v>
      </c>
      <c r="B147" t="s">
        <v>244</v>
      </c>
      <c r="C147" t="s">
        <v>40</v>
      </c>
      <c r="D147">
        <v>0.46276851085632098</v>
      </c>
    </row>
    <row r="148" spans="1:4" hidden="1" x14ac:dyDescent="0.3">
      <c r="A148">
        <v>146</v>
      </c>
      <c r="B148" t="s">
        <v>245</v>
      </c>
      <c r="C148" t="s">
        <v>42</v>
      </c>
      <c r="D148">
        <v>0.154179583927568</v>
      </c>
    </row>
    <row r="149" spans="1:4" hidden="1" x14ac:dyDescent="0.3">
      <c r="A149">
        <v>147</v>
      </c>
      <c r="B149" s="1" t="s">
        <v>246</v>
      </c>
      <c r="C149" t="s">
        <v>153</v>
      </c>
      <c r="D149" s="1" t="s">
        <v>247</v>
      </c>
    </row>
    <row r="150" spans="1:4" hidden="1" x14ac:dyDescent="0.3">
      <c r="A150">
        <v>148</v>
      </c>
      <c r="B150" t="s">
        <v>154</v>
      </c>
      <c r="C150" t="s">
        <v>155</v>
      </c>
      <c r="D150">
        <v>1</v>
      </c>
    </row>
    <row r="151" spans="1:4" hidden="1" x14ac:dyDescent="0.3">
      <c r="A151">
        <v>149</v>
      </c>
      <c r="B151" t="s">
        <v>156</v>
      </c>
      <c r="C151" t="s">
        <v>157</v>
      </c>
      <c r="D151">
        <v>1</v>
      </c>
    </row>
    <row r="152" spans="1:4" hidden="1" x14ac:dyDescent="0.3">
      <c r="A152">
        <v>150</v>
      </c>
      <c r="B152" s="1" t="s">
        <v>248</v>
      </c>
      <c r="C152" t="s">
        <v>159</v>
      </c>
      <c r="D152" s="1" t="s">
        <v>249</v>
      </c>
    </row>
    <row r="153" spans="1:4" hidden="1" x14ac:dyDescent="0.3">
      <c r="A153">
        <v>151</v>
      </c>
      <c r="B153" t="s">
        <v>250</v>
      </c>
      <c r="C153" t="s">
        <v>162</v>
      </c>
      <c r="D153">
        <v>1.0001678950605699</v>
      </c>
    </row>
    <row r="154" spans="1:4" hidden="1" x14ac:dyDescent="0.3">
      <c r="A154">
        <v>152</v>
      </c>
      <c r="B154" t="s">
        <v>251</v>
      </c>
      <c r="C154" t="s">
        <v>164</v>
      </c>
      <c r="D154">
        <v>0.99957973468627304</v>
      </c>
    </row>
    <row r="155" spans="1:4" hidden="1" x14ac:dyDescent="0.3">
      <c r="A155">
        <v>153</v>
      </c>
      <c r="B155" s="1" t="s">
        <v>252</v>
      </c>
      <c r="C155" t="s">
        <v>166</v>
      </c>
      <c r="D155" s="1" t="s">
        <v>253</v>
      </c>
    </row>
    <row r="156" spans="1:4" hidden="1" x14ac:dyDescent="0.3">
      <c r="A156">
        <v>154</v>
      </c>
      <c r="B156" s="1" t="s">
        <v>254</v>
      </c>
      <c r="C156" t="s">
        <v>55</v>
      </c>
      <c r="D156" s="1" t="s">
        <v>255</v>
      </c>
    </row>
    <row r="157" spans="1:4" hidden="1" x14ac:dyDescent="0.3">
      <c r="A157">
        <v>155</v>
      </c>
      <c r="B157" s="1" t="s">
        <v>256</v>
      </c>
      <c r="C157" t="s">
        <v>52</v>
      </c>
      <c r="D157" s="1" t="s">
        <v>257</v>
      </c>
    </row>
    <row r="158" spans="1:4" hidden="1" x14ac:dyDescent="0.3">
      <c r="A158">
        <v>156</v>
      </c>
      <c r="B158" s="1" t="s">
        <v>258</v>
      </c>
      <c r="C158" t="s">
        <v>58</v>
      </c>
      <c r="D158" s="1" t="s">
        <v>259</v>
      </c>
    </row>
    <row r="159" spans="1:4" hidden="1" x14ac:dyDescent="0.3">
      <c r="A159">
        <v>157</v>
      </c>
      <c r="B159" t="s">
        <v>260</v>
      </c>
      <c r="C159" t="s">
        <v>61</v>
      </c>
      <c r="D159">
        <v>150462368.80430701</v>
      </c>
    </row>
    <row r="160" spans="1:4" hidden="1" x14ac:dyDescent="0.3">
      <c r="A160">
        <v>158</v>
      </c>
      <c r="B160" t="s">
        <v>261</v>
      </c>
      <c r="C160" t="s">
        <v>63</v>
      </c>
      <c r="D160">
        <v>79995290.859389096</v>
      </c>
    </row>
    <row r="161" spans="1:4" hidden="1" x14ac:dyDescent="0.3">
      <c r="A161">
        <v>159</v>
      </c>
      <c r="B161" t="s">
        <v>262</v>
      </c>
      <c r="C161" t="s">
        <v>65</v>
      </c>
      <c r="D161">
        <v>34998155.382113598</v>
      </c>
    </row>
    <row r="162" spans="1:4" hidden="1" x14ac:dyDescent="0.3">
      <c r="A162">
        <v>160</v>
      </c>
      <c r="B162" s="1" t="s">
        <v>263</v>
      </c>
      <c r="C162" t="s">
        <v>67</v>
      </c>
      <c r="D162" s="1" t="s">
        <v>264</v>
      </c>
    </row>
    <row r="163" spans="1:4" hidden="1" x14ac:dyDescent="0.3">
      <c r="A163">
        <v>161</v>
      </c>
      <c r="B163" s="1" t="s">
        <v>265</v>
      </c>
      <c r="C163" t="s">
        <v>70</v>
      </c>
      <c r="D163" s="1" t="s">
        <v>266</v>
      </c>
    </row>
    <row r="164" spans="1:4" hidden="1" x14ac:dyDescent="0.3">
      <c r="A164">
        <v>162</v>
      </c>
      <c r="B164" t="s">
        <v>267</v>
      </c>
      <c r="C164" t="s">
        <v>73</v>
      </c>
      <c r="D164">
        <v>0.99996258640842595</v>
      </c>
    </row>
    <row r="165" spans="1:4" hidden="1" x14ac:dyDescent="0.3">
      <c r="A165">
        <v>163</v>
      </c>
      <c r="B165" t="s">
        <v>74</v>
      </c>
      <c r="C165" t="s">
        <v>75</v>
      </c>
      <c r="D165">
        <v>2.7397260273972599E-3</v>
      </c>
    </row>
    <row r="166" spans="1:4" hidden="1" x14ac:dyDescent="0.3">
      <c r="A166">
        <v>164</v>
      </c>
      <c r="B166" t="s">
        <v>76</v>
      </c>
      <c r="C166" t="s">
        <v>77</v>
      </c>
      <c r="D166">
        <v>0</v>
      </c>
    </row>
    <row r="167" spans="1:4" hidden="1" x14ac:dyDescent="0.3">
      <c r="A167">
        <v>165</v>
      </c>
      <c r="B167" t="s">
        <v>268</v>
      </c>
      <c r="C167" t="s">
        <v>79</v>
      </c>
      <c r="D167" s="2">
        <v>2.2204460492503101E-16</v>
      </c>
    </row>
    <row r="168" spans="1:4" hidden="1" x14ac:dyDescent="0.3">
      <c r="A168">
        <v>166</v>
      </c>
      <c r="B168" s="1" t="s">
        <v>269</v>
      </c>
      <c r="C168" t="s">
        <v>81</v>
      </c>
      <c r="D168" s="1" t="s">
        <v>270</v>
      </c>
    </row>
    <row r="169" spans="1:4" hidden="1" x14ac:dyDescent="0.3">
      <c r="A169">
        <v>167</v>
      </c>
      <c r="B169" t="s">
        <v>271</v>
      </c>
      <c r="C169" t="s">
        <v>84</v>
      </c>
      <c r="D169">
        <v>0.99999549962907197</v>
      </c>
    </row>
    <row r="170" spans="1:4" hidden="1" x14ac:dyDescent="0.3">
      <c r="A170">
        <v>168</v>
      </c>
      <c r="B170" s="1" t="s">
        <v>272</v>
      </c>
      <c r="C170" t="s">
        <v>86</v>
      </c>
      <c r="D170" s="1" t="s">
        <v>273</v>
      </c>
    </row>
    <row r="171" spans="1:4" hidden="1" x14ac:dyDescent="0.3">
      <c r="A171">
        <v>169</v>
      </c>
      <c r="B171" t="s">
        <v>274</v>
      </c>
      <c r="C171" t="s">
        <v>89</v>
      </c>
      <c r="D171">
        <v>100313339.7938</v>
      </c>
    </row>
    <row r="172" spans="1:4" hidden="1" x14ac:dyDescent="0.3">
      <c r="A172">
        <v>170</v>
      </c>
      <c r="B172" s="1" t="s">
        <v>275</v>
      </c>
      <c r="C172" t="s">
        <v>91</v>
      </c>
      <c r="D172" s="1" t="s">
        <v>220</v>
      </c>
    </row>
    <row r="173" spans="1:4" hidden="1" x14ac:dyDescent="0.3">
      <c r="A173">
        <v>171</v>
      </c>
      <c r="B173" t="s">
        <v>276</v>
      </c>
      <c r="C173" t="s">
        <v>94</v>
      </c>
      <c r="D173">
        <v>79995290.859389096</v>
      </c>
    </row>
    <row r="174" spans="1:4" hidden="1" x14ac:dyDescent="0.3">
      <c r="A174">
        <v>172</v>
      </c>
      <c r="B174" t="s">
        <v>277</v>
      </c>
      <c r="C174" t="s">
        <v>96</v>
      </c>
      <c r="D174">
        <v>34998155.382113598</v>
      </c>
    </row>
    <row r="175" spans="1:4" hidden="1" x14ac:dyDescent="0.3">
      <c r="A175">
        <v>173</v>
      </c>
      <c r="B175" t="s">
        <v>278</v>
      </c>
      <c r="C175" t="s">
        <v>98</v>
      </c>
      <c r="D175">
        <v>35468922.562804699</v>
      </c>
    </row>
    <row r="176" spans="1:4" hidden="1" x14ac:dyDescent="0.3">
      <c r="A176">
        <v>174</v>
      </c>
      <c r="B176" s="1" t="s">
        <v>279</v>
      </c>
      <c r="C176" t="s">
        <v>100</v>
      </c>
      <c r="D176" s="1" t="s">
        <v>280</v>
      </c>
    </row>
    <row r="177" spans="1:4" hidden="1" x14ac:dyDescent="0.3">
      <c r="A177">
        <v>175</v>
      </c>
      <c r="B177" t="s">
        <v>281</v>
      </c>
      <c r="C177" t="s">
        <v>103</v>
      </c>
      <c r="D177">
        <v>6.0272806163252203E-3</v>
      </c>
    </row>
    <row r="178" spans="1:4" hidden="1" x14ac:dyDescent="0.3">
      <c r="A178">
        <v>176</v>
      </c>
      <c r="B178" t="s">
        <v>282</v>
      </c>
      <c r="C178" t="s">
        <v>105</v>
      </c>
      <c r="D178">
        <v>7.4240976819696998E-4</v>
      </c>
    </row>
    <row r="179" spans="1:4" hidden="1" x14ac:dyDescent="0.3">
      <c r="A179">
        <v>177</v>
      </c>
      <c r="B179" t="s">
        <v>283</v>
      </c>
      <c r="C179" t="s">
        <v>107</v>
      </c>
      <c r="D179">
        <v>1.1475412803753001E-2</v>
      </c>
    </row>
    <row r="180" spans="1:4" hidden="1" x14ac:dyDescent="0.3">
      <c r="A180">
        <v>178</v>
      </c>
      <c r="B180" s="1" t="s">
        <v>284</v>
      </c>
      <c r="C180" t="s">
        <v>109</v>
      </c>
      <c r="D180" s="1" t="s">
        <v>285</v>
      </c>
    </row>
    <row r="181" spans="1:4" hidden="1" x14ac:dyDescent="0.3">
      <c r="A181">
        <v>179</v>
      </c>
      <c r="B181" t="s">
        <v>286</v>
      </c>
      <c r="C181" t="s">
        <v>197</v>
      </c>
      <c r="D181">
        <v>150463505.09279799</v>
      </c>
    </row>
    <row r="182" spans="1:4" hidden="1" x14ac:dyDescent="0.3">
      <c r="A182">
        <v>180</v>
      </c>
      <c r="B182" t="s">
        <v>287</v>
      </c>
      <c r="C182" t="s">
        <v>199</v>
      </c>
      <c r="D182">
        <v>-2633.0300569910901</v>
      </c>
    </row>
    <row r="183" spans="1:4" hidden="1" x14ac:dyDescent="0.3">
      <c r="A183">
        <v>181</v>
      </c>
      <c r="B183" t="s">
        <v>288</v>
      </c>
      <c r="C183" t="s">
        <v>201</v>
      </c>
      <c r="D183">
        <v>-1151.9494270775399</v>
      </c>
    </row>
    <row r="184" spans="1:4" hidden="1" x14ac:dyDescent="0.3">
      <c r="A184">
        <v>182</v>
      </c>
      <c r="B184" s="1" t="s">
        <v>289</v>
      </c>
      <c r="C184" t="s">
        <v>203</v>
      </c>
      <c r="D184" s="1" t="s">
        <v>290</v>
      </c>
    </row>
    <row r="185" spans="1:4" hidden="1" x14ac:dyDescent="0.3">
      <c r="A185">
        <v>183</v>
      </c>
      <c r="B185" t="s">
        <v>291</v>
      </c>
      <c r="C185" t="s">
        <v>206</v>
      </c>
      <c r="D185">
        <v>79998801.568234295</v>
      </c>
    </row>
    <row r="186" spans="1:4" hidden="1" x14ac:dyDescent="0.3">
      <c r="A186">
        <v>184</v>
      </c>
      <c r="B186" t="s">
        <v>292</v>
      </c>
      <c r="C186" t="s">
        <v>208</v>
      </c>
      <c r="D186">
        <v>34999438.5323226</v>
      </c>
    </row>
    <row r="187" spans="1:4" hidden="1" x14ac:dyDescent="0.3">
      <c r="A187">
        <v>185</v>
      </c>
      <c r="B187" t="s">
        <v>293</v>
      </c>
      <c r="C187" t="s">
        <v>210</v>
      </c>
      <c r="D187">
        <v>35470217.416071601</v>
      </c>
    </row>
    <row r="188" spans="1:4" hidden="1" x14ac:dyDescent="0.3">
      <c r="A188">
        <v>186</v>
      </c>
      <c r="B188" s="1" t="s">
        <v>294</v>
      </c>
      <c r="C188" t="s">
        <v>212</v>
      </c>
      <c r="D188" s="1" t="s">
        <v>295</v>
      </c>
    </row>
    <row r="189" spans="1:4" hidden="1" x14ac:dyDescent="0.3">
      <c r="A189">
        <v>187</v>
      </c>
      <c r="B189" t="s">
        <v>296</v>
      </c>
      <c r="C189" t="s">
        <v>215</v>
      </c>
      <c r="D189">
        <v>100316641.552417</v>
      </c>
    </row>
    <row r="190" spans="1:4" hidden="1" x14ac:dyDescent="0.3">
      <c r="A190">
        <v>188</v>
      </c>
      <c r="B190" t="s">
        <v>297</v>
      </c>
      <c r="C190" t="s">
        <v>217</v>
      </c>
      <c r="D190">
        <v>-3301.75861695408</v>
      </c>
    </row>
    <row r="191" spans="1:4" hidden="1" x14ac:dyDescent="0.3">
      <c r="A191">
        <v>189</v>
      </c>
      <c r="B191" s="1" t="s">
        <v>298</v>
      </c>
      <c r="C191" t="s">
        <v>219</v>
      </c>
      <c r="D191" s="1" t="s">
        <v>299</v>
      </c>
    </row>
    <row r="192" spans="1:4" hidden="1" x14ac:dyDescent="0.3">
      <c r="A192">
        <v>190</v>
      </c>
      <c r="B192" t="s">
        <v>300</v>
      </c>
      <c r="C192" t="s">
        <v>112</v>
      </c>
      <c r="D192">
        <v>877.67878819560804</v>
      </c>
    </row>
    <row r="193" spans="1:4" hidden="1" x14ac:dyDescent="0.3">
      <c r="A193">
        <v>191</v>
      </c>
      <c r="B193" t="s">
        <v>301</v>
      </c>
      <c r="C193" t="s">
        <v>114</v>
      </c>
      <c r="D193">
        <v>131.20078200076699</v>
      </c>
    </row>
    <row r="194" spans="1:4" hidden="1" x14ac:dyDescent="0.3">
      <c r="A194">
        <v>192</v>
      </c>
      <c r="B194" s="1" t="s">
        <v>302</v>
      </c>
      <c r="C194" t="s">
        <v>116</v>
      </c>
      <c r="D194" s="1" t="s">
        <v>303</v>
      </c>
    </row>
    <row r="195" spans="1:4" hidden="1" x14ac:dyDescent="0.3">
      <c r="A195">
        <v>193</v>
      </c>
      <c r="B195" t="s">
        <v>304</v>
      </c>
      <c r="C195" t="s">
        <v>119</v>
      </c>
      <c r="D195">
        <v>79998801.568234295</v>
      </c>
    </row>
    <row r="196" spans="1:4" hidden="1" x14ac:dyDescent="0.3">
      <c r="A196">
        <v>194</v>
      </c>
      <c r="B196" t="s">
        <v>305</v>
      </c>
      <c r="C196" t="s">
        <v>121</v>
      </c>
      <c r="D196">
        <v>34999438.5323226</v>
      </c>
    </row>
    <row r="197" spans="1:4" hidden="1" x14ac:dyDescent="0.3">
      <c r="A197">
        <v>195</v>
      </c>
      <c r="B197" s="1" t="s">
        <v>306</v>
      </c>
      <c r="C197" t="s">
        <v>123</v>
      </c>
      <c r="D197" s="1" t="s">
        <v>307</v>
      </c>
    </row>
    <row r="198" spans="1:4" hidden="1" x14ac:dyDescent="0.3">
      <c r="A198">
        <v>196</v>
      </c>
      <c r="B198" t="s">
        <v>308</v>
      </c>
      <c r="C198" t="s">
        <v>126</v>
      </c>
      <c r="D198">
        <v>0.79746650561795396</v>
      </c>
    </row>
    <row r="199" spans="1:4" hidden="1" x14ac:dyDescent="0.3">
      <c r="A199">
        <v>197</v>
      </c>
      <c r="B199" t="s">
        <v>309</v>
      </c>
      <c r="C199" t="s">
        <v>128</v>
      </c>
      <c r="D199">
        <v>0.34889122584111898</v>
      </c>
    </row>
    <row r="200" spans="1:4" hidden="1" x14ac:dyDescent="0.3">
      <c r="A200">
        <v>198</v>
      </c>
      <c r="B200" s="1" t="s">
        <v>310</v>
      </c>
      <c r="C200" t="s">
        <v>130</v>
      </c>
      <c r="D200" s="1" t="s">
        <v>311</v>
      </c>
    </row>
    <row r="201" spans="1:4" x14ac:dyDescent="0.3">
      <c r="A201">
        <v>199</v>
      </c>
      <c r="B201" s="1" t="s">
        <v>3</v>
      </c>
      <c r="C201" t="s">
        <v>4</v>
      </c>
      <c r="D201" t="s">
        <v>5</v>
      </c>
    </row>
    <row r="202" spans="1:4" hidden="1" x14ac:dyDescent="0.3">
      <c r="A202">
        <v>200</v>
      </c>
      <c r="B202" t="s">
        <v>6</v>
      </c>
      <c r="C202" t="s">
        <v>7</v>
      </c>
      <c r="D202">
        <v>1199.98</v>
      </c>
    </row>
    <row r="203" spans="1:4" hidden="1" x14ac:dyDescent="0.3">
      <c r="A203">
        <v>201</v>
      </c>
      <c r="B203" s="1" t="s">
        <v>132</v>
      </c>
      <c r="C203" t="s">
        <v>9</v>
      </c>
      <c r="D203" s="1" t="s">
        <v>133</v>
      </c>
    </row>
    <row r="204" spans="1:4" hidden="1" x14ac:dyDescent="0.3">
      <c r="A204">
        <v>202</v>
      </c>
      <c r="B204" t="s">
        <v>13</v>
      </c>
      <c r="C204" t="s">
        <v>14</v>
      </c>
      <c r="D204">
        <v>97.91796875</v>
      </c>
    </row>
    <row r="205" spans="1:4" hidden="1" x14ac:dyDescent="0.3">
      <c r="A205">
        <v>203</v>
      </c>
      <c r="B205" t="s">
        <v>15</v>
      </c>
      <c r="C205" t="s">
        <v>16</v>
      </c>
      <c r="D205">
        <v>4.2752882005853001</v>
      </c>
    </row>
    <row r="206" spans="1:4" hidden="1" x14ac:dyDescent="0.3">
      <c r="A206">
        <v>204</v>
      </c>
      <c r="B206" s="1" t="s">
        <v>134</v>
      </c>
      <c r="C206" t="s">
        <v>135</v>
      </c>
      <c r="D206" s="1" t="s">
        <v>136</v>
      </c>
    </row>
    <row r="207" spans="1:4" hidden="1" x14ac:dyDescent="0.3">
      <c r="A207">
        <v>205</v>
      </c>
      <c r="B207" t="s">
        <v>21</v>
      </c>
      <c r="C207" t="s">
        <v>22</v>
      </c>
      <c r="D207">
        <v>77.95</v>
      </c>
    </row>
    <row r="208" spans="1:4" hidden="1" x14ac:dyDescent="0.3">
      <c r="A208">
        <v>206</v>
      </c>
      <c r="B208" t="s">
        <v>312</v>
      </c>
      <c r="C208" t="s">
        <v>24</v>
      </c>
      <c r="D208">
        <v>4.9350403311477598</v>
      </c>
    </row>
    <row r="209" spans="1:4" hidden="1" x14ac:dyDescent="0.3">
      <c r="A209">
        <v>207</v>
      </c>
      <c r="B209" s="1" t="s">
        <v>313</v>
      </c>
      <c r="C209" t="s">
        <v>139</v>
      </c>
      <c r="D209" s="1" t="s">
        <v>314</v>
      </c>
    </row>
    <row r="210" spans="1:4" hidden="1" x14ac:dyDescent="0.3">
      <c r="A210">
        <v>208</v>
      </c>
      <c r="B210" t="s">
        <v>315</v>
      </c>
      <c r="C210" t="s">
        <v>35</v>
      </c>
      <c r="D210">
        <v>0.161065343355832</v>
      </c>
    </row>
    <row r="211" spans="1:4" hidden="1" x14ac:dyDescent="0.3">
      <c r="A211">
        <v>209</v>
      </c>
      <c r="B211" t="s">
        <v>316</v>
      </c>
      <c r="C211" t="s">
        <v>143</v>
      </c>
      <c r="D211">
        <v>0.77167048060473398</v>
      </c>
    </row>
    <row r="212" spans="1:4" hidden="1" x14ac:dyDescent="0.3">
      <c r="A212">
        <v>210</v>
      </c>
      <c r="B212" s="1" t="s">
        <v>317</v>
      </c>
      <c r="C212" t="s">
        <v>145</v>
      </c>
      <c r="D212" s="1" t="s">
        <v>318</v>
      </c>
    </row>
    <row r="213" spans="1:4" hidden="1" x14ac:dyDescent="0.3">
      <c r="A213">
        <v>211</v>
      </c>
      <c r="B213" t="s">
        <v>319</v>
      </c>
      <c r="C213" t="s">
        <v>30</v>
      </c>
      <c r="D213">
        <v>0.37854914331450301</v>
      </c>
    </row>
    <row r="214" spans="1:4" hidden="1" x14ac:dyDescent="0.3">
      <c r="A214">
        <v>212</v>
      </c>
      <c r="B214" t="s">
        <v>320</v>
      </c>
      <c r="C214" t="s">
        <v>32</v>
      </c>
      <c r="D214">
        <v>0.14130647667503601</v>
      </c>
    </row>
    <row r="215" spans="1:4" hidden="1" x14ac:dyDescent="0.3">
      <c r="A215">
        <v>213</v>
      </c>
      <c r="B215" s="1" t="s">
        <v>321</v>
      </c>
      <c r="C215" t="s">
        <v>149</v>
      </c>
      <c r="D215" s="1" t="s">
        <v>322</v>
      </c>
    </row>
    <row r="216" spans="1:4" hidden="1" x14ac:dyDescent="0.3">
      <c r="A216">
        <v>214</v>
      </c>
      <c r="B216" t="s">
        <v>323</v>
      </c>
      <c r="C216" t="s">
        <v>40</v>
      </c>
      <c r="D216">
        <v>0.46038551332966299</v>
      </c>
    </row>
    <row r="217" spans="1:4" hidden="1" x14ac:dyDescent="0.3">
      <c r="A217">
        <v>215</v>
      </c>
      <c r="B217" t="s">
        <v>324</v>
      </c>
      <c r="C217" t="s">
        <v>42</v>
      </c>
      <c r="D217">
        <v>0.15458344672378399</v>
      </c>
    </row>
    <row r="218" spans="1:4" hidden="1" x14ac:dyDescent="0.3">
      <c r="A218">
        <v>216</v>
      </c>
      <c r="B218" s="1" t="s">
        <v>325</v>
      </c>
      <c r="C218" t="s">
        <v>153</v>
      </c>
      <c r="D218" s="1" t="s">
        <v>326</v>
      </c>
    </row>
    <row r="219" spans="1:4" hidden="1" x14ac:dyDescent="0.3">
      <c r="A219">
        <v>217</v>
      </c>
      <c r="B219" t="s">
        <v>154</v>
      </c>
      <c r="C219" t="s">
        <v>155</v>
      </c>
      <c r="D219">
        <v>1</v>
      </c>
    </row>
    <row r="220" spans="1:4" hidden="1" x14ac:dyDescent="0.3">
      <c r="A220">
        <v>218</v>
      </c>
      <c r="B220" t="s">
        <v>156</v>
      </c>
      <c r="C220" t="s">
        <v>157</v>
      </c>
      <c r="D220">
        <v>1</v>
      </c>
    </row>
    <row r="221" spans="1:4" hidden="1" x14ac:dyDescent="0.3">
      <c r="A221">
        <v>219</v>
      </c>
      <c r="B221" s="1" t="s">
        <v>327</v>
      </c>
      <c r="C221" t="s">
        <v>159</v>
      </c>
      <c r="D221" s="1" t="s">
        <v>328</v>
      </c>
    </row>
    <row r="222" spans="1:4" hidden="1" x14ac:dyDescent="0.3">
      <c r="A222">
        <v>220</v>
      </c>
      <c r="B222" t="s">
        <v>329</v>
      </c>
      <c r="C222" t="s">
        <v>162</v>
      </c>
      <c r="D222">
        <v>0.99974606342011396</v>
      </c>
    </row>
    <row r="223" spans="1:4" hidden="1" x14ac:dyDescent="0.3">
      <c r="A223">
        <v>221</v>
      </c>
      <c r="B223" t="s">
        <v>330</v>
      </c>
      <c r="C223" t="s">
        <v>164</v>
      </c>
      <c r="D223">
        <v>1.0003079928574501</v>
      </c>
    </row>
    <row r="224" spans="1:4" hidden="1" x14ac:dyDescent="0.3">
      <c r="A224">
        <v>222</v>
      </c>
      <c r="B224" s="1" t="s">
        <v>331</v>
      </c>
      <c r="C224" t="s">
        <v>166</v>
      </c>
      <c r="D224" s="1" t="s">
        <v>332</v>
      </c>
    </row>
    <row r="225" spans="1:4" hidden="1" x14ac:dyDescent="0.3">
      <c r="A225">
        <v>223</v>
      </c>
      <c r="B225" s="1" t="s">
        <v>333</v>
      </c>
      <c r="C225" t="s">
        <v>55</v>
      </c>
      <c r="D225" s="1" t="s">
        <v>334</v>
      </c>
    </row>
    <row r="226" spans="1:4" hidden="1" x14ac:dyDescent="0.3">
      <c r="A226">
        <v>224</v>
      </c>
      <c r="B226" s="1" t="s">
        <v>335</v>
      </c>
      <c r="C226" t="s">
        <v>52</v>
      </c>
      <c r="D226" s="1" t="s">
        <v>336</v>
      </c>
    </row>
    <row r="227" spans="1:4" hidden="1" x14ac:dyDescent="0.3">
      <c r="A227">
        <v>225</v>
      </c>
      <c r="B227" s="1" t="s">
        <v>337</v>
      </c>
      <c r="C227" t="s">
        <v>58</v>
      </c>
      <c r="D227" s="1" t="s">
        <v>338</v>
      </c>
    </row>
    <row r="228" spans="1:4" hidden="1" x14ac:dyDescent="0.3">
      <c r="A228">
        <v>226</v>
      </c>
      <c r="B228" t="s">
        <v>339</v>
      </c>
      <c r="C228" t="s">
        <v>61</v>
      </c>
      <c r="D228">
        <v>150475194.59871101</v>
      </c>
    </row>
    <row r="229" spans="1:4" hidden="1" x14ac:dyDescent="0.3">
      <c r="A229">
        <v>227</v>
      </c>
      <c r="B229" t="s">
        <v>340</v>
      </c>
      <c r="C229" t="s">
        <v>63</v>
      </c>
      <c r="D229">
        <v>79998801.568234295</v>
      </c>
    </row>
    <row r="230" spans="1:4" hidden="1" x14ac:dyDescent="0.3">
      <c r="A230">
        <v>228</v>
      </c>
      <c r="B230" t="s">
        <v>341</v>
      </c>
      <c r="C230" t="s">
        <v>65</v>
      </c>
      <c r="D230">
        <v>34999438.5323226</v>
      </c>
    </row>
    <row r="231" spans="1:4" hidden="1" x14ac:dyDescent="0.3">
      <c r="A231">
        <v>229</v>
      </c>
      <c r="B231" s="1" t="s">
        <v>342</v>
      </c>
      <c r="C231" t="s">
        <v>67</v>
      </c>
      <c r="D231" s="1" t="s">
        <v>343</v>
      </c>
    </row>
    <row r="232" spans="1:4" hidden="1" x14ac:dyDescent="0.3">
      <c r="A232">
        <v>230</v>
      </c>
      <c r="B232" s="1" t="s">
        <v>344</v>
      </c>
      <c r="C232" t="s">
        <v>70</v>
      </c>
      <c r="D232" s="1" t="s">
        <v>345</v>
      </c>
    </row>
    <row r="233" spans="1:4" hidden="1" x14ac:dyDescent="0.3">
      <c r="A233">
        <v>231</v>
      </c>
      <c r="B233" t="s">
        <v>346</v>
      </c>
      <c r="C233" t="s">
        <v>73</v>
      </c>
      <c r="D233">
        <v>0.99999549962907197</v>
      </c>
    </row>
    <row r="234" spans="1:4" hidden="1" x14ac:dyDescent="0.3">
      <c r="A234">
        <v>232</v>
      </c>
      <c r="B234" t="s">
        <v>74</v>
      </c>
      <c r="C234" t="s">
        <v>75</v>
      </c>
      <c r="D234">
        <v>2.7397260273972599E-3</v>
      </c>
    </row>
    <row r="235" spans="1:4" hidden="1" x14ac:dyDescent="0.3">
      <c r="A235">
        <v>233</v>
      </c>
      <c r="B235" t="s">
        <v>76</v>
      </c>
      <c r="C235" t="s">
        <v>77</v>
      </c>
      <c r="D235">
        <v>0</v>
      </c>
    </row>
    <row r="236" spans="1:4" hidden="1" x14ac:dyDescent="0.3">
      <c r="A236">
        <v>234</v>
      </c>
      <c r="B236" t="s">
        <v>78</v>
      </c>
      <c r="C236" t="s">
        <v>79</v>
      </c>
      <c r="D236">
        <v>0</v>
      </c>
    </row>
    <row r="237" spans="1:4" hidden="1" x14ac:dyDescent="0.3">
      <c r="A237">
        <v>235</v>
      </c>
      <c r="B237" s="1" t="s">
        <v>347</v>
      </c>
      <c r="C237" t="s">
        <v>81</v>
      </c>
      <c r="D237" s="1" t="s">
        <v>348</v>
      </c>
    </row>
    <row r="238" spans="1:4" hidden="1" x14ac:dyDescent="0.3">
      <c r="A238">
        <v>236</v>
      </c>
      <c r="B238" t="s">
        <v>349</v>
      </c>
      <c r="C238" t="s">
        <v>84</v>
      </c>
      <c r="D238">
        <v>1.00001115973067</v>
      </c>
    </row>
    <row r="239" spans="1:4" hidden="1" x14ac:dyDescent="0.3">
      <c r="A239">
        <v>237</v>
      </c>
      <c r="B239" s="1" t="s">
        <v>350</v>
      </c>
      <c r="C239" t="s">
        <v>86</v>
      </c>
      <c r="D239" s="1" t="s">
        <v>351</v>
      </c>
    </row>
    <row r="240" spans="1:4" hidden="1" x14ac:dyDescent="0.3">
      <c r="A240">
        <v>238</v>
      </c>
      <c r="B240" t="s">
        <v>352</v>
      </c>
      <c r="C240" t="s">
        <v>89</v>
      </c>
      <c r="D240">
        <v>100315676.90320399</v>
      </c>
    </row>
    <row r="241" spans="1:4" hidden="1" x14ac:dyDescent="0.3">
      <c r="A241">
        <v>239</v>
      </c>
      <c r="B241" s="1" t="s">
        <v>353</v>
      </c>
      <c r="C241" t="s">
        <v>91</v>
      </c>
      <c r="D241" s="1" t="s">
        <v>299</v>
      </c>
    </row>
    <row r="242" spans="1:4" hidden="1" x14ac:dyDescent="0.3">
      <c r="A242">
        <v>240</v>
      </c>
      <c r="B242" t="s">
        <v>354</v>
      </c>
      <c r="C242" t="s">
        <v>94</v>
      </c>
      <c r="D242">
        <v>79998801.568234295</v>
      </c>
    </row>
    <row r="243" spans="1:4" hidden="1" x14ac:dyDescent="0.3">
      <c r="A243">
        <v>241</v>
      </c>
      <c r="B243" t="s">
        <v>355</v>
      </c>
      <c r="C243" t="s">
        <v>96</v>
      </c>
      <c r="D243">
        <v>34999438.5323226</v>
      </c>
    </row>
    <row r="244" spans="1:4" hidden="1" x14ac:dyDescent="0.3">
      <c r="A244">
        <v>242</v>
      </c>
      <c r="B244" t="s">
        <v>356</v>
      </c>
      <c r="C244" t="s">
        <v>98</v>
      </c>
      <c r="D244">
        <v>35476954.4981547</v>
      </c>
    </row>
    <row r="245" spans="1:4" hidden="1" x14ac:dyDescent="0.3">
      <c r="A245">
        <v>243</v>
      </c>
      <c r="B245" s="1" t="s">
        <v>357</v>
      </c>
      <c r="C245" t="s">
        <v>100</v>
      </c>
      <c r="D245" s="1" t="s">
        <v>358</v>
      </c>
    </row>
    <row r="246" spans="1:4" hidden="1" x14ac:dyDescent="0.3">
      <c r="A246">
        <v>244</v>
      </c>
      <c r="B246" t="s">
        <v>359</v>
      </c>
      <c r="C246" t="s">
        <v>103</v>
      </c>
      <c r="D246">
        <v>6.0480967825313099E-3</v>
      </c>
    </row>
    <row r="247" spans="1:4" hidden="1" x14ac:dyDescent="0.3">
      <c r="A247">
        <v>245</v>
      </c>
      <c r="B247" t="s">
        <v>360</v>
      </c>
      <c r="C247" t="s">
        <v>105</v>
      </c>
      <c r="D247">
        <v>7.4573135174838304E-4</v>
      </c>
    </row>
    <row r="248" spans="1:4" hidden="1" x14ac:dyDescent="0.3">
      <c r="A248">
        <v>246</v>
      </c>
      <c r="B248" t="s">
        <v>361</v>
      </c>
      <c r="C248" t="s">
        <v>107</v>
      </c>
      <c r="D248">
        <v>1.13769323479885E-2</v>
      </c>
    </row>
    <row r="249" spans="1:4" hidden="1" x14ac:dyDescent="0.3">
      <c r="A249">
        <v>247</v>
      </c>
      <c r="B249" s="1" t="s">
        <v>362</v>
      </c>
      <c r="C249" t="s">
        <v>109</v>
      </c>
      <c r="D249" s="1" t="s">
        <v>363</v>
      </c>
    </row>
    <row r="250" spans="1:4" hidden="1" x14ac:dyDescent="0.3">
      <c r="A250">
        <v>248</v>
      </c>
      <c r="B250" t="s">
        <v>364</v>
      </c>
      <c r="C250" t="s">
        <v>197</v>
      </c>
      <c r="D250">
        <v>150475735.191654</v>
      </c>
    </row>
    <row r="251" spans="1:4" hidden="1" x14ac:dyDescent="0.3">
      <c r="A251">
        <v>249</v>
      </c>
      <c r="B251" t="s">
        <v>365</v>
      </c>
      <c r="C251" t="s">
        <v>199</v>
      </c>
      <c r="D251">
        <v>1863.78573292235</v>
      </c>
    </row>
    <row r="252" spans="1:4" hidden="1" x14ac:dyDescent="0.3">
      <c r="A252">
        <v>250</v>
      </c>
      <c r="B252" t="s">
        <v>366</v>
      </c>
      <c r="C252" t="s">
        <v>201</v>
      </c>
      <c r="D252">
        <v>815.40258944086895</v>
      </c>
    </row>
    <row r="253" spans="1:4" hidden="1" x14ac:dyDescent="0.3">
      <c r="A253">
        <v>251</v>
      </c>
      <c r="B253" s="1" t="s">
        <v>367</v>
      </c>
      <c r="C253" t="s">
        <v>203</v>
      </c>
      <c r="D253" s="1" t="s">
        <v>368</v>
      </c>
    </row>
    <row r="254" spans="1:4" hidden="1" x14ac:dyDescent="0.3">
      <c r="A254">
        <v>252</v>
      </c>
      <c r="B254" t="s">
        <v>369</v>
      </c>
      <c r="C254" t="s">
        <v>206</v>
      </c>
      <c r="D254">
        <v>79997355.374294698</v>
      </c>
    </row>
    <row r="255" spans="1:4" hidden="1" x14ac:dyDescent="0.3">
      <c r="A255">
        <v>253</v>
      </c>
      <c r="B255" t="s">
        <v>370</v>
      </c>
      <c r="C255" t="s">
        <v>208</v>
      </c>
      <c r="D255">
        <v>34998685.507878996</v>
      </c>
    </row>
    <row r="256" spans="1:4" hidden="1" x14ac:dyDescent="0.3">
      <c r="A256">
        <v>254</v>
      </c>
      <c r="B256" t="s">
        <v>371</v>
      </c>
      <c r="C256" t="s">
        <v>210</v>
      </c>
      <c r="D256">
        <v>35476188.593658201</v>
      </c>
    </row>
    <row r="257" spans="1:4" hidden="1" x14ac:dyDescent="0.3">
      <c r="A257">
        <v>255</v>
      </c>
      <c r="B257" s="1" t="s">
        <v>372</v>
      </c>
      <c r="C257" t="s">
        <v>212</v>
      </c>
      <c r="D257" s="1" t="s">
        <v>373</v>
      </c>
    </row>
    <row r="258" spans="1:4" hidden="1" x14ac:dyDescent="0.3">
      <c r="A258">
        <v>256</v>
      </c>
      <c r="B258" t="s">
        <v>374</v>
      </c>
      <c r="C258" t="s">
        <v>215</v>
      </c>
      <c r="D258">
        <v>100313339.7938</v>
      </c>
    </row>
    <row r="259" spans="1:4" hidden="1" x14ac:dyDescent="0.3">
      <c r="A259">
        <v>257</v>
      </c>
      <c r="B259" t="s">
        <v>375</v>
      </c>
      <c r="C259" t="s">
        <v>217</v>
      </c>
      <c r="D259">
        <v>2337.1094038635401</v>
      </c>
    </row>
    <row r="260" spans="1:4" hidden="1" x14ac:dyDescent="0.3">
      <c r="A260">
        <v>258</v>
      </c>
      <c r="B260" s="1" t="s">
        <v>376</v>
      </c>
      <c r="C260" t="s">
        <v>219</v>
      </c>
      <c r="D260" s="1" t="s">
        <v>377</v>
      </c>
    </row>
    <row r="261" spans="1:4" hidden="1" x14ac:dyDescent="0.3">
      <c r="A261">
        <v>259</v>
      </c>
      <c r="B261" t="s">
        <v>378</v>
      </c>
      <c r="C261" t="s">
        <v>112</v>
      </c>
      <c r="D261">
        <v>417.591793288632</v>
      </c>
    </row>
    <row r="262" spans="1:4" hidden="1" x14ac:dyDescent="0.3">
      <c r="A262">
        <v>260</v>
      </c>
      <c r="B262" t="s">
        <v>379</v>
      </c>
      <c r="C262" t="s">
        <v>114</v>
      </c>
      <c r="D262">
        <v>62.378145751759199</v>
      </c>
    </row>
    <row r="263" spans="1:4" hidden="1" x14ac:dyDescent="0.3">
      <c r="A263">
        <v>261</v>
      </c>
      <c r="B263" s="1" t="s">
        <v>380</v>
      </c>
      <c r="C263" t="s">
        <v>116</v>
      </c>
      <c r="D263" s="1" t="s">
        <v>381</v>
      </c>
    </row>
    <row r="264" spans="1:4" hidden="1" x14ac:dyDescent="0.3">
      <c r="A264">
        <v>262</v>
      </c>
      <c r="B264" t="s">
        <v>382</v>
      </c>
      <c r="C264" t="s">
        <v>119</v>
      </c>
      <c r="D264">
        <v>79997355.374294698</v>
      </c>
    </row>
    <row r="265" spans="1:4" hidden="1" x14ac:dyDescent="0.3">
      <c r="A265">
        <v>263</v>
      </c>
      <c r="B265" t="s">
        <v>383</v>
      </c>
      <c r="C265" t="s">
        <v>121</v>
      </c>
      <c r="D265">
        <v>34998685.507878996</v>
      </c>
    </row>
    <row r="266" spans="1:4" hidden="1" x14ac:dyDescent="0.3">
      <c r="A266">
        <v>264</v>
      </c>
      <c r="B266" s="1" t="s">
        <v>384</v>
      </c>
      <c r="C266" t="s">
        <v>123</v>
      </c>
      <c r="D266" s="1" t="s">
        <v>385</v>
      </c>
    </row>
    <row r="267" spans="1:4" hidden="1" x14ac:dyDescent="0.3">
      <c r="A267">
        <v>265</v>
      </c>
      <c r="B267" t="s">
        <v>386</v>
      </c>
      <c r="C267" t="s">
        <v>126</v>
      </c>
      <c r="D267">
        <v>0.79746584850782198</v>
      </c>
    </row>
    <row r="268" spans="1:4" hidden="1" x14ac:dyDescent="0.3">
      <c r="A268">
        <v>266</v>
      </c>
      <c r="B268" t="s">
        <v>387</v>
      </c>
      <c r="C268" t="s">
        <v>128</v>
      </c>
      <c r="D268">
        <v>0.34888973897463899</v>
      </c>
    </row>
    <row r="269" spans="1:4" hidden="1" x14ac:dyDescent="0.3">
      <c r="A269">
        <v>267</v>
      </c>
      <c r="B269" s="1" t="s">
        <v>388</v>
      </c>
      <c r="C269" t="s">
        <v>130</v>
      </c>
      <c r="D269" s="1" t="s">
        <v>389</v>
      </c>
    </row>
    <row r="270" spans="1:4" x14ac:dyDescent="0.3">
      <c r="A270">
        <v>268</v>
      </c>
      <c r="B270" s="1" t="s">
        <v>3</v>
      </c>
      <c r="C270" t="s">
        <v>4</v>
      </c>
      <c r="D270" t="s">
        <v>5</v>
      </c>
    </row>
    <row r="271" spans="1:4" hidden="1" x14ac:dyDescent="0.3">
      <c r="A271">
        <v>269</v>
      </c>
      <c r="B271" t="s">
        <v>6</v>
      </c>
      <c r="C271" t="s">
        <v>7</v>
      </c>
      <c r="D271">
        <v>1199.98</v>
      </c>
    </row>
    <row r="272" spans="1:4" hidden="1" x14ac:dyDescent="0.3">
      <c r="A272">
        <v>270</v>
      </c>
      <c r="B272" s="1" t="s">
        <v>132</v>
      </c>
      <c r="C272" t="s">
        <v>9</v>
      </c>
      <c r="D272" s="1" t="s">
        <v>133</v>
      </c>
    </row>
    <row r="273" spans="1:4" hidden="1" x14ac:dyDescent="0.3">
      <c r="A273">
        <v>271</v>
      </c>
      <c r="B273" t="s">
        <v>13</v>
      </c>
      <c r="C273" t="s">
        <v>14</v>
      </c>
      <c r="D273">
        <v>97.91796875</v>
      </c>
    </row>
    <row r="274" spans="1:4" hidden="1" x14ac:dyDescent="0.3">
      <c r="A274">
        <v>272</v>
      </c>
      <c r="B274" t="s">
        <v>15</v>
      </c>
      <c r="C274" t="s">
        <v>16</v>
      </c>
      <c r="D274">
        <v>4.2752882005853001</v>
      </c>
    </row>
    <row r="275" spans="1:4" hidden="1" x14ac:dyDescent="0.3">
      <c r="A275">
        <v>273</v>
      </c>
      <c r="B275" s="1" t="s">
        <v>134</v>
      </c>
      <c r="C275" t="s">
        <v>135</v>
      </c>
      <c r="D275" s="1" t="s">
        <v>136</v>
      </c>
    </row>
    <row r="276" spans="1:4" hidden="1" x14ac:dyDescent="0.3">
      <c r="A276">
        <v>274</v>
      </c>
      <c r="B276" t="s">
        <v>21</v>
      </c>
      <c r="C276" t="s">
        <v>22</v>
      </c>
      <c r="D276">
        <v>77.95</v>
      </c>
    </row>
    <row r="277" spans="1:4" hidden="1" x14ac:dyDescent="0.3">
      <c r="A277">
        <v>275</v>
      </c>
      <c r="B277" t="s">
        <v>390</v>
      </c>
      <c r="C277" t="s">
        <v>24</v>
      </c>
      <c r="D277">
        <v>4.9255351646467602</v>
      </c>
    </row>
    <row r="278" spans="1:4" hidden="1" x14ac:dyDescent="0.3">
      <c r="A278">
        <v>276</v>
      </c>
      <c r="B278" s="1" t="s">
        <v>391</v>
      </c>
      <c r="C278" t="s">
        <v>139</v>
      </c>
      <c r="D278" s="1" t="s">
        <v>392</v>
      </c>
    </row>
    <row r="279" spans="1:4" hidden="1" x14ac:dyDescent="0.3">
      <c r="A279">
        <v>277</v>
      </c>
      <c r="B279" t="s">
        <v>393</v>
      </c>
      <c r="C279" t="s">
        <v>35</v>
      </c>
      <c r="D279">
        <v>0.16125035038202301</v>
      </c>
    </row>
    <row r="280" spans="1:4" hidden="1" x14ac:dyDescent="0.3">
      <c r="A280">
        <v>278</v>
      </c>
      <c r="B280" t="s">
        <v>394</v>
      </c>
      <c r="C280" t="s">
        <v>143</v>
      </c>
      <c r="D280">
        <v>0.77162926654236197</v>
      </c>
    </row>
    <row r="281" spans="1:4" hidden="1" x14ac:dyDescent="0.3">
      <c r="A281">
        <v>279</v>
      </c>
      <c r="B281" s="1" t="s">
        <v>395</v>
      </c>
      <c r="C281" t="s">
        <v>145</v>
      </c>
      <c r="D281" s="1" t="s">
        <v>396</v>
      </c>
    </row>
    <row r="282" spans="1:4" hidden="1" x14ac:dyDescent="0.3">
      <c r="A282">
        <v>280</v>
      </c>
      <c r="B282" t="s">
        <v>397</v>
      </c>
      <c r="C282" t="s">
        <v>30</v>
      </c>
      <c r="D282">
        <v>0.37898396218871</v>
      </c>
    </row>
    <row r="283" spans="1:4" hidden="1" x14ac:dyDescent="0.3">
      <c r="A283">
        <v>281</v>
      </c>
      <c r="B283" t="s">
        <v>398</v>
      </c>
      <c r="C283" t="s">
        <v>32</v>
      </c>
      <c r="D283">
        <v>0.141150334112357</v>
      </c>
    </row>
    <row r="284" spans="1:4" hidden="1" x14ac:dyDescent="0.3">
      <c r="A284">
        <v>282</v>
      </c>
      <c r="B284" s="1" t="s">
        <v>399</v>
      </c>
      <c r="C284" t="s">
        <v>149</v>
      </c>
      <c r="D284" s="1" t="s">
        <v>400</v>
      </c>
    </row>
    <row r="285" spans="1:4" hidden="1" x14ac:dyDescent="0.3">
      <c r="A285">
        <v>283</v>
      </c>
      <c r="B285" t="s">
        <v>401</v>
      </c>
      <c r="C285" t="s">
        <v>40</v>
      </c>
      <c r="D285">
        <v>0.45976568742926499</v>
      </c>
    </row>
    <row r="286" spans="1:4" hidden="1" x14ac:dyDescent="0.3">
      <c r="A286">
        <v>284</v>
      </c>
      <c r="B286" t="s">
        <v>402</v>
      </c>
      <c r="C286" t="s">
        <v>42</v>
      </c>
      <c r="D286">
        <v>0.15480880502314601</v>
      </c>
    </row>
    <row r="287" spans="1:4" hidden="1" x14ac:dyDescent="0.3">
      <c r="A287">
        <v>285</v>
      </c>
      <c r="B287" s="1" t="s">
        <v>403</v>
      </c>
      <c r="C287" t="s">
        <v>153</v>
      </c>
      <c r="D287" s="1" t="s">
        <v>404</v>
      </c>
    </row>
    <row r="288" spans="1:4" hidden="1" x14ac:dyDescent="0.3">
      <c r="A288">
        <v>286</v>
      </c>
      <c r="B288" t="s">
        <v>154</v>
      </c>
      <c r="C288" t="s">
        <v>155</v>
      </c>
      <c r="D288">
        <v>1</v>
      </c>
    </row>
    <row r="289" spans="1:4" hidden="1" x14ac:dyDescent="0.3">
      <c r="A289">
        <v>287</v>
      </c>
      <c r="B289" t="s">
        <v>156</v>
      </c>
      <c r="C289" t="s">
        <v>157</v>
      </c>
      <c r="D289">
        <v>1</v>
      </c>
    </row>
    <row r="290" spans="1:4" hidden="1" x14ac:dyDescent="0.3">
      <c r="A290">
        <v>288</v>
      </c>
      <c r="B290" s="1" t="s">
        <v>405</v>
      </c>
      <c r="C290" t="s">
        <v>159</v>
      </c>
      <c r="D290" s="1" t="s">
        <v>406</v>
      </c>
    </row>
    <row r="291" spans="1:4" hidden="1" x14ac:dyDescent="0.3">
      <c r="A291">
        <v>289</v>
      </c>
      <c r="B291" t="s">
        <v>407</v>
      </c>
      <c r="C291" t="s">
        <v>162</v>
      </c>
      <c r="D291">
        <v>0.99997673717385704</v>
      </c>
    </row>
    <row r="292" spans="1:4" hidden="1" x14ac:dyDescent="0.3">
      <c r="A292">
        <v>290</v>
      </c>
      <c r="B292" t="s">
        <v>408</v>
      </c>
      <c r="C292" t="s">
        <v>164</v>
      </c>
      <c r="D292">
        <v>0.99986318962884202</v>
      </c>
    </row>
    <row r="293" spans="1:4" hidden="1" x14ac:dyDescent="0.3">
      <c r="A293">
        <v>291</v>
      </c>
      <c r="B293" s="1" t="s">
        <v>409</v>
      </c>
      <c r="C293" t="s">
        <v>166</v>
      </c>
      <c r="D293" s="1" t="s">
        <v>410</v>
      </c>
    </row>
    <row r="294" spans="1:4" hidden="1" x14ac:dyDescent="0.3">
      <c r="A294">
        <v>292</v>
      </c>
      <c r="B294" s="1" t="s">
        <v>411</v>
      </c>
      <c r="C294" t="s">
        <v>55</v>
      </c>
      <c r="D294" s="1" t="s">
        <v>412</v>
      </c>
    </row>
    <row r="295" spans="1:4" hidden="1" x14ac:dyDescent="0.3">
      <c r="A295">
        <v>293</v>
      </c>
      <c r="B295" s="1" t="s">
        <v>413</v>
      </c>
      <c r="C295" t="s">
        <v>52</v>
      </c>
      <c r="D295" s="1" t="s">
        <v>414</v>
      </c>
    </row>
    <row r="296" spans="1:4" hidden="1" x14ac:dyDescent="0.3">
      <c r="A296">
        <v>294</v>
      </c>
      <c r="B296" s="1" t="s">
        <v>415</v>
      </c>
      <c r="C296" t="s">
        <v>58</v>
      </c>
      <c r="D296" s="1" t="s">
        <v>416</v>
      </c>
    </row>
    <row r="297" spans="1:4" hidden="1" x14ac:dyDescent="0.3">
      <c r="A297">
        <v>295</v>
      </c>
      <c r="B297" t="s">
        <v>417</v>
      </c>
      <c r="C297" t="s">
        <v>61</v>
      </c>
      <c r="D297">
        <v>150468161.10501301</v>
      </c>
    </row>
    <row r="298" spans="1:4" hidden="1" x14ac:dyDescent="0.3">
      <c r="A298">
        <v>296</v>
      </c>
      <c r="B298" t="s">
        <v>418</v>
      </c>
      <c r="C298" t="s">
        <v>63</v>
      </c>
      <c r="D298">
        <v>79997355.374294698</v>
      </c>
    </row>
    <row r="299" spans="1:4" hidden="1" x14ac:dyDescent="0.3">
      <c r="A299">
        <v>297</v>
      </c>
      <c r="B299" t="s">
        <v>419</v>
      </c>
      <c r="C299" t="s">
        <v>65</v>
      </c>
      <c r="D299">
        <v>34998685.507878996</v>
      </c>
    </row>
    <row r="300" spans="1:4" hidden="1" x14ac:dyDescent="0.3">
      <c r="A300">
        <v>298</v>
      </c>
      <c r="B300" s="1" t="s">
        <v>420</v>
      </c>
      <c r="C300" t="s">
        <v>67</v>
      </c>
      <c r="D300" s="1" t="s">
        <v>421</v>
      </c>
    </row>
    <row r="301" spans="1:4" hidden="1" x14ac:dyDescent="0.3">
      <c r="A301">
        <v>299</v>
      </c>
      <c r="B301" s="1" t="s">
        <v>422</v>
      </c>
      <c r="C301" t="s">
        <v>70</v>
      </c>
      <c r="D301" s="1" t="s">
        <v>423</v>
      </c>
    </row>
    <row r="302" spans="1:4" hidden="1" x14ac:dyDescent="0.3">
      <c r="A302">
        <v>300</v>
      </c>
      <c r="B302" t="s">
        <v>424</v>
      </c>
      <c r="C302" t="s">
        <v>73</v>
      </c>
      <c r="D302">
        <v>1.00001115973067</v>
      </c>
    </row>
    <row r="303" spans="1:4" hidden="1" x14ac:dyDescent="0.3">
      <c r="A303">
        <v>301</v>
      </c>
      <c r="B303" t="s">
        <v>74</v>
      </c>
      <c r="C303" t="s">
        <v>75</v>
      </c>
      <c r="D303">
        <v>2.7397260273972599E-3</v>
      </c>
    </row>
    <row r="304" spans="1:4" hidden="1" x14ac:dyDescent="0.3">
      <c r="A304">
        <v>302</v>
      </c>
      <c r="B304" t="s">
        <v>76</v>
      </c>
      <c r="C304" t="s">
        <v>77</v>
      </c>
      <c r="D304">
        <v>0</v>
      </c>
    </row>
    <row r="305" spans="1:4" hidden="1" x14ac:dyDescent="0.3">
      <c r="A305">
        <v>303</v>
      </c>
      <c r="B305" t="s">
        <v>78</v>
      </c>
      <c r="C305" t="s">
        <v>79</v>
      </c>
      <c r="D305">
        <v>0</v>
      </c>
    </row>
    <row r="306" spans="1:4" hidden="1" x14ac:dyDescent="0.3">
      <c r="A306">
        <v>304</v>
      </c>
      <c r="B306" s="1" t="s">
        <v>425</v>
      </c>
      <c r="C306" t="s">
        <v>81</v>
      </c>
      <c r="D306" s="1" t="s">
        <v>426</v>
      </c>
    </row>
    <row r="307" spans="1:4" hidden="1" x14ac:dyDescent="0.3">
      <c r="A307">
        <v>305</v>
      </c>
      <c r="B307" t="s">
        <v>427</v>
      </c>
      <c r="C307" t="s">
        <v>84</v>
      </c>
      <c r="D307">
        <v>0.99999913759166603</v>
      </c>
    </row>
    <row r="308" spans="1:4" hidden="1" x14ac:dyDescent="0.3">
      <c r="A308">
        <v>306</v>
      </c>
      <c r="B308" s="1" t="s">
        <v>428</v>
      </c>
      <c r="C308" t="s">
        <v>86</v>
      </c>
      <c r="D308" s="1" t="s">
        <v>429</v>
      </c>
    </row>
    <row r="309" spans="1:4" hidden="1" x14ac:dyDescent="0.3">
      <c r="A309">
        <v>307</v>
      </c>
      <c r="B309" t="s">
        <v>430</v>
      </c>
      <c r="C309" t="s">
        <v>89</v>
      </c>
      <c r="D309">
        <v>100316882.913256</v>
      </c>
    </row>
    <row r="310" spans="1:4" hidden="1" x14ac:dyDescent="0.3">
      <c r="A310">
        <v>308</v>
      </c>
      <c r="B310" s="1" t="s">
        <v>431</v>
      </c>
      <c r="C310" t="s">
        <v>91</v>
      </c>
      <c r="D310" s="1" t="s">
        <v>377</v>
      </c>
    </row>
    <row r="311" spans="1:4" hidden="1" x14ac:dyDescent="0.3">
      <c r="A311">
        <v>309</v>
      </c>
      <c r="B311" t="s">
        <v>432</v>
      </c>
      <c r="C311" t="s">
        <v>94</v>
      </c>
      <c r="D311">
        <v>79997355.374294698</v>
      </c>
    </row>
    <row r="312" spans="1:4" hidden="1" x14ac:dyDescent="0.3">
      <c r="A312">
        <v>310</v>
      </c>
      <c r="B312" t="s">
        <v>433</v>
      </c>
      <c r="C312" t="s">
        <v>96</v>
      </c>
      <c r="D312">
        <v>34998685.507878996</v>
      </c>
    </row>
    <row r="313" spans="1:4" hidden="1" x14ac:dyDescent="0.3">
      <c r="A313">
        <v>311</v>
      </c>
      <c r="B313" t="s">
        <v>434</v>
      </c>
      <c r="C313" t="s">
        <v>98</v>
      </c>
      <c r="D313">
        <v>35472120.2228394</v>
      </c>
    </row>
    <row r="314" spans="1:4" hidden="1" x14ac:dyDescent="0.3">
      <c r="A314">
        <v>312</v>
      </c>
      <c r="B314" s="1" t="s">
        <v>435</v>
      </c>
      <c r="C314" t="s">
        <v>100</v>
      </c>
      <c r="D314" s="1" t="s">
        <v>436</v>
      </c>
    </row>
    <row r="315" spans="1:4" hidden="1" x14ac:dyDescent="0.3">
      <c r="A315">
        <v>313</v>
      </c>
      <c r="B315" t="s">
        <v>437</v>
      </c>
      <c r="C315" t="s">
        <v>103</v>
      </c>
      <c r="D315">
        <v>6.0692292259509201E-3</v>
      </c>
    </row>
    <row r="316" spans="1:4" hidden="1" x14ac:dyDescent="0.3">
      <c r="A316">
        <v>314</v>
      </c>
      <c r="B316" t="s">
        <v>438</v>
      </c>
      <c r="C316" t="s">
        <v>105</v>
      </c>
      <c r="D316">
        <v>7.4639875010307601E-4</v>
      </c>
    </row>
    <row r="317" spans="1:4" hidden="1" x14ac:dyDescent="0.3">
      <c r="A317">
        <v>315</v>
      </c>
      <c r="B317" t="s">
        <v>439</v>
      </c>
      <c r="C317" t="s">
        <v>107</v>
      </c>
      <c r="D317">
        <v>1.1436405406851299E-2</v>
      </c>
    </row>
    <row r="318" spans="1:4" hidden="1" x14ac:dyDescent="0.3">
      <c r="A318">
        <v>316</v>
      </c>
      <c r="B318" s="1" t="s">
        <v>440</v>
      </c>
      <c r="C318" t="s">
        <v>109</v>
      </c>
      <c r="D318" s="1" t="s">
        <v>441</v>
      </c>
    </row>
    <row r="319" spans="1:4" hidden="1" x14ac:dyDescent="0.3">
      <c r="A319">
        <v>317</v>
      </c>
      <c r="B319" t="s">
        <v>442</v>
      </c>
      <c r="C319" t="s">
        <v>197</v>
      </c>
      <c r="D319">
        <v>150467746.06310201</v>
      </c>
    </row>
    <row r="320" spans="1:4" hidden="1" x14ac:dyDescent="0.3">
      <c r="A320">
        <v>318</v>
      </c>
      <c r="B320" t="s">
        <v>443</v>
      </c>
      <c r="C320" t="s">
        <v>199</v>
      </c>
      <c r="D320">
        <v>961.72473961412197</v>
      </c>
    </row>
    <row r="321" spans="1:4" hidden="1" x14ac:dyDescent="0.3">
      <c r="A321">
        <v>319</v>
      </c>
      <c r="B321" t="s">
        <v>444</v>
      </c>
      <c r="C321" t="s">
        <v>201</v>
      </c>
      <c r="D321">
        <v>420.75379072937898</v>
      </c>
    </row>
    <row r="322" spans="1:4" hidden="1" x14ac:dyDescent="0.3">
      <c r="A322">
        <v>320</v>
      </c>
      <c r="B322" s="1" t="s">
        <v>445</v>
      </c>
      <c r="C322" t="s">
        <v>203</v>
      </c>
      <c r="D322" s="1" t="s">
        <v>446</v>
      </c>
    </row>
    <row r="323" spans="1:4" hidden="1" x14ac:dyDescent="0.3">
      <c r="A323">
        <v>321</v>
      </c>
      <c r="B323" t="s">
        <v>447</v>
      </c>
      <c r="C323" t="s">
        <v>206</v>
      </c>
      <c r="D323">
        <v>79996073.054517895</v>
      </c>
    </row>
    <row r="324" spans="1:4" hidden="1" x14ac:dyDescent="0.3">
      <c r="A324">
        <v>322</v>
      </c>
      <c r="B324" t="s">
        <v>448</v>
      </c>
      <c r="C324" t="s">
        <v>208</v>
      </c>
      <c r="D324">
        <v>34998216.843894102</v>
      </c>
    </row>
    <row r="325" spans="1:4" hidden="1" x14ac:dyDescent="0.3">
      <c r="A325">
        <v>323</v>
      </c>
      <c r="B325" t="s">
        <v>449</v>
      </c>
      <c r="C325" t="s">
        <v>210</v>
      </c>
      <c r="D325">
        <v>35471647.240718402</v>
      </c>
    </row>
    <row r="326" spans="1:4" hidden="1" x14ac:dyDescent="0.3">
      <c r="A326">
        <v>324</v>
      </c>
      <c r="B326" s="1" t="s">
        <v>450</v>
      </c>
      <c r="C326" t="s">
        <v>212</v>
      </c>
      <c r="D326" s="1" t="s">
        <v>451</v>
      </c>
    </row>
    <row r="327" spans="1:4" hidden="1" x14ac:dyDescent="0.3">
      <c r="A327">
        <v>325</v>
      </c>
      <c r="B327" t="s">
        <v>452</v>
      </c>
      <c r="C327" t="s">
        <v>215</v>
      </c>
      <c r="D327">
        <v>100315676.90320399</v>
      </c>
    </row>
    <row r="328" spans="1:4" hidden="1" x14ac:dyDescent="0.3">
      <c r="A328">
        <v>326</v>
      </c>
      <c r="B328" t="s">
        <v>453</v>
      </c>
      <c r="C328" t="s">
        <v>217</v>
      </c>
      <c r="D328">
        <v>1206.01005230844</v>
      </c>
    </row>
    <row r="329" spans="1:4" hidden="1" x14ac:dyDescent="0.3">
      <c r="A329">
        <v>327</v>
      </c>
      <c r="B329" s="1" t="s">
        <v>454</v>
      </c>
      <c r="C329" t="s">
        <v>219</v>
      </c>
      <c r="D329" s="1" t="s">
        <v>455</v>
      </c>
    </row>
    <row r="330" spans="1:4" hidden="1" x14ac:dyDescent="0.3">
      <c r="A330">
        <v>328</v>
      </c>
      <c r="B330" t="s">
        <v>456</v>
      </c>
      <c r="C330" t="s">
        <v>112</v>
      </c>
      <c r="D330">
        <v>-320.59503716538399</v>
      </c>
    </row>
    <row r="331" spans="1:4" hidden="1" x14ac:dyDescent="0.3">
      <c r="A331">
        <v>329</v>
      </c>
      <c r="B331" t="s">
        <v>457</v>
      </c>
      <c r="C331" t="s">
        <v>114</v>
      </c>
      <c r="D331">
        <v>-47.910194086174599</v>
      </c>
    </row>
    <row r="332" spans="1:4" hidden="1" x14ac:dyDescent="0.3">
      <c r="A332">
        <v>330</v>
      </c>
      <c r="B332" s="1" t="s">
        <v>458</v>
      </c>
      <c r="C332" t="s">
        <v>116</v>
      </c>
      <c r="D332" s="1" t="s">
        <v>459</v>
      </c>
    </row>
    <row r="333" spans="1:4" hidden="1" x14ac:dyDescent="0.3">
      <c r="A333">
        <v>331</v>
      </c>
      <c r="B333" t="s">
        <v>460</v>
      </c>
      <c r="C333" t="s">
        <v>119</v>
      </c>
      <c r="D333">
        <v>79996073.054517895</v>
      </c>
    </row>
    <row r="334" spans="1:4" hidden="1" x14ac:dyDescent="0.3">
      <c r="A334">
        <v>332</v>
      </c>
      <c r="B334" t="s">
        <v>461</v>
      </c>
      <c r="C334" t="s">
        <v>121</v>
      </c>
      <c r="D334">
        <v>34998216.843894102</v>
      </c>
    </row>
    <row r="335" spans="1:4" hidden="1" x14ac:dyDescent="0.3">
      <c r="A335">
        <v>333</v>
      </c>
      <c r="B335" s="1" t="s">
        <v>462</v>
      </c>
      <c r="C335" t="s">
        <v>123</v>
      </c>
      <c r="D335" s="1" t="s">
        <v>463</v>
      </c>
    </row>
    <row r="336" spans="1:4" hidden="1" x14ac:dyDescent="0.3">
      <c r="A336">
        <v>334</v>
      </c>
      <c r="B336" t="s">
        <v>464</v>
      </c>
      <c r="C336" t="s">
        <v>126</v>
      </c>
      <c r="D336">
        <v>0.797444073681986</v>
      </c>
    </row>
    <row r="337" spans="1:4" hidden="1" x14ac:dyDescent="0.3">
      <c r="A337">
        <v>335</v>
      </c>
      <c r="B337" t="s">
        <v>465</v>
      </c>
      <c r="C337" t="s">
        <v>128</v>
      </c>
      <c r="D337">
        <v>0.34888113310987401</v>
      </c>
    </row>
    <row r="338" spans="1:4" hidden="1" x14ac:dyDescent="0.3">
      <c r="A338">
        <v>336</v>
      </c>
      <c r="B338" s="1" t="s">
        <v>466</v>
      </c>
      <c r="C338" t="s">
        <v>130</v>
      </c>
      <c r="D338" s="1" t="s">
        <v>467</v>
      </c>
    </row>
    <row r="339" spans="1:4" x14ac:dyDescent="0.3">
      <c r="A339">
        <v>337</v>
      </c>
      <c r="B339" s="1" t="s">
        <v>3</v>
      </c>
      <c r="C339" t="s">
        <v>4</v>
      </c>
      <c r="D339" t="s">
        <v>5</v>
      </c>
    </row>
    <row r="340" spans="1:4" hidden="1" x14ac:dyDescent="0.3">
      <c r="A340">
        <v>338</v>
      </c>
      <c r="B340" t="s">
        <v>6</v>
      </c>
      <c r="C340" t="s">
        <v>7</v>
      </c>
      <c r="D340">
        <v>1199.98</v>
      </c>
    </row>
    <row r="341" spans="1:4" hidden="1" x14ac:dyDescent="0.3">
      <c r="A341">
        <v>339</v>
      </c>
      <c r="B341" s="1" t="s">
        <v>132</v>
      </c>
      <c r="C341" t="s">
        <v>9</v>
      </c>
      <c r="D341" s="1" t="s">
        <v>133</v>
      </c>
    </row>
    <row r="342" spans="1:4" hidden="1" x14ac:dyDescent="0.3">
      <c r="A342">
        <v>340</v>
      </c>
      <c r="B342" t="s">
        <v>13</v>
      </c>
      <c r="C342" t="s">
        <v>14</v>
      </c>
      <c r="D342">
        <v>97.91796875</v>
      </c>
    </row>
    <row r="343" spans="1:4" hidden="1" x14ac:dyDescent="0.3">
      <c r="A343">
        <v>341</v>
      </c>
      <c r="B343" t="s">
        <v>15</v>
      </c>
      <c r="C343" t="s">
        <v>16</v>
      </c>
      <c r="D343">
        <v>4.2752882005853001</v>
      </c>
    </row>
    <row r="344" spans="1:4" hidden="1" x14ac:dyDescent="0.3">
      <c r="A344">
        <v>342</v>
      </c>
      <c r="B344" s="1" t="s">
        <v>134</v>
      </c>
      <c r="C344" t="s">
        <v>135</v>
      </c>
      <c r="D344" s="1" t="s">
        <v>136</v>
      </c>
    </row>
    <row r="345" spans="1:4" hidden="1" x14ac:dyDescent="0.3">
      <c r="A345">
        <v>343</v>
      </c>
      <c r="B345" t="s">
        <v>21</v>
      </c>
      <c r="C345" t="s">
        <v>22</v>
      </c>
      <c r="D345">
        <v>77.95</v>
      </c>
    </row>
    <row r="346" spans="1:4" hidden="1" x14ac:dyDescent="0.3">
      <c r="A346">
        <v>344</v>
      </c>
      <c r="B346" t="s">
        <v>468</v>
      </c>
      <c r="C346" t="s">
        <v>24</v>
      </c>
      <c r="D346">
        <v>4.9178121396917902</v>
      </c>
    </row>
    <row r="347" spans="1:4" hidden="1" x14ac:dyDescent="0.3">
      <c r="A347">
        <v>345</v>
      </c>
      <c r="B347" s="1" t="s">
        <v>469</v>
      </c>
      <c r="C347" t="s">
        <v>139</v>
      </c>
      <c r="D347" s="1" t="s">
        <v>470</v>
      </c>
    </row>
    <row r="348" spans="1:4" hidden="1" x14ac:dyDescent="0.3">
      <c r="A348">
        <v>346</v>
      </c>
      <c r="B348" t="s">
        <v>471</v>
      </c>
      <c r="C348" t="s">
        <v>35</v>
      </c>
      <c r="D348">
        <v>0.160938473188526</v>
      </c>
    </row>
    <row r="349" spans="1:4" hidden="1" x14ac:dyDescent="0.3">
      <c r="A349">
        <v>347</v>
      </c>
      <c r="B349" t="s">
        <v>472</v>
      </c>
      <c r="C349" t="s">
        <v>143</v>
      </c>
      <c r="D349">
        <v>0.76934933230829505</v>
      </c>
    </row>
    <row r="350" spans="1:4" hidden="1" x14ac:dyDescent="0.3">
      <c r="A350">
        <v>348</v>
      </c>
      <c r="B350" s="1" t="s">
        <v>473</v>
      </c>
      <c r="C350" t="s">
        <v>145</v>
      </c>
      <c r="D350" s="1" t="s">
        <v>474</v>
      </c>
    </row>
    <row r="351" spans="1:4" hidden="1" x14ac:dyDescent="0.3">
      <c r="A351">
        <v>349</v>
      </c>
      <c r="B351" t="s">
        <v>475</v>
      </c>
      <c r="C351" t="s">
        <v>30</v>
      </c>
      <c r="D351">
        <v>0.37825096251318702</v>
      </c>
    </row>
    <row r="352" spans="1:4" hidden="1" x14ac:dyDescent="0.3">
      <c r="A352">
        <v>350</v>
      </c>
      <c r="B352" t="s">
        <v>476</v>
      </c>
      <c r="C352" t="s">
        <v>32</v>
      </c>
      <c r="D352">
        <v>0.142975398303503</v>
      </c>
    </row>
    <row r="353" spans="1:4" hidden="1" x14ac:dyDescent="0.3">
      <c r="A353">
        <v>351</v>
      </c>
      <c r="B353" s="1" t="s">
        <v>477</v>
      </c>
      <c r="C353" t="s">
        <v>149</v>
      </c>
      <c r="D353" s="1" t="s">
        <v>478</v>
      </c>
    </row>
    <row r="354" spans="1:4" hidden="1" x14ac:dyDescent="0.3">
      <c r="A354">
        <v>352</v>
      </c>
      <c r="B354" t="s">
        <v>479</v>
      </c>
      <c r="C354" t="s">
        <v>40</v>
      </c>
      <c r="D354">
        <v>0.46081056429828599</v>
      </c>
    </row>
    <row r="355" spans="1:4" hidden="1" x14ac:dyDescent="0.3">
      <c r="A355">
        <v>353</v>
      </c>
      <c r="B355" t="s">
        <v>480</v>
      </c>
      <c r="C355" t="s">
        <v>42</v>
      </c>
      <c r="D355">
        <v>0.156824260974393</v>
      </c>
    </row>
    <row r="356" spans="1:4" hidden="1" x14ac:dyDescent="0.3">
      <c r="A356">
        <v>354</v>
      </c>
      <c r="B356" s="1" t="s">
        <v>481</v>
      </c>
      <c r="C356" t="s">
        <v>153</v>
      </c>
      <c r="D356" s="1" t="s">
        <v>482</v>
      </c>
    </row>
    <row r="357" spans="1:4" hidden="1" x14ac:dyDescent="0.3">
      <c r="A357">
        <v>355</v>
      </c>
      <c r="B357" t="s">
        <v>154</v>
      </c>
      <c r="C357" t="s">
        <v>155</v>
      </c>
      <c r="D357">
        <v>1</v>
      </c>
    </row>
    <row r="358" spans="1:4" hidden="1" x14ac:dyDescent="0.3">
      <c r="A358">
        <v>356</v>
      </c>
      <c r="B358" t="s">
        <v>156</v>
      </c>
      <c r="C358" t="s">
        <v>157</v>
      </c>
      <c r="D358">
        <v>1</v>
      </c>
    </row>
    <row r="359" spans="1:4" hidden="1" x14ac:dyDescent="0.3">
      <c r="A359">
        <v>357</v>
      </c>
      <c r="B359" s="1" t="s">
        <v>483</v>
      </c>
      <c r="C359" t="s">
        <v>159</v>
      </c>
      <c r="D359" s="1" t="s">
        <v>484</v>
      </c>
    </row>
    <row r="360" spans="1:4" hidden="1" x14ac:dyDescent="0.3">
      <c r="A360">
        <v>358</v>
      </c>
      <c r="B360" t="s">
        <v>485</v>
      </c>
      <c r="C360" t="s">
        <v>162</v>
      </c>
      <c r="D360">
        <v>0.99871308615345</v>
      </c>
    </row>
    <row r="361" spans="1:4" hidden="1" x14ac:dyDescent="0.3">
      <c r="A361">
        <v>359</v>
      </c>
      <c r="B361" t="s">
        <v>486</v>
      </c>
      <c r="C361" t="s">
        <v>164</v>
      </c>
      <c r="D361">
        <v>1.00159931968347</v>
      </c>
    </row>
    <row r="362" spans="1:4" hidden="1" x14ac:dyDescent="0.3">
      <c r="A362">
        <v>360</v>
      </c>
      <c r="B362" s="1" t="s">
        <v>487</v>
      </c>
      <c r="C362" t="s">
        <v>166</v>
      </c>
      <c r="D362" s="1" t="s">
        <v>488</v>
      </c>
    </row>
    <row r="363" spans="1:4" hidden="1" x14ac:dyDescent="0.3">
      <c r="A363">
        <v>361</v>
      </c>
      <c r="B363" s="1" t="s">
        <v>489</v>
      </c>
      <c r="C363" t="s">
        <v>55</v>
      </c>
      <c r="D363" s="1" t="s">
        <v>490</v>
      </c>
    </row>
    <row r="364" spans="1:4" hidden="1" x14ac:dyDescent="0.3">
      <c r="A364">
        <v>362</v>
      </c>
      <c r="B364" s="1" t="s">
        <v>491</v>
      </c>
      <c r="C364" t="s">
        <v>52</v>
      </c>
      <c r="D364" s="1" t="s">
        <v>492</v>
      </c>
    </row>
    <row r="365" spans="1:4" hidden="1" x14ac:dyDescent="0.3">
      <c r="A365">
        <v>363</v>
      </c>
      <c r="B365" s="1" t="s">
        <v>493</v>
      </c>
      <c r="C365" t="s">
        <v>58</v>
      </c>
      <c r="D365" s="1" t="s">
        <v>494</v>
      </c>
    </row>
    <row r="366" spans="1:4" hidden="1" x14ac:dyDescent="0.3">
      <c r="A366">
        <v>364</v>
      </c>
      <c r="B366" t="s">
        <v>495</v>
      </c>
      <c r="C366" t="s">
        <v>61</v>
      </c>
      <c r="D366">
        <v>150462631.598885</v>
      </c>
    </row>
    <row r="367" spans="1:4" hidden="1" x14ac:dyDescent="0.3">
      <c r="A367">
        <v>365</v>
      </c>
      <c r="B367" t="s">
        <v>496</v>
      </c>
      <c r="C367" t="s">
        <v>63</v>
      </c>
      <c r="D367">
        <v>79996073.054517895</v>
      </c>
    </row>
    <row r="368" spans="1:4" hidden="1" x14ac:dyDescent="0.3">
      <c r="A368">
        <v>366</v>
      </c>
      <c r="B368" t="s">
        <v>497</v>
      </c>
      <c r="C368" t="s">
        <v>65</v>
      </c>
      <c r="D368">
        <v>34998216.843894102</v>
      </c>
    </row>
    <row r="369" spans="1:4" hidden="1" x14ac:dyDescent="0.3">
      <c r="A369">
        <v>367</v>
      </c>
      <c r="B369" s="1" t="s">
        <v>498</v>
      </c>
      <c r="C369" t="s">
        <v>67</v>
      </c>
      <c r="D369" s="1" t="s">
        <v>499</v>
      </c>
    </row>
    <row r="370" spans="1:4" hidden="1" x14ac:dyDescent="0.3">
      <c r="A370">
        <v>368</v>
      </c>
      <c r="B370" s="1" t="s">
        <v>500</v>
      </c>
      <c r="C370" t="s">
        <v>70</v>
      </c>
      <c r="D370" s="1" t="s">
        <v>501</v>
      </c>
    </row>
    <row r="371" spans="1:4" hidden="1" x14ac:dyDescent="0.3">
      <c r="A371">
        <v>369</v>
      </c>
      <c r="B371" t="s">
        <v>502</v>
      </c>
      <c r="C371" t="s">
        <v>73</v>
      </c>
      <c r="D371">
        <v>0.99999913759166603</v>
      </c>
    </row>
    <row r="372" spans="1:4" hidden="1" x14ac:dyDescent="0.3">
      <c r="A372">
        <v>370</v>
      </c>
      <c r="B372" t="s">
        <v>74</v>
      </c>
      <c r="C372" t="s">
        <v>75</v>
      </c>
      <c r="D372">
        <v>2.7397260273972599E-3</v>
      </c>
    </row>
    <row r="373" spans="1:4" hidden="1" x14ac:dyDescent="0.3">
      <c r="A373">
        <v>371</v>
      </c>
      <c r="B373" t="s">
        <v>76</v>
      </c>
      <c r="C373" t="s">
        <v>77</v>
      </c>
      <c r="D373">
        <v>0</v>
      </c>
    </row>
    <row r="374" spans="1:4" hidden="1" x14ac:dyDescent="0.3">
      <c r="A374">
        <v>372</v>
      </c>
      <c r="B374" t="s">
        <v>503</v>
      </c>
      <c r="C374" t="s">
        <v>79</v>
      </c>
      <c r="D374" s="2">
        <v>-2.2204460492503101E-16</v>
      </c>
    </row>
    <row r="375" spans="1:4" hidden="1" x14ac:dyDescent="0.3">
      <c r="A375">
        <v>373</v>
      </c>
      <c r="B375" s="1" t="s">
        <v>504</v>
      </c>
      <c r="C375" t="s">
        <v>81</v>
      </c>
      <c r="D375" s="1" t="s">
        <v>505</v>
      </c>
    </row>
    <row r="376" spans="1:4" hidden="1" x14ac:dyDescent="0.3">
      <c r="A376">
        <v>374</v>
      </c>
      <c r="B376" t="s">
        <v>506</v>
      </c>
      <c r="C376" t="s">
        <v>84</v>
      </c>
      <c r="D376">
        <v>0.999994444782209</v>
      </c>
    </row>
    <row r="377" spans="1:4" hidden="1" x14ac:dyDescent="0.3">
      <c r="A377">
        <v>375</v>
      </c>
      <c r="B377" s="1" t="s">
        <v>507</v>
      </c>
      <c r="C377" t="s">
        <v>86</v>
      </c>
      <c r="D377" s="1" t="s">
        <v>508</v>
      </c>
    </row>
    <row r="378" spans="1:4" hidden="1" x14ac:dyDescent="0.3">
      <c r="A378">
        <v>376</v>
      </c>
      <c r="B378" t="s">
        <v>509</v>
      </c>
      <c r="C378" t="s">
        <v>89</v>
      </c>
      <c r="D378">
        <v>100317353.683889</v>
      </c>
    </row>
    <row r="379" spans="1:4" hidden="1" x14ac:dyDescent="0.3">
      <c r="A379">
        <v>377</v>
      </c>
      <c r="B379" s="1" t="s">
        <v>510</v>
      </c>
      <c r="C379" t="s">
        <v>91</v>
      </c>
      <c r="D379" s="1" t="s">
        <v>455</v>
      </c>
    </row>
    <row r="380" spans="1:4" hidden="1" x14ac:dyDescent="0.3">
      <c r="A380">
        <v>378</v>
      </c>
      <c r="B380" t="s">
        <v>511</v>
      </c>
      <c r="C380" t="s">
        <v>94</v>
      </c>
      <c r="D380">
        <v>79996073.054517895</v>
      </c>
    </row>
    <row r="381" spans="1:4" hidden="1" x14ac:dyDescent="0.3">
      <c r="A381">
        <v>379</v>
      </c>
      <c r="B381" t="s">
        <v>512</v>
      </c>
      <c r="C381" t="s">
        <v>96</v>
      </c>
      <c r="D381">
        <v>34998216.843894102</v>
      </c>
    </row>
    <row r="382" spans="1:4" hidden="1" x14ac:dyDescent="0.3">
      <c r="A382">
        <v>380</v>
      </c>
      <c r="B382" t="s">
        <v>513</v>
      </c>
      <c r="C382" t="s">
        <v>98</v>
      </c>
      <c r="D382">
        <v>35468341.700473197</v>
      </c>
    </row>
    <row r="383" spans="1:4" hidden="1" x14ac:dyDescent="0.3">
      <c r="A383">
        <v>381</v>
      </c>
      <c r="B383" s="1" t="s">
        <v>514</v>
      </c>
      <c r="C383" t="s">
        <v>100</v>
      </c>
      <c r="D383" s="1" t="s">
        <v>515</v>
      </c>
    </row>
    <row r="384" spans="1:4" hidden="1" x14ac:dyDescent="0.3">
      <c r="A384">
        <v>382</v>
      </c>
      <c r="B384" t="s">
        <v>516</v>
      </c>
      <c r="C384" t="s">
        <v>103</v>
      </c>
      <c r="D384">
        <v>5.9859427057209402E-3</v>
      </c>
    </row>
    <row r="385" spans="1:4" hidden="1" x14ac:dyDescent="0.3">
      <c r="A385">
        <v>383</v>
      </c>
      <c r="B385" t="s">
        <v>517</v>
      </c>
      <c r="C385" t="s">
        <v>105</v>
      </c>
      <c r="D385">
        <v>7.5009567332283205E-4</v>
      </c>
    </row>
    <row r="386" spans="1:4" hidden="1" x14ac:dyDescent="0.3">
      <c r="A386">
        <v>384</v>
      </c>
      <c r="B386" t="s">
        <v>518</v>
      </c>
      <c r="C386" t="s">
        <v>107</v>
      </c>
      <c r="D386">
        <v>1.14847240119534E-2</v>
      </c>
    </row>
    <row r="387" spans="1:4" hidden="1" x14ac:dyDescent="0.3">
      <c r="A387">
        <v>385</v>
      </c>
      <c r="B387" s="1" t="s">
        <v>519</v>
      </c>
      <c r="C387" t="s">
        <v>109</v>
      </c>
      <c r="D387" s="1" t="s">
        <v>520</v>
      </c>
    </row>
    <row r="388" spans="1:4" hidden="1" x14ac:dyDescent="0.3">
      <c r="A388">
        <v>386</v>
      </c>
      <c r="B388" t="s">
        <v>521</v>
      </c>
      <c r="C388" t="s">
        <v>197</v>
      </c>
      <c r="D388">
        <v>150462469.642349</v>
      </c>
    </row>
    <row r="389" spans="1:4" hidden="1" x14ac:dyDescent="0.3">
      <c r="A389">
        <v>387</v>
      </c>
      <c r="B389" t="s">
        <v>522</v>
      </c>
      <c r="C389" t="s">
        <v>199</v>
      </c>
      <c r="D389">
        <v>375.40606464732298</v>
      </c>
    </row>
    <row r="390" spans="1:4" hidden="1" x14ac:dyDescent="0.3">
      <c r="A390">
        <v>388</v>
      </c>
      <c r="B390" t="s">
        <v>523</v>
      </c>
      <c r="C390" t="s">
        <v>201</v>
      </c>
      <c r="D390">
        <v>164.24001701506199</v>
      </c>
    </row>
    <row r="391" spans="1:4" hidden="1" x14ac:dyDescent="0.3">
      <c r="A391">
        <v>389</v>
      </c>
      <c r="B391" s="1" t="s">
        <v>524</v>
      </c>
      <c r="C391" t="s">
        <v>203</v>
      </c>
      <c r="D391" s="1" t="s">
        <v>525</v>
      </c>
    </row>
    <row r="392" spans="1:4" hidden="1" x14ac:dyDescent="0.3">
      <c r="A392">
        <v>390</v>
      </c>
      <c r="B392" t="s">
        <v>526</v>
      </c>
      <c r="C392" t="s">
        <v>206</v>
      </c>
      <c r="D392">
        <v>79995572.501866996</v>
      </c>
    </row>
    <row r="393" spans="1:4" hidden="1" x14ac:dyDescent="0.3">
      <c r="A393">
        <v>391</v>
      </c>
      <c r="B393" t="s">
        <v>527</v>
      </c>
      <c r="C393" t="s">
        <v>208</v>
      </c>
      <c r="D393">
        <v>34998033.932081603</v>
      </c>
    </row>
    <row r="394" spans="1:4" hidden="1" x14ac:dyDescent="0.3">
      <c r="A394">
        <v>392</v>
      </c>
      <c r="B394" t="s">
        <v>528</v>
      </c>
      <c r="C394" t="s">
        <v>210</v>
      </c>
      <c r="D394">
        <v>35468157.116091304</v>
      </c>
    </row>
    <row r="395" spans="1:4" hidden="1" x14ac:dyDescent="0.3">
      <c r="A395">
        <v>393</v>
      </c>
      <c r="B395" s="1" t="s">
        <v>529</v>
      </c>
      <c r="C395" t="s">
        <v>212</v>
      </c>
      <c r="D395" s="1" t="s">
        <v>530</v>
      </c>
    </row>
    <row r="396" spans="1:4" hidden="1" x14ac:dyDescent="0.3">
      <c r="A396">
        <v>394</v>
      </c>
      <c r="B396" t="s">
        <v>531</v>
      </c>
      <c r="C396" t="s">
        <v>215</v>
      </c>
      <c r="D396">
        <v>100316882.913256</v>
      </c>
    </row>
    <row r="397" spans="1:4" hidden="1" x14ac:dyDescent="0.3">
      <c r="A397">
        <v>395</v>
      </c>
      <c r="B397" t="s">
        <v>532</v>
      </c>
      <c r="C397" t="s">
        <v>217</v>
      </c>
      <c r="D397">
        <v>470.77063210308501</v>
      </c>
    </row>
    <row r="398" spans="1:4" hidden="1" x14ac:dyDescent="0.3">
      <c r="A398">
        <v>396</v>
      </c>
      <c r="B398" s="1" t="s">
        <v>533</v>
      </c>
      <c r="C398" t="s">
        <v>219</v>
      </c>
      <c r="D398" s="1" t="s">
        <v>534</v>
      </c>
    </row>
    <row r="399" spans="1:4" hidden="1" x14ac:dyDescent="0.3">
      <c r="A399">
        <v>397</v>
      </c>
      <c r="B399" t="s">
        <v>535</v>
      </c>
      <c r="C399" t="s">
        <v>112</v>
      </c>
      <c r="D399">
        <v>-125.146586232467</v>
      </c>
    </row>
    <row r="400" spans="1:4" hidden="1" x14ac:dyDescent="0.3">
      <c r="A400">
        <v>398</v>
      </c>
      <c r="B400" t="s">
        <v>536</v>
      </c>
      <c r="C400" t="s">
        <v>114</v>
      </c>
      <c r="D400">
        <v>-18.671795531497999</v>
      </c>
    </row>
    <row r="401" spans="1:4" hidden="1" x14ac:dyDescent="0.3">
      <c r="A401">
        <v>399</v>
      </c>
      <c r="B401" s="1" t="s">
        <v>537</v>
      </c>
      <c r="C401" t="s">
        <v>116</v>
      </c>
      <c r="D401" s="1" t="s">
        <v>538</v>
      </c>
    </row>
    <row r="402" spans="1:4" hidden="1" x14ac:dyDescent="0.3">
      <c r="A402">
        <v>400</v>
      </c>
      <c r="B402" t="s">
        <v>539</v>
      </c>
      <c r="C402" t="s">
        <v>119</v>
      </c>
      <c r="D402">
        <v>79995572.501866996</v>
      </c>
    </row>
    <row r="403" spans="1:4" hidden="1" x14ac:dyDescent="0.3">
      <c r="A403">
        <v>401</v>
      </c>
      <c r="B403" t="s">
        <v>540</v>
      </c>
      <c r="C403" t="s">
        <v>121</v>
      </c>
      <c r="D403">
        <v>34998033.932081603</v>
      </c>
    </row>
    <row r="404" spans="1:4" hidden="1" x14ac:dyDescent="0.3">
      <c r="A404">
        <v>402</v>
      </c>
      <c r="B404" s="1" t="s">
        <v>541</v>
      </c>
      <c r="C404" t="s">
        <v>123</v>
      </c>
      <c r="D404" s="1" t="s">
        <v>542</v>
      </c>
    </row>
    <row r="405" spans="1:4" hidden="1" x14ac:dyDescent="0.3">
      <c r="A405">
        <v>403</v>
      </c>
      <c r="B405" t="s">
        <v>543</v>
      </c>
      <c r="C405" t="s">
        <v>126</v>
      </c>
      <c r="D405">
        <v>0.79743323929168597</v>
      </c>
    </row>
    <row r="406" spans="1:4" hidden="1" x14ac:dyDescent="0.3">
      <c r="A406">
        <v>404</v>
      </c>
      <c r="B406" t="s">
        <v>544</v>
      </c>
      <c r="C406" t="s">
        <v>128</v>
      </c>
      <c r="D406">
        <v>0.34887675273089402</v>
      </c>
    </row>
    <row r="407" spans="1:4" hidden="1" x14ac:dyDescent="0.3">
      <c r="A407">
        <v>405</v>
      </c>
      <c r="B407" s="1" t="s">
        <v>545</v>
      </c>
      <c r="C407" t="s">
        <v>130</v>
      </c>
      <c r="D407" s="1" t="s">
        <v>546</v>
      </c>
    </row>
    <row r="408" spans="1:4" x14ac:dyDescent="0.3">
      <c r="A408">
        <v>406</v>
      </c>
      <c r="B408" s="1" t="s">
        <v>3</v>
      </c>
      <c r="C408" t="s">
        <v>4</v>
      </c>
      <c r="D408" t="s">
        <v>5</v>
      </c>
    </row>
    <row r="409" spans="1:4" hidden="1" x14ac:dyDescent="0.3">
      <c r="A409">
        <v>407</v>
      </c>
      <c r="B409" t="s">
        <v>6</v>
      </c>
      <c r="C409" t="s">
        <v>7</v>
      </c>
      <c r="D409">
        <v>1199.98</v>
      </c>
    </row>
    <row r="410" spans="1:4" hidden="1" x14ac:dyDescent="0.3">
      <c r="A410">
        <v>408</v>
      </c>
      <c r="B410" s="1" t="s">
        <v>132</v>
      </c>
      <c r="C410" t="s">
        <v>9</v>
      </c>
      <c r="D410" s="1" t="s">
        <v>133</v>
      </c>
    </row>
    <row r="411" spans="1:4" hidden="1" x14ac:dyDescent="0.3">
      <c r="A411">
        <v>409</v>
      </c>
      <c r="B411" t="s">
        <v>13</v>
      </c>
      <c r="C411" t="s">
        <v>14</v>
      </c>
      <c r="D411">
        <v>97.91796875</v>
      </c>
    </row>
    <row r="412" spans="1:4" hidden="1" x14ac:dyDescent="0.3">
      <c r="A412">
        <v>410</v>
      </c>
      <c r="B412" t="s">
        <v>15</v>
      </c>
      <c r="C412" t="s">
        <v>16</v>
      </c>
      <c r="D412">
        <v>4.2752882005853001</v>
      </c>
    </row>
    <row r="413" spans="1:4" hidden="1" x14ac:dyDescent="0.3">
      <c r="A413">
        <v>411</v>
      </c>
      <c r="B413" s="1" t="s">
        <v>134</v>
      </c>
      <c r="C413" t="s">
        <v>135</v>
      </c>
      <c r="D413" s="1" t="s">
        <v>136</v>
      </c>
    </row>
    <row r="414" spans="1:4" hidden="1" x14ac:dyDescent="0.3">
      <c r="A414">
        <v>412</v>
      </c>
      <c r="B414" t="s">
        <v>21</v>
      </c>
      <c r="C414" t="s">
        <v>22</v>
      </c>
      <c r="D414">
        <v>77.95</v>
      </c>
    </row>
    <row r="415" spans="1:4" hidden="1" x14ac:dyDescent="0.3">
      <c r="A415">
        <v>413</v>
      </c>
      <c r="B415" t="s">
        <v>547</v>
      </c>
      <c r="C415" t="s">
        <v>24</v>
      </c>
      <c r="D415">
        <v>4.9089565932730803</v>
      </c>
    </row>
    <row r="416" spans="1:4" hidden="1" x14ac:dyDescent="0.3">
      <c r="A416">
        <v>414</v>
      </c>
      <c r="B416" s="1" t="s">
        <v>548</v>
      </c>
      <c r="C416" t="s">
        <v>139</v>
      </c>
      <c r="D416" s="1" t="s">
        <v>549</v>
      </c>
    </row>
    <row r="417" spans="1:4" hidden="1" x14ac:dyDescent="0.3">
      <c r="A417">
        <v>415</v>
      </c>
      <c r="B417" t="s">
        <v>550</v>
      </c>
      <c r="C417" t="s">
        <v>35</v>
      </c>
      <c r="D417">
        <v>0.161808003427408</v>
      </c>
    </row>
    <row r="418" spans="1:4" hidden="1" x14ac:dyDescent="0.3">
      <c r="A418">
        <v>416</v>
      </c>
      <c r="B418" t="s">
        <v>551</v>
      </c>
      <c r="C418" t="s">
        <v>143</v>
      </c>
      <c r="D418">
        <v>0.76657625850008104</v>
      </c>
    </row>
    <row r="419" spans="1:4" hidden="1" x14ac:dyDescent="0.3">
      <c r="A419">
        <v>417</v>
      </c>
      <c r="B419" s="1" t="s">
        <v>552</v>
      </c>
      <c r="C419" t="s">
        <v>145</v>
      </c>
      <c r="D419" s="1" t="s">
        <v>553</v>
      </c>
    </row>
    <row r="420" spans="1:4" hidden="1" x14ac:dyDescent="0.3">
      <c r="A420">
        <v>418</v>
      </c>
      <c r="B420" t="s">
        <v>554</v>
      </c>
      <c r="C420" t="s">
        <v>30</v>
      </c>
      <c r="D420">
        <v>0.38029460467826498</v>
      </c>
    </row>
    <row r="421" spans="1:4" hidden="1" x14ac:dyDescent="0.3">
      <c r="A421">
        <v>419</v>
      </c>
      <c r="B421" t="s">
        <v>555</v>
      </c>
      <c r="C421" t="s">
        <v>32</v>
      </c>
      <c r="D421">
        <v>0.144805040773513</v>
      </c>
    </row>
    <row r="422" spans="1:4" hidden="1" x14ac:dyDescent="0.3">
      <c r="A422">
        <v>420</v>
      </c>
      <c r="B422" s="1" t="s">
        <v>556</v>
      </c>
      <c r="C422" t="s">
        <v>149</v>
      </c>
      <c r="D422" s="1" t="s">
        <v>557</v>
      </c>
    </row>
    <row r="423" spans="1:4" hidden="1" x14ac:dyDescent="0.3">
      <c r="A423">
        <v>421</v>
      </c>
      <c r="B423" t="s">
        <v>558</v>
      </c>
      <c r="C423" t="s">
        <v>40</v>
      </c>
      <c r="D423">
        <v>0.45789739189432599</v>
      </c>
    </row>
    <row r="424" spans="1:4" hidden="1" x14ac:dyDescent="0.3">
      <c r="A424">
        <v>422</v>
      </c>
      <c r="B424" t="s">
        <v>559</v>
      </c>
      <c r="C424" t="s">
        <v>42</v>
      </c>
      <c r="D424">
        <v>0.15969661696977</v>
      </c>
    </row>
    <row r="425" spans="1:4" hidden="1" x14ac:dyDescent="0.3">
      <c r="A425">
        <v>423</v>
      </c>
      <c r="B425" s="1" t="s">
        <v>560</v>
      </c>
      <c r="C425" t="s">
        <v>153</v>
      </c>
      <c r="D425" s="1" t="s">
        <v>561</v>
      </c>
    </row>
    <row r="426" spans="1:4" hidden="1" x14ac:dyDescent="0.3">
      <c r="A426">
        <v>424</v>
      </c>
      <c r="B426" t="s">
        <v>154</v>
      </c>
      <c r="C426" t="s">
        <v>155</v>
      </c>
      <c r="D426">
        <v>1</v>
      </c>
    </row>
    <row r="427" spans="1:4" hidden="1" x14ac:dyDescent="0.3">
      <c r="A427">
        <v>425</v>
      </c>
      <c r="B427" t="s">
        <v>156</v>
      </c>
      <c r="C427" t="s">
        <v>157</v>
      </c>
      <c r="D427">
        <v>1</v>
      </c>
    </row>
    <row r="428" spans="1:4" hidden="1" x14ac:dyDescent="0.3">
      <c r="A428">
        <v>426</v>
      </c>
      <c r="B428" s="1" t="s">
        <v>562</v>
      </c>
      <c r="C428" t="s">
        <v>159</v>
      </c>
      <c r="D428" s="1" t="s">
        <v>563</v>
      </c>
    </row>
    <row r="429" spans="1:4" hidden="1" x14ac:dyDescent="0.3">
      <c r="A429">
        <v>427</v>
      </c>
      <c r="B429" t="s">
        <v>564</v>
      </c>
      <c r="C429" t="s">
        <v>162</v>
      </c>
      <c r="D429">
        <v>0.99843271548609502</v>
      </c>
    </row>
    <row r="430" spans="1:4" hidden="1" x14ac:dyDescent="0.3">
      <c r="A430">
        <v>428</v>
      </c>
      <c r="B430" t="s">
        <v>565</v>
      </c>
      <c r="C430" t="s">
        <v>164</v>
      </c>
      <c r="D430">
        <v>1.0016007715238</v>
      </c>
    </row>
    <row r="431" spans="1:4" hidden="1" x14ac:dyDescent="0.3">
      <c r="A431">
        <v>429</v>
      </c>
      <c r="B431" s="1" t="s">
        <v>566</v>
      </c>
      <c r="C431" t="s">
        <v>166</v>
      </c>
      <c r="D431" s="1" t="s">
        <v>567</v>
      </c>
    </row>
    <row r="432" spans="1:4" hidden="1" x14ac:dyDescent="0.3">
      <c r="A432">
        <v>430</v>
      </c>
      <c r="B432" s="1" t="s">
        <v>568</v>
      </c>
      <c r="C432" t="s">
        <v>55</v>
      </c>
      <c r="D432" s="1" t="s">
        <v>569</v>
      </c>
    </row>
    <row r="433" spans="1:4" hidden="1" x14ac:dyDescent="0.3">
      <c r="A433">
        <v>431</v>
      </c>
      <c r="B433" s="1" t="s">
        <v>570</v>
      </c>
      <c r="C433" t="s">
        <v>52</v>
      </c>
      <c r="D433" s="1" t="s">
        <v>571</v>
      </c>
    </row>
    <row r="434" spans="1:4" hidden="1" x14ac:dyDescent="0.3">
      <c r="A434">
        <v>432</v>
      </c>
      <c r="B434" s="1" t="s">
        <v>572</v>
      </c>
      <c r="C434" t="s">
        <v>58</v>
      </c>
      <c r="D434" s="1" t="s">
        <v>573</v>
      </c>
    </row>
    <row r="435" spans="1:4" hidden="1" x14ac:dyDescent="0.3">
      <c r="A435">
        <v>433</v>
      </c>
      <c r="B435" t="s">
        <v>574</v>
      </c>
      <c r="C435" t="s">
        <v>61</v>
      </c>
      <c r="D435">
        <v>150457973.297786</v>
      </c>
    </row>
    <row r="436" spans="1:4" hidden="1" x14ac:dyDescent="0.3">
      <c r="A436">
        <v>434</v>
      </c>
      <c r="B436" t="s">
        <v>575</v>
      </c>
      <c r="C436" t="s">
        <v>63</v>
      </c>
      <c r="D436">
        <v>79995572.501866996</v>
      </c>
    </row>
    <row r="437" spans="1:4" hidden="1" x14ac:dyDescent="0.3">
      <c r="A437">
        <v>435</v>
      </c>
      <c r="B437" t="s">
        <v>576</v>
      </c>
      <c r="C437" t="s">
        <v>65</v>
      </c>
      <c r="D437">
        <v>34998033.932081603</v>
      </c>
    </row>
    <row r="438" spans="1:4" hidden="1" x14ac:dyDescent="0.3">
      <c r="A438">
        <v>436</v>
      </c>
      <c r="B438" s="1" t="s">
        <v>577</v>
      </c>
      <c r="C438" t="s">
        <v>67</v>
      </c>
      <c r="D438" s="1" t="s">
        <v>578</v>
      </c>
    </row>
    <row r="439" spans="1:4" hidden="1" x14ac:dyDescent="0.3">
      <c r="A439">
        <v>437</v>
      </c>
      <c r="B439" s="1" t="s">
        <v>579</v>
      </c>
      <c r="C439" t="s">
        <v>70</v>
      </c>
      <c r="D439" s="1" t="s">
        <v>580</v>
      </c>
    </row>
    <row r="440" spans="1:4" hidden="1" x14ac:dyDescent="0.3">
      <c r="A440">
        <v>438</v>
      </c>
      <c r="B440" t="s">
        <v>581</v>
      </c>
      <c r="C440" t="s">
        <v>73</v>
      </c>
      <c r="D440">
        <v>0.999994444782209</v>
      </c>
    </row>
    <row r="441" spans="1:4" hidden="1" x14ac:dyDescent="0.3">
      <c r="A441">
        <v>439</v>
      </c>
      <c r="B441" t="s">
        <v>74</v>
      </c>
      <c r="C441" t="s">
        <v>75</v>
      </c>
      <c r="D441">
        <v>2.7397260273972599E-3</v>
      </c>
    </row>
    <row r="442" spans="1:4" hidden="1" x14ac:dyDescent="0.3">
      <c r="A442">
        <v>440</v>
      </c>
      <c r="B442" t="s">
        <v>76</v>
      </c>
      <c r="C442" t="s">
        <v>77</v>
      </c>
      <c r="D442">
        <v>0</v>
      </c>
    </row>
    <row r="443" spans="1:4" hidden="1" x14ac:dyDescent="0.3">
      <c r="A443">
        <v>441</v>
      </c>
      <c r="B443" t="s">
        <v>78</v>
      </c>
      <c r="C443" t="s">
        <v>79</v>
      </c>
      <c r="D443">
        <v>0</v>
      </c>
    </row>
    <row r="444" spans="1:4" hidden="1" x14ac:dyDescent="0.3">
      <c r="A444">
        <v>442</v>
      </c>
      <c r="B444" s="1" t="s">
        <v>582</v>
      </c>
      <c r="C444" t="s">
        <v>81</v>
      </c>
      <c r="D444" s="1" t="s">
        <v>583</v>
      </c>
    </row>
    <row r="445" spans="1:4" hidden="1" x14ac:dyDescent="0.3">
      <c r="A445">
        <v>443</v>
      </c>
      <c r="B445" t="s">
        <v>584</v>
      </c>
      <c r="C445" t="s">
        <v>84</v>
      </c>
      <c r="D445">
        <v>0.99998344848370702</v>
      </c>
    </row>
    <row r="446" spans="1:4" hidden="1" x14ac:dyDescent="0.3">
      <c r="A446">
        <v>444</v>
      </c>
      <c r="B446" s="1" t="s">
        <v>585</v>
      </c>
      <c r="C446" t="s">
        <v>86</v>
      </c>
      <c r="D446" s="1" t="s">
        <v>586</v>
      </c>
    </row>
    <row r="447" spans="1:4" hidden="1" x14ac:dyDescent="0.3">
      <c r="A447">
        <v>445</v>
      </c>
      <c r="B447" t="s">
        <v>587</v>
      </c>
      <c r="C447" t="s">
        <v>89</v>
      </c>
      <c r="D447">
        <v>100318456.821713</v>
      </c>
    </row>
    <row r="448" spans="1:4" hidden="1" x14ac:dyDescent="0.3">
      <c r="A448">
        <v>446</v>
      </c>
      <c r="B448" s="1" t="s">
        <v>588</v>
      </c>
      <c r="C448" t="s">
        <v>91</v>
      </c>
      <c r="D448" s="1" t="s">
        <v>534</v>
      </c>
    </row>
    <row r="449" spans="1:4" hidden="1" x14ac:dyDescent="0.3">
      <c r="A449">
        <v>447</v>
      </c>
      <c r="B449" t="s">
        <v>589</v>
      </c>
      <c r="C449" t="s">
        <v>94</v>
      </c>
      <c r="D449">
        <v>79995572.501866996</v>
      </c>
    </row>
    <row r="450" spans="1:4" hidden="1" x14ac:dyDescent="0.3">
      <c r="A450">
        <v>448</v>
      </c>
      <c r="B450" t="s">
        <v>590</v>
      </c>
      <c r="C450" t="s">
        <v>96</v>
      </c>
      <c r="D450">
        <v>34998033.932081603</v>
      </c>
    </row>
    <row r="451" spans="1:4" hidden="1" x14ac:dyDescent="0.3">
      <c r="A451">
        <v>449</v>
      </c>
      <c r="B451" t="s">
        <v>591</v>
      </c>
      <c r="C451" t="s">
        <v>98</v>
      </c>
      <c r="D451">
        <v>35464366.863837503</v>
      </c>
    </row>
    <row r="452" spans="1:4" hidden="1" x14ac:dyDescent="0.3">
      <c r="A452">
        <v>450</v>
      </c>
      <c r="B452" s="1" t="s">
        <v>592</v>
      </c>
      <c r="C452" t="s">
        <v>100</v>
      </c>
      <c r="D452" s="1" t="s">
        <v>593</v>
      </c>
    </row>
    <row r="453" spans="1:4" hidden="1" x14ac:dyDescent="0.3">
      <c r="A453">
        <v>451</v>
      </c>
      <c r="B453" t="s">
        <v>594</v>
      </c>
      <c r="C453" t="s">
        <v>103</v>
      </c>
      <c r="D453">
        <v>5.8761325403757303E-3</v>
      </c>
    </row>
    <row r="454" spans="1:4" hidden="1" x14ac:dyDescent="0.3">
      <c r="A454">
        <v>452</v>
      </c>
      <c r="B454" t="s">
        <v>595</v>
      </c>
      <c r="C454" t="s">
        <v>105</v>
      </c>
      <c r="D454">
        <v>7.4299221099679397E-4</v>
      </c>
    </row>
    <row r="455" spans="1:4" hidden="1" x14ac:dyDescent="0.3">
      <c r="A455">
        <v>453</v>
      </c>
      <c r="B455" t="s">
        <v>596</v>
      </c>
      <c r="C455" t="s">
        <v>107</v>
      </c>
      <c r="D455">
        <v>1.15401240404071E-2</v>
      </c>
    </row>
    <row r="456" spans="1:4" hidden="1" x14ac:dyDescent="0.3">
      <c r="A456">
        <v>454</v>
      </c>
      <c r="B456" s="1" t="s">
        <v>597</v>
      </c>
      <c r="C456" t="s">
        <v>109</v>
      </c>
      <c r="D456" s="1" t="s">
        <v>598</v>
      </c>
    </row>
    <row r="457" spans="1:4" hidden="1" x14ac:dyDescent="0.3">
      <c r="A457">
        <v>455</v>
      </c>
      <c r="B457" t="s">
        <v>599</v>
      </c>
      <c r="C457" t="s">
        <v>197</v>
      </c>
      <c r="D457">
        <v>150457593.82097</v>
      </c>
    </row>
    <row r="458" spans="1:4" hidden="1" x14ac:dyDescent="0.3">
      <c r="A458">
        <v>456</v>
      </c>
      <c r="B458" t="s">
        <v>600</v>
      </c>
      <c r="C458" t="s">
        <v>199</v>
      </c>
      <c r="D458">
        <v>879.65685597702895</v>
      </c>
    </row>
    <row r="459" spans="1:4" hidden="1" x14ac:dyDescent="0.3">
      <c r="A459">
        <v>457</v>
      </c>
      <c r="B459" t="s">
        <v>601</v>
      </c>
      <c r="C459" t="s">
        <v>201</v>
      </c>
      <c r="D459">
        <v>384.850484863406</v>
      </c>
    </row>
    <row r="460" spans="1:4" hidden="1" x14ac:dyDescent="0.3">
      <c r="A460">
        <v>458</v>
      </c>
      <c r="B460" s="1" t="s">
        <v>602</v>
      </c>
      <c r="C460" t="s">
        <v>203</v>
      </c>
      <c r="D460" s="1" t="s">
        <v>603</v>
      </c>
    </row>
    <row r="461" spans="1:4" hidden="1" x14ac:dyDescent="0.3">
      <c r="A461">
        <v>459</v>
      </c>
      <c r="B461" t="s">
        <v>604</v>
      </c>
      <c r="C461" t="s">
        <v>206</v>
      </c>
      <c r="D461">
        <v>79994399.588197604</v>
      </c>
    </row>
    <row r="462" spans="1:4" hidden="1" x14ac:dyDescent="0.3">
      <c r="A462">
        <v>460</v>
      </c>
      <c r="B462" t="s">
        <v>605</v>
      </c>
      <c r="C462" t="s">
        <v>208</v>
      </c>
      <c r="D462">
        <v>34997605.3260919</v>
      </c>
    </row>
    <row r="463" spans="1:4" hidden="1" x14ac:dyDescent="0.3">
      <c r="A463">
        <v>461</v>
      </c>
      <c r="B463" t="s">
        <v>606</v>
      </c>
      <c r="C463" t="s">
        <v>210</v>
      </c>
      <c r="D463">
        <v>35463934.420876198</v>
      </c>
    </row>
    <row r="464" spans="1:4" hidden="1" x14ac:dyDescent="0.3">
      <c r="A464">
        <v>462</v>
      </c>
      <c r="B464" s="1" t="s">
        <v>607</v>
      </c>
      <c r="C464" t="s">
        <v>212</v>
      </c>
      <c r="D464" s="1" t="s">
        <v>608</v>
      </c>
    </row>
    <row r="465" spans="1:4" hidden="1" x14ac:dyDescent="0.3">
      <c r="A465">
        <v>463</v>
      </c>
      <c r="B465" t="s">
        <v>609</v>
      </c>
      <c r="C465" t="s">
        <v>215</v>
      </c>
      <c r="D465">
        <v>100317353.683889</v>
      </c>
    </row>
    <row r="466" spans="1:4" hidden="1" x14ac:dyDescent="0.3">
      <c r="A466">
        <v>464</v>
      </c>
      <c r="B466" t="s">
        <v>610</v>
      </c>
      <c r="C466" t="s">
        <v>217</v>
      </c>
      <c r="D466">
        <v>1103.13782459497</v>
      </c>
    </row>
    <row r="467" spans="1:4" hidden="1" x14ac:dyDescent="0.3">
      <c r="A467">
        <v>465</v>
      </c>
      <c r="B467" s="1" t="s">
        <v>611</v>
      </c>
      <c r="C467" t="s">
        <v>219</v>
      </c>
      <c r="D467" s="1" t="s">
        <v>612</v>
      </c>
    </row>
    <row r="468" spans="1:4" hidden="1" x14ac:dyDescent="0.3">
      <c r="A468">
        <v>466</v>
      </c>
      <c r="B468" t="s">
        <v>613</v>
      </c>
      <c r="C468" t="s">
        <v>112</v>
      </c>
      <c r="D468">
        <v>-293.25681340220001</v>
      </c>
    </row>
    <row r="469" spans="1:4" hidden="1" x14ac:dyDescent="0.3">
      <c r="A469">
        <v>467</v>
      </c>
      <c r="B469" t="s">
        <v>614</v>
      </c>
      <c r="C469" t="s">
        <v>114</v>
      </c>
      <c r="D469">
        <v>-43.755504845007401</v>
      </c>
    </row>
    <row r="470" spans="1:4" hidden="1" x14ac:dyDescent="0.3">
      <c r="A470">
        <v>468</v>
      </c>
      <c r="B470" s="1" t="s">
        <v>615</v>
      </c>
      <c r="C470" t="s">
        <v>116</v>
      </c>
      <c r="D470" s="1" t="s">
        <v>616</v>
      </c>
    </row>
    <row r="471" spans="1:4" hidden="1" x14ac:dyDescent="0.3">
      <c r="A471">
        <v>469</v>
      </c>
      <c r="B471" t="s">
        <v>617</v>
      </c>
      <c r="C471" t="s">
        <v>119</v>
      </c>
      <c r="D471">
        <v>79994399.588197604</v>
      </c>
    </row>
    <row r="472" spans="1:4" hidden="1" x14ac:dyDescent="0.3">
      <c r="A472">
        <v>470</v>
      </c>
      <c r="B472" t="s">
        <v>618</v>
      </c>
      <c r="C472" t="s">
        <v>121</v>
      </c>
      <c r="D472">
        <v>34997605.3260919</v>
      </c>
    </row>
    <row r="473" spans="1:4" hidden="1" x14ac:dyDescent="0.3">
      <c r="A473">
        <v>471</v>
      </c>
      <c r="B473" s="1" t="s">
        <v>619</v>
      </c>
      <c r="C473" t="s">
        <v>123</v>
      </c>
      <c r="D473" s="1" t="s">
        <v>620</v>
      </c>
    </row>
    <row r="474" spans="1:4" hidden="1" x14ac:dyDescent="0.3">
      <c r="A474">
        <v>472</v>
      </c>
      <c r="B474" t="s">
        <v>621</v>
      </c>
      <c r="C474" t="s">
        <v>126</v>
      </c>
      <c r="D474">
        <v>0.79742657377900905</v>
      </c>
    </row>
    <row r="475" spans="1:4" hidden="1" x14ac:dyDescent="0.3">
      <c r="A475">
        <v>473</v>
      </c>
      <c r="B475" t="s">
        <v>622</v>
      </c>
      <c r="C475" t="s">
        <v>128</v>
      </c>
      <c r="D475">
        <v>0.34887467934409</v>
      </c>
    </row>
    <row r="476" spans="1:4" hidden="1" x14ac:dyDescent="0.3">
      <c r="A476">
        <v>474</v>
      </c>
      <c r="B476" s="1" t="s">
        <v>623</v>
      </c>
      <c r="C476" t="s">
        <v>130</v>
      </c>
      <c r="D476" s="1" t="s">
        <v>624</v>
      </c>
    </row>
    <row r="477" spans="1:4" x14ac:dyDescent="0.3">
      <c r="A477">
        <v>475</v>
      </c>
      <c r="B477" s="1" t="s">
        <v>3</v>
      </c>
      <c r="C477" t="s">
        <v>4</v>
      </c>
      <c r="D477" t="s">
        <v>5</v>
      </c>
    </row>
    <row r="478" spans="1:4" hidden="1" x14ac:dyDescent="0.3">
      <c r="A478">
        <v>476</v>
      </c>
      <c r="B478" t="s">
        <v>6</v>
      </c>
      <c r="C478" t="s">
        <v>7</v>
      </c>
      <c r="D478">
        <v>1199.98</v>
      </c>
    </row>
    <row r="479" spans="1:4" hidden="1" x14ac:dyDescent="0.3">
      <c r="A479">
        <v>477</v>
      </c>
      <c r="B479" s="1" t="s">
        <v>132</v>
      </c>
      <c r="C479" t="s">
        <v>9</v>
      </c>
      <c r="D479" s="1" t="s">
        <v>133</v>
      </c>
    </row>
    <row r="480" spans="1:4" hidden="1" x14ac:dyDescent="0.3">
      <c r="A480">
        <v>478</v>
      </c>
      <c r="B480" t="s">
        <v>13</v>
      </c>
      <c r="C480" t="s">
        <v>14</v>
      </c>
      <c r="D480">
        <v>97.91796875</v>
      </c>
    </row>
    <row r="481" spans="1:4" hidden="1" x14ac:dyDescent="0.3">
      <c r="A481">
        <v>479</v>
      </c>
      <c r="B481" t="s">
        <v>15</v>
      </c>
      <c r="C481" t="s">
        <v>16</v>
      </c>
      <c r="D481">
        <v>4.2752882005853001</v>
      </c>
    </row>
    <row r="482" spans="1:4" hidden="1" x14ac:dyDescent="0.3">
      <c r="A482">
        <v>480</v>
      </c>
      <c r="B482" s="1" t="s">
        <v>134</v>
      </c>
      <c r="C482" t="s">
        <v>135</v>
      </c>
      <c r="D482" s="1" t="s">
        <v>136</v>
      </c>
    </row>
    <row r="483" spans="1:4" hidden="1" x14ac:dyDescent="0.3">
      <c r="A483">
        <v>481</v>
      </c>
      <c r="B483" t="s">
        <v>21</v>
      </c>
      <c r="C483" t="s">
        <v>22</v>
      </c>
      <c r="D483">
        <v>77.95</v>
      </c>
    </row>
    <row r="484" spans="1:4" hidden="1" x14ac:dyDescent="0.3">
      <c r="A484">
        <v>482</v>
      </c>
      <c r="B484" t="s">
        <v>625</v>
      </c>
      <c r="C484" t="s">
        <v>24</v>
      </c>
      <c r="D484">
        <v>4.9004347812687996</v>
      </c>
    </row>
    <row r="485" spans="1:4" hidden="1" x14ac:dyDescent="0.3">
      <c r="A485">
        <v>483</v>
      </c>
      <c r="B485" s="1" t="s">
        <v>626</v>
      </c>
      <c r="C485" t="s">
        <v>139</v>
      </c>
      <c r="D485" s="1" t="s">
        <v>627</v>
      </c>
    </row>
    <row r="486" spans="1:4" hidden="1" x14ac:dyDescent="0.3">
      <c r="A486">
        <v>484</v>
      </c>
      <c r="B486" t="s">
        <v>628</v>
      </c>
      <c r="C486" t="s">
        <v>35</v>
      </c>
      <c r="D486">
        <v>0.16165494087342899</v>
      </c>
    </row>
    <row r="487" spans="1:4" hidden="1" x14ac:dyDescent="0.3">
      <c r="A487">
        <v>485</v>
      </c>
      <c r="B487" t="s">
        <v>629</v>
      </c>
      <c r="C487" t="s">
        <v>143</v>
      </c>
      <c r="D487">
        <v>0.76458709073670905</v>
      </c>
    </row>
    <row r="488" spans="1:4" hidden="1" x14ac:dyDescent="0.3">
      <c r="A488">
        <v>486</v>
      </c>
      <c r="B488" s="1" t="s">
        <v>630</v>
      </c>
      <c r="C488" t="s">
        <v>145</v>
      </c>
      <c r="D488" s="1" t="s">
        <v>631</v>
      </c>
    </row>
    <row r="489" spans="1:4" hidden="1" x14ac:dyDescent="0.3">
      <c r="A489">
        <v>487</v>
      </c>
      <c r="B489" t="s">
        <v>632</v>
      </c>
      <c r="C489" t="s">
        <v>30</v>
      </c>
      <c r="D489">
        <v>0.379934864355022</v>
      </c>
    </row>
    <row r="490" spans="1:4" hidden="1" x14ac:dyDescent="0.3">
      <c r="A490">
        <v>488</v>
      </c>
      <c r="B490" t="s">
        <v>633</v>
      </c>
      <c r="C490" t="s">
        <v>32</v>
      </c>
      <c r="D490">
        <v>0.14634875524096</v>
      </c>
    </row>
    <row r="491" spans="1:4" hidden="1" x14ac:dyDescent="0.3">
      <c r="A491">
        <v>489</v>
      </c>
      <c r="B491" s="1" t="s">
        <v>634</v>
      </c>
      <c r="C491" t="s">
        <v>149</v>
      </c>
      <c r="D491" s="1" t="s">
        <v>635</v>
      </c>
    </row>
    <row r="492" spans="1:4" hidden="1" x14ac:dyDescent="0.3">
      <c r="A492">
        <v>490</v>
      </c>
      <c r="B492" t="s">
        <v>636</v>
      </c>
      <c r="C492" t="s">
        <v>40</v>
      </c>
      <c r="D492">
        <v>0.45841019477154799</v>
      </c>
    </row>
    <row r="493" spans="1:4" hidden="1" x14ac:dyDescent="0.3">
      <c r="A493">
        <v>491</v>
      </c>
      <c r="B493" t="s">
        <v>637</v>
      </c>
      <c r="C493" t="s">
        <v>42</v>
      </c>
      <c r="D493">
        <v>0.16154672470555601</v>
      </c>
    </row>
    <row r="494" spans="1:4" hidden="1" x14ac:dyDescent="0.3">
      <c r="A494">
        <v>492</v>
      </c>
      <c r="B494" s="1" t="s">
        <v>638</v>
      </c>
      <c r="C494" t="s">
        <v>153</v>
      </c>
      <c r="D494" s="1" t="s">
        <v>639</v>
      </c>
    </row>
    <row r="495" spans="1:4" hidden="1" x14ac:dyDescent="0.3">
      <c r="A495">
        <v>493</v>
      </c>
      <c r="B495" t="s">
        <v>154</v>
      </c>
      <c r="C495" t="s">
        <v>155</v>
      </c>
      <c r="D495">
        <v>1</v>
      </c>
    </row>
    <row r="496" spans="1:4" hidden="1" x14ac:dyDescent="0.3">
      <c r="A496">
        <v>494</v>
      </c>
      <c r="B496" t="s">
        <v>156</v>
      </c>
      <c r="C496" t="s">
        <v>157</v>
      </c>
      <c r="D496">
        <v>1</v>
      </c>
    </row>
    <row r="497" spans="1:4" hidden="1" x14ac:dyDescent="0.3">
      <c r="A497">
        <v>495</v>
      </c>
      <c r="B497" s="1" t="s">
        <v>640</v>
      </c>
      <c r="C497" t="s">
        <v>159</v>
      </c>
      <c r="D497" s="1" t="s">
        <v>641</v>
      </c>
    </row>
    <row r="498" spans="1:4" hidden="1" x14ac:dyDescent="0.3">
      <c r="A498">
        <v>496</v>
      </c>
      <c r="B498" t="s">
        <v>642</v>
      </c>
      <c r="C498" t="s">
        <v>162</v>
      </c>
      <c r="D498">
        <v>0.99887399836049995</v>
      </c>
    </row>
    <row r="499" spans="1:4" hidden="1" x14ac:dyDescent="0.3">
      <c r="A499">
        <v>497</v>
      </c>
      <c r="B499" t="s">
        <v>643</v>
      </c>
      <c r="C499" t="s">
        <v>164</v>
      </c>
      <c r="D499">
        <v>1.00134845184329</v>
      </c>
    </row>
    <row r="500" spans="1:4" hidden="1" x14ac:dyDescent="0.3">
      <c r="A500">
        <v>498</v>
      </c>
      <c r="B500" s="1" t="s">
        <v>644</v>
      </c>
      <c r="C500" t="s">
        <v>166</v>
      </c>
      <c r="D500" s="1" t="s">
        <v>645</v>
      </c>
    </row>
    <row r="501" spans="1:4" hidden="1" x14ac:dyDescent="0.3">
      <c r="A501">
        <v>499</v>
      </c>
      <c r="B501" s="1" t="s">
        <v>646</v>
      </c>
      <c r="C501" t="s">
        <v>55</v>
      </c>
      <c r="D501" s="1" t="s">
        <v>647</v>
      </c>
    </row>
    <row r="502" spans="1:4" hidden="1" x14ac:dyDescent="0.3">
      <c r="A502">
        <v>500</v>
      </c>
      <c r="B502" s="1" t="s">
        <v>648</v>
      </c>
      <c r="C502" t="s">
        <v>52</v>
      </c>
      <c r="D502" s="1" t="s">
        <v>649</v>
      </c>
    </row>
    <row r="503" spans="1:4" hidden="1" x14ac:dyDescent="0.3">
      <c r="A503">
        <v>501</v>
      </c>
      <c r="B503" s="1" t="s">
        <v>650</v>
      </c>
      <c r="C503" t="s">
        <v>58</v>
      </c>
      <c r="D503" s="1" t="s">
        <v>651</v>
      </c>
    </row>
    <row r="504" spans="1:4" hidden="1" x14ac:dyDescent="0.3">
      <c r="A504">
        <v>502</v>
      </c>
      <c r="B504" t="s">
        <v>652</v>
      </c>
      <c r="C504" t="s">
        <v>61</v>
      </c>
      <c r="D504">
        <v>150452291.96867099</v>
      </c>
    </row>
    <row r="505" spans="1:4" hidden="1" x14ac:dyDescent="0.3">
      <c r="A505">
        <v>503</v>
      </c>
      <c r="B505" t="s">
        <v>653</v>
      </c>
      <c r="C505" t="s">
        <v>63</v>
      </c>
      <c r="D505">
        <v>79994399.588197604</v>
      </c>
    </row>
    <row r="506" spans="1:4" hidden="1" x14ac:dyDescent="0.3">
      <c r="A506">
        <v>504</v>
      </c>
      <c r="B506" t="s">
        <v>654</v>
      </c>
      <c r="C506" t="s">
        <v>65</v>
      </c>
      <c r="D506">
        <v>34997605.3260919</v>
      </c>
    </row>
    <row r="507" spans="1:4" hidden="1" x14ac:dyDescent="0.3">
      <c r="A507">
        <v>505</v>
      </c>
      <c r="B507" s="1" t="s">
        <v>655</v>
      </c>
      <c r="C507" t="s">
        <v>67</v>
      </c>
      <c r="D507" s="1" t="s">
        <v>656</v>
      </c>
    </row>
    <row r="508" spans="1:4" hidden="1" x14ac:dyDescent="0.3">
      <c r="A508">
        <v>506</v>
      </c>
      <c r="B508" s="1" t="s">
        <v>657</v>
      </c>
      <c r="C508" t="s">
        <v>70</v>
      </c>
      <c r="D508" s="1" t="s">
        <v>658</v>
      </c>
    </row>
    <row r="509" spans="1:4" hidden="1" x14ac:dyDescent="0.3">
      <c r="A509">
        <v>507</v>
      </c>
      <c r="B509" t="s">
        <v>659</v>
      </c>
      <c r="C509" t="s">
        <v>73</v>
      </c>
      <c r="D509">
        <v>0.99998344848370702</v>
      </c>
    </row>
    <row r="510" spans="1:4" hidden="1" x14ac:dyDescent="0.3">
      <c r="A510">
        <v>508</v>
      </c>
      <c r="B510" t="s">
        <v>74</v>
      </c>
      <c r="C510" t="s">
        <v>75</v>
      </c>
      <c r="D510">
        <v>2.7397260273972599E-3</v>
      </c>
    </row>
    <row r="511" spans="1:4" hidden="1" x14ac:dyDescent="0.3">
      <c r="A511">
        <v>509</v>
      </c>
      <c r="B511" t="s">
        <v>76</v>
      </c>
      <c r="C511" t="s">
        <v>77</v>
      </c>
      <c r="D511">
        <v>0</v>
      </c>
    </row>
    <row r="512" spans="1:4" hidden="1" x14ac:dyDescent="0.3">
      <c r="A512">
        <v>510</v>
      </c>
      <c r="B512" t="s">
        <v>78</v>
      </c>
      <c r="C512" t="s">
        <v>79</v>
      </c>
      <c r="D512">
        <v>0</v>
      </c>
    </row>
    <row r="513" spans="1:4" hidden="1" x14ac:dyDescent="0.3">
      <c r="A513">
        <v>511</v>
      </c>
      <c r="B513" s="1" t="s">
        <v>660</v>
      </c>
      <c r="C513" t="s">
        <v>81</v>
      </c>
      <c r="D513" s="1" t="s">
        <v>661</v>
      </c>
    </row>
    <row r="514" spans="1:4" hidden="1" x14ac:dyDescent="0.3">
      <c r="A514">
        <v>512</v>
      </c>
      <c r="B514" t="s">
        <v>662</v>
      </c>
      <c r="C514" t="s">
        <v>84</v>
      </c>
      <c r="D514">
        <v>0.99996604292322799</v>
      </c>
    </row>
    <row r="515" spans="1:4" hidden="1" x14ac:dyDescent="0.3">
      <c r="A515">
        <v>513</v>
      </c>
      <c r="B515" s="1" t="s">
        <v>663</v>
      </c>
      <c r="C515" t="s">
        <v>86</v>
      </c>
      <c r="D515" s="1" t="s">
        <v>664</v>
      </c>
    </row>
    <row r="516" spans="1:4" hidden="1" x14ac:dyDescent="0.3">
      <c r="A516">
        <v>514</v>
      </c>
      <c r="B516" t="s">
        <v>665</v>
      </c>
      <c r="C516" t="s">
        <v>89</v>
      </c>
      <c r="D516">
        <v>100320202.979975</v>
      </c>
    </row>
    <row r="517" spans="1:4" hidden="1" x14ac:dyDescent="0.3">
      <c r="A517">
        <v>515</v>
      </c>
      <c r="B517" s="1" t="s">
        <v>666</v>
      </c>
      <c r="C517" t="s">
        <v>91</v>
      </c>
      <c r="D517" s="1" t="s">
        <v>612</v>
      </c>
    </row>
    <row r="518" spans="1:4" hidden="1" x14ac:dyDescent="0.3">
      <c r="A518">
        <v>516</v>
      </c>
      <c r="B518" t="s">
        <v>667</v>
      </c>
      <c r="C518" t="s">
        <v>94</v>
      </c>
      <c r="D518">
        <v>79994399.588197604</v>
      </c>
    </row>
    <row r="519" spans="1:4" hidden="1" x14ac:dyDescent="0.3">
      <c r="A519">
        <v>517</v>
      </c>
      <c r="B519" t="s">
        <v>668</v>
      </c>
      <c r="C519" t="s">
        <v>96</v>
      </c>
      <c r="D519">
        <v>34997605.3260919</v>
      </c>
    </row>
    <row r="520" spans="1:4" hidden="1" x14ac:dyDescent="0.3">
      <c r="A520">
        <v>518</v>
      </c>
      <c r="B520" t="s">
        <v>669</v>
      </c>
      <c r="C520" t="s">
        <v>98</v>
      </c>
      <c r="D520">
        <v>35460287.054381497</v>
      </c>
    </row>
    <row r="521" spans="1:4" hidden="1" x14ac:dyDescent="0.3">
      <c r="A521">
        <v>519</v>
      </c>
      <c r="B521" s="1" t="s">
        <v>670</v>
      </c>
      <c r="C521" t="s">
        <v>100</v>
      </c>
      <c r="D521" s="1" t="s">
        <v>671</v>
      </c>
    </row>
    <row r="522" spans="1:4" hidden="1" x14ac:dyDescent="0.3">
      <c r="A522">
        <v>520</v>
      </c>
      <c r="B522" t="s">
        <v>672</v>
      </c>
      <c r="C522" t="s">
        <v>103</v>
      </c>
      <c r="D522">
        <v>5.8225778083041699E-3</v>
      </c>
    </row>
    <row r="523" spans="1:4" hidden="1" x14ac:dyDescent="0.3">
      <c r="A523">
        <v>521</v>
      </c>
      <c r="B523" t="s">
        <v>673</v>
      </c>
      <c r="C523" t="s">
        <v>105</v>
      </c>
      <c r="D523">
        <v>7.4699414958848403E-4</v>
      </c>
    </row>
    <row r="524" spans="1:4" hidden="1" x14ac:dyDescent="0.3">
      <c r="A524">
        <v>522</v>
      </c>
      <c r="B524" t="s">
        <v>674</v>
      </c>
      <c r="C524" t="s">
        <v>107</v>
      </c>
      <c r="D524">
        <v>1.15934320777732E-2</v>
      </c>
    </row>
    <row r="525" spans="1:4" hidden="1" x14ac:dyDescent="0.3">
      <c r="A525">
        <v>523</v>
      </c>
      <c r="B525" s="1" t="s">
        <v>675</v>
      </c>
      <c r="C525" t="s">
        <v>109</v>
      </c>
      <c r="D525" s="1" t="s">
        <v>676</v>
      </c>
    </row>
    <row r="526" spans="1:4" hidden="1" x14ac:dyDescent="0.3">
      <c r="A526">
        <v>524</v>
      </c>
      <c r="B526" t="s">
        <v>677</v>
      </c>
      <c r="C526" t="s">
        <v>197</v>
      </c>
      <c r="D526">
        <v>150451691.22657201</v>
      </c>
    </row>
    <row r="527" spans="1:4" hidden="1" x14ac:dyDescent="0.3">
      <c r="A527">
        <v>525</v>
      </c>
      <c r="B527" t="s">
        <v>678</v>
      </c>
      <c r="C527" t="s">
        <v>199</v>
      </c>
      <c r="D527">
        <v>1392.3623260736999</v>
      </c>
    </row>
    <row r="528" spans="1:4" hidden="1" x14ac:dyDescent="0.3">
      <c r="A528">
        <v>526</v>
      </c>
      <c r="B528" t="s">
        <v>679</v>
      </c>
      <c r="C528" t="s">
        <v>201</v>
      </c>
      <c r="D528">
        <v>609.16181287370102</v>
      </c>
    </row>
    <row r="529" spans="1:4" hidden="1" x14ac:dyDescent="0.3">
      <c r="A529">
        <v>527</v>
      </c>
      <c r="B529" s="1" t="s">
        <v>680</v>
      </c>
      <c r="C529" t="s">
        <v>203</v>
      </c>
      <c r="D529" s="1" t="s">
        <v>681</v>
      </c>
    </row>
    <row r="530" spans="1:4" hidden="1" x14ac:dyDescent="0.3">
      <c r="A530">
        <v>528</v>
      </c>
      <c r="B530" t="s">
        <v>682</v>
      </c>
      <c r="C530" t="s">
        <v>206</v>
      </c>
      <c r="D530">
        <v>79992543.023671806</v>
      </c>
    </row>
    <row r="531" spans="1:4" hidden="1" x14ac:dyDescent="0.3">
      <c r="A531">
        <v>529</v>
      </c>
      <c r="B531" t="s">
        <v>683</v>
      </c>
      <c r="C531" t="s">
        <v>208</v>
      </c>
      <c r="D531">
        <v>34996926.886183098</v>
      </c>
    </row>
    <row r="532" spans="1:4" hidden="1" x14ac:dyDescent="0.3">
      <c r="A532">
        <v>530</v>
      </c>
      <c r="B532" t="s">
        <v>684</v>
      </c>
      <c r="C532" t="s">
        <v>210</v>
      </c>
      <c r="D532">
        <v>35459602.577362902</v>
      </c>
    </row>
    <row r="533" spans="1:4" hidden="1" x14ac:dyDescent="0.3">
      <c r="A533">
        <v>531</v>
      </c>
      <c r="B533" s="1" t="s">
        <v>685</v>
      </c>
      <c r="C533" t="s">
        <v>212</v>
      </c>
      <c r="D533" s="1" t="s">
        <v>686</v>
      </c>
    </row>
    <row r="534" spans="1:4" hidden="1" x14ac:dyDescent="0.3">
      <c r="A534">
        <v>532</v>
      </c>
      <c r="B534" t="s">
        <v>687</v>
      </c>
      <c r="C534" t="s">
        <v>215</v>
      </c>
      <c r="D534">
        <v>100318456.821713</v>
      </c>
    </row>
    <row r="535" spans="1:4" hidden="1" x14ac:dyDescent="0.3">
      <c r="A535">
        <v>533</v>
      </c>
      <c r="B535" t="s">
        <v>688</v>
      </c>
      <c r="C535" t="s">
        <v>217</v>
      </c>
      <c r="D535">
        <v>1746.1582618653699</v>
      </c>
    </row>
    <row r="536" spans="1:4" hidden="1" x14ac:dyDescent="0.3">
      <c r="A536">
        <v>534</v>
      </c>
      <c r="B536" s="1" t="s">
        <v>689</v>
      </c>
      <c r="C536" t="s">
        <v>219</v>
      </c>
      <c r="D536" s="1" t="s">
        <v>690</v>
      </c>
    </row>
    <row r="537" spans="1:4" hidden="1" x14ac:dyDescent="0.3">
      <c r="A537">
        <v>535</v>
      </c>
      <c r="B537" t="s">
        <v>691</v>
      </c>
      <c r="C537" t="s">
        <v>112</v>
      </c>
      <c r="D537">
        <v>-464.20219975716799</v>
      </c>
    </row>
    <row r="538" spans="1:4" hidden="1" x14ac:dyDescent="0.3">
      <c r="A538">
        <v>536</v>
      </c>
      <c r="B538" t="s">
        <v>692</v>
      </c>
      <c r="C538" t="s">
        <v>114</v>
      </c>
      <c r="D538">
        <v>-69.278095944833098</v>
      </c>
    </row>
    <row r="539" spans="1:4" hidden="1" x14ac:dyDescent="0.3">
      <c r="A539">
        <v>537</v>
      </c>
      <c r="B539" s="1" t="s">
        <v>693</v>
      </c>
      <c r="C539" t="s">
        <v>116</v>
      </c>
      <c r="D539" s="1" t="s">
        <v>694</v>
      </c>
    </row>
    <row r="540" spans="1:4" hidden="1" x14ac:dyDescent="0.3">
      <c r="A540">
        <v>538</v>
      </c>
      <c r="B540" t="s">
        <v>695</v>
      </c>
      <c r="C540" t="s">
        <v>119</v>
      </c>
      <c r="D540">
        <v>79992543.023671806</v>
      </c>
    </row>
    <row r="541" spans="1:4" hidden="1" x14ac:dyDescent="0.3">
      <c r="A541">
        <v>539</v>
      </c>
      <c r="B541" t="s">
        <v>696</v>
      </c>
      <c r="C541" t="s">
        <v>121</v>
      </c>
      <c r="D541">
        <v>34996926.886183098</v>
      </c>
    </row>
    <row r="542" spans="1:4" hidden="1" x14ac:dyDescent="0.3">
      <c r="A542">
        <v>540</v>
      </c>
      <c r="B542" s="1" t="s">
        <v>697</v>
      </c>
      <c r="C542" t="s">
        <v>123</v>
      </c>
      <c r="D542" s="1" t="s">
        <v>698</v>
      </c>
    </row>
    <row r="543" spans="1:4" hidden="1" x14ac:dyDescent="0.3">
      <c r="A543">
        <v>541</v>
      </c>
      <c r="B543" t="s">
        <v>699</v>
      </c>
      <c r="C543" t="s">
        <v>126</v>
      </c>
      <c r="D543">
        <v>0.79741317762697905</v>
      </c>
    </row>
    <row r="544" spans="1:4" hidden="1" x14ac:dyDescent="0.3">
      <c r="A544">
        <v>542</v>
      </c>
      <c r="B544" t="s">
        <v>700</v>
      </c>
      <c r="C544" t="s">
        <v>128</v>
      </c>
      <c r="D544">
        <v>0.34887015239947999</v>
      </c>
    </row>
    <row r="545" spans="1:4" hidden="1" x14ac:dyDescent="0.3">
      <c r="A545">
        <v>543</v>
      </c>
      <c r="B545" s="1" t="s">
        <v>701</v>
      </c>
      <c r="C545" t="s">
        <v>130</v>
      </c>
      <c r="D545" s="1" t="s">
        <v>702</v>
      </c>
    </row>
    <row r="546" spans="1:4" x14ac:dyDescent="0.3">
      <c r="A546">
        <v>544</v>
      </c>
      <c r="B546" s="1" t="s">
        <v>3</v>
      </c>
      <c r="C546" t="s">
        <v>4</v>
      </c>
      <c r="D546" t="s">
        <v>5</v>
      </c>
    </row>
    <row r="547" spans="1:4" hidden="1" x14ac:dyDescent="0.3">
      <c r="A547">
        <v>545</v>
      </c>
      <c r="B547" t="s">
        <v>6</v>
      </c>
      <c r="C547" t="s">
        <v>7</v>
      </c>
      <c r="D547">
        <v>1199.98</v>
      </c>
    </row>
    <row r="548" spans="1:4" hidden="1" x14ac:dyDescent="0.3">
      <c r="A548">
        <v>546</v>
      </c>
      <c r="B548" s="1" t="s">
        <v>132</v>
      </c>
      <c r="C548" t="s">
        <v>9</v>
      </c>
      <c r="D548" s="1" t="s">
        <v>133</v>
      </c>
    </row>
    <row r="549" spans="1:4" hidden="1" x14ac:dyDescent="0.3">
      <c r="A549">
        <v>547</v>
      </c>
      <c r="B549" t="s">
        <v>13</v>
      </c>
      <c r="C549" t="s">
        <v>14</v>
      </c>
      <c r="D549">
        <v>97.91796875</v>
      </c>
    </row>
    <row r="550" spans="1:4" hidden="1" x14ac:dyDescent="0.3">
      <c r="A550">
        <v>548</v>
      </c>
      <c r="B550" t="s">
        <v>15</v>
      </c>
      <c r="C550" t="s">
        <v>16</v>
      </c>
      <c r="D550">
        <v>4.2752882005853001</v>
      </c>
    </row>
    <row r="551" spans="1:4" hidden="1" x14ac:dyDescent="0.3">
      <c r="A551">
        <v>549</v>
      </c>
      <c r="B551" s="1" t="s">
        <v>134</v>
      </c>
      <c r="C551" t="s">
        <v>135</v>
      </c>
      <c r="D551" s="1" t="s">
        <v>136</v>
      </c>
    </row>
    <row r="552" spans="1:4" hidden="1" x14ac:dyDescent="0.3">
      <c r="A552">
        <v>550</v>
      </c>
      <c r="B552" t="s">
        <v>21</v>
      </c>
      <c r="C552" t="s">
        <v>22</v>
      </c>
      <c r="D552">
        <v>77.95</v>
      </c>
    </row>
    <row r="553" spans="1:4" hidden="1" x14ac:dyDescent="0.3">
      <c r="A553">
        <v>551</v>
      </c>
      <c r="B553" t="s">
        <v>703</v>
      </c>
      <c r="C553" t="s">
        <v>24</v>
      </c>
      <c r="D553">
        <v>4.8944668431804104</v>
      </c>
    </row>
    <row r="554" spans="1:4" hidden="1" x14ac:dyDescent="0.3">
      <c r="A554">
        <v>552</v>
      </c>
      <c r="B554" s="1" t="s">
        <v>704</v>
      </c>
      <c r="C554" t="s">
        <v>139</v>
      </c>
      <c r="D554" s="1" t="s">
        <v>705</v>
      </c>
    </row>
    <row r="555" spans="1:4" hidden="1" x14ac:dyDescent="0.3">
      <c r="A555">
        <v>553</v>
      </c>
      <c r="B555" t="s">
        <v>706</v>
      </c>
      <c r="C555" t="s">
        <v>35</v>
      </c>
      <c r="D555">
        <v>0.16025331422679401</v>
      </c>
    </row>
    <row r="556" spans="1:4" hidden="1" x14ac:dyDescent="0.3">
      <c r="A556">
        <v>554</v>
      </c>
      <c r="B556" t="s">
        <v>707</v>
      </c>
      <c r="C556" t="s">
        <v>143</v>
      </c>
      <c r="D556">
        <v>0.76499057528705905</v>
      </c>
    </row>
    <row r="557" spans="1:4" hidden="1" x14ac:dyDescent="0.3">
      <c r="A557">
        <v>555</v>
      </c>
      <c r="B557" s="1" t="s">
        <v>708</v>
      </c>
      <c r="C557" t="s">
        <v>145</v>
      </c>
      <c r="D557" s="1" t="s">
        <v>709</v>
      </c>
    </row>
    <row r="558" spans="1:4" hidden="1" x14ac:dyDescent="0.3">
      <c r="A558">
        <v>556</v>
      </c>
      <c r="B558" t="s">
        <v>710</v>
      </c>
      <c r="C558" t="s">
        <v>30</v>
      </c>
      <c r="D558">
        <v>0.37664064503213301</v>
      </c>
    </row>
    <row r="559" spans="1:4" hidden="1" x14ac:dyDescent="0.3">
      <c r="A559">
        <v>557</v>
      </c>
      <c r="B559" t="s">
        <v>711</v>
      </c>
      <c r="C559" t="s">
        <v>32</v>
      </c>
      <c r="D559">
        <v>0.146404203481446</v>
      </c>
    </row>
    <row r="560" spans="1:4" hidden="1" x14ac:dyDescent="0.3">
      <c r="A560">
        <v>558</v>
      </c>
      <c r="B560" s="1" t="s">
        <v>712</v>
      </c>
      <c r="C560" t="s">
        <v>149</v>
      </c>
      <c r="D560" s="1" t="s">
        <v>713</v>
      </c>
    </row>
    <row r="561" spans="1:4" hidden="1" x14ac:dyDescent="0.3">
      <c r="A561">
        <v>559</v>
      </c>
      <c r="B561" t="s">
        <v>714</v>
      </c>
      <c r="C561" t="s">
        <v>40</v>
      </c>
      <c r="D561">
        <v>0.46310604074107098</v>
      </c>
    </row>
    <row r="562" spans="1:4" hidden="1" x14ac:dyDescent="0.3">
      <c r="A562">
        <v>560</v>
      </c>
      <c r="B562" t="s">
        <v>715</v>
      </c>
      <c r="C562" t="s">
        <v>42</v>
      </c>
      <c r="D562">
        <v>0.16080144362702201</v>
      </c>
    </row>
    <row r="563" spans="1:4" hidden="1" x14ac:dyDescent="0.3">
      <c r="A563">
        <v>561</v>
      </c>
      <c r="B563" s="1" t="s">
        <v>716</v>
      </c>
      <c r="C563" t="s">
        <v>153</v>
      </c>
      <c r="D563" s="1" t="s">
        <v>717</v>
      </c>
    </row>
    <row r="564" spans="1:4" hidden="1" x14ac:dyDescent="0.3">
      <c r="A564">
        <v>562</v>
      </c>
      <c r="B564" t="s">
        <v>154</v>
      </c>
      <c r="C564" t="s">
        <v>155</v>
      </c>
      <c r="D564">
        <v>1</v>
      </c>
    </row>
    <row r="565" spans="1:4" hidden="1" x14ac:dyDescent="0.3">
      <c r="A565">
        <v>563</v>
      </c>
      <c r="B565" t="s">
        <v>156</v>
      </c>
      <c r="C565" t="s">
        <v>157</v>
      </c>
      <c r="D565">
        <v>1</v>
      </c>
    </row>
    <row r="566" spans="1:4" hidden="1" x14ac:dyDescent="0.3">
      <c r="A566">
        <v>564</v>
      </c>
      <c r="B566" s="1" t="s">
        <v>718</v>
      </c>
      <c r="C566" t="s">
        <v>159</v>
      </c>
      <c r="D566" s="1" t="s">
        <v>719</v>
      </c>
    </row>
    <row r="567" spans="1:4" hidden="1" x14ac:dyDescent="0.3">
      <c r="A567">
        <v>565</v>
      </c>
      <c r="B567" t="s">
        <v>720</v>
      </c>
      <c r="C567" t="s">
        <v>162</v>
      </c>
      <c r="D567">
        <v>1.00022865663727</v>
      </c>
    </row>
    <row r="568" spans="1:4" hidden="1" x14ac:dyDescent="0.3">
      <c r="A568">
        <v>566</v>
      </c>
      <c r="B568" t="s">
        <v>721</v>
      </c>
      <c r="C568" t="s">
        <v>164</v>
      </c>
      <c r="D568">
        <v>1.0000483694340201</v>
      </c>
    </row>
    <row r="569" spans="1:4" hidden="1" x14ac:dyDescent="0.3">
      <c r="A569">
        <v>567</v>
      </c>
      <c r="B569" s="1" t="s">
        <v>722</v>
      </c>
      <c r="C569" t="s">
        <v>166</v>
      </c>
      <c r="D569" s="1" t="s">
        <v>723</v>
      </c>
    </row>
    <row r="570" spans="1:4" hidden="1" x14ac:dyDescent="0.3">
      <c r="A570">
        <v>568</v>
      </c>
      <c r="B570" s="1" t="s">
        <v>724</v>
      </c>
      <c r="C570" t="s">
        <v>55</v>
      </c>
      <c r="D570" s="1" t="s">
        <v>725</v>
      </c>
    </row>
    <row r="571" spans="1:4" hidden="1" x14ac:dyDescent="0.3">
      <c r="A571">
        <v>569</v>
      </c>
      <c r="B571" s="1" t="s">
        <v>726</v>
      </c>
      <c r="C571" t="s">
        <v>52</v>
      </c>
      <c r="D571" s="1" t="s">
        <v>727</v>
      </c>
    </row>
    <row r="572" spans="1:4" hidden="1" x14ac:dyDescent="0.3">
      <c r="A572">
        <v>570</v>
      </c>
      <c r="B572" s="1" t="s">
        <v>728</v>
      </c>
      <c r="C572" t="s">
        <v>58</v>
      </c>
      <c r="D572" s="1" t="s">
        <v>729</v>
      </c>
    </row>
    <row r="573" spans="1:4" hidden="1" x14ac:dyDescent="0.3">
      <c r="A573">
        <v>571</v>
      </c>
      <c r="B573" t="s">
        <v>730</v>
      </c>
      <c r="C573" t="s">
        <v>61</v>
      </c>
      <c r="D573">
        <v>150446518.23734099</v>
      </c>
    </row>
    <row r="574" spans="1:4" hidden="1" x14ac:dyDescent="0.3">
      <c r="A574">
        <v>572</v>
      </c>
      <c r="B574" t="s">
        <v>731</v>
      </c>
      <c r="C574" t="s">
        <v>63</v>
      </c>
      <c r="D574">
        <v>79992543.023671806</v>
      </c>
    </row>
    <row r="575" spans="1:4" hidden="1" x14ac:dyDescent="0.3">
      <c r="A575">
        <v>573</v>
      </c>
      <c r="B575" t="s">
        <v>732</v>
      </c>
      <c r="C575" t="s">
        <v>65</v>
      </c>
      <c r="D575">
        <v>34996926.886183098</v>
      </c>
    </row>
    <row r="576" spans="1:4" hidden="1" x14ac:dyDescent="0.3">
      <c r="A576">
        <v>574</v>
      </c>
      <c r="B576" s="1" t="s">
        <v>733</v>
      </c>
      <c r="C576" t="s">
        <v>67</v>
      </c>
      <c r="D576" s="1" t="s">
        <v>734</v>
      </c>
    </row>
    <row r="577" spans="1:4" hidden="1" x14ac:dyDescent="0.3">
      <c r="A577">
        <v>575</v>
      </c>
      <c r="B577" s="1" t="s">
        <v>735</v>
      </c>
      <c r="C577" t="s">
        <v>70</v>
      </c>
      <c r="D577" s="1" t="s">
        <v>736</v>
      </c>
    </row>
    <row r="578" spans="1:4" hidden="1" x14ac:dyDescent="0.3">
      <c r="A578">
        <v>576</v>
      </c>
      <c r="B578" t="s">
        <v>737</v>
      </c>
      <c r="C578" t="s">
        <v>73</v>
      </c>
      <c r="D578">
        <v>0.99996604292322799</v>
      </c>
    </row>
    <row r="579" spans="1:4" hidden="1" x14ac:dyDescent="0.3">
      <c r="A579">
        <v>577</v>
      </c>
      <c r="B579" t="s">
        <v>74</v>
      </c>
      <c r="C579" t="s">
        <v>75</v>
      </c>
      <c r="D579">
        <v>2.7397260273972599E-3</v>
      </c>
    </row>
    <row r="580" spans="1:4" hidden="1" x14ac:dyDescent="0.3">
      <c r="A580">
        <v>578</v>
      </c>
      <c r="B580" t="s">
        <v>76</v>
      </c>
      <c r="C580" t="s">
        <v>77</v>
      </c>
      <c r="D580">
        <v>0</v>
      </c>
    </row>
    <row r="581" spans="1:4" hidden="1" x14ac:dyDescent="0.3">
      <c r="A581">
        <v>579</v>
      </c>
      <c r="B581" t="s">
        <v>78</v>
      </c>
      <c r="C581" t="s">
        <v>79</v>
      </c>
      <c r="D581">
        <v>0</v>
      </c>
    </row>
    <row r="582" spans="1:4" hidden="1" x14ac:dyDescent="0.3">
      <c r="A582">
        <v>580</v>
      </c>
      <c r="B582" s="1" t="s">
        <v>738</v>
      </c>
      <c r="C582" t="s">
        <v>81</v>
      </c>
      <c r="D582" s="1" t="s">
        <v>739</v>
      </c>
    </row>
    <row r="583" spans="1:4" hidden="1" x14ac:dyDescent="0.3">
      <c r="A583">
        <v>581</v>
      </c>
      <c r="B583" t="s">
        <v>740</v>
      </c>
      <c r="C583" t="s">
        <v>84</v>
      </c>
      <c r="D583">
        <v>0.99995954367258</v>
      </c>
    </row>
    <row r="584" spans="1:4" hidden="1" x14ac:dyDescent="0.3">
      <c r="A584">
        <v>582</v>
      </c>
      <c r="B584" s="1" t="s">
        <v>741</v>
      </c>
      <c r="C584" t="s">
        <v>86</v>
      </c>
      <c r="D584" s="1" t="s">
        <v>742</v>
      </c>
    </row>
    <row r="585" spans="1:4" hidden="1" x14ac:dyDescent="0.3">
      <c r="A585">
        <v>583</v>
      </c>
      <c r="B585" t="s">
        <v>743</v>
      </c>
      <c r="C585" t="s">
        <v>89</v>
      </c>
      <c r="D585">
        <v>100320855.01249801</v>
      </c>
    </row>
    <row r="586" spans="1:4" hidden="1" x14ac:dyDescent="0.3">
      <c r="A586">
        <v>584</v>
      </c>
      <c r="B586" s="1" t="s">
        <v>744</v>
      </c>
      <c r="C586" t="s">
        <v>91</v>
      </c>
      <c r="D586" s="1" t="s">
        <v>690</v>
      </c>
    </row>
    <row r="587" spans="1:4" hidden="1" x14ac:dyDescent="0.3">
      <c r="A587">
        <v>585</v>
      </c>
      <c r="B587" t="s">
        <v>745</v>
      </c>
      <c r="C587" t="s">
        <v>94</v>
      </c>
      <c r="D587">
        <v>79992543.023671806</v>
      </c>
    </row>
    <row r="588" spans="1:4" hidden="1" x14ac:dyDescent="0.3">
      <c r="A588">
        <v>586</v>
      </c>
      <c r="B588" t="s">
        <v>746</v>
      </c>
      <c r="C588" t="s">
        <v>96</v>
      </c>
      <c r="D588">
        <v>34996926.886183098</v>
      </c>
    </row>
    <row r="589" spans="1:4" hidden="1" x14ac:dyDescent="0.3">
      <c r="A589">
        <v>587</v>
      </c>
      <c r="B589" t="s">
        <v>747</v>
      </c>
      <c r="C589" t="s">
        <v>98</v>
      </c>
      <c r="D589">
        <v>35457048.327486202</v>
      </c>
    </row>
    <row r="590" spans="1:4" hidden="1" x14ac:dyDescent="0.3">
      <c r="A590">
        <v>588</v>
      </c>
      <c r="B590" s="1" t="s">
        <v>748</v>
      </c>
      <c r="C590" t="s">
        <v>100</v>
      </c>
      <c r="D590" s="1" t="s">
        <v>749</v>
      </c>
    </row>
    <row r="591" spans="1:4" hidden="1" x14ac:dyDescent="0.3">
      <c r="A591">
        <v>589</v>
      </c>
      <c r="B591" t="s">
        <v>750</v>
      </c>
      <c r="C591" t="s">
        <v>103</v>
      </c>
      <c r="D591">
        <v>5.8539055414076396E-3</v>
      </c>
    </row>
    <row r="592" spans="1:4" hidden="1" x14ac:dyDescent="0.3">
      <c r="A592">
        <v>590</v>
      </c>
      <c r="B592" t="s">
        <v>751</v>
      </c>
      <c r="C592" t="s">
        <v>105</v>
      </c>
      <c r="D592">
        <v>7.4895217572493004E-4</v>
      </c>
    </row>
    <row r="593" spans="1:4" hidden="1" x14ac:dyDescent="0.3">
      <c r="A593">
        <v>591</v>
      </c>
      <c r="B593" t="s">
        <v>752</v>
      </c>
      <c r="C593" t="s">
        <v>107</v>
      </c>
      <c r="D593">
        <v>1.16307619760648E-2</v>
      </c>
    </row>
    <row r="594" spans="1:4" hidden="1" x14ac:dyDescent="0.3">
      <c r="A594">
        <v>592</v>
      </c>
      <c r="B594" s="1" t="s">
        <v>753</v>
      </c>
      <c r="C594" t="s">
        <v>109</v>
      </c>
      <c r="D594" s="1" t="s">
        <v>754</v>
      </c>
    </row>
    <row r="595" spans="1:4" hidden="1" x14ac:dyDescent="0.3">
      <c r="A595">
        <v>593</v>
      </c>
      <c r="B595" t="s">
        <v>755</v>
      </c>
      <c r="C595" t="s">
        <v>197</v>
      </c>
      <c r="D595">
        <v>150446293.83504701</v>
      </c>
    </row>
    <row r="596" spans="1:4" hidden="1" x14ac:dyDescent="0.3">
      <c r="A596">
        <v>594</v>
      </c>
      <c r="B596" t="s">
        <v>756</v>
      </c>
      <c r="C596" t="s">
        <v>199</v>
      </c>
      <c r="D596">
        <v>519.90811503142197</v>
      </c>
    </row>
    <row r="597" spans="1:4" hidden="1" x14ac:dyDescent="0.3">
      <c r="A597">
        <v>595</v>
      </c>
      <c r="B597" t="s">
        <v>757</v>
      </c>
      <c r="C597" t="s">
        <v>201</v>
      </c>
      <c r="D597">
        <v>227.46135531192601</v>
      </c>
    </row>
    <row r="598" spans="1:4" hidden="1" x14ac:dyDescent="0.3">
      <c r="A598">
        <v>596</v>
      </c>
      <c r="B598" s="1" t="s">
        <v>758</v>
      </c>
      <c r="C598" t="s">
        <v>203</v>
      </c>
      <c r="D598" s="1" t="s">
        <v>759</v>
      </c>
    </row>
    <row r="599" spans="1:4" hidden="1" x14ac:dyDescent="0.3">
      <c r="A599">
        <v>597</v>
      </c>
      <c r="B599" t="s">
        <v>760</v>
      </c>
      <c r="C599" t="s">
        <v>206</v>
      </c>
      <c r="D599">
        <v>79991849.778316602</v>
      </c>
    </row>
    <row r="600" spans="1:4" hidden="1" x14ac:dyDescent="0.3">
      <c r="A600">
        <v>598</v>
      </c>
      <c r="B600" t="s">
        <v>761</v>
      </c>
      <c r="C600" t="s">
        <v>208</v>
      </c>
      <c r="D600">
        <v>34996673.524482697</v>
      </c>
    </row>
    <row r="601" spans="1:4" hidden="1" x14ac:dyDescent="0.3">
      <c r="A601">
        <v>599</v>
      </c>
      <c r="B601" t="s">
        <v>762</v>
      </c>
      <c r="C601" t="s">
        <v>210</v>
      </c>
      <c r="D601">
        <v>35456792.710871398</v>
      </c>
    </row>
    <row r="602" spans="1:4" hidden="1" x14ac:dyDescent="0.3">
      <c r="A602">
        <v>600</v>
      </c>
      <c r="B602" s="1" t="s">
        <v>763</v>
      </c>
      <c r="C602" t="s">
        <v>212</v>
      </c>
      <c r="D602" s="1" t="s">
        <v>764</v>
      </c>
    </row>
    <row r="603" spans="1:4" hidden="1" x14ac:dyDescent="0.3">
      <c r="A603">
        <v>601</v>
      </c>
      <c r="B603" t="s">
        <v>765</v>
      </c>
      <c r="C603" t="s">
        <v>215</v>
      </c>
      <c r="D603">
        <v>100320202.979975</v>
      </c>
    </row>
    <row r="604" spans="1:4" hidden="1" x14ac:dyDescent="0.3">
      <c r="A604">
        <v>602</v>
      </c>
      <c r="B604" t="s">
        <v>766</v>
      </c>
      <c r="C604" t="s">
        <v>217</v>
      </c>
      <c r="D604">
        <v>652.03252300619999</v>
      </c>
    </row>
    <row r="605" spans="1:4" hidden="1" x14ac:dyDescent="0.3">
      <c r="A605">
        <v>603</v>
      </c>
      <c r="B605" s="1" t="s">
        <v>767</v>
      </c>
      <c r="C605" t="s">
        <v>219</v>
      </c>
      <c r="D605" s="1" t="s">
        <v>768</v>
      </c>
    </row>
    <row r="606" spans="1:4" hidden="1" x14ac:dyDescent="0.3">
      <c r="A606">
        <v>604</v>
      </c>
      <c r="B606" t="s">
        <v>769</v>
      </c>
      <c r="C606" t="s">
        <v>112</v>
      </c>
      <c r="D606">
        <v>-173.33724015824899</v>
      </c>
    </row>
    <row r="607" spans="1:4" hidden="1" x14ac:dyDescent="0.3">
      <c r="A607">
        <v>605</v>
      </c>
      <c r="B607" t="s">
        <v>770</v>
      </c>
      <c r="C607" t="s">
        <v>114</v>
      </c>
      <c r="D607">
        <v>-25.900345100165602</v>
      </c>
    </row>
    <row r="608" spans="1:4" hidden="1" x14ac:dyDescent="0.3">
      <c r="A608">
        <v>606</v>
      </c>
      <c r="B608" s="1" t="s">
        <v>771</v>
      </c>
      <c r="C608" t="s">
        <v>116</v>
      </c>
      <c r="D608" s="1" t="s">
        <v>772</v>
      </c>
    </row>
    <row r="609" spans="1:4" hidden="1" x14ac:dyDescent="0.3">
      <c r="A609">
        <v>607</v>
      </c>
      <c r="B609" t="s">
        <v>773</v>
      </c>
      <c r="C609" t="s">
        <v>119</v>
      </c>
      <c r="D609">
        <v>79991849.778316602</v>
      </c>
    </row>
    <row r="610" spans="1:4" hidden="1" x14ac:dyDescent="0.3">
      <c r="A610">
        <v>608</v>
      </c>
      <c r="B610" t="s">
        <v>774</v>
      </c>
      <c r="C610" t="s">
        <v>121</v>
      </c>
      <c r="D610">
        <v>34996673.524482697</v>
      </c>
    </row>
    <row r="611" spans="1:4" hidden="1" x14ac:dyDescent="0.3">
      <c r="A611">
        <v>609</v>
      </c>
      <c r="B611" s="1" t="s">
        <v>775</v>
      </c>
      <c r="C611" t="s">
        <v>123</v>
      </c>
      <c r="D611" s="1" t="s">
        <v>776</v>
      </c>
    </row>
    <row r="612" spans="1:4" hidden="1" x14ac:dyDescent="0.3">
      <c r="A612">
        <v>610</v>
      </c>
      <c r="B612" t="s">
        <v>777</v>
      </c>
      <c r="C612" t="s">
        <v>126</v>
      </c>
      <c r="D612">
        <v>0.79739757007547796</v>
      </c>
    </row>
    <row r="613" spans="1:4" hidden="1" x14ac:dyDescent="0.3">
      <c r="A613">
        <v>611</v>
      </c>
      <c r="B613" t="s">
        <v>778</v>
      </c>
      <c r="C613" t="s">
        <v>128</v>
      </c>
      <c r="D613">
        <v>0.34886382183290698</v>
      </c>
    </row>
    <row r="614" spans="1:4" hidden="1" x14ac:dyDescent="0.3">
      <c r="A614">
        <v>612</v>
      </c>
      <c r="B614" s="1" t="s">
        <v>779</v>
      </c>
      <c r="C614" t="s">
        <v>130</v>
      </c>
      <c r="D614" s="1" t="s">
        <v>780</v>
      </c>
    </row>
    <row r="615" spans="1:4" x14ac:dyDescent="0.3">
      <c r="A615">
        <v>613</v>
      </c>
      <c r="B615" s="1" t="s">
        <v>3</v>
      </c>
      <c r="C615" t="s">
        <v>4</v>
      </c>
      <c r="D615" t="s">
        <v>5</v>
      </c>
    </row>
    <row r="616" spans="1:4" hidden="1" x14ac:dyDescent="0.3">
      <c r="A616">
        <v>614</v>
      </c>
      <c r="B616" t="s">
        <v>6</v>
      </c>
      <c r="C616" t="s">
        <v>7</v>
      </c>
      <c r="D616">
        <v>1199.98</v>
      </c>
    </row>
    <row r="617" spans="1:4" hidden="1" x14ac:dyDescent="0.3">
      <c r="A617">
        <v>615</v>
      </c>
      <c r="B617" s="1" t="s">
        <v>132</v>
      </c>
      <c r="C617" t="s">
        <v>9</v>
      </c>
      <c r="D617" s="1" t="s">
        <v>133</v>
      </c>
    </row>
    <row r="618" spans="1:4" hidden="1" x14ac:dyDescent="0.3">
      <c r="A618">
        <v>616</v>
      </c>
      <c r="B618" t="s">
        <v>13</v>
      </c>
      <c r="C618" t="s">
        <v>14</v>
      </c>
      <c r="D618">
        <v>97.91796875</v>
      </c>
    </row>
    <row r="619" spans="1:4" hidden="1" x14ac:dyDescent="0.3">
      <c r="A619">
        <v>617</v>
      </c>
      <c r="B619" t="s">
        <v>15</v>
      </c>
      <c r="C619" t="s">
        <v>16</v>
      </c>
      <c r="D619">
        <v>4.2752882005853001</v>
      </c>
    </row>
    <row r="620" spans="1:4" hidden="1" x14ac:dyDescent="0.3">
      <c r="A620">
        <v>618</v>
      </c>
      <c r="B620" s="1" t="s">
        <v>134</v>
      </c>
      <c r="C620" t="s">
        <v>135</v>
      </c>
      <c r="D620" s="1" t="s">
        <v>136</v>
      </c>
    </row>
    <row r="621" spans="1:4" hidden="1" x14ac:dyDescent="0.3">
      <c r="A621">
        <v>619</v>
      </c>
      <c r="B621" t="s">
        <v>21</v>
      </c>
      <c r="C621" t="s">
        <v>22</v>
      </c>
      <c r="D621">
        <v>77.95</v>
      </c>
    </row>
    <row r="622" spans="1:4" hidden="1" x14ac:dyDescent="0.3">
      <c r="A622">
        <v>620</v>
      </c>
      <c r="B622" t="s">
        <v>781</v>
      </c>
      <c r="C622" t="s">
        <v>24</v>
      </c>
      <c r="D622">
        <v>4.8974973522550798</v>
      </c>
    </row>
    <row r="623" spans="1:4" hidden="1" x14ac:dyDescent="0.3">
      <c r="A623">
        <v>621</v>
      </c>
      <c r="B623" s="1" t="s">
        <v>782</v>
      </c>
      <c r="C623" t="s">
        <v>139</v>
      </c>
      <c r="D623" s="1" t="s">
        <v>783</v>
      </c>
    </row>
    <row r="624" spans="1:4" hidden="1" x14ac:dyDescent="0.3">
      <c r="A624">
        <v>622</v>
      </c>
      <c r="B624" t="s">
        <v>784</v>
      </c>
      <c r="C624" t="s">
        <v>35</v>
      </c>
      <c r="D624">
        <v>0.161743447930942</v>
      </c>
    </row>
    <row r="625" spans="1:4" hidden="1" x14ac:dyDescent="0.3">
      <c r="A625">
        <v>623</v>
      </c>
      <c r="B625" t="s">
        <v>785</v>
      </c>
      <c r="C625" t="s">
        <v>143</v>
      </c>
      <c r="D625">
        <v>0.764080857718204</v>
      </c>
    </row>
    <row r="626" spans="1:4" hidden="1" x14ac:dyDescent="0.3">
      <c r="A626">
        <v>624</v>
      </c>
      <c r="B626" s="1" t="s">
        <v>786</v>
      </c>
      <c r="C626" t="s">
        <v>145</v>
      </c>
      <c r="D626" s="1" t="s">
        <v>787</v>
      </c>
    </row>
    <row r="627" spans="1:4" hidden="1" x14ac:dyDescent="0.3">
      <c r="A627">
        <v>625</v>
      </c>
      <c r="B627" t="s">
        <v>788</v>
      </c>
      <c r="C627" t="s">
        <v>30</v>
      </c>
      <c r="D627">
        <v>0.38014288099038701</v>
      </c>
    </row>
    <row r="628" spans="1:4" hidden="1" x14ac:dyDescent="0.3">
      <c r="A628">
        <v>626</v>
      </c>
      <c r="B628" t="s">
        <v>789</v>
      </c>
      <c r="C628" t="s">
        <v>32</v>
      </c>
      <c r="D628">
        <v>0.146688481542114</v>
      </c>
    </row>
    <row r="629" spans="1:4" hidden="1" x14ac:dyDescent="0.3">
      <c r="A629">
        <v>627</v>
      </c>
      <c r="B629" s="1" t="s">
        <v>790</v>
      </c>
      <c r="C629" t="s">
        <v>149</v>
      </c>
      <c r="D629" s="1" t="s">
        <v>791</v>
      </c>
    </row>
    <row r="630" spans="1:4" hidden="1" x14ac:dyDescent="0.3">
      <c r="A630">
        <v>628</v>
      </c>
      <c r="B630" t="s">
        <v>792</v>
      </c>
      <c r="C630" t="s">
        <v>40</v>
      </c>
      <c r="D630">
        <v>0.45811367107867002</v>
      </c>
    </row>
    <row r="631" spans="1:4" hidden="1" x14ac:dyDescent="0.3">
      <c r="A631">
        <v>629</v>
      </c>
      <c r="B631" t="s">
        <v>793</v>
      </c>
      <c r="C631" t="s">
        <v>42</v>
      </c>
      <c r="D631">
        <v>0.16207352957059101</v>
      </c>
    </row>
    <row r="632" spans="1:4" hidden="1" x14ac:dyDescent="0.3">
      <c r="A632">
        <v>630</v>
      </c>
      <c r="B632" s="1" t="s">
        <v>794</v>
      </c>
      <c r="C632" t="s">
        <v>153</v>
      </c>
      <c r="D632" s="1" t="s">
        <v>795</v>
      </c>
    </row>
    <row r="633" spans="1:4" hidden="1" x14ac:dyDescent="0.3">
      <c r="A633">
        <v>631</v>
      </c>
      <c r="B633" t="s">
        <v>154</v>
      </c>
      <c r="C633" t="s">
        <v>155</v>
      </c>
      <c r="D633">
        <v>1</v>
      </c>
    </row>
    <row r="634" spans="1:4" hidden="1" x14ac:dyDescent="0.3">
      <c r="A634">
        <v>632</v>
      </c>
      <c r="B634" t="s">
        <v>156</v>
      </c>
      <c r="C634" t="s">
        <v>157</v>
      </c>
      <c r="D634">
        <v>1</v>
      </c>
    </row>
    <row r="635" spans="1:4" hidden="1" x14ac:dyDescent="0.3">
      <c r="A635">
        <v>633</v>
      </c>
      <c r="B635" s="1" t="s">
        <v>796</v>
      </c>
      <c r="C635" t="s">
        <v>159</v>
      </c>
      <c r="D635" s="1" t="s">
        <v>797</v>
      </c>
    </row>
    <row r="636" spans="1:4" hidden="1" x14ac:dyDescent="0.3">
      <c r="A636">
        <v>634</v>
      </c>
      <c r="B636" t="s">
        <v>798</v>
      </c>
      <c r="C636" t="s">
        <v>162</v>
      </c>
      <c r="D636">
        <v>0.99948457652885403</v>
      </c>
    </row>
    <row r="637" spans="1:4" hidden="1" x14ac:dyDescent="0.3">
      <c r="A637">
        <v>635</v>
      </c>
      <c r="B637" t="s">
        <v>799</v>
      </c>
      <c r="C637" t="s">
        <v>164</v>
      </c>
      <c r="D637">
        <v>1.00024797367264</v>
      </c>
    </row>
    <row r="638" spans="1:4" hidden="1" x14ac:dyDescent="0.3">
      <c r="A638">
        <v>636</v>
      </c>
      <c r="B638" s="1" t="s">
        <v>800</v>
      </c>
      <c r="C638" t="s">
        <v>166</v>
      </c>
      <c r="D638" s="1" t="s">
        <v>801</v>
      </c>
    </row>
    <row r="639" spans="1:4" hidden="1" x14ac:dyDescent="0.3">
      <c r="A639">
        <v>637</v>
      </c>
      <c r="B639" s="1" t="s">
        <v>802</v>
      </c>
      <c r="C639" t="s">
        <v>55</v>
      </c>
      <c r="D639" s="1" t="s">
        <v>803</v>
      </c>
    </row>
    <row r="640" spans="1:4" hidden="1" x14ac:dyDescent="0.3">
      <c r="A640">
        <v>638</v>
      </c>
      <c r="B640" s="1" t="s">
        <v>804</v>
      </c>
      <c r="C640" t="s">
        <v>52</v>
      </c>
      <c r="D640" s="1" t="s">
        <v>805</v>
      </c>
    </row>
    <row r="641" spans="1:4" hidden="1" x14ac:dyDescent="0.3">
      <c r="A641">
        <v>639</v>
      </c>
      <c r="B641" s="1" t="s">
        <v>806</v>
      </c>
      <c r="C641" t="s">
        <v>58</v>
      </c>
      <c r="D641" s="1" t="s">
        <v>807</v>
      </c>
    </row>
    <row r="642" spans="1:4" hidden="1" x14ac:dyDescent="0.3">
      <c r="A642">
        <v>640</v>
      </c>
      <c r="B642" t="s">
        <v>808</v>
      </c>
      <c r="C642" t="s">
        <v>61</v>
      </c>
      <c r="D642">
        <v>150446613.04817599</v>
      </c>
    </row>
    <row r="643" spans="1:4" hidden="1" x14ac:dyDescent="0.3">
      <c r="A643">
        <v>641</v>
      </c>
      <c r="B643" t="s">
        <v>809</v>
      </c>
      <c r="C643" t="s">
        <v>63</v>
      </c>
      <c r="D643">
        <v>79991849.778316602</v>
      </c>
    </row>
    <row r="644" spans="1:4" hidden="1" x14ac:dyDescent="0.3">
      <c r="A644">
        <v>642</v>
      </c>
      <c r="B644" t="s">
        <v>810</v>
      </c>
      <c r="C644" t="s">
        <v>65</v>
      </c>
      <c r="D644">
        <v>34996673.524482697</v>
      </c>
    </row>
    <row r="645" spans="1:4" hidden="1" x14ac:dyDescent="0.3">
      <c r="A645">
        <v>643</v>
      </c>
      <c r="B645" s="1" t="s">
        <v>811</v>
      </c>
      <c r="C645" t="s">
        <v>67</v>
      </c>
      <c r="D645" s="1" t="s">
        <v>812</v>
      </c>
    </row>
    <row r="646" spans="1:4" hidden="1" x14ac:dyDescent="0.3">
      <c r="A646">
        <v>644</v>
      </c>
      <c r="B646" s="1" t="s">
        <v>813</v>
      </c>
      <c r="C646" t="s">
        <v>70</v>
      </c>
      <c r="D646" s="1" t="s">
        <v>814</v>
      </c>
    </row>
    <row r="647" spans="1:4" hidden="1" x14ac:dyDescent="0.3">
      <c r="A647">
        <v>645</v>
      </c>
      <c r="B647" t="s">
        <v>815</v>
      </c>
      <c r="C647" t="s">
        <v>73</v>
      </c>
      <c r="D647">
        <v>0.99995954367258</v>
      </c>
    </row>
    <row r="648" spans="1:4" hidden="1" x14ac:dyDescent="0.3">
      <c r="A648">
        <v>646</v>
      </c>
      <c r="B648" t="s">
        <v>74</v>
      </c>
      <c r="C648" t="s">
        <v>75</v>
      </c>
      <c r="D648">
        <v>2.7397260273972599E-3</v>
      </c>
    </row>
    <row r="649" spans="1:4" hidden="1" x14ac:dyDescent="0.3">
      <c r="A649">
        <v>647</v>
      </c>
      <c r="B649" t="s">
        <v>76</v>
      </c>
      <c r="C649" t="s">
        <v>77</v>
      </c>
      <c r="D649">
        <v>0</v>
      </c>
    </row>
    <row r="650" spans="1:4" hidden="1" x14ac:dyDescent="0.3">
      <c r="A650">
        <v>648</v>
      </c>
      <c r="B650" t="s">
        <v>78</v>
      </c>
      <c r="C650" t="s">
        <v>79</v>
      </c>
      <c r="D650">
        <v>0</v>
      </c>
    </row>
    <row r="651" spans="1:4" hidden="1" x14ac:dyDescent="0.3">
      <c r="A651">
        <v>649</v>
      </c>
      <c r="B651" s="1" t="s">
        <v>816</v>
      </c>
      <c r="C651" t="s">
        <v>81</v>
      </c>
      <c r="D651" s="1" t="s">
        <v>817</v>
      </c>
    </row>
    <row r="652" spans="1:4" hidden="1" x14ac:dyDescent="0.3">
      <c r="A652">
        <v>650</v>
      </c>
      <c r="B652" t="s">
        <v>818</v>
      </c>
      <c r="C652" t="s">
        <v>84</v>
      </c>
      <c r="D652">
        <v>0.999975614498262</v>
      </c>
    </row>
    <row r="653" spans="1:4" hidden="1" x14ac:dyDescent="0.3">
      <c r="A653">
        <v>651</v>
      </c>
      <c r="B653" s="1" t="s">
        <v>819</v>
      </c>
      <c r="C653" t="s">
        <v>86</v>
      </c>
      <c r="D653" s="1" t="s">
        <v>820</v>
      </c>
    </row>
    <row r="654" spans="1:4" hidden="1" x14ac:dyDescent="0.3">
      <c r="A654">
        <v>652</v>
      </c>
      <c r="B654" t="s">
        <v>821</v>
      </c>
      <c r="C654" t="s">
        <v>89</v>
      </c>
      <c r="D654">
        <v>100319242.734209</v>
      </c>
    </row>
    <row r="655" spans="1:4" hidden="1" x14ac:dyDescent="0.3">
      <c r="A655">
        <v>653</v>
      </c>
      <c r="B655" s="1" t="s">
        <v>822</v>
      </c>
      <c r="C655" t="s">
        <v>91</v>
      </c>
      <c r="D655" s="1" t="s">
        <v>768</v>
      </c>
    </row>
    <row r="656" spans="1:4" hidden="1" x14ac:dyDescent="0.3">
      <c r="A656">
        <v>654</v>
      </c>
      <c r="B656" t="s">
        <v>823</v>
      </c>
      <c r="C656" t="s">
        <v>94</v>
      </c>
      <c r="D656">
        <v>79991849.778316602</v>
      </c>
    </row>
    <row r="657" spans="1:4" hidden="1" x14ac:dyDescent="0.3">
      <c r="A657">
        <v>655</v>
      </c>
      <c r="B657" t="s">
        <v>824</v>
      </c>
      <c r="C657" t="s">
        <v>96</v>
      </c>
      <c r="D657">
        <v>34996673.524482697</v>
      </c>
    </row>
    <row r="658" spans="1:4" hidden="1" x14ac:dyDescent="0.3">
      <c r="A658">
        <v>656</v>
      </c>
      <c r="B658" t="s">
        <v>825</v>
      </c>
      <c r="C658" t="s">
        <v>98</v>
      </c>
      <c r="D658">
        <v>35458089.745376699</v>
      </c>
    </row>
    <row r="659" spans="1:4" hidden="1" x14ac:dyDescent="0.3">
      <c r="A659">
        <v>657</v>
      </c>
      <c r="B659" s="1" t="s">
        <v>826</v>
      </c>
      <c r="C659" t="s">
        <v>100</v>
      </c>
      <c r="D659" s="1" t="s">
        <v>827</v>
      </c>
    </row>
    <row r="660" spans="1:4" hidden="1" x14ac:dyDescent="0.3">
      <c r="A660">
        <v>658</v>
      </c>
      <c r="B660" t="s">
        <v>828</v>
      </c>
      <c r="C660" t="s">
        <v>103</v>
      </c>
      <c r="D660">
        <v>5.8812424827539801E-3</v>
      </c>
    </row>
    <row r="661" spans="1:4" hidden="1" x14ac:dyDescent="0.3">
      <c r="A661">
        <v>659</v>
      </c>
      <c r="B661" t="s">
        <v>829</v>
      </c>
      <c r="C661" t="s">
        <v>105</v>
      </c>
      <c r="D661">
        <v>7.5241144904683295E-4</v>
      </c>
    </row>
    <row r="662" spans="1:4" hidden="1" x14ac:dyDescent="0.3">
      <c r="A662">
        <v>660</v>
      </c>
      <c r="B662" t="s">
        <v>830</v>
      </c>
      <c r="C662" t="s">
        <v>107</v>
      </c>
      <c r="D662">
        <v>1.16118061654809E-2</v>
      </c>
    </row>
    <row r="663" spans="1:4" hidden="1" x14ac:dyDescent="0.3">
      <c r="A663">
        <v>661</v>
      </c>
      <c r="B663" s="1" t="s">
        <v>831</v>
      </c>
      <c r="C663" t="s">
        <v>109</v>
      </c>
      <c r="D663" s="1" t="s">
        <v>832</v>
      </c>
    </row>
    <row r="664" spans="1:4" hidden="1" x14ac:dyDescent="0.3">
      <c r="A664">
        <v>662</v>
      </c>
      <c r="B664" t="s">
        <v>833</v>
      </c>
      <c r="C664" t="s">
        <v>197</v>
      </c>
      <c r="D664">
        <v>150447167.80959699</v>
      </c>
    </row>
    <row r="665" spans="1:4" hidden="1" x14ac:dyDescent="0.3">
      <c r="A665">
        <v>663</v>
      </c>
      <c r="B665" t="s">
        <v>834</v>
      </c>
      <c r="C665" t="s">
        <v>199</v>
      </c>
      <c r="D665">
        <v>-1285.5939721580201</v>
      </c>
    </row>
    <row r="666" spans="1:4" hidden="1" x14ac:dyDescent="0.3">
      <c r="A666">
        <v>664</v>
      </c>
      <c r="B666" t="s">
        <v>835</v>
      </c>
      <c r="C666" t="s">
        <v>201</v>
      </c>
      <c r="D666">
        <v>-562.44922334882904</v>
      </c>
    </row>
    <row r="667" spans="1:4" hidden="1" x14ac:dyDescent="0.3">
      <c r="A667">
        <v>665</v>
      </c>
      <c r="B667" s="1" t="s">
        <v>836</v>
      </c>
      <c r="C667" t="s">
        <v>203</v>
      </c>
      <c r="D667" s="1" t="s">
        <v>837</v>
      </c>
    </row>
    <row r="668" spans="1:4" hidden="1" x14ac:dyDescent="0.3">
      <c r="A668">
        <v>666</v>
      </c>
      <c r="B668" t="s">
        <v>838</v>
      </c>
      <c r="C668" t="s">
        <v>206</v>
      </c>
      <c r="D668">
        <v>79993563.975839496</v>
      </c>
    </row>
    <row r="669" spans="1:4" hidden="1" x14ac:dyDescent="0.3">
      <c r="A669">
        <v>667</v>
      </c>
      <c r="B669" t="s">
        <v>839</v>
      </c>
      <c r="C669" t="s">
        <v>208</v>
      </c>
      <c r="D669">
        <v>34997300.007241599</v>
      </c>
    </row>
    <row r="670" spans="1:4" hidden="1" x14ac:dyDescent="0.3">
      <c r="A670">
        <v>668</v>
      </c>
      <c r="B670" t="s">
        <v>840</v>
      </c>
      <c r="C670" t="s">
        <v>210</v>
      </c>
      <c r="D670">
        <v>35458721.7345443</v>
      </c>
    </row>
    <row r="671" spans="1:4" hidden="1" x14ac:dyDescent="0.3">
      <c r="A671">
        <v>669</v>
      </c>
      <c r="B671" s="1" t="s">
        <v>841</v>
      </c>
      <c r="C671" t="s">
        <v>212</v>
      </c>
      <c r="D671" s="1" t="s">
        <v>842</v>
      </c>
    </row>
    <row r="672" spans="1:4" hidden="1" x14ac:dyDescent="0.3">
      <c r="A672">
        <v>670</v>
      </c>
      <c r="B672" t="s">
        <v>843</v>
      </c>
      <c r="C672" t="s">
        <v>215</v>
      </c>
      <c r="D672">
        <v>100320855.01249801</v>
      </c>
    </row>
    <row r="673" spans="1:4" hidden="1" x14ac:dyDescent="0.3">
      <c r="A673">
        <v>671</v>
      </c>
      <c r="B673" t="s">
        <v>844</v>
      </c>
      <c r="C673" t="s">
        <v>217</v>
      </c>
      <c r="D673">
        <v>-1612.27828934788</v>
      </c>
    </row>
    <row r="674" spans="1:4" hidden="1" x14ac:dyDescent="0.3">
      <c r="A674">
        <v>672</v>
      </c>
      <c r="B674" s="1" t="s">
        <v>845</v>
      </c>
      <c r="C674" t="s">
        <v>219</v>
      </c>
      <c r="D674" s="1" t="s">
        <v>846</v>
      </c>
    </row>
    <row r="675" spans="1:4" hidden="1" x14ac:dyDescent="0.3">
      <c r="A675">
        <v>673</v>
      </c>
      <c r="B675" t="s">
        <v>847</v>
      </c>
      <c r="C675" t="s">
        <v>112</v>
      </c>
      <c r="D675">
        <v>428.60355076495699</v>
      </c>
    </row>
    <row r="676" spans="1:4" hidden="1" x14ac:dyDescent="0.3">
      <c r="A676">
        <v>674</v>
      </c>
      <c r="B676" t="s">
        <v>848</v>
      </c>
      <c r="C676" t="s">
        <v>114</v>
      </c>
      <c r="D676">
        <v>64.033535590312894</v>
      </c>
    </row>
    <row r="677" spans="1:4" hidden="1" x14ac:dyDescent="0.3">
      <c r="A677">
        <v>675</v>
      </c>
      <c r="B677" s="1" t="s">
        <v>849</v>
      </c>
      <c r="C677" t="s">
        <v>116</v>
      </c>
      <c r="D677" s="1" t="s">
        <v>850</v>
      </c>
    </row>
    <row r="678" spans="1:4" hidden="1" x14ac:dyDescent="0.3">
      <c r="A678">
        <v>676</v>
      </c>
      <c r="B678" t="s">
        <v>851</v>
      </c>
      <c r="C678" t="s">
        <v>119</v>
      </c>
      <c r="D678">
        <v>79993563.975839496</v>
      </c>
    </row>
    <row r="679" spans="1:4" hidden="1" x14ac:dyDescent="0.3">
      <c r="A679">
        <v>677</v>
      </c>
      <c r="B679" t="s">
        <v>852</v>
      </c>
      <c r="C679" t="s">
        <v>121</v>
      </c>
      <c r="D679">
        <v>34997300.007241599</v>
      </c>
    </row>
    <row r="680" spans="1:4" hidden="1" x14ac:dyDescent="0.3">
      <c r="A680">
        <v>678</v>
      </c>
      <c r="B680" s="1" t="s">
        <v>853</v>
      </c>
      <c r="C680" t="s">
        <v>123</v>
      </c>
      <c r="D680" s="1" t="s">
        <v>854</v>
      </c>
    </row>
    <row r="681" spans="1:4" hidden="1" x14ac:dyDescent="0.3">
      <c r="A681">
        <v>679</v>
      </c>
      <c r="B681" t="s">
        <v>855</v>
      </c>
      <c r="C681" t="s">
        <v>126</v>
      </c>
      <c r="D681">
        <v>0.79739665991319697</v>
      </c>
    </row>
    <row r="682" spans="1:4" hidden="1" x14ac:dyDescent="0.3">
      <c r="A682">
        <v>680</v>
      </c>
      <c r="B682" t="s">
        <v>856</v>
      </c>
      <c r="C682" t="s">
        <v>128</v>
      </c>
      <c r="D682">
        <v>0.34886219271569402</v>
      </c>
    </row>
    <row r="683" spans="1:4" hidden="1" x14ac:dyDescent="0.3">
      <c r="A683">
        <v>681</v>
      </c>
      <c r="B683" s="1" t="s">
        <v>857</v>
      </c>
      <c r="C683" t="s">
        <v>130</v>
      </c>
      <c r="D683" s="1" t="s">
        <v>858</v>
      </c>
    </row>
    <row r="684" spans="1:4" x14ac:dyDescent="0.3">
      <c r="A684">
        <v>682</v>
      </c>
      <c r="B684" s="1" t="s">
        <v>3</v>
      </c>
      <c r="C684" t="s">
        <v>4</v>
      </c>
      <c r="D684" t="s">
        <v>5</v>
      </c>
    </row>
    <row r="685" spans="1:4" hidden="1" x14ac:dyDescent="0.3">
      <c r="A685">
        <v>683</v>
      </c>
      <c r="B685" t="s">
        <v>6</v>
      </c>
      <c r="C685" t="s">
        <v>7</v>
      </c>
      <c r="D685">
        <v>1199.98</v>
      </c>
    </row>
    <row r="686" spans="1:4" hidden="1" x14ac:dyDescent="0.3">
      <c r="A686">
        <v>684</v>
      </c>
      <c r="B686" s="1" t="s">
        <v>132</v>
      </c>
      <c r="C686" t="s">
        <v>9</v>
      </c>
      <c r="D686" s="1" t="s">
        <v>133</v>
      </c>
    </row>
    <row r="687" spans="1:4" hidden="1" x14ac:dyDescent="0.3">
      <c r="A687">
        <v>685</v>
      </c>
      <c r="B687" t="s">
        <v>13</v>
      </c>
      <c r="C687" t="s">
        <v>14</v>
      </c>
      <c r="D687">
        <v>97.91796875</v>
      </c>
    </row>
    <row r="688" spans="1:4" hidden="1" x14ac:dyDescent="0.3">
      <c r="A688">
        <v>686</v>
      </c>
      <c r="B688" t="s">
        <v>15</v>
      </c>
      <c r="C688" t="s">
        <v>16</v>
      </c>
      <c r="D688">
        <v>4.2752882005853001</v>
      </c>
    </row>
    <row r="689" spans="1:4" hidden="1" x14ac:dyDescent="0.3">
      <c r="A689">
        <v>687</v>
      </c>
      <c r="B689" s="1" t="s">
        <v>134</v>
      </c>
      <c r="C689" t="s">
        <v>135</v>
      </c>
      <c r="D689" s="1" t="s">
        <v>136</v>
      </c>
    </row>
    <row r="690" spans="1:4" hidden="1" x14ac:dyDescent="0.3">
      <c r="A690">
        <v>688</v>
      </c>
      <c r="B690" t="s">
        <v>21</v>
      </c>
      <c r="C690" t="s">
        <v>22</v>
      </c>
      <c r="D690">
        <v>77.95</v>
      </c>
    </row>
    <row r="691" spans="1:4" hidden="1" x14ac:dyDescent="0.3">
      <c r="A691">
        <v>689</v>
      </c>
      <c r="B691" t="s">
        <v>859</v>
      </c>
      <c r="C691" t="s">
        <v>24</v>
      </c>
      <c r="D691">
        <v>4.8871399485261504</v>
      </c>
    </row>
    <row r="692" spans="1:4" hidden="1" x14ac:dyDescent="0.3">
      <c r="A692">
        <v>690</v>
      </c>
      <c r="B692" s="1" t="s">
        <v>860</v>
      </c>
      <c r="C692" t="s">
        <v>139</v>
      </c>
      <c r="D692" s="1" t="s">
        <v>861</v>
      </c>
    </row>
    <row r="693" spans="1:4" hidden="1" x14ac:dyDescent="0.3">
      <c r="A693">
        <v>691</v>
      </c>
      <c r="B693" t="s">
        <v>862</v>
      </c>
      <c r="C693" t="s">
        <v>35</v>
      </c>
      <c r="D693">
        <v>0.15999994249171401</v>
      </c>
    </row>
    <row r="694" spans="1:4" hidden="1" x14ac:dyDescent="0.3">
      <c r="A694">
        <v>692</v>
      </c>
      <c r="B694" t="s">
        <v>863</v>
      </c>
      <c r="C694" t="s">
        <v>143</v>
      </c>
      <c r="D694">
        <v>0.76628122527939202</v>
      </c>
    </row>
    <row r="695" spans="1:4" hidden="1" x14ac:dyDescent="0.3">
      <c r="A695">
        <v>693</v>
      </c>
      <c r="B695" s="1" t="s">
        <v>864</v>
      </c>
      <c r="C695" t="s">
        <v>145</v>
      </c>
      <c r="D695" s="1" t="s">
        <v>865</v>
      </c>
    </row>
    <row r="696" spans="1:4" hidden="1" x14ac:dyDescent="0.3">
      <c r="A696">
        <v>694</v>
      </c>
      <c r="B696" t="s">
        <v>866</v>
      </c>
      <c r="C696" t="s">
        <v>30</v>
      </c>
      <c r="D696">
        <v>0.37604514974273001</v>
      </c>
    </row>
    <row r="697" spans="1:4" hidden="1" x14ac:dyDescent="0.3">
      <c r="A697">
        <v>695</v>
      </c>
      <c r="B697" t="s">
        <v>867</v>
      </c>
      <c r="C697" t="s">
        <v>32</v>
      </c>
      <c r="D697">
        <v>0.145336066635703</v>
      </c>
    </row>
    <row r="698" spans="1:4" hidden="1" x14ac:dyDescent="0.3">
      <c r="A698">
        <v>696</v>
      </c>
      <c r="B698" s="1" t="s">
        <v>868</v>
      </c>
      <c r="C698" t="s">
        <v>149</v>
      </c>
      <c r="D698" s="1" t="s">
        <v>869</v>
      </c>
    </row>
    <row r="699" spans="1:4" hidden="1" x14ac:dyDescent="0.3">
      <c r="A699">
        <v>697</v>
      </c>
      <c r="B699" t="s">
        <v>870</v>
      </c>
      <c r="C699" t="s">
        <v>40</v>
      </c>
      <c r="D699">
        <v>0.46395490776555398</v>
      </c>
    </row>
    <row r="700" spans="1:4" hidden="1" x14ac:dyDescent="0.3">
      <c r="A700">
        <v>698</v>
      </c>
      <c r="B700" t="s">
        <v>871</v>
      </c>
      <c r="C700" t="s">
        <v>42</v>
      </c>
      <c r="D700">
        <v>0.15966784969461201</v>
      </c>
    </row>
    <row r="701" spans="1:4" hidden="1" x14ac:dyDescent="0.3">
      <c r="A701">
        <v>699</v>
      </c>
      <c r="B701" s="1" t="s">
        <v>872</v>
      </c>
      <c r="C701" t="s">
        <v>153</v>
      </c>
      <c r="D701" s="1" t="s">
        <v>873</v>
      </c>
    </row>
    <row r="702" spans="1:4" hidden="1" x14ac:dyDescent="0.3">
      <c r="A702">
        <v>700</v>
      </c>
      <c r="B702" t="s">
        <v>154</v>
      </c>
      <c r="C702" t="s">
        <v>155</v>
      </c>
      <c r="D702">
        <v>1</v>
      </c>
    </row>
    <row r="703" spans="1:4" hidden="1" x14ac:dyDescent="0.3">
      <c r="A703">
        <v>701</v>
      </c>
      <c r="B703" t="s">
        <v>156</v>
      </c>
      <c r="C703" t="s">
        <v>157</v>
      </c>
      <c r="D703">
        <v>1</v>
      </c>
    </row>
    <row r="704" spans="1:4" hidden="1" x14ac:dyDescent="0.3">
      <c r="A704">
        <v>702</v>
      </c>
      <c r="B704" s="1" t="s">
        <v>874</v>
      </c>
      <c r="C704" t="s">
        <v>159</v>
      </c>
      <c r="D704" s="1" t="s">
        <v>875</v>
      </c>
    </row>
    <row r="705" spans="1:4" hidden="1" x14ac:dyDescent="0.3">
      <c r="A705">
        <v>703</v>
      </c>
      <c r="B705" t="s">
        <v>876</v>
      </c>
      <c r="C705" t="s">
        <v>162</v>
      </c>
      <c r="D705">
        <v>1.0012473167267499</v>
      </c>
    </row>
    <row r="706" spans="1:4" hidden="1" x14ac:dyDescent="0.3">
      <c r="A706">
        <v>704</v>
      </c>
      <c r="B706" t="s">
        <v>877</v>
      </c>
      <c r="C706" t="s">
        <v>164</v>
      </c>
      <c r="D706">
        <v>0.99882059083335895</v>
      </c>
    </row>
    <row r="707" spans="1:4" hidden="1" x14ac:dyDescent="0.3">
      <c r="A707">
        <v>705</v>
      </c>
      <c r="B707" s="1" t="s">
        <v>878</v>
      </c>
      <c r="C707" t="s">
        <v>166</v>
      </c>
      <c r="D707" s="1" t="s">
        <v>879</v>
      </c>
    </row>
    <row r="708" spans="1:4" hidden="1" x14ac:dyDescent="0.3">
      <c r="A708">
        <v>706</v>
      </c>
      <c r="B708" s="1" t="s">
        <v>880</v>
      </c>
      <c r="C708" t="s">
        <v>55</v>
      </c>
      <c r="D708" s="1" t="s">
        <v>881</v>
      </c>
    </row>
    <row r="709" spans="1:4" hidden="1" x14ac:dyDescent="0.3">
      <c r="A709">
        <v>707</v>
      </c>
      <c r="B709" s="1" t="s">
        <v>882</v>
      </c>
      <c r="C709" t="s">
        <v>52</v>
      </c>
      <c r="D709" s="1" t="s">
        <v>883</v>
      </c>
    </row>
    <row r="710" spans="1:4" hidden="1" x14ac:dyDescent="0.3">
      <c r="A710">
        <v>708</v>
      </c>
      <c r="B710" s="1" t="s">
        <v>884</v>
      </c>
      <c r="C710" t="s">
        <v>58</v>
      </c>
      <c r="D710" s="1" t="s">
        <v>885</v>
      </c>
    </row>
    <row r="711" spans="1:4" hidden="1" x14ac:dyDescent="0.3">
      <c r="A711">
        <v>709</v>
      </c>
      <c r="B711" t="s">
        <v>886</v>
      </c>
      <c r="C711" t="s">
        <v>61</v>
      </c>
      <c r="D711">
        <v>150445152.74972099</v>
      </c>
    </row>
    <row r="712" spans="1:4" hidden="1" x14ac:dyDescent="0.3">
      <c r="A712">
        <v>710</v>
      </c>
      <c r="B712" t="s">
        <v>887</v>
      </c>
      <c r="C712" t="s">
        <v>63</v>
      </c>
      <c r="D712">
        <v>79993563.975839496</v>
      </c>
    </row>
    <row r="713" spans="1:4" hidden="1" x14ac:dyDescent="0.3">
      <c r="A713">
        <v>711</v>
      </c>
      <c r="B713" t="s">
        <v>888</v>
      </c>
      <c r="C713" t="s">
        <v>65</v>
      </c>
      <c r="D713">
        <v>34997300.007241599</v>
      </c>
    </row>
    <row r="714" spans="1:4" hidden="1" x14ac:dyDescent="0.3">
      <c r="A714">
        <v>712</v>
      </c>
      <c r="B714" s="1" t="s">
        <v>889</v>
      </c>
      <c r="C714" t="s">
        <v>67</v>
      </c>
      <c r="D714" s="1" t="s">
        <v>890</v>
      </c>
    </row>
    <row r="715" spans="1:4" hidden="1" x14ac:dyDescent="0.3">
      <c r="A715">
        <v>713</v>
      </c>
      <c r="B715" s="1" t="s">
        <v>891</v>
      </c>
      <c r="C715" t="s">
        <v>70</v>
      </c>
      <c r="D715" s="1" t="s">
        <v>892</v>
      </c>
    </row>
    <row r="716" spans="1:4" hidden="1" x14ac:dyDescent="0.3">
      <c r="A716">
        <v>714</v>
      </c>
      <c r="B716" t="s">
        <v>893</v>
      </c>
      <c r="C716" t="s">
        <v>73</v>
      </c>
      <c r="D716">
        <v>0.999975614498262</v>
      </c>
    </row>
    <row r="717" spans="1:4" hidden="1" x14ac:dyDescent="0.3">
      <c r="A717">
        <v>715</v>
      </c>
      <c r="B717" t="s">
        <v>74</v>
      </c>
      <c r="C717" t="s">
        <v>75</v>
      </c>
      <c r="D717">
        <v>2.7397260273972599E-3</v>
      </c>
    </row>
    <row r="718" spans="1:4" hidden="1" x14ac:dyDescent="0.3">
      <c r="A718">
        <v>716</v>
      </c>
      <c r="B718" t="s">
        <v>76</v>
      </c>
      <c r="C718" t="s">
        <v>77</v>
      </c>
      <c r="D718">
        <v>0</v>
      </c>
    </row>
    <row r="719" spans="1:4" hidden="1" x14ac:dyDescent="0.3">
      <c r="A719">
        <v>717</v>
      </c>
      <c r="B719" t="s">
        <v>78</v>
      </c>
      <c r="C719" t="s">
        <v>79</v>
      </c>
      <c r="D719">
        <v>0</v>
      </c>
    </row>
    <row r="720" spans="1:4" hidden="1" x14ac:dyDescent="0.3">
      <c r="A720">
        <v>718</v>
      </c>
      <c r="B720" s="1" t="s">
        <v>894</v>
      </c>
      <c r="C720" t="s">
        <v>81</v>
      </c>
      <c r="D720" s="1" t="s">
        <v>895</v>
      </c>
    </row>
    <row r="721" spans="1:4" hidden="1" x14ac:dyDescent="0.3">
      <c r="A721">
        <v>719</v>
      </c>
      <c r="B721" t="s">
        <v>896</v>
      </c>
      <c r="C721" t="s">
        <v>84</v>
      </c>
      <c r="D721">
        <v>0.99999108560802596</v>
      </c>
    </row>
    <row r="722" spans="1:4" hidden="1" x14ac:dyDescent="0.3">
      <c r="A722">
        <v>720</v>
      </c>
      <c r="B722" s="1" t="s">
        <v>897</v>
      </c>
      <c r="C722" t="s">
        <v>86</v>
      </c>
      <c r="D722" s="1" t="s">
        <v>898</v>
      </c>
    </row>
    <row r="723" spans="1:4" hidden="1" x14ac:dyDescent="0.3">
      <c r="A723">
        <v>721</v>
      </c>
      <c r="B723" t="s">
        <v>899</v>
      </c>
      <c r="C723" t="s">
        <v>89</v>
      </c>
      <c r="D723">
        <v>100317690.670357</v>
      </c>
    </row>
    <row r="724" spans="1:4" hidden="1" x14ac:dyDescent="0.3">
      <c r="A724">
        <v>722</v>
      </c>
      <c r="B724" s="1" t="s">
        <v>900</v>
      </c>
      <c r="C724" t="s">
        <v>91</v>
      </c>
      <c r="D724" s="1" t="s">
        <v>846</v>
      </c>
    </row>
    <row r="725" spans="1:4" hidden="1" x14ac:dyDescent="0.3">
      <c r="A725">
        <v>723</v>
      </c>
      <c r="B725" t="s">
        <v>901</v>
      </c>
      <c r="C725" t="s">
        <v>94</v>
      </c>
      <c r="D725">
        <v>79993563.975839496</v>
      </c>
    </row>
    <row r="726" spans="1:4" hidden="1" x14ac:dyDescent="0.3">
      <c r="A726">
        <v>724</v>
      </c>
      <c r="B726" t="s">
        <v>902</v>
      </c>
      <c r="C726" t="s">
        <v>96</v>
      </c>
      <c r="D726">
        <v>34997300.007241599</v>
      </c>
    </row>
    <row r="727" spans="1:4" hidden="1" x14ac:dyDescent="0.3">
      <c r="A727">
        <v>725</v>
      </c>
      <c r="B727" t="s">
        <v>903</v>
      </c>
      <c r="C727" t="s">
        <v>98</v>
      </c>
      <c r="D727">
        <v>35454288.76664</v>
      </c>
    </row>
    <row r="728" spans="1:4" hidden="1" x14ac:dyDescent="0.3">
      <c r="A728">
        <v>726</v>
      </c>
      <c r="B728" s="1" t="s">
        <v>904</v>
      </c>
      <c r="C728" t="s">
        <v>100</v>
      </c>
      <c r="D728" s="1" t="s">
        <v>905</v>
      </c>
    </row>
    <row r="729" spans="1:4" hidden="1" x14ac:dyDescent="0.3">
      <c r="A729">
        <v>727</v>
      </c>
      <c r="B729" t="s">
        <v>906</v>
      </c>
      <c r="C729" t="s">
        <v>103</v>
      </c>
      <c r="D729">
        <v>5.9078626762552296E-3</v>
      </c>
    </row>
    <row r="730" spans="1:4" hidden="1" x14ac:dyDescent="0.3">
      <c r="A730">
        <v>728</v>
      </c>
      <c r="B730" t="s">
        <v>907</v>
      </c>
      <c r="C730" t="s">
        <v>105</v>
      </c>
      <c r="D730">
        <v>7.4740892390184801E-4</v>
      </c>
    </row>
    <row r="731" spans="1:4" hidden="1" x14ac:dyDescent="0.3">
      <c r="A731">
        <v>729</v>
      </c>
      <c r="B731" t="s">
        <v>908</v>
      </c>
      <c r="C731" t="s">
        <v>107</v>
      </c>
      <c r="D731">
        <v>1.1676589514505E-2</v>
      </c>
    </row>
    <row r="732" spans="1:4" hidden="1" x14ac:dyDescent="0.3">
      <c r="A732">
        <v>730</v>
      </c>
      <c r="B732" s="1" t="s">
        <v>909</v>
      </c>
      <c r="C732" t="s">
        <v>109</v>
      </c>
      <c r="D732" s="1" t="s">
        <v>910</v>
      </c>
    </row>
    <row r="733" spans="1:4" hidden="1" x14ac:dyDescent="0.3">
      <c r="A733">
        <v>731</v>
      </c>
      <c r="B733" t="s">
        <v>911</v>
      </c>
      <c r="C733" t="s">
        <v>197</v>
      </c>
      <c r="D733">
        <v>150445687.05987</v>
      </c>
    </row>
    <row r="734" spans="1:4" hidden="1" x14ac:dyDescent="0.3">
      <c r="A734">
        <v>732</v>
      </c>
      <c r="B734" t="s">
        <v>912</v>
      </c>
      <c r="C734" t="s">
        <v>199</v>
      </c>
      <c r="D734">
        <v>-1237.62541721299</v>
      </c>
    </row>
    <row r="735" spans="1:4" hidden="1" x14ac:dyDescent="0.3">
      <c r="A735">
        <v>733</v>
      </c>
      <c r="B735" t="s">
        <v>913</v>
      </c>
      <c r="C735" t="s">
        <v>201</v>
      </c>
      <c r="D735">
        <v>-541.46117547929896</v>
      </c>
    </row>
    <row r="736" spans="1:4" hidden="1" x14ac:dyDescent="0.3">
      <c r="A736">
        <v>734</v>
      </c>
      <c r="B736" s="1" t="s">
        <v>914</v>
      </c>
      <c r="C736" t="s">
        <v>203</v>
      </c>
      <c r="D736" s="1" t="s">
        <v>915</v>
      </c>
    </row>
    <row r="737" spans="1:4" hidden="1" x14ac:dyDescent="0.3">
      <c r="A737">
        <v>735</v>
      </c>
      <c r="B737" t="s">
        <v>916</v>
      </c>
      <c r="C737" t="s">
        <v>206</v>
      </c>
      <c r="D737">
        <v>79995191.256457001</v>
      </c>
    </row>
    <row r="738" spans="1:4" hidden="1" x14ac:dyDescent="0.3">
      <c r="A738">
        <v>736</v>
      </c>
      <c r="B738" t="s">
        <v>917</v>
      </c>
      <c r="C738" t="s">
        <v>208</v>
      </c>
      <c r="D738">
        <v>34997899.758678101</v>
      </c>
    </row>
    <row r="739" spans="1:4" hidden="1" x14ac:dyDescent="0.3">
      <c r="A739">
        <v>737</v>
      </c>
      <c r="B739" t="s">
        <v>918</v>
      </c>
      <c r="C739" t="s">
        <v>210</v>
      </c>
      <c r="D739">
        <v>35454923.663233101</v>
      </c>
    </row>
    <row r="740" spans="1:4" hidden="1" x14ac:dyDescent="0.3">
      <c r="A740">
        <v>738</v>
      </c>
      <c r="B740" s="1" t="s">
        <v>919</v>
      </c>
      <c r="C740" t="s">
        <v>212</v>
      </c>
      <c r="D740" s="1" t="s">
        <v>920</v>
      </c>
    </row>
    <row r="741" spans="1:4" hidden="1" x14ac:dyDescent="0.3">
      <c r="A741">
        <v>739</v>
      </c>
      <c r="B741" t="s">
        <v>921</v>
      </c>
      <c r="C741" t="s">
        <v>215</v>
      </c>
      <c r="D741">
        <v>100319242.734209</v>
      </c>
    </row>
    <row r="742" spans="1:4" hidden="1" x14ac:dyDescent="0.3">
      <c r="A742">
        <v>740</v>
      </c>
      <c r="B742" t="s">
        <v>922</v>
      </c>
      <c r="C742" t="s">
        <v>217</v>
      </c>
      <c r="D742">
        <v>-1552.06385150551</v>
      </c>
    </row>
    <row r="743" spans="1:4" hidden="1" x14ac:dyDescent="0.3">
      <c r="A743">
        <v>741</v>
      </c>
      <c r="B743" s="1" t="s">
        <v>923</v>
      </c>
      <c r="C743" t="s">
        <v>219</v>
      </c>
      <c r="D743" s="1" t="s">
        <v>924</v>
      </c>
    </row>
    <row r="744" spans="1:4" hidden="1" x14ac:dyDescent="0.3">
      <c r="A744">
        <v>742</v>
      </c>
      <c r="B744" t="s">
        <v>925</v>
      </c>
      <c r="C744" t="s">
        <v>112</v>
      </c>
      <c r="D744">
        <v>389.65520027373901</v>
      </c>
    </row>
    <row r="745" spans="1:4" hidden="1" x14ac:dyDescent="0.3">
      <c r="A745">
        <v>743</v>
      </c>
      <c r="B745" t="s">
        <v>926</v>
      </c>
      <c r="C745" t="s">
        <v>114</v>
      </c>
      <c r="D745">
        <v>58.290261031289603</v>
      </c>
    </row>
    <row r="746" spans="1:4" hidden="1" x14ac:dyDescent="0.3">
      <c r="A746">
        <v>744</v>
      </c>
      <c r="B746" s="1" t="s">
        <v>927</v>
      </c>
      <c r="C746" t="s">
        <v>116</v>
      </c>
      <c r="D746" s="1" t="s">
        <v>928</v>
      </c>
    </row>
    <row r="747" spans="1:4" hidden="1" x14ac:dyDescent="0.3">
      <c r="A747">
        <v>745</v>
      </c>
      <c r="B747" t="s">
        <v>929</v>
      </c>
      <c r="C747" t="s">
        <v>119</v>
      </c>
      <c r="D747">
        <v>79995191.256457001</v>
      </c>
    </row>
    <row r="748" spans="1:4" hidden="1" x14ac:dyDescent="0.3">
      <c r="A748">
        <v>746</v>
      </c>
      <c r="B748" t="s">
        <v>930</v>
      </c>
      <c r="C748" t="s">
        <v>121</v>
      </c>
      <c r="D748">
        <v>34997899.758678101</v>
      </c>
    </row>
    <row r="749" spans="1:4" hidden="1" x14ac:dyDescent="0.3">
      <c r="A749">
        <v>747</v>
      </c>
      <c r="B749" s="1" t="s">
        <v>931</v>
      </c>
      <c r="C749" t="s">
        <v>123</v>
      </c>
      <c r="D749" s="1" t="s">
        <v>932</v>
      </c>
    </row>
    <row r="750" spans="1:4" hidden="1" x14ac:dyDescent="0.3">
      <c r="A750">
        <v>748</v>
      </c>
      <c r="B750" t="s">
        <v>933</v>
      </c>
      <c r="C750" t="s">
        <v>126</v>
      </c>
      <c r="D750">
        <v>0.79741335950122705</v>
      </c>
    </row>
    <row r="751" spans="1:4" hidden="1" x14ac:dyDescent="0.3">
      <c r="A751">
        <v>749</v>
      </c>
      <c r="B751" t="s">
        <v>934</v>
      </c>
      <c r="C751" t="s">
        <v>128</v>
      </c>
      <c r="D751">
        <v>0.34886838050783497</v>
      </c>
    </row>
    <row r="752" spans="1:4" hidden="1" x14ac:dyDescent="0.3">
      <c r="A752">
        <v>750</v>
      </c>
      <c r="B752" s="1" t="s">
        <v>935</v>
      </c>
      <c r="C752" t="s">
        <v>130</v>
      </c>
      <c r="D752" s="1" t="s">
        <v>936</v>
      </c>
    </row>
    <row r="753" spans="1:4" x14ac:dyDescent="0.3">
      <c r="A753">
        <v>751</v>
      </c>
      <c r="B753" s="1" t="s">
        <v>3</v>
      </c>
      <c r="C753" t="s">
        <v>4</v>
      </c>
      <c r="D753" t="s">
        <v>5</v>
      </c>
    </row>
    <row r="754" spans="1:4" hidden="1" x14ac:dyDescent="0.3">
      <c r="A754">
        <v>752</v>
      </c>
      <c r="B754" t="s">
        <v>6</v>
      </c>
      <c r="C754" t="s">
        <v>7</v>
      </c>
      <c r="D754">
        <v>1199.98</v>
      </c>
    </row>
    <row r="755" spans="1:4" hidden="1" x14ac:dyDescent="0.3">
      <c r="A755">
        <v>753</v>
      </c>
      <c r="B755" s="1" t="s">
        <v>132</v>
      </c>
      <c r="C755" t="s">
        <v>9</v>
      </c>
      <c r="D755" s="1" t="s">
        <v>133</v>
      </c>
    </row>
    <row r="756" spans="1:4" hidden="1" x14ac:dyDescent="0.3">
      <c r="A756">
        <v>754</v>
      </c>
      <c r="B756" t="s">
        <v>13</v>
      </c>
      <c r="C756" t="s">
        <v>14</v>
      </c>
      <c r="D756">
        <v>97.91796875</v>
      </c>
    </row>
    <row r="757" spans="1:4" hidden="1" x14ac:dyDescent="0.3">
      <c r="A757">
        <v>755</v>
      </c>
      <c r="B757" t="s">
        <v>15</v>
      </c>
      <c r="C757" t="s">
        <v>16</v>
      </c>
      <c r="D757">
        <v>4.2752882005853001</v>
      </c>
    </row>
    <row r="758" spans="1:4" hidden="1" x14ac:dyDescent="0.3">
      <c r="A758">
        <v>756</v>
      </c>
      <c r="B758" s="1" t="s">
        <v>134</v>
      </c>
      <c r="C758" t="s">
        <v>135</v>
      </c>
      <c r="D758" s="1" t="s">
        <v>136</v>
      </c>
    </row>
    <row r="759" spans="1:4" hidden="1" x14ac:dyDescent="0.3">
      <c r="A759">
        <v>757</v>
      </c>
      <c r="B759" t="s">
        <v>21</v>
      </c>
      <c r="C759" t="s">
        <v>22</v>
      </c>
      <c r="D759">
        <v>77.95</v>
      </c>
    </row>
    <row r="760" spans="1:4" hidden="1" x14ac:dyDescent="0.3">
      <c r="A760">
        <v>758</v>
      </c>
      <c r="B760" t="s">
        <v>937</v>
      </c>
      <c r="C760" t="s">
        <v>24</v>
      </c>
      <c r="D760">
        <v>4.8815443504961902</v>
      </c>
    </row>
    <row r="761" spans="1:4" hidden="1" x14ac:dyDescent="0.3">
      <c r="A761">
        <v>759</v>
      </c>
      <c r="B761" s="1" t="s">
        <v>938</v>
      </c>
      <c r="C761" t="s">
        <v>139</v>
      </c>
      <c r="D761" s="1" t="s">
        <v>939</v>
      </c>
    </row>
    <row r="762" spans="1:4" hidden="1" x14ac:dyDescent="0.3">
      <c r="A762">
        <v>760</v>
      </c>
      <c r="B762" t="s">
        <v>940</v>
      </c>
      <c r="C762" t="s">
        <v>35</v>
      </c>
      <c r="D762">
        <v>0.16211046844829299</v>
      </c>
    </row>
    <row r="763" spans="1:4" hidden="1" x14ac:dyDescent="0.3">
      <c r="A763">
        <v>761</v>
      </c>
      <c r="B763" t="s">
        <v>941</v>
      </c>
      <c r="C763" t="s">
        <v>143</v>
      </c>
      <c r="D763">
        <v>0.76554311284888199</v>
      </c>
    </row>
    <row r="764" spans="1:4" hidden="1" x14ac:dyDescent="0.3">
      <c r="A764">
        <v>762</v>
      </c>
      <c r="B764" s="1" t="s">
        <v>942</v>
      </c>
      <c r="C764" t="s">
        <v>145</v>
      </c>
      <c r="D764" s="1" t="s">
        <v>943</v>
      </c>
    </row>
    <row r="765" spans="1:4" hidden="1" x14ac:dyDescent="0.3">
      <c r="A765">
        <v>763</v>
      </c>
      <c r="B765" t="s">
        <v>944</v>
      </c>
      <c r="C765" t="s">
        <v>30</v>
      </c>
      <c r="D765">
        <v>0.381005483084217</v>
      </c>
    </row>
    <row r="766" spans="1:4" hidden="1" x14ac:dyDescent="0.3">
      <c r="A766">
        <v>764</v>
      </c>
      <c r="B766" t="s">
        <v>945</v>
      </c>
      <c r="C766" t="s">
        <v>32</v>
      </c>
      <c r="D766">
        <v>0.14514964673516101</v>
      </c>
    </row>
    <row r="767" spans="1:4" hidden="1" x14ac:dyDescent="0.3">
      <c r="A767">
        <v>765</v>
      </c>
      <c r="B767" s="1" t="s">
        <v>946</v>
      </c>
      <c r="C767" t="s">
        <v>149</v>
      </c>
      <c r="D767" s="1" t="s">
        <v>947</v>
      </c>
    </row>
    <row r="768" spans="1:4" hidden="1" x14ac:dyDescent="0.3">
      <c r="A768">
        <v>766</v>
      </c>
      <c r="B768" t="s">
        <v>948</v>
      </c>
      <c r="C768" t="s">
        <v>40</v>
      </c>
      <c r="D768">
        <v>0.45688404846748898</v>
      </c>
    </row>
    <row r="769" spans="1:4" hidden="1" x14ac:dyDescent="0.3">
      <c r="A769">
        <v>767</v>
      </c>
      <c r="B769" t="s">
        <v>949</v>
      </c>
      <c r="C769" t="s">
        <v>42</v>
      </c>
      <c r="D769">
        <v>0.16111251305178001</v>
      </c>
    </row>
    <row r="770" spans="1:4" hidden="1" x14ac:dyDescent="0.3">
      <c r="A770">
        <v>768</v>
      </c>
      <c r="B770" s="1" t="s">
        <v>950</v>
      </c>
      <c r="C770" t="s">
        <v>153</v>
      </c>
      <c r="D770" s="1" t="s">
        <v>951</v>
      </c>
    </row>
    <row r="771" spans="1:4" hidden="1" x14ac:dyDescent="0.3">
      <c r="A771">
        <v>769</v>
      </c>
      <c r="B771" t="s">
        <v>154</v>
      </c>
      <c r="C771" t="s">
        <v>155</v>
      </c>
      <c r="D771">
        <v>1</v>
      </c>
    </row>
    <row r="772" spans="1:4" hidden="1" x14ac:dyDescent="0.3">
      <c r="A772">
        <v>770</v>
      </c>
      <c r="B772" t="s">
        <v>156</v>
      </c>
      <c r="C772" t="s">
        <v>157</v>
      </c>
      <c r="D772">
        <v>1</v>
      </c>
    </row>
    <row r="773" spans="1:4" hidden="1" x14ac:dyDescent="0.3">
      <c r="A773">
        <v>771</v>
      </c>
      <c r="B773" s="1" t="s">
        <v>952</v>
      </c>
      <c r="C773" t="s">
        <v>159</v>
      </c>
      <c r="D773" s="1" t="s">
        <v>953</v>
      </c>
    </row>
    <row r="774" spans="1:4" hidden="1" x14ac:dyDescent="0.3">
      <c r="A774">
        <v>772</v>
      </c>
      <c r="B774" t="s">
        <v>954</v>
      </c>
      <c r="C774" t="s">
        <v>162</v>
      </c>
      <c r="D774">
        <v>0.99958210933799996</v>
      </c>
    </row>
    <row r="775" spans="1:4" hidden="1" x14ac:dyDescent="0.3">
      <c r="A775">
        <v>773</v>
      </c>
      <c r="B775" t="s">
        <v>955</v>
      </c>
      <c r="C775" t="s">
        <v>164</v>
      </c>
      <c r="D775">
        <v>0.99983723563242899</v>
      </c>
    </row>
    <row r="776" spans="1:4" hidden="1" x14ac:dyDescent="0.3">
      <c r="A776">
        <v>774</v>
      </c>
      <c r="B776" s="1" t="s">
        <v>956</v>
      </c>
      <c r="C776" t="s">
        <v>166</v>
      </c>
      <c r="D776" s="1" t="s">
        <v>957</v>
      </c>
    </row>
    <row r="777" spans="1:4" hidden="1" x14ac:dyDescent="0.3">
      <c r="A777">
        <v>775</v>
      </c>
      <c r="B777" s="1" t="s">
        <v>958</v>
      </c>
      <c r="C777" t="s">
        <v>55</v>
      </c>
      <c r="D777" s="1" t="s">
        <v>959</v>
      </c>
    </row>
    <row r="778" spans="1:4" hidden="1" x14ac:dyDescent="0.3">
      <c r="A778">
        <v>776</v>
      </c>
      <c r="B778" s="1" t="s">
        <v>960</v>
      </c>
      <c r="C778" t="s">
        <v>52</v>
      </c>
      <c r="D778" s="1" t="s">
        <v>961</v>
      </c>
    </row>
    <row r="779" spans="1:4" hidden="1" x14ac:dyDescent="0.3">
      <c r="A779">
        <v>777</v>
      </c>
      <c r="B779" s="1" t="s">
        <v>962</v>
      </c>
      <c r="C779" t="s">
        <v>58</v>
      </c>
      <c r="D779" s="1" t="s">
        <v>963</v>
      </c>
    </row>
    <row r="780" spans="1:4" hidden="1" x14ac:dyDescent="0.3">
      <c r="A780">
        <v>778</v>
      </c>
      <c r="B780" t="s">
        <v>964</v>
      </c>
      <c r="C780" t="s">
        <v>61</v>
      </c>
      <c r="D780">
        <v>150445619.72000599</v>
      </c>
    </row>
    <row r="781" spans="1:4" hidden="1" x14ac:dyDescent="0.3">
      <c r="A781">
        <v>779</v>
      </c>
      <c r="B781" t="s">
        <v>965</v>
      </c>
      <c r="C781" t="s">
        <v>63</v>
      </c>
      <c r="D781">
        <v>79995191.256457001</v>
      </c>
    </row>
    <row r="782" spans="1:4" hidden="1" x14ac:dyDescent="0.3">
      <c r="A782">
        <v>780</v>
      </c>
      <c r="B782" t="s">
        <v>966</v>
      </c>
      <c r="C782" t="s">
        <v>65</v>
      </c>
      <c r="D782">
        <v>34997899.758678101</v>
      </c>
    </row>
    <row r="783" spans="1:4" hidden="1" x14ac:dyDescent="0.3">
      <c r="A783">
        <v>781</v>
      </c>
      <c r="B783" s="1" t="s">
        <v>967</v>
      </c>
      <c r="C783" t="s">
        <v>67</v>
      </c>
      <c r="D783" s="1" t="s">
        <v>968</v>
      </c>
    </row>
    <row r="784" spans="1:4" hidden="1" x14ac:dyDescent="0.3">
      <c r="A784">
        <v>782</v>
      </c>
      <c r="B784" s="1" t="s">
        <v>969</v>
      </c>
      <c r="C784" t="s">
        <v>70</v>
      </c>
      <c r="D784" s="1" t="s">
        <v>970</v>
      </c>
    </row>
    <row r="785" spans="1:4" hidden="1" x14ac:dyDescent="0.3">
      <c r="A785">
        <v>783</v>
      </c>
      <c r="B785" t="s">
        <v>971</v>
      </c>
      <c r="C785" t="s">
        <v>73</v>
      </c>
      <c r="D785">
        <v>0.99999108560802596</v>
      </c>
    </row>
    <row r="786" spans="1:4" hidden="1" x14ac:dyDescent="0.3">
      <c r="A786">
        <v>784</v>
      </c>
      <c r="B786" t="s">
        <v>74</v>
      </c>
      <c r="C786" t="s">
        <v>75</v>
      </c>
      <c r="D786">
        <v>2.7397260273972599E-3</v>
      </c>
    </row>
    <row r="787" spans="1:4" hidden="1" x14ac:dyDescent="0.3">
      <c r="A787">
        <v>785</v>
      </c>
      <c r="B787" t="s">
        <v>76</v>
      </c>
      <c r="C787" t="s">
        <v>77</v>
      </c>
      <c r="D787">
        <v>0</v>
      </c>
    </row>
    <row r="788" spans="1:4" hidden="1" x14ac:dyDescent="0.3">
      <c r="A788">
        <v>786</v>
      </c>
      <c r="B788" t="s">
        <v>78</v>
      </c>
      <c r="C788" t="s">
        <v>79</v>
      </c>
      <c r="D788">
        <v>0</v>
      </c>
    </row>
    <row r="789" spans="1:4" hidden="1" x14ac:dyDescent="0.3">
      <c r="A789">
        <v>787</v>
      </c>
      <c r="B789" s="1" t="s">
        <v>972</v>
      </c>
      <c r="C789" t="s">
        <v>81</v>
      </c>
      <c r="D789" s="1" t="s">
        <v>973</v>
      </c>
    </row>
    <row r="790" spans="1:4" hidden="1" x14ac:dyDescent="0.3">
      <c r="A790">
        <v>788</v>
      </c>
      <c r="B790" t="s">
        <v>974</v>
      </c>
      <c r="C790" t="s">
        <v>84</v>
      </c>
      <c r="D790">
        <v>0.99998872664833705</v>
      </c>
    </row>
    <row r="791" spans="1:4" hidden="1" x14ac:dyDescent="0.3">
      <c r="A791">
        <v>789</v>
      </c>
      <c r="B791" s="1" t="s">
        <v>975</v>
      </c>
      <c r="C791" t="s">
        <v>86</v>
      </c>
      <c r="D791" s="1" t="s">
        <v>976</v>
      </c>
    </row>
    <row r="792" spans="1:4" hidden="1" x14ac:dyDescent="0.3">
      <c r="A792">
        <v>790</v>
      </c>
      <c r="B792" t="s">
        <v>977</v>
      </c>
      <c r="C792" t="s">
        <v>89</v>
      </c>
      <c r="D792">
        <v>100317927.318413</v>
      </c>
    </row>
    <row r="793" spans="1:4" hidden="1" x14ac:dyDescent="0.3">
      <c r="A793">
        <v>791</v>
      </c>
      <c r="B793" s="1" t="s">
        <v>978</v>
      </c>
      <c r="C793" t="s">
        <v>91</v>
      </c>
      <c r="D793" s="1" t="s">
        <v>924</v>
      </c>
    </row>
    <row r="794" spans="1:4" hidden="1" x14ac:dyDescent="0.3">
      <c r="A794">
        <v>792</v>
      </c>
      <c r="B794" t="s">
        <v>979</v>
      </c>
      <c r="C794" t="s">
        <v>94</v>
      </c>
      <c r="D794">
        <v>79995191.256457001</v>
      </c>
    </row>
    <row r="795" spans="1:4" hidden="1" x14ac:dyDescent="0.3">
      <c r="A795">
        <v>793</v>
      </c>
      <c r="B795" t="s">
        <v>980</v>
      </c>
      <c r="C795" t="s">
        <v>96</v>
      </c>
      <c r="D795">
        <v>34997899.758678101</v>
      </c>
    </row>
    <row r="796" spans="1:4" hidden="1" x14ac:dyDescent="0.3">
      <c r="A796">
        <v>794</v>
      </c>
      <c r="B796" t="s">
        <v>981</v>
      </c>
      <c r="C796" t="s">
        <v>98</v>
      </c>
      <c r="D796">
        <v>35452528.704871103</v>
      </c>
    </row>
    <row r="797" spans="1:4" hidden="1" x14ac:dyDescent="0.3">
      <c r="A797">
        <v>795</v>
      </c>
      <c r="B797" s="1" t="s">
        <v>982</v>
      </c>
      <c r="C797" t="s">
        <v>100</v>
      </c>
      <c r="D797" s="1" t="s">
        <v>983</v>
      </c>
    </row>
    <row r="798" spans="1:4" hidden="1" x14ac:dyDescent="0.3">
      <c r="A798">
        <v>796</v>
      </c>
      <c r="B798" t="s">
        <v>984</v>
      </c>
      <c r="C798" t="s">
        <v>103</v>
      </c>
      <c r="D798">
        <v>5.93914288258877E-3</v>
      </c>
    </row>
    <row r="799" spans="1:4" hidden="1" x14ac:dyDescent="0.3">
      <c r="A799">
        <v>797</v>
      </c>
      <c r="B799" t="s">
        <v>985</v>
      </c>
      <c r="C799" t="s">
        <v>105</v>
      </c>
      <c r="D799">
        <v>7.5120104941168997E-4</v>
      </c>
    </row>
    <row r="800" spans="1:4" hidden="1" x14ac:dyDescent="0.3">
      <c r="A800">
        <v>798</v>
      </c>
      <c r="B800" t="s">
        <v>986</v>
      </c>
      <c r="C800" t="s">
        <v>107</v>
      </c>
      <c r="D800">
        <v>1.1711586279818199E-2</v>
      </c>
    </row>
    <row r="801" spans="1:4" hidden="1" x14ac:dyDescent="0.3">
      <c r="A801">
        <v>799</v>
      </c>
      <c r="B801" s="1" t="s">
        <v>987</v>
      </c>
      <c r="C801" t="s">
        <v>109</v>
      </c>
      <c r="D801" s="1" t="s">
        <v>988</v>
      </c>
    </row>
    <row r="802" spans="1:4" hidden="1" x14ac:dyDescent="0.3">
      <c r="A802">
        <v>800</v>
      </c>
      <c r="B802" t="s">
        <v>989</v>
      </c>
      <c r="C802" t="s">
        <v>197</v>
      </c>
      <c r="D802">
        <v>150445538.28744701</v>
      </c>
    </row>
    <row r="803" spans="1:4" hidden="1" x14ac:dyDescent="0.3">
      <c r="A803">
        <v>801</v>
      </c>
      <c r="B803" t="s">
        <v>990</v>
      </c>
      <c r="C803" t="s">
        <v>199</v>
      </c>
      <c r="D803">
        <v>188.70696525224699</v>
      </c>
    </row>
    <row r="804" spans="1:4" hidden="1" x14ac:dyDescent="0.3">
      <c r="A804">
        <v>802</v>
      </c>
      <c r="B804" t="s">
        <v>991</v>
      </c>
      <c r="C804" t="s">
        <v>201</v>
      </c>
      <c r="D804">
        <v>82.5593485013909</v>
      </c>
    </row>
    <row r="805" spans="1:4" hidden="1" x14ac:dyDescent="0.3">
      <c r="A805">
        <v>803</v>
      </c>
      <c r="B805" s="1" t="s">
        <v>992</v>
      </c>
      <c r="C805" t="s">
        <v>203</v>
      </c>
      <c r="D805" s="1" t="s">
        <v>993</v>
      </c>
    </row>
    <row r="806" spans="1:4" hidden="1" x14ac:dyDescent="0.3">
      <c r="A806">
        <v>804</v>
      </c>
      <c r="B806" t="s">
        <v>994</v>
      </c>
      <c r="C806" t="s">
        <v>206</v>
      </c>
      <c r="D806">
        <v>79994939.634606704</v>
      </c>
    </row>
    <row r="807" spans="1:4" hidden="1" x14ac:dyDescent="0.3">
      <c r="A807">
        <v>805</v>
      </c>
      <c r="B807" t="s">
        <v>995</v>
      </c>
      <c r="C807" t="s">
        <v>208</v>
      </c>
      <c r="D807">
        <v>34997807.795876101</v>
      </c>
    </row>
    <row r="808" spans="1:4" hidden="1" x14ac:dyDescent="0.3">
      <c r="A808">
        <v>806</v>
      </c>
      <c r="B808" t="s">
        <v>996</v>
      </c>
      <c r="C808" t="s">
        <v>210</v>
      </c>
      <c r="D808">
        <v>35452435.958840601</v>
      </c>
    </row>
    <row r="809" spans="1:4" hidden="1" x14ac:dyDescent="0.3">
      <c r="A809">
        <v>807</v>
      </c>
      <c r="B809" s="1" t="s">
        <v>997</v>
      </c>
      <c r="C809" t="s">
        <v>212</v>
      </c>
      <c r="D809" s="1" t="s">
        <v>998</v>
      </c>
    </row>
    <row r="810" spans="1:4" hidden="1" x14ac:dyDescent="0.3">
      <c r="A810">
        <v>808</v>
      </c>
      <c r="B810" t="s">
        <v>999</v>
      </c>
      <c r="C810" t="s">
        <v>215</v>
      </c>
      <c r="D810">
        <v>100317690.670357</v>
      </c>
    </row>
    <row r="811" spans="1:4" hidden="1" x14ac:dyDescent="0.3">
      <c r="A811">
        <v>809</v>
      </c>
      <c r="B811" t="s">
        <v>1000</v>
      </c>
      <c r="C811" t="s">
        <v>217</v>
      </c>
      <c r="D811">
        <v>236.64805616438301</v>
      </c>
    </row>
    <row r="812" spans="1:4" hidden="1" x14ac:dyDescent="0.3">
      <c r="A812">
        <v>810</v>
      </c>
      <c r="B812" s="1" t="s">
        <v>1001</v>
      </c>
      <c r="C812" t="s">
        <v>219</v>
      </c>
      <c r="D812" s="1" t="s">
        <v>1002</v>
      </c>
    </row>
    <row r="813" spans="1:4" hidden="1" x14ac:dyDescent="0.3">
      <c r="A813">
        <v>811</v>
      </c>
      <c r="B813" t="s">
        <v>1003</v>
      </c>
      <c r="C813" t="s">
        <v>112</v>
      </c>
      <c r="D813">
        <v>-62.914885103965197</v>
      </c>
    </row>
    <row r="814" spans="1:4" hidden="1" x14ac:dyDescent="0.3">
      <c r="A814">
        <v>812</v>
      </c>
      <c r="B814" t="s">
        <v>1004</v>
      </c>
      <c r="C814" t="s">
        <v>114</v>
      </c>
      <c r="D814">
        <v>-9.4034535485284891</v>
      </c>
    </row>
    <row r="815" spans="1:4" hidden="1" x14ac:dyDescent="0.3">
      <c r="A815">
        <v>813</v>
      </c>
      <c r="B815" s="1" t="s">
        <v>1005</v>
      </c>
      <c r="C815" t="s">
        <v>116</v>
      </c>
      <c r="D815" s="1" t="s">
        <v>1006</v>
      </c>
    </row>
    <row r="816" spans="1:4" hidden="1" x14ac:dyDescent="0.3">
      <c r="A816">
        <v>814</v>
      </c>
      <c r="B816" t="s">
        <v>1007</v>
      </c>
      <c r="C816" t="s">
        <v>119</v>
      </c>
      <c r="D816">
        <v>79994939.634606704</v>
      </c>
    </row>
    <row r="817" spans="1:4" hidden="1" x14ac:dyDescent="0.3">
      <c r="A817">
        <v>815</v>
      </c>
      <c r="B817" t="s">
        <v>1008</v>
      </c>
      <c r="C817" t="s">
        <v>121</v>
      </c>
      <c r="D817">
        <v>34997807.795876101</v>
      </c>
    </row>
    <row r="818" spans="1:4" hidden="1" x14ac:dyDescent="0.3">
      <c r="A818">
        <v>816</v>
      </c>
      <c r="B818" s="1" t="s">
        <v>1009</v>
      </c>
      <c r="C818" t="s">
        <v>123</v>
      </c>
      <c r="D818" s="1" t="s">
        <v>1010</v>
      </c>
    </row>
    <row r="819" spans="1:4" hidden="1" x14ac:dyDescent="0.3">
      <c r="A819">
        <v>817</v>
      </c>
      <c r="B819" t="s">
        <v>1011</v>
      </c>
      <c r="C819" t="s">
        <v>126</v>
      </c>
      <c r="D819">
        <v>0.79742506950966396</v>
      </c>
    </row>
    <row r="820" spans="1:4" hidden="1" x14ac:dyDescent="0.3">
      <c r="A820">
        <v>818</v>
      </c>
      <c r="B820" t="s">
        <v>1012</v>
      </c>
      <c r="C820" t="s">
        <v>128</v>
      </c>
      <c r="D820">
        <v>0.34887368428288601</v>
      </c>
    </row>
    <row r="821" spans="1:4" hidden="1" x14ac:dyDescent="0.3">
      <c r="A821">
        <v>819</v>
      </c>
      <c r="B821" s="1" t="s">
        <v>1013</v>
      </c>
      <c r="C821" t="s">
        <v>130</v>
      </c>
      <c r="D821" s="1" t="s">
        <v>1014</v>
      </c>
    </row>
    <row r="822" spans="1:4" x14ac:dyDescent="0.3">
      <c r="A822">
        <v>820</v>
      </c>
      <c r="B822" s="1" t="s">
        <v>3</v>
      </c>
      <c r="C822" t="s">
        <v>4</v>
      </c>
      <c r="D822" t="s">
        <v>5</v>
      </c>
    </row>
    <row r="823" spans="1:4" hidden="1" x14ac:dyDescent="0.3">
      <c r="A823">
        <v>821</v>
      </c>
      <c r="B823" t="s">
        <v>6</v>
      </c>
      <c r="C823" t="s">
        <v>7</v>
      </c>
      <c r="D823">
        <v>1199.98</v>
      </c>
    </row>
    <row r="824" spans="1:4" hidden="1" x14ac:dyDescent="0.3">
      <c r="A824">
        <v>822</v>
      </c>
      <c r="B824" s="1" t="s">
        <v>132</v>
      </c>
      <c r="C824" t="s">
        <v>9</v>
      </c>
      <c r="D824" s="1" t="s">
        <v>133</v>
      </c>
    </row>
    <row r="825" spans="1:4" hidden="1" x14ac:dyDescent="0.3">
      <c r="A825">
        <v>823</v>
      </c>
      <c r="B825" t="s">
        <v>13</v>
      </c>
      <c r="C825" t="s">
        <v>14</v>
      </c>
      <c r="D825">
        <v>97.91796875</v>
      </c>
    </row>
    <row r="826" spans="1:4" hidden="1" x14ac:dyDescent="0.3">
      <c r="A826">
        <v>824</v>
      </c>
      <c r="B826" t="s">
        <v>15</v>
      </c>
      <c r="C826" t="s">
        <v>16</v>
      </c>
      <c r="D826">
        <v>4.2752882005853001</v>
      </c>
    </row>
    <row r="827" spans="1:4" hidden="1" x14ac:dyDescent="0.3">
      <c r="A827">
        <v>825</v>
      </c>
      <c r="B827" s="1" t="s">
        <v>134</v>
      </c>
      <c r="C827" t="s">
        <v>135</v>
      </c>
      <c r="D827" s="1" t="s">
        <v>136</v>
      </c>
    </row>
    <row r="828" spans="1:4" hidden="1" x14ac:dyDescent="0.3">
      <c r="A828">
        <v>826</v>
      </c>
      <c r="B828" t="s">
        <v>21</v>
      </c>
      <c r="C828" t="s">
        <v>22</v>
      </c>
      <c r="D828">
        <v>77.95</v>
      </c>
    </row>
    <row r="829" spans="1:4" hidden="1" x14ac:dyDescent="0.3">
      <c r="A829">
        <v>827</v>
      </c>
      <c r="B829" t="s">
        <v>1015</v>
      </c>
      <c r="C829" t="s">
        <v>24</v>
      </c>
      <c r="D829">
        <v>4.8924710096749404</v>
      </c>
    </row>
    <row r="830" spans="1:4" hidden="1" x14ac:dyDescent="0.3">
      <c r="A830">
        <v>828</v>
      </c>
      <c r="B830" s="1" t="s">
        <v>1016</v>
      </c>
      <c r="C830" t="s">
        <v>139</v>
      </c>
      <c r="D830" s="1" t="s">
        <v>1017</v>
      </c>
    </row>
    <row r="831" spans="1:4" hidden="1" x14ac:dyDescent="0.3">
      <c r="A831">
        <v>829</v>
      </c>
      <c r="B831" t="s">
        <v>1018</v>
      </c>
      <c r="C831" t="s">
        <v>35</v>
      </c>
      <c r="D831">
        <v>0.16126327619575501</v>
      </c>
    </row>
    <row r="832" spans="1:4" hidden="1" x14ac:dyDescent="0.3">
      <c r="A832">
        <v>830</v>
      </c>
      <c r="B832" t="s">
        <v>1019</v>
      </c>
      <c r="C832" t="s">
        <v>143</v>
      </c>
      <c r="D832">
        <v>0.76676277089796696</v>
      </c>
    </row>
    <row r="833" spans="1:4" hidden="1" x14ac:dyDescent="0.3">
      <c r="A833">
        <v>831</v>
      </c>
      <c r="B833" s="1" t="s">
        <v>1020</v>
      </c>
      <c r="C833" t="s">
        <v>145</v>
      </c>
      <c r="D833" s="1" t="s">
        <v>1021</v>
      </c>
    </row>
    <row r="834" spans="1:4" hidden="1" x14ac:dyDescent="0.3">
      <c r="A834">
        <v>832</v>
      </c>
      <c r="B834" t="s">
        <v>1022</v>
      </c>
      <c r="C834" t="s">
        <v>30</v>
      </c>
      <c r="D834">
        <v>0.37901434150938201</v>
      </c>
    </row>
    <row r="835" spans="1:4" hidden="1" x14ac:dyDescent="0.3">
      <c r="A835">
        <v>833</v>
      </c>
      <c r="B835" t="s">
        <v>1023</v>
      </c>
      <c r="C835" t="s">
        <v>32</v>
      </c>
      <c r="D835">
        <v>0.144603373094988</v>
      </c>
    </row>
    <row r="836" spans="1:4" hidden="1" x14ac:dyDescent="0.3">
      <c r="A836">
        <v>834</v>
      </c>
      <c r="B836" s="1" t="s">
        <v>1024</v>
      </c>
      <c r="C836" t="s">
        <v>149</v>
      </c>
      <c r="D836" s="1" t="s">
        <v>1025</v>
      </c>
    </row>
    <row r="837" spans="1:4" hidden="1" x14ac:dyDescent="0.3">
      <c r="A837">
        <v>835</v>
      </c>
      <c r="B837" t="s">
        <v>1026</v>
      </c>
      <c r="C837" t="s">
        <v>40</v>
      </c>
      <c r="D837">
        <v>0.45972238229486101</v>
      </c>
    </row>
    <row r="838" spans="1:4" hidden="1" x14ac:dyDescent="0.3">
      <c r="A838">
        <v>836</v>
      </c>
      <c r="B838" t="s">
        <v>1027</v>
      </c>
      <c r="C838" t="s">
        <v>42</v>
      </c>
      <c r="D838">
        <v>0.159580969121946</v>
      </c>
    </row>
    <row r="839" spans="1:4" hidden="1" x14ac:dyDescent="0.3">
      <c r="A839">
        <v>837</v>
      </c>
      <c r="B839" s="1" t="s">
        <v>1028</v>
      </c>
      <c r="C839" t="s">
        <v>153</v>
      </c>
      <c r="D839" s="1" t="s">
        <v>1029</v>
      </c>
    </row>
    <row r="840" spans="1:4" hidden="1" x14ac:dyDescent="0.3">
      <c r="A840">
        <v>838</v>
      </c>
      <c r="B840" t="s">
        <v>154</v>
      </c>
      <c r="C840" t="s">
        <v>155</v>
      </c>
      <c r="D840">
        <v>1</v>
      </c>
    </row>
    <row r="841" spans="1:4" hidden="1" x14ac:dyDescent="0.3">
      <c r="A841">
        <v>839</v>
      </c>
      <c r="B841" t="s">
        <v>156</v>
      </c>
      <c r="C841" t="s">
        <v>157</v>
      </c>
      <c r="D841">
        <v>1</v>
      </c>
    </row>
    <row r="842" spans="1:4" hidden="1" x14ac:dyDescent="0.3">
      <c r="A842">
        <v>840</v>
      </c>
      <c r="B842" s="1" t="s">
        <v>1030</v>
      </c>
      <c r="C842" t="s">
        <v>159</v>
      </c>
      <c r="D842" s="1" t="s">
        <v>1031</v>
      </c>
    </row>
    <row r="843" spans="1:4" hidden="1" x14ac:dyDescent="0.3">
      <c r="A843">
        <v>841</v>
      </c>
      <c r="B843" t="s">
        <v>1032</v>
      </c>
      <c r="C843" t="s">
        <v>162</v>
      </c>
      <c r="D843">
        <v>1.00069081181887</v>
      </c>
    </row>
    <row r="844" spans="1:4" hidden="1" x14ac:dyDescent="0.3">
      <c r="A844">
        <v>842</v>
      </c>
      <c r="B844" t="s">
        <v>1033</v>
      </c>
      <c r="C844" t="s">
        <v>164</v>
      </c>
      <c r="D844">
        <v>0.999522967463919</v>
      </c>
    </row>
    <row r="845" spans="1:4" hidden="1" x14ac:dyDescent="0.3">
      <c r="A845">
        <v>843</v>
      </c>
      <c r="B845" s="1" t="s">
        <v>1034</v>
      </c>
      <c r="C845" t="s">
        <v>166</v>
      </c>
      <c r="D845" s="1" t="s">
        <v>1035</v>
      </c>
    </row>
    <row r="846" spans="1:4" hidden="1" x14ac:dyDescent="0.3">
      <c r="A846">
        <v>844</v>
      </c>
      <c r="B846" s="1" t="s">
        <v>1036</v>
      </c>
      <c r="C846" t="s">
        <v>55</v>
      </c>
      <c r="D846" s="1" t="s">
        <v>1037</v>
      </c>
    </row>
    <row r="847" spans="1:4" hidden="1" x14ac:dyDescent="0.3">
      <c r="A847">
        <v>845</v>
      </c>
      <c r="B847" s="1" t="s">
        <v>1038</v>
      </c>
      <c r="C847" t="s">
        <v>52</v>
      </c>
      <c r="D847" s="1" t="s">
        <v>1039</v>
      </c>
    </row>
    <row r="848" spans="1:4" hidden="1" x14ac:dyDescent="0.3">
      <c r="A848">
        <v>846</v>
      </c>
      <c r="B848" s="1" t="s">
        <v>1040</v>
      </c>
      <c r="C848" t="s">
        <v>58</v>
      </c>
      <c r="D848" s="1" t="s">
        <v>1041</v>
      </c>
    </row>
    <row r="849" spans="1:4" hidden="1" x14ac:dyDescent="0.3">
      <c r="A849">
        <v>847</v>
      </c>
      <c r="B849" t="s">
        <v>1042</v>
      </c>
      <c r="C849" t="s">
        <v>61</v>
      </c>
      <c r="D849">
        <v>150449860.07002199</v>
      </c>
    </row>
    <row r="850" spans="1:4" hidden="1" x14ac:dyDescent="0.3">
      <c r="A850">
        <v>848</v>
      </c>
      <c r="B850" t="s">
        <v>1043</v>
      </c>
      <c r="C850" t="s">
        <v>63</v>
      </c>
      <c r="D850">
        <v>79994939.634606704</v>
      </c>
    </row>
    <row r="851" spans="1:4" hidden="1" x14ac:dyDescent="0.3">
      <c r="A851">
        <v>849</v>
      </c>
      <c r="B851" t="s">
        <v>1044</v>
      </c>
      <c r="C851" t="s">
        <v>65</v>
      </c>
      <c r="D851">
        <v>34997807.795876101</v>
      </c>
    </row>
    <row r="852" spans="1:4" hidden="1" x14ac:dyDescent="0.3">
      <c r="A852">
        <v>850</v>
      </c>
      <c r="B852" s="1" t="s">
        <v>1045</v>
      </c>
      <c r="C852" t="s">
        <v>67</v>
      </c>
      <c r="D852" s="1" t="s">
        <v>1046</v>
      </c>
    </row>
    <row r="853" spans="1:4" hidden="1" x14ac:dyDescent="0.3">
      <c r="A853">
        <v>851</v>
      </c>
      <c r="B853" s="1" t="s">
        <v>1047</v>
      </c>
      <c r="C853" t="s">
        <v>70</v>
      </c>
      <c r="D853" s="1" t="s">
        <v>1048</v>
      </c>
    </row>
    <row r="854" spans="1:4" hidden="1" x14ac:dyDescent="0.3">
      <c r="A854">
        <v>852</v>
      </c>
      <c r="B854" t="s">
        <v>1049</v>
      </c>
      <c r="C854" t="s">
        <v>73</v>
      </c>
      <c r="D854">
        <v>0.99998872664833705</v>
      </c>
    </row>
    <row r="855" spans="1:4" hidden="1" x14ac:dyDescent="0.3">
      <c r="A855">
        <v>853</v>
      </c>
      <c r="B855" t="s">
        <v>74</v>
      </c>
      <c r="C855" t="s">
        <v>75</v>
      </c>
      <c r="D855">
        <v>2.7397260273972599E-3</v>
      </c>
    </row>
    <row r="856" spans="1:4" hidden="1" x14ac:dyDescent="0.3">
      <c r="A856">
        <v>854</v>
      </c>
      <c r="B856" t="s">
        <v>76</v>
      </c>
      <c r="C856" t="s">
        <v>77</v>
      </c>
      <c r="D856">
        <v>0</v>
      </c>
    </row>
    <row r="857" spans="1:4" hidden="1" x14ac:dyDescent="0.3">
      <c r="A857">
        <v>855</v>
      </c>
      <c r="B857" t="s">
        <v>268</v>
      </c>
      <c r="C857" t="s">
        <v>79</v>
      </c>
      <c r="D857" s="2">
        <v>2.2204460492503101E-16</v>
      </c>
    </row>
    <row r="858" spans="1:4" hidden="1" x14ac:dyDescent="0.3">
      <c r="A858">
        <v>856</v>
      </c>
      <c r="B858" s="1" t="s">
        <v>1050</v>
      </c>
      <c r="C858" t="s">
        <v>81</v>
      </c>
      <c r="D858" s="1" t="s">
        <v>1051</v>
      </c>
    </row>
    <row r="859" spans="1:4" hidden="1" x14ac:dyDescent="0.3">
      <c r="A859">
        <v>857</v>
      </c>
      <c r="B859" t="s">
        <v>1052</v>
      </c>
      <c r="C859" t="s">
        <v>84</v>
      </c>
      <c r="D859">
        <v>1.0000100560874801</v>
      </c>
    </row>
    <row r="860" spans="1:4" hidden="1" x14ac:dyDescent="0.3">
      <c r="A860">
        <v>858</v>
      </c>
      <c r="B860" s="1" t="s">
        <v>1053</v>
      </c>
      <c r="C860" t="s">
        <v>86</v>
      </c>
      <c r="D860" s="1" t="s">
        <v>1054</v>
      </c>
    </row>
    <row r="861" spans="1:4" hidden="1" x14ac:dyDescent="0.3">
      <c r="A861">
        <v>859</v>
      </c>
      <c r="B861" t="s">
        <v>1055</v>
      </c>
      <c r="C861" t="s">
        <v>89</v>
      </c>
      <c r="D861">
        <v>100315787.614804</v>
      </c>
    </row>
    <row r="862" spans="1:4" hidden="1" x14ac:dyDescent="0.3">
      <c r="A862">
        <v>860</v>
      </c>
      <c r="B862" s="1" t="s">
        <v>1056</v>
      </c>
      <c r="C862" t="s">
        <v>91</v>
      </c>
      <c r="D862" s="1" t="s">
        <v>1002</v>
      </c>
    </row>
    <row r="863" spans="1:4" hidden="1" x14ac:dyDescent="0.3">
      <c r="A863">
        <v>861</v>
      </c>
      <c r="B863" t="s">
        <v>1057</v>
      </c>
      <c r="C863" t="s">
        <v>94</v>
      </c>
      <c r="D863">
        <v>79994939.634606704</v>
      </c>
    </row>
    <row r="864" spans="1:4" hidden="1" x14ac:dyDescent="0.3">
      <c r="A864">
        <v>862</v>
      </c>
      <c r="B864" t="s">
        <v>1058</v>
      </c>
      <c r="C864" t="s">
        <v>96</v>
      </c>
      <c r="D864">
        <v>34997807.795876101</v>
      </c>
    </row>
    <row r="865" spans="1:4" hidden="1" x14ac:dyDescent="0.3">
      <c r="A865">
        <v>863</v>
      </c>
      <c r="B865" t="s">
        <v>1059</v>
      </c>
      <c r="C865" t="s">
        <v>98</v>
      </c>
      <c r="D865">
        <v>35457112.639540099</v>
      </c>
    </row>
    <row r="866" spans="1:4" hidden="1" x14ac:dyDescent="0.3">
      <c r="A866">
        <v>864</v>
      </c>
      <c r="B866" s="1" t="s">
        <v>1060</v>
      </c>
      <c r="C866" t="s">
        <v>100</v>
      </c>
      <c r="D866" s="1" t="s">
        <v>1061</v>
      </c>
    </row>
    <row r="867" spans="1:4" hidden="1" x14ac:dyDescent="0.3">
      <c r="A867">
        <v>865</v>
      </c>
      <c r="B867" t="s">
        <v>1062</v>
      </c>
      <c r="C867" t="s">
        <v>103</v>
      </c>
      <c r="D867">
        <v>5.9428266882313998E-3</v>
      </c>
    </row>
    <row r="868" spans="1:4" hidden="1" x14ac:dyDescent="0.3">
      <c r="A868">
        <v>866</v>
      </c>
      <c r="B868" t="s">
        <v>1063</v>
      </c>
      <c r="C868" t="s">
        <v>105</v>
      </c>
      <c r="D868">
        <v>7.5148188627005802E-4</v>
      </c>
    </row>
    <row r="869" spans="1:4" hidden="1" x14ac:dyDescent="0.3">
      <c r="A869">
        <v>867</v>
      </c>
      <c r="B869" t="s">
        <v>1064</v>
      </c>
      <c r="C869" t="s">
        <v>107</v>
      </c>
      <c r="D869">
        <v>1.1643245617416901E-2</v>
      </c>
    </row>
    <row r="870" spans="1:4" hidden="1" x14ac:dyDescent="0.3">
      <c r="A870">
        <v>868</v>
      </c>
      <c r="B870" s="1" t="s">
        <v>1065</v>
      </c>
      <c r="C870" t="s">
        <v>109</v>
      </c>
      <c r="D870" s="1" t="s">
        <v>1066</v>
      </c>
    </row>
    <row r="871" spans="1:4" hidden="1" x14ac:dyDescent="0.3">
      <c r="A871">
        <v>869</v>
      </c>
      <c r="B871" t="s">
        <v>1067</v>
      </c>
      <c r="C871" t="s">
        <v>197</v>
      </c>
      <c r="D871">
        <v>150450596.576386</v>
      </c>
    </row>
    <row r="872" spans="1:4" hidden="1" x14ac:dyDescent="0.3">
      <c r="A872">
        <v>870</v>
      </c>
      <c r="B872" t="s">
        <v>1068</v>
      </c>
      <c r="C872" t="s">
        <v>199</v>
      </c>
      <c r="D872">
        <v>-1706.27856549382</v>
      </c>
    </row>
    <row r="873" spans="1:4" hidden="1" x14ac:dyDescent="0.3">
      <c r="A873">
        <v>871</v>
      </c>
      <c r="B873" t="s">
        <v>1069</v>
      </c>
      <c r="C873" t="s">
        <v>201</v>
      </c>
      <c r="D873">
        <v>-746.493840958909</v>
      </c>
    </row>
    <row r="874" spans="1:4" hidden="1" x14ac:dyDescent="0.3">
      <c r="A874">
        <v>872</v>
      </c>
      <c r="B874" s="1" t="s">
        <v>1070</v>
      </c>
      <c r="C874" t="s">
        <v>203</v>
      </c>
      <c r="D874" s="1" t="s">
        <v>1071</v>
      </c>
    </row>
    <row r="875" spans="1:4" hidden="1" x14ac:dyDescent="0.3">
      <c r="A875">
        <v>873</v>
      </c>
      <c r="B875" t="s">
        <v>1072</v>
      </c>
      <c r="C875" t="s">
        <v>206</v>
      </c>
      <c r="D875">
        <v>79997214.752290204</v>
      </c>
    </row>
    <row r="876" spans="1:4" hidden="1" x14ac:dyDescent="0.3">
      <c r="A876">
        <v>874</v>
      </c>
      <c r="B876" t="s">
        <v>1073</v>
      </c>
      <c r="C876" t="s">
        <v>208</v>
      </c>
      <c r="D876">
        <v>34998639.327786803</v>
      </c>
    </row>
    <row r="877" spans="1:4" hidden="1" x14ac:dyDescent="0.3">
      <c r="A877">
        <v>875</v>
      </c>
      <c r="B877" t="s">
        <v>1074</v>
      </c>
      <c r="C877" t="s">
        <v>210</v>
      </c>
      <c r="D877">
        <v>35457951.559330702</v>
      </c>
    </row>
    <row r="878" spans="1:4" hidden="1" x14ac:dyDescent="0.3">
      <c r="A878">
        <v>876</v>
      </c>
      <c r="B878" s="1" t="s">
        <v>1075</v>
      </c>
      <c r="C878" t="s">
        <v>212</v>
      </c>
      <c r="D878" s="1" t="s">
        <v>1076</v>
      </c>
    </row>
    <row r="879" spans="1:4" hidden="1" x14ac:dyDescent="0.3">
      <c r="A879">
        <v>877</v>
      </c>
      <c r="B879" t="s">
        <v>1077</v>
      </c>
      <c r="C879" t="s">
        <v>215</v>
      </c>
      <c r="D879">
        <v>100317927.318413</v>
      </c>
    </row>
    <row r="880" spans="1:4" hidden="1" x14ac:dyDescent="0.3">
      <c r="A880">
        <v>878</v>
      </c>
      <c r="B880" t="s">
        <v>1078</v>
      </c>
      <c r="C880" t="s">
        <v>217</v>
      </c>
      <c r="D880">
        <v>-2139.70360903441</v>
      </c>
    </row>
    <row r="881" spans="1:4" hidden="1" x14ac:dyDescent="0.3">
      <c r="A881">
        <v>879</v>
      </c>
      <c r="B881" s="1" t="s">
        <v>1079</v>
      </c>
      <c r="C881" t="s">
        <v>219</v>
      </c>
      <c r="D881" s="1" t="s">
        <v>1080</v>
      </c>
    </row>
    <row r="882" spans="1:4" hidden="1" x14ac:dyDescent="0.3">
      <c r="A882">
        <v>880</v>
      </c>
      <c r="B882" t="s">
        <v>1081</v>
      </c>
      <c r="C882" t="s">
        <v>112</v>
      </c>
      <c r="D882">
        <v>568.83911807382697</v>
      </c>
    </row>
    <row r="883" spans="1:4" hidden="1" x14ac:dyDescent="0.3">
      <c r="A883">
        <v>881</v>
      </c>
      <c r="B883" t="s">
        <v>1082</v>
      </c>
      <c r="C883" t="s">
        <v>114</v>
      </c>
      <c r="D883">
        <v>85.038069795501698</v>
      </c>
    </row>
    <row r="884" spans="1:4" hidden="1" x14ac:dyDescent="0.3">
      <c r="A884">
        <v>882</v>
      </c>
      <c r="B884" s="1" t="s">
        <v>1083</v>
      </c>
      <c r="C884" t="s">
        <v>116</v>
      </c>
      <c r="D884" s="1" t="s">
        <v>1084</v>
      </c>
    </row>
    <row r="885" spans="1:4" hidden="1" x14ac:dyDescent="0.3">
      <c r="A885">
        <v>883</v>
      </c>
      <c r="B885" t="s">
        <v>1085</v>
      </c>
      <c r="C885" t="s">
        <v>119</v>
      </c>
      <c r="D885">
        <v>79997214.752290204</v>
      </c>
    </row>
    <row r="886" spans="1:4" hidden="1" x14ac:dyDescent="0.3">
      <c r="A886">
        <v>884</v>
      </c>
      <c r="B886" t="s">
        <v>1086</v>
      </c>
      <c r="C886" t="s">
        <v>121</v>
      </c>
      <c r="D886">
        <v>34998639.327786803</v>
      </c>
    </row>
    <row r="887" spans="1:4" hidden="1" x14ac:dyDescent="0.3">
      <c r="A887">
        <v>885</v>
      </c>
      <c r="B887" s="1" t="s">
        <v>1087</v>
      </c>
      <c r="C887" t="s">
        <v>123</v>
      </c>
      <c r="D887" s="1" t="s">
        <v>1088</v>
      </c>
    </row>
    <row r="888" spans="1:4" hidden="1" x14ac:dyDescent="0.3">
      <c r="A888">
        <v>886</v>
      </c>
      <c r="B888" t="s">
        <v>1089</v>
      </c>
      <c r="C888" t="s">
        <v>126</v>
      </c>
      <c r="D888">
        <v>0.79742885882677195</v>
      </c>
    </row>
    <row r="889" spans="1:4" hidden="1" x14ac:dyDescent="0.3">
      <c r="A889">
        <v>887</v>
      </c>
      <c r="B889" t="s">
        <v>1090</v>
      </c>
      <c r="C889" t="s">
        <v>128</v>
      </c>
      <c r="D889">
        <v>0.34887370899182202</v>
      </c>
    </row>
    <row r="890" spans="1:4" hidden="1" x14ac:dyDescent="0.3">
      <c r="A890">
        <v>888</v>
      </c>
      <c r="B890" s="1" t="s">
        <v>1091</v>
      </c>
      <c r="C890" t="s">
        <v>130</v>
      </c>
      <c r="D890" s="1" t="s">
        <v>1092</v>
      </c>
    </row>
    <row r="891" spans="1:4" ht="72" x14ac:dyDescent="0.3">
      <c r="A891">
        <v>889</v>
      </c>
      <c r="B891" s="1" t="s">
        <v>3</v>
      </c>
      <c r="C891" t="s">
        <v>4</v>
      </c>
      <c r="D891" t="s">
        <v>5</v>
      </c>
    </row>
    <row r="892" spans="1:4" hidden="1" x14ac:dyDescent="0.3">
      <c r="A892">
        <v>890</v>
      </c>
      <c r="B892" t="s">
        <v>6</v>
      </c>
      <c r="C892" t="s">
        <v>7</v>
      </c>
      <c r="D892">
        <v>1199.98</v>
      </c>
    </row>
    <row r="893" spans="1:4" hidden="1" x14ac:dyDescent="0.3">
      <c r="A893">
        <v>891</v>
      </c>
      <c r="B893" s="1" t="s">
        <v>132</v>
      </c>
      <c r="C893" t="s">
        <v>9</v>
      </c>
      <c r="D893" s="1" t="s">
        <v>133</v>
      </c>
    </row>
    <row r="894" spans="1:4" hidden="1" x14ac:dyDescent="0.3">
      <c r="A894">
        <v>892</v>
      </c>
      <c r="B894" t="s">
        <v>13</v>
      </c>
      <c r="C894" t="s">
        <v>14</v>
      </c>
      <c r="D894">
        <v>97.91796875</v>
      </c>
    </row>
    <row r="895" spans="1:4" hidden="1" x14ac:dyDescent="0.3">
      <c r="A895">
        <v>893</v>
      </c>
      <c r="B895" t="s">
        <v>15</v>
      </c>
      <c r="C895" t="s">
        <v>16</v>
      </c>
      <c r="D895">
        <v>4.2752882005853001</v>
      </c>
    </row>
    <row r="896" spans="1:4" hidden="1" x14ac:dyDescent="0.3">
      <c r="A896">
        <v>894</v>
      </c>
      <c r="B896" s="1" t="s">
        <v>134</v>
      </c>
      <c r="C896" t="s">
        <v>135</v>
      </c>
      <c r="D896" s="1" t="s">
        <v>136</v>
      </c>
    </row>
    <row r="897" spans="1:4" hidden="1" x14ac:dyDescent="0.3">
      <c r="A897">
        <v>895</v>
      </c>
      <c r="B897" t="s">
        <v>21</v>
      </c>
      <c r="C897" t="s">
        <v>22</v>
      </c>
      <c r="D897">
        <v>77.95</v>
      </c>
    </row>
    <row r="898" spans="1:4" hidden="1" x14ac:dyDescent="0.3">
      <c r="A898">
        <v>896</v>
      </c>
      <c r="B898" t="s">
        <v>1093</v>
      </c>
      <c r="C898" t="s">
        <v>24</v>
      </c>
      <c r="D898">
        <v>4.8975192135241201</v>
      </c>
    </row>
    <row r="899" spans="1:4" hidden="1" x14ac:dyDescent="0.3">
      <c r="A899">
        <v>897</v>
      </c>
      <c r="B899" s="1" t="s">
        <v>1094</v>
      </c>
      <c r="C899" t="s">
        <v>139</v>
      </c>
      <c r="D899" s="1" t="s">
        <v>1095</v>
      </c>
    </row>
    <row r="900" spans="1:4" hidden="1" x14ac:dyDescent="0.3">
      <c r="A900">
        <v>898</v>
      </c>
      <c r="B900" t="s">
        <v>1096</v>
      </c>
      <c r="C900" t="s">
        <v>35</v>
      </c>
      <c r="D900">
        <v>0.16192439663341601</v>
      </c>
    </row>
    <row r="901" spans="1:4" hidden="1" x14ac:dyDescent="0.3">
      <c r="A901">
        <v>899</v>
      </c>
      <c r="B901" t="s">
        <v>1097</v>
      </c>
      <c r="C901" t="s">
        <v>143</v>
      </c>
      <c r="D901">
        <v>0.76583910363003704</v>
      </c>
    </row>
    <row r="902" spans="1:4" hidden="1" x14ac:dyDescent="0.3">
      <c r="A902">
        <v>900</v>
      </c>
      <c r="B902" s="1" t="s">
        <v>1098</v>
      </c>
      <c r="C902" t="s">
        <v>145</v>
      </c>
      <c r="D902" s="1" t="s">
        <v>1099</v>
      </c>
    </row>
    <row r="903" spans="1:4" hidden="1" x14ac:dyDescent="0.3">
      <c r="A903">
        <v>901</v>
      </c>
      <c r="B903" t="s">
        <v>1100</v>
      </c>
      <c r="C903" t="s">
        <v>30</v>
      </c>
      <c r="D903">
        <v>0.380568161655229</v>
      </c>
    </row>
    <row r="904" spans="1:4" hidden="1" x14ac:dyDescent="0.3">
      <c r="A904">
        <v>902</v>
      </c>
      <c r="B904" t="s">
        <v>1101</v>
      </c>
      <c r="C904" t="s">
        <v>32</v>
      </c>
      <c r="D904">
        <v>0.14520024689644501</v>
      </c>
    </row>
    <row r="905" spans="1:4" hidden="1" x14ac:dyDescent="0.3">
      <c r="A905">
        <v>903</v>
      </c>
      <c r="B905" s="1" t="s">
        <v>1102</v>
      </c>
      <c r="C905" t="s">
        <v>149</v>
      </c>
      <c r="D905" s="1" t="s">
        <v>1103</v>
      </c>
    </row>
    <row r="906" spans="1:4" hidden="1" x14ac:dyDescent="0.3">
      <c r="A906">
        <v>904</v>
      </c>
      <c r="B906" t="s">
        <v>1104</v>
      </c>
      <c r="C906" t="s">
        <v>40</v>
      </c>
      <c r="D906">
        <v>0.45750744171135399</v>
      </c>
    </row>
    <row r="907" spans="1:4" hidden="1" x14ac:dyDescent="0.3">
      <c r="A907">
        <v>905</v>
      </c>
      <c r="B907" t="s">
        <v>1105</v>
      </c>
      <c r="C907" t="s">
        <v>42</v>
      </c>
      <c r="D907">
        <v>0.16055705285496699</v>
      </c>
    </row>
    <row r="908" spans="1:4" hidden="1" x14ac:dyDescent="0.3">
      <c r="A908">
        <v>906</v>
      </c>
      <c r="B908" s="1" t="s">
        <v>1106</v>
      </c>
      <c r="C908" t="s">
        <v>153</v>
      </c>
      <c r="D908" s="1" t="s">
        <v>1107</v>
      </c>
    </row>
    <row r="909" spans="1:4" hidden="1" x14ac:dyDescent="0.3">
      <c r="A909">
        <v>907</v>
      </c>
      <c r="B909" t="s">
        <v>154</v>
      </c>
      <c r="C909" t="s">
        <v>155</v>
      </c>
      <c r="D909">
        <v>1</v>
      </c>
    </row>
    <row r="910" spans="1:4" hidden="1" x14ac:dyDescent="0.3">
      <c r="A910">
        <v>908</v>
      </c>
      <c r="B910" t="s">
        <v>156</v>
      </c>
      <c r="C910" t="s">
        <v>157</v>
      </c>
      <c r="D910">
        <v>1</v>
      </c>
    </row>
    <row r="911" spans="1:4" hidden="1" x14ac:dyDescent="0.3">
      <c r="A911">
        <v>909</v>
      </c>
      <c r="B911" s="1" t="s">
        <v>1108</v>
      </c>
      <c r="C911" t="s">
        <v>159</v>
      </c>
      <c r="D911" s="1" t="s">
        <v>1109</v>
      </c>
    </row>
    <row r="912" spans="1:4" hidden="1" x14ac:dyDescent="0.3">
      <c r="A912">
        <v>910</v>
      </c>
      <c r="B912" t="s">
        <v>1110</v>
      </c>
      <c r="C912" t="s">
        <v>162</v>
      </c>
      <c r="D912">
        <v>0.999477197910695</v>
      </c>
    </row>
    <row r="913" spans="1:4" hidden="1" x14ac:dyDescent="0.3">
      <c r="A913">
        <v>911</v>
      </c>
      <c r="B913" t="s">
        <v>1111</v>
      </c>
      <c r="C913" t="s">
        <v>164</v>
      </c>
      <c r="D913">
        <v>1.0005214677987899</v>
      </c>
    </row>
    <row r="914" spans="1:4" hidden="1" x14ac:dyDescent="0.3">
      <c r="A914">
        <v>912</v>
      </c>
      <c r="B914" s="1" t="s">
        <v>1112</v>
      </c>
      <c r="C914" t="s">
        <v>166</v>
      </c>
      <c r="D914" s="1" t="s">
        <v>1113</v>
      </c>
    </row>
    <row r="915" spans="1:4" hidden="1" x14ac:dyDescent="0.3">
      <c r="A915">
        <v>913</v>
      </c>
      <c r="B915" s="1" t="s">
        <v>1114</v>
      </c>
      <c r="C915" t="s">
        <v>55</v>
      </c>
      <c r="D915" s="1" t="s">
        <v>1115</v>
      </c>
    </row>
    <row r="916" spans="1:4" hidden="1" x14ac:dyDescent="0.3">
      <c r="A916">
        <v>914</v>
      </c>
      <c r="B916" s="1" t="s">
        <v>1116</v>
      </c>
      <c r="C916" t="s">
        <v>52</v>
      </c>
      <c r="D916" s="1" t="s">
        <v>1117</v>
      </c>
    </row>
    <row r="917" spans="1:4" hidden="1" x14ac:dyDescent="0.3">
      <c r="A917">
        <v>915</v>
      </c>
      <c r="B917" s="1" t="s">
        <v>1118</v>
      </c>
      <c r="C917" t="s">
        <v>58</v>
      </c>
      <c r="D917" s="1" t="s">
        <v>1119</v>
      </c>
    </row>
    <row r="918" spans="1:4" hidden="1" x14ac:dyDescent="0.3">
      <c r="A918">
        <v>916</v>
      </c>
      <c r="B918" t="s">
        <v>1120</v>
      </c>
      <c r="C918" t="s">
        <v>61</v>
      </c>
      <c r="D918">
        <v>150455966.354381</v>
      </c>
    </row>
    <row r="919" spans="1:4" hidden="1" x14ac:dyDescent="0.3">
      <c r="A919">
        <v>917</v>
      </c>
      <c r="B919" t="s">
        <v>1121</v>
      </c>
      <c r="C919" t="s">
        <v>63</v>
      </c>
      <c r="D919">
        <v>79997214.752290204</v>
      </c>
    </row>
    <row r="920" spans="1:4" hidden="1" x14ac:dyDescent="0.3">
      <c r="A920">
        <v>918</v>
      </c>
      <c r="B920" t="s">
        <v>1122</v>
      </c>
      <c r="C920" t="s">
        <v>65</v>
      </c>
      <c r="D920">
        <v>34998639.327786803</v>
      </c>
    </row>
    <row r="921" spans="1:4" hidden="1" x14ac:dyDescent="0.3">
      <c r="A921">
        <v>919</v>
      </c>
      <c r="B921" s="1" t="s">
        <v>1123</v>
      </c>
      <c r="C921" t="s">
        <v>67</v>
      </c>
      <c r="D921" s="1" t="s">
        <v>1124</v>
      </c>
    </row>
    <row r="922" spans="1:4" hidden="1" x14ac:dyDescent="0.3">
      <c r="A922">
        <v>920</v>
      </c>
      <c r="B922" s="1" t="s">
        <v>1125</v>
      </c>
      <c r="C922" t="s">
        <v>70</v>
      </c>
      <c r="D922" s="1" t="s">
        <v>1126</v>
      </c>
    </row>
    <row r="923" spans="1:4" hidden="1" x14ac:dyDescent="0.3">
      <c r="A923">
        <v>921</v>
      </c>
      <c r="B923" t="s">
        <v>1127</v>
      </c>
      <c r="C923" t="s">
        <v>73</v>
      </c>
      <c r="D923">
        <v>1.0000100560874801</v>
      </c>
    </row>
    <row r="924" spans="1:4" hidden="1" x14ac:dyDescent="0.3">
      <c r="A924">
        <v>922</v>
      </c>
      <c r="B924" t="s">
        <v>74</v>
      </c>
      <c r="C924" t="s">
        <v>75</v>
      </c>
      <c r="D924">
        <v>2.7397260273972599E-3</v>
      </c>
    </row>
    <row r="925" spans="1:4" hidden="1" x14ac:dyDescent="0.3">
      <c r="A925">
        <v>923</v>
      </c>
      <c r="B925" t="s">
        <v>76</v>
      </c>
      <c r="C925" t="s">
        <v>77</v>
      </c>
      <c r="D925">
        <v>0</v>
      </c>
    </row>
    <row r="926" spans="1:4" hidden="1" x14ac:dyDescent="0.3">
      <c r="A926">
        <v>924</v>
      </c>
      <c r="B926" t="s">
        <v>78</v>
      </c>
      <c r="C926" t="s">
        <v>79</v>
      </c>
      <c r="D926">
        <v>0</v>
      </c>
    </row>
    <row r="927" spans="1:4" hidden="1" x14ac:dyDescent="0.3">
      <c r="A927">
        <v>925</v>
      </c>
      <c r="B927" s="1" t="s">
        <v>1128</v>
      </c>
      <c r="C927" t="s">
        <v>81</v>
      </c>
      <c r="D927" s="1" t="s">
        <v>1129</v>
      </c>
    </row>
    <row r="928" spans="1:4" hidden="1" x14ac:dyDescent="0.3">
      <c r="A928">
        <v>926</v>
      </c>
      <c r="B928" t="s">
        <v>1130</v>
      </c>
      <c r="C928" t="s">
        <v>84</v>
      </c>
      <c r="D928">
        <v>0.99998568616251104</v>
      </c>
    </row>
    <row r="929" spans="1:4" hidden="1" x14ac:dyDescent="0.3">
      <c r="A929">
        <v>927</v>
      </c>
      <c r="B929" s="1" t="s">
        <v>1131</v>
      </c>
      <c r="C929" t="s">
        <v>86</v>
      </c>
      <c r="D929" s="1" t="s">
        <v>1132</v>
      </c>
    </row>
    <row r="930" spans="1:4" hidden="1" x14ac:dyDescent="0.3">
      <c r="A930">
        <v>928</v>
      </c>
      <c r="B930" t="s">
        <v>1133</v>
      </c>
      <c r="C930" t="s">
        <v>89</v>
      </c>
      <c r="D930">
        <v>100318232.338016</v>
      </c>
    </row>
    <row r="931" spans="1:4" hidden="1" x14ac:dyDescent="0.3">
      <c r="A931">
        <v>929</v>
      </c>
      <c r="B931" s="1" t="s">
        <v>1134</v>
      </c>
      <c r="C931" t="s">
        <v>91</v>
      </c>
      <c r="D931" s="1" t="s">
        <v>1080</v>
      </c>
    </row>
    <row r="932" spans="1:4" hidden="1" x14ac:dyDescent="0.3">
      <c r="A932">
        <v>930</v>
      </c>
      <c r="B932" t="s">
        <v>1135</v>
      </c>
      <c r="C932" t="s">
        <v>94</v>
      </c>
      <c r="D932">
        <v>79997214.752290204</v>
      </c>
    </row>
    <row r="933" spans="1:4" hidden="1" x14ac:dyDescent="0.3">
      <c r="A933">
        <v>931</v>
      </c>
      <c r="B933" t="s">
        <v>1136</v>
      </c>
      <c r="C933" t="s">
        <v>96</v>
      </c>
      <c r="D933">
        <v>34998639.327786803</v>
      </c>
    </row>
    <row r="934" spans="1:4" hidden="1" x14ac:dyDescent="0.3">
      <c r="A934">
        <v>932</v>
      </c>
      <c r="B934" t="s">
        <v>1137</v>
      </c>
      <c r="C934" t="s">
        <v>98</v>
      </c>
      <c r="D934">
        <v>35460112.274304099</v>
      </c>
    </row>
    <row r="935" spans="1:4" hidden="1" x14ac:dyDescent="0.3">
      <c r="A935">
        <v>933</v>
      </c>
      <c r="B935" s="1" t="s">
        <v>1138</v>
      </c>
      <c r="C935" t="s">
        <v>100</v>
      </c>
      <c r="D935" s="1" t="s">
        <v>1139</v>
      </c>
    </row>
    <row r="936" spans="1:4" hidden="1" x14ac:dyDescent="0.3">
      <c r="A936">
        <v>934</v>
      </c>
      <c r="B936" t="s">
        <v>1140</v>
      </c>
      <c r="C936" t="s">
        <v>103</v>
      </c>
      <c r="D936">
        <v>5.922035740617E-3</v>
      </c>
    </row>
    <row r="937" spans="1:4" hidden="1" x14ac:dyDescent="0.3">
      <c r="A937">
        <v>935</v>
      </c>
      <c r="B937" t="s">
        <v>1141</v>
      </c>
      <c r="C937" t="s">
        <v>105</v>
      </c>
      <c r="D937">
        <v>7.5425046513577596E-4</v>
      </c>
    </row>
    <row r="938" spans="1:4" hidden="1" x14ac:dyDescent="0.3">
      <c r="A938">
        <v>936</v>
      </c>
      <c r="B938" t="s">
        <v>1142</v>
      </c>
      <c r="C938" t="s">
        <v>107</v>
      </c>
      <c r="D938">
        <v>1.16116694215405E-2</v>
      </c>
    </row>
    <row r="939" spans="1:4" hidden="1" x14ac:dyDescent="0.3">
      <c r="A939">
        <v>937</v>
      </c>
      <c r="B939" s="1" t="s">
        <v>1143</v>
      </c>
      <c r="C939" t="s">
        <v>109</v>
      </c>
      <c r="D939" s="1" t="s">
        <v>1144</v>
      </c>
    </row>
    <row r="940" spans="1:4" hidden="1" x14ac:dyDescent="0.3">
      <c r="A940">
        <v>938</v>
      </c>
      <c r="B940" t="s">
        <v>1145</v>
      </c>
      <c r="C940" t="s">
        <v>197</v>
      </c>
      <c r="D940">
        <v>150455125.11872</v>
      </c>
    </row>
    <row r="941" spans="1:4" hidden="1" x14ac:dyDescent="0.3">
      <c r="A941">
        <v>939</v>
      </c>
      <c r="B941" t="s">
        <v>1146</v>
      </c>
      <c r="C941" t="s">
        <v>199</v>
      </c>
      <c r="D941">
        <v>1949.49155761304</v>
      </c>
    </row>
    <row r="942" spans="1:4" hidden="1" x14ac:dyDescent="0.3">
      <c r="A942">
        <v>940</v>
      </c>
      <c r="B942" t="s">
        <v>1147</v>
      </c>
      <c r="C942" t="s">
        <v>201</v>
      </c>
      <c r="D942">
        <v>852.90340339117699</v>
      </c>
    </row>
    <row r="943" spans="1:4" hidden="1" x14ac:dyDescent="0.3">
      <c r="A943">
        <v>941</v>
      </c>
      <c r="B943" s="1" t="s">
        <v>1148</v>
      </c>
      <c r="C943" t="s">
        <v>203</v>
      </c>
      <c r="D943" s="1" t="s">
        <v>1149</v>
      </c>
    </row>
    <row r="944" spans="1:4" hidden="1" x14ac:dyDescent="0.3">
      <c r="A944">
        <v>942</v>
      </c>
      <c r="B944" t="s">
        <v>1150</v>
      </c>
      <c r="C944" t="s">
        <v>206</v>
      </c>
      <c r="D944">
        <v>79994651.399437398</v>
      </c>
    </row>
    <row r="945" spans="1:4" hidden="1" x14ac:dyDescent="0.3">
      <c r="A945">
        <v>943</v>
      </c>
      <c r="B945" t="s">
        <v>1151</v>
      </c>
      <c r="C945" t="s">
        <v>208</v>
      </c>
      <c r="D945">
        <v>34997694.7400629</v>
      </c>
    </row>
    <row r="946" spans="1:4" hidden="1" x14ac:dyDescent="0.3">
      <c r="A946">
        <v>944</v>
      </c>
      <c r="B946" t="s">
        <v>1152</v>
      </c>
      <c r="C946" t="s">
        <v>210</v>
      </c>
      <c r="D946">
        <v>35459112.435980298</v>
      </c>
    </row>
    <row r="947" spans="1:4" hidden="1" x14ac:dyDescent="0.3">
      <c r="A947">
        <v>945</v>
      </c>
      <c r="B947" s="1" t="s">
        <v>1153</v>
      </c>
      <c r="C947" t="s">
        <v>212</v>
      </c>
      <c r="D947" s="1" t="s">
        <v>1154</v>
      </c>
    </row>
    <row r="948" spans="1:4" hidden="1" x14ac:dyDescent="0.3">
      <c r="A948">
        <v>946</v>
      </c>
      <c r="B948" t="s">
        <v>1155</v>
      </c>
      <c r="C948" t="s">
        <v>215</v>
      </c>
      <c r="D948">
        <v>100315787.614804</v>
      </c>
    </row>
    <row r="949" spans="1:4" hidden="1" x14ac:dyDescent="0.3">
      <c r="A949">
        <v>947</v>
      </c>
      <c r="B949" t="s">
        <v>1156</v>
      </c>
      <c r="C949" t="s">
        <v>217</v>
      </c>
      <c r="D949">
        <v>2444.7232112288398</v>
      </c>
    </row>
    <row r="950" spans="1:4" hidden="1" x14ac:dyDescent="0.3">
      <c r="A950">
        <v>948</v>
      </c>
      <c r="B950" s="1" t="s">
        <v>1157</v>
      </c>
      <c r="C950" t="s">
        <v>219</v>
      </c>
      <c r="D950" s="1" t="s">
        <v>1158</v>
      </c>
    </row>
    <row r="951" spans="1:4" hidden="1" x14ac:dyDescent="0.3">
      <c r="A951">
        <v>949</v>
      </c>
      <c r="B951" t="s">
        <v>1159</v>
      </c>
      <c r="C951" t="s">
        <v>112</v>
      </c>
      <c r="D951">
        <v>-613.86129521129897</v>
      </c>
    </row>
    <row r="952" spans="1:4" hidden="1" x14ac:dyDescent="0.3">
      <c r="A952">
        <v>950</v>
      </c>
      <c r="B952" t="s">
        <v>1160</v>
      </c>
      <c r="C952" t="s">
        <v>114</v>
      </c>
      <c r="D952">
        <v>-91.684320535547997</v>
      </c>
    </row>
    <row r="953" spans="1:4" hidden="1" x14ac:dyDescent="0.3">
      <c r="A953">
        <v>951</v>
      </c>
      <c r="B953" s="1" t="s">
        <v>1161</v>
      </c>
      <c r="C953" t="s">
        <v>116</v>
      </c>
      <c r="D953" s="1" t="s">
        <v>1162</v>
      </c>
    </row>
    <row r="954" spans="1:4" hidden="1" x14ac:dyDescent="0.3">
      <c r="A954">
        <v>952</v>
      </c>
      <c r="B954" t="s">
        <v>1163</v>
      </c>
      <c r="C954" t="s">
        <v>119</v>
      </c>
      <c r="D954">
        <v>79994651.399437398</v>
      </c>
    </row>
    <row r="955" spans="1:4" hidden="1" x14ac:dyDescent="0.3">
      <c r="A955">
        <v>953</v>
      </c>
      <c r="B955" t="s">
        <v>1164</v>
      </c>
      <c r="C955" t="s">
        <v>121</v>
      </c>
      <c r="D955">
        <v>34997694.7400629</v>
      </c>
    </row>
    <row r="956" spans="1:4" hidden="1" x14ac:dyDescent="0.3">
      <c r="A956">
        <v>954</v>
      </c>
      <c r="B956" s="1" t="s">
        <v>1165</v>
      </c>
      <c r="C956" t="s">
        <v>123</v>
      </c>
      <c r="D956" s="1" t="s">
        <v>1166</v>
      </c>
    </row>
    <row r="957" spans="1:4" hidden="1" x14ac:dyDescent="0.3">
      <c r="A957">
        <v>955</v>
      </c>
      <c r="B957" t="s">
        <v>1167</v>
      </c>
      <c r="C957" t="s">
        <v>126</v>
      </c>
      <c r="D957">
        <v>0.797439748501377</v>
      </c>
    </row>
    <row r="958" spans="1:4" hidden="1" x14ac:dyDescent="0.3">
      <c r="A958">
        <v>956</v>
      </c>
      <c r="B958" t="s">
        <v>1168</v>
      </c>
      <c r="C958" t="s">
        <v>128</v>
      </c>
      <c r="D958">
        <v>0.34888023640840599</v>
      </c>
    </row>
    <row r="959" spans="1:4" hidden="1" x14ac:dyDescent="0.3">
      <c r="A959">
        <v>957</v>
      </c>
      <c r="B959" s="1" t="s">
        <v>1169</v>
      </c>
      <c r="C959" t="s">
        <v>130</v>
      </c>
      <c r="D959" s="1" t="s">
        <v>1170</v>
      </c>
    </row>
    <row r="960" spans="1:4" ht="72" x14ac:dyDescent="0.3">
      <c r="A960">
        <v>958</v>
      </c>
      <c r="B960" s="1" t="s">
        <v>3</v>
      </c>
      <c r="C960" t="s">
        <v>4</v>
      </c>
      <c r="D960" t="s">
        <v>5</v>
      </c>
    </row>
    <row r="961" spans="1:4" hidden="1" x14ac:dyDescent="0.3">
      <c r="A961">
        <v>959</v>
      </c>
      <c r="B961" t="s">
        <v>6</v>
      </c>
      <c r="C961" t="s">
        <v>7</v>
      </c>
      <c r="D961">
        <v>1199.98</v>
      </c>
    </row>
    <row r="962" spans="1:4" hidden="1" x14ac:dyDescent="0.3">
      <c r="A962">
        <v>960</v>
      </c>
      <c r="B962" s="1" t="s">
        <v>132</v>
      </c>
      <c r="C962" t="s">
        <v>9</v>
      </c>
      <c r="D962" s="1" t="s">
        <v>133</v>
      </c>
    </row>
    <row r="963" spans="1:4" hidden="1" x14ac:dyDescent="0.3">
      <c r="A963">
        <v>961</v>
      </c>
      <c r="B963" t="s">
        <v>13</v>
      </c>
      <c r="C963" t="s">
        <v>14</v>
      </c>
      <c r="D963">
        <v>97.91796875</v>
      </c>
    </row>
    <row r="964" spans="1:4" hidden="1" x14ac:dyDescent="0.3">
      <c r="A964">
        <v>962</v>
      </c>
      <c r="B964" t="s">
        <v>15</v>
      </c>
      <c r="C964" t="s">
        <v>16</v>
      </c>
      <c r="D964">
        <v>4.2752882005853001</v>
      </c>
    </row>
    <row r="965" spans="1:4" hidden="1" x14ac:dyDescent="0.3">
      <c r="A965">
        <v>963</v>
      </c>
      <c r="B965" s="1" t="s">
        <v>134</v>
      </c>
      <c r="C965" t="s">
        <v>135</v>
      </c>
      <c r="D965" s="1" t="s">
        <v>136</v>
      </c>
    </row>
    <row r="966" spans="1:4" hidden="1" x14ac:dyDescent="0.3">
      <c r="A966">
        <v>964</v>
      </c>
      <c r="B966" t="s">
        <v>21</v>
      </c>
      <c r="C966" t="s">
        <v>22</v>
      </c>
      <c r="D966">
        <v>77.95</v>
      </c>
    </row>
    <row r="967" spans="1:4" hidden="1" x14ac:dyDescent="0.3">
      <c r="A967">
        <v>965</v>
      </c>
      <c r="B967" t="s">
        <v>1171</v>
      </c>
      <c r="C967" t="s">
        <v>24</v>
      </c>
      <c r="D967">
        <v>4.8874777908553204</v>
      </c>
    </row>
    <row r="968" spans="1:4" hidden="1" x14ac:dyDescent="0.3">
      <c r="A968">
        <v>966</v>
      </c>
      <c r="B968" s="1" t="s">
        <v>1172</v>
      </c>
      <c r="C968" t="s">
        <v>139</v>
      </c>
      <c r="D968" s="1" t="s">
        <v>1173</v>
      </c>
    </row>
    <row r="969" spans="1:4" hidden="1" x14ac:dyDescent="0.3">
      <c r="A969">
        <v>967</v>
      </c>
      <c r="B969" t="s">
        <v>1174</v>
      </c>
      <c r="C969" t="s">
        <v>35</v>
      </c>
      <c r="D969">
        <v>0.160940015043774</v>
      </c>
    </row>
    <row r="970" spans="1:4" hidden="1" x14ac:dyDescent="0.3">
      <c r="A970">
        <v>968</v>
      </c>
      <c r="B970" t="s">
        <v>1175</v>
      </c>
      <c r="C970" t="s">
        <v>143</v>
      </c>
      <c r="D970">
        <v>0.76516676535490402</v>
      </c>
    </row>
    <row r="971" spans="1:4" hidden="1" x14ac:dyDescent="0.3">
      <c r="A971">
        <v>969</v>
      </c>
      <c r="B971" s="1" t="s">
        <v>1176</v>
      </c>
      <c r="C971" t="s">
        <v>145</v>
      </c>
      <c r="D971" s="1" t="s">
        <v>1177</v>
      </c>
    </row>
    <row r="972" spans="1:4" hidden="1" x14ac:dyDescent="0.3">
      <c r="A972">
        <v>970</v>
      </c>
      <c r="B972" t="s">
        <v>1178</v>
      </c>
      <c r="C972" t="s">
        <v>30</v>
      </c>
      <c r="D972">
        <v>0.378254586309412</v>
      </c>
    </row>
    <row r="973" spans="1:4" hidden="1" x14ac:dyDescent="0.3">
      <c r="A973">
        <v>971</v>
      </c>
      <c r="B973" t="s">
        <v>1179</v>
      </c>
      <c r="C973" t="s">
        <v>32</v>
      </c>
      <c r="D973">
        <v>0.14593444540755901</v>
      </c>
    </row>
    <row r="974" spans="1:4" hidden="1" x14ac:dyDescent="0.3">
      <c r="A974">
        <v>972</v>
      </c>
      <c r="B974" s="1" t="s">
        <v>1180</v>
      </c>
      <c r="C974" t="s">
        <v>149</v>
      </c>
      <c r="D974" s="1" t="s">
        <v>1181</v>
      </c>
    </row>
    <row r="975" spans="1:4" hidden="1" x14ac:dyDescent="0.3">
      <c r="A975">
        <v>973</v>
      </c>
      <c r="B975" t="s">
        <v>1182</v>
      </c>
      <c r="C975" t="s">
        <v>40</v>
      </c>
      <c r="D975">
        <v>0.46080539864681302</v>
      </c>
    </row>
    <row r="976" spans="1:4" hidden="1" x14ac:dyDescent="0.3">
      <c r="A976">
        <v>974</v>
      </c>
      <c r="B976" t="s">
        <v>1183</v>
      </c>
      <c r="C976" t="s">
        <v>42</v>
      </c>
      <c r="D976">
        <v>0.16097019979899699</v>
      </c>
    </row>
    <row r="977" spans="1:4" hidden="1" x14ac:dyDescent="0.3">
      <c r="A977">
        <v>975</v>
      </c>
      <c r="B977" s="1" t="s">
        <v>1184</v>
      </c>
      <c r="C977" t="s">
        <v>153</v>
      </c>
      <c r="D977" s="1" t="s">
        <v>1185</v>
      </c>
    </row>
    <row r="978" spans="1:4" hidden="1" x14ac:dyDescent="0.3">
      <c r="A978">
        <v>976</v>
      </c>
      <c r="B978" t="s">
        <v>154</v>
      </c>
      <c r="C978" t="s">
        <v>155</v>
      </c>
      <c r="D978">
        <v>1</v>
      </c>
    </row>
    <row r="979" spans="1:4" hidden="1" x14ac:dyDescent="0.3">
      <c r="A979">
        <v>977</v>
      </c>
      <c r="B979" t="s">
        <v>156</v>
      </c>
      <c r="C979" t="s">
        <v>157</v>
      </c>
      <c r="D979">
        <v>1</v>
      </c>
    </row>
    <row r="980" spans="1:4" hidden="1" x14ac:dyDescent="0.3">
      <c r="A980">
        <v>978</v>
      </c>
      <c r="B980" s="1" t="s">
        <v>1186</v>
      </c>
      <c r="C980" t="s">
        <v>159</v>
      </c>
      <c r="D980" s="1" t="s">
        <v>1187</v>
      </c>
    </row>
    <row r="981" spans="1:4" hidden="1" x14ac:dyDescent="0.3">
      <c r="A981">
        <v>979</v>
      </c>
      <c r="B981" t="s">
        <v>1188</v>
      </c>
      <c r="C981" t="s">
        <v>162</v>
      </c>
      <c r="D981">
        <v>0.99961925281088604</v>
      </c>
    </row>
    <row r="982" spans="1:4" hidden="1" x14ac:dyDescent="0.3">
      <c r="A982">
        <v>980</v>
      </c>
      <c r="B982" t="s">
        <v>1189</v>
      </c>
      <c r="C982" t="s">
        <v>164</v>
      </c>
      <c r="D982">
        <v>1.0006411092846801</v>
      </c>
    </row>
    <row r="983" spans="1:4" hidden="1" x14ac:dyDescent="0.3">
      <c r="A983">
        <v>981</v>
      </c>
      <c r="B983" s="1" t="s">
        <v>1190</v>
      </c>
      <c r="C983" t="s">
        <v>166</v>
      </c>
      <c r="D983" s="1" t="s">
        <v>1191</v>
      </c>
    </row>
    <row r="984" spans="1:4" hidden="1" x14ac:dyDescent="0.3">
      <c r="A984">
        <v>982</v>
      </c>
      <c r="B984" s="1" t="s">
        <v>1192</v>
      </c>
      <c r="C984" t="s">
        <v>55</v>
      </c>
      <c r="D984" s="1" t="s">
        <v>1193</v>
      </c>
    </row>
    <row r="985" spans="1:4" hidden="1" x14ac:dyDescent="0.3">
      <c r="A985">
        <v>983</v>
      </c>
      <c r="B985" s="1" t="s">
        <v>1194</v>
      </c>
      <c r="C985" t="s">
        <v>52</v>
      </c>
      <c r="D985" s="1" t="s">
        <v>1195</v>
      </c>
    </row>
    <row r="986" spans="1:4" hidden="1" x14ac:dyDescent="0.3">
      <c r="A986">
        <v>984</v>
      </c>
      <c r="B986" s="1" t="s">
        <v>1196</v>
      </c>
      <c r="C986" t="s">
        <v>58</v>
      </c>
      <c r="D986" s="1" t="s">
        <v>1197</v>
      </c>
    </row>
    <row r="987" spans="1:4" hidden="1" x14ac:dyDescent="0.3">
      <c r="A987">
        <v>985</v>
      </c>
      <c r="B987" t="s">
        <v>1198</v>
      </c>
      <c r="C987" t="s">
        <v>61</v>
      </c>
      <c r="D987">
        <v>150447160.801222</v>
      </c>
    </row>
    <row r="988" spans="1:4" hidden="1" x14ac:dyDescent="0.3">
      <c r="A988">
        <v>986</v>
      </c>
      <c r="B988" t="s">
        <v>1199</v>
      </c>
      <c r="C988" t="s">
        <v>63</v>
      </c>
      <c r="D988">
        <v>79994651.399437398</v>
      </c>
    </row>
    <row r="989" spans="1:4" hidden="1" x14ac:dyDescent="0.3">
      <c r="A989">
        <v>987</v>
      </c>
      <c r="B989" t="s">
        <v>1200</v>
      </c>
      <c r="C989" t="s">
        <v>65</v>
      </c>
      <c r="D989">
        <v>34997694.7400629</v>
      </c>
    </row>
    <row r="990" spans="1:4" hidden="1" x14ac:dyDescent="0.3">
      <c r="A990">
        <v>988</v>
      </c>
      <c r="B990" s="1" t="s">
        <v>1201</v>
      </c>
      <c r="C990" t="s">
        <v>67</v>
      </c>
      <c r="D990" s="1" t="s">
        <v>1202</v>
      </c>
    </row>
    <row r="991" spans="1:4" hidden="1" x14ac:dyDescent="0.3">
      <c r="A991">
        <v>989</v>
      </c>
      <c r="B991" s="1" t="s">
        <v>1203</v>
      </c>
      <c r="C991" t="s">
        <v>70</v>
      </c>
      <c r="D991" s="1" t="s">
        <v>1204</v>
      </c>
    </row>
    <row r="992" spans="1:4" hidden="1" x14ac:dyDescent="0.3">
      <c r="A992">
        <v>990</v>
      </c>
      <c r="B992" t="s">
        <v>1205</v>
      </c>
      <c r="C992" t="s">
        <v>73</v>
      </c>
      <c r="D992">
        <v>0.99998568616251104</v>
      </c>
    </row>
    <row r="993" spans="1:4" hidden="1" x14ac:dyDescent="0.3">
      <c r="A993">
        <v>991</v>
      </c>
      <c r="B993" t="s">
        <v>74</v>
      </c>
      <c r="C993" t="s">
        <v>75</v>
      </c>
      <c r="D993">
        <v>2.7397260273972599E-3</v>
      </c>
    </row>
    <row r="994" spans="1:4" hidden="1" x14ac:dyDescent="0.3">
      <c r="A994">
        <v>992</v>
      </c>
      <c r="B994" t="s">
        <v>76</v>
      </c>
      <c r="C994" t="s">
        <v>77</v>
      </c>
      <c r="D994">
        <v>0</v>
      </c>
    </row>
    <row r="995" spans="1:4" hidden="1" x14ac:dyDescent="0.3">
      <c r="A995">
        <v>993</v>
      </c>
      <c r="B995" t="s">
        <v>78</v>
      </c>
      <c r="C995" t="s">
        <v>79</v>
      </c>
      <c r="D995">
        <v>0</v>
      </c>
    </row>
    <row r="996" spans="1:4" hidden="1" x14ac:dyDescent="0.3">
      <c r="A996">
        <v>994</v>
      </c>
      <c r="B996" s="1" t="s">
        <v>1206</v>
      </c>
      <c r="C996" t="s">
        <v>81</v>
      </c>
      <c r="D996" s="1" t="s">
        <v>1207</v>
      </c>
    </row>
    <row r="997" spans="1:4" hidden="1" x14ac:dyDescent="0.3">
      <c r="A997">
        <v>995</v>
      </c>
      <c r="B997" t="s">
        <v>1208</v>
      </c>
      <c r="C997" t="s">
        <v>84</v>
      </c>
      <c r="D997">
        <v>0.99998465136820602</v>
      </c>
    </row>
    <row r="998" spans="1:4" hidden="1" x14ac:dyDescent="0.3">
      <c r="A998">
        <v>996</v>
      </c>
      <c r="B998" s="1" t="s">
        <v>1209</v>
      </c>
      <c r="C998" t="s">
        <v>86</v>
      </c>
      <c r="D998" s="1" t="s">
        <v>1210</v>
      </c>
    </row>
    <row r="999" spans="1:4" hidden="1" x14ac:dyDescent="0.3">
      <c r="A999">
        <v>997</v>
      </c>
      <c r="B999" t="s">
        <v>1211</v>
      </c>
      <c r="C999" t="s">
        <v>89</v>
      </c>
      <c r="D999">
        <v>100318336.148344</v>
      </c>
    </row>
    <row r="1000" spans="1:4" hidden="1" x14ac:dyDescent="0.3">
      <c r="A1000">
        <v>998</v>
      </c>
      <c r="B1000" s="1" t="s">
        <v>1212</v>
      </c>
      <c r="C1000" t="s">
        <v>91</v>
      </c>
      <c r="D1000" s="1" t="s">
        <v>1158</v>
      </c>
    </row>
    <row r="1001" spans="1:4" hidden="1" x14ac:dyDescent="0.3">
      <c r="A1001">
        <v>999</v>
      </c>
      <c r="B1001" t="s">
        <v>1213</v>
      </c>
      <c r="C1001" t="s">
        <v>94</v>
      </c>
      <c r="D1001">
        <v>79994651.399437398</v>
      </c>
    </row>
    <row r="1002" spans="1:4" hidden="1" x14ac:dyDescent="0.3">
      <c r="A1002">
        <v>1000</v>
      </c>
      <c r="B1002" t="s">
        <v>1214</v>
      </c>
      <c r="C1002" t="s">
        <v>96</v>
      </c>
      <c r="D1002">
        <v>34997694.7400629</v>
      </c>
    </row>
    <row r="1003" spans="1:4" hidden="1" x14ac:dyDescent="0.3">
      <c r="A1003">
        <v>1001</v>
      </c>
      <c r="B1003" t="s">
        <v>1215</v>
      </c>
      <c r="C1003" t="s">
        <v>98</v>
      </c>
      <c r="D1003">
        <v>35454814.661722101</v>
      </c>
    </row>
    <row r="1004" spans="1:4" hidden="1" x14ac:dyDescent="0.3">
      <c r="A1004">
        <v>1002</v>
      </c>
      <c r="B1004" s="1" t="s">
        <v>1216</v>
      </c>
      <c r="C1004" t="s">
        <v>100</v>
      </c>
      <c r="D1004" s="1" t="s">
        <v>1217</v>
      </c>
    </row>
    <row r="1005" spans="1:4" hidden="1" x14ac:dyDescent="0.3">
      <c r="A1005">
        <v>1003</v>
      </c>
      <c r="B1005" t="s">
        <v>1218</v>
      </c>
      <c r="C1005" t="s">
        <v>103</v>
      </c>
      <c r="D1005">
        <v>5.9292678310115098E-3</v>
      </c>
    </row>
    <row r="1006" spans="1:4" hidden="1" x14ac:dyDescent="0.3">
      <c r="A1006">
        <v>1004</v>
      </c>
      <c r="B1006" t="s">
        <v>1219</v>
      </c>
      <c r="C1006" t="s">
        <v>105</v>
      </c>
      <c r="D1006">
        <v>7.5859200420471599E-4</v>
      </c>
    </row>
    <row r="1007" spans="1:4" hidden="1" x14ac:dyDescent="0.3">
      <c r="A1007">
        <v>1005</v>
      </c>
      <c r="B1007" t="s">
        <v>1220</v>
      </c>
      <c r="C1007" t="s">
        <v>107</v>
      </c>
      <c r="D1007">
        <v>1.1674476477887099E-2</v>
      </c>
    </row>
    <row r="1008" spans="1:4" hidden="1" x14ac:dyDescent="0.3">
      <c r="A1008">
        <v>1006</v>
      </c>
      <c r="B1008" s="1" t="s">
        <v>1221</v>
      </c>
      <c r="C1008" t="s">
        <v>109</v>
      </c>
      <c r="D1008" s="1" t="s">
        <v>1222</v>
      </c>
    </row>
    <row r="1009" spans="1:4" hidden="1" x14ac:dyDescent="0.3">
      <c r="A1009">
        <v>1007</v>
      </c>
      <c r="B1009" t="s">
        <v>1223</v>
      </c>
      <c r="C1009" t="s">
        <v>197</v>
      </c>
      <c r="D1009">
        <v>150447125.07912499</v>
      </c>
    </row>
    <row r="1010" spans="1:4" hidden="1" x14ac:dyDescent="0.3">
      <c r="A1010">
        <v>1008</v>
      </c>
      <c r="B1010" t="s">
        <v>1224</v>
      </c>
      <c r="C1010" t="s">
        <v>199</v>
      </c>
      <c r="D1010">
        <v>82.779166026476005</v>
      </c>
    </row>
    <row r="1011" spans="1:4" hidden="1" x14ac:dyDescent="0.3">
      <c r="A1011">
        <v>1009</v>
      </c>
      <c r="B1011" t="s">
        <v>1225</v>
      </c>
      <c r="C1011" t="s">
        <v>201</v>
      </c>
      <c r="D1011">
        <v>36.215929328604503</v>
      </c>
    </row>
    <row r="1012" spans="1:4" hidden="1" x14ac:dyDescent="0.3">
      <c r="A1012">
        <v>1010</v>
      </c>
      <c r="B1012" s="1" t="s">
        <v>1226</v>
      </c>
      <c r="C1012" t="s">
        <v>203</v>
      </c>
      <c r="D1012" s="1" t="s">
        <v>1227</v>
      </c>
    </row>
    <row r="1013" spans="1:4" hidden="1" x14ac:dyDescent="0.3">
      <c r="A1013">
        <v>1011</v>
      </c>
      <c r="B1013" t="s">
        <v>1228</v>
      </c>
      <c r="C1013" t="s">
        <v>206</v>
      </c>
      <c r="D1013">
        <v>79994541.022036403</v>
      </c>
    </row>
    <row r="1014" spans="1:4" hidden="1" x14ac:dyDescent="0.3">
      <c r="A1014">
        <v>1012</v>
      </c>
      <c r="B1014" t="s">
        <v>1229</v>
      </c>
      <c r="C1014" t="s">
        <v>208</v>
      </c>
      <c r="D1014">
        <v>34997654.402577899</v>
      </c>
    </row>
    <row r="1015" spans="1:4" hidden="1" x14ac:dyDescent="0.3">
      <c r="A1015">
        <v>1013</v>
      </c>
      <c r="B1015" t="s">
        <v>1230</v>
      </c>
      <c r="C1015" t="s">
        <v>210</v>
      </c>
      <c r="D1015">
        <v>35454773.970453903</v>
      </c>
    </row>
    <row r="1016" spans="1:4" hidden="1" x14ac:dyDescent="0.3">
      <c r="A1016">
        <v>1014</v>
      </c>
      <c r="B1016" s="1" t="s">
        <v>1231</v>
      </c>
      <c r="C1016" t="s">
        <v>212</v>
      </c>
      <c r="D1016" s="1" t="s">
        <v>1232</v>
      </c>
    </row>
    <row r="1017" spans="1:4" hidden="1" x14ac:dyDescent="0.3">
      <c r="A1017">
        <v>1015</v>
      </c>
      <c r="B1017" t="s">
        <v>1233</v>
      </c>
      <c r="C1017" t="s">
        <v>215</v>
      </c>
      <c r="D1017">
        <v>100318232.338016</v>
      </c>
    </row>
    <row r="1018" spans="1:4" hidden="1" x14ac:dyDescent="0.3">
      <c r="A1018">
        <v>1016</v>
      </c>
      <c r="B1018" t="s">
        <v>1234</v>
      </c>
      <c r="C1018" t="s">
        <v>217</v>
      </c>
      <c r="D1018">
        <v>103.81032885611</v>
      </c>
    </row>
    <row r="1019" spans="1:4" hidden="1" x14ac:dyDescent="0.3">
      <c r="A1019">
        <v>1017</v>
      </c>
      <c r="B1019" s="1" t="s">
        <v>1235</v>
      </c>
      <c r="C1019" t="s">
        <v>219</v>
      </c>
      <c r="D1019" s="1" t="s">
        <v>1236</v>
      </c>
    </row>
    <row r="1020" spans="1:4" hidden="1" x14ac:dyDescent="0.3">
      <c r="A1020">
        <v>1018</v>
      </c>
      <c r="B1020" t="s">
        <v>1237</v>
      </c>
      <c r="C1020" t="s">
        <v>112</v>
      </c>
      <c r="D1020">
        <v>-27.5982350168089</v>
      </c>
    </row>
    <row r="1021" spans="1:4" hidden="1" x14ac:dyDescent="0.3">
      <c r="A1021">
        <v>1019</v>
      </c>
      <c r="B1021" t="s">
        <v>1238</v>
      </c>
      <c r="C1021" t="s">
        <v>114</v>
      </c>
      <c r="D1021">
        <v>-4.1215556143982202</v>
      </c>
    </row>
    <row r="1022" spans="1:4" hidden="1" x14ac:dyDescent="0.3">
      <c r="A1022">
        <v>1020</v>
      </c>
      <c r="B1022" s="1" t="s">
        <v>1239</v>
      </c>
      <c r="C1022" t="s">
        <v>116</v>
      </c>
      <c r="D1022" s="1" t="s">
        <v>1240</v>
      </c>
    </row>
    <row r="1023" spans="1:4" hidden="1" x14ac:dyDescent="0.3">
      <c r="A1023">
        <v>1021</v>
      </c>
      <c r="B1023" t="s">
        <v>1241</v>
      </c>
      <c r="C1023" t="s">
        <v>119</v>
      </c>
      <c r="D1023">
        <v>79994541.022036403</v>
      </c>
    </row>
    <row r="1024" spans="1:4" hidden="1" x14ac:dyDescent="0.3">
      <c r="A1024">
        <v>1022</v>
      </c>
      <c r="B1024" t="s">
        <v>1242</v>
      </c>
      <c r="C1024" t="s">
        <v>121</v>
      </c>
      <c r="D1024">
        <v>34997654.402577899</v>
      </c>
    </row>
    <row r="1025" spans="1:4" hidden="1" x14ac:dyDescent="0.3">
      <c r="A1025">
        <v>1023</v>
      </c>
      <c r="B1025" s="1" t="s">
        <v>1243</v>
      </c>
      <c r="C1025" t="s">
        <v>123</v>
      </c>
      <c r="D1025" s="1" t="s">
        <v>1244</v>
      </c>
    </row>
    <row r="1026" spans="1:4" hidden="1" x14ac:dyDescent="0.3">
      <c r="A1026">
        <v>1024</v>
      </c>
      <c r="B1026" t="s">
        <v>1245</v>
      </c>
      <c r="C1026" t="s">
        <v>126</v>
      </c>
      <c r="D1026">
        <v>0.79742004003915001</v>
      </c>
    </row>
    <row r="1027" spans="1:4" hidden="1" x14ac:dyDescent="0.3">
      <c r="A1027">
        <v>1025</v>
      </c>
      <c r="B1027" t="s">
        <v>1246</v>
      </c>
      <c r="C1027" t="s">
        <v>128</v>
      </c>
      <c r="D1027">
        <v>0.34887169322331801</v>
      </c>
    </row>
    <row r="1028" spans="1:4" hidden="1" x14ac:dyDescent="0.3">
      <c r="A1028">
        <v>1026</v>
      </c>
      <c r="B1028" s="1" t="s">
        <v>1247</v>
      </c>
      <c r="C1028" t="s">
        <v>130</v>
      </c>
      <c r="D1028" s="1" t="s">
        <v>1248</v>
      </c>
    </row>
  </sheetData>
  <autoFilter ref="A1:D1028" xr:uid="{5A5C2894-941F-47D5-9A76-3102C708863F}">
    <filterColumn colId="2">
      <filters>
        <filter val="date i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32FFB-BE45-4364-BC46-F571D9E691D9}">
  <dimension ref="A1:Q22"/>
  <sheetViews>
    <sheetView tabSelected="1" workbookViewId="0">
      <selection activeCell="L1" sqref="L1:Q1"/>
    </sheetView>
  </sheetViews>
  <sheetFormatPr defaultRowHeight="14.4" x14ac:dyDescent="0.3"/>
  <cols>
    <col min="2" max="2" width="10" bestFit="1" customWidth="1"/>
    <col min="13" max="15" width="12" bestFit="1" customWidth="1"/>
    <col min="16" max="16" width="9" bestFit="1" customWidth="1"/>
    <col min="17" max="17" width="11.6640625" bestFit="1" customWidth="1"/>
    <col min="18" max="19" width="9" bestFit="1" customWidth="1"/>
  </cols>
  <sheetData>
    <row r="1" spans="1:17" x14ac:dyDescent="0.3">
      <c r="A1" t="s">
        <v>2</v>
      </c>
      <c r="B1" t="s">
        <v>91</v>
      </c>
      <c r="C1" t="s">
        <v>86</v>
      </c>
      <c r="D1" t="s">
        <v>70</v>
      </c>
      <c r="E1" t="s">
        <v>197</v>
      </c>
      <c r="L1" t="s">
        <v>2</v>
      </c>
      <c r="M1" t="s">
        <v>1249</v>
      </c>
      <c r="N1" t="s">
        <v>1250</v>
      </c>
      <c r="O1" t="s">
        <v>1251</v>
      </c>
      <c r="P1" t="s">
        <v>1252</v>
      </c>
      <c r="Q1" t="s">
        <v>1253</v>
      </c>
    </row>
    <row r="2" spans="1:17" x14ac:dyDescent="0.3">
      <c r="A2" t="s">
        <v>5</v>
      </c>
      <c r="B2">
        <v>100000000</v>
      </c>
      <c r="C2">
        <v>1</v>
      </c>
      <c r="D2">
        <v>1.5046635602927301</v>
      </c>
      <c r="E2">
        <v>150466356.029273</v>
      </c>
      <c r="L2" t="s">
        <v>91</v>
      </c>
      <c r="M2">
        <v>100000000</v>
      </c>
      <c r="N2">
        <v>100320855.01249801</v>
      </c>
      <c r="O2">
        <v>100295997.7002366</v>
      </c>
      <c r="P2">
        <v>16942.477818208197</v>
      </c>
      <c r="Q2">
        <v>-33207.256523688069</v>
      </c>
    </row>
    <row r="3" spans="1:17" x14ac:dyDescent="0.3">
      <c r="A3" t="s">
        <v>5</v>
      </c>
      <c r="B3">
        <v>100311675.166998</v>
      </c>
      <c r="C3">
        <v>0.99999231248523901</v>
      </c>
      <c r="D3">
        <v>1.50002967265224</v>
      </c>
      <c r="E3">
        <v>150468306.08608299</v>
      </c>
      <c r="F3">
        <f>STDEV(B2:B3)</f>
        <v>220387.62411173471</v>
      </c>
      <c r="G3">
        <f t="shared" ref="G3:H3" si="0">STDEV(C2:C3)</f>
        <v>5.4358938179677494E-6</v>
      </c>
      <c r="H3">
        <f t="shared" si="0"/>
        <v>3.2766533738470861E-3</v>
      </c>
      <c r="I3">
        <f>STDEV(E2:E3)</f>
        <v>1378.898394044066</v>
      </c>
      <c r="L3" t="s">
        <v>86</v>
      </c>
      <c r="M3">
        <v>0.99995954367258</v>
      </c>
      <c r="N3">
        <v>1.00001115973067</v>
      </c>
      <c r="O3">
        <v>0.99998768964742746</v>
      </c>
      <c r="P3">
        <v>1.0970419831811218E-5</v>
      </c>
      <c r="Q3">
        <v>-2.1502022870349988E-5</v>
      </c>
    </row>
    <row r="4" spans="1:17" x14ac:dyDescent="0.3">
      <c r="A4" t="s">
        <v>5</v>
      </c>
      <c r="B4">
        <v>100316641.552417</v>
      </c>
      <c r="C4">
        <v>0.99996258640842595</v>
      </c>
      <c r="D4">
        <v>1.4999305800515601</v>
      </c>
      <c r="E4">
        <v>150463505.09279799</v>
      </c>
      <c r="F4">
        <f t="shared" ref="F4:F16" si="1">STDEV(B3:B4)</f>
        <v>3511.7648077582166</v>
      </c>
      <c r="G4">
        <f t="shared" ref="G4:G16" si="2">STDEV(C3:C4)</f>
        <v>2.1019510492589471E-5</v>
      </c>
      <c r="H4">
        <f t="shared" ref="H4:H16" si="3">STDEV(D3:D4)</f>
        <v>7.0069049906141133E-5</v>
      </c>
      <c r="I4">
        <f t="shared" ref="I4:I16" si="4">STDEV(E3:E4)</f>
        <v>3394.8149082548084</v>
      </c>
      <c r="L4" t="s">
        <v>70</v>
      </c>
      <c r="M4">
        <v>1.4997005302195701</v>
      </c>
      <c r="N4">
        <v>1.5046635602927301</v>
      </c>
      <c r="O4">
        <v>1.5001465469309985</v>
      </c>
      <c r="P4">
        <v>2.7355981959994167E-4</v>
      </c>
      <c r="Q4">
        <v>-5.3617724641588562E-4</v>
      </c>
    </row>
    <row r="5" spans="1:17" x14ac:dyDescent="0.3">
      <c r="A5" t="s">
        <v>5</v>
      </c>
      <c r="B5">
        <v>100313339.7938</v>
      </c>
      <c r="C5">
        <v>0.99999549962907197</v>
      </c>
      <c r="D5">
        <v>1.5000584379431601</v>
      </c>
      <c r="E5">
        <v>150475735.191654</v>
      </c>
      <c r="F5">
        <f t="shared" si="1"/>
        <v>2334.6959079209623</v>
      </c>
      <c r="G5">
        <f t="shared" si="2"/>
        <v>2.3273161509493183E-5</v>
      </c>
      <c r="H5">
        <f t="shared" si="3"/>
        <v>9.0409182178552959E-5</v>
      </c>
      <c r="I5">
        <f t="shared" si="4"/>
        <v>8647.9858356609166</v>
      </c>
      <c r="L5" t="s">
        <v>197</v>
      </c>
      <c r="M5">
        <v>150445538.28744701</v>
      </c>
      <c r="N5">
        <v>150475735.191654</v>
      </c>
      <c r="O5">
        <v>150456729.12793288</v>
      </c>
      <c r="P5">
        <v>3460.4226561375822</v>
      </c>
      <c r="Q5">
        <v>-6782.4284060296613</v>
      </c>
    </row>
    <row r="6" spans="1:17" x14ac:dyDescent="0.3">
      <c r="A6" t="s">
        <v>5</v>
      </c>
      <c r="B6">
        <v>100315676.90320399</v>
      </c>
      <c r="C6">
        <v>1.00001115973067</v>
      </c>
      <c r="D6">
        <v>1.4999298871779001</v>
      </c>
      <c r="E6">
        <v>150467746.06310201</v>
      </c>
      <c r="F6">
        <f t="shared" si="1"/>
        <v>1652.5859079415957</v>
      </c>
      <c r="G6">
        <f t="shared" si="2"/>
        <v>1.1073364034041696E-5</v>
      </c>
      <c r="H6">
        <f t="shared" si="3"/>
        <v>9.0899117842045934E-5</v>
      </c>
      <c r="I6">
        <f t="shared" si="4"/>
        <v>5649.1669748830464</v>
      </c>
    </row>
    <row r="7" spans="1:17" x14ac:dyDescent="0.3">
      <c r="A7" t="s">
        <v>5</v>
      </c>
      <c r="B7">
        <v>100316882.913256</v>
      </c>
      <c r="C7">
        <v>0.99999913759166603</v>
      </c>
      <c r="D7">
        <v>1.4998747667362</v>
      </c>
      <c r="E7">
        <v>150462469.642349</v>
      </c>
      <c r="F7">
        <f t="shared" si="1"/>
        <v>852.77788595570667</v>
      </c>
      <c r="G7">
        <f t="shared" si="2"/>
        <v>8.5009360140783046E-6</v>
      </c>
      <c r="H7">
        <f t="shared" si="3"/>
        <v>3.897603810812786E-5</v>
      </c>
      <c r="I7">
        <f t="shared" si="4"/>
        <v>3730.9928948412617</v>
      </c>
    </row>
    <row r="8" spans="1:17" x14ac:dyDescent="0.3">
      <c r="A8" t="s">
        <v>5</v>
      </c>
      <c r="B8">
        <v>100317353.683889</v>
      </c>
      <c r="C8">
        <v>0.999994444782209</v>
      </c>
      <c r="D8">
        <v>1.49982833083248</v>
      </c>
      <c r="E8">
        <v>150457593.82097</v>
      </c>
      <c r="F8">
        <f t="shared" si="1"/>
        <v>332.88510697577192</v>
      </c>
      <c r="G8">
        <f t="shared" si="2"/>
        <v>3.3183173898821085E-6</v>
      </c>
      <c r="H8">
        <f t="shared" si="3"/>
        <v>3.2835142410936965E-5</v>
      </c>
      <c r="I8">
        <f t="shared" si="4"/>
        <v>3447.7263609494216</v>
      </c>
    </row>
    <row r="9" spans="1:17" x14ac:dyDescent="0.3">
      <c r="A9" t="s">
        <v>5</v>
      </c>
      <c r="B9">
        <v>100318456.821713</v>
      </c>
      <c r="C9">
        <v>0.99998344848370702</v>
      </c>
      <c r="D9">
        <v>1.49977169695541</v>
      </c>
      <c r="E9">
        <v>150451691.22657201</v>
      </c>
      <c r="F9">
        <f t="shared" si="1"/>
        <v>780.03623593301427</v>
      </c>
      <c r="G9">
        <f t="shared" si="2"/>
        <v>7.7755572387059493E-6</v>
      </c>
      <c r="H9">
        <f t="shared" si="3"/>
        <v>4.0046198521082557E-5</v>
      </c>
      <c r="I9">
        <f t="shared" si="4"/>
        <v>4173.7645254137969</v>
      </c>
    </row>
    <row r="10" spans="1:17" x14ac:dyDescent="0.3">
      <c r="A10" t="s">
        <v>5</v>
      </c>
      <c r="B10">
        <v>100320202.979975</v>
      </c>
      <c r="C10">
        <v>0.99996604292322799</v>
      </c>
      <c r="D10">
        <v>1.4997141419742199</v>
      </c>
      <c r="E10">
        <v>150446293.83504701</v>
      </c>
      <c r="F10">
        <f t="shared" si="1"/>
        <v>1234.7203480847541</v>
      </c>
      <c r="G10">
        <f t="shared" si="2"/>
        <v>1.2307589845069325E-5</v>
      </c>
      <c r="H10">
        <f t="shared" si="3"/>
        <v>4.0697517490576005E-5</v>
      </c>
      <c r="I10">
        <f t="shared" si="4"/>
        <v>3816.5321480465368</v>
      </c>
    </row>
    <row r="11" spans="1:17" x14ac:dyDescent="0.3">
      <c r="A11" t="s">
        <v>5</v>
      </c>
      <c r="B11">
        <v>100320855.01249801</v>
      </c>
      <c r="C11">
        <v>0.99995954367258</v>
      </c>
      <c r="D11">
        <v>1.4997150870884799</v>
      </c>
      <c r="E11">
        <v>150447167.80959699</v>
      </c>
      <c r="F11">
        <f t="shared" si="1"/>
        <v>461.05661857185817</v>
      </c>
      <c r="G11">
        <f t="shared" si="2"/>
        <v>4.5956642058286824E-6</v>
      </c>
      <c r="H11">
        <f t="shared" si="3"/>
        <v>6.6829670221721315E-7</v>
      </c>
      <c r="I11">
        <f t="shared" si="4"/>
        <v>617.99333087459195</v>
      </c>
    </row>
    <row r="12" spans="1:17" x14ac:dyDescent="0.3">
      <c r="A12" t="s">
        <v>5</v>
      </c>
      <c r="B12">
        <v>100319242.734209</v>
      </c>
      <c r="C12">
        <v>0.999975614498262</v>
      </c>
      <c r="D12">
        <v>1.4997005302195701</v>
      </c>
      <c r="E12">
        <v>150445687.05987</v>
      </c>
      <c r="F12">
        <f t="shared" si="1"/>
        <v>1140.0529113153932</v>
      </c>
      <c r="G12">
        <f t="shared" si="2"/>
        <v>1.1363789819010473E-5</v>
      </c>
      <c r="H12">
        <f t="shared" si="3"/>
        <v>1.0293260718985746E-5</v>
      </c>
      <c r="I12">
        <f t="shared" si="4"/>
        <v>1047.0481731883406</v>
      </c>
    </row>
    <row r="13" spans="1:17" x14ac:dyDescent="0.3">
      <c r="A13" t="s">
        <v>5</v>
      </c>
      <c r="B13">
        <v>100317690.670357</v>
      </c>
      <c r="C13">
        <v>0.99999108560802596</v>
      </c>
      <c r="D13">
        <v>1.49970518517569</v>
      </c>
      <c r="E13">
        <v>150445538.28744701</v>
      </c>
      <c r="F13">
        <f t="shared" si="1"/>
        <v>1097.474874581774</v>
      </c>
      <c r="G13">
        <f t="shared" si="2"/>
        <v>1.0939726626580929E-5</v>
      </c>
      <c r="H13">
        <f t="shared" si="3"/>
        <v>3.2915510385059087E-6</v>
      </c>
      <c r="I13">
        <f t="shared" si="4"/>
        <v>105.19798915624793</v>
      </c>
    </row>
    <row r="14" spans="1:17" x14ac:dyDescent="0.3">
      <c r="A14" t="s">
        <v>5</v>
      </c>
      <c r="B14">
        <v>100317927.318413</v>
      </c>
      <c r="C14">
        <v>0.99998872664833705</v>
      </c>
      <c r="D14">
        <v>1.49974745476731</v>
      </c>
      <c r="E14">
        <v>150450596.576386</v>
      </c>
      <c r="F14">
        <f t="shared" si="1"/>
        <v>167.33544515254698</v>
      </c>
      <c r="G14">
        <f t="shared" si="2"/>
        <v>1.6680363925807057E-6</v>
      </c>
      <c r="H14">
        <f t="shared" si="3"/>
        <v>2.9889114872498261E-5</v>
      </c>
      <c r="I14">
        <f t="shared" si="4"/>
        <v>3576.7504099672242</v>
      </c>
    </row>
    <row r="15" spans="1:17" x14ac:dyDescent="0.3">
      <c r="A15" t="s">
        <v>5</v>
      </c>
      <c r="B15">
        <v>100315787.614804</v>
      </c>
      <c r="C15">
        <v>1.0000100560874801</v>
      </c>
      <c r="D15">
        <v>1.4998083247769001</v>
      </c>
      <c r="E15">
        <v>150455125.11872</v>
      </c>
      <c r="F15">
        <f t="shared" si="1"/>
        <v>1512.9989316564936</v>
      </c>
      <c r="G15">
        <f t="shared" si="2"/>
        <v>1.5082191056931056E-5</v>
      </c>
      <c r="H15">
        <f t="shared" si="3"/>
        <v>4.3041596552047869E-5</v>
      </c>
      <c r="I15">
        <f t="shared" si="4"/>
        <v>3202.1629932549213</v>
      </c>
    </row>
    <row r="16" spans="1:17" x14ac:dyDescent="0.3">
      <c r="A16" t="s">
        <v>5</v>
      </c>
      <c r="B16">
        <v>100318232.338016</v>
      </c>
      <c r="C16">
        <v>0.99998568616251104</v>
      </c>
      <c r="D16">
        <v>1.4997205473211299</v>
      </c>
      <c r="E16">
        <v>150447125.07912499</v>
      </c>
      <c r="F16">
        <f t="shared" si="1"/>
        <v>1728.6803613319796</v>
      </c>
      <c r="G16">
        <f t="shared" si="2"/>
        <v>1.7232139202597417E-5</v>
      </c>
      <c r="H16">
        <f t="shared" si="3"/>
        <v>6.2068034210378809E-5</v>
      </c>
      <c r="I16">
        <f t="shared" si="4"/>
        <v>5656.8822473909649</v>
      </c>
    </row>
    <row r="17" spans="1:5" x14ac:dyDescent="0.3">
      <c r="A17" t="s">
        <v>1249</v>
      </c>
      <c r="B17">
        <f>MIN($B$2:B16)</f>
        <v>100000000</v>
      </c>
      <c r="C17">
        <f>MIN($C$2:C16)</f>
        <v>0.99995954367258</v>
      </c>
      <c r="D17">
        <f>MIN($D$2:D16)</f>
        <v>1.4997005302195701</v>
      </c>
      <c r="E17">
        <f>MIN($E$2:E16)</f>
        <v>150445538.28744701</v>
      </c>
    </row>
    <row r="18" spans="1:5" x14ac:dyDescent="0.3">
      <c r="A18" t="s">
        <v>1250</v>
      </c>
      <c r="B18">
        <f>MAX($B$2:B16)</f>
        <v>100320855.01249801</v>
      </c>
      <c r="C18">
        <f>MAX($C$2:C16)</f>
        <v>1.00001115973067</v>
      </c>
      <c r="D18">
        <f>MAX($D$2:D16)</f>
        <v>1.5046635602927301</v>
      </c>
      <c r="E18">
        <f>MAX($E$2:E16)</f>
        <v>150475735.191654</v>
      </c>
    </row>
    <row r="19" spans="1:5" x14ac:dyDescent="0.3">
      <c r="A19" t="s">
        <v>1251</v>
      </c>
      <c r="B19">
        <f>AVERAGE($B$2:B16)</f>
        <v>100295997.7002366</v>
      </c>
      <c r="C19">
        <f>AVERAGE($C$2:C16)</f>
        <v>0.99998768964742746</v>
      </c>
      <c r="D19">
        <f>AVERAGE($D$2:D16)</f>
        <v>1.5001465469309985</v>
      </c>
      <c r="E19" s="3">
        <f>AVERAGE($E$2:E16)</f>
        <v>150456729.12793288</v>
      </c>
    </row>
    <row r="20" spans="1:5" x14ac:dyDescent="0.3">
      <c r="A20" t="s">
        <v>1252</v>
      </c>
      <c r="B20">
        <f>AVERAGE($F$2:F16)</f>
        <v>16942.477818208197</v>
      </c>
      <c r="C20">
        <f>AVERAGE($G$2:G16)</f>
        <v>1.0970419831811218E-5</v>
      </c>
      <c r="D20">
        <f>AVERAGE($H$2:H16)</f>
        <v>2.7355981959994167E-4</v>
      </c>
      <c r="E20" s="3">
        <f>AVERAGE($I$2:I16)</f>
        <v>3460.4226561375822</v>
      </c>
    </row>
    <row r="21" spans="1:5" x14ac:dyDescent="0.3">
      <c r="A21" t="s">
        <v>1253</v>
      </c>
      <c r="B21">
        <f>-1.96*B20</f>
        <v>-33207.256523688069</v>
      </c>
      <c r="C21">
        <f>-1.96*C20</f>
        <v>-2.1502022870349988E-5</v>
      </c>
      <c r="D21">
        <f t="shared" ref="D21:E21" si="5">-1.96*D20</f>
        <v>-5.3617724641588562E-4</v>
      </c>
      <c r="E21" s="3">
        <f t="shared" si="5"/>
        <v>-6782.4284060296613</v>
      </c>
    </row>
    <row r="22" spans="1:5" x14ac:dyDescent="0.3">
      <c r="B22">
        <f>B21/B19</f>
        <v>-3.3109253893597523E-4</v>
      </c>
      <c r="C22">
        <f>C21/C19</f>
        <v>-2.1502287571091104E-5</v>
      </c>
      <c r="D22">
        <f t="shared" ref="D22:E22" si="6">D21/D19</f>
        <v>-3.5741657874212198E-4</v>
      </c>
      <c r="E22">
        <f t="shared" si="6"/>
        <v>-4.5078930303360407E-5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test_15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u3546092@connect.hku.hk</cp:lastModifiedBy>
  <dcterms:created xsi:type="dcterms:W3CDTF">2026-02-21T11:18:58Z</dcterms:created>
  <dcterms:modified xsi:type="dcterms:W3CDTF">2026-02-21T15:05:47Z</dcterms:modified>
</cp:coreProperties>
</file>