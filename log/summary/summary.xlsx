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GitHub\GTBCPS\log\test\"/>
    </mc:Choice>
  </mc:AlternateContent>
  <xr:revisionPtr revIDLastSave="0" documentId="13_ncr:1_{B6595A0D-61A4-425C-9B36-6D04D4E8F11B}" xr6:coauthVersionLast="47" xr6:coauthVersionMax="47" xr10:uidLastSave="{00000000-0000-0000-0000-000000000000}"/>
  <bookViews>
    <workbookView xWindow="-108" yWindow="-108" windowWidth="23256" windowHeight="12456" xr2:uid="{0EAB7582-46EC-4C0A-8013-CA6761165B1D}"/>
  </bookViews>
  <sheets>
    <sheet name="Collateral value" sheetId="1" r:id="rId1"/>
    <sheet name="Collateral Ratio" sheetId="2" r:id="rId2"/>
    <sheet name="price" sheetId="3" r:id="rId3"/>
    <sheet name="market cap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D13" i="4"/>
  <c r="D13" i="2"/>
  <c r="B13" i="1"/>
</calcChain>
</file>

<file path=xl/sharedStrings.xml><?xml version="1.0" encoding="utf-8"?>
<sst xmlns="http://schemas.openxmlformats.org/spreadsheetml/2006/main" count="64" uniqueCount="16">
  <si>
    <t>3 days</t>
  </si>
  <si>
    <t>7 days</t>
  </si>
  <si>
    <t>15 days</t>
  </si>
  <si>
    <t>30 days</t>
  </si>
  <si>
    <t>90 days</t>
  </si>
  <si>
    <t>180 days</t>
  </si>
  <si>
    <t>365 days</t>
  </si>
  <si>
    <t>800 days</t>
  </si>
  <si>
    <t>1200 days</t>
  </si>
  <si>
    <t>1600 days</t>
  </si>
  <si>
    <t>Holding Days</t>
  </si>
  <si>
    <t>Max</t>
  </si>
  <si>
    <t>Min</t>
  </si>
  <si>
    <t>Average</t>
  </si>
  <si>
    <t>STDEV</t>
  </si>
  <si>
    <t>VaR (0.95)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</si>
</sst>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165" fontId="0" fillId="0" borderId="0" xfId="1" applyNumberFormat="1" applyFont="1"/>
    <xf numFmtId="164" fontId="0" fillId="0" borderId="0" xfId="0" applyNumberForma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CB61-B56A-4B44-806E-5187CCB3F947}">
  <dimension ref="A1:F13"/>
  <sheetViews>
    <sheetView tabSelected="1" workbookViewId="0">
      <selection activeCell="B6" sqref="B6:F6"/>
    </sheetView>
  </sheetViews>
  <sheetFormatPr defaultRowHeight="14.4" x14ac:dyDescent="0.3"/>
  <cols>
    <col min="2" max="4" width="14.88671875" bestFit="1" customWidth="1"/>
    <col min="5" max="5" width="11.21875" bestFit="1" customWidth="1"/>
    <col min="6" max="6" width="11.77734375" bestFit="1" customWidth="1"/>
  </cols>
  <sheetData>
    <row r="1" spans="1:6" ht="28.8" x14ac:dyDescent="0.3">
      <c r="A1" s="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0</v>
      </c>
      <c r="B2" s="2">
        <v>150000000</v>
      </c>
      <c r="C2" s="2">
        <v>149991569.12808701</v>
      </c>
      <c r="D2" s="2">
        <v>149996729.99278501</v>
      </c>
      <c r="E2" s="2">
        <v>2980.7633504938144</v>
      </c>
      <c r="F2" s="2">
        <v>-5842.2961669678762</v>
      </c>
    </row>
    <row r="3" spans="1:6" x14ac:dyDescent="0.3">
      <c r="A3" t="s">
        <v>1</v>
      </c>
      <c r="B3" s="2">
        <v>150000000</v>
      </c>
      <c r="C3" s="2">
        <v>149978172.048875</v>
      </c>
      <c r="D3" s="2">
        <v>149987120.23881787</v>
      </c>
      <c r="E3" s="2">
        <v>3296.6494309663831</v>
      </c>
      <c r="F3" s="2">
        <v>-6461.4328846941107</v>
      </c>
    </row>
    <row r="4" spans="1:6" x14ac:dyDescent="0.3">
      <c r="A4" t="s">
        <v>2</v>
      </c>
      <c r="B4" s="2">
        <v>150475735.191654</v>
      </c>
      <c r="C4" s="2">
        <v>150445538.28744701</v>
      </c>
      <c r="D4" s="2">
        <v>150456729.12793288</v>
      </c>
      <c r="E4" s="2">
        <v>3460.4226561375822</v>
      </c>
      <c r="F4" s="2">
        <v>-6782.4284060296613</v>
      </c>
    </row>
    <row r="5" spans="1:6" x14ac:dyDescent="0.3">
      <c r="A5" t="s">
        <v>3</v>
      </c>
      <c r="B5" s="2">
        <v>150038358.80288801</v>
      </c>
      <c r="C5" s="2">
        <v>149961897.482519</v>
      </c>
      <c r="D5" s="2">
        <v>149996302.567431</v>
      </c>
      <c r="E5" s="2">
        <v>5867.5992799985224</v>
      </c>
      <c r="F5" s="2">
        <v>-11500.494588797104</v>
      </c>
    </row>
    <row r="6" spans="1:6" x14ac:dyDescent="0.3">
      <c r="A6" t="s">
        <v>4</v>
      </c>
      <c r="B6" s="2">
        <v>150130796.05068499</v>
      </c>
      <c r="C6" s="2">
        <v>149515501.54670399</v>
      </c>
      <c r="D6" s="2">
        <v>149852759.79366806</v>
      </c>
      <c r="E6" s="2">
        <v>12582.097821317435</v>
      </c>
      <c r="F6" s="2">
        <v>-24660.911729782172</v>
      </c>
    </row>
    <row r="7" spans="1:6" x14ac:dyDescent="0.3">
      <c r="A7" t="s">
        <v>5</v>
      </c>
      <c r="B7" s="2">
        <v>156382928.81406599</v>
      </c>
      <c r="C7" s="2">
        <v>134729281.508331</v>
      </c>
      <c r="D7" s="2">
        <v>147138135.60752615</v>
      </c>
      <c r="E7" s="2">
        <v>613829.01177059964</v>
      </c>
      <c r="F7" s="2">
        <v>-1203104.8630703753</v>
      </c>
    </row>
    <row r="8" spans="1:6" x14ac:dyDescent="0.3">
      <c r="A8" t="s">
        <v>6</v>
      </c>
      <c r="B8" s="2">
        <v>180352044.04571101</v>
      </c>
      <c r="C8" s="2">
        <v>156248786.61587799</v>
      </c>
      <c r="D8" s="2">
        <v>167625155.15404752</v>
      </c>
      <c r="E8" s="2">
        <v>595604.62253826903</v>
      </c>
      <c r="F8" s="2">
        <v>-1167385.0601750072</v>
      </c>
    </row>
    <row r="9" spans="1:6" x14ac:dyDescent="0.3">
      <c r="A9" t="s">
        <v>7</v>
      </c>
      <c r="B9" s="2">
        <v>174981090.62267199</v>
      </c>
      <c r="C9" s="2">
        <v>149631676.16569799</v>
      </c>
      <c r="D9" s="2">
        <v>161926208.45836079</v>
      </c>
      <c r="E9" s="2">
        <v>563665.54769569368</v>
      </c>
      <c r="F9" s="2">
        <v>-1104784.4734835597</v>
      </c>
    </row>
    <row r="10" spans="1:6" x14ac:dyDescent="0.3">
      <c r="A10" t="s">
        <v>8</v>
      </c>
      <c r="B10" s="2">
        <v>227386048.44059101</v>
      </c>
      <c r="C10" s="2">
        <v>180873899.62654299</v>
      </c>
      <c r="D10" s="2">
        <v>210177504.06389067</v>
      </c>
      <c r="E10" s="2">
        <v>703585.0995635431</v>
      </c>
      <c r="F10" s="2">
        <v>-1379026.7951445444</v>
      </c>
    </row>
    <row r="11" spans="1:6" x14ac:dyDescent="0.3">
      <c r="A11" t="s">
        <v>9</v>
      </c>
      <c r="B11" s="2">
        <v>207002907.271799</v>
      </c>
      <c r="C11" s="2">
        <v>140300578.246546</v>
      </c>
      <c r="D11" s="2">
        <v>163731484.09453478</v>
      </c>
      <c r="E11" s="2">
        <v>633321.96133834729</v>
      </c>
      <c r="F11" s="2">
        <v>-1241311.0442231607</v>
      </c>
    </row>
    <row r="13" spans="1:6" x14ac:dyDescent="0.3">
      <c r="B13" s="4">
        <f>D10+F10</f>
        <v>208798477.26874611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0305-336E-487F-A603-ED5D5109BABE}">
  <dimension ref="A1:F13"/>
  <sheetViews>
    <sheetView workbookViewId="0">
      <selection activeCell="B6" sqref="B6:F6"/>
    </sheetView>
  </sheetViews>
  <sheetFormatPr defaultRowHeight="14.4" x14ac:dyDescent="0.3"/>
  <cols>
    <col min="6" max="6" width="14.88671875" customWidth="1"/>
  </cols>
  <sheetData>
    <row r="1" spans="1:6" ht="28.8" x14ac:dyDescent="0.3">
      <c r="A1" s="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0</v>
      </c>
      <c r="B2" s="3">
        <v>1.5</v>
      </c>
      <c r="C2" s="3">
        <v>1.49991511993586</v>
      </c>
      <c r="D2" s="3">
        <v>1.4999687590706134</v>
      </c>
      <c r="E2" s="3">
        <v>3.0009634470464655E-5</v>
      </c>
      <c r="F2" s="3">
        <v>-5.8818883562110722E-5</v>
      </c>
    </row>
    <row r="3" spans="1:6" x14ac:dyDescent="0.3">
      <c r="A3" t="s">
        <v>1</v>
      </c>
      <c r="B3" s="3">
        <v>1.5</v>
      </c>
      <c r="C3" s="3">
        <v>1.4997735280681499</v>
      </c>
      <c r="D3" s="3">
        <v>1.4998722487772926</v>
      </c>
      <c r="E3" s="3">
        <v>3.408182500091892E-5</v>
      </c>
      <c r="F3" s="3">
        <v>-6.6800377001801086E-5</v>
      </c>
    </row>
    <row r="4" spans="1:6" x14ac:dyDescent="0.3">
      <c r="A4" t="s">
        <v>2</v>
      </c>
      <c r="B4" s="3">
        <v>1.5046635602927301</v>
      </c>
      <c r="C4" s="3">
        <v>1.4997005302195701</v>
      </c>
      <c r="D4" s="3">
        <v>1.5001465469309985</v>
      </c>
      <c r="E4" s="3">
        <v>2.7355981959994167E-4</v>
      </c>
      <c r="F4" s="3">
        <v>-5.3617724641588562E-4</v>
      </c>
    </row>
    <row r="5" spans="1:6" x14ac:dyDescent="0.3">
      <c r="A5" t="s">
        <v>3</v>
      </c>
      <c r="B5" s="3">
        <v>1.50016293803621</v>
      </c>
      <c r="C5" s="3">
        <v>1.49951948163414</v>
      </c>
      <c r="D5" s="3">
        <v>1.4998853524960019</v>
      </c>
      <c r="E5" s="3">
        <v>6.5255750655604094E-5</v>
      </c>
      <c r="F5" s="3">
        <v>-1.2790127128498401E-4</v>
      </c>
    </row>
    <row r="6" spans="1:6" x14ac:dyDescent="0.3">
      <c r="A6" t="s">
        <v>4</v>
      </c>
      <c r="B6" s="3">
        <v>1.5008382471466799</v>
      </c>
      <c r="C6" s="3">
        <v>1.4951398836954599</v>
      </c>
      <c r="D6" s="3">
        <v>1.4984901368266457</v>
      </c>
      <c r="E6" s="3">
        <v>1.3385251426956075E-4</v>
      </c>
      <c r="F6" s="3">
        <v>-2.6235092796833906E-4</v>
      </c>
    </row>
    <row r="7" spans="1:6" x14ac:dyDescent="0.3">
      <c r="A7" t="s">
        <v>5</v>
      </c>
      <c r="B7" s="3">
        <v>1.54138358943454</v>
      </c>
      <c r="C7" s="3">
        <v>1.3081364420792101</v>
      </c>
      <c r="D7" s="3">
        <v>1.424746500216022</v>
      </c>
      <c r="E7" s="3">
        <v>6.1528751339166342E-3</v>
      </c>
      <c r="F7" s="3">
        <v>-1.2059635262476602E-2</v>
      </c>
    </row>
    <row r="8" spans="1:6" x14ac:dyDescent="0.3">
      <c r="A8" t="s">
        <v>6</v>
      </c>
      <c r="B8" s="3">
        <v>1.64110375996585</v>
      </c>
      <c r="C8" s="3">
        <v>1.3509619697695301</v>
      </c>
      <c r="D8" s="3">
        <v>1.4623045200253049</v>
      </c>
      <c r="E8" s="3">
        <v>5.6085866387824649E-3</v>
      </c>
      <c r="F8" s="3">
        <v>-1.0992829812013631E-2</v>
      </c>
    </row>
    <row r="9" spans="1:6" x14ac:dyDescent="0.3">
      <c r="A9" t="s">
        <v>7</v>
      </c>
      <c r="B9" s="3">
        <v>1.521598066306</v>
      </c>
      <c r="C9" s="3">
        <v>1.3376681649795701</v>
      </c>
      <c r="D9" s="3">
        <v>1.4389013590188453</v>
      </c>
      <c r="E9" s="3">
        <v>5.1676720929013384E-3</v>
      </c>
      <c r="F9" s="3">
        <v>-1.0128637302086622E-2</v>
      </c>
    </row>
    <row r="10" spans="1:6" x14ac:dyDescent="0.3">
      <c r="A10" t="s">
        <v>8</v>
      </c>
      <c r="B10" s="3">
        <v>2.0299339985598799</v>
      </c>
      <c r="C10" s="3">
        <v>1.19316805909666</v>
      </c>
      <c r="D10" s="3">
        <v>1.405308831580139</v>
      </c>
      <c r="E10" s="3">
        <v>5.1003073180962699E-3</v>
      </c>
      <c r="F10" s="3">
        <v>-9.9966023434686895E-3</v>
      </c>
    </row>
    <row r="11" spans="1:6" x14ac:dyDescent="0.3">
      <c r="A11" t="s">
        <v>9</v>
      </c>
      <c r="B11" s="3">
        <v>1.52643354149785</v>
      </c>
      <c r="C11" s="3">
        <v>1.20698818801603</v>
      </c>
      <c r="D11" s="3">
        <v>1.420431393393089</v>
      </c>
      <c r="E11" s="3">
        <v>5.5889149377256423E-3</v>
      </c>
      <c r="F11" s="3">
        <v>-1.0954273277942258E-2</v>
      </c>
    </row>
    <row r="13" spans="1:6" x14ac:dyDescent="0.3">
      <c r="D13" s="5">
        <f>D10+F10</f>
        <v>1.3953122292366702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010B-95EC-4278-8625-17ABC430BB09}">
  <dimension ref="A1:F13"/>
  <sheetViews>
    <sheetView workbookViewId="0">
      <selection activeCell="B6" sqref="B6:F6"/>
    </sheetView>
  </sheetViews>
  <sheetFormatPr defaultRowHeight="14.4" x14ac:dyDescent="0.3"/>
  <cols>
    <col min="2" max="4" width="14.88671875" bestFit="1" customWidth="1"/>
    <col min="5" max="5" width="11.21875" bestFit="1" customWidth="1"/>
    <col min="6" max="6" width="11.77734375" bestFit="1" customWidth="1"/>
  </cols>
  <sheetData>
    <row r="1" spans="1:6" ht="28.8" x14ac:dyDescent="0.3">
      <c r="A1" s="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0</v>
      </c>
      <c r="B2" s="3">
        <v>1</v>
      </c>
      <c r="C2" s="3">
        <v>0.99997154426103996</v>
      </c>
      <c r="D2" s="3">
        <v>0.99998579379590924</v>
      </c>
      <c r="E2" s="3">
        <v>1.0060622991160182E-5</v>
      </c>
      <c r="F2" s="3">
        <v>-1.9718821062673956E-5</v>
      </c>
    </row>
    <row r="3" spans="1:6" x14ac:dyDescent="0.3">
      <c r="A3" t="s">
        <v>1</v>
      </c>
      <c r="B3" s="3">
        <v>1.00001048358992</v>
      </c>
      <c r="C3" s="3">
        <v>0.99995615650733805</v>
      </c>
      <c r="D3" s="3">
        <v>0.99998456933808233</v>
      </c>
      <c r="E3" s="3">
        <v>1.1587590070529664E-5</v>
      </c>
      <c r="F3" s="3">
        <v>-2.2711676538238141E-5</v>
      </c>
    </row>
    <row r="4" spans="1:6" x14ac:dyDescent="0.3">
      <c r="A4" t="s">
        <v>2</v>
      </c>
      <c r="B4" s="3">
        <v>1.00001115973067</v>
      </c>
      <c r="C4" s="3">
        <v>0.99995954367258</v>
      </c>
      <c r="D4" s="3">
        <v>0.99998768964742746</v>
      </c>
      <c r="E4" s="3">
        <v>1.0970419831811218E-5</v>
      </c>
      <c r="F4" s="3">
        <v>-2.1502022870349988E-5</v>
      </c>
    </row>
    <row r="5" spans="1:6" x14ac:dyDescent="0.3">
      <c r="A5" t="s">
        <v>3</v>
      </c>
      <c r="B5" s="3">
        <v>1.0001743428907099</v>
      </c>
      <c r="C5" s="3">
        <v>1</v>
      </c>
      <c r="D5" s="3">
        <v>1.0001060372328925</v>
      </c>
      <c r="E5" s="3">
        <v>1.2041985306446164E-5</v>
      </c>
      <c r="F5" s="3">
        <v>-2.3602291200634483E-5</v>
      </c>
    </row>
    <row r="6" spans="1:6" x14ac:dyDescent="0.3">
      <c r="A6" t="s">
        <v>4</v>
      </c>
      <c r="B6" s="3">
        <v>1.00004374576533</v>
      </c>
      <c r="C6" s="3">
        <v>0.99955135885231905</v>
      </c>
      <c r="D6" s="3">
        <v>0.99981464422715227</v>
      </c>
      <c r="E6" s="3">
        <v>1.7649598234745805E-5</v>
      </c>
      <c r="F6" s="3">
        <v>-3.4593212540101776E-5</v>
      </c>
    </row>
    <row r="7" spans="1:6" x14ac:dyDescent="0.3">
      <c r="A7" t="s">
        <v>5</v>
      </c>
      <c r="B7" s="3">
        <v>1</v>
      </c>
      <c r="C7" s="3">
        <v>0.999688290530102</v>
      </c>
      <c r="D7" s="3">
        <v>0.99983695440223752</v>
      </c>
      <c r="E7" s="3">
        <v>1.3973165331104947E-5</v>
      </c>
      <c r="F7" s="3">
        <v>-2.7387404048965696E-5</v>
      </c>
    </row>
    <row r="8" spans="1:6" x14ac:dyDescent="0.3">
      <c r="A8" t="s">
        <v>6</v>
      </c>
      <c r="B8" s="3">
        <v>1.0004677520571501</v>
      </c>
      <c r="C8" s="3">
        <v>0.99991627936668703</v>
      </c>
      <c r="D8" s="3">
        <v>1.0002417277682893</v>
      </c>
      <c r="E8" s="3">
        <v>1.309375379846391E-5</v>
      </c>
      <c r="F8" s="3">
        <v>-2.5663757444989263E-5</v>
      </c>
    </row>
    <row r="9" spans="1:6" x14ac:dyDescent="0.3">
      <c r="A9" t="s">
        <v>7</v>
      </c>
      <c r="B9" s="3">
        <v>1.0007625505939599</v>
      </c>
      <c r="C9" s="3">
        <v>0.99939337780557402</v>
      </c>
      <c r="D9" s="3">
        <v>1.0000286203170676</v>
      </c>
      <c r="E9" s="3">
        <v>1.2924055039183435E-5</v>
      </c>
      <c r="F9" s="3">
        <v>-2.5331147876799532E-5</v>
      </c>
    </row>
    <row r="10" spans="1:6" x14ac:dyDescent="0.3">
      <c r="A10" t="s">
        <v>8</v>
      </c>
      <c r="B10" s="3">
        <v>1.0008569534724501</v>
      </c>
      <c r="C10" s="3">
        <v>0.99953883254855702</v>
      </c>
      <c r="D10" s="3">
        <v>1.0003249831883438</v>
      </c>
      <c r="E10" s="3">
        <v>1.3560619361795887E-5</v>
      </c>
      <c r="F10" s="3">
        <v>-2.6578813949119939E-5</v>
      </c>
    </row>
    <row r="11" spans="1:6" x14ac:dyDescent="0.3">
      <c r="A11" t="s">
        <v>9</v>
      </c>
      <c r="B11" s="3">
        <v>1.00021998795726</v>
      </c>
      <c r="C11" s="3">
        <v>0.99875233075019698</v>
      </c>
      <c r="D11" s="3">
        <v>0.99950286235704378</v>
      </c>
      <c r="E11" s="3">
        <v>1.3171343240364215E-5</v>
      </c>
      <c r="F11" s="3">
        <v>-2.5815832751113861E-5</v>
      </c>
    </row>
    <row r="13" spans="1:6" x14ac:dyDescent="0.3">
      <c r="D13" s="5">
        <f>D10+F10</f>
        <v>1.0002984043743948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8B0A-0F21-4B26-A518-70DCF9B41E0F}">
  <dimension ref="A1:F13"/>
  <sheetViews>
    <sheetView workbookViewId="0">
      <selection activeCell="B6" sqref="B6:F6"/>
    </sheetView>
  </sheetViews>
  <sheetFormatPr defaultRowHeight="14.4" x14ac:dyDescent="0.3"/>
  <cols>
    <col min="2" max="4" width="14.88671875" bestFit="1" customWidth="1"/>
    <col min="5" max="5" width="11.21875" bestFit="1" customWidth="1"/>
    <col min="6" max="6" width="11.77734375" bestFit="1" customWidth="1"/>
  </cols>
  <sheetData>
    <row r="1" spans="1:6" ht="28.8" x14ac:dyDescent="0.3">
      <c r="A1" s="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0</v>
      </c>
      <c r="B2" s="2">
        <v>100002845.654871</v>
      </c>
      <c r="C2" s="2">
        <v>100000000</v>
      </c>
      <c r="D2" s="2">
        <v>100001420.65408701</v>
      </c>
      <c r="E2" s="2">
        <v>1006.0909281009655</v>
      </c>
      <c r="F2" s="2">
        <v>-1971.9382190778922</v>
      </c>
    </row>
    <row r="3" spans="1:6" x14ac:dyDescent="0.3">
      <c r="A3" t="s">
        <v>1</v>
      </c>
      <c r="B3" s="2">
        <v>100004384.541499</v>
      </c>
      <c r="C3" s="2">
        <v>99998951.651998103</v>
      </c>
      <c r="D3" s="2">
        <v>100001543.11955173</v>
      </c>
      <c r="E3" s="2">
        <v>1158.8004688515591</v>
      </c>
      <c r="F3" s="2">
        <v>-2271.2489189490557</v>
      </c>
    </row>
    <row r="4" spans="1:6" x14ac:dyDescent="0.3">
      <c r="A4" t="s">
        <v>2</v>
      </c>
      <c r="B4" s="2">
        <v>100320855.01249801</v>
      </c>
      <c r="C4" s="2">
        <v>100000000</v>
      </c>
      <c r="D4" s="2">
        <v>100295997.7002366</v>
      </c>
      <c r="E4" s="2">
        <v>16942.477818208197</v>
      </c>
      <c r="F4" s="2">
        <v>-33207.256523688069</v>
      </c>
    </row>
    <row r="5" spans="1:6" x14ac:dyDescent="0.3">
      <c r="A5" t="s">
        <v>3</v>
      </c>
      <c r="B5" s="2">
        <v>100001486.93990999</v>
      </c>
      <c r="C5" s="2">
        <v>99988071.036810905</v>
      </c>
      <c r="D5" s="2">
        <v>99994460.971437469</v>
      </c>
      <c r="E5" s="2">
        <v>1502.4139964134358</v>
      </c>
      <c r="F5" s="2">
        <v>-2944.731432970334</v>
      </c>
    </row>
    <row r="6" spans="1:6" x14ac:dyDescent="0.3">
      <c r="A6" t="s">
        <v>4</v>
      </c>
      <c r="B6" s="2">
        <v>100061134.83204199</v>
      </c>
      <c r="C6" s="2">
        <v>99995625.614826903</v>
      </c>
      <c r="D6" s="2">
        <v>100021032.59118137</v>
      </c>
      <c r="E6" s="2">
        <v>2179.1839706568444</v>
      </c>
      <c r="F6" s="2">
        <v>-4271.200582487415</v>
      </c>
    </row>
    <row r="7" spans="1:6" x14ac:dyDescent="0.3">
      <c r="A7" t="s">
        <v>5</v>
      </c>
      <c r="B7" s="2">
        <v>104286995.3493</v>
      </c>
      <c r="C7" s="2">
        <v>100000000</v>
      </c>
      <c r="D7" s="2">
        <v>103291389.18646075</v>
      </c>
      <c r="E7" s="2">
        <v>18240.521156091847</v>
      </c>
      <c r="F7" s="2">
        <v>-35751.421465940017</v>
      </c>
    </row>
    <row r="8" spans="1:6" x14ac:dyDescent="0.3">
      <c r="A8" t="s">
        <v>6</v>
      </c>
      <c r="B8" s="2">
        <v>120208978.81626999</v>
      </c>
      <c r="C8" s="2">
        <v>100000000</v>
      </c>
      <c r="D8" s="2">
        <v>114621279.55360501</v>
      </c>
      <c r="E8" s="2">
        <v>40715.357931600498</v>
      </c>
      <c r="F8" s="2">
        <v>-79802.101545936981</v>
      </c>
    </row>
    <row r="9" spans="1:6" x14ac:dyDescent="0.3">
      <c r="A9" t="s">
        <v>7</v>
      </c>
      <c r="B9" s="2">
        <v>116724043.08619399</v>
      </c>
      <c r="C9" s="2">
        <v>100000000</v>
      </c>
      <c r="D9" s="2">
        <v>112626420.89370108</v>
      </c>
      <c r="E9" s="2">
        <v>16107.322372515648</v>
      </c>
      <c r="F9" s="2">
        <v>-31570.351850130668</v>
      </c>
    </row>
    <row r="10" spans="1:6" x14ac:dyDescent="0.3">
      <c r="A10" t="s">
        <v>8</v>
      </c>
      <c r="B10" s="2">
        <v>151556179.43309999</v>
      </c>
      <c r="C10" s="2">
        <v>100000000</v>
      </c>
      <c r="D10" s="2">
        <v>149616133.99003983</v>
      </c>
      <c r="E10" s="2">
        <v>32422.658854719008</v>
      </c>
      <c r="F10" s="2">
        <v>-63548.411355249256</v>
      </c>
    </row>
    <row r="11" spans="1:6" x14ac:dyDescent="0.3">
      <c r="A11" t="s">
        <v>9</v>
      </c>
      <c r="B11" s="2">
        <v>138147748.447137</v>
      </c>
      <c r="C11" s="2">
        <v>99998069.1911567</v>
      </c>
      <c r="D11" s="2">
        <v>115373269.73068129</v>
      </c>
      <c r="E11" s="2">
        <v>18272.262306158056</v>
      </c>
      <c r="F11" s="2">
        <v>-35813.634120069786</v>
      </c>
    </row>
    <row r="13" spans="1:6" x14ac:dyDescent="0.3">
      <c r="D13" s="4">
        <f>D10+F10</f>
        <v>149552585.57868457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Collateral value</vt:lpstr>
      <vt:lpstr>Collateral Ratio</vt:lpstr>
      <vt:lpstr>price</vt:lpstr>
      <vt:lpstr>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u3546092@connect.hku.hk</dc:creator>
  <cp:lastModifiedBy>u3546092@connect.hku.hk</cp:lastModifiedBy>
  <dcterms:created xsi:type="dcterms:W3CDTF">2026-02-21T15:13:37Z</dcterms:created>
  <dcterms:modified xsi:type="dcterms:W3CDTF">2026-02-22T06:32:33Z</dcterms:modified>
</cp:coreProperties>
</file>